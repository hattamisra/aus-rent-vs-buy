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03beea78131baf44/Documents/Personal Projects/2026-03 aus rent vs buy/"/>
    </mc:Choice>
  </mc:AlternateContent>
  <xr:revisionPtr revIDLastSave="251" documentId="8_{FBFFA331-12F3-4281-B095-9EF256F3CCF2}" xr6:coauthVersionLast="47" xr6:coauthVersionMax="47" xr10:uidLastSave="{54F97884-9F42-470A-8E5A-8D8D17FEEFF5}"/>
  <bookViews>
    <workbookView xWindow="240" yWindow="2085" windowWidth="21600" windowHeight="12645" tabRatio="818" xr2:uid="{D8AAAA89-5358-4611-B113-99C6929A3BCB}"/>
  </bookViews>
  <sheets>
    <sheet name="analysis" sheetId="13" r:id="rId1"/>
    <sheet name="cpi" sheetId="23" r:id="rId2"/>
    <sheet name="msci-indices" sheetId="20" r:id="rId3"/>
    <sheet name="mortgage-rates" sheetId="19" r:id="rId4"/>
    <sheet name="sa-rent &gt;&gt;" sheetId="6" r:id="rId5"/>
    <sheet name="sa-rent-combined" sheetId="27" r:id="rId6"/>
    <sheet name="Table_4" sheetId="28" r:id="rId7"/>
    <sheet name="2BR_F-processed" sheetId="2" r:id="rId8"/>
    <sheet name="3BR_H-processed" sheetId="11" r:id="rId9"/>
    <sheet name="chart-2bflat" sheetId="3" r:id="rId10"/>
    <sheet name="chart-3bhouse" sheetId="12" r:id="rId11"/>
    <sheet name="sa-buy &gt;&gt;" sheetId="14" r:id="rId12"/>
    <sheet name="ABS-total-value-dwellings" sheetId="24" r:id="rId13"/>
    <sheet name="ns-combined" sheetId="18" r:id="rId14"/>
    <sheet name="s-combined" sheetId="22" r:id="rId15"/>
  </sheets>
  <definedNames>
    <definedName name="_xlnm._FilterDatabase" localSheetId="7" hidden="1">'2BR_F-processed'!$A$1:$F$97</definedName>
    <definedName name="_xlnm._FilterDatabase" localSheetId="8" hidden="1">'3BR_H-processed'!$A$1:$F$97</definedName>
    <definedName name="_xlnm._FilterDatabase" localSheetId="13" hidden="1">'ns-combined'!$B$1:$D$102</definedName>
    <definedName name="_xlnm._FilterDatabase" localSheetId="14" hidden="1">'s-combined'!$B$1:$D$97</definedName>
    <definedName name="A83728543L">'ABS-total-value-dwellings'!$AF$1:$AF$10,'ABS-total-value-dwellings'!$AF$11:$AF$106</definedName>
    <definedName name="A83728543L_Data">'ABS-total-value-dwellings'!$AF$11:$AF$106</definedName>
    <definedName name="A83728543L_Latest">'ABS-total-value-dwellings'!$AF$106</definedName>
    <definedName name="A83728544R">'ABS-total-value-dwellings'!$AU$1:$AU$10,'ABS-total-value-dwellings'!$AU$17:$AU$106</definedName>
    <definedName name="A83728544R_Data">'ABS-total-value-dwellings'!$AU$17:$AU$106</definedName>
    <definedName name="A83728544R_Latest">'ABS-total-value-dwellings'!$AU$106</definedName>
    <definedName name="A83728545T">'ABS-total-value-dwellings'!$B$1:$B$10,'ABS-total-value-dwellings'!$B$11:$B$106</definedName>
    <definedName name="A83728545T_Data">'ABS-total-value-dwellings'!$B$11:$B$106</definedName>
    <definedName name="A83728545T_Latest">'ABS-total-value-dwellings'!$B$106</definedName>
    <definedName name="A83728546V">'ABS-total-value-dwellings'!$Q$1:$Q$10,'ABS-total-value-dwellings'!$Q$17:$Q$106</definedName>
    <definedName name="A83728546V_Data">'ABS-total-value-dwellings'!$Q$17:$Q$106</definedName>
    <definedName name="A83728546V_Latest">'ABS-total-value-dwellings'!$Q$106</definedName>
    <definedName name="A83728547W">'ABS-total-value-dwellings'!$AH$1:$AH$10,'ABS-total-value-dwellings'!$AH$11:$AH$106</definedName>
    <definedName name="A83728547W_Data">'ABS-total-value-dwellings'!$AH$11:$AH$106</definedName>
    <definedName name="A83728547W_Latest">'ABS-total-value-dwellings'!$AH$106</definedName>
    <definedName name="A83728548X">'ABS-total-value-dwellings'!$AW$1:$AW$10,'ABS-total-value-dwellings'!$AW$17:$AW$106</definedName>
    <definedName name="A83728548X_Data">'ABS-total-value-dwellings'!$AW$17:$AW$106</definedName>
    <definedName name="A83728548X_Latest">'ABS-total-value-dwellings'!$AW$106</definedName>
    <definedName name="A83728549A">'ABS-total-value-dwellings'!$D$1:$D$10,'ABS-total-value-dwellings'!$D$11:$D$106</definedName>
    <definedName name="A83728549A_Data">'ABS-total-value-dwellings'!$D$11:$D$106</definedName>
    <definedName name="A83728549A_Latest">'ABS-total-value-dwellings'!$D$106</definedName>
    <definedName name="A83728550K">'ABS-total-value-dwellings'!$S$1:$S$10,'ABS-total-value-dwellings'!$S$17:$S$106</definedName>
    <definedName name="A83728550K_Data">'ABS-total-value-dwellings'!$S$17:$S$106</definedName>
    <definedName name="A83728550K_Latest">'ABS-total-value-dwellings'!$S$106</definedName>
    <definedName name="A83728551L">'ABS-total-value-dwellings'!$AJ$1:$AJ$10,'ABS-total-value-dwellings'!$AJ$11:$AJ$106</definedName>
    <definedName name="A83728551L_Data">'ABS-total-value-dwellings'!$AJ$11:$AJ$106</definedName>
    <definedName name="A83728551L_Latest">'ABS-total-value-dwellings'!$AJ$106</definedName>
    <definedName name="A83728552R">'ABS-total-value-dwellings'!$AY$1:$AY$10,'ABS-total-value-dwellings'!$AY$17:$AY$106</definedName>
    <definedName name="A83728552R_Data">'ABS-total-value-dwellings'!$AY$17:$AY$106</definedName>
    <definedName name="A83728552R_Latest">'ABS-total-value-dwellings'!$AY$106</definedName>
    <definedName name="A83728553T">'ABS-total-value-dwellings'!$F$1:$F$10,'ABS-total-value-dwellings'!$F$11:$F$106</definedName>
    <definedName name="A83728553T_Data">'ABS-total-value-dwellings'!$F$11:$F$106</definedName>
    <definedName name="A83728553T_Latest">'ABS-total-value-dwellings'!$F$106</definedName>
    <definedName name="A83728554V">'ABS-total-value-dwellings'!$U$1:$U$10,'ABS-total-value-dwellings'!$U$17:$U$106</definedName>
    <definedName name="A83728554V_Data">'ABS-total-value-dwellings'!$U$17:$U$106</definedName>
    <definedName name="A83728554V_Latest">'ABS-total-value-dwellings'!$U$106</definedName>
    <definedName name="A83728555W">'ABS-total-value-dwellings'!$AL$1:$AL$10,'ABS-total-value-dwellings'!$AL$11:$AL$106</definedName>
    <definedName name="A83728555W_Data">'ABS-total-value-dwellings'!$AL$11:$AL$106</definedName>
    <definedName name="A83728555W_Latest">'ABS-total-value-dwellings'!$AL$106</definedName>
    <definedName name="A83728556X">'ABS-total-value-dwellings'!$BA$1:$BA$10,'ABS-total-value-dwellings'!$BA$17:$BA$106</definedName>
    <definedName name="A83728556X_Data">'ABS-total-value-dwellings'!$BA$17:$BA$106</definedName>
    <definedName name="A83728556X_Latest">'ABS-total-value-dwellings'!$BA$106</definedName>
    <definedName name="A83728557A">'ABS-total-value-dwellings'!$H$1:$H$10,'ABS-total-value-dwellings'!$H$11:$H$106</definedName>
    <definedName name="A83728557A_Data">'ABS-total-value-dwellings'!$H$11:$H$106</definedName>
    <definedName name="A83728557A_Latest">'ABS-total-value-dwellings'!$H$106</definedName>
    <definedName name="A83728558C">'ABS-total-value-dwellings'!$W$1:$W$10,'ABS-total-value-dwellings'!$W$17:$W$106</definedName>
    <definedName name="A83728558C_Data">'ABS-total-value-dwellings'!$W$17:$W$106</definedName>
    <definedName name="A83728558C_Latest">'ABS-total-value-dwellings'!$W$106</definedName>
    <definedName name="A83728559F">'ABS-total-value-dwellings'!$AN$1:$AN$10,'ABS-total-value-dwellings'!$AN$11:$AN$106</definedName>
    <definedName name="A83728559F_Data">'ABS-total-value-dwellings'!$AN$11:$AN$106</definedName>
    <definedName name="A83728559F_Latest">'ABS-total-value-dwellings'!$AN$106</definedName>
    <definedName name="A83728560R">'ABS-total-value-dwellings'!$BC$1:$BC$10,'ABS-total-value-dwellings'!$BC$17:$BC$106</definedName>
    <definedName name="A83728560R_Data">'ABS-total-value-dwellings'!$BC$17:$BC$106</definedName>
    <definedName name="A83728560R_Latest">'ABS-total-value-dwellings'!$BC$106</definedName>
    <definedName name="A83728561T">'ABS-total-value-dwellings'!$J$1:$J$10,'ABS-total-value-dwellings'!$J$11:$J$106</definedName>
    <definedName name="A83728561T_Data">'ABS-total-value-dwellings'!$J$11:$J$106</definedName>
    <definedName name="A83728561T_Latest">'ABS-total-value-dwellings'!$J$106</definedName>
    <definedName name="A83728562V">'ABS-total-value-dwellings'!$Y$1:$Y$10,'ABS-total-value-dwellings'!$Y$17:$Y$106</definedName>
    <definedName name="A83728562V_Data">'ABS-total-value-dwellings'!$Y$17:$Y$106</definedName>
    <definedName name="A83728562V_Latest">'ABS-total-value-dwellings'!$Y$106</definedName>
    <definedName name="A83728563W">'ABS-total-value-dwellings'!$AP$1:$AP$10,'ABS-total-value-dwellings'!$AP$11:$AP$106</definedName>
    <definedName name="A83728563W_Data">'ABS-total-value-dwellings'!$AP$11:$AP$106</definedName>
    <definedName name="A83728563W_Latest">'ABS-total-value-dwellings'!$AP$106</definedName>
    <definedName name="A83728564X">'ABS-total-value-dwellings'!$BE$1:$BE$10,'ABS-total-value-dwellings'!$BE$17:$BE$106</definedName>
    <definedName name="A83728564X_Data">'ABS-total-value-dwellings'!$BE$17:$BE$106</definedName>
    <definedName name="A83728564X_Latest">'ABS-total-value-dwellings'!$BE$106</definedName>
    <definedName name="A83728565A">'ABS-total-value-dwellings'!$L$1:$L$10,'ABS-total-value-dwellings'!$L$11:$L$106</definedName>
    <definedName name="A83728565A_Data">'ABS-total-value-dwellings'!$L$11:$L$106</definedName>
    <definedName name="A83728565A_Latest">'ABS-total-value-dwellings'!$L$106</definedName>
    <definedName name="A83728566C">'ABS-total-value-dwellings'!$AA$1:$AA$10,'ABS-total-value-dwellings'!$AA$17:$AA$106</definedName>
    <definedName name="A83728566C_Data">'ABS-total-value-dwellings'!$AA$17:$AA$106</definedName>
    <definedName name="A83728566C_Latest">'ABS-total-value-dwellings'!$AA$106</definedName>
    <definedName name="A83728567F">'ABS-total-value-dwellings'!$AR$1:$AR$10,'ABS-total-value-dwellings'!$AR$11:$AR$106</definedName>
    <definedName name="A83728567F_Data">'ABS-total-value-dwellings'!$AR$11:$AR$106</definedName>
    <definedName name="A83728567F_Latest">'ABS-total-value-dwellings'!$AR$106</definedName>
    <definedName name="A83728568J">'ABS-total-value-dwellings'!$BG$1:$BG$10,'ABS-total-value-dwellings'!$BG$17:$BG$106</definedName>
    <definedName name="A83728568J_Data">'ABS-total-value-dwellings'!$BG$17:$BG$106</definedName>
    <definedName name="A83728568J_Latest">'ABS-total-value-dwellings'!$BG$106</definedName>
    <definedName name="A83728569K">'ABS-total-value-dwellings'!$N$1:$N$10,'ABS-total-value-dwellings'!$N$11:$N$106</definedName>
    <definedName name="A83728569K_Data">'ABS-total-value-dwellings'!$N$11:$N$106</definedName>
    <definedName name="A83728569K_Latest">'ABS-total-value-dwellings'!$N$106</definedName>
    <definedName name="A83728570V">'ABS-total-value-dwellings'!$AC$1:$AC$10,'ABS-total-value-dwellings'!$AC$17:$AC$106</definedName>
    <definedName name="A83728570V_Data">'ABS-total-value-dwellings'!$AC$17:$AC$106</definedName>
    <definedName name="A83728570V_Latest">'ABS-total-value-dwellings'!$AC$106</definedName>
    <definedName name="A83728571W">'ABS-total-value-dwellings'!$AT$1:$AT$10,'ABS-total-value-dwellings'!$AT$11:$AT$106</definedName>
    <definedName name="A83728571W_Data">'ABS-total-value-dwellings'!$AT$11:$AT$106</definedName>
    <definedName name="A83728571W_Latest">'ABS-total-value-dwellings'!$AT$106</definedName>
    <definedName name="A83728572X">'ABS-total-value-dwellings'!$BI$1:$BI$10,'ABS-total-value-dwellings'!$BI$17:$BI$106</definedName>
    <definedName name="A83728572X_Data">'ABS-total-value-dwellings'!$BI$17:$BI$106</definedName>
    <definedName name="A83728572X_Latest">'ABS-total-value-dwellings'!$BI$106</definedName>
    <definedName name="A83728573A">'ABS-total-value-dwellings'!$P$1:$P$10,'ABS-total-value-dwellings'!$P$11:$P$106</definedName>
    <definedName name="A83728573A_Data">'ABS-total-value-dwellings'!$P$11:$P$106</definedName>
    <definedName name="A83728573A_Latest">'ABS-total-value-dwellings'!$P$106</definedName>
    <definedName name="A83728574C">'ABS-total-value-dwellings'!$AE$1:$AE$10,'ABS-total-value-dwellings'!$AE$17:$AE$106</definedName>
    <definedName name="A83728574C_Data">'ABS-total-value-dwellings'!$AE$17:$AE$106</definedName>
    <definedName name="A83728574C_Latest">'ABS-total-value-dwellings'!$AE$106</definedName>
    <definedName name="A83728575F">'ABS-total-value-dwellings'!$AG$1:$AG$10,'ABS-total-value-dwellings'!$AG$17:$AG$106</definedName>
    <definedName name="A83728575F_Data">'ABS-total-value-dwellings'!$AG$17:$AG$106</definedName>
    <definedName name="A83728575F_Latest">'ABS-total-value-dwellings'!$AG$106</definedName>
    <definedName name="A83728576J">'ABS-total-value-dwellings'!$AV$1:$AV$10,'ABS-total-value-dwellings'!$AV$17:$AV$106</definedName>
    <definedName name="A83728576J_Data">'ABS-total-value-dwellings'!$AV$17:$AV$106</definedName>
    <definedName name="A83728576J_Latest">'ABS-total-value-dwellings'!$AV$106</definedName>
    <definedName name="A83728577K">'ABS-total-value-dwellings'!$C$1:$C$10,'ABS-total-value-dwellings'!$C$17:$C$106</definedName>
    <definedName name="A83728577K_Data">'ABS-total-value-dwellings'!$C$17:$C$106</definedName>
    <definedName name="A83728577K_Latest">'ABS-total-value-dwellings'!$C$106</definedName>
    <definedName name="A83728578L">'ABS-total-value-dwellings'!$R$1:$R$10,'ABS-total-value-dwellings'!$R$17:$R$106</definedName>
    <definedName name="A83728578L_Data">'ABS-total-value-dwellings'!$R$17:$R$106</definedName>
    <definedName name="A83728578L_Latest">'ABS-total-value-dwellings'!$R$106</definedName>
    <definedName name="A83728579R">'ABS-total-value-dwellings'!$AI$1:$AI$10,'ABS-total-value-dwellings'!$AI$17:$AI$106</definedName>
    <definedName name="A83728579R_Data">'ABS-total-value-dwellings'!$AI$17:$AI$106</definedName>
    <definedName name="A83728579R_Latest">'ABS-total-value-dwellings'!$AI$106</definedName>
    <definedName name="A83728580X">'ABS-total-value-dwellings'!$AX$1:$AX$10,'ABS-total-value-dwellings'!$AX$17:$AX$106</definedName>
    <definedName name="A83728580X_Data">'ABS-total-value-dwellings'!$AX$17:$AX$106</definedName>
    <definedName name="A83728580X_Latest">'ABS-total-value-dwellings'!$AX$106</definedName>
    <definedName name="A83728581A">'ABS-total-value-dwellings'!$E$1:$E$10,'ABS-total-value-dwellings'!$E$17:$E$106</definedName>
    <definedName name="A83728581A_Data">'ABS-total-value-dwellings'!$E$17:$E$106</definedName>
    <definedName name="A83728581A_Latest">'ABS-total-value-dwellings'!$E$106</definedName>
    <definedName name="A83728582C">'ABS-total-value-dwellings'!$T$1:$T$10,'ABS-total-value-dwellings'!$T$17:$T$106</definedName>
    <definedName name="A83728582C_Data">'ABS-total-value-dwellings'!$T$17:$T$106</definedName>
    <definedName name="A83728582C_Latest">'ABS-total-value-dwellings'!$T$106</definedName>
    <definedName name="A83728583F">'ABS-total-value-dwellings'!$AK$1:$AK$10,'ABS-total-value-dwellings'!$AK$17:$AK$106</definedName>
    <definedName name="A83728583F_Data">'ABS-total-value-dwellings'!$AK$17:$AK$106</definedName>
    <definedName name="A83728583F_Latest">'ABS-total-value-dwellings'!$AK$106</definedName>
    <definedName name="A83728584J">'ABS-total-value-dwellings'!$AZ$1:$AZ$10,'ABS-total-value-dwellings'!$AZ$17:$AZ$106</definedName>
    <definedName name="A83728584J_Data">'ABS-total-value-dwellings'!$AZ$17:$AZ$106</definedName>
    <definedName name="A83728584J_Latest">'ABS-total-value-dwellings'!$AZ$106</definedName>
    <definedName name="A83728585K">'ABS-total-value-dwellings'!$G$1:$G$10,'ABS-total-value-dwellings'!$G$17:$G$106</definedName>
    <definedName name="A83728585K_Data">'ABS-total-value-dwellings'!$G$17:$G$106</definedName>
    <definedName name="A83728585K_Latest">'ABS-total-value-dwellings'!$G$106</definedName>
    <definedName name="A83728586L">'ABS-total-value-dwellings'!$V$1:$V$10,'ABS-total-value-dwellings'!$V$17:$V$106</definedName>
    <definedName name="A83728586L_Data">'ABS-total-value-dwellings'!$V$17:$V$106</definedName>
    <definedName name="A83728586L_Latest">'ABS-total-value-dwellings'!$V$106</definedName>
    <definedName name="A83728587R">'ABS-total-value-dwellings'!$AM$1:$AM$10,'ABS-total-value-dwellings'!$AM$17:$AM$106</definedName>
    <definedName name="A83728587R_Data">'ABS-total-value-dwellings'!$AM$17:$AM$106</definedName>
    <definedName name="A83728587R_Latest">'ABS-total-value-dwellings'!$AM$106</definedName>
    <definedName name="A83728588T">'ABS-total-value-dwellings'!$BB$1:$BB$10,'ABS-total-value-dwellings'!$BB$17:$BB$106</definedName>
    <definedName name="A83728588T_Data">'ABS-total-value-dwellings'!$BB$17:$BB$106</definedName>
    <definedName name="A83728588T_Latest">'ABS-total-value-dwellings'!$BB$106</definedName>
    <definedName name="A83728589V">'ABS-total-value-dwellings'!$I$1:$I$10,'ABS-total-value-dwellings'!$I$17:$I$106</definedName>
    <definedName name="A83728589V_Data">'ABS-total-value-dwellings'!$I$17:$I$106</definedName>
    <definedName name="A83728589V_Latest">'ABS-total-value-dwellings'!$I$106</definedName>
    <definedName name="A83728590C">'ABS-total-value-dwellings'!$X$1:$X$10,'ABS-total-value-dwellings'!$X$17:$X$106</definedName>
    <definedName name="A83728590C_Data">'ABS-total-value-dwellings'!$X$17:$X$106</definedName>
    <definedName name="A83728590C_Latest">'ABS-total-value-dwellings'!$X$106</definedName>
    <definedName name="A83728591F">'ABS-total-value-dwellings'!$AO$1:$AO$10,'ABS-total-value-dwellings'!$AO$17:$AO$106</definedName>
    <definedName name="A83728591F_Data">'ABS-total-value-dwellings'!$AO$17:$AO$106</definedName>
    <definedName name="A83728591F_Latest">'ABS-total-value-dwellings'!$AO$106</definedName>
    <definedName name="A83728592J">'ABS-total-value-dwellings'!$BD$1:$BD$10,'ABS-total-value-dwellings'!$BD$17:$BD$106</definedName>
    <definedName name="A83728592J_Data">'ABS-total-value-dwellings'!$BD$17:$BD$106</definedName>
    <definedName name="A83728592J_Latest">'ABS-total-value-dwellings'!$BD$106</definedName>
    <definedName name="A83728593K">'ABS-total-value-dwellings'!$K$1:$K$10,'ABS-total-value-dwellings'!$K$17:$K$106</definedName>
    <definedName name="A83728593K_Data">'ABS-total-value-dwellings'!$K$17:$K$106</definedName>
    <definedName name="A83728593K_Latest">'ABS-total-value-dwellings'!$K$106</definedName>
    <definedName name="A83728594L">'ABS-total-value-dwellings'!$Z$1:$Z$10,'ABS-total-value-dwellings'!$Z$17:$Z$106</definedName>
    <definedName name="A83728594L_Data">'ABS-total-value-dwellings'!$Z$17:$Z$106</definedName>
    <definedName name="A83728594L_Latest">'ABS-total-value-dwellings'!$Z$106</definedName>
    <definedName name="A83728595R">'ABS-total-value-dwellings'!$AQ$1:$AQ$10,'ABS-total-value-dwellings'!$AQ$17:$AQ$106</definedName>
    <definedName name="A83728595R_Data">'ABS-total-value-dwellings'!$AQ$17:$AQ$106</definedName>
    <definedName name="A83728595R_Latest">'ABS-total-value-dwellings'!$AQ$106</definedName>
    <definedName name="A83728596T">'ABS-total-value-dwellings'!$BF$1:$BF$10,'ABS-total-value-dwellings'!$BF$17:$BF$106</definedName>
    <definedName name="A83728596T_Data">'ABS-total-value-dwellings'!$BF$17:$BF$106</definedName>
    <definedName name="A83728596T_Latest">'ABS-total-value-dwellings'!$BF$106</definedName>
    <definedName name="A83728597V">'ABS-total-value-dwellings'!$M$1:$M$10,'ABS-total-value-dwellings'!$M$17:$M$106</definedName>
    <definedName name="A83728597V_Data">'ABS-total-value-dwellings'!$M$17:$M$106</definedName>
    <definedName name="A83728597V_Latest">'ABS-total-value-dwellings'!$M$106</definedName>
    <definedName name="A83728598W">'ABS-total-value-dwellings'!$AB$1:$AB$10,'ABS-total-value-dwellings'!$AB$17:$AB$106</definedName>
    <definedName name="A83728598W_Data">'ABS-total-value-dwellings'!$AB$17:$AB$106</definedName>
    <definedName name="A83728598W_Latest">'ABS-total-value-dwellings'!$AB$106</definedName>
    <definedName name="A83728599X">'ABS-total-value-dwellings'!$AS$1:$AS$10,'ABS-total-value-dwellings'!$AS$17:$AS$106</definedName>
    <definedName name="A83728599X_Data">'ABS-total-value-dwellings'!$AS$17:$AS$106</definedName>
    <definedName name="A83728599X_Latest">'ABS-total-value-dwellings'!$AS$106</definedName>
    <definedName name="A83728600W">'ABS-total-value-dwellings'!$BH$1:$BH$10,'ABS-total-value-dwellings'!$BH$17:$BH$106</definedName>
    <definedName name="A83728600W_Data">'ABS-total-value-dwellings'!$BH$17:$BH$106</definedName>
    <definedName name="A83728600W_Latest">'ABS-total-value-dwellings'!$BH$106</definedName>
    <definedName name="A83728601X">'ABS-total-value-dwellings'!$O$1:$O$10,'ABS-total-value-dwellings'!$O$17:$O$106</definedName>
    <definedName name="A83728601X_Data">'ABS-total-value-dwellings'!$O$17:$O$106</definedName>
    <definedName name="A83728601X_Latest">'ABS-total-value-dwellings'!$O$106</definedName>
    <definedName name="A83728602A">'ABS-total-value-dwellings'!$AD$1:$AD$10,'ABS-total-value-dwellings'!$AD$17:$AD$106</definedName>
    <definedName name="A83728602A_Data">'ABS-total-value-dwellings'!$AD$17:$AD$106</definedName>
    <definedName name="A83728602A_Latest">'ABS-total-value-dwellings'!$AD$106</definedName>
    <definedName name="AusPortfolio">analysis!$B$42</definedName>
    <definedName name="CGT">analysis!$B$49</definedName>
    <definedName name="Council_Area">analysis!$B$13</definedName>
    <definedName name="Date_Range">'ABS-total-value-dwellings'!$A$2:$A$10,'ABS-total-value-dwellings'!$A$11:$A$106</definedName>
    <definedName name="Date_Range_Data">'ABS-total-value-dwellings'!$A$11:$A$106</definedName>
    <definedName name="eff_invest">analysis!$B$54</definedName>
    <definedName name="FlatDwellingType">'2BR_F-processed'!$A$1</definedName>
    <definedName name="FlatNumberOfBedrooms">'2BR_F-processed'!$A$2</definedName>
    <definedName name="GlobalPortfolio">analysis!$B$41</definedName>
    <definedName name="HouseDwellingType" localSheetId="8">'3BR_H-processed'!$A$1</definedName>
    <definedName name="HouseNumberOfBedrooms" localSheetId="8">'3BR_H-processed'!$A$2</definedName>
    <definedName name="InvestFees">analysis!$B$43</definedName>
    <definedName name="MortgageRate">analysis!$B$19</definedName>
    <definedName name="Q_end">analysis!$B$12</definedName>
    <definedName name="Q_start">analysis!$B$11</definedName>
    <definedName name="Qstart">analysis!$B$11</definedName>
    <definedName name="TopOfTable_Table_4">Table_4!$A$2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3" l="1"/>
  <c r="E2" i="11"/>
  <c r="F2" i="11"/>
  <c r="E3" i="11"/>
  <c r="F3" i="11"/>
  <c r="E4" i="11"/>
  <c r="F4" i="11"/>
  <c r="E5" i="11"/>
  <c r="F5" i="11"/>
  <c r="E6" i="11"/>
  <c r="F6" i="11"/>
  <c r="E7" i="11"/>
  <c r="F7" i="11"/>
  <c r="E8" i="11"/>
  <c r="F8" i="11"/>
  <c r="E9" i="11"/>
  <c r="F9" i="11"/>
  <c r="E10" i="11"/>
  <c r="F10" i="11"/>
  <c r="E11" i="11"/>
  <c r="F11" i="11"/>
  <c r="E12" i="11"/>
  <c r="F12" i="11"/>
  <c r="E13" i="11"/>
  <c r="F13" i="11"/>
  <c r="E14" i="11"/>
  <c r="F14" i="11"/>
  <c r="E15" i="11"/>
  <c r="F15" i="11"/>
  <c r="E16" i="11"/>
  <c r="F16" i="11"/>
  <c r="E17" i="11"/>
  <c r="F17" i="11"/>
  <c r="E18" i="11"/>
  <c r="F18" i="11"/>
  <c r="E19" i="11"/>
  <c r="F19" i="11"/>
  <c r="E20" i="11"/>
  <c r="F20" i="11"/>
  <c r="E21" i="11"/>
  <c r="F21" i="11"/>
  <c r="E22" i="11"/>
  <c r="F22" i="11"/>
  <c r="E23" i="11"/>
  <c r="F23" i="11"/>
  <c r="E24" i="11"/>
  <c r="F24" i="11"/>
  <c r="E25" i="11"/>
  <c r="F25" i="11"/>
  <c r="E26" i="11"/>
  <c r="F26" i="11"/>
  <c r="E27" i="11"/>
  <c r="F27" i="11"/>
  <c r="E28" i="11"/>
  <c r="F28" i="11"/>
  <c r="E29" i="11"/>
  <c r="F29" i="11"/>
  <c r="E30" i="11"/>
  <c r="F30" i="11"/>
  <c r="E31" i="11"/>
  <c r="F31" i="11"/>
  <c r="E32" i="11"/>
  <c r="F32" i="11"/>
  <c r="E33" i="11"/>
  <c r="F33" i="11"/>
  <c r="E34" i="11"/>
  <c r="F34" i="11"/>
  <c r="E35" i="11"/>
  <c r="F35" i="11"/>
  <c r="E36" i="11"/>
  <c r="F36" i="11"/>
  <c r="E37" i="11"/>
  <c r="F37" i="11"/>
  <c r="F38" i="11"/>
  <c r="E38" i="11"/>
  <c r="E2" i="2"/>
  <c r="F2" i="2"/>
  <c r="E3" i="2"/>
  <c r="F3" i="2"/>
  <c r="E4" i="2"/>
  <c r="F4" i="2"/>
  <c r="E5" i="2"/>
  <c r="F5" i="2"/>
  <c r="E6" i="2"/>
  <c r="F6" i="2"/>
  <c r="E7" i="2"/>
  <c r="F7" i="2"/>
  <c r="E8" i="2"/>
  <c r="F8" i="2"/>
  <c r="E9" i="2"/>
  <c r="F9" i="2"/>
  <c r="E10" i="2"/>
  <c r="F10" i="2"/>
  <c r="E11" i="2"/>
  <c r="F11" i="2"/>
  <c r="E12" i="2"/>
  <c r="F12" i="2"/>
  <c r="E13" i="2"/>
  <c r="F13" i="2"/>
  <c r="E14" i="2"/>
  <c r="F14" i="2"/>
  <c r="E15" i="2"/>
  <c r="F15" i="2"/>
  <c r="E16" i="2"/>
  <c r="F16" i="2"/>
  <c r="E17" i="2"/>
  <c r="F17" i="2"/>
  <c r="E18" i="2"/>
  <c r="F18" i="2"/>
  <c r="E19" i="2"/>
  <c r="F19" i="2"/>
  <c r="E20" i="2"/>
  <c r="F20" i="2"/>
  <c r="E21" i="2"/>
  <c r="F21" i="2"/>
  <c r="E22" i="2"/>
  <c r="F22" i="2"/>
  <c r="E23" i="2"/>
  <c r="F23" i="2"/>
  <c r="E24" i="2"/>
  <c r="F24" i="2"/>
  <c r="E25" i="2"/>
  <c r="F25" i="2"/>
  <c r="E26" i="2"/>
  <c r="F26" i="2"/>
  <c r="E27" i="2"/>
  <c r="F27" i="2"/>
  <c r="E28" i="2"/>
  <c r="F28" i="2"/>
  <c r="E29" i="2"/>
  <c r="F29" i="2"/>
  <c r="E30" i="2"/>
  <c r="F30" i="2"/>
  <c r="E31" i="2"/>
  <c r="F31" i="2"/>
  <c r="E32" i="2"/>
  <c r="F32" i="2"/>
  <c r="E33" i="2"/>
  <c r="F33" i="2"/>
  <c r="E34" i="2"/>
  <c r="F34" i="2"/>
  <c r="E35" i="2"/>
  <c r="F35" i="2"/>
  <c r="E36" i="2"/>
  <c r="F36" i="2"/>
  <c r="E37" i="2"/>
  <c r="F37" i="2"/>
  <c r="F38" i="2"/>
  <c r="E38" i="2"/>
  <c r="D117" i="28"/>
  <c r="E117" i="28"/>
  <c r="F117" i="28"/>
  <c r="G117" i="28"/>
  <c r="H117" i="28"/>
  <c r="I117" i="28"/>
  <c r="J117" i="28"/>
  <c r="K117" i="28"/>
  <c r="L117" i="28"/>
  <c r="M117" i="28"/>
  <c r="N117" i="28"/>
  <c r="C117" i="28"/>
  <c r="D118" i="28"/>
  <c r="D119" i="28" s="1"/>
  <c r="E118" i="28"/>
  <c r="E119" i="28" s="1"/>
  <c r="F118" i="28"/>
  <c r="F119" i="28" s="1"/>
  <c r="G118" i="28"/>
  <c r="G119" i="28" s="1"/>
  <c r="H118" i="28"/>
  <c r="H119" i="28" s="1"/>
  <c r="I118" i="28"/>
  <c r="I119" i="28" s="1"/>
  <c r="J118" i="28"/>
  <c r="J119" i="28" s="1"/>
  <c r="K118" i="28"/>
  <c r="K119" i="28" s="1"/>
  <c r="L118" i="28"/>
  <c r="L119" i="28" s="1"/>
  <c r="M118" i="28"/>
  <c r="M119" i="28" s="1"/>
  <c r="N118" i="28"/>
  <c r="N119" i="28" s="1"/>
  <c r="C118" i="28"/>
  <c r="C119" i="28" s="1"/>
  <c r="E39" i="11"/>
  <c r="F39" i="11"/>
  <c r="E40" i="11"/>
  <c r="F40" i="11"/>
  <c r="E41" i="11"/>
  <c r="F41" i="11"/>
  <c r="E42" i="11"/>
  <c r="F42" i="11"/>
  <c r="E43" i="11"/>
  <c r="F43" i="11"/>
  <c r="E44" i="11"/>
  <c r="F44" i="11"/>
  <c r="E45" i="11"/>
  <c r="F45" i="11"/>
  <c r="E46" i="11"/>
  <c r="F46" i="11"/>
  <c r="E47" i="11"/>
  <c r="F47" i="11"/>
  <c r="E48" i="11"/>
  <c r="F48" i="11"/>
  <c r="E49" i="11"/>
  <c r="F49" i="11"/>
  <c r="E50" i="11"/>
  <c r="F50" i="11"/>
  <c r="E51" i="11"/>
  <c r="F51" i="11"/>
  <c r="E52" i="11"/>
  <c r="F52" i="11"/>
  <c r="E53" i="11"/>
  <c r="F53" i="11"/>
  <c r="E54" i="11"/>
  <c r="F54" i="11"/>
  <c r="E55" i="11"/>
  <c r="F55" i="11"/>
  <c r="E56" i="11"/>
  <c r="F56" i="11"/>
  <c r="E57" i="11"/>
  <c r="F57" i="11"/>
  <c r="E58" i="11"/>
  <c r="F58" i="11"/>
  <c r="E59" i="11"/>
  <c r="F59" i="11"/>
  <c r="E60" i="11"/>
  <c r="F60" i="11"/>
  <c r="E61" i="11"/>
  <c r="F61" i="11"/>
  <c r="E62" i="11"/>
  <c r="F62" i="11"/>
  <c r="E63" i="11"/>
  <c r="F63" i="11"/>
  <c r="E64" i="11"/>
  <c r="F64" i="11"/>
  <c r="E65" i="11"/>
  <c r="F65" i="11"/>
  <c r="E66" i="11"/>
  <c r="F66" i="11"/>
  <c r="E67" i="11"/>
  <c r="F67" i="11"/>
  <c r="E68" i="11"/>
  <c r="F68" i="11"/>
  <c r="E69" i="11"/>
  <c r="F69" i="11"/>
  <c r="E70" i="11"/>
  <c r="F70" i="11"/>
  <c r="E71" i="11"/>
  <c r="F71" i="11"/>
  <c r="E72" i="11"/>
  <c r="F72" i="11"/>
  <c r="E73" i="11"/>
  <c r="F73" i="11"/>
  <c r="E74" i="11"/>
  <c r="F74" i="11"/>
  <c r="E75" i="11"/>
  <c r="F75" i="11"/>
  <c r="E76" i="11"/>
  <c r="F76" i="11"/>
  <c r="E77" i="11"/>
  <c r="F77" i="11"/>
  <c r="E78" i="11"/>
  <c r="F78" i="11"/>
  <c r="E79" i="11"/>
  <c r="F79" i="11"/>
  <c r="E80" i="11"/>
  <c r="F80" i="11"/>
  <c r="E81" i="11"/>
  <c r="F81" i="11"/>
  <c r="E82" i="11"/>
  <c r="F82" i="11"/>
  <c r="E83" i="11"/>
  <c r="F83" i="11"/>
  <c r="E84" i="11"/>
  <c r="F84" i="11"/>
  <c r="E85" i="11"/>
  <c r="F85" i="11"/>
  <c r="E86" i="11"/>
  <c r="F86" i="11"/>
  <c r="E87" i="11"/>
  <c r="F87" i="11"/>
  <c r="E88" i="11"/>
  <c r="F88" i="11"/>
  <c r="E89" i="11"/>
  <c r="F89" i="11"/>
  <c r="E90" i="11"/>
  <c r="F90" i="11"/>
  <c r="E91" i="11"/>
  <c r="F91" i="11"/>
  <c r="E92" i="11"/>
  <c r="F92" i="11"/>
  <c r="E93" i="11"/>
  <c r="F93" i="11"/>
  <c r="E94" i="11"/>
  <c r="F94" i="11"/>
  <c r="E95" i="11"/>
  <c r="F95" i="11"/>
  <c r="E96" i="11"/>
  <c r="F96" i="11"/>
  <c r="E97" i="11"/>
  <c r="F97" i="11"/>
  <c r="E98" i="11"/>
  <c r="F98" i="11"/>
  <c r="E99" i="11"/>
  <c r="F99" i="11"/>
  <c r="E100" i="11"/>
  <c r="F100" i="11"/>
  <c r="E101" i="11"/>
  <c r="F101" i="11"/>
  <c r="E102" i="11"/>
  <c r="F102" i="11"/>
  <c r="E103" i="11"/>
  <c r="F103" i="11"/>
  <c r="E104" i="11"/>
  <c r="F104" i="11"/>
  <c r="E105" i="11"/>
  <c r="F105" i="11"/>
  <c r="E106" i="11"/>
  <c r="F106" i="11"/>
  <c r="E107" i="11"/>
  <c r="F107" i="11"/>
  <c r="E108" i="11"/>
  <c r="F108" i="11"/>
  <c r="E109" i="11"/>
  <c r="F109" i="11"/>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C2" i="11"/>
  <c r="D2" i="11"/>
  <c r="C3" i="11"/>
  <c r="D3" i="11"/>
  <c r="C4" i="11"/>
  <c r="D4" i="11"/>
  <c r="C5" i="11"/>
  <c r="D5" i="11"/>
  <c r="C6" i="11"/>
  <c r="D6" i="11"/>
  <c r="C7" i="11"/>
  <c r="D7" i="11"/>
  <c r="C8" i="11"/>
  <c r="D8" i="11"/>
  <c r="C9" i="11"/>
  <c r="D9" i="11"/>
  <c r="C10" i="11"/>
  <c r="D10" i="11"/>
  <c r="C11" i="11"/>
  <c r="D11" i="11"/>
  <c r="C12" i="11"/>
  <c r="D12" i="11"/>
  <c r="C13" i="11"/>
  <c r="D13" i="11"/>
  <c r="C14" i="11"/>
  <c r="D14" i="11"/>
  <c r="C15" i="11"/>
  <c r="D15" i="11"/>
  <c r="C16" i="11"/>
  <c r="D16" i="11"/>
  <c r="C17" i="11"/>
  <c r="D17" i="11"/>
  <c r="C18" i="11"/>
  <c r="D18" i="11"/>
  <c r="C19" i="11"/>
  <c r="D19" i="11"/>
  <c r="C20" i="11"/>
  <c r="D20" i="11"/>
  <c r="C21" i="11"/>
  <c r="D21" i="11"/>
  <c r="C22" i="11"/>
  <c r="D22" i="11"/>
  <c r="C23" i="11"/>
  <c r="D23" i="11"/>
  <c r="C24" i="11"/>
  <c r="D24" i="11"/>
  <c r="C25" i="11"/>
  <c r="D25" i="11"/>
  <c r="C26" i="11"/>
  <c r="D26" i="11"/>
  <c r="C27" i="11"/>
  <c r="D27" i="11"/>
  <c r="C28" i="11"/>
  <c r="D28" i="11"/>
  <c r="C29" i="11"/>
  <c r="D29" i="11"/>
  <c r="C30" i="11"/>
  <c r="D30" i="11"/>
  <c r="C31" i="11"/>
  <c r="D31" i="11"/>
  <c r="C32" i="11"/>
  <c r="D32" i="11"/>
  <c r="C33" i="11"/>
  <c r="D33" i="11"/>
  <c r="C34" i="11"/>
  <c r="D34" i="11"/>
  <c r="C35" i="11"/>
  <c r="D35" i="11"/>
  <c r="C36" i="11"/>
  <c r="D36" i="11"/>
  <c r="C37" i="11"/>
  <c r="D37" i="11"/>
  <c r="C38" i="11"/>
  <c r="D38" i="11"/>
  <c r="C39" i="11"/>
  <c r="D39" i="11"/>
  <c r="C40" i="11"/>
  <c r="D40" i="11"/>
  <c r="C41" i="11"/>
  <c r="D41" i="11"/>
  <c r="C42" i="11"/>
  <c r="D42" i="11"/>
  <c r="C43" i="11"/>
  <c r="D43" i="11"/>
  <c r="C44" i="11"/>
  <c r="D44" i="11"/>
  <c r="C45" i="11"/>
  <c r="D45" i="11"/>
  <c r="C46" i="11"/>
  <c r="D46" i="11"/>
  <c r="C47" i="11"/>
  <c r="D47" i="11"/>
  <c r="C48" i="11"/>
  <c r="D48" i="11"/>
  <c r="C49" i="11"/>
  <c r="D49" i="11"/>
  <c r="C50" i="11"/>
  <c r="D50" i="11"/>
  <c r="C51" i="11"/>
  <c r="D51" i="11"/>
  <c r="C52" i="11"/>
  <c r="D52" i="11"/>
  <c r="C53" i="11"/>
  <c r="D53" i="11"/>
  <c r="C54" i="11"/>
  <c r="D54" i="11"/>
  <c r="C55" i="11"/>
  <c r="D55" i="11"/>
  <c r="C56" i="11"/>
  <c r="D56" i="11"/>
  <c r="C57" i="11"/>
  <c r="D57" i="11"/>
  <c r="C58" i="11"/>
  <c r="D58" i="11"/>
  <c r="C59" i="11"/>
  <c r="D59" i="11"/>
  <c r="C60" i="11"/>
  <c r="D60" i="11"/>
  <c r="C61" i="11"/>
  <c r="D61" i="11"/>
  <c r="C62" i="11"/>
  <c r="D62" i="11"/>
  <c r="C63" i="11"/>
  <c r="D63" i="11"/>
  <c r="C64" i="11"/>
  <c r="D64" i="11"/>
  <c r="C65" i="11"/>
  <c r="D65" i="11"/>
  <c r="C66" i="11"/>
  <c r="D66" i="11"/>
  <c r="C67" i="11"/>
  <c r="D67" i="11"/>
  <c r="C68" i="11"/>
  <c r="D68" i="11"/>
  <c r="C69" i="11"/>
  <c r="D69" i="11"/>
  <c r="C70" i="11"/>
  <c r="D70" i="11"/>
  <c r="C71" i="11"/>
  <c r="D71" i="11"/>
  <c r="C72" i="11"/>
  <c r="D72" i="11"/>
  <c r="C73" i="11"/>
  <c r="D73" i="11"/>
  <c r="C74" i="11"/>
  <c r="D74" i="11"/>
  <c r="C75" i="11"/>
  <c r="D75" i="11"/>
  <c r="C76" i="11"/>
  <c r="D76" i="11"/>
  <c r="C77" i="11"/>
  <c r="D77" i="11"/>
  <c r="C78" i="11"/>
  <c r="D78" i="11"/>
  <c r="C79" i="11"/>
  <c r="D79" i="11"/>
  <c r="C80" i="11"/>
  <c r="D80" i="11"/>
  <c r="C81" i="11"/>
  <c r="D81" i="11"/>
  <c r="C82" i="11"/>
  <c r="D82" i="11"/>
  <c r="C83" i="11"/>
  <c r="D83" i="11"/>
  <c r="C84" i="11"/>
  <c r="D84" i="11"/>
  <c r="C85" i="11"/>
  <c r="D85" i="11"/>
  <c r="C86" i="11"/>
  <c r="D86" i="11"/>
  <c r="C87" i="11"/>
  <c r="D87" i="11"/>
  <c r="C88" i="11"/>
  <c r="D88" i="11"/>
  <c r="C89" i="11"/>
  <c r="D89" i="11"/>
  <c r="C90" i="11"/>
  <c r="D90" i="11"/>
  <c r="C91" i="11"/>
  <c r="D91" i="11"/>
  <c r="C92" i="11"/>
  <c r="D92" i="11"/>
  <c r="C93" i="11"/>
  <c r="D93" i="11"/>
  <c r="C94" i="11"/>
  <c r="D94" i="11"/>
  <c r="C95" i="11"/>
  <c r="D95" i="11"/>
  <c r="C96" i="11"/>
  <c r="D96" i="11"/>
  <c r="C97" i="11"/>
  <c r="D97" i="11"/>
  <c r="C98" i="11"/>
  <c r="D98" i="11"/>
  <c r="C99" i="11"/>
  <c r="D99" i="11"/>
  <c r="C100" i="11"/>
  <c r="D100" i="11"/>
  <c r="C101" i="11"/>
  <c r="D101" i="11"/>
  <c r="C102" i="11"/>
  <c r="D102" i="11"/>
  <c r="C103" i="11"/>
  <c r="D103" i="11"/>
  <c r="C104" i="11"/>
  <c r="D104" i="11"/>
  <c r="C105" i="11"/>
  <c r="D105" i="11"/>
  <c r="C106" i="11"/>
  <c r="D106" i="11"/>
  <c r="C107" i="11"/>
  <c r="D107" i="11"/>
  <c r="C108" i="11"/>
  <c r="D108" i="11"/>
  <c r="C109" i="11"/>
  <c r="D109" i="11"/>
  <c r="C3" i="2"/>
  <c r="D3" i="2"/>
  <c r="C4" i="2"/>
  <c r="D4" i="2"/>
  <c r="C5" i="2"/>
  <c r="D5" i="2"/>
  <c r="C6" i="2"/>
  <c r="D6" i="2"/>
  <c r="C7" i="2"/>
  <c r="D7" i="2"/>
  <c r="C8" i="2"/>
  <c r="D8" i="2"/>
  <c r="C9" i="2"/>
  <c r="D9" i="2"/>
  <c r="C10" i="2"/>
  <c r="D10" i="2"/>
  <c r="C11" i="2"/>
  <c r="D11" i="2"/>
  <c r="C12" i="2"/>
  <c r="D12" i="2"/>
  <c r="C13" i="2"/>
  <c r="D13" i="2"/>
  <c r="C14" i="2"/>
  <c r="D14" i="2"/>
  <c r="C15" i="2"/>
  <c r="D15" i="2"/>
  <c r="C16" i="2"/>
  <c r="D16" i="2"/>
  <c r="C17" i="2"/>
  <c r="D17" i="2"/>
  <c r="C18" i="2"/>
  <c r="D18" i="2"/>
  <c r="C19" i="2"/>
  <c r="D19" i="2"/>
  <c r="C20" i="2"/>
  <c r="D20" i="2"/>
  <c r="C21" i="2"/>
  <c r="D21" i="2"/>
  <c r="C22" i="2"/>
  <c r="D22" i="2"/>
  <c r="C23" i="2"/>
  <c r="D23" i="2"/>
  <c r="C24" i="2"/>
  <c r="D24" i="2"/>
  <c r="C25" i="2"/>
  <c r="D25" i="2"/>
  <c r="C26" i="2"/>
  <c r="D26" i="2"/>
  <c r="C27" i="2"/>
  <c r="D27" i="2"/>
  <c r="C28" i="2"/>
  <c r="D28" i="2"/>
  <c r="C29" i="2"/>
  <c r="D29" i="2"/>
  <c r="C30" i="2"/>
  <c r="D30" i="2"/>
  <c r="C31" i="2"/>
  <c r="D31" i="2"/>
  <c r="C32" i="2"/>
  <c r="D32" i="2"/>
  <c r="C33" i="2"/>
  <c r="D33" i="2"/>
  <c r="C34" i="2"/>
  <c r="D34" i="2"/>
  <c r="C35" i="2"/>
  <c r="D35" i="2"/>
  <c r="C36" i="2"/>
  <c r="D36" i="2"/>
  <c r="C37" i="2"/>
  <c r="D37" i="2"/>
  <c r="C38" i="2"/>
  <c r="D38" i="2"/>
  <c r="C39" i="2"/>
  <c r="D39" i="2"/>
  <c r="C40" i="2"/>
  <c r="D40" i="2"/>
  <c r="C41" i="2"/>
  <c r="D41" i="2"/>
  <c r="C42" i="2"/>
  <c r="D42" i="2"/>
  <c r="C43" i="2"/>
  <c r="D43" i="2"/>
  <c r="C44" i="2"/>
  <c r="D44" i="2"/>
  <c r="C45" i="2"/>
  <c r="D45" i="2"/>
  <c r="C46" i="2"/>
  <c r="D46" i="2"/>
  <c r="C47" i="2"/>
  <c r="D47" i="2"/>
  <c r="C48" i="2"/>
  <c r="D48" i="2"/>
  <c r="C49" i="2"/>
  <c r="D49" i="2"/>
  <c r="C50" i="2"/>
  <c r="D50" i="2"/>
  <c r="C51" i="2"/>
  <c r="D51" i="2"/>
  <c r="C52" i="2"/>
  <c r="D52" i="2"/>
  <c r="C53" i="2"/>
  <c r="D53" i="2"/>
  <c r="C54" i="2"/>
  <c r="D54" i="2"/>
  <c r="C55" i="2"/>
  <c r="D55" i="2"/>
  <c r="C56" i="2"/>
  <c r="D56" i="2"/>
  <c r="C57" i="2"/>
  <c r="D57" i="2"/>
  <c r="C58" i="2"/>
  <c r="D58" i="2"/>
  <c r="C59" i="2"/>
  <c r="D59" i="2"/>
  <c r="C60" i="2"/>
  <c r="D60" i="2"/>
  <c r="C61" i="2"/>
  <c r="D61" i="2"/>
  <c r="C62" i="2"/>
  <c r="D62" i="2"/>
  <c r="C63" i="2"/>
  <c r="D63" i="2"/>
  <c r="C64" i="2"/>
  <c r="D64" i="2"/>
  <c r="C65" i="2"/>
  <c r="D65" i="2"/>
  <c r="C66" i="2"/>
  <c r="D66" i="2"/>
  <c r="C67" i="2"/>
  <c r="D67" i="2"/>
  <c r="C68" i="2"/>
  <c r="D68" i="2"/>
  <c r="C69" i="2"/>
  <c r="D69" i="2"/>
  <c r="C70" i="2"/>
  <c r="D70" i="2"/>
  <c r="C71" i="2"/>
  <c r="D71" i="2"/>
  <c r="C72" i="2"/>
  <c r="D72" i="2"/>
  <c r="C73" i="2"/>
  <c r="D73" i="2"/>
  <c r="C74" i="2"/>
  <c r="D74" i="2"/>
  <c r="C75" i="2"/>
  <c r="D75" i="2"/>
  <c r="C76" i="2"/>
  <c r="D76" i="2"/>
  <c r="C77" i="2"/>
  <c r="D77" i="2"/>
  <c r="C78" i="2"/>
  <c r="D78" i="2"/>
  <c r="C79" i="2"/>
  <c r="D79" i="2"/>
  <c r="C80" i="2"/>
  <c r="D80" i="2"/>
  <c r="C81" i="2"/>
  <c r="D81" i="2"/>
  <c r="C82" i="2"/>
  <c r="D82" i="2"/>
  <c r="C83" i="2"/>
  <c r="D83" i="2"/>
  <c r="C84" i="2"/>
  <c r="D84" i="2"/>
  <c r="C85" i="2"/>
  <c r="D85" i="2"/>
  <c r="C86" i="2"/>
  <c r="D86" i="2"/>
  <c r="C87" i="2"/>
  <c r="D87" i="2"/>
  <c r="C88" i="2"/>
  <c r="D88" i="2"/>
  <c r="C89" i="2"/>
  <c r="D89" i="2"/>
  <c r="C90" i="2"/>
  <c r="D90" i="2"/>
  <c r="C91" i="2"/>
  <c r="D91" i="2"/>
  <c r="C92" i="2"/>
  <c r="D92" i="2"/>
  <c r="C93" i="2"/>
  <c r="D93" i="2"/>
  <c r="C94" i="2"/>
  <c r="D94" i="2"/>
  <c r="C95" i="2"/>
  <c r="D95" i="2"/>
  <c r="C96" i="2"/>
  <c r="D96" i="2"/>
  <c r="C97" i="2"/>
  <c r="D97" i="2"/>
  <c r="C98" i="2"/>
  <c r="D98" i="2"/>
  <c r="C99" i="2"/>
  <c r="D99" i="2"/>
  <c r="C100" i="2"/>
  <c r="D100" i="2"/>
  <c r="C101" i="2"/>
  <c r="D101" i="2"/>
  <c r="C102" i="2"/>
  <c r="D102" i="2"/>
  <c r="C103" i="2"/>
  <c r="D103" i="2"/>
  <c r="C104" i="2"/>
  <c r="D104" i="2"/>
  <c r="C105" i="2"/>
  <c r="D105" i="2"/>
  <c r="C106" i="2"/>
  <c r="D106" i="2"/>
  <c r="C107" i="2"/>
  <c r="D107" i="2"/>
  <c r="C108" i="2"/>
  <c r="D108" i="2"/>
  <c r="C109" i="2"/>
  <c r="D109" i="2"/>
  <c r="D2" i="2"/>
  <c r="C2" i="2"/>
  <c r="D2" i="22" a="1"/>
  <c r="C2" i="22" a="1"/>
  <c r="D2" i="18" a="1"/>
  <c r="C2" i="18" a="1"/>
  <c r="B3" i="20"/>
  <c r="B4" i="20"/>
  <c r="B5"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B68" i="20"/>
  <c r="B69" i="20"/>
  <c r="B70" i="20"/>
  <c r="B71" i="20"/>
  <c r="B72" i="20"/>
  <c r="B73" i="20"/>
  <c r="B74" i="20"/>
  <c r="B75" i="20"/>
  <c r="B76" i="20"/>
  <c r="B77" i="20"/>
  <c r="B78" i="20"/>
  <c r="B79" i="20"/>
  <c r="B80" i="20"/>
  <c r="B81" i="20"/>
  <c r="B82" i="20"/>
  <c r="B83" i="20"/>
  <c r="B84" i="20"/>
  <c r="B85" i="20"/>
  <c r="B86" i="20"/>
  <c r="B87" i="20"/>
  <c r="B88" i="20"/>
  <c r="B89" i="20"/>
  <c r="B90" i="20"/>
  <c r="B91" i="20"/>
  <c r="B92" i="20"/>
  <c r="B93" i="20"/>
  <c r="B94" i="20"/>
  <c r="B95" i="20"/>
  <c r="B96" i="20"/>
  <c r="B97" i="20"/>
  <c r="B98" i="20"/>
  <c r="B99" i="20"/>
  <c r="B100" i="20"/>
  <c r="B101" i="20"/>
  <c r="B102" i="20"/>
  <c r="B103" i="20"/>
  <c r="B104" i="20"/>
  <c r="B105" i="20"/>
  <c r="B106" i="20"/>
  <c r="B107" i="20"/>
  <c r="B108" i="20"/>
  <c r="B109" i="20"/>
  <c r="B110" i="20"/>
  <c r="B111" i="20"/>
  <c r="B112" i="20"/>
  <c r="B113" i="20"/>
  <c r="B114" i="20"/>
  <c r="B115" i="20"/>
  <c r="B116" i="20"/>
  <c r="B117" i="20"/>
  <c r="B118" i="20"/>
  <c r="B119" i="20"/>
  <c r="B120" i="20"/>
  <c r="B121" i="20"/>
  <c r="B122" i="20"/>
  <c r="B123" i="20"/>
  <c r="B124" i="20"/>
  <c r="B125" i="20"/>
  <c r="B126" i="20"/>
  <c r="B127" i="20"/>
  <c r="B128" i="20"/>
  <c r="B129" i="20"/>
  <c r="B130" i="20"/>
  <c r="B131" i="20"/>
  <c r="B132" i="20"/>
  <c r="B133" i="20"/>
  <c r="B134" i="20"/>
  <c r="B135" i="20"/>
  <c r="B136" i="20"/>
  <c r="B137" i="20"/>
  <c r="B138" i="20"/>
  <c r="B139" i="20"/>
  <c r="B140" i="20"/>
  <c r="B141" i="20"/>
  <c r="B142" i="20"/>
  <c r="B143" i="20"/>
  <c r="B144" i="20"/>
  <c r="B145" i="20"/>
  <c r="B146" i="20"/>
  <c r="B147" i="20"/>
  <c r="B148" i="20"/>
  <c r="B149" i="20"/>
  <c r="B150" i="20"/>
  <c r="B151" i="20"/>
  <c r="B152" i="20"/>
  <c r="B153" i="20"/>
  <c r="B154" i="20"/>
  <c r="B155" i="20"/>
  <c r="B156" i="20"/>
  <c r="B157" i="20"/>
  <c r="B158" i="20"/>
  <c r="B159" i="20"/>
  <c r="B160" i="20"/>
  <c r="B161" i="20"/>
  <c r="B162" i="20"/>
  <c r="B163" i="20"/>
  <c r="B164" i="20"/>
  <c r="B165" i="20"/>
  <c r="B166" i="20"/>
  <c r="B167" i="20"/>
  <c r="B168" i="20"/>
  <c r="B169" i="20"/>
  <c r="B170" i="20"/>
  <c r="B171" i="20"/>
  <c r="B172" i="20"/>
  <c r="B173" i="20"/>
  <c r="B174" i="20"/>
  <c r="B175" i="20"/>
  <c r="B176" i="20"/>
  <c r="B177" i="20"/>
  <c r="B178" i="20"/>
  <c r="B179" i="20"/>
  <c r="B180" i="20"/>
  <c r="B181" i="20"/>
  <c r="B182" i="20"/>
  <c r="B183" i="20"/>
  <c r="B184" i="20"/>
  <c r="B185" i="20"/>
  <c r="B186" i="20"/>
  <c r="B187" i="20"/>
  <c r="B188" i="20"/>
  <c r="B189" i="20"/>
  <c r="B190" i="20"/>
  <c r="B191" i="20"/>
  <c r="B192" i="20"/>
  <c r="B193" i="20"/>
  <c r="B194" i="20"/>
  <c r="B195" i="20"/>
  <c r="B196" i="20"/>
  <c r="B197" i="20"/>
  <c r="B198" i="20"/>
  <c r="B199" i="20"/>
  <c r="B200" i="20"/>
  <c r="B201" i="20"/>
  <c r="B202" i="20"/>
  <c r="B203" i="20"/>
  <c r="B204" i="20"/>
  <c r="B205" i="20"/>
  <c r="B206" i="20"/>
  <c r="B207" i="20"/>
  <c r="B208" i="20"/>
  <c r="B209" i="20"/>
  <c r="B210" i="20"/>
  <c r="B211" i="20"/>
  <c r="B212" i="20"/>
  <c r="B213" i="20"/>
  <c r="B214" i="20"/>
  <c r="B215" i="20"/>
  <c r="B216" i="20"/>
  <c r="B217" i="20"/>
  <c r="B218" i="20"/>
  <c r="B219" i="20"/>
  <c r="B220" i="20"/>
  <c r="B221" i="20"/>
  <c r="B222" i="20"/>
  <c r="B223" i="20"/>
  <c r="B224" i="20"/>
  <c r="B225" i="20"/>
  <c r="B226" i="20"/>
  <c r="B227" i="20"/>
  <c r="B228" i="20"/>
  <c r="B229" i="20"/>
  <c r="B230" i="20"/>
  <c r="B231" i="20"/>
  <c r="B232" i="20"/>
  <c r="B233" i="20"/>
  <c r="B234" i="20"/>
  <c r="B235" i="20"/>
  <c r="B236" i="20"/>
  <c r="B237" i="20"/>
  <c r="B238" i="20"/>
  <c r="B239" i="20"/>
  <c r="B240" i="20"/>
  <c r="B241" i="20"/>
  <c r="B242" i="20"/>
  <c r="B243" i="20"/>
  <c r="B244" i="20"/>
  <c r="B245" i="20"/>
  <c r="B246" i="20"/>
  <c r="B247" i="20"/>
  <c r="B248" i="20"/>
  <c r="B249" i="20"/>
  <c r="B250" i="20"/>
  <c r="B251" i="20"/>
  <c r="B252" i="20"/>
  <c r="B253" i="20"/>
  <c r="B254" i="20"/>
  <c r="B255" i="20"/>
  <c r="B256" i="20"/>
  <c r="B257" i="20"/>
  <c r="B258" i="20"/>
  <c r="B259" i="20"/>
  <c r="B260" i="20"/>
  <c r="B261" i="20"/>
  <c r="B262" i="20"/>
  <c r="B263" i="20"/>
  <c r="B264" i="20"/>
  <c r="B265" i="20"/>
  <c r="B266" i="20"/>
  <c r="B267" i="20"/>
  <c r="B268" i="20"/>
  <c r="B269" i="20"/>
  <c r="B270" i="20"/>
  <c r="B271" i="20"/>
  <c r="B272" i="20"/>
  <c r="B273" i="20"/>
  <c r="B274" i="20"/>
  <c r="B275" i="20"/>
  <c r="B276" i="20"/>
  <c r="B277" i="20"/>
  <c r="B278" i="20"/>
  <c r="B279" i="20"/>
  <c r="B280" i="20"/>
  <c r="B281" i="20"/>
  <c r="B282" i="20"/>
  <c r="B283" i="20"/>
  <c r="B284" i="20"/>
  <c r="B285" i="20"/>
  <c r="B286" i="20"/>
  <c r="B287" i="20"/>
  <c r="B288" i="20"/>
  <c r="B289" i="20"/>
  <c r="B290" i="20"/>
  <c r="B291" i="20"/>
  <c r="B292" i="20"/>
  <c r="B293" i="20"/>
  <c r="B294" i="20"/>
  <c r="B295" i="20"/>
  <c r="B296" i="20"/>
  <c r="B297" i="20"/>
  <c r="B298" i="20"/>
  <c r="B299" i="20"/>
  <c r="B300" i="20"/>
  <c r="B301" i="20"/>
  <c r="B302" i="20"/>
  <c r="B303" i="20"/>
  <c r="B304" i="20"/>
  <c r="B305" i="20"/>
  <c r="B306" i="20"/>
  <c r="B307" i="20"/>
  <c r="B308" i="20"/>
  <c r="B309" i="20"/>
  <c r="B310" i="20"/>
  <c r="B311" i="20"/>
  <c r="B312" i="20"/>
  <c r="B313" i="20"/>
  <c r="B314" i="20"/>
  <c r="B315" i="20"/>
  <c r="B316" i="20"/>
  <c r="B317" i="20"/>
  <c r="B318" i="20"/>
  <c r="B319" i="20"/>
  <c r="B320" i="20"/>
  <c r="B321" i="20"/>
  <c r="B322" i="20"/>
  <c r="B323" i="20"/>
  <c r="B324" i="20"/>
  <c r="B325" i="20"/>
  <c r="B326" i="20"/>
  <c r="B327" i="20"/>
  <c r="B328" i="20"/>
  <c r="B329" i="20"/>
  <c r="B330" i="20"/>
  <c r="B331" i="20"/>
  <c r="B332" i="20"/>
  <c r="B333" i="20"/>
  <c r="B334" i="20"/>
  <c r="B335" i="20"/>
  <c r="B336" i="20"/>
  <c r="B337" i="20"/>
  <c r="B338" i="20"/>
  <c r="B339" i="20"/>
  <c r="B340" i="20"/>
  <c r="B341" i="20"/>
  <c r="B342" i="20"/>
  <c r="B343" i="20"/>
  <c r="B344" i="20"/>
  <c r="B345" i="20"/>
  <c r="B346" i="20"/>
  <c r="B347" i="20"/>
  <c r="B348" i="20"/>
  <c r="B349" i="20"/>
  <c r="B350" i="20"/>
  <c r="B351" i="20"/>
  <c r="B352" i="20"/>
  <c r="B2" i="20"/>
  <c r="B50" i="13"/>
  <c r="B47" i="13"/>
  <c r="B42" i="13"/>
  <c r="B36" i="13"/>
  <c r="L3" i="13" l="1"/>
  <c r="AG3" i="13" l="1" a="1"/>
  <c r="AF3" i="13" a="1"/>
  <c r="BH3" i="13"/>
  <c r="L4" i="13"/>
  <c r="AR3" i="13"/>
  <c r="B26" i="13" s="1"/>
  <c r="BB3" i="13"/>
  <c r="T3" i="13"/>
  <c r="U3" i="13" s="1"/>
  <c r="AC3" i="13" a="1"/>
  <c r="BJ3" i="13" s="1"/>
  <c r="AD3" i="13" a="1"/>
  <c r="BK3" i="13" s="1"/>
  <c r="R3" i="13"/>
  <c r="V3" i="13" l="1"/>
  <c r="BC3" i="13"/>
  <c r="BI3" i="13"/>
  <c r="W3" i="13"/>
  <c r="AV3" i="13"/>
  <c r="BN3" i="13"/>
  <c r="L5" i="13"/>
  <c r="AF4" i="13" a="1"/>
  <c r="AG4" i="13" a="1"/>
  <c r="BL3" i="13"/>
  <c r="AR4" i="13"/>
  <c r="AV4" i="13" s="1"/>
  <c r="BH4" i="13"/>
  <c r="AU3" i="13"/>
  <c r="AS3" i="13"/>
  <c r="BB4" i="13"/>
  <c r="T4" i="13"/>
  <c r="AC4" i="13" a="1"/>
  <c r="BJ4" i="13" s="1"/>
  <c r="AD4" i="13" a="1"/>
  <c r="BK4" i="13" s="1"/>
  <c r="U4" i="13"/>
  <c r="R4" i="13"/>
  <c r="X3" i="13" l="1"/>
  <c r="BI4" i="13"/>
  <c r="W4" i="13"/>
  <c r="AW3" i="13"/>
  <c r="BD3" i="13"/>
  <c r="AW4" i="13"/>
  <c r="AS4" i="13"/>
  <c r="AT3" i="13"/>
  <c r="BH5" i="13"/>
  <c r="AU4" i="13"/>
  <c r="BN4" i="13"/>
  <c r="AG5" i="13" a="1"/>
  <c r="AF5" i="13" a="1"/>
  <c r="L6" i="13"/>
  <c r="BL4" i="13"/>
  <c r="BE3" i="13"/>
  <c r="AR5" i="13"/>
  <c r="AV5" i="13" s="1"/>
  <c r="BB5" i="13"/>
  <c r="T5" i="13"/>
  <c r="V4" i="13"/>
  <c r="AC5" i="13" a="1"/>
  <c r="BJ5" i="13" s="1"/>
  <c r="R5" i="13"/>
  <c r="AD5" i="13" a="1"/>
  <c r="BK5" i="13" s="1"/>
  <c r="U5" i="13"/>
  <c r="AY3" i="13"/>
  <c r="BI5" i="13" l="1"/>
  <c r="W5" i="13"/>
  <c r="AX3" i="13"/>
  <c r="N3" i="13" s="1"/>
  <c r="BG3" i="13"/>
  <c r="AW5" i="13"/>
  <c r="AX4" i="13"/>
  <c r="AU5" i="13"/>
  <c r="BN5" i="13"/>
  <c r="AG6" i="13" a="1"/>
  <c r="AF6" i="13" a="1"/>
  <c r="L7" i="13"/>
  <c r="BL5" i="13"/>
  <c r="AR6" i="13"/>
  <c r="AV6" i="13" s="1"/>
  <c r="BH6" i="13"/>
  <c r="AS5" i="13"/>
  <c r="BA3" i="13"/>
  <c r="AZ3" i="13"/>
  <c r="BF3" i="13"/>
  <c r="BC4" i="13" s="1"/>
  <c r="BB6" i="13"/>
  <c r="T6" i="13"/>
  <c r="AD6" i="13" a="1"/>
  <c r="BK6" i="13" s="1"/>
  <c r="AC6" i="13" a="1"/>
  <c r="BJ6" i="13" s="1"/>
  <c r="R6" i="13"/>
  <c r="V5" i="13"/>
  <c r="U6" i="13"/>
  <c r="AY4" i="13"/>
  <c r="X4" i="13"/>
  <c r="X5" i="13" l="1"/>
  <c r="BI6" i="13"/>
  <c r="W6" i="13"/>
  <c r="BO3" i="13"/>
  <c r="Y3" i="13"/>
  <c r="AW6" i="13"/>
  <c r="AX5" i="13"/>
  <c r="BO4" i="13"/>
  <c r="AU6" i="13"/>
  <c r="BN6" i="13"/>
  <c r="AG7" i="13" a="1"/>
  <c r="AF7" i="13" a="1"/>
  <c r="L8" i="13"/>
  <c r="BL6" i="13"/>
  <c r="AR7" i="13"/>
  <c r="AV7" i="13" s="1"/>
  <c r="BH7" i="13"/>
  <c r="AS6" i="13"/>
  <c r="BD4" i="13"/>
  <c r="BG4" i="13" s="1"/>
  <c r="BE4" i="13"/>
  <c r="P3" i="13"/>
  <c r="AD7" i="13" a="1"/>
  <c r="BK7" i="13" s="1"/>
  <c r="R7" i="13"/>
  <c r="T7" i="13"/>
  <c r="U7" i="13" s="1"/>
  <c r="AZ4" i="13"/>
  <c r="BA4" i="13"/>
  <c r="AC7" i="13" a="1"/>
  <c r="BJ7" i="13" s="1"/>
  <c r="BB7" i="13"/>
  <c r="V6" i="13"/>
  <c r="AY6" i="13" s="1"/>
  <c r="AY5" i="13"/>
  <c r="BI7" i="13" l="1"/>
  <c r="W7" i="13"/>
  <c r="Y4" i="13"/>
  <c r="Z3" i="13"/>
  <c r="AA3" i="13" s="1" a="1"/>
  <c r="AE3" i="13" s="1"/>
  <c r="BM3" i="13" s="1"/>
  <c r="AX6" i="13"/>
  <c r="AW7" i="13"/>
  <c r="BO5" i="13"/>
  <c r="AU7" i="13"/>
  <c r="BN7" i="13"/>
  <c r="AG8" i="13" a="1"/>
  <c r="AF8" i="13" a="1"/>
  <c r="L9" i="13"/>
  <c r="BL7" i="13"/>
  <c r="AR8" i="13"/>
  <c r="AV8" i="13" s="1"/>
  <c r="BH8" i="13"/>
  <c r="BF4" i="13"/>
  <c r="BC5" i="13" s="1"/>
  <c r="BD5" i="13" s="1"/>
  <c r="BG5" i="13" s="1"/>
  <c r="AS7" i="13"/>
  <c r="V7" i="13"/>
  <c r="AY7" i="13" s="1"/>
  <c r="BB8" i="13"/>
  <c r="T8" i="13"/>
  <c r="R8" i="13"/>
  <c r="AZ5" i="13"/>
  <c r="BA5" i="13"/>
  <c r="AC8" i="13" a="1"/>
  <c r="BJ8" i="13" s="1"/>
  <c r="BA6" i="13"/>
  <c r="AD8" i="13" a="1"/>
  <c r="BK8" i="13" s="1"/>
  <c r="AZ6" i="13"/>
  <c r="U8" i="13"/>
  <c r="U9" i="13" s="1"/>
  <c r="P4" i="13"/>
  <c r="X6" i="13"/>
  <c r="N4" i="13"/>
  <c r="BI8" i="13" l="1"/>
  <c r="W8" i="13"/>
  <c r="Y5" i="13"/>
  <c r="Z4" i="13"/>
  <c r="AA4" i="13" s="1" a="1"/>
  <c r="AJ3" i="13"/>
  <c r="AL3" i="13" s="1"/>
  <c r="AH3" i="13"/>
  <c r="AM3" i="13"/>
  <c r="AB3" i="13"/>
  <c r="AX7" i="13"/>
  <c r="AW8" i="13"/>
  <c r="BN8" i="13"/>
  <c r="BO6" i="13"/>
  <c r="AG9" i="13" a="1"/>
  <c r="AF9" i="13" a="1"/>
  <c r="L10" i="13"/>
  <c r="BL8" i="13"/>
  <c r="AU8" i="13"/>
  <c r="AD9" i="13" a="1"/>
  <c r="BK9" i="13" s="1"/>
  <c r="BH9" i="13"/>
  <c r="AS8" i="13"/>
  <c r="BE5" i="13"/>
  <c r="BF5" i="13" s="1"/>
  <c r="BC6" i="13" s="1"/>
  <c r="BE6" i="13" s="1"/>
  <c r="R9" i="13"/>
  <c r="V9" i="13" s="1"/>
  <c r="AC9" i="13" a="1"/>
  <c r="BJ9" i="13" s="1"/>
  <c r="AR9" i="13"/>
  <c r="AV9" i="13" s="1"/>
  <c r="X7" i="13"/>
  <c r="BB9" i="13"/>
  <c r="T9" i="13"/>
  <c r="BA7" i="13"/>
  <c r="AZ7" i="13"/>
  <c r="V8" i="13"/>
  <c r="AY8" i="13" s="1"/>
  <c r="P5" i="13"/>
  <c r="U10" i="13"/>
  <c r="N5" i="13"/>
  <c r="BI9" i="13" l="1"/>
  <c r="W9" i="13"/>
  <c r="X9" i="13" s="1"/>
  <c r="Z5" i="13"/>
  <c r="AA5" i="13" s="1" a="1"/>
  <c r="AB4" i="13"/>
  <c r="AM4" i="13" a="1"/>
  <c r="AJ4" i="13"/>
  <c r="AL4" i="13" s="1"/>
  <c r="AI3" i="13"/>
  <c r="AW9" i="13"/>
  <c r="AX8" i="13"/>
  <c r="BN9" i="13"/>
  <c r="BO7" i="13"/>
  <c r="AG10" i="13" a="1"/>
  <c r="AF10" i="13" a="1"/>
  <c r="L11" i="13"/>
  <c r="BL9" i="13"/>
  <c r="AR10" i="13"/>
  <c r="AV10" i="13" s="1"/>
  <c r="BH10" i="13"/>
  <c r="AS9" i="13"/>
  <c r="BD6" i="13"/>
  <c r="BG6" i="13" s="1"/>
  <c r="AU9" i="13"/>
  <c r="AD10" i="13" a="1"/>
  <c r="BK10" i="13" s="1"/>
  <c r="AC10" i="13" a="1"/>
  <c r="BJ10" i="13" s="1"/>
  <c r="R10" i="13"/>
  <c r="V10" i="13" s="1"/>
  <c r="BB10" i="13"/>
  <c r="T10" i="13"/>
  <c r="AZ8" i="13"/>
  <c r="BA8" i="13"/>
  <c r="X8" i="13"/>
  <c r="AY9" i="13"/>
  <c r="BI10" i="13" l="1"/>
  <c r="W10" i="13"/>
  <c r="X10" i="13" s="1"/>
  <c r="AB5" i="13"/>
  <c r="AM5" i="13" a="1"/>
  <c r="Y6" i="13"/>
  <c r="AN3" i="13"/>
  <c r="AO3" i="13" s="1"/>
  <c r="AP3" i="13" s="1"/>
  <c r="M3" i="13" s="1"/>
  <c r="O3" i="13" s="1"/>
  <c r="AE4" i="13"/>
  <c r="AJ5" i="13"/>
  <c r="AL5" i="13" s="1"/>
  <c r="AK3" i="13"/>
  <c r="AX9" i="13"/>
  <c r="AW10" i="13"/>
  <c r="BO8" i="13"/>
  <c r="BN10" i="13"/>
  <c r="AG11" i="13" a="1"/>
  <c r="AF11" i="13" a="1"/>
  <c r="L12" i="13"/>
  <c r="BL10" i="13"/>
  <c r="AU10" i="13"/>
  <c r="AR11" i="13"/>
  <c r="AV11" i="13" s="1"/>
  <c r="BH11" i="13"/>
  <c r="AS10" i="13"/>
  <c r="BF6" i="13"/>
  <c r="BC7" i="13" s="1"/>
  <c r="BE7" i="13" s="1"/>
  <c r="T11" i="13"/>
  <c r="U11" i="13" s="1"/>
  <c r="U12" i="13" s="1"/>
  <c r="AD11" i="13" a="1"/>
  <c r="BK11" i="13" s="1"/>
  <c r="R11" i="13"/>
  <c r="BB11" i="13"/>
  <c r="AC11" i="13" a="1"/>
  <c r="BJ11" i="13" s="1"/>
  <c r="AZ9" i="13"/>
  <c r="BA9" i="13"/>
  <c r="P6" i="13"/>
  <c r="AY10" i="13"/>
  <c r="N6" i="13"/>
  <c r="BI11" i="13" l="1"/>
  <c r="W11" i="13"/>
  <c r="Z6" i="13"/>
  <c r="AA6" i="13" s="1" a="1"/>
  <c r="AH4" i="13"/>
  <c r="AI4" i="13" s="1"/>
  <c r="AE5" i="13" s="1"/>
  <c r="BM5" i="13" s="1"/>
  <c r="BM4" i="13"/>
  <c r="AX10" i="13"/>
  <c r="AW11" i="13"/>
  <c r="BO9" i="13"/>
  <c r="BN11" i="13"/>
  <c r="AG12" i="13" a="1"/>
  <c r="AF12" i="13" a="1"/>
  <c r="L13" i="13"/>
  <c r="BL11" i="13"/>
  <c r="AU11" i="13"/>
  <c r="AR12" i="13"/>
  <c r="AV12" i="13" s="1"/>
  <c r="BH12" i="13"/>
  <c r="BD7" i="13"/>
  <c r="BG7" i="13" s="1"/>
  <c r="AS11" i="13"/>
  <c r="T12" i="13"/>
  <c r="BB12" i="13"/>
  <c r="R12" i="13"/>
  <c r="V12" i="13" s="1"/>
  <c r="AD12" i="13" a="1"/>
  <c r="BK12" i="13" s="1"/>
  <c r="AC12" i="13" a="1"/>
  <c r="BJ12" i="13" s="1"/>
  <c r="V11" i="13"/>
  <c r="AZ10" i="13"/>
  <c r="BA10" i="13"/>
  <c r="U13" i="13"/>
  <c r="N7" i="13"/>
  <c r="X11" i="13" l="1"/>
  <c r="BI12" i="13"/>
  <c r="W12" i="13"/>
  <c r="X12" i="13" s="1"/>
  <c r="AM6" i="13" a="1"/>
  <c r="AB6" i="13"/>
  <c r="AJ6" i="13"/>
  <c r="AL6" i="13" s="1"/>
  <c r="Y7" i="13"/>
  <c r="AN4" i="13"/>
  <c r="AO4" i="13" s="1"/>
  <c r="AP4" i="13" s="1"/>
  <c r="AK4" i="13"/>
  <c r="AW12" i="13"/>
  <c r="AX11" i="13"/>
  <c r="BN12" i="13"/>
  <c r="BO10" i="13"/>
  <c r="AG13" i="13" a="1"/>
  <c r="AF13" i="13" a="1"/>
  <c r="L14" i="13"/>
  <c r="BL12" i="13"/>
  <c r="AH5" i="13"/>
  <c r="AU12" i="13"/>
  <c r="AR13" i="13"/>
  <c r="AV13" i="13" s="1"/>
  <c r="BH13" i="13"/>
  <c r="BF7" i="13"/>
  <c r="BC8" i="13" s="1"/>
  <c r="N8" i="13" s="1"/>
  <c r="AS12" i="13"/>
  <c r="AD13" i="13" a="1"/>
  <c r="BK13" i="13" s="1"/>
  <c r="AC13" i="13" a="1"/>
  <c r="BJ13" i="13" s="1"/>
  <c r="T13" i="13"/>
  <c r="BB13" i="13"/>
  <c r="R13" i="13"/>
  <c r="V13" i="13" s="1"/>
  <c r="AY11" i="13"/>
  <c r="P7" i="13"/>
  <c r="U14" i="13"/>
  <c r="AY12" i="13"/>
  <c r="BI13" i="13" l="1"/>
  <c r="W13" i="13"/>
  <c r="X13" i="13" s="1"/>
  <c r="Z7" i="13"/>
  <c r="AA7" i="13" s="1" a="1"/>
  <c r="M4" i="13"/>
  <c r="O4" i="13" s="1"/>
  <c r="AW13" i="13"/>
  <c r="AX12" i="13"/>
  <c r="BN13" i="13"/>
  <c r="BO11" i="13"/>
  <c r="AZ11" i="13"/>
  <c r="AG14" i="13" a="1"/>
  <c r="AF14" i="13" a="1"/>
  <c r="L15" i="13"/>
  <c r="BL13" i="13"/>
  <c r="AI5" i="13"/>
  <c r="AE6" i="13" s="1"/>
  <c r="BM6" i="13" s="1"/>
  <c r="AU13" i="13"/>
  <c r="AR14" i="13"/>
  <c r="AV14" i="13" s="1"/>
  <c r="BH14" i="13"/>
  <c r="BD8" i="13"/>
  <c r="BG8" i="13" s="1"/>
  <c r="Y8" i="13" s="1"/>
  <c r="BE8" i="13"/>
  <c r="AS13" i="13"/>
  <c r="AC14" i="13" a="1"/>
  <c r="BJ14" i="13" s="1"/>
  <c r="T14" i="13"/>
  <c r="BB14" i="13"/>
  <c r="R14" i="13"/>
  <c r="V14" i="13" s="1"/>
  <c r="AD14" i="13" a="1"/>
  <c r="BK14" i="13" s="1"/>
  <c r="BA11" i="13"/>
  <c r="AZ12" i="13"/>
  <c r="BA12" i="13"/>
  <c r="AY13" i="13"/>
  <c r="BI14" i="13" l="1"/>
  <c r="W14" i="13"/>
  <c r="X14" i="13" s="1"/>
  <c r="AB7" i="13"/>
  <c r="AJ7" i="13"/>
  <c r="AL7" i="13" s="1"/>
  <c r="AM7" i="13" a="1"/>
  <c r="AX13" i="13"/>
  <c r="AW14" i="13"/>
  <c r="BO12" i="13"/>
  <c r="BN14" i="13"/>
  <c r="AG15" i="13" a="1"/>
  <c r="AF15" i="13" a="1"/>
  <c r="L16" i="13"/>
  <c r="BL14" i="13"/>
  <c r="AN5" i="13"/>
  <c r="AO5" i="13" s="1"/>
  <c r="AP5" i="13" s="1"/>
  <c r="Z8" i="13"/>
  <c r="AA8" i="13" s="1" a="1"/>
  <c r="AK5" i="13"/>
  <c r="AU14" i="13"/>
  <c r="AR15" i="13"/>
  <c r="AV15" i="13" s="1"/>
  <c r="BH15" i="13"/>
  <c r="BF8" i="13"/>
  <c r="BC9" i="13" s="1"/>
  <c r="BE9" i="13" s="1"/>
  <c r="AS14" i="13"/>
  <c r="T15" i="13"/>
  <c r="U15" i="13" s="1"/>
  <c r="U16" i="13" s="1"/>
  <c r="BB15" i="13"/>
  <c r="R15" i="13"/>
  <c r="AC15" i="13" a="1"/>
  <c r="BJ15" i="13" s="1"/>
  <c r="AD15" i="13" a="1"/>
  <c r="BK15" i="13" s="1"/>
  <c r="AZ13" i="13"/>
  <c r="BA13" i="13"/>
  <c r="P8" i="13"/>
  <c r="AY14" i="13"/>
  <c r="BI15" i="13" l="1"/>
  <c r="W15" i="13"/>
  <c r="AW15" i="13"/>
  <c r="AX14" i="13"/>
  <c r="BN15" i="13"/>
  <c r="BO13" i="13"/>
  <c r="AG16" i="13" a="1"/>
  <c r="AF16" i="13" a="1"/>
  <c r="L17" i="13"/>
  <c r="BL15" i="13"/>
  <c r="AJ8" i="13"/>
  <c r="AL8" i="13" s="1"/>
  <c r="M5" i="13"/>
  <c r="O5" i="13" s="1"/>
  <c r="AH6" i="13"/>
  <c r="AM8" i="13" a="1"/>
  <c r="AB8" i="13"/>
  <c r="AU15" i="13"/>
  <c r="AR16" i="13"/>
  <c r="AV16" i="13" s="1"/>
  <c r="BH16" i="13"/>
  <c r="BD9" i="13"/>
  <c r="BG9" i="13" s="1"/>
  <c r="Y9" i="13" s="1"/>
  <c r="AS15" i="13"/>
  <c r="V15" i="13"/>
  <c r="AC16" i="13" a="1"/>
  <c r="BJ16" i="13" s="1"/>
  <c r="T16" i="13"/>
  <c r="AD16" i="13" a="1"/>
  <c r="BK16" i="13" s="1"/>
  <c r="R16" i="13"/>
  <c r="V16" i="13" s="1"/>
  <c r="BB16" i="13"/>
  <c r="AZ14" i="13"/>
  <c r="BA14" i="13"/>
  <c r="U17" i="13"/>
  <c r="N9" i="13"/>
  <c r="X15" i="13" l="1"/>
  <c r="BI16" i="13"/>
  <c r="W16" i="13"/>
  <c r="X16" i="13" s="1"/>
  <c r="AX15" i="13"/>
  <c r="AW16" i="13"/>
  <c r="BN16" i="13"/>
  <c r="BO14" i="13"/>
  <c r="AG17" i="13" a="1"/>
  <c r="AF17" i="13" a="1"/>
  <c r="L18" i="13"/>
  <c r="BL16" i="13"/>
  <c r="Z9" i="13"/>
  <c r="AA9" i="13" s="1" a="1"/>
  <c r="AI6" i="13"/>
  <c r="AE7" i="13" s="1"/>
  <c r="BM7" i="13" s="1"/>
  <c r="AU16" i="13"/>
  <c r="AR17" i="13"/>
  <c r="AV17" i="13" s="1"/>
  <c r="BH17" i="13"/>
  <c r="BF9" i="13"/>
  <c r="BC10" i="13" s="1"/>
  <c r="BD10" i="13" s="1"/>
  <c r="BG10" i="13" s="1"/>
  <c r="Y10" i="13" s="1"/>
  <c r="AY15" i="13"/>
  <c r="AS16" i="13"/>
  <c r="AC17" i="13" a="1"/>
  <c r="BJ17" i="13" s="1"/>
  <c r="T17" i="13"/>
  <c r="R17" i="13"/>
  <c r="V17" i="13" s="1"/>
  <c r="BB17" i="13"/>
  <c r="AD17" i="13" a="1"/>
  <c r="BK17" i="13" s="1"/>
  <c r="P9" i="13"/>
  <c r="U18" i="13"/>
  <c r="AY16" i="13"/>
  <c r="BI17" i="13" l="1"/>
  <c r="W17" i="13"/>
  <c r="X17" i="13" s="1"/>
  <c r="AX16" i="13"/>
  <c r="AW17" i="13"/>
  <c r="BN17" i="13"/>
  <c r="BO15" i="13"/>
  <c r="AZ15" i="13"/>
  <c r="AG18" i="13" a="1"/>
  <c r="AF18" i="13" a="1"/>
  <c r="L19" i="13"/>
  <c r="BL17" i="13"/>
  <c r="AK6" i="13"/>
  <c r="AN6" i="13"/>
  <c r="AO6" i="13" s="1"/>
  <c r="AP6" i="13" s="1"/>
  <c r="AM9" i="13" a="1"/>
  <c r="AB9" i="13"/>
  <c r="AJ9" i="13"/>
  <c r="AL9" i="13" s="1"/>
  <c r="AU17" i="13"/>
  <c r="BH18" i="13"/>
  <c r="BE10" i="13"/>
  <c r="BF10" i="13" s="1"/>
  <c r="BC11" i="13" s="1"/>
  <c r="BA15" i="13"/>
  <c r="AS17" i="13"/>
  <c r="Z10" i="13"/>
  <c r="AA10" i="13" s="1" a="1"/>
  <c r="BB18" i="13"/>
  <c r="T18" i="13"/>
  <c r="AR18" i="13"/>
  <c r="AV18" i="13" s="1"/>
  <c r="R18" i="13"/>
  <c r="V18" i="13" s="1"/>
  <c r="AY18" i="13" s="1"/>
  <c r="AD18" i="13" a="1"/>
  <c r="BK18" i="13" s="1"/>
  <c r="AC18" i="13" a="1"/>
  <c r="BJ18" i="13" s="1"/>
  <c r="AZ16" i="13"/>
  <c r="BA16" i="13"/>
  <c r="AY17" i="13"/>
  <c r="N10" i="13"/>
  <c r="BI18" i="13" l="1"/>
  <c r="W18" i="13"/>
  <c r="X18" i="13" s="1"/>
  <c r="AW18" i="13"/>
  <c r="AX17" i="13"/>
  <c r="BN18" i="13"/>
  <c r="BO16" i="13"/>
  <c r="BL18" i="13"/>
  <c r="AG19" i="13" a="1"/>
  <c r="AF19" i="13" a="1"/>
  <c r="L20" i="13"/>
  <c r="AH7" i="13"/>
  <c r="M6" i="13"/>
  <c r="O6" i="13" s="1"/>
  <c r="AM10" i="13" a="1"/>
  <c r="AB10" i="13"/>
  <c r="AJ10" i="13"/>
  <c r="AL10" i="13" s="1"/>
  <c r="AD19" i="13" a="1"/>
  <c r="BK19" i="13" s="1"/>
  <c r="BH19" i="13"/>
  <c r="AS18" i="13"/>
  <c r="BE11" i="13"/>
  <c r="BD11" i="13"/>
  <c r="BG11" i="13" s="1"/>
  <c r="Y11" i="13" s="1"/>
  <c r="AC19" i="13" a="1"/>
  <c r="BJ19" i="13" s="1"/>
  <c r="BB19" i="13"/>
  <c r="T19" i="13"/>
  <c r="U19" i="13" s="1"/>
  <c r="U20" i="13" s="1"/>
  <c r="AR19" i="13"/>
  <c r="AV19" i="13" s="1"/>
  <c r="AU18" i="13"/>
  <c r="R19" i="13"/>
  <c r="AZ17" i="13"/>
  <c r="BA17" i="13"/>
  <c r="P10" i="13"/>
  <c r="BI19" i="13" l="1"/>
  <c r="W19" i="13"/>
  <c r="AW19" i="13"/>
  <c r="AX18" i="13"/>
  <c r="BO17" i="13"/>
  <c r="AU19" i="13"/>
  <c r="BN19" i="13"/>
  <c r="AG20" i="13" a="1"/>
  <c r="AF20" i="13" a="1"/>
  <c r="L21" i="13"/>
  <c r="BH21" i="13" s="1"/>
  <c r="BL19" i="13"/>
  <c r="AI7" i="13"/>
  <c r="AE8" i="13" s="1"/>
  <c r="BM8" i="13" s="1"/>
  <c r="AR20" i="13"/>
  <c r="AV20" i="13" s="1"/>
  <c r="BH20" i="13"/>
  <c r="AS19" i="13"/>
  <c r="Z11" i="13"/>
  <c r="AA11" i="13" s="1" a="1"/>
  <c r="V19" i="13"/>
  <c r="AC20" i="13" a="1"/>
  <c r="BJ20" i="13" s="1"/>
  <c r="AD20" i="13" a="1"/>
  <c r="BK20" i="13" s="1"/>
  <c r="T20" i="13"/>
  <c r="R20" i="13"/>
  <c r="V20" i="13" s="1"/>
  <c r="BB20" i="13"/>
  <c r="AZ18" i="13"/>
  <c r="BA18" i="13"/>
  <c r="BF11" i="13"/>
  <c r="BC12" i="13" s="1"/>
  <c r="U21" i="13"/>
  <c r="N11" i="13"/>
  <c r="X19" i="13" l="1"/>
  <c r="BI21" i="13"/>
  <c r="W21" i="13"/>
  <c r="BI20" i="13"/>
  <c r="W20" i="13"/>
  <c r="X20" i="13" s="1"/>
  <c r="AX19" i="13"/>
  <c r="AW20" i="13"/>
  <c r="BO18" i="13"/>
  <c r="BN20" i="13"/>
  <c r="AG21" i="13" a="1"/>
  <c r="AF21" i="13" a="1"/>
  <c r="L22" i="13"/>
  <c r="BL20" i="13"/>
  <c r="AK7" i="13"/>
  <c r="AN7" i="13"/>
  <c r="AO7" i="13" s="1"/>
  <c r="AP7" i="13" s="1"/>
  <c r="AM11" i="13" a="1"/>
  <c r="AB11" i="13"/>
  <c r="AJ11" i="13"/>
  <c r="AL11" i="13" s="1"/>
  <c r="AU20" i="13"/>
  <c r="AR21" i="13"/>
  <c r="AV21" i="13" s="1"/>
  <c r="BB21" i="13"/>
  <c r="AS20" i="13"/>
  <c r="AY19" i="13"/>
  <c r="BE12" i="13"/>
  <c r="BD12" i="13"/>
  <c r="BG12" i="13" s="1"/>
  <c r="T21" i="13"/>
  <c r="R21" i="13"/>
  <c r="V21" i="13" s="1"/>
  <c r="AD21" i="13" a="1"/>
  <c r="BK21" i="13" s="1"/>
  <c r="AC21" i="13" a="1"/>
  <c r="BJ21" i="13" s="1"/>
  <c r="P11" i="13"/>
  <c r="U22" i="13"/>
  <c r="AY20" i="13"/>
  <c r="AX20" i="13" l="1"/>
  <c r="AW21" i="13"/>
  <c r="BN21" i="13"/>
  <c r="BO19" i="13"/>
  <c r="AZ19" i="13"/>
  <c r="AG22" i="13" a="1"/>
  <c r="AF22" i="13" a="1"/>
  <c r="L23" i="13"/>
  <c r="BL21" i="13"/>
  <c r="AH8" i="13"/>
  <c r="M7" i="13"/>
  <c r="O7" i="13" s="1"/>
  <c r="AR22" i="13"/>
  <c r="AV22" i="13" s="1"/>
  <c r="BH22" i="13"/>
  <c r="AU21" i="13"/>
  <c r="AS21" i="13"/>
  <c r="BA19" i="13"/>
  <c r="T22" i="13"/>
  <c r="BB22" i="13"/>
  <c r="R22" i="13"/>
  <c r="V22" i="13" s="1"/>
  <c r="AD22" i="13" a="1"/>
  <c r="BK22" i="13" s="1"/>
  <c r="AC22" i="13" a="1"/>
  <c r="BJ22" i="13" s="1"/>
  <c r="BF12" i="13"/>
  <c r="BC13" i="13" s="1"/>
  <c r="Y12" i="13"/>
  <c r="AZ20" i="13"/>
  <c r="BA20" i="13"/>
  <c r="AY21" i="13"/>
  <c r="X21" i="13"/>
  <c r="N12" i="13"/>
  <c r="BI22" i="13" l="1"/>
  <c r="W22" i="13"/>
  <c r="X22" i="13" s="1"/>
  <c r="AW22" i="13"/>
  <c r="AX21" i="13"/>
  <c r="BN22" i="13"/>
  <c r="BO20" i="13"/>
  <c r="AG23" i="13" a="1"/>
  <c r="AF23" i="13" a="1"/>
  <c r="L24" i="13"/>
  <c r="BL22" i="13"/>
  <c r="AI8" i="13"/>
  <c r="AE9" i="13" s="1"/>
  <c r="BM9" i="13" s="1"/>
  <c r="AU22" i="13"/>
  <c r="AR23" i="13"/>
  <c r="AV23" i="13" s="1"/>
  <c r="BH23" i="13"/>
  <c r="AS22" i="13"/>
  <c r="BE13" i="13"/>
  <c r="BD13" i="13"/>
  <c r="BG13" i="13" s="1"/>
  <c r="Y13" i="13" s="1"/>
  <c r="Z12" i="13"/>
  <c r="AA12" i="13" s="1" a="1"/>
  <c r="AD23" i="13" a="1"/>
  <c r="BK23" i="13" s="1"/>
  <c r="T23" i="13"/>
  <c r="U23" i="13" s="1"/>
  <c r="U24" i="13" s="1"/>
  <c r="BB23" i="13"/>
  <c r="R23" i="13"/>
  <c r="AC23" i="13" a="1"/>
  <c r="BJ23" i="13" s="1"/>
  <c r="AZ21" i="13"/>
  <c r="BA21" i="13"/>
  <c r="P12" i="13"/>
  <c r="AY22" i="13"/>
  <c r="BI23" i="13" l="1"/>
  <c r="W23" i="13"/>
  <c r="AX22" i="13"/>
  <c r="AW23" i="13"/>
  <c r="BN23" i="13"/>
  <c r="BO21" i="13"/>
  <c r="AG24" i="13" a="1"/>
  <c r="AF24" i="13" a="1"/>
  <c r="L25" i="13"/>
  <c r="BL23" i="13"/>
  <c r="AK8" i="13"/>
  <c r="AN8" i="13"/>
  <c r="AO8" i="13" s="1"/>
  <c r="AP8" i="13" s="1"/>
  <c r="AM12" i="13" a="1"/>
  <c r="AB12" i="13"/>
  <c r="AJ12" i="13"/>
  <c r="AL12" i="13" s="1"/>
  <c r="AU23" i="13"/>
  <c r="AR24" i="13"/>
  <c r="AV24" i="13" s="1"/>
  <c r="BH24" i="13"/>
  <c r="AS23" i="13"/>
  <c r="Z13" i="13"/>
  <c r="AA13" i="13" s="1" a="1"/>
  <c r="V23" i="13"/>
  <c r="T24" i="13"/>
  <c r="BB24" i="13"/>
  <c r="R24" i="13"/>
  <c r="V24" i="13" s="1"/>
  <c r="AC24" i="13" a="1"/>
  <c r="BJ24" i="13" s="1"/>
  <c r="AD24" i="13" a="1"/>
  <c r="BK24" i="13" s="1"/>
  <c r="BF13" i="13"/>
  <c r="BC14" i="13" s="1"/>
  <c r="BD14" i="13" s="1"/>
  <c r="BG14" i="13" s="1"/>
  <c r="AZ22" i="13"/>
  <c r="BA22" i="13"/>
  <c r="P13" i="13"/>
  <c r="U25" i="13"/>
  <c r="N13" i="13"/>
  <c r="X23" i="13" l="1"/>
  <c r="BI24" i="13"/>
  <c r="W24" i="13"/>
  <c r="X24" i="13" s="1"/>
  <c r="AX23" i="13"/>
  <c r="AW24" i="13"/>
  <c r="BO22" i="13"/>
  <c r="BN24" i="13"/>
  <c r="AG25" i="13" a="1"/>
  <c r="AF25" i="13" a="1"/>
  <c r="L26" i="13"/>
  <c r="BL24" i="13"/>
  <c r="M8" i="13"/>
  <c r="O8" i="13" s="1"/>
  <c r="AM13" i="13" a="1"/>
  <c r="AJ13" i="13"/>
  <c r="AL13" i="13" s="1"/>
  <c r="AB13" i="13"/>
  <c r="AU24" i="13"/>
  <c r="AR25" i="13"/>
  <c r="AV25" i="13" s="1"/>
  <c r="BH25" i="13"/>
  <c r="AS24" i="13"/>
  <c r="BE14" i="13"/>
  <c r="Y14" i="13"/>
  <c r="AY23" i="13"/>
  <c r="T25" i="13"/>
  <c r="BB25" i="13"/>
  <c r="R25" i="13"/>
  <c r="V25" i="13" s="1"/>
  <c r="AD25" i="13" a="1"/>
  <c r="BK25" i="13" s="1"/>
  <c r="AC25" i="13" a="1"/>
  <c r="BJ25" i="13" s="1"/>
  <c r="U26" i="13"/>
  <c r="AY24" i="13"/>
  <c r="BI25" i="13" l="1"/>
  <c r="W25" i="13"/>
  <c r="X25" i="13" s="1"/>
  <c r="AX24" i="13"/>
  <c r="AW25" i="13"/>
  <c r="BN25" i="13"/>
  <c r="BO23" i="13"/>
  <c r="AF26" i="13" a="1"/>
  <c r="AG26" i="13" a="1"/>
  <c r="L27" i="13"/>
  <c r="BH27" i="13" s="1"/>
  <c r="BL25" i="13"/>
  <c r="AH9" i="13"/>
  <c r="AI9" i="13" s="1"/>
  <c r="AE10" i="13" s="1"/>
  <c r="BM10" i="13" s="1"/>
  <c r="AU25" i="13"/>
  <c r="AR26" i="13"/>
  <c r="AV26" i="13" s="1"/>
  <c r="BH26" i="13"/>
  <c r="AZ23" i="13"/>
  <c r="BA23" i="13"/>
  <c r="AS25" i="13"/>
  <c r="Z14" i="13"/>
  <c r="AA14" i="13" s="1" a="1"/>
  <c r="R26" i="13"/>
  <c r="V26" i="13" s="1"/>
  <c r="AC26" i="13" a="1"/>
  <c r="BJ26" i="13" s="1"/>
  <c r="T26" i="13"/>
  <c r="BB26" i="13"/>
  <c r="AD26" i="13" a="1"/>
  <c r="BK26" i="13" s="1"/>
  <c r="BF14" i="13"/>
  <c r="BC15" i="13" s="1"/>
  <c r="AZ24" i="13"/>
  <c r="BA24" i="13"/>
  <c r="P14" i="13"/>
  <c r="AY25" i="13"/>
  <c r="N14" i="13"/>
  <c r="BI27" i="13" l="1"/>
  <c r="W27" i="13"/>
  <c r="BI26" i="13"/>
  <c r="W26" i="13"/>
  <c r="X26" i="13" s="1"/>
  <c r="AX25" i="13"/>
  <c r="AW26" i="13"/>
  <c r="BO24" i="13"/>
  <c r="BN26" i="13"/>
  <c r="AG27" i="13" a="1"/>
  <c r="AF27" i="13" a="1"/>
  <c r="L28" i="13"/>
  <c r="BL26" i="13"/>
  <c r="AN9" i="13"/>
  <c r="AO9" i="13" s="1"/>
  <c r="AP9" i="13" s="1"/>
  <c r="AK9" i="13"/>
  <c r="AM14" i="13" a="1"/>
  <c r="AB14" i="13"/>
  <c r="AJ14" i="13"/>
  <c r="AL14" i="13" s="1"/>
  <c r="AU26" i="13"/>
  <c r="AR27" i="13"/>
  <c r="AV27" i="13" s="1"/>
  <c r="T27" i="13"/>
  <c r="BB27" i="13"/>
  <c r="AS26" i="13"/>
  <c r="R27" i="13"/>
  <c r="BE15" i="13"/>
  <c r="BD15" i="13"/>
  <c r="BG15" i="13" s="1"/>
  <c r="Y15" i="13" s="1"/>
  <c r="AC27" i="13" a="1"/>
  <c r="BJ27" i="13" s="1"/>
  <c r="AD27" i="13" a="1"/>
  <c r="BK27" i="13" s="1"/>
  <c r="AZ25" i="13"/>
  <c r="BA25" i="13"/>
  <c r="AY26" i="13"/>
  <c r="AW27" i="13" l="1"/>
  <c r="AX26" i="13"/>
  <c r="BN27" i="13"/>
  <c r="BO25" i="13"/>
  <c r="AF28" i="13" a="1"/>
  <c r="AG28" i="13" a="1"/>
  <c r="L29" i="13"/>
  <c r="BL27" i="13"/>
  <c r="M9" i="13"/>
  <c r="O9" i="13" s="1"/>
  <c r="AR28" i="13"/>
  <c r="AV28" i="13" s="1"/>
  <c r="BH28" i="13"/>
  <c r="AU27" i="13"/>
  <c r="AS27" i="13"/>
  <c r="AD28" i="13" a="1"/>
  <c r="BK28" i="13" s="1"/>
  <c r="AC28" i="13" a="1"/>
  <c r="BJ28" i="13" s="1"/>
  <c r="T28" i="13"/>
  <c r="BB28" i="13"/>
  <c r="R28" i="13"/>
  <c r="P15" i="13"/>
  <c r="BF15" i="13"/>
  <c r="BC16" i="13" s="1"/>
  <c r="AZ26" i="13"/>
  <c r="BA26" i="13"/>
  <c r="N15" i="13"/>
  <c r="BI28" i="13" l="1"/>
  <c r="W28" i="13"/>
  <c r="AW28" i="13"/>
  <c r="AX27" i="13"/>
  <c r="BN28" i="13"/>
  <c r="BO26" i="13"/>
  <c r="AF29" i="13" a="1"/>
  <c r="AG29" i="13" a="1"/>
  <c r="L30" i="13"/>
  <c r="BL28" i="13"/>
  <c r="AH10" i="13"/>
  <c r="AI10" i="13" s="1"/>
  <c r="AE11" i="13" s="1"/>
  <c r="BM11" i="13" s="1"/>
  <c r="AU28" i="13"/>
  <c r="AR29" i="13"/>
  <c r="AV29" i="13" s="1"/>
  <c r="BH29" i="13"/>
  <c r="AS28" i="13"/>
  <c r="T29" i="13"/>
  <c r="BB29" i="13"/>
  <c r="AC29" i="13" a="1"/>
  <c r="BJ29" i="13" s="1"/>
  <c r="R29" i="13"/>
  <c r="AD29" i="13" a="1"/>
  <c r="BK29" i="13" s="1"/>
  <c r="BE16" i="13"/>
  <c r="BD16" i="13"/>
  <c r="BG16" i="13" s="1"/>
  <c r="Y16" i="13" s="1"/>
  <c r="Z15" i="13"/>
  <c r="AA15" i="13" s="1" a="1"/>
  <c r="BI29" i="13" l="1"/>
  <c r="W29" i="13"/>
  <c r="AW29" i="13"/>
  <c r="AX28" i="13"/>
  <c r="BN29" i="13"/>
  <c r="BO27" i="13"/>
  <c r="AF30" i="13" a="1"/>
  <c r="AG30" i="13" a="1"/>
  <c r="L31" i="13"/>
  <c r="BL29" i="13"/>
  <c r="AK10" i="13"/>
  <c r="AN10" i="13"/>
  <c r="AO10" i="13" s="1"/>
  <c r="AP10" i="13" s="1"/>
  <c r="AM15" i="13" a="1"/>
  <c r="AB15" i="13"/>
  <c r="AJ15" i="13"/>
  <c r="AL15" i="13" s="1"/>
  <c r="AU29" i="13"/>
  <c r="AR30" i="13"/>
  <c r="AV30" i="13" s="1"/>
  <c r="BH30" i="13"/>
  <c r="AS29" i="13"/>
  <c r="AC30" i="13" a="1"/>
  <c r="BJ30" i="13" s="1"/>
  <c r="BB30" i="13"/>
  <c r="AD30" i="13" a="1"/>
  <c r="BK30" i="13" s="1"/>
  <c r="T30" i="13"/>
  <c r="R30" i="13"/>
  <c r="Z16" i="13"/>
  <c r="AA16" i="13" s="1" a="1"/>
  <c r="BF16" i="13"/>
  <c r="BC17" i="13" s="1"/>
  <c r="P16" i="13"/>
  <c r="N16" i="13"/>
  <c r="BI30" i="13" l="1"/>
  <c r="W30" i="13"/>
  <c r="AX29" i="13"/>
  <c r="AW30" i="13"/>
  <c r="BN30" i="13"/>
  <c r="BO28" i="13"/>
  <c r="AG31" i="13" a="1"/>
  <c r="AF31" i="13" a="1"/>
  <c r="L32" i="13"/>
  <c r="BL30" i="13"/>
  <c r="M10" i="13"/>
  <c r="O10" i="13" s="1"/>
  <c r="AM16" i="13" a="1"/>
  <c r="AJ16" i="13"/>
  <c r="AL16" i="13" s="1"/>
  <c r="AB16" i="13"/>
  <c r="AU30" i="13"/>
  <c r="AR31" i="13"/>
  <c r="AV31" i="13" s="1"/>
  <c r="BH31" i="13"/>
  <c r="R31" i="13"/>
  <c r="AS30" i="13"/>
  <c r="AD31" i="13" a="1"/>
  <c r="BK31" i="13" s="1"/>
  <c r="T31" i="13"/>
  <c r="U31" i="13" s="1"/>
  <c r="U32" i="13" s="1"/>
  <c r="AC31" i="13" a="1"/>
  <c r="BJ31" i="13" s="1"/>
  <c r="BB31" i="13"/>
  <c r="BE17" i="13"/>
  <c r="BD17" i="13"/>
  <c r="BG17" i="13" s="1"/>
  <c r="BI31" i="13" l="1"/>
  <c r="W31" i="13"/>
  <c r="AW31" i="13"/>
  <c r="AX30" i="13"/>
  <c r="BO29" i="13"/>
  <c r="BN31" i="13"/>
  <c r="AF32" i="13" a="1"/>
  <c r="AG32" i="13" a="1"/>
  <c r="L33" i="13"/>
  <c r="BL31" i="13"/>
  <c r="AH11" i="13"/>
  <c r="AI11" i="13" s="1"/>
  <c r="AE12" i="13" s="1"/>
  <c r="BM12" i="13" s="1"/>
  <c r="AU31" i="13"/>
  <c r="AR32" i="13"/>
  <c r="AV32" i="13" s="1"/>
  <c r="BH32" i="13"/>
  <c r="AS31" i="13"/>
  <c r="R32" i="13"/>
  <c r="V32" i="13" s="1"/>
  <c r="AD32" i="13" a="1"/>
  <c r="BK32" i="13" s="1"/>
  <c r="AC32" i="13" a="1"/>
  <c r="BJ32" i="13" s="1"/>
  <c r="T32" i="13"/>
  <c r="BB32" i="13"/>
  <c r="V31" i="13"/>
  <c r="AY31" i="13" s="1"/>
  <c r="BF17" i="13"/>
  <c r="BC18" i="13" s="1"/>
  <c r="BE18" i="13" s="1"/>
  <c r="Y17" i="13"/>
  <c r="U33" i="13"/>
  <c r="N17" i="13"/>
  <c r="BI32" i="13" l="1"/>
  <c r="W32" i="13"/>
  <c r="X32" i="13" s="1"/>
  <c r="AX31" i="13"/>
  <c r="AW32" i="13"/>
  <c r="BN32" i="13"/>
  <c r="BO30" i="13"/>
  <c r="AG33" i="13" a="1"/>
  <c r="AF33" i="13" a="1"/>
  <c r="L34" i="13"/>
  <c r="BH34" i="13" s="1"/>
  <c r="BL32" i="13"/>
  <c r="AK11" i="13"/>
  <c r="AN11" i="13"/>
  <c r="AO11" i="13" s="1"/>
  <c r="AP11" i="13" s="1"/>
  <c r="AU32" i="13"/>
  <c r="AR33" i="13"/>
  <c r="AV33" i="13" s="1"/>
  <c r="BH33" i="13"/>
  <c r="AS32" i="13"/>
  <c r="AD33" i="13" a="1"/>
  <c r="BK33" i="13" s="1"/>
  <c r="R33" i="13"/>
  <c r="V33" i="13" s="1"/>
  <c r="AC33" i="13" a="1"/>
  <c r="BJ33" i="13" s="1"/>
  <c r="T33" i="13"/>
  <c r="BB33" i="13"/>
  <c r="X31" i="13"/>
  <c r="BD18" i="13"/>
  <c r="BG18" i="13" s="1"/>
  <c r="Y18" i="13" s="1"/>
  <c r="P17" i="13"/>
  <c r="AZ31" i="13"/>
  <c r="BA31" i="13"/>
  <c r="U34" i="13"/>
  <c r="AY32" i="13"/>
  <c r="BI34" i="13" l="1"/>
  <c r="W34" i="13"/>
  <c r="BI33" i="13"/>
  <c r="W33" i="13"/>
  <c r="X33" i="13" s="1"/>
  <c r="AW33" i="13"/>
  <c r="AX32" i="13"/>
  <c r="BO31" i="13"/>
  <c r="BN33" i="13"/>
  <c r="AG34" i="13" a="1"/>
  <c r="AF34" i="13" a="1"/>
  <c r="L35" i="13"/>
  <c r="BL33" i="13"/>
  <c r="M11" i="13"/>
  <c r="O11" i="13" s="1"/>
  <c r="Z18" i="13"/>
  <c r="AA18" i="13" s="1" a="1"/>
  <c r="AU33" i="13"/>
  <c r="AR34" i="13"/>
  <c r="AV34" i="13" s="1"/>
  <c r="BB34" i="13"/>
  <c r="T34" i="13"/>
  <c r="AS33" i="13"/>
  <c r="R34" i="13"/>
  <c r="V34" i="13" s="1"/>
  <c r="AC34" i="13" a="1"/>
  <c r="BJ34" i="13" s="1"/>
  <c r="AD34" i="13" a="1"/>
  <c r="BK34" i="13" s="1"/>
  <c r="P18" i="13"/>
  <c r="BF18" i="13"/>
  <c r="BC19" i="13" s="1"/>
  <c r="BD19" i="13" s="1"/>
  <c r="BG19" i="13" s="1"/>
  <c r="Y19" i="13" s="1"/>
  <c r="Z17" i="13"/>
  <c r="AA17" i="13" s="1" a="1"/>
  <c r="AZ32" i="13"/>
  <c r="BA32" i="13"/>
  <c r="AY33" i="13"/>
  <c r="N18" i="13"/>
  <c r="AX33" i="13" l="1"/>
  <c r="AW34" i="13"/>
  <c r="BO32" i="13"/>
  <c r="BN34" i="13"/>
  <c r="AF35" i="13" a="1"/>
  <c r="AG35" i="13" a="1"/>
  <c r="L36" i="13"/>
  <c r="BH36" i="13" s="1"/>
  <c r="BL34" i="13"/>
  <c r="AH12" i="13"/>
  <c r="AI12" i="13" s="1"/>
  <c r="AE13" i="13" s="1"/>
  <c r="BM13" i="13" s="1"/>
  <c r="AB18" i="13"/>
  <c r="AM18" i="13" a="1"/>
  <c r="AM17" i="13" a="1"/>
  <c r="AB17" i="13"/>
  <c r="AJ17" i="13"/>
  <c r="AC35" i="13" a="1"/>
  <c r="BJ35" i="13" s="1"/>
  <c r="BH35" i="13"/>
  <c r="AU34" i="13"/>
  <c r="AR35" i="13"/>
  <c r="AV35" i="13" s="1"/>
  <c r="T35" i="13"/>
  <c r="U35" i="13" s="1"/>
  <c r="U36" i="13" s="1"/>
  <c r="BB35" i="13"/>
  <c r="R35" i="13"/>
  <c r="AD35" i="13" a="1"/>
  <c r="BK35" i="13" s="1"/>
  <c r="AS34" i="13"/>
  <c r="BE19" i="13"/>
  <c r="BF19" i="13" s="1"/>
  <c r="BC20" i="13" s="1"/>
  <c r="Z19" i="13"/>
  <c r="AA19" i="13" s="1" a="1"/>
  <c r="AZ33" i="13"/>
  <c r="BA33" i="13"/>
  <c r="P19" i="13"/>
  <c r="AY34" i="13"/>
  <c r="X34" i="13"/>
  <c r="BI36" i="13" l="1"/>
  <c r="W36" i="13"/>
  <c r="BI35" i="13"/>
  <c r="W35" i="13"/>
  <c r="AW35" i="13"/>
  <c r="AX34" i="13"/>
  <c r="BO33" i="13"/>
  <c r="BN35" i="13"/>
  <c r="AF36" i="13" a="1"/>
  <c r="AG36" i="13" a="1"/>
  <c r="L37" i="13"/>
  <c r="BL35" i="13"/>
  <c r="AK12" i="13"/>
  <c r="AN12" i="13"/>
  <c r="AO12" i="13" s="1"/>
  <c r="AP12" i="13" s="1"/>
  <c r="AM19" i="13" a="1"/>
  <c r="AJ18" i="13"/>
  <c r="AL17" i="13"/>
  <c r="AB19" i="13"/>
  <c r="AU35" i="13"/>
  <c r="V35" i="13"/>
  <c r="AR36" i="13"/>
  <c r="AV36" i="13" s="1"/>
  <c r="BB36" i="13"/>
  <c r="T36" i="13"/>
  <c r="AC36" i="13" a="1"/>
  <c r="BJ36" i="13" s="1"/>
  <c r="AD36" i="13" a="1"/>
  <c r="BK36" i="13" s="1"/>
  <c r="R36" i="13"/>
  <c r="V36" i="13" s="1"/>
  <c r="AS35" i="13"/>
  <c r="BE20" i="13"/>
  <c r="BD20" i="13"/>
  <c r="BG20" i="13" s="1"/>
  <c r="Y20" i="13" s="1"/>
  <c r="AZ34" i="13"/>
  <c r="BA34" i="13"/>
  <c r="U37" i="13"/>
  <c r="N19" i="13"/>
  <c r="AW36" i="13" l="1"/>
  <c r="AX35" i="13"/>
  <c r="BO34" i="13"/>
  <c r="BN36" i="13"/>
  <c r="AG37" i="13" a="1"/>
  <c r="AF37" i="13" a="1"/>
  <c r="L38" i="13"/>
  <c r="BH38" i="13" s="1"/>
  <c r="BL36" i="13"/>
  <c r="M12" i="13"/>
  <c r="O12" i="13" s="1"/>
  <c r="AL18" i="13"/>
  <c r="AJ19" i="13"/>
  <c r="AL19" i="13" s="1"/>
  <c r="BB37" i="13"/>
  <c r="BH37" i="13"/>
  <c r="AU36" i="13"/>
  <c r="AR37" i="13"/>
  <c r="AV37" i="13" s="1"/>
  <c r="T37" i="13"/>
  <c r="AC37" i="13" a="1"/>
  <c r="BJ37" i="13" s="1"/>
  <c r="AD37" i="13" a="1"/>
  <c r="BK37" i="13" s="1"/>
  <c r="R37" i="13"/>
  <c r="V37" i="13" s="1"/>
  <c r="X35" i="13"/>
  <c r="AY35" i="13"/>
  <c r="AS36" i="13"/>
  <c r="P20" i="13"/>
  <c r="BF20" i="13"/>
  <c r="BC21" i="13" s="1"/>
  <c r="U38" i="13"/>
  <c r="AY36" i="13"/>
  <c r="X36" i="13"/>
  <c r="BI38" i="13" l="1"/>
  <c r="W38" i="13"/>
  <c r="BI37" i="13"/>
  <c r="W37" i="13"/>
  <c r="X37" i="13" s="1"/>
  <c r="AW37" i="13"/>
  <c r="AX36" i="13"/>
  <c r="BO35" i="13"/>
  <c r="BN37" i="13"/>
  <c r="AF38" i="13" a="1"/>
  <c r="AG38" i="13" a="1"/>
  <c r="L39" i="13"/>
  <c r="BH39" i="13" s="1"/>
  <c r="BL37" i="13"/>
  <c r="AH13" i="13"/>
  <c r="AI13" i="13" s="1"/>
  <c r="AE14" i="13" s="1"/>
  <c r="BM14" i="13" s="1"/>
  <c r="AC38" i="13" a="1"/>
  <c r="BJ38" i="13" s="1"/>
  <c r="BA35" i="13"/>
  <c r="AZ35" i="13"/>
  <c r="AU37" i="13"/>
  <c r="BB38" i="13"/>
  <c r="T38" i="13"/>
  <c r="AR38" i="13"/>
  <c r="AV38" i="13" s="1"/>
  <c r="AD38" i="13" a="1"/>
  <c r="BK38" i="13" s="1"/>
  <c r="R38" i="13"/>
  <c r="V38" i="13" s="1"/>
  <c r="AS37" i="13"/>
  <c r="BE21" i="13"/>
  <c r="BD21" i="13"/>
  <c r="BG21" i="13" s="1"/>
  <c r="Y21" i="13" s="1"/>
  <c r="Z20" i="13"/>
  <c r="AA20" i="13" s="1" a="1"/>
  <c r="AZ36" i="13"/>
  <c r="BA36" i="13"/>
  <c r="AY37" i="13"/>
  <c r="BI39" i="13" l="1"/>
  <c r="W39" i="13"/>
  <c r="AX37" i="13"/>
  <c r="AW38" i="13"/>
  <c r="BN38" i="13"/>
  <c r="BO36" i="13"/>
  <c r="AF39" i="13" a="1"/>
  <c r="AG39" i="13" a="1"/>
  <c r="L40" i="13"/>
  <c r="BH40" i="13" s="1"/>
  <c r="BL38" i="13"/>
  <c r="AK13" i="13"/>
  <c r="AN13" i="13"/>
  <c r="AO13" i="13" s="1"/>
  <c r="AP13" i="13" s="1"/>
  <c r="AM20" i="13" a="1"/>
  <c r="AB20" i="13"/>
  <c r="AJ20" i="13"/>
  <c r="AL20" i="13" s="1"/>
  <c r="T39" i="13"/>
  <c r="U39" i="13" s="1"/>
  <c r="BB39" i="13"/>
  <c r="AC39" i="13" a="1"/>
  <c r="BJ39" i="13" s="1"/>
  <c r="AD39" i="13" a="1"/>
  <c r="BK39" i="13" s="1"/>
  <c r="R39" i="13"/>
  <c r="AU38" i="13"/>
  <c r="AR39" i="13"/>
  <c r="AV39" i="13" s="1"/>
  <c r="AS38" i="13"/>
  <c r="Z21" i="13"/>
  <c r="AA21" i="13" s="1" a="1"/>
  <c r="BF21" i="13"/>
  <c r="BC22" i="13" s="1"/>
  <c r="AZ37" i="13"/>
  <c r="BA37" i="13"/>
  <c r="P21" i="13"/>
  <c r="AY38" i="13"/>
  <c r="X38" i="13"/>
  <c r="BI40" i="13" l="1"/>
  <c r="W40" i="13"/>
  <c r="AX38" i="13"/>
  <c r="AW39" i="13"/>
  <c r="BN39" i="13"/>
  <c r="BO37" i="13"/>
  <c r="AF40" i="13" a="1"/>
  <c r="AG40" i="13" a="1"/>
  <c r="L41" i="13"/>
  <c r="BL39" i="13"/>
  <c r="M13" i="13"/>
  <c r="O13" i="13" s="1"/>
  <c r="AM21" i="13" a="1"/>
  <c r="AB21" i="13"/>
  <c r="AJ21" i="13"/>
  <c r="AL21" i="13" s="1"/>
  <c r="V39" i="13"/>
  <c r="U40" i="13"/>
  <c r="AU39" i="13"/>
  <c r="BB40" i="13"/>
  <c r="T40" i="13"/>
  <c r="R40" i="13"/>
  <c r="AR40" i="13"/>
  <c r="AV40" i="13" s="1"/>
  <c r="AC40" i="13" a="1"/>
  <c r="BJ40" i="13" s="1"/>
  <c r="AD40" i="13" a="1"/>
  <c r="BK40" i="13" s="1"/>
  <c r="AS39" i="13"/>
  <c r="BE22" i="13"/>
  <c r="BD22" i="13"/>
  <c r="BG22" i="13" s="1"/>
  <c r="Y22" i="13" s="1"/>
  <c r="AZ38" i="13"/>
  <c r="BA38" i="13"/>
  <c r="AW40" i="13" l="1"/>
  <c r="AX39" i="13"/>
  <c r="BN40" i="13"/>
  <c r="BO38" i="13"/>
  <c r="AF41" i="13" a="1"/>
  <c r="AG41" i="13" a="1"/>
  <c r="L42" i="13"/>
  <c r="BH42" i="13" s="1"/>
  <c r="BL40" i="13"/>
  <c r="AH14" i="13"/>
  <c r="AI14" i="13" s="1"/>
  <c r="AE15" i="13" s="1"/>
  <c r="BM15" i="13" s="1"/>
  <c r="BB41" i="13"/>
  <c r="BH41" i="13"/>
  <c r="AY39" i="13"/>
  <c r="X39" i="13"/>
  <c r="V40" i="13"/>
  <c r="U41" i="13"/>
  <c r="U42" i="13" s="1"/>
  <c r="T41" i="13"/>
  <c r="AC41" i="13" a="1"/>
  <c r="BJ41" i="13" s="1"/>
  <c r="AU40" i="13"/>
  <c r="AR41" i="13"/>
  <c r="AV41" i="13" s="1"/>
  <c r="AD41" i="13" a="1"/>
  <c r="BK41" i="13" s="1"/>
  <c r="R41" i="13"/>
  <c r="AS40" i="13"/>
  <c r="Z22" i="13"/>
  <c r="AA22" i="13" s="1" a="1"/>
  <c r="BF22" i="13"/>
  <c r="BC23" i="13" s="1"/>
  <c r="P22" i="13"/>
  <c r="BI42" i="13" l="1"/>
  <c r="W42" i="13"/>
  <c r="BI41" i="13"/>
  <c r="W41" i="13"/>
  <c r="AW41" i="13"/>
  <c r="AX40" i="13"/>
  <c r="BO39" i="13"/>
  <c r="BN41" i="13"/>
  <c r="AG42" i="13" a="1"/>
  <c r="AF42" i="13" a="1"/>
  <c r="L43" i="13"/>
  <c r="BH43" i="13" s="1"/>
  <c r="BL41" i="13"/>
  <c r="AK14" i="13"/>
  <c r="AN14" i="13"/>
  <c r="AO14" i="13" s="1"/>
  <c r="AP14" i="13" s="1"/>
  <c r="AM22" i="13" a="1"/>
  <c r="AB22" i="13"/>
  <c r="AJ22" i="13"/>
  <c r="AL22" i="13" s="1"/>
  <c r="AZ39" i="13"/>
  <c r="BA39" i="13"/>
  <c r="AR42" i="13"/>
  <c r="AV42" i="13" s="1"/>
  <c r="BB42" i="13"/>
  <c r="T42" i="13"/>
  <c r="AC42" i="13" a="1"/>
  <c r="BJ42" i="13" s="1"/>
  <c r="AD42" i="13" a="1"/>
  <c r="BK42" i="13" s="1"/>
  <c r="R42" i="13"/>
  <c r="V42" i="13" s="1"/>
  <c r="V41" i="13"/>
  <c r="AY40" i="13"/>
  <c r="X40" i="13"/>
  <c r="AU41" i="13"/>
  <c r="AS41" i="13"/>
  <c r="BE23" i="13"/>
  <c r="BD23" i="13"/>
  <c r="BG23" i="13" s="1"/>
  <c r="Y23" i="13" s="1"/>
  <c r="N22" i="13"/>
  <c r="BI43" i="13" l="1"/>
  <c r="W43" i="13"/>
  <c r="AX41" i="13"/>
  <c r="AW42" i="13"/>
  <c r="BN42" i="13"/>
  <c r="BO40" i="13"/>
  <c r="AG43" i="13" a="1"/>
  <c r="AF43" i="13" a="1"/>
  <c r="L44" i="13"/>
  <c r="BH44" i="13" s="1"/>
  <c r="BL42" i="13"/>
  <c r="M14" i="13"/>
  <c r="O14" i="13" s="1"/>
  <c r="X41" i="13"/>
  <c r="AY41" i="13"/>
  <c r="AR43" i="13"/>
  <c r="AV43" i="13" s="1"/>
  <c r="BB43" i="13"/>
  <c r="R43" i="13"/>
  <c r="AC43" i="13" a="1"/>
  <c r="BJ43" i="13" s="1"/>
  <c r="AD43" i="13" a="1"/>
  <c r="BK43" i="13" s="1"/>
  <c r="T43" i="13"/>
  <c r="U43" i="13" s="1"/>
  <c r="AU42" i="13"/>
  <c r="AZ40" i="13"/>
  <c r="BA40" i="13"/>
  <c r="AS42" i="13"/>
  <c r="Z23" i="13"/>
  <c r="AA23" i="13" s="1" a="1"/>
  <c r="BF23" i="13"/>
  <c r="BC24" i="13" s="1"/>
  <c r="P23" i="13"/>
  <c r="AY42" i="13"/>
  <c r="X42" i="13"/>
  <c r="BI44" i="13" l="1"/>
  <c r="W44" i="13"/>
  <c r="AW43" i="13"/>
  <c r="AX42" i="13"/>
  <c r="BN43" i="13"/>
  <c r="BO41" i="13"/>
  <c r="AG44" i="13" a="1"/>
  <c r="AF44" i="13" a="1"/>
  <c r="L45" i="13"/>
  <c r="BH45" i="13" s="1"/>
  <c r="BL43" i="13"/>
  <c r="AH15" i="13"/>
  <c r="AI15" i="13" s="1"/>
  <c r="AE16" i="13" s="1"/>
  <c r="BM16" i="13" s="1"/>
  <c r="AM23" i="13" a="1"/>
  <c r="AB23" i="13"/>
  <c r="AJ23" i="13"/>
  <c r="AL23" i="13" s="1"/>
  <c r="AZ41" i="13"/>
  <c r="BA41" i="13"/>
  <c r="AU43" i="13"/>
  <c r="BB44" i="13"/>
  <c r="T44" i="13"/>
  <c r="AR44" i="13"/>
  <c r="AV44" i="13" s="1"/>
  <c r="AC44" i="13" a="1"/>
  <c r="BJ44" i="13" s="1"/>
  <c r="AD44" i="13" a="1"/>
  <c r="BK44" i="13" s="1"/>
  <c r="R44" i="13"/>
  <c r="U44" i="13"/>
  <c r="V43" i="13"/>
  <c r="AS43" i="13"/>
  <c r="BE24" i="13"/>
  <c r="BD24" i="13"/>
  <c r="BG24" i="13" s="1"/>
  <c r="Y24" i="13" s="1"/>
  <c r="AZ42" i="13"/>
  <c r="BA42" i="13"/>
  <c r="N23" i="13"/>
  <c r="BI45" i="13" l="1"/>
  <c r="W45" i="13"/>
  <c r="AX43" i="13"/>
  <c r="AW44" i="13"/>
  <c r="BN44" i="13"/>
  <c r="BO42" i="13"/>
  <c r="AF45" i="13" a="1"/>
  <c r="AG45" i="13" a="1"/>
  <c r="L46" i="13"/>
  <c r="BH46" i="13" s="1"/>
  <c r="BL44" i="13"/>
  <c r="AK15" i="13"/>
  <c r="AN15" i="13"/>
  <c r="AO15" i="13" s="1"/>
  <c r="AP15" i="13" s="1"/>
  <c r="AU44" i="13"/>
  <c r="AR45" i="13"/>
  <c r="AV45" i="13" s="1"/>
  <c r="BB45" i="13"/>
  <c r="T45" i="13"/>
  <c r="AC45" i="13" a="1"/>
  <c r="BJ45" i="13" s="1"/>
  <c r="AD45" i="13" a="1"/>
  <c r="BK45" i="13" s="1"/>
  <c r="R45" i="13"/>
  <c r="U45" i="13"/>
  <c r="V44" i="13"/>
  <c r="AY43" i="13"/>
  <c r="X43" i="13"/>
  <c r="AS44" i="13"/>
  <c r="Z24" i="13"/>
  <c r="AA24" i="13" s="1" a="1"/>
  <c r="BF24" i="13"/>
  <c r="BC25" i="13" s="1"/>
  <c r="P24" i="13"/>
  <c r="BI46" i="13" l="1"/>
  <c r="W46" i="13"/>
  <c r="AX44" i="13"/>
  <c r="AW45" i="13"/>
  <c r="BN45" i="13"/>
  <c r="BO43" i="13"/>
  <c r="AF46" i="13" a="1"/>
  <c r="AG46" i="13" a="1"/>
  <c r="L47" i="13"/>
  <c r="BH47" i="13" s="1"/>
  <c r="BL45" i="13"/>
  <c r="M15" i="13"/>
  <c r="O15" i="13" s="1"/>
  <c r="AM24" i="13" a="1"/>
  <c r="AB24" i="13"/>
  <c r="AJ24" i="13"/>
  <c r="AL24" i="13" s="1"/>
  <c r="AU45" i="13"/>
  <c r="AR46" i="13"/>
  <c r="AV46" i="13" s="1"/>
  <c r="BB46" i="13"/>
  <c r="T46" i="13"/>
  <c r="AC46" i="13" a="1"/>
  <c r="BJ46" i="13" s="1"/>
  <c r="AD46" i="13" a="1"/>
  <c r="BK46" i="13" s="1"/>
  <c r="R46" i="13"/>
  <c r="V45" i="13"/>
  <c r="U46" i="13"/>
  <c r="AY44" i="13"/>
  <c r="X44" i="13"/>
  <c r="AZ43" i="13"/>
  <c r="BA43" i="13"/>
  <c r="AS45" i="13"/>
  <c r="BE25" i="13"/>
  <c r="BD25" i="13"/>
  <c r="BG25" i="13" s="1"/>
  <c r="Y25" i="13" s="1"/>
  <c r="N24" i="13"/>
  <c r="BI47" i="13" l="1"/>
  <c r="W47" i="13"/>
  <c r="AX45" i="13"/>
  <c r="AW46" i="13"/>
  <c r="BN46" i="13"/>
  <c r="BO44" i="13"/>
  <c r="AF47" i="13" a="1"/>
  <c r="AG47" i="13" a="1"/>
  <c r="L48" i="13"/>
  <c r="BH48" i="13" s="1"/>
  <c r="BL46" i="13"/>
  <c r="AH16" i="13"/>
  <c r="AI16" i="13" s="1"/>
  <c r="AE17" i="13" s="1"/>
  <c r="BM17" i="13" s="1"/>
  <c r="V46" i="13"/>
  <c r="AU46" i="13"/>
  <c r="BB47" i="13"/>
  <c r="T47" i="13"/>
  <c r="U47" i="13" s="1"/>
  <c r="AD47" i="13" a="1"/>
  <c r="BK47" i="13" s="1"/>
  <c r="AC47" i="13" a="1"/>
  <c r="BJ47" i="13" s="1"/>
  <c r="AZ44" i="13"/>
  <c r="BA44" i="13"/>
  <c r="AR47" i="13"/>
  <c r="AV47" i="13" s="1"/>
  <c r="R47" i="13"/>
  <c r="AY45" i="13"/>
  <c r="X45" i="13"/>
  <c r="AS46" i="13"/>
  <c r="Z25" i="13"/>
  <c r="AA25" i="13" s="1" a="1"/>
  <c r="BF25" i="13"/>
  <c r="BC26" i="13" s="1"/>
  <c r="P25" i="13"/>
  <c r="BI48" i="13" l="1"/>
  <c r="W48" i="13"/>
  <c r="BO45" i="13"/>
  <c r="AW47" i="13"/>
  <c r="AX46" i="13"/>
  <c r="BN47" i="13"/>
  <c r="AG48" i="13" a="1"/>
  <c r="AF48" i="13" a="1"/>
  <c r="L49" i="13"/>
  <c r="BH49" i="13" s="1"/>
  <c r="BL47" i="13"/>
  <c r="AK16" i="13"/>
  <c r="AN16" i="13"/>
  <c r="AO16" i="13" s="1"/>
  <c r="AP16" i="13" s="1"/>
  <c r="AM25" i="13" a="1"/>
  <c r="AB25" i="13"/>
  <c r="AJ25" i="13"/>
  <c r="AL25" i="13" s="1"/>
  <c r="AY46" i="13"/>
  <c r="X46" i="13"/>
  <c r="U48" i="13"/>
  <c r="V47" i="13"/>
  <c r="AU47" i="13"/>
  <c r="AC48" i="13" a="1"/>
  <c r="BJ48" i="13" s="1"/>
  <c r="AD48" i="13" a="1"/>
  <c r="BK48" i="13" s="1"/>
  <c r="R48" i="13"/>
  <c r="AZ45" i="13"/>
  <c r="BA45" i="13"/>
  <c r="AR48" i="13"/>
  <c r="AV48" i="13" s="1"/>
  <c r="BB48" i="13"/>
  <c r="T48" i="13"/>
  <c r="AS47" i="13"/>
  <c r="BE26" i="13"/>
  <c r="BD26" i="13"/>
  <c r="BG26" i="13" s="1"/>
  <c r="Y26" i="13" s="1"/>
  <c r="N25" i="13"/>
  <c r="BI49" i="13" l="1"/>
  <c r="W49" i="13"/>
  <c r="AW48" i="13"/>
  <c r="AX47" i="13"/>
  <c r="BO46" i="13"/>
  <c r="BN48" i="13"/>
  <c r="AF49" i="13" a="1"/>
  <c r="AG49" i="13" a="1"/>
  <c r="L50" i="13"/>
  <c r="BH50" i="13" s="1"/>
  <c r="BL48" i="13"/>
  <c r="M16" i="13"/>
  <c r="O16" i="13" s="1"/>
  <c r="BA46" i="13"/>
  <c r="AZ46" i="13"/>
  <c r="U49" i="13"/>
  <c r="U50" i="13" s="1"/>
  <c r="V48" i="13"/>
  <c r="AY47" i="13"/>
  <c r="X47" i="13"/>
  <c r="AU48" i="13"/>
  <c r="BB49" i="13"/>
  <c r="T49" i="13"/>
  <c r="AR49" i="13"/>
  <c r="AV49" i="13" s="1"/>
  <c r="AC49" i="13" a="1"/>
  <c r="BJ49" i="13" s="1"/>
  <c r="AD49" i="13" a="1"/>
  <c r="BK49" i="13" s="1"/>
  <c r="R49" i="13"/>
  <c r="AS48" i="13"/>
  <c r="Z26" i="13"/>
  <c r="AA26" i="13" s="1" a="1"/>
  <c r="BF26" i="13"/>
  <c r="BC27" i="13" s="1"/>
  <c r="P26" i="13"/>
  <c r="BI50" i="13" l="1"/>
  <c r="W50" i="13"/>
  <c r="AW49" i="13"/>
  <c r="AX48" i="13"/>
  <c r="BN49" i="13"/>
  <c r="BO47" i="13"/>
  <c r="AF50" i="13" a="1"/>
  <c r="AG50" i="13" a="1"/>
  <c r="L51" i="13"/>
  <c r="BH51" i="13" s="1"/>
  <c r="BL49" i="13"/>
  <c r="AH17" i="13"/>
  <c r="AI17" i="13" s="1"/>
  <c r="AE18" i="13" s="1"/>
  <c r="BM18" i="13" s="1"/>
  <c r="AM26" i="13" a="1"/>
  <c r="AB26" i="13"/>
  <c r="AJ26" i="13"/>
  <c r="AL26" i="13" s="1"/>
  <c r="V49" i="13"/>
  <c r="AY48" i="13"/>
  <c r="X48" i="13"/>
  <c r="AZ47" i="13"/>
  <c r="BA47" i="13"/>
  <c r="AU49" i="13"/>
  <c r="AR50" i="13"/>
  <c r="AV50" i="13" s="1"/>
  <c r="BB50" i="13"/>
  <c r="T50" i="13"/>
  <c r="R50" i="13"/>
  <c r="V50" i="13" s="1"/>
  <c r="AC50" i="13" a="1"/>
  <c r="BJ50" i="13" s="1"/>
  <c r="AD50" i="13" a="1"/>
  <c r="BK50" i="13" s="1"/>
  <c r="AS49" i="13"/>
  <c r="BE27" i="13"/>
  <c r="BD27" i="13"/>
  <c r="N26" i="13"/>
  <c r="BI51" i="13" l="1"/>
  <c r="W51" i="13"/>
  <c r="AX49" i="13"/>
  <c r="AW50" i="13"/>
  <c r="BN50" i="13"/>
  <c r="BO48" i="13"/>
  <c r="AF51" i="13" a="1"/>
  <c r="AG51" i="13" a="1"/>
  <c r="L52" i="13"/>
  <c r="BH52" i="13" s="1"/>
  <c r="BL50" i="13"/>
  <c r="AK17" i="13"/>
  <c r="AN17" i="13"/>
  <c r="AO17" i="13" s="1"/>
  <c r="AP17" i="13" s="1"/>
  <c r="X49" i="13"/>
  <c r="AY49" i="13"/>
  <c r="AZ48" i="13"/>
  <c r="BA48" i="13"/>
  <c r="AU50" i="13"/>
  <c r="AR51" i="13"/>
  <c r="AV51" i="13" s="1"/>
  <c r="BB51" i="13"/>
  <c r="T51" i="13"/>
  <c r="U51" i="13" s="1"/>
  <c r="AC51" i="13" a="1"/>
  <c r="BJ51" i="13" s="1"/>
  <c r="AD51" i="13" a="1"/>
  <c r="BK51" i="13" s="1"/>
  <c r="R51" i="13"/>
  <c r="BF27" i="13"/>
  <c r="BC28" i="13" s="1"/>
  <c r="BE28" i="13" s="1"/>
  <c r="AS50" i="13"/>
  <c r="AY50" i="13"/>
  <c r="X50" i="13"/>
  <c r="BI52" i="13" l="1"/>
  <c r="W52" i="13"/>
  <c r="AX50" i="13"/>
  <c r="AW51" i="13"/>
  <c r="BO49" i="13"/>
  <c r="BN51" i="13"/>
  <c r="AF52" i="13" a="1"/>
  <c r="AG52" i="13" a="1"/>
  <c r="L53" i="13"/>
  <c r="BH53" i="13" s="1"/>
  <c r="BL51" i="13"/>
  <c r="M17" i="13"/>
  <c r="O17" i="13" s="1"/>
  <c r="AZ49" i="13"/>
  <c r="BA49" i="13"/>
  <c r="AU51" i="13"/>
  <c r="V51" i="13"/>
  <c r="U52" i="13"/>
  <c r="AR52" i="13"/>
  <c r="AV52" i="13" s="1"/>
  <c r="BB52" i="13"/>
  <c r="T52" i="13"/>
  <c r="AC52" i="13" a="1"/>
  <c r="BJ52" i="13" s="1"/>
  <c r="R52" i="13"/>
  <c r="AD52" i="13" a="1"/>
  <c r="BK52" i="13" s="1"/>
  <c r="BD28" i="13"/>
  <c r="BF28" i="13" s="1"/>
  <c r="BC29" i="13" s="1"/>
  <c r="AS51" i="13"/>
  <c r="AZ50" i="13"/>
  <c r="BA50" i="13"/>
  <c r="N27" i="13"/>
  <c r="BI53" i="13" l="1"/>
  <c r="W53" i="13"/>
  <c r="BO50" i="13"/>
  <c r="AX51" i="13"/>
  <c r="AW52" i="13"/>
  <c r="BN52" i="13"/>
  <c r="AF53" i="13" a="1"/>
  <c r="AG53" i="13" a="1"/>
  <c r="L54" i="13"/>
  <c r="BL52" i="13"/>
  <c r="AH18" i="13"/>
  <c r="AI18" i="13" s="1"/>
  <c r="AE19" i="13" s="1"/>
  <c r="BM19" i="13" s="1"/>
  <c r="AY51" i="13"/>
  <c r="X51" i="13"/>
  <c r="AU52" i="13"/>
  <c r="AD53" i="13" a="1"/>
  <c r="BK53" i="13" s="1"/>
  <c r="U53" i="13"/>
  <c r="U54" i="13" s="1"/>
  <c r="V52" i="13"/>
  <c r="BB53" i="13"/>
  <c r="T53" i="13"/>
  <c r="AC53" i="13" a="1"/>
  <c r="BJ53" i="13" s="1"/>
  <c r="AR53" i="13"/>
  <c r="AV53" i="13" s="1"/>
  <c r="R53" i="13"/>
  <c r="AS52" i="13"/>
  <c r="BE29" i="13"/>
  <c r="BD29" i="13"/>
  <c r="AW53" i="13" l="1"/>
  <c r="AX52" i="13"/>
  <c r="BO51" i="13"/>
  <c r="BN53" i="13"/>
  <c r="AF54" i="13" a="1"/>
  <c r="AG54" i="13" a="1"/>
  <c r="L55" i="13"/>
  <c r="BH55" i="13" s="1"/>
  <c r="BL53" i="13"/>
  <c r="AK18" i="13"/>
  <c r="AN18" i="13"/>
  <c r="AO18" i="13" s="1"/>
  <c r="AP18" i="13" s="1"/>
  <c r="BH54" i="13"/>
  <c r="V53" i="13"/>
  <c r="BA51" i="13"/>
  <c r="AZ51" i="13"/>
  <c r="AY52" i="13"/>
  <c r="X52" i="13"/>
  <c r="AU53" i="13"/>
  <c r="AR54" i="13"/>
  <c r="AV54" i="13" s="1"/>
  <c r="AC54" i="13" a="1"/>
  <c r="BJ54" i="13" s="1"/>
  <c r="AD54" i="13" a="1"/>
  <c r="BK54" i="13" s="1"/>
  <c r="R54" i="13"/>
  <c r="V54" i="13" s="1"/>
  <c r="BB54" i="13"/>
  <c r="T54" i="13"/>
  <c r="AS53" i="13"/>
  <c r="BF29" i="13"/>
  <c r="BC30" i="13" s="1"/>
  <c r="N28" i="13"/>
  <c r="BI55" i="13" l="1"/>
  <c r="W55" i="13"/>
  <c r="BI54" i="13"/>
  <c r="W54" i="13"/>
  <c r="X54" i="13" s="1"/>
  <c r="AX53" i="13"/>
  <c r="AW54" i="13"/>
  <c r="BN54" i="13"/>
  <c r="BO52" i="13"/>
  <c r="AF55" i="13" a="1"/>
  <c r="AG55" i="13" a="1"/>
  <c r="L56" i="13"/>
  <c r="BH56" i="13" s="1"/>
  <c r="BL54" i="13"/>
  <c r="M18" i="13"/>
  <c r="O18" i="13" s="1"/>
  <c r="AU54" i="13"/>
  <c r="AY53" i="13"/>
  <c r="X53" i="13"/>
  <c r="AZ52" i="13"/>
  <c r="BA52" i="13"/>
  <c r="AR55" i="13"/>
  <c r="AV55" i="13" s="1"/>
  <c r="BB55" i="13"/>
  <c r="T55" i="13"/>
  <c r="U55" i="13" s="1"/>
  <c r="AD55" i="13" a="1"/>
  <c r="BK55" i="13" s="1"/>
  <c r="AC55" i="13" a="1"/>
  <c r="BJ55" i="13" s="1"/>
  <c r="R55" i="13"/>
  <c r="AS54" i="13"/>
  <c r="BE30" i="13"/>
  <c r="BD30" i="13"/>
  <c r="N29" i="13"/>
  <c r="AY54" i="13"/>
  <c r="BI56" i="13" l="1"/>
  <c r="W56" i="13"/>
  <c r="AW55" i="13"/>
  <c r="AX54" i="13"/>
  <c r="BN55" i="13"/>
  <c r="BO53" i="13"/>
  <c r="AG56" i="13" a="1"/>
  <c r="AF56" i="13" a="1"/>
  <c r="L57" i="13"/>
  <c r="BH57" i="13" s="1"/>
  <c r="BL55" i="13"/>
  <c r="AH19" i="13"/>
  <c r="AI19" i="13" s="1"/>
  <c r="AE20" i="13" s="1"/>
  <c r="BM20" i="13" s="1"/>
  <c r="AZ53" i="13"/>
  <c r="BA53" i="13"/>
  <c r="AU55" i="13"/>
  <c r="BB56" i="13"/>
  <c r="T56" i="13"/>
  <c r="AD56" i="13" a="1"/>
  <c r="BK56" i="13" s="1"/>
  <c r="U56" i="13"/>
  <c r="V55" i="13"/>
  <c r="AR56" i="13"/>
  <c r="AV56" i="13" s="1"/>
  <c r="AC56" i="13" a="1"/>
  <c r="BJ56" i="13" s="1"/>
  <c r="R56" i="13"/>
  <c r="AS55" i="13"/>
  <c r="AZ54" i="13"/>
  <c r="BA54" i="13"/>
  <c r="BF30" i="13"/>
  <c r="BC31" i="13" s="1"/>
  <c r="BI57" i="13" l="1"/>
  <c r="W57" i="13"/>
  <c r="AX55" i="13"/>
  <c r="AW56" i="13"/>
  <c r="BN56" i="13"/>
  <c r="BO54" i="13"/>
  <c r="AF57" i="13" a="1"/>
  <c r="AG57" i="13" a="1"/>
  <c r="L58" i="13"/>
  <c r="BH58" i="13" s="1"/>
  <c r="BL56" i="13"/>
  <c r="AK19" i="13"/>
  <c r="AN19" i="13"/>
  <c r="AO19" i="13" s="1"/>
  <c r="AP19" i="13" s="1"/>
  <c r="AU56" i="13"/>
  <c r="V56" i="13"/>
  <c r="U57" i="13"/>
  <c r="U58" i="13" s="1"/>
  <c r="AY55" i="13"/>
  <c r="X55" i="13"/>
  <c r="AR57" i="13"/>
  <c r="AV57" i="13" s="1"/>
  <c r="BB57" i="13"/>
  <c r="T57" i="13"/>
  <c r="R57" i="13"/>
  <c r="AC57" i="13" a="1"/>
  <c r="BJ57" i="13" s="1"/>
  <c r="AD57" i="13" a="1"/>
  <c r="BK57" i="13" s="1"/>
  <c r="AS56" i="13"/>
  <c r="BE31" i="13"/>
  <c r="BD31" i="13"/>
  <c r="BG31" i="13" s="1"/>
  <c r="Y31" i="13" s="1"/>
  <c r="BI58" i="13" l="1"/>
  <c r="W58" i="13"/>
  <c r="AX56" i="13"/>
  <c r="AW57" i="13"/>
  <c r="BN57" i="13"/>
  <c r="BO55" i="13"/>
  <c r="AG58" i="13" a="1"/>
  <c r="AF58" i="13" a="1"/>
  <c r="L59" i="13"/>
  <c r="BH59" i="13" s="1"/>
  <c r="BL57" i="13"/>
  <c r="M19" i="13"/>
  <c r="O19" i="13" s="1"/>
  <c r="V57" i="13"/>
  <c r="AU57" i="13"/>
  <c r="AY56" i="13"/>
  <c r="X56" i="13"/>
  <c r="AZ55" i="13"/>
  <c r="BA55" i="13"/>
  <c r="AR58" i="13"/>
  <c r="AV58" i="13" s="1"/>
  <c r="BB58" i="13"/>
  <c r="T58" i="13"/>
  <c r="AD58" i="13" a="1"/>
  <c r="BK58" i="13" s="1"/>
  <c r="R58" i="13"/>
  <c r="V58" i="13" s="1"/>
  <c r="AC58" i="13" a="1"/>
  <c r="BJ58" i="13" s="1"/>
  <c r="AS57" i="13"/>
  <c r="Z31" i="13"/>
  <c r="AA31" i="13" s="1" a="1"/>
  <c r="AB31" i="13" s="1"/>
  <c r="BF31" i="13"/>
  <c r="BC32" i="13" s="1"/>
  <c r="N30" i="13"/>
  <c r="BI59" i="13" l="1"/>
  <c r="W59" i="13"/>
  <c r="AX57" i="13"/>
  <c r="AW58" i="13"/>
  <c r="BN58" i="13"/>
  <c r="BO56" i="13"/>
  <c r="AF59" i="13" a="1"/>
  <c r="AG59" i="13" a="1"/>
  <c r="L60" i="13"/>
  <c r="BH60" i="13" s="1"/>
  <c r="BL58" i="13"/>
  <c r="AH20" i="13"/>
  <c r="AI20" i="13" s="1"/>
  <c r="AE21" i="13" s="1"/>
  <c r="BM21" i="13" s="1"/>
  <c r="AY57" i="13"/>
  <c r="X57" i="13"/>
  <c r="AU58" i="13"/>
  <c r="AZ56" i="13"/>
  <c r="BA56" i="13"/>
  <c r="AR59" i="13"/>
  <c r="AV59" i="13" s="1"/>
  <c r="BB59" i="13"/>
  <c r="T59" i="13"/>
  <c r="U59" i="13" s="1"/>
  <c r="AD59" i="13" a="1"/>
  <c r="BK59" i="13" s="1"/>
  <c r="AC59" i="13" a="1"/>
  <c r="BJ59" i="13" s="1"/>
  <c r="R59" i="13"/>
  <c r="AS58" i="13"/>
  <c r="BE32" i="13"/>
  <c r="BD32" i="13"/>
  <c r="BG32" i="13" s="1"/>
  <c r="Y32" i="13" s="1"/>
  <c r="P31" i="13"/>
  <c r="AY58" i="13"/>
  <c r="X58" i="13"/>
  <c r="BI60" i="13" l="1"/>
  <c r="W60" i="13"/>
  <c r="AW59" i="13"/>
  <c r="AX58" i="13"/>
  <c r="BN59" i="13"/>
  <c r="BO57" i="13"/>
  <c r="AG60" i="13" a="1"/>
  <c r="AF60" i="13" a="1"/>
  <c r="L61" i="13"/>
  <c r="BH61" i="13" s="1"/>
  <c r="BL59" i="13"/>
  <c r="AK20" i="13"/>
  <c r="AN20" i="13"/>
  <c r="AO20" i="13" s="1"/>
  <c r="AP20" i="13" s="1"/>
  <c r="AZ57" i="13"/>
  <c r="BA57" i="13"/>
  <c r="AU59" i="13"/>
  <c r="V59" i="13"/>
  <c r="U60" i="13"/>
  <c r="AR60" i="13"/>
  <c r="AV60" i="13" s="1"/>
  <c r="BB60" i="13"/>
  <c r="T60" i="13"/>
  <c r="AC60" i="13" a="1"/>
  <c r="BJ60" i="13" s="1"/>
  <c r="AD60" i="13" a="1"/>
  <c r="BK60" i="13" s="1"/>
  <c r="R60" i="13"/>
  <c r="AS59" i="13"/>
  <c r="Z32" i="13"/>
  <c r="AA32" i="13" s="1" a="1"/>
  <c r="AB32" i="13" s="1"/>
  <c r="AZ58" i="13"/>
  <c r="BA58" i="13"/>
  <c r="P32" i="13"/>
  <c r="BF32" i="13"/>
  <c r="BC33" i="13" s="1"/>
  <c r="N31" i="13"/>
  <c r="BI61" i="13" l="1"/>
  <c r="W61" i="13"/>
  <c r="AW60" i="13"/>
  <c r="AX59" i="13"/>
  <c r="BN60" i="13"/>
  <c r="BO58" i="13"/>
  <c r="AF61" i="13" a="1"/>
  <c r="AG61" i="13" a="1"/>
  <c r="L62" i="13"/>
  <c r="BH62" i="13" s="1"/>
  <c r="BL60" i="13"/>
  <c r="M20" i="13"/>
  <c r="AU60" i="13"/>
  <c r="AC61" i="13" a="1"/>
  <c r="BJ61" i="13" s="1"/>
  <c r="R61" i="13"/>
  <c r="AY59" i="13"/>
  <c r="X59" i="13"/>
  <c r="V60" i="13"/>
  <c r="U61" i="13"/>
  <c r="AR61" i="13"/>
  <c r="AV61" i="13" s="1"/>
  <c r="BB61" i="13"/>
  <c r="T61" i="13"/>
  <c r="AD61" i="13" a="1"/>
  <c r="BK61" i="13" s="1"/>
  <c r="AS60" i="13"/>
  <c r="BE33" i="13"/>
  <c r="BD33" i="13"/>
  <c r="BG33" i="13" s="1"/>
  <c r="Y33" i="13" s="1"/>
  <c r="BI62" i="13" l="1"/>
  <c r="W62" i="13"/>
  <c r="AX60" i="13"/>
  <c r="AW61" i="13"/>
  <c r="BN61" i="13"/>
  <c r="BO59" i="13"/>
  <c r="AF62" i="13" a="1"/>
  <c r="AG62" i="13" a="1"/>
  <c r="L63" i="13"/>
  <c r="BL61" i="13"/>
  <c r="AH21" i="13"/>
  <c r="AI21" i="13" s="1"/>
  <c r="AE22" i="13" s="1"/>
  <c r="BM22" i="13" s="1"/>
  <c r="AR62" i="13"/>
  <c r="AV62" i="13" s="1"/>
  <c r="BB62" i="13"/>
  <c r="T62" i="13"/>
  <c r="AD62" i="13" a="1"/>
  <c r="BK62" i="13" s="1"/>
  <c r="AC62" i="13" a="1"/>
  <c r="BJ62" i="13" s="1"/>
  <c r="R62" i="13"/>
  <c r="AU61" i="13"/>
  <c r="AZ59" i="13"/>
  <c r="BA59" i="13"/>
  <c r="X60" i="13"/>
  <c r="AY60" i="13"/>
  <c r="U62" i="13"/>
  <c r="V61" i="13"/>
  <c r="AS61" i="13"/>
  <c r="Z33" i="13"/>
  <c r="AA33" i="13" s="1" a="1"/>
  <c r="AB33" i="13" s="1"/>
  <c r="BF33" i="13"/>
  <c r="BC34" i="13" s="1"/>
  <c r="N32" i="13"/>
  <c r="AW62" i="13" l="1"/>
  <c r="AX61" i="13"/>
  <c r="BN62" i="13"/>
  <c r="BO60" i="13"/>
  <c r="AF63" i="13" a="1"/>
  <c r="AG63" i="13" a="1"/>
  <c r="L64" i="13"/>
  <c r="BL62" i="13"/>
  <c r="AK21" i="13"/>
  <c r="AN21" i="13"/>
  <c r="AO21" i="13" s="1"/>
  <c r="AP21" i="13" s="1"/>
  <c r="BH63" i="13"/>
  <c r="AU62" i="13"/>
  <c r="V62" i="13"/>
  <c r="AR63" i="13"/>
  <c r="AV63" i="13" s="1"/>
  <c r="BB63" i="13"/>
  <c r="T63" i="13"/>
  <c r="U63" i="13" s="1"/>
  <c r="AC63" i="13" a="1"/>
  <c r="BJ63" i="13" s="1"/>
  <c r="AD63" i="13" a="1"/>
  <c r="BK63" i="13" s="1"/>
  <c r="R63" i="13"/>
  <c r="BA60" i="13"/>
  <c r="AZ60" i="13"/>
  <c r="AY61" i="13"/>
  <c r="X61" i="13"/>
  <c r="AS62" i="13"/>
  <c r="BE34" i="13"/>
  <c r="BD34" i="13"/>
  <c r="BG34" i="13" s="1"/>
  <c r="Y34" i="13" s="1"/>
  <c r="P33" i="13"/>
  <c r="BI63" i="13" l="1"/>
  <c r="W63" i="13"/>
  <c r="BO61" i="13"/>
  <c r="AW63" i="13"/>
  <c r="AX62" i="13"/>
  <c r="BN63" i="13"/>
  <c r="AG64" i="13" a="1"/>
  <c r="AF64" i="13" a="1"/>
  <c r="L65" i="13"/>
  <c r="BL63" i="13"/>
  <c r="M21" i="13"/>
  <c r="BB64" i="13"/>
  <c r="T64" i="13"/>
  <c r="AC64" i="13" a="1"/>
  <c r="BJ64" i="13" s="1"/>
  <c r="AD64" i="13" a="1"/>
  <c r="BK64" i="13" s="1"/>
  <c r="R64" i="13"/>
  <c r="BH64" i="13"/>
  <c r="AR64" i="13"/>
  <c r="AV64" i="13" s="1"/>
  <c r="AY62" i="13"/>
  <c r="X62" i="13"/>
  <c r="AU63" i="13"/>
  <c r="U64" i="13"/>
  <c r="V63" i="13"/>
  <c r="AZ61" i="13"/>
  <c r="BA61" i="13"/>
  <c r="AS63" i="13"/>
  <c r="Z34" i="13"/>
  <c r="AA34" i="13" s="1" a="1"/>
  <c r="AB34" i="13" s="1"/>
  <c r="BF34" i="13"/>
  <c r="BC35" i="13" s="1"/>
  <c r="N33" i="13"/>
  <c r="BI64" i="13" l="1"/>
  <c r="W64" i="13"/>
  <c r="AW64" i="13"/>
  <c r="AX63" i="13"/>
  <c r="BO62" i="13"/>
  <c r="BN64" i="13"/>
  <c r="AG65" i="13" a="1"/>
  <c r="AF65" i="13" a="1"/>
  <c r="L66" i="13"/>
  <c r="BL64" i="13"/>
  <c r="AH22" i="13"/>
  <c r="AI22" i="13" s="1"/>
  <c r="AE23" i="13" s="1"/>
  <c r="BM23" i="13" s="1"/>
  <c r="AR65" i="13"/>
  <c r="AV65" i="13" s="1"/>
  <c r="BH65" i="13"/>
  <c r="BB65" i="13"/>
  <c r="T65" i="13"/>
  <c r="AC65" i="13" a="1"/>
  <c r="BJ65" i="13" s="1"/>
  <c r="AD65" i="13" a="1"/>
  <c r="BK65" i="13" s="1"/>
  <c r="R65" i="13"/>
  <c r="AU64" i="13"/>
  <c r="AZ62" i="13"/>
  <c r="BA62" i="13"/>
  <c r="V64" i="13"/>
  <c r="U65" i="13"/>
  <c r="AY63" i="13"/>
  <c r="X63" i="13"/>
  <c r="AS64" i="13"/>
  <c r="BE35" i="13"/>
  <c r="BD35" i="13"/>
  <c r="BG35" i="13" s="1"/>
  <c r="Y35" i="13" s="1"/>
  <c r="P34" i="13"/>
  <c r="BI65" i="13" l="1"/>
  <c r="W65" i="13"/>
  <c r="AW65" i="13"/>
  <c r="AX64" i="13"/>
  <c r="BO63" i="13"/>
  <c r="BN65" i="13"/>
  <c r="AG66" i="13" a="1"/>
  <c r="AF66" i="13" a="1"/>
  <c r="L67" i="13"/>
  <c r="BL65" i="13"/>
  <c r="AK22" i="13"/>
  <c r="AN22" i="13"/>
  <c r="AO22" i="13" s="1"/>
  <c r="AP22" i="13" s="1"/>
  <c r="AU65" i="13"/>
  <c r="AR66" i="13"/>
  <c r="AV66" i="13" s="1"/>
  <c r="BH66" i="13"/>
  <c r="BB66" i="13"/>
  <c r="T66" i="13"/>
  <c r="AD66" i="13" a="1"/>
  <c r="BK66" i="13" s="1"/>
  <c r="AC66" i="13" a="1"/>
  <c r="BJ66" i="13" s="1"/>
  <c r="R66" i="13"/>
  <c r="AY64" i="13"/>
  <c r="X64" i="13"/>
  <c r="BA63" i="13"/>
  <c r="AZ63" i="13"/>
  <c r="U66" i="13"/>
  <c r="V65" i="13"/>
  <c r="AS65" i="13"/>
  <c r="Z35" i="13"/>
  <c r="AA35" i="13" s="1" a="1"/>
  <c r="AB35" i="13" s="1"/>
  <c r="P35" i="13"/>
  <c r="BF35" i="13"/>
  <c r="BC36" i="13" s="1"/>
  <c r="N34" i="13"/>
  <c r="BI66" i="13" l="1"/>
  <c r="W66" i="13"/>
  <c r="AX65" i="13"/>
  <c r="AW66" i="13"/>
  <c r="BO64" i="13"/>
  <c r="BN66" i="13"/>
  <c r="AG67" i="13" a="1"/>
  <c r="AF67" i="13" a="1"/>
  <c r="L68" i="13"/>
  <c r="BL66" i="13"/>
  <c r="M22" i="13"/>
  <c r="O22" i="13" s="1"/>
  <c r="BH67" i="13"/>
  <c r="AR67" i="13"/>
  <c r="AV67" i="13" s="1"/>
  <c r="BB67" i="13"/>
  <c r="T67" i="13"/>
  <c r="U67" i="13" s="1"/>
  <c r="U68" i="13" s="1"/>
  <c r="V66" i="13"/>
  <c r="AC67" i="13" a="1"/>
  <c r="BJ67" i="13" s="1"/>
  <c r="AD67" i="13" a="1"/>
  <c r="BK67" i="13" s="1"/>
  <c r="R67" i="13"/>
  <c r="AU66" i="13"/>
  <c r="BA64" i="13"/>
  <c r="AZ64" i="13"/>
  <c r="AY65" i="13"/>
  <c r="X65" i="13"/>
  <c r="AS66" i="13"/>
  <c r="BE36" i="13"/>
  <c r="BD36" i="13"/>
  <c r="BG36" i="13" s="1"/>
  <c r="Y36" i="13" s="1"/>
  <c r="BI67" i="13" l="1"/>
  <c r="W67" i="13"/>
  <c r="AX66" i="13"/>
  <c r="AW67" i="13"/>
  <c r="BN67" i="13"/>
  <c r="BO65" i="13"/>
  <c r="AR68" i="13"/>
  <c r="AV68" i="13" s="1"/>
  <c r="BH68" i="13"/>
  <c r="AG68" i="13" a="1"/>
  <c r="AF68" i="13" a="1"/>
  <c r="L69" i="13"/>
  <c r="BL67" i="13"/>
  <c r="AH23" i="13"/>
  <c r="AI23" i="13" s="1"/>
  <c r="AE24" i="13" s="1"/>
  <c r="BM24" i="13" s="1"/>
  <c r="V67" i="13"/>
  <c r="AU67" i="13"/>
  <c r="AY66" i="13"/>
  <c r="X66" i="13"/>
  <c r="BB68" i="13"/>
  <c r="T68" i="13"/>
  <c r="AC68" i="13" a="1"/>
  <c r="BJ68" i="13" s="1"/>
  <c r="AD68" i="13" a="1"/>
  <c r="BK68" i="13" s="1"/>
  <c r="R68" i="13"/>
  <c r="V68" i="13" s="1"/>
  <c r="AZ65" i="13"/>
  <c r="BA65" i="13"/>
  <c r="AS67" i="13"/>
  <c r="Z36" i="13"/>
  <c r="AA36" i="13" s="1" a="1"/>
  <c r="AB36" i="13" s="1"/>
  <c r="U69" i="13"/>
  <c r="BF36" i="13"/>
  <c r="BC37" i="13" s="1"/>
  <c r="N35" i="13"/>
  <c r="BI68" i="13" l="1"/>
  <c r="W68" i="13"/>
  <c r="X68" i="13" s="1"/>
  <c r="AW68" i="13"/>
  <c r="AX67" i="13"/>
  <c r="BO66" i="13"/>
  <c r="BN68" i="13"/>
  <c r="AU68" i="13"/>
  <c r="BB69" i="13"/>
  <c r="BH69" i="13"/>
  <c r="AR69" i="13"/>
  <c r="AV69" i="13" s="1"/>
  <c r="T69" i="13"/>
  <c r="AF69" i="13" a="1"/>
  <c r="AG69" i="13" a="1"/>
  <c r="L70" i="13"/>
  <c r="BL68" i="13"/>
  <c r="AK23" i="13"/>
  <c r="AN23" i="13"/>
  <c r="AO23" i="13" s="1"/>
  <c r="AP23" i="13" s="1"/>
  <c r="AZ66" i="13"/>
  <c r="BA66" i="13"/>
  <c r="AY67" i="13"/>
  <c r="X67" i="13"/>
  <c r="AC69" i="13" a="1"/>
  <c r="BJ69" i="13" s="1"/>
  <c r="AD69" i="13" a="1"/>
  <c r="BK69" i="13" s="1"/>
  <c r="R69" i="13"/>
  <c r="V69" i="13" s="1"/>
  <c r="AS68" i="13"/>
  <c r="BE37" i="13"/>
  <c r="BD37" i="13"/>
  <c r="BG37" i="13" s="1"/>
  <c r="Y37" i="13" s="1"/>
  <c r="P36" i="13"/>
  <c r="U70" i="13"/>
  <c r="AY68" i="13"/>
  <c r="BI69" i="13" l="1"/>
  <c r="W69" i="13"/>
  <c r="X69" i="13" s="1"/>
  <c r="AX68" i="13"/>
  <c r="AW69" i="13"/>
  <c r="BN69" i="13"/>
  <c r="BO67" i="13"/>
  <c r="AU69" i="13"/>
  <c r="AG70" i="13" a="1"/>
  <c r="AF70" i="13" a="1"/>
  <c r="L71" i="13"/>
  <c r="BL69" i="13"/>
  <c r="M23" i="13"/>
  <c r="O23" i="13" s="1"/>
  <c r="AZ67" i="13"/>
  <c r="BA67" i="13"/>
  <c r="AR70" i="13"/>
  <c r="AV70" i="13" s="1"/>
  <c r="R70" i="13"/>
  <c r="V70" i="13" s="1"/>
  <c r="BH70" i="13"/>
  <c r="T70" i="13"/>
  <c r="AC70" i="13" a="1"/>
  <c r="BJ70" i="13" s="1"/>
  <c r="AD70" i="13" a="1"/>
  <c r="BK70" i="13" s="1"/>
  <c r="BB70" i="13"/>
  <c r="AS69" i="13"/>
  <c r="Z37" i="13"/>
  <c r="AA37" i="13" s="1" a="1"/>
  <c r="AB37" i="13" s="1"/>
  <c r="AZ68" i="13"/>
  <c r="BA68" i="13"/>
  <c r="BF37" i="13"/>
  <c r="BC38" i="13" s="1"/>
  <c r="AY69" i="13"/>
  <c r="N36" i="13"/>
  <c r="BI70" i="13" l="1"/>
  <c r="W70" i="13"/>
  <c r="X70" i="13" s="1"/>
  <c r="AX69" i="13"/>
  <c r="AW70" i="13"/>
  <c r="BN70" i="13"/>
  <c r="BO68" i="13"/>
  <c r="AG71" i="13" a="1"/>
  <c r="AF71" i="13" a="1"/>
  <c r="L72" i="13"/>
  <c r="AR72" i="13" s="1"/>
  <c r="AV72" i="13" s="1"/>
  <c r="BL70" i="13"/>
  <c r="AH24" i="13"/>
  <c r="AI24" i="13" s="1"/>
  <c r="AE25" i="13" s="1"/>
  <c r="BM25" i="13" s="1"/>
  <c r="AU70" i="13"/>
  <c r="AR71" i="13"/>
  <c r="AV71" i="13" s="1"/>
  <c r="BH71" i="13"/>
  <c r="BB71" i="13"/>
  <c r="T71" i="13"/>
  <c r="U71" i="13" s="1"/>
  <c r="AC71" i="13" a="1"/>
  <c r="BJ71" i="13" s="1"/>
  <c r="AD71" i="13" a="1"/>
  <c r="BK71" i="13" s="1"/>
  <c r="R71" i="13"/>
  <c r="AS70" i="13"/>
  <c r="BE38" i="13"/>
  <c r="BD38" i="13"/>
  <c r="BG38" i="13" s="1"/>
  <c r="Y38" i="13" s="1"/>
  <c r="AZ69" i="13"/>
  <c r="BA69" i="13"/>
  <c r="P37" i="13"/>
  <c r="AY70" i="13"/>
  <c r="BI71" i="13" l="1"/>
  <c r="W71" i="13"/>
  <c r="AW71" i="13"/>
  <c r="AW72" i="13"/>
  <c r="AX70" i="13"/>
  <c r="BN71" i="13"/>
  <c r="BO69" i="13"/>
  <c r="AU72" i="13"/>
  <c r="BN72" i="13"/>
  <c r="AF72" i="13" a="1"/>
  <c r="AG72" i="13" a="1"/>
  <c r="L73" i="13"/>
  <c r="BL71" i="13"/>
  <c r="AK24" i="13"/>
  <c r="AN24" i="13"/>
  <c r="AO24" i="13" s="1"/>
  <c r="AP24" i="13" s="1"/>
  <c r="BH72" i="13"/>
  <c r="BB72" i="13"/>
  <c r="T72" i="13"/>
  <c r="AC72" i="13" a="1"/>
  <c r="BJ72" i="13" s="1"/>
  <c r="AD72" i="13" a="1"/>
  <c r="BK72" i="13" s="1"/>
  <c r="R72" i="13"/>
  <c r="AU71" i="13"/>
  <c r="V71" i="13"/>
  <c r="U72" i="13"/>
  <c r="AS71" i="13"/>
  <c r="Z38" i="13"/>
  <c r="AA38" i="13" s="1" a="1"/>
  <c r="AB38" i="13" s="1"/>
  <c r="AZ70" i="13"/>
  <c r="BA70" i="13"/>
  <c r="P38" i="13"/>
  <c r="BF38" i="13"/>
  <c r="BC39" i="13" s="1"/>
  <c r="N37" i="13"/>
  <c r="BI72" i="13" l="1"/>
  <c r="W72" i="13"/>
  <c r="AX71" i="13"/>
  <c r="BO70" i="13"/>
  <c r="AC73" i="13" a="1"/>
  <c r="BJ73" i="13" s="1"/>
  <c r="BB73" i="13"/>
  <c r="T73" i="13"/>
  <c r="AF73" i="13" a="1"/>
  <c r="AG73" i="13" a="1"/>
  <c r="L74" i="13"/>
  <c r="AR74" i="13" s="1"/>
  <c r="AV74" i="13" s="1"/>
  <c r="BL72" i="13"/>
  <c r="M24" i="13"/>
  <c r="O24" i="13" s="1"/>
  <c r="AR73" i="13"/>
  <c r="AV73" i="13" s="1"/>
  <c r="BH73" i="13"/>
  <c r="AD73" i="13" a="1"/>
  <c r="BK73" i="13" s="1"/>
  <c r="R73" i="13"/>
  <c r="AY71" i="13"/>
  <c r="X71" i="13"/>
  <c r="V72" i="13"/>
  <c r="U73" i="13"/>
  <c r="AS72" i="13"/>
  <c r="AX72" i="13" s="1"/>
  <c r="BE39" i="13"/>
  <c r="BD39" i="13"/>
  <c r="BG39" i="13" s="1"/>
  <c r="Y39" i="13" s="1"/>
  <c r="BI73" i="13" l="1"/>
  <c r="W73" i="13"/>
  <c r="AW73" i="13"/>
  <c r="AW74" i="13"/>
  <c r="BN73" i="13"/>
  <c r="BO71" i="13"/>
  <c r="BL73" i="13"/>
  <c r="AU74" i="13"/>
  <c r="BN74" i="13"/>
  <c r="BH74" i="13"/>
  <c r="BB74" i="13"/>
  <c r="T74" i="13"/>
  <c r="AF74" i="13" a="1"/>
  <c r="AG74" i="13" a="1"/>
  <c r="L75" i="13"/>
  <c r="AH25" i="13"/>
  <c r="AI25" i="13" s="1"/>
  <c r="AE26" i="13" s="1"/>
  <c r="BM26" i="13" s="1"/>
  <c r="AU73" i="13"/>
  <c r="AC74" i="13" a="1"/>
  <c r="BJ74" i="13" s="1"/>
  <c r="AD74" i="13" a="1"/>
  <c r="BK74" i="13" s="1"/>
  <c r="R74" i="13"/>
  <c r="AY72" i="13"/>
  <c r="X72" i="13"/>
  <c r="V73" i="13"/>
  <c r="U74" i="13"/>
  <c r="AZ71" i="13"/>
  <c r="BA71" i="13"/>
  <c r="AS73" i="13"/>
  <c r="BO72" i="13"/>
  <c r="Z39" i="13"/>
  <c r="AA39" i="13" s="1" a="1"/>
  <c r="AB39" i="13" s="1"/>
  <c r="BF39" i="13"/>
  <c r="BC40" i="13" s="1"/>
  <c r="N38" i="13"/>
  <c r="BI74" i="13" l="1"/>
  <c r="W74" i="13"/>
  <c r="AX73" i="13"/>
  <c r="AF75" i="13" a="1"/>
  <c r="AG75" i="13" a="1"/>
  <c r="L76" i="13"/>
  <c r="BL74" i="13"/>
  <c r="AK25" i="13"/>
  <c r="AN25" i="13"/>
  <c r="AO25" i="13" s="1"/>
  <c r="AP25" i="13" s="1"/>
  <c r="V74" i="13"/>
  <c r="AZ72" i="13"/>
  <c r="BA72" i="13"/>
  <c r="AR75" i="13"/>
  <c r="AV75" i="13" s="1"/>
  <c r="BH75" i="13"/>
  <c r="BB75" i="13"/>
  <c r="T75" i="13"/>
  <c r="U75" i="13" s="1"/>
  <c r="AD75" i="13" a="1"/>
  <c r="BK75" i="13" s="1"/>
  <c r="AC75" i="13" a="1"/>
  <c r="BJ75" i="13" s="1"/>
  <c r="R75" i="13"/>
  <c r="AY73" i="13"/>
  <c r="X73" i="13"/>
  <c r="AS74" i="13"/>
  <c r="AX74" i="13" s="1"/>
  <c r="BE40" i="13"/>
  <c r="BD40" i="13"/>
  <c r="BG40" i="13" s="1"/>
  <c r="Y40" i="13" s="1"/>
  <c r="P39" i="13"/>
  <c r="BI75" i="13" l="1"/>
  <c r="W75" i="13"/>
  <c r="AW75" i="13"/>
  <c r="BN75" i="13"/>
  <c r="BO73" i="13"/>
  <c r="AR76" i="13"/>
  <c r="AV76" i="13" s="1"/>
  <c r="BH76" i="13"/>
  <c r="AF76" i="13" a="1"/>
  <c r="AG76" i="13" a="1"/>
  <c r="L77" i="13"/>
  <c r="BL75" i="13"/>
  <c r="M25" i="13"/>
  <c r="O25" i="13" s="1"/>
  <c r="AY74" i="13"/>
  <c r="X74" i="13"/>
  <c r="BB76" i="13"/>
  <c r="T76" i="13"/>
  <c r="AC76" i="13" a="1"/>
  <c r="BJ76" i="13" s="1"/>
  <c r="AD76" i="13" a="1"/>
  <c r="BK76" i="13" s="1"/>
  <c r="R76" i="13"/>
  <c r="AU75" i="13"/>
  <c r="V75" i="13"/>
  <c r="U76" i="13"/>
  <c r="AZ73" i="13"/>
  <c r="BA73" i="13"/>
  <c r="AS75" i="13"/>
  <c r="BO74" i="13"/>
  <c r="Z40" i="13"/>
  <c r="AA40" i="13" s="1" a="1"/>
  <c r="AB40" i="13" s="1"/>
  <c r="P40" i="13"/>
  <c r="BF40" i="13"/>
  <c r="BC41" i="13" s="1"/>
  <c r="N39" i="13"/>
  <c r="BI76" i="13" l="1"/>
  <c r="W76" i="13"/>
  <c r="AX75" i="13"/>
  <c r="AW76" i="13"/>
  <c r="BN76" i="13"/>
  <c r="AU76" i="13"/>
  <c r="AR77" i="13"/>
  <c r="AV77" i="13" s="1"/>
  <c r="BH77" i="13"/>
  <c r="AF77" i="13" a="1"/>
  <c r="AG77" i="13" a="1"/>
  <c r="L78" i="13"/>
  <c r="AR78" i="13" s="1"/>
  <c r="AV78" i="13" s="1"/>
  <c r="BL76" i="13"/>
  <c r="AH26" i="13"/>
  <c r="AI26" i="13" s="1"/>
  <c r="AZ74" i="13"/>
  <c r="BA74" i="13"/>
  <c r="BB77" i="13"/>
  <c r="T77" i="13"/>
  <c r="AC77" i="13" a="1"/>
  <c r="BJ77" i="13" s="1"/>
  <c r="AD77" i="13" a="1"/>
  <c r="BK77" i="13" s="1"/>
  <c r="R77" i="13"/>
  <c r="AY75" i="13"/>
  <c r="X75" i="13"/>
  <c r="V76" i="13"/>
  <c r="U77" i="13"/>
  <c r="AS76" i="13"/>
  <c r="BE41" i="13"/>
  <c r="BD41" i="13"/>
  <c r="BG41" i="13" s="1"/>
  <c r="Y41" i="13" s="1"/>
  <c r="BI77" i="13" l="1"/>
  <c r="W77" i="13"/>
  <c r="AX76" i="13"/>
  <c r="AW77" i="13"/>
  <c r="AW78" i="13"/>
  <c r="BN77" i="13"/>
  <c r="BO75" i="13"/>
  <c r="AU78" i="13"/>
  <c r="BN78" i="13"/>
  <c r="AU77" i="13"/>
  <c r="AG78" i="13" a="1"/>
  <c r="AF78" i="13" a="1"/>
  <c r="L79" i="13"/>
  <c r="BL77" i="13"/>
  <c r="AK26" i="13"/>
  <c r="AN26" i="13"/>
  <c r="AO26" i="13" s="1"/>
  <c r="AP26" i="13" s="1"/>
  <c r="M26" i="13" s="1"/>
  <c r="O26" i="13" s="1"/>
  <c r="BH78" i="13"/>
  <c r="BB78" i="13"/>
  <c r="T78" i="13"/>
  <c r="AC78" i="13" a="1"/>
  <c r="BJ78" i="13" s="1"/>
  <c r="AD78" i="13" a="1"/>
  <c r="BK78" i="13" s="1"/>
  <c r="R78" i="13"/>
  <c r="AZ75" i="13"/>
  <c r="BA75" i="13"/>
  <c r="AY76" i="13"/>
  <c r="X76" i="13"/>
  <c r="V77" i="13"/>
  <c r="U78" i="13"/>
  <c r="AS77" i="13"/>
  <c r="Z41" i="13"/>
  <c r="AA41" i="13" s="1" a="1"/>
  <c r="AB41" i="13" s="1"/>
  <c r="BF41" i="13"/>
  <c r="BC42" i="13" s="1"/>
  <c r="N40" i="13"/>
  <c r="BI78" i="13" l="1"/>
  <c r="W78" i="13"/>
  <c r="AX77" i="13"/>
  <c r="BO76" i="13"/>
  <c r="AF79" i="13" a="1"/>
  <c r="AG79" i="13" a="1"/>
  <c r="L80" i="13"/>
  <c r="BL78" i="13"/>
  <c r="V78" i="13"/>
  <c r="AR79" i="13"/>
  <c r="AV79" i="13" s="1"/>
  <c r="BH79" i="13"/>
  <c r="AD79" i="13" a="1"/>
  <c r="BK79" i="13" s="1"/>
  <c r="BB79" i="13"/>
  <c r="T79" i="13"/>
  <c r="U79" i="13" s="1"/>
  <c r="AC79" i="13" a="1"/>
  <c r="BJ79" i="13" s="1"/>
  <c r="R79" i="13"/>
  <c r="BA76" i="13"/>
  <c r="AZ76" i="13"/>
  <c r="AY77" i="13"/>
  <c r="X77" i="13"/>
  <c r="AS78" i="13"/>
  <c r="AX78" i="13" s="1"/>
  <c r="BE42" i="13"/>
  <c r="BD42" i="13"/>
  <c r="BG42" i="13" s="1"/>
  <c r="Y42" i="13" s="1"/>
  <c r="P41" i="13"/>
  <c r="BI79" i="13" l="1"/>
  <c r="W79" i="13"/>
  <c r="AW79" i="13"/>
  <c r="BN79" i="13"/>
  <c r="BO77" i="13"/>
  <c r="AG80" i="13" a="1"/>
  <c r="AF80" i="13" a="1"/>
  <c r="L81" i="13"/>
  <c r="AR81" i="13" s="1"/>
  <c r="AV81" i="13" s="1"/>
  <c r="BL79" i="13"/>
  <c r="AY78" i="13"/>
  <c r="X78" i="13"/>
  <c r="AU79" i="13"/>
  <c r="V79" i="13"/>
  <c r="U80" i="13"/>
  <c r="AR80" i="13"/>
  <c r="AV80" i="13" s="1"/>
  <c r="AD80" i="13" a="1"/>
  <c r="BK80" i="13" s="1"/>
  <c r="BH80" i="13"/>
  <c r="BB80" i="13"/>
  <c r="T80" i="13"/>
  <c r="AC80" i="13" a="1"/>
  <c r="BJ80" i="13" s="1"/>
  <c r="R80" i="13"/>
  <c r="AZ77" i="13"/>
  <c r="BA77" i="13"/>
  <c r="AS79" i="13"/>
  <c r="BO78" i="13"/>
  <c r="Z42" i="13"/>
  <c r="AA42" i="13" s="1" a="1"/>
  <c r="AB42" i="13" s="1"/>
  <c r="P42" i="13"/>
  <c r="BF42" i="13"/>
  <c r="BC43" i="13" s="1"/>
  <c r="N41" i="13"/>
  <c r="BI80" i="13" l="1"/>
  <c r="W80" i="13"/>
  <c r="AX79" i="13"/>
  <c r="AW80" i="13"/>
  <c r="AW81" i="13"/>
  <c r="BN80" i="13"/>
  <c r="AU81" i="13"/>
  <c r="BN81" i="13"/>
  <c r="AG81" i="13" a="1"/>
  <c r="AF81" i="13" a="1"/>
  <c r="L82" i="13"/>
  <c r="BL80" i="13"/>
  <c r="AZ78" i="13"/>
  <c r="BA78" i="13"/>
  <c r="AY79" i="13"/>
  <c r="X79" i="13"/>
  <c r="U81" i="13"/>
  <c r="V80" i="13"/>
  <c r="AU80" i="13"/>
  <c r="BH81" i="13"/>
  <c r="BB81" i="13"/>
  <c r="T81" i="13"/>
  <c r="AC81" i="13" a="1"/>
  <c r="BJ81" i="13" s="1"/>
  <c r="AD81" i="13" a="1"/>
  <c r="BK81" i="13" s="1"/>
  <c r="R81" i="13"/>
  <c r="AS80" i="13"/>
  <c r="BE43" i="13"/>
  <c r="BD43" i="13"/>
  <c r="BG43" i="13" s="1"/>
  <c r="Y43" i="13" s="1"/>
  <c r="BI81" i="13" l="1"/>
  <c r="W81" i="13"/>
  <c r="AX80" i="13"/>
  <c r="BO79" i="13"/>
  <c r="BB82" i="13"/>
  <c r="AC82" i="13" a="1"/>
  <c r="BJ82" i="13" s="1"/>
  <c r="AD82" i="13" a="1"/>
  <c r="BK82" i="13" s="1"/>
  <c r="R82" i="13"/>
  <c r="T82" i="13"/>
  <c r="AR82" i="13"/>
  <c r="BH82" i="13"/>
  <c r="AG82" i="13" a="1"/>
  <c r="AF82" i="13" a="1"/>
  <c r="BL81" i="13"/>
  <c r="AZ79" i="13"/>
  <c r="BA79" i="13"/>
  <c r="U82" i="13"/>
  <c r="V81" i="13"/>
  <c r="AY80" i="13"/>
  <c r="X80" i="13"/>
  <c r="AS81" i="13"/>
  <c r="AX81" i="13" s="1"/>
  <c r="Z43" i="13"/>
  <c r="AA43" i="13" s="1" a="1"/>
  <c r="AB43" i="13" s="1"/>
  <c r="BF43" i="13"/>
  <c r="BC44" i="13" s="1"/>
  <c r="N42" i="13"/>
  <c r="BI82" i="13" l="1"/>
  <c r="B8" i="13" s="1"/>
  <c r="W82" i="13"/>
  <c r="B4" i="13"/>
  <c r="AV82" i="13"/>
  <c r="AW82" i="13" s="1"/>
  <c r="BO80" i="13"/>
  <c r="AS82" i="13"/>
  <c r="BL82" i="13"/>
  <c r="B7" i="13" s="1"/>
  <c r="AU82" i="13"/>
  <c r="BN82" i="13"/>
  <c r="AZ80" i="13"/>
  <c r="BA80" i="13"/>
  <c r="B6" i="13"/>
  <c r="V82" i="13"/>
  <c r="AY81" i="13"/>
  <c r="X81" i="13"/>
  <c r="BE44" i="13"/>
  <c r="BD44" i="13"/>
  <c r="BG44" i="13" s="1"/>
  <c r="Y44" i="13" s="1"/>
  <c r="P43" i="13"/>
  <c r="X82" i="13" l="1"/>
  <c r="AX82" i="13"/>
  <c r="B5" i="13" s="1"/>
  <c r="BO81" i="13"/>
  <c r="AY82" i="13"/>
  <c r="AZ81" i="13"/>
  <c r="BA81" i="13"/>
  <c r="Z44" i="13"/>
  <c r="AA44" i="13" s="1" a="1"/>
  <c r="AB44" i="13" s="1"/>
  <c r="BF44" i="13"/>
  <c r="BC45" i="13" s="1"/>
  <c r="N43" i="13"/>
  <c r="BO82" i="13" l="1"/>
  <c r="AZ82" i="13"/>
  <c r="BA82" i="13"/>
  <c r="BE45" i="13"/>
  <c r="BD45" i="13"/>
  <c r="BG45" i="13" s="1"/>
  <c r="Y45" i="13" s="1"/>
  <c r="P44" i="13"/>
  <c r="Z45" i="13" l="1"/>
  <c r="AA45" i="13" s="1" a="1"/>
  <c r="AB45" i="13" s="1"/>
  <c r="BF45" i="13"/>
  <c r="BC46" i="13" s="1"/>
  <c r="N44" i="13"/>
  <c r="BE46" i="13" l="1"/>
  <c r="BD46" i="13"/>
  <c r="BG46" i="13" s="1"/>
  <c r="Y46" i="13" s="1"/>
  <c r="P45" i="13"/>
  <c r="Z46" i="13" l="1"/>
  <c r="AA46" i="13" s="1" a="1"/>
  <c r="AB46" i="13" s="1"/>
  <c r="BF46" i="13"/>
  <c r="BC47" i="13" s="1"/>
  <c r="N45" i="13"/>
  <c r="BE47" i="13" l="1"/>
  <c r="BD47" i="13"/>
  <c r="BG47" i="13" s="1"/>
  <c r="Y47" i="13" s="1"/>
  <c r="P46" i="13"/>
  <c r="Z47" i="13" l="1"/>
  <c r="AA47" i="13" s="1" a="1"/>
  <c r="AB47" i="13" s="1"/>
  <c r="BF47" i="13"/>
  <c r="BC48" i="13" s="1"/>
  <c r="N46" i="13"/>
  <c r="BE48" i="13" l="1"/>
  <c r="BD48" i="13"/>
  <c r="BG48" i="13" s="1"/>
  <c r="Y48" i="13" s="1"/>
  <c r="P47" i="13"/>
  <c r="N47" i="13"/>
  <c r="Z48" i="13" l="1"/>
  <c r="AA48" i="13" s="1" a="1"/>
  <c r="AB48" i="13" s="1"/>
  <c r="P48" i="13"/>
  <c r="BF48" i="13"/>
  <c r="BC49" i="13" s="1"/>
  <c r="N48" i="13"/>
  <c r="BE49" i="13" l="1"/>
  <c r="BD49" i="13"/>
  <c r="BG49" i="13" s="1"/>
  <c r="BF49" i="13" l="1"/>
  <c r="BC50" i="13" s="1"/>
  <c r="BE50" i="13" s="1"/>
  <c r="Y49" i="13"/>
  <c r="N49" i="13"/>
  <c r="BD50" i="13" l="1"/>
  <c r="BG50" i="13" s="1"/>
  <c r="Y50" i="13" s="1"/>
  <c r="Z49" i="13"/>
  <c r="AA49" i="13" s="1" a="1"/>
  <c r="AB49" i="13" s="1"/>
  <c r="P49" i="13"/>
  <c r="N50" i="13"/>
  <c r="Z50" i="13" l="1"/>
  <c r="AA50" i="13" s="1" a="1"/>
  <c r="AB50" i="13" s="1"/>
  <c r="BF50" i="13"/>
  <c r="BC51" i="13" s="1"/>
  <c r="BE51" i="13" s="1"/>
  <c r="P50" i="13"/>
  <c r="BD51" i="13" l="1"/>
  <c r="BG51" i="13" s="1"/>
  <c r="Y51" i="13" s="1"/>
  <c r="N51" i="13"/>
  <c r="Z51" i="13" l="1"/>
  <c r="AA51" i="13" s="1" a="1"/>
  <c r="BF51" i="13"/>
  <c r="BC52" i="13" s="1"/>
  <c r="BE52" i="13" s="1"/>
  <c r="P51" i="13"/>
  <c r="AB51" i="13" l="1"/>
  <c r="N52" i="13"/>
  <c r="BD52" i="13"/>
  <c r="BG52" i="13" s="1"/>
  <c r="Y52" i="13" s="1"/>
  <c r="Z52" i="13" l="1"/>
  <c r="AA52" i="13" s="1" a="1"/>
  <c r="AB52" i="13" s="1"/>
  <c r="BF52" i="13"/>
  <c r="BC53" i="13" s="1"/>
  <c r="BE53" i="13" s="1"/>
  <c r="P52" i="13"/>
  <c r="N53" i="13" l="1"/>
  <c r="BD53" i="13"/>
  <c r="BG53" i="13" s="1"/>
  <c r="Y53" i="13" s="1"/>
  <c r="Z53" i="13" l="1"/>
  <c r="AA53" i="13" s="1" a="1"/>
  <c r="BF53" i="13"/>
  <c r="BC54" i="13" s="1"/>
  <c r="BE54" i="13" s="1"/>
  <c r="P53" i="13"/>
  <c r="AB53" i="13" l="1"/>
  <c r="N54" i="13"/>
  <c r="BD54" i="13"/>
  <c r="BG54" i="13" s="1"/>
  <c r="Y54" i="13" s="1"/>
  <c r="Z54" i="13" l="1"/>
  <c r="AA54" i="13" s="1" a="1"/>
  <c r="AB54" i="13" s="1"/>
  <c r="BF54" i="13"/>
  <c r="BC55" i="13" s="1"/>
  <c r="BD55" i="13" s="1"/>
  <c r="BG55" i="13" s="1"/>
  <c r="Y55" i="13" s="1"/>
  <c r="P54" i="13"/>
  <c r="BE55" i="13" l="1"/>
  <c r="BF55" i="13" s="1"/>
  <c r="BC56" i="13" s="1"/>
  <c r="N55" i="13"/>
  <c r="Z55" i="13"/>
  <c r="AA55" i="13" s="1" a="1"/>
  <c r="AB55" i="13" s="1"/>
  <c r="BE56" i="13" l="1"/>
  <c r="BD56" i="13"/>
  <c r="BG56" i="13" s="1"/>
  <c r="Y56" i="13" s="1"/>
  <c r="P55" i="13"/>
  <c r="N56" i="13"/>
  <c r="Z56" i="13" l="1"/>
  <c r="AA56" i="13" s="1" a="1"/>
  <c r="AB56" i="13" s="1"/>
  <c r="BF56" i="13"/>
  <c r="BC57" i="13" s="1"/>
  <c r="BE57" i="13" l="1"/>
  <c r="BD57" i="13"/>
  <c r="BG57" i="13" s="1"/>
  <c r="Y57" i="13" s="1"/>
  <c r="P56" i="13"/>
  <c r="N57" i="13"/>
  <c r="Z57" i="13" l="1"/>
  <c r="AA57" i="13" s="1" a="1"/>
  <c r="AB57" i="13" s="1"/>
  <c r="BF57" i="13"/>
  <c r="BC58" i="13" s="1"/>
  <c r="BE58" i="13" l="1"/>
  <c r="BD58" i="13"/>
  <c r="BG58" i="13" s="1"/>
  <c r="Y58" i="13" s="1"/>
  <c r="P57" i="13"/>
  <c r="N58" i="13"/>
  <c r="Z58" i="13" l="1"/>
  <c r="AA58" i="13" s="1" a="1"/>
  <c r="AB58" i="13" s="1"/>
  <c r="P58" i="13"/>
  <c r="BF58" i="13"/>
  <c r="BC59" i="13" s="1"/>
  <c r="BE59" i="13" l="1"/>
  <c r="BD59" i="13"/>
  <c r="BG59" i="13" s="1"/>
  <c r="Y59" i="13" s="1"/>
  <c r="N59" i="13"/>
  <c r="Z59" i="13" l="1"/>
  <c r="AA59" i="13" s="1" a="1"/>
  <c r="AB59" i="13" s="1"/>
  <c r="P59" i="13"/>
  <c r="BF59" i="13"/>
  <c r="BC60" i="13" s="1"/>
  <c r="BE60" i="13" l="1"/>
  <c r="BD60" i="13"/>
  <c r="BG60" i="13" s="1"/>
  <c r="Y60" i="13" s="1"/>
  <c r="N60" i="13"/>
  <c r="Z60" i="13" l="1"/>
  <c r="AA60" i="13" s="1" a="1"/>
  <c r="AB60" i="13" s="1"/>
  <c r="BF60" i="13"/>
  <c r="BC61" i="13" s="1"/>
  <c r="BE61" i="13" l="1"/>
  <c r="BD61" i="13"/>
  <c r="BG61" i="13" s="1"/>
  <c r="Y61" i="13" s="1"/>
  <c r="P60" i="13"/>
  <c r="N61" i="13"/>
  <c r="Z61" i="13" l="1"/>
  <c r="AA61" i="13" s="1" a="1"/>
  <c r="AB61" i="13" s="1"/>
  <c r="BF61" i="13"/>
  <c r="BC62" i="13" s="1"/>
  <c r="BE62" i="13" l="1"/>
  <c r="BD62" i="13"/>
  <c r="BG62" i="13" s="1"/>
  <c r="Y62" i="13" s="1"/>
  <c r="P61" i="13"/>
  <c r="N62" i="13"/>
  <c r="Z62" i="13" l="1"/>
  <c r="AA62" i="13" s="1" a="1"/>
  <c r="AB62" i="13" s="1"/>
  <c r="BF62" i="13"/>
  <c r="BC63" i="13" s="1"/>
  <c r="BE63" i="13" l="1"/>
  <c r="BD63" i="13"/>
  <c r="BG63" i="13" s="1"/>
  <c r="Y63" i="13" s="1"/>
  <c r="P62" i="13"/>
  <c r="N63" i="13"/>
  <c r="Z63" i="13" l="1"/>
  <c r="AA63" i="13" s="1" a="1"/>
  <c r="AB63" i="13" s="1"/>
  <c r="BF63" i="13"/>
  <c r="BC64" i="13" s="1"/>
  <c r="BE64" i="13" l="1"/>
  <c r="BD64" i="13"/>
  <c r="BG64" i="13" s="1"/>
  <c r="Y64" i="13" s="1"/>
  <c r="P63" i="13"/>
  <c r="N64" i="13"/>
  <c r="Z64" i="13" l="1"/>
  <c r="AA64" i="13" s="1" a="1"/>
  <c r="AB64" i="13" s="1"/>
  <c r="P64" i="13"/>
  <c r="BF64" i="13"/>
  <c r="BC65" i="13" s="1"/>
  <c r="BE65" i="13" l="1"/>
  <c r="BD65" i="13"/>
  <c r="BG65" i="13" s="1"/>
  <c r="Y65" i="13" s="1"/>
  <c r="N65" i="13"/>
  <c r="Z65" i="13" l="1"/>
  <c r="AA65" i="13" s="1" a="1"/>
  <c r="AB65" i="13" s="1"/>
  <c r="P65" i="13"/>
  <c r="BF65" i="13"/>
  <c r="BC66" i="13" s="1"/>
  <c r="BE66" i="13" l="1"/>
  <c r="BD66" i="13"/>
  <c r="BG66" i="13" s="1"/>
  <c r="Y66" i="13" s="1"/>
  <c r="N66" i="13"/>
  <c r="Z66" i="13" l="1"/>
  <c r="AA66" i="13" s="1" a="1"/>
  <c r="AB66" i="13" s="1"/>
  <c r="P66" i="13"/>
  <c r="BF66" i="13"/>
  <c r="BC67" i="13" s="1"/>
  <c r="BE67" i="13" l="1"/>
  <c r="BD67" i="13"/>
  <c r="BG67" i="13" s="1"/>
  <c r="Y67" i="13" s="1"/>
  <c r="N67" i="13"/>
  <c r="Z67" i="13" l="1"/>
  <c r="AA67" i="13" s="1" a="1"/>
  <c r="AB67" i="13" s="1"/>
  <c r="P67" i="13"/>
  <c r="BF67" i="13"/>
  <c r="BC68" i="13" s="1"/>
  <c r="BE68" i="13" l="1"/>
  <c r="BD68" i="13"/>
  <c r="BG68" i="13" s="1"/>
  <c r="Y68" i="13" s="1"/>
  <c r="N68" i="13"/>
  <c r="Z68" i="13" l="1"/>
  <c r="AA68" i="13" s="1" a="1"/>
  <c r="AB68" i="13" s="1"/>
  <c r="P68" i="13"/>
  <c r="BF68" i="13"/>
  <c r="BC69" i="13" s="1"/>
  <c r="BE69" i="13" l="1"/>
  <c r="BD69" i="13"/>
  <c r="BG69" i="13" s="1"/>
  <c r="Y69" i="13" s="1"/>
  <c r="N69" i="13"/>
  <c r="Z69" i="13" l="1"/>
  <c r="AA69" i="13" s="1" a="1"/>
  <c r="AB69" i="13" s="1"/>
  <c r="P69" i="13"/>
  <c r="BF69" i="13"/>
  <c r="BC70" i="13" s="1"/>
  <c r="BE70" i="13" l="1"/>
  <c r="BD70" i="13"/>
  <c r="BG70" i="13" s="1"/>
  <c r="Y70" i="13" s="1"/>
  <c r="N70" i="13"/>
  <c r="Z70" i="13" l="1"/>
  <c r="AA70" i="13" s="1" a="1"/>
  <c r="AB70" i="13" s="1"/>
  <c r="BF70" i="13"/>
  <c r="BC71" i="13" s="1"/>
  <c r="BE71" i="13" l="1"/>
  <c r="BD71" i="13"/>
  <c r="BG71" i="13" s="1"/>
  <c r="Y71" i="13" s="1"/>
  <c r="P70" i="13"/>
  <c r="N71" i="13"/>
  <c r="Z71" i="13" l="1"/>
  <c r="AA71" i="13" s="1" a="1"/>
  <c r="AB71" i="13" s="1"/>
  <c r="BF71" i="13"/>
  <c r="BC72" i="13" s="1"/>
  <c r="BE72" i="13" l="1"/>
  <c r="BD72" i="13"/>
  <c r="BG72" i="13" s="1"/>
  <c r="Y72" i="13" s="1"/>
  <c r="P71" i="13"/>
  <c r="N72" i="13"/>
  <c r="Z72" i="13" l="1"/>
  <c r="AA72" i="13" s="1" a="1"/>
  <c r="AB72" i="13" s="1"/>
  <c r="BF72" i="13"/>
  <c r="BC73" i="13" s="1"/>
  <c r="BE73" i="13" l="1"/>
  <c r="BD73" i="13"/>
  <c r="BG73" i="13" s="1"/>
  <c r="Y73" i="13" s="1"/>
  <c r="P72" i="13"/>
  <c r="N73" i="13"/>
  <c r="Z73" i="13" l="1"/>
  <c r="AA73" i="13" s="1" a="1"/>
  <c r="AB73" i="13" s="1"/>
  <c r="P73" i="13"/>
  <c r="BF73" i="13"/>
  <c r="BC74" i="13" s="1"/>
  <c r="BE74" i="13" l="1"/>
  <c r="BD74" i="13"/>
  <c r="BG74" i="13" s="1"/>
  <c r="Y74" i="13" s="1"/>
  <c r="N74" i="13"/>
  <c r="Z74" i="13" l="1"/>
  <c r="AA74" i="13" s="1" a="1"/>
  <c r="AB74" i="13" s="1"/>
  <c r="BF74" i="13"/>
  <c r="BC75" i="13" s="1"/>
  <c r="BE75" i="13" l="1"/>
  <c r="BD75" i="13"/>
  <c r="BG75" i="13" s="1"/>
  <c r="Y75" i="13" s="1"/>
  <c r="P74" i="13"/>
  <c r="N75" i="13"/>
  <c r="Z75" i="13" l="1"/>
  <c r="AA75" i="13" s="1" a="1"/>
  <c r="AB75" i="13" s="1"/>
  <c r="P75" i="13"/>
  <c r="BF75" i="13"/>
  <c r="BC76" i="13" s="1"/>
  <c r="BE76" i="13" l="1"/>
  <c r="BD76" i="13"/>
  <c r="BG76" i="13" s="1"/>
  <c r="Y76" i="13" s="1"/>
  <c r="N76" i="13"/>
  <c r="Z76" i="13" l="1"/>
  <c r="AA76" i="13" s="1" a="1"/>
  <c r="AB76" i="13" s="1"/>
  <c r="BF76" i="13"/>
  <c r="BC77" i="13" s="1"/>
  <c r="BE77" i="13" l="1"/>
  <c r="BD77" i="13"/>
  <c r="BG77" i="13" s="1"/>
  <c r="Y77" i="13" s="1"/>
  <c r="P76" i="13"/>
  <c r="N77" i="13"/>
  <c r="Z77" i="13" l="1"/>
  <c r="AA77" i="13" s="1" a="1"/>
  <c r="AB77" i="13" s="1"/>
  <c r="BF77" i="13"/>
  <c r="BC78" i="13" s="1"/>
  <c r="BE78" i="13" l="1"/>
  <c r="BD78" i="13"/>
  <c r="BG78" i="13" s="1"/>
  <c r="Y78" i="13" s="1"/>
  <c r="P77" i="13"/>
  <c r="N78" i="13"/>
  <c r="Z78" i="13" l="1"/>
  <c r="AA78" i="13" s="1" a="1"/>
  <c r="AB78" i="13" s="1"/>
  <c r="BF78" i="13"/>
  <c r="BC79" i="13" s="1"/>
  <c r="BE79" i="13" l="1"/>
  <c r="BD79" i="13"/>
  <c r="BG79" i="13" s="1"/>
  <c r="Y79" i="13" s="1"/>
  <c r="P78" i="13"/>
  <c r="N79" i="13"/>
  <c r="Z79" i="13" l="1"/>
  <c r="AA79" i="13" s="1" a="1"/>
  <c r="AB79" i="13" s="1"/>
  <c r="P79" i="13"/>
  <c r="BF79" i="13"/>
  <c r="BC80" i="13" s="1"/>
  <c r="BE80" i="13" l="1"/>
  <c r="BD80" i="13"/>
  <c r="BG80" i="13" s="1"/>
  <c r="Y80" i="13" s="1"/>
  <c r="N80" i="13"/>
  <c r="Z80" i="13" l="1"/>
  <c r="AA80" i="13" s="1" a="1"/>
  <c r="AB80" i="13" s="1"/>
  <c r="P80" i="13"/>
  <c r="BF80" i="13"/>
  <c r="BC81" i="13" s="1"/>
  <c r="BE81" i="13" l="1"/>
  <c r="BD81" i="13"/>
  <c r="BG81" i="13" s="1"/>
  <c r="Y81" i="13" s="1"/>
  <c r="N81" i="13"/>
  <c r="Z81" i="13" l="1"/>
  <c r="AA81" i="13" s="1" a="1"/>
  <c r="AB81" i="13" s="1"/>
  <c r="BF81" i="13"/>
  <c r="BC82" i="13" s="1"/>
  <c r="BD82" i="13" s="1"/>
  <c r="BG82" i="13" s="1"/>
  <c r="Y82" i="13" s="1"/>
  <c r="BE82" i="13" l="1"/>
  <c r="N82" i="13"/>
  <c r="P81" i="13"/>
  <c r="Z82" i="13" l="1"/>
  <c r="AA82" i="13" s="1" a="1"/>
  <c r="AB82" i="13" s="1"/>
  <c r="P82" i="13"/>
  <c r="BF82" i="13"/>
  <c r="U27" i="13"/>
  <c r="U28" i="13" s="1"/>
  <c r="V27" i="13" l="1"/>
  <c r="V28" i="13"/>
  <c r="U29" i="13"/>
  <c r="X27" i="13" l="1"/>
  <c r="AY27" i="13"/>
  <c r="BG27" i="13" s="1"/>
  <c r="V29" i="13"/>
  <c r="U30" i="13"/>
  <c r="V30" i="13" s="1"/>
  <c r="AY28" i="13"/>
  <c r="BG28" i="13" s="1"/>
  <c r="X28" i="13"/>
  <c r="Y27" i="13" l="1"/>
  <c r="AZ27" i="13"/>
  <c r="BA27" i="13"/>
  <c r="BA28" i="13"/>
  <c r="Y28" i="13"/>
  <c r="AZ28" i="13"/>
  <c r="X30" i="13"/>
  <c r="AY30" i="13"/>
  <c r="BG30" i="13" s="1"/>
  <c r="X29" i="13"/>
  <c r="AY29" i="13"/>
  <c r="BG29" i="13" s="1"/>
  <c r="B3" i="13" l="1" a="1"/>
  <c r="X1" i="13" a="1"/>
  <c r="BG1" i="13" a="1"/>
  <c r="Z28" i="13"/>
  <c r="AA28" i="13" s="1" a="1"/>
  <c r="AB28" i="13" s="1"/>
  <c r="P27" i="13"/>
  <c r="P28" i="13"/>
  <c r="Y29" i="13"/>
  <c r="AZ29" i="13"/>
  <c r="BA29" i="13"/>
  <c r="AZ30" i="13"/>
  <c r="BA30" i="13"/>
  <c r="Y30" i="13"/>
  <c r="B38" i="13" l="1" a="1"/>
  <c r="B37" i="13" a="1"/>
  <c r="Z29" i="13"/>
  <c r="AA29" i="13" s="1" a="1"/>
  <c r="AB29" i="13" s="1"/>
  <c r="Z27" i="13"/>
  <c r="AA27" i="13" s="1" a="1"/>
  <c r="Z30" i="13"/>
  <c r="AA30" i="13" s="1" a="1"/>
  <c r="AB30" i="13" s="1"/>
  <c r="P29" i="13"/>
  <c r="P30" i="13"/>
  <c r="AM82" i="13" l="1" a="1"/>
  <c r="AE27" i="13"/>
  <c r="BM27" i="13" s="1"/>
  <c r="AM39" i="13" a="1"/>
  <c r="AM71" i="13" a="1"/>
  <c r="AM38" i="13" a="1"/>
  <c r="AM50" i="13" a="1"/>
  <c r="AM55" i="13" a="1"/>
  <c r="AM59" i="13" a="1"/>
  <c r="AM48" i="13" a="1"/>
  <c r="AM41" i="13" a="1"/>
  <c r="AM28" i="13" a="1"/>
  <c r="AM72" i="13" a="1"/>
  <c r="AM49" i="13" a="1"/>
  <c r="AM27" i="13" a="1"/>
  <c r="AM63" i="13" a="1"/>
  <c r="AM40" i="13" a="1"/>
  <c r="AM31" i="13" a="1"/>
  <c r="AM54" i="13" a="1"/>
  <c r="AM34" i="13" a="1"/>
  <c r="AM56" i="13" a="1"/>
  <c r="AM52" i="13" a="1"/>
  <c r="AM51" i="13" a="1"/>
  <c r="AM77" i="13" a="1"/>
  <c r="AM44" i="13" a="1"/>
  <c r="AM42" i="13" a="1"/>
  <c r="AM68" i="13" a="1"/>
  <c r="AM43" i="13" a="1"/>
  <c r="AM66" i="13" a="1"/>
  <c r="AM33" i="13" a="1"/>
  <c r="AM53" i="13" a="1"/>
  <c r="AM46" i="13" a="1"/>
  <c r="AM29" i="13" a="1"/>
  <c r="AM78" i="13" a="1"/>
  <c r="AM75" i="13" a="1"/>
  <c r="AM69" i="13" a="1"/>
  <c r="AM45" i="13" a="1"/>
  <c r="AM73" i="13" a="1"/>
  <c r="AM57" i="13" a="1"/>
  <c r="AM70" i="13" a="1"/>
  <c r="AM36" i="13" a="1"/>
  <c r="AM37" i="13" a="1"/>
  <c r="AM60" i="13" a="1"/>
  <c r="AM65" i="13" a="1"/>
  <c r="AM30" i="13" a="1"/>
  <c r="AM64" i="13" a="1"/>
  <c r="AM58" i="13" a="1"/>
  <c r="AM80" i="13" a="1"/>
  <c r="AM67" i="13" a="1"/>
  <c r="AM81" i="13" a="1"/>
  <c r="AM62" i="13" a="1"/>
  <c r="AM74" i="13" a="1"/>
  <c r="AM76" i="13" a="1"/>
  <c r="AM35" i="13" a="1"/>
  <c r="AM79" i="13" a="1"/>
  <c r="AM61" i="13" a="1"/>
  <c r="AM47" i="13" a="1"/>
  <c r="AM32" i="13" a="1"/>
  <c r="AB27" i="13"/>
  <c r="AJ27" i="13"/>
  <c r="AJ28" i="13" l="1"/>
  <c r="AL27" i="13"/>
  <c r="AH27" i="13"/>
  <c r="AL28" i="13" l="1"/>
  <c r="AJ29" i="13"/>
  <c r="AI27" i="13"/>
  <c r="AE28" i="13" s="1"/>
  <c r="BM28" i="13" s="1"/>
  <c r="AN27" i="13" l="1"/>
  <c r="AO27" i="13" s="1"/>
  <c r="AP27" i="13" s="1"/>
  <c r="AL29" i="13"/>
  <c r="AJ30" i="13"/>
  <c r="AK27" i="13"/>
  <c r="M27" i="13" l="1"/>
  <c r="O27" i="13" s="1"/>
  <c r="AL30" i="13"/>
  <c r="AJ31" i="13"/>
  <c r="AH28" i="13" l="1"/>
  <c r="AI28" i="13" s="1"/>
  <c r="AL31" i="13"/>
  <c r="AJ32" i="13"/>
  <c r="AN28" i="13" l="1"/>
  <c r="AO28" i="13" s="1"/>
  <c r="AP28" i="13" s="1"/>
  <c r="AE29" i="13"/>
  <c r="BM29" i="13" s="1"/>
  <c r="AK28" i="13"/>
  <c r="AL32" i="13"/>
  <c r="AJ33" i="13"/>
  <c r="M28" i="13" l="1"/>
  <c r="O28" i="13" s="1"/>
  <c r="AL33" i="13"/>
  <c r="AJ34" i="13"/>
  <c r="AH29" i="13" l="1"/>
  <c r="AI29" i="13" s="1"/>
  <c r="AE30" i="13" s="1"/>
  <c r="BM30" i="13" s="1"/>
  <c r="AL34" i="13"/>
  <c r="AJ35" i="13"/>
  <c r="AK29" i="13" l="1"/>
  <c r="AN29" i="13"/>
  <c r="AO29" i="13" s="1"/>
  <c r="AP29" i="13" s="1"/>
  <c r="AL35" i="13"/>
  <c r="AJ36" i="13"/>
  <c r="M29" i="13" l="1"/>
  <c r="O29" i="13" s="1"/>
  <c r="AL36" i="13"/>
  <c r="AJ37" i="13"/>
  <c r="AH30" i="13" l="1"/>
  <c r="AI30" i="13" s="1"/>
  <c r="AE31" i="13" s="1"/>
  <c r="BM31" i="13" s="1"/>
  <c r="AL37" i="13"/>
  <c r="AJ38" i="13"/>
  <c r="AN30" i="13" l="1"/>
  <c r="AO30" i="13" s="1"/>
  <c r="AP30" i="13" s="1"/>
  <c r="AK30" i="13"/>
  <c r="AL38" i="13"/>
  <c r="AJ39" i="13"/>
  <c r="M30" i="13" l="1"/>
  <c r="O30" i="13" s="1"/>
  <c r="AL39" i="13"/>
  <c r="AJ40" i="13"/>
  <c r="AH31" i="13" l="1"/>
  <c r="AI31" i="13" s="1"/>
  <c r="AE32" i="13" s="1"/>
  <c r="BM32" i="13" s="1"/>
  <c r="AL40" i="13"/>
  <c r="AJ41" i="13"/>
  <c r="AN31" i="13" l="1"/>
  <c r="AO31" i="13" s="1"/>
  <c r="AP31" i="13" s="1"/>
  <c r="AK31" i="13"/>
  <c r="AL41" i="13"/>
  <c r="AJ42" i="13"/>
  <c r="M31" i="13" l="1"/>
  <c r="O31" i="13" s="1"/>
  <c r="AL42" i="13"/>
  <c r="AJ43" i="13"/>
  <c r="AH32" i="13" l="1"/>
  <c r="AI32" i="13" s="1"/>
  <c r="AE33" i="13" s="1"/>
  <c r="BM33" i="13" s="1"/>
  <c r="AL43" i="13"/>
  <c r="AJ44" i="13"/>
  <c r="AN32" i="13" l="1"/>
  <c r="AO32" i="13" s="1"/>
  <c r="AP32" i="13" s="1"/>
  <c r="AK32" i="13"/>
  <c r="AL44" i="13"/>
  <c r="AJ45" i="13"/>
  <c r="M32" i="13" l="1"/>
  <c r="O32" i="13" s="1"/>
  <c r="AL45" i="13"/>
  <c r="AJ46" i="13"/>
  <c r="AH33" i="13" l="1"/>
  <c r="AI33" i="13" s="1"/>
  <c r="AE34" i="13" s="1"/>
  <c r="BM34" i="13" s="1"/>
  <c r="AL46" i="13"/>
  <c r="AJ47" i="13"/>
  <c r="AN33" i="13" l="1"/>
  <c r="AO33" i="13" s="1"/>
  <c r="AP33" i="13" s="1"/>
  <c r="AK33" i="13"/>
  <c r="AL47" i="13"/>
  <c r="AJ48" i="13"/>
  <c r="M33" i="13" l="1"/>
  <c r="O33" i="13" s="1"/>
  <c r="AL48" i="13"/>
  <c r="AJ49" i="13"/>
  <c r="AH34" i="13" l="1"/>
  <c r="AI34" i="13" s="1"/>
  <c r="AE35" i="13" s="1"/>
  <c r="BM35" i="13" s="1"/>
  <c r="AL49" i="13"/>
  <c r="AJ50" i="13"/>
  <c r="AK34" i="13" l="1"/>
  <c r="AN34" i="13"/>
  <c r="AO34" i="13" s="1"/>
  <c r="AP34" i="13" s="1"/>
  <c r="AL50" i="13"/>
  <c r="AJ51" i="13"/>
  <c r="M34" i="13" l="1"/>
  <c r="O34" i="13" s="1"/>
  <c r="AL51" i="13"/>
  <c r="AJ52" i="13"/>
  <c r="AH35" i="13" l="1"/>
  <c r="AI35" i="13" s="1"/>
  <c r="AE36" i="13" s="1"/>
  <c r="BM36" i="13" s="1"/>
  <c r="AL52" i="13"/>
  <c r="AJ53" i="13"/>
  <c r="AK35" i="13" l="1"/>
  <c r="AN35" i="13"/>
  <c r="AO35" i="13" s="1"/>
  <c r="AP35" i="13" s="1"/>
  <c r="AL53" i="13"/>
  <c r="AJ54" i="13"/>
  <c r="M35" i="13" l="1"/>
  <c r="O35" i="13" s="1"/>
  <c r="AL54" i="13"/>
  <c r="AJ55" i="13"/>
  <c r="AH36" i="13" l="1"/>
  <c r="AI36" i="13" s="1"/>
  <c r="AE37" i="13" s="1"/>
  <c r="BM37" i="13" s="1"/>
  <c r="AL55" i="13"/>
  <c r="AJ56" i="13"/>
  <c r="AN36" i="13" l="1"/>
  <c r="AO36" i="13" s="1"/>
  <c r="AP36" i="13" s="1"/>
  <c r="AK36" i="13"/>
  <c r="AL56" i="13"/>
  <c r="AJ57" i="13"/>
  <c r="M36" i="13" l="1"/>
  <c r="O36" i="13" s="1"/>
  <c r="AL57" i="13"/>
  <c r="AJ58" i="13"/>
  <c r="AH37" i="13" l="1"/>
  <c r="AI37" i="13" s="1"/>
  <c r="AE38" i="13" s="1"/>
  <c r="BM38" i="13" s="1"/>
  <c r="AL58" i="13"/>
  <c r="AJ59" i="13"/>
  <c r="AN37" i="13" l="1"/>
  <c r="AO37" i="13" s="1"/>
  <c r="AP37" i="13" s="1"/>
  <c r="AK37" i="13"/>
  <c r="AL59" i="13"/>
  <c r="AJ60" i="13"/>
  <c r="M37" i="13" l="1"/>
  <c r="O37" i="13" s="1"/>
  <c r="AL60" i="13"/>
  <c r="AJ61" i="13"/>
  <c r="AH38" i="13" l="1"/>
  <c r="AI38" i="13" s="1"/>
  <c r="AE39" i="13" s="1"/>
  <c r="BM39" i="13" s="1"/>
  <c r="AL61" i="13"/>
  <c r="AJ62" i="13"/>
  <c r="AN38" i="13" l="1"/>
  <c r="AO38" i="13" s="1"/>
  <c r="AP38" i="13" s="1"/>
  <c r="AK38" i="13"/>
  <c r="AL62" i="13"/>
  <c r="AJ63" i="13"/>
  <c r="M38" i="13" l="1"/>
  <c r="O38" i="13" s="1"/>
  <c r="AL63" i="13"/>
  <c r="AJ64" i="13"/>
  <c r="AH39" i="13" l="1"/>
  <c r="AI39" i="13" s="1"/>
  <c r="AE40" i="13" s="1"/>
  <c r="BM40" i="13" s="1"/>
  <c r="AL64" i="13"/>
  <c r="AJ65" i="13"/>
  <c r="AK39" i="13" l="1"/>
  <c r="AN39" i="13"/>
  <c r="AO39" i="13" s="1"/>
  <c r="AP39" i="13" s="1"/>
  <c r="AL65" i="13"/>
  <c r="AJ66" i="13"/>
  <c r="AH40" i="13" l="1"/>
  <c r="AI40" i="13" s="1"/>
  <c r="AE41" i="13" s="1"/>
  <c r="BM41" i="13" s="1"/>
  <c r="M39" i="13"/>
  <c r="O39" i="13" s="1"/>
  <c r="AL66" i="13"/>
  <c r="AJ67" i="13"/>
  <c r="AK40" i="13" l="1"/>
  <c r="AN40" i="13"/>
  <c r="AO40" i="13" s="1"/>
  <c r="AP40" i="13" s="1"/>
  <c r="AL67" i="13"/>
  <c r="AJ68" i="13"/>
  <c r="M40" i="13" l="1"/>
  <c r="O40" i="13" s="1"/>
  <c r="AH41" i="13"/>
  <c r="AI41" i="13" s="1"/>
  <c r="AE42" i="13" s="1"/>
  <c r="BM42" i="13" s="1"/>
  <c r="AL68" i="13"/>
  <c r="AJ69" i="13"/>
  <c r="AN41" i="13" l="1"/>
  <c r="AO41" i="13" s="1"/>
  <c r="AP41" i="13" s="1"/>
  <c r="AK41" i="13"/>
  <c r="AL69" i="13"/>
  <c r="AJ70" i="13"/>
  <c r="AH42" i="13" l="1"/>
  <c r="AI42" i="13" s="1"/>
  <c r="AE43" i="13" s="1"/>
  <c r="BM43" i="13" s="1"/>
  <c r="M41" i="13"/>
  <c r="O41" i="13" s="1"/>
  <c r="AL70" i="13"/>
  <c r="AJ71" i="13"/>
  <c r="AN42" i="13" l="1"/>
  <c r="AO42" i="13" s="1"/>
  <c r="AP42" i="13" s="1"/>
  <c r="AK42" i="13"/>
  <c r="AL71" i="13"/>
  <c r="AJ72" i="13"/>
  <c r="M42" i="13" l="1"/>
  <c r="O42" i="13" s="1"/>
  <c r="AH43" i="13"/>
  <c r="AI43" i="13" s="1"/>
  <c r="AE44" i="13" s="1"/>
  <c r="BM44" i="13" s="1"/>
  <c r="AL72" i="13"/>
  <c r="AJ73" i="13"/>
  <c r="AK43" i="13" l="1"/>
  <c r="AN43" i="13"/>
  <c r="AO43" i="13" s="1"/>
  <c r="AP43" i="13" s="1"/>
  <c r="AL73" i="13"/>
  <c r="AJ74" i="13"/>
  <c r="M43" i="13" l="1"/>
  <c r="O43" i="13" s="1"/>
  <c r="AH44" i="13"/>
  <c r="AI44" i="13" s="1"/>
  <c r="AE45" i="13" s="1"/>
  <c r="BM45" i="13" s="1"/>
  <c r="AL74" i="13"/>
  <c r="AJ75" i="13"/>
  <c r="AK44" i="13" l="1"/>
  <c r="AN44" i="13"/>
  <c r="AO44" i="13" s="1"/>
  <c r="AP44" i="13" s="1"/>
  <c r="AL75" i="13"/>
  <c r="AJ76" i="13"/>
  <c r="M44" i="13" l="1"/>
  <c r="O44" i="13" s="1"/>
  <c r="AL76" i="13"/>
  <c r="AJ77" i="13"/>
  <c r="AH45" i="13" l="1"/>
  <c r="AI45" i="13" s="1"/>
  <c r="AE46" i="13" s="1"/>
  <c r="BM46" i="13" s="1"/>
  <c r="AL77" i="13"/>
  <c r="AJ78" i="13"/>
  <c r="AK45" i="13" l="1"/>
  <c r="AN45" i="13"/>
  <c r="AO45" i="13" s="1"/>
  <c r="AP45" i="13" s="1"/>
  <c r="AL78" i="13"/>
  <c r="AJ79" i="13"/>
  <c r="M45" i="13" l="1"/>
  <c r="O45" i="13" s="1"/>
  <c r="AL79" i="13"/>
  <c r="AJ80" i="13"/>
  <c r="AH46" i="13" l="1"/>
  <c r="AI46" i="13" s="1"/>
  <c r="AE47" i="13" s="1"/>
  <c r="BM47" i="13" s="1"/>
  <c r="AL80" i="13"/>
  <c r="AJ81" i="13"/>
  <c r="AJ82" i="13" s="1"/>
  <c r="AK46" i="13" l="1"/>
  <c r="AN46" i="13"/>
  <c r="AO46" i="13" s="1"/>
  <c r="AP46" i="13" s="1"/>
  <c r="AL81" i="13"/>
  <c r="AL82" i="13"/>
  <c r="M46" i="13" l="1"/>
  <c r="O46" i="13" s="1"/>
  <c r="AH47" i="13" l="1"/>
  <c r="AI47" i="13" s="1"/>
  <c r="AE48" i="13" s="1"/>
  <c r="BM48" i="13" s="1"/>
  <c r="AK47" i="13" l="1"/>
  <c r="AN47" i="13"/>
  <c r="AO47" i="13" s="1"/>
  <c r="AP47" i="13" s="1"/>
  <c r="M47" i="13" l="1"/>
  <c r="O47" i="13" s="1"/>
  <c r="AH48" i="13" l="1"/>
  <c r="AI48" i="13" s="1"/>
  <c r="AE49" i="13" s="1"/>
  <c r="BM49" i="13" s="1"/>
  <c r="AK48" i="13" l="1"/>
  <c r="AN48" i="13"/>
  <c r="AO48" i="13" s="1"/>
  <c r="AP48" i="13" s="1"/>
  <c r="M48" i="13" l="1"/>
  <c r="O48" i="13" s="1"/>
  <c r="AH49" i="13" l="1"/>
  <c r="AI49" i="13" s="1"/>
  <c r="AE50" i="13" s="1"/>
  <c r="BM50" i="13" s="1"/>
  <c r="AK49" i="13" l="1"/>
  <c r="AN49" i="13"/>
  <c r="AO49" i="13" s="1"/>
  <c r="AP49" i="13" s="1"/>
  <c r="M49" i="13" l="1"/>
  <c r="O49" i="13" s="1"/>
  <c r="AH50" i="13" l="1"/>
  <c r="AI50" i="13" s="1"/>
  <c r="AE51" i="13" s="1"/>
  <c r="BM51" i="13" l="1"/>
  <c r="AK50" i="13"/>
  <c r="AN50" i="13"/>
  <c r="AO50" i="13" s="1"/>
  <c r="AP50" i="13" s="1"/>
  <c r="M50" i="13" s="1"/>
  <c r="O50" i="13" s="1"/>
  <c r="AH51" i="13" l="1"/>
  <c r="AI51" i="13" s="1"/>
  <c r="AE52" i="13" l="1"/>
  <c r="BM52" i="13" s="1"/>
  <c r="AK51" i="13"/>
  <c r="AN51" i="13"/>
  <c r="AO51" i="13" s="1"/>
  <c r="AP51" i="13" s="1"/>
  <c r="M51" i="13" s="1"/>
  <c r="O51" i="13" l="1"/>
  <c r="AH52" i="13" l="1"/>
  <c r="AI52" i="13" s="1"/>
  <c r="AE53" i="13" s="1"/>
  <c r="BM53" i="13" s="1"/>
  <c r="AK52" i="13" l="1"/>
  <c r="AN52" i="13"/>
  <c r="AO52" i="13" s="1"/>
  <c r="AP52" i="13" s="1"/>
  <c r="M52" i="13" l="1"/>
  <c r="O52" i="13" s="1"/>
  <c r="AH53" i="13" l="1"/>
  <c r="AI53" i="13" s="1"/>
  <c r="AE54" i="13" s="1"/>
  <c r="BM54" i="13" s="1"/>
  <c r="AK53" i="13" l="1"/>
  <c r="AN53" i="13"/>
  <c r="AO53" i="13" s="1"/>
  <c r="AP53" i="13" s="1"/>
  <c r="M53" i="13" l="1"/>
  <c r="O53" i="13" s="1"/>
  <c r="AH54" i="13" l="1"/>
  <c r="AI54" i="13" s="1"/>
  <c r="AE55" i="13" s="1"/>
  <c r="BM55" i="13" s="1"/>
  <c r="AK54" i="13" l="1"/>
  <c r="AN54" i="13"/>
  <c r="AO54" i="13" s="1"/>
  <c r="AP54" i="13" s="1"/>
  <c r="M54" i="13" l="1"/>
  <c r="O54" i="13" s="1"/>
  <c r="AH55" i="13" l="1"/>
  <c r="AI55" i="13" s="1"/>
  <c r="AE56" i="13" s="1"/>
  <c r="BM56" i="13" s="1"/>
  <c r="AK55" i="13" l="1"/>
  <c r="AN55" i="13"/>
  <c r="AO55" i="13" s="1"/>
  <c r="AP55" i="13" s="1"/>
  <c r="M55" i="13" l="1"/>
  <c r="O55" i="13" s="1"/>
  <c r="AH56" i="13" l="1"/>
  <c r="AI56" i="13" s="1"/>
  <c r="AE57" i="13" s="1"/>
  <c r="BM57" i="13" s="1"/>
  <c r="AK56" i="13" l="1"/>
  <c r="AN56" i="13"/>
  <c r="AO56" i="13" s="1"/>
  <c r="AP56" i="13" s="1"/>
  <c r="M56" i="13" l="1"/>
  <c r="O56" i="13" s="1"/>
  <c r="AH57" i="13" l="1"/>
  <c r="AI57" i="13" s="1"/>
  <c r="AE58" i="13" s="1"/>
  <c r="BM58" i="13" s="1"/>
  <c r="AK57" i="13" l="1"/>
  <c r="AN57" i="13"/>
  <c r="AO57" i="13" s="1"/>
  <c r="AP57" i="13" s="1"/>
  <c r="M57" i="13" l="1"/>
  <c r="O57" i="13" s="1"/>
  <c r="AH58" i="13" l="1"/>
  <c r="AI58" i="13" s="1"/>
  <c r="AE59" i="13" s="1"/>
  <c r="BM59" i="13" s="1"/>
  <c r="AK58" i="13" l="1"/>
  <c r="AN58" i="13"/>
  <c r="AO58" i="13" s="1"/>
  <c r="AP58" i="13" s="1"/>
  <c r="M58" i="13" l="1"/>
  <c r="O58" i="13" s="1"/>
  <c r="AH59" i="13" l="1"/>
  <c r="AI59" i="13" s="1"/>
  <c r="AE60" i="13" s="1"/>
  <c r="BM60" i="13" s="1"/>
  <c r="AK59" i="13" l="1"/>
  <c r="AN59" i="13"/>
  <c r="AO59" i="13" s="1"/>
  <c r="AP59" i="13" s="1"/>
  <c r="M59" i="13" l="1"/>
  <c r="O59" i="13" s="1"/>
  <c r="AH60" i="13" l="1"/>
  <c r="AI60" i="13" s="1"/>
  <c r="AE61" i="13" s="1"/>
  <c r="BM61" i="13" s="1"/>
  <c r="AK60" i="13" l="1"/>
  <c r="AN60" i="13"/>
  <c r="AO60" i="13" s="1"/>
  <c r="AP60" i="13" s="1"/>
  <c r="M60" i="13" l="1"/>
  <c r="O60" i="13" s="1"/>
  <c r="AH61" i="13" l="1"/>
  <c r="AI61" i="13" s="1"/>
  <c r="AE62" i="13" s="1"/>
  <c r="BM62" i="13" s="1"/>
  <c r="AK61" i="13" l="1"/>
  <c r="AN61" i="13"/>
  <c r="AO61" i="13" s="1"/>
  <c r="AP61" i="13" s="1"/>
  <c r="M61" i="13" l="1"/>
  <c r="O61" i="13" s="1"/>
  <c r="AH62" i="13" l="1"/>
  <c r="AI62" i="13" s="1"/>
  <c r="AE63" i="13" s="1"/>
  <c r="BM63" i="13" s="1"/>
  <c r="AK62" i="13" l="1"/>
  <c r="AN62" i="13"/>
  <c r="AO62" i="13" s="1"/>
  <c r="AP62" i="13" s="1"/>
  <c r="M62" i="13" l="1"/>
  <c r="O62" i="13" s="1"/>
  <c r="AH63" i="13" l="1"/>
  <c r="AI63" i="13" s="1"/>
  <c r="AE64" i="13" s="1"/>
  <c r="BM64" i="13" s="1"/>
  <c r="AK63" i="13" l="1"/>
  <c r="AN63" i="13"/>
  <c r="AO63" i="13" s="1"/>
  <c r="AP63" i="13" s="1"/>
  <c r="M63" i="13" l="1"/>
  <c r="O63" i="13" s="1"/>
  <c r="N20" i="13"/>
  <c r="O20" i="13" s="1"/>
  <c r="N21" i="13"/>
  <c r="O21" i="13" s="1"/>
  <c r="AH64" i="13" l="1"/>
  <c r="AI64" i="13" s="1"/>
  <c r="AE65" i="13" s="1"/>
  <c r="BM65" i="13" s="1"/>
  <c r="AK64" i="13" l="1"/>
  <c r="AN64" i="13"/>
  <c r="AO64" i="13" s="1"/>
  <c r="AP64" i="13" s="1"/>
  <c r="M64" i="13" l="1"/>
  <c r="O64" i="13" s="1"/>
  <c r="AH65" i="13" l="1"/>
  <c r="AI65" i="13" s="1"/>
  <c r="AE66" i="13" s="1"/>
  <c r="BM66" i="13" s="1"/>
  <c r="AK65" i="13" l="1"/>
  <c r="AN65" i="13"/>
  <c r="AO65" i="13" s="1"/>
  <c r="AP65" i="13" s="1"/>
  <c r="M65" i="13" l="1"/>
  <c r="O65" i="13" s="1"/>
  <c r="AH66" i="13" l="1"/>
  <c r="AI66" i="13" s="1"/>
  <c r="AE67" i="13" s="1"/>
  <c r="BM67" i="13" s="1"/>
  <c r="AK66" i="13" l="1"/>
  <c r="AN66" i="13"/>
  <c r="AO66" i="13" s="1"/>
  <c r="AP66" i="13" s="1"/>
  <c r="M66" i="13" l="1"/>
  <c r="O66" i="13" s="1"/>
  <c r="AH67" i="13" l="1"/>
  <c r="AI67" i="13" s="1"/>
  <c r="AE68" i="13" s="1"/>
  <c r="BM68" i="13" s="1"/>
  <c r="AK67" i="13" l="1"/>
  <c r="AN67" i="13"/>
  <c r="AO67" i="13" s="1"/>
  <c r="AP67" i="13" s="1"/>
  <c r="M67" i="13" l="1"/>
  <c r="O67" i="13" s="1"/>
  <c r="AH68" i="13" l="1"/>
  <c r="AI68" i="13" s="1"/>
  <c r="AE69" i="13" s="1"/>
  <c r="BM69" i="13" s="1"/>
  <c r="AK68" i="13" l="1"/>
  <c r="AN68" i="13"/>
  <c r="AO68" i="13" s="1"/>
  <c r="AP68" i="13" s="1"/>
  <c r="M68" i="13" l="1"/>
  <c r="O68" i="13" s="1"/>
  <c r="AH69" i="13" l="1"/>
  <c r="AI69" i="13" s="1"/>
  <c r="AE70" i="13" s="1"/>
  <c r="BM70" i="13" s="1"/>
  <c r="AK69" i="13" l="1"/>
  <c r="AN69" i="13"/>
  <c r="AO69" i="13" s="1"/>
  <c r="AP69" i="13" s="1"/>
  <c r="M69" i="13" l="1"/>
  <c r="O69" i="13" s="1"/>
  <c r="AH70" i="13" l="1"/>
  <c r="AI70" i="13" s="1"/>
  <c r="AE71" i="13" s="1"/>
  <c r="BM71" i="13" s="1"/>
  <c r="AK70" i="13" l="1"/>
  <c r="AN70" i="13"/>
  <c r="AO70" i="13" s="1"/>
  <c r="AP70" i="13" s="1"/>
  <c r="M70" i="13" l="1"/>
  <c r="O70" i="13" s="1"/>
  <c r="AH71" i="13" l="1"/>
  <c r="AI71" i="13" s="1"/>
  <c r="AE72" i="13" s="1"/>
  <c r="BM72" i="13" s="1"/>
  <c r="AK71" i="13" l="1"/>
  <c r="AN71" i="13"/>
  <c r="AO71" i="13" s="1"/>
  <c r="AP71" i="13" s="1"/>
  <c r="M71" i="13" l="1"/>
  <c r="O71" i="13" s="1"/>
  <c r="AH72" i="13" l="1"/>
  <c r="AI72" i="13" s="1"/>
  <c r="AE73" i="13" s="1"/>
  <c r="BM73" i="13" s="1"/>
  <c r="AK72" i="13" l="1"/>
  <c r="AN72" i="13"/>
  <c r="AO72" i="13" s="1"/>
  <c r="AP72" i="13" s="1"/>
  <c r="M72" i="13" l="1"/>
  <c r="O72" i="13" s="1"/>
  <c r="AH73" i="13" l="1"/>
  <c r="AI73" i="13" s="1"/>
  <c r="AE74" i="13" s="1"/>
  <c r="BM74" i="13" s="1"/>
  <c r="AK73" i="13" l="1"/>
  <c r="AN73" i="13"/>
  <c r="AO73" i="13" s="1"/>
  <c r="AP73" i="13" s="1"/>
  <c r="M73" i="13" l="1"/>
  <c r="O73" i="13" s="1"/>
  <c r="AH74" i="13" l="1"/>
  <c r="AI74" i="13" s="1"/>
  <c r="AE75" i="13" s="1"/>
  <c r="BM75" i="13" s="1"/>
  <c r="AK74" i="13" l="1"/>
  <c r="AN74" i="13"/>
  <c r="AO74" i="13" s="1"/>
  <c r="AP74" i="13" s="1"/>
  <c r="M74" i="13" l="1"/>
  <c r="O74" i="13" s="1"/>
  <c r="AH75" i="13" l="1"/>
  <c r="AI75" i="13" s="1"/>
  <c r="AE76" i="13" s="1"/>
  <c r="BM76" i="13" s="1"/>
  <c r="AK75" i="13" l="1"/>
  <c r="AN75" i="13"/>
  <c r="AO75" i="13" s="1"/>
  <c r="AP75" i="13" s="1"/>
  <c r="M75" i="13" l="1"/>
  <c r="O75" i="13" s="1"/>
  <c r="AH76" i="13" l="1"/>
  <c r="AI76" i="13" s="1"/>
  <c r="AE77" i="13" s="1"/>
  <c r="BM77" i="13" s="1"/>
  <c r="AK76" i="13" l="1"/>
  <c r="AN76" i="13"/>
  <c r="AO76" i="13" s="1"/>
  <c r="AP76" i="13" s="1"/>
  <c r="M76" i="13" l="1"/>
  <c r="O76" i="13" s="1"/>
  <c r="AH77" i="13" l="1"/>
  <c r="AI77" i="13" s="1"/>
  <c r="AE78" i="13" s="1"/>
  <c r="BM78" i="13" s="1"/>
  <c r="AK77" i="13" l="1"/>
  <c r="AN77" i="13"/>
  <c r="AO77" i="13" s="1"/>
  <c r="AP77" i="13" s="1"/>
  <c r="M77" i="13" l="1"/>
  <c r="O77" i="13" s="1"/>
  <c r="AH78" i="13" l="1"/>
  <c r="AI78" i="13" s="1"/>
  <c r="AE79" i="13" s="1"/>
  <c r="BM79" i="13" s="1"/>
  <c r="AK78" i="13" l="1"/>
  <c r="AN78" i="13"/>
  <c r="AO78" i="13" s="1"/>
  <c r="AP78" i="13" s="1"/>
  <c r="M78" i="13" l="1"/>
  <c r="O78" i="13" s="1"/>
  <c r="AH79" i="13" l="1"/>
  <c r="AI79" i="13" s="1"/>
  <c r="AE80" i="13" s="1"/>
  <c r="BM80" i="13" s="1"/>
  <c r="AK79" i="13" l="1"/>
  <c r="AN79" i="13"/>
  <c r="AO79" i="13" s="1"/>
  <c r="AP79" i="13" s="1"/>
  <c r="M79" i="13" l="1"/>
  <c r="O79" i="13" s="1"/>
  <c r="AH80" i="13" l="1"/>
  <c r="AI80" i="13" s="1"/>
  <c r="AE81" i="13" s="1"/>
  <c r="BM81" i="13" s="1"/>
  <c r="AK80" i="13" l="1"/>
  <c r="AN80" i="13"/>
  <c r="AO80" i="13" s="1"/>
  <c r="AP80" i="13" s="1"/>
  <c r="M80" i="13" l="1"/>
  <c r="O80" i="13" s="1"/>
  <c r="AH81" i="13" l="1"/>
  <c r="AI81" i="13" s="1"/>
  <c r="AE82" i="13" s="1"/>
  <c r="BM82" i="13" s="1"/>
  <c r="AK81" i="13" l="1"/>
  <c r="AN81" i="13"/>
  <c r="AO81" i="13" s="1"/>
  <c r="AP81" i="13" s="1"/>
  <c r="M81" i="13" l="1"/>
  <c r="O81" i="13" s="1"/>
  <c r="AH82" i="13" l="1"/>
  <c r="AI82" i="13" s="1"/>
  <c r="AN82" i="13" l="1"/>
  <c r="AO82" i="13" s="1"/>
  <c r="AP82" i="13" s="1"/>
  <c r="M82" i="13" s="1"/>
  <c r="O82" i="13" s="1"/>
  <c r="B2" i="13" s="1"/>
  <c r="AK82"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Hatta Misra</author>
  </authors>
  <commentList>
    <comment ref="U2" authorId="0" shapeId="0" xr:uid="{534314A7-E90E-42C9-869F-BEDFBC027EB1}">
      <text>
        <r>
          <rPr>
            <b/>
            <sz val="9"/>
            <color indexed="81"/>
            <rFont val="Tahoma"/>
            <family val="2"/>
          </rPr>
          <t>Hatta Misra:</t>
        </r>
        <r>
          <rPr>
            <sz val="9"/>
            <color indexed="81"/>
            <rFont val="Tahoma"/>
            <family val="2"/>
          </rPr>
          <t xml:space="preserve">
We assume the renter's rents change yearly to match the market rent.</t>
        </r>
      </text>
    </comment>
    <comment ref="Z2" authorId="0" shapeId="0" xr:uid="{7061C6D8-D8BE-4103-BF08-1D6DF6587FA7}">
      <text>
        <r>
          <rPr>
            <b/>
            <sz val="9"/>
            <color indexed="81"/>
            <rFont val="Tahoma"/>
            <family val="2"/>
          </rPr>
          <t>Hatta Misra:</t>
        </r>
        <r>
          <rPr>
            <sz val="9"/>
            <color indexed="81"/>
            <rFont val="Tahoma"/>
            <family val="2"/>
          </rPr>
          <t xml:space="preserve">
Only when investing through super</t>
        </r>
      </text>
    </comment>
    <comment ref="AM2" authorId="0" shapeId="0" xr:uid="{ED8D01D4-0F4F-4AD7-9270-BB001F193D71}">
      <text>
        <r>
          <rPr>
            <b/>
            <sz val="9"/>
            <color indexed="81"/>
            <rFont val="Tahoma"/>
            <family val="2"/>
          </rPr>
          <t>Hatta Misra:</t>
        </r>
        <r>
          <rPr>
            <sz val="9"/>
            <color indexed="81"/>
            <rFont val="Tahoma"/>
            <family val="2"/>
          </rPr>
          <t xml:space="preserve">
Logic: if CPI in Q1 was 100 and next quarter Q2 was 101, then to adjust the cost base for inflation we calculate q_2 = q_1*(101/100) + c_2 where c_2 is contributions this quarter and q is the cost base adjusted for CPI by quarter</t>
        </r>
      </text>
    </comment>
    <comment ref="A14" authorId="0" shapeId="0" xr:uid="{DB548461-CDA2-4DBA-898B-ECF137FF1D7A}">
      <text>
        <r>
          <rPr>
            <b/>
            <sz val="9"/>
            <color indexed="81"/>
            <rFont val="Tahoma"/>
            <family val="2"/>
          </rPr>
          <t>Hatta Misra:</t>
        </r>
        <r>
          <rPr>
            <sz val="9"/>
            <color indexed="81"/>
            <rFont val="Tahoma"/>
            <family val="2"/>
          </rPr>
          <t xml:space="preserve">
We account for depreciation, renovation, and maintenance separately.
We assume that the home depreciates in value at a certain rate (default: 1% of original home value p.a.)
Higher home sale prices in the index are partly due to homes being renovated/altered/added then sold at a higher price. The model accounts for this by adding another derating factor (default: 1.15% of current index value p.a.).
Depreciation and renovation are applied as de-rating factors (as it represents an ageing and unrenovated home falling behind the index of newer and renovated homes). In contrast, maintenance spending is applied as cashflow costs.
(Renovation was modelled as a cashflow cost but since renovations aren't mandatory like maintenance is, it's probably more appropriate to apply it as a derating factor to home value)</t>
        </r>
      </text>
    </comment>
    <comment ref="A15" authorId="0" shapeId="0" xr:uid="{DE9DF85A-EA0B-4E35-AD9B-8C0762CEE527}">
      <text>
        <r>
          <rPr>
            <b/>
            <sz val="9"/>
            <color indexed="81"/>
            <rFont val="Tahoma"/>
            <family val="2"/>
          </rPr>
          <t>Hatta Misra:</t>
        </r>
        <r>
          <rPr>
            <sz val="9"/>
            <color indexed="81"/>
            <rFont val="Tahoma"/>
            <family val="2"/>
          </rPr>
          <t xml:space="preserve">
This line item is how much better we assume newer homes (newer constituents in the home price index) are, compared to older homes. If this is 0 then we assume the median 2010 and median 2020 home are the same quality - same appliances, floor area, insulation standards, etc. etc.
Fox &amp; Tulip 2014 cites Stapleton 2007, 2012 estimates of "alterations and additions [contributing] 1.15 percentage points a year to average home values"</t>
        </r>
      </text>
    </comment>
    <comment ref="B26" authorId="0" shapeId="0" xr:uid="{38E18596-781B-4FCF-A741-A26E08C20CD3}">
      <text>
        <r>
          <rPr>
            <b/>
            <sz val="9"/>
            <color indexed="81"/>
            <rFont val="Tahoma"/>
            <family val="2"/>
          </rPr>
          <t>Hatta Misra:</t>
        </r>
        <r>
          <rPr>
            <sz val="9"/>
            <color indexed="81"/>
            <rFont val="Tahoma"/>
            <family val="2"/>
          </rPr>
          <t xml:space="preserve">
Stamp Duties Act 1923 (SA) as of 1 July 2005, Schedule 2 s.3(1). NB: First home owner concession tapers out from $150k to $250k so even if we apply it the concession will be small</t>
        </r>
      </text>
    </comment>
    <comment ref="A44" authorId="0" shapeId="0" xr:uid="{0A031E0E-F2A5-407C-A615-5278ABAA2A5A}">
      <text>
        <r>
          <rPr>
            <b/>
            <sz val="9"/>
            <color indexed="81"/>
            <rFont val="Tahoma"/>
            <family val="2"/>
          </rPr>
          <t>Hatta Misra:</t>
        </r>
        <r>
          <rPr>
            <sz val="9"/>
            <color indexed="81"/>
            <rFont val="Tahoma"/>
            <family val="2"/>
          </rPr>
          <t xml:space="preserve">
We do not consider taxation of superannuation earnings as there are ways for an individual investor to have a very low effective tax rate on superannuation earnings. See the notes docx for more info.</t>
        </r>
      </text>
    </comment>
    <comment ref="A47" authorId="0" shapeId="0" xr:uid="{34FBCEC1-7EB8-4B16-93C0-311B51D2B3E3}">
      <text>
        <r>
          <rPr>
            <b/>
            <sz val="9"/>
            <color indexed="81"/>
            <rFont val="Tahoma"/>
            <family val="2"/>
          </rPr>
          <t>Hatta Misra:</t>
        </r>
        <r>
          <rPr>
            <sz val="9"/>
            <color indexed="81"/>
            <rFont val="Tahoma"/>
            <family val="2"/>
          </rPr>
          <t xml:space="preserve">
We assume that a renter-investor using super has all of their spare cashflow at the marginal income/super tax rates, and claims the tax deductions. This can be done in the same quarter through salary sacrificing.
For example, if the renter has spare cashflow of $10,000, marginal income tax + Medicare levy 32% and super contributions tax 15% (for tax concessions of 17%), it would be taxed at 15% in super, making their contribution (1-15%)*10,000 = $8500. But they would be able to get a $10,000 tax deduction and thus an extra 32%*10,000 = $3200, making their total deduction 8500+3200 = $11,700 = (1+17%)*10,000.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Andrew Knox</author>
    <author>April Ash</author>
  </authors>
  <commentList>
    <comment ref="A7" authorId="0" shapeId="0" xr:uid="{89C712C1-8D0B-4A38-A6C3-7B59E780C6B3}">
      <text>
        <r>
          <rPr>
            <sz val="8"/>
            <rFont val="Arial"/>
            <family val="2"/>
          </rPr>
          <t>Adjusted for changes in the Consumer Price Index.</t>
        </r>
      </text>
    </comment>
    <comment ref="A14" authorId="0" shapeId="0" xr:uid="{D3ACB0CF-7115-46D2-9F5F-D57B658A9122}">
      <text>
        <r>
          <rPr>
            <sz val="8"/>
            <rFont val="Arial"/>
            <family val="2"/>
          </rPr>
          <t xml:space="preserve">Includes other landlord type, which account for about 7% of all renters in 2011–12.
</t>
        </r>
      </text>
    </comment>
    <comment ref="A15" authorId="0" shapeId="0" xr:uid="{0805CCF1-E85E-444C-92EC-DDC7382F8FE6}">
      <text>
        <r>
          <rPr>
            <sz val="8"/>
            <rFont val="Arial"/>
            <family val="2"/>
          </rPr>
          <t>Includes other tenure type, which account for about 2% of all households in 2011–12.</t>
        </r>
      </text>
    </comment>
    <comment ref="C22" authorId="1" shapeId="0" xr:uid="{AA1F1240-D861-4F16-A81F-4BCE390E02BD}">
      <text>
        <r>
          <rPr>
            <sz val="9"/>
            <color indexed="81"/>
            <rFont val="Tahoma"/>
            <family val="2"/>
          </rPr>
          <t>estimate has a relative standard error of 25% to 50% and should be used with caution</t>
        </r>
      </text>
    </comment>
    <comment ref="D22" authorId="1" shapeId="0" xr:uid="{19788F89-23E0-477B-B148-8A3161AB5217}">
      <text>
        <r>
          <rPr>
            <sz val="9"/>
            <color indexed="81"/>
            <rFont val="Tahoma"/>
            <family val="2"/>
          </rPr>
          <t>estimate has a relative standard error of 25% to 50% and should be used with caution</t>
        </r>
      </text>
    </comment>
    <comment ref="E22" authorId="1" shapeId="0" xr:uid="{49E0FF46-B3E6-412D-B398-EA791491A0FE}">
      <text>
        <r>
          <rPr>
            <sz val="9"/>
            <color indexed="81"/>
            <rFont val="Tahoma"/>
            <family val="2"/>
          </rPr>
          <t>estimate has a relative standard error of 25% to 50% and should be used with caution</t>
        </r>
      </text>
    </comment>
    <comment ref="F22" authorId="1" shapeId="0" xr:uid="{B3B29DEE-B77F-446A-98EB-A1F2C3FE40BE}">
      <text>
        <r>
          <rPr>
            <sz val="9"/>
            <color indexed="81"/>
            <rFont val="Tahoma"/>
            <family val="2"/>
          </rPr>
          <t>estimate has a relative standard error of 25% to 50% and should be used with caution</t>
        </r>
      </text>
    </comment>
    <comment ref="G22" authorId="1" shapeId="0" xr:uid="{B6916953-3A3D-41BF-A7A2-E3670E90FACA}">
      <text>
        <r>
          <rPr>
            <sz val="9"/>
            <color indexed="81"/>
            <rFont val="Tahoma"/>
            <family val="2"/>
          </rPr>
          <t>estimate has a relative standard error greater than 50% and is considered too unreliable for general use</t>
        </r>
      </text>
    </comment>
    <comment ref="H22" authorId="1" shapeId="0" xr:uid="{617C098A-7397-471C-8585-35CDBBDA425F}">
      <text>
        <r>
          <rPr>
            <sz val="9"/>
            <color indexed="81"/>
            <rFont val="Tahoma"/>
            <family val="2"/>
          </rPr>
          <t>estimate has a relative standard error of 25% to 50% and should be used with caution</t>
        </r>
      </text>
    </comment>
    <comment ref="I22" authorId="1" shapeId="0" xr:uid="{574353D9-4FCC-4C73-AA5C-20FE8687CFD0}">
      <text>
        <r>
          <rPr>
            <sz val="9"/>
            <color indexed="81"/>
            <rFont val="Tahoma"/>
            <family val="2"/>
          </rPr>
          <t>estimate has a relative standard error of 25% to 50% and should be used with caution</t>
        </r>
      </text>
    </comment>
    <comment ref="J22" authorId="1" shapeId="0" xr:uid="{956A1E2A-8F16-4540-B5C8-9675A7AF42A0}">
      <text>
        <r>
          <rPr>
            <sz val="9"/>
            <color indexed="81"/>
            <rFont val="Tahoma"/>
            <family val="2"/>
          </rPr>
          <t>estimate has a relative standard error of 25% to 50% and should be used with caution</t>
        </r>
      </text>
    </comment>
    <comment ref="K22" authorId="1" shapeId="0" xr:uid="{DA2DB615-14F9-49E4-A0BB-45EC37F81794}">
      <text>
        <r>
          <rPr>
            <sz val="9"/>
            <color indexed="81"/>
            <rFont val="Tahoma"/>
            <family val="2"/>
          </rPr>
          <t>estimate has a relative standard error greater than 50% and is considered too unreliable for general use</t>
        </r>
      </text>
    </comment>
    <comment ref="N22" authorId="2" shapeId="0" xr:uid="{E0ED5D33-04B3-4A43-9FE6-C12400DD47F8}">
      <text>
        <r>
          <rPr>
            <sz val="9"/>
            <color indexed="81"/>
            <rFont val="Tahoma"/>
            <family val="2"/>
          </rPr>
          <t xml:space="preserve">estimate has a relative standard error of 25% to 50% and should be used with caution
</t>
        </r>
      </text>
    </comment>
    <comment ref="N25" authorId="2" shapeId="0" xr:uid="{48C4C3C4-AFA1-4A60-99EE-D508F0A2C239}">
      <text>
        <r>
          <rPr>
            <sz val="9"/>
            <color indexed="81"/>
            <rFont val="Tahoma"/>
            <family val="2"/>
          </rPr>
          <t>estimate has a relative standard error of 25% to 50% and should be used with caution</t>
        </r>
      </text>
    </comment>
    <comment ref="A31" authorId="0" shapeId="0" xr:uid="{AFD6F854-ABBF-481E-8B3C-1F7E6BEA9ED8}">
      <text>
        <r>
          <rPr>
            <sz val="8"/>
            <rFont val="Arial"/>
            <family val="2"/>
          </rPr>
          <t>Includes other dwelling types, which account for about 0.1% of all private dwellings in 2011–12.</t>
        </r>
      </text>
    </comment>
    <comment ref="A32" authorId="0" shapeId="0" xr:uid="{52AC8233-EAF4-4101-95C8-97EDE40BAEC3}">
      <text>
        <r>
          <rPr>
            <sz val="8"/>
            <rFont val="Arial"/>
            <family val="2"/>
          </rPr>
          <t>See paragraphs 47 to 55 of the explanatory notes.
Estimates presented from 2007–08 onwards are not directly comparable with estimates for previous cycles due to the improvements made to measuring income introduced in the 2007-08 cycle. Estimates for 2003–04 and 2005–06 have been recompiled to reflect the new treatments of income, however not all new components introduced in 2007-08 are available for earlier cycles.</t>
        </r>
      </text>
    </comment>
    <comment ref="F44" authorId="1" shapeId="0" xr:uid="{CE1D16F1-C492-4C48-8403-18868F64BEC7}">
      <text>
        <r>
          <rPr>
            <sz val="9"/>
            <color indexed="81"/>
            <rFont val="Tahoma"/>
            <family val="2"/>
          </rPr>
          <t>estimate has a relative standard error of 25% to 50% and should be used with caution</t>
        </r>
      </text>
    </comment>
    <comment ref="A45" authorId="0" shapeId="0" xr:uid="{44441E77-A24B-41C8-90DA-66D702974E91}">
      <text>
        <r>
          <rPr>
            <sz val="8"/>
            <rFont val="Arial"/>
            <family val="2"/>
          </rPr>
          <t>Includes households with nil or negative total income.</t>
        </r>
      </text>
    </comment>
    <comment ref="A52" authorId="0" shapeId="0" xr:uid="{E9D08DF7-C484-4598-83B7-BBCD2C9A32FC}">
      <text>
        <r>
          <rPr>
            <sz val="8"/>
            <rFont val="Arial"/>
            <family val="2"/>
          </rPr>
          <t>Adjusted for changes in the Consumer Price Index.</t>
        </r>
      </text>
    </comment>
    <comment ref="A54" authorId="0" shapeId="0" xr:uid="{7DDFA83F-5F97-4C00-8DC5-AC22EA3C1987}">
      <text>
        <r>
          <rPr>
            <sz val="8"/>
            <rFont val="Arial"/>
            <family val="2"/>
          </rPr>
          <t>Only includes owners with a mortgage. From 2003–04 excludes amounts of loans for business and investment purposes secured against the dwelling.</t>
        </r>
      </text>
    </comment>
    <comment ref="A56" authorId="0" shapeId="0" xr:uid="{737701C2-8497-44F5-A14E-B7500476A98F}">
      <text>
        <r>
          <rPr>
            <sz val="8"/>
            <rFont val="Arial"/>
            <family val="2"/>
          </rPr>
          <t>Adjusted for changes in the Consumer Price Index.
Estimates presented from 2007–08 onwards are not directly comparable with estimates for previous cycles due to the improvements made to measuring income introduced in the 2007-08 cycle. Estimates for 2003–04 and 2005–06 have been recompiled to reflect the new treatments of income, however not all new components introduced in 2007-08 are available for earlier cycles.</t>
        </r>
      </text>
    </comment>
    <comment ref="A60" authorId="0" shapeId="0" xr:uid="{2624CA3E-4E03-434E-8F10-212FA0AFAA58}">
      <text>
        <r>
          <rPr>
            <sz val="8"/>
            <rFont val="Arial"/>
            <family val="2"/>
          </rPr>
          <t>Adjusted for changes in the Consumer Price Index.</t>
        </r>
      </text>
    </comment>
    <comment ref="A67" authorId="0" shapeId="0" xr:uid="{FDC15D90-6C37-42B3-9CEE-24F90493442A}">
      <text>
        <r>
          <rPr>
            <sz val="8"/>
            <rFont val="Arial"/>
            <family val="2"/>
          </rPr>
          <t xml:space="preserve">Includes other landlord type, which account for about 7% of all renters in 2011–12.
</t>
        </r>
      </text>
    </comment>
    <comment ref="A68" authorId="0" shapeId="0" xr:uid="{0DCCDE6E-F5B3-4C89-89C0-7B1EA8E3D7E5}">
      <text>
        <r>
          <rPr>
            <sz val="8"/>
            <rFont val="Arial"/>
            <family val="2"/>
          </rPr>
          <t>Includes other tenure type, which account for about 2% of all households in 2011–12.</t>
        </r>
      </text>
    </comment>
    <comment ref="A84" authorId="0" shapeId="0" xr:uid="{EB635F94-707D-45DD-9BE0-F740113112C8}">
      <text>
        <r>
          <rPr>
            <sz val="8"/>
            <rFont val="Arial"/>
            <family val="2"/>
          </rPr>
          <t>Includes other dwelling types, which account for about 0.1% of all private dwellings in 2011–12.</t>
        </r>
      </text>
    </comment>
    <comment ref="A85" authorId="0" shapeId="0" xr:uid="{ED6BCBE8-6415-4315-8D78-1056BBDA7537}">
      <text>
        <r>
          <rPr>
            <sz val="8"/>
            <rFont val="Arial"/>
            <family val="2"/>
          </rPr>
          <t>See paragraphs 47 to 55 of the explanatory notes.
Estimates presented from 2007–08 onwards are not directly comparable with estimates for previous cycles due to the improvements made to measuring income introduced in the 2007-08 cycle. Estimates for 2003–04 and 2005–06 have been recompiled to reflect the new treatments of income, however not all new components introduced in 2007-08 are available for earlier cycles.</t>
        </r>
      </text>
    </comment>
    <comment ref="A98" authorId="0" shapeId="0" xr:uid="{55A91315-019C-4163-BD08-8F9979CE07FE}">
      <text>
        <r>
          <rPr>
            <sz val="8"/>
            <rFont val="Arial"/>
            <family val="2"/>
          </rPr>
          <t>Includes households with nil or negative total income.</t>
        </r>
      </text>
    </comment>
    <comment ref="A105" authorId="0" shapeId="0" xr:uid="{E9929F45-455E-43AD-A21F-6DF702CBE4EB}">
      <text>
        <r>
          <rPr>
            <sz val="8"/>
            <rFont val="Arial"/>
            <family val="2"/>
          </rPr>
          <t>Adjusted for changes in the Consumer Price Index.</t>
        </r>
      </text>
    </comment>
    <comment ref="A107" authorId="0" shapeId="0" xr:uid="{BE4445EB-280F-4C88-AA76-A99EF1B88D76}">
      <text>
        <r>
          <rPr>
            <sz val="8"/>
            <rFont val="Arial"/>
            <family val="2"/>
          </rPr>
          <t>Only includes owners with a mortgage. From 2003–04 excludes amounts of loans for business and investment purposes secured against the dwelling.</t>
        </r>
      </text>
    </comment>
    <comment ref="A109" authorId="0" shapeId="0" xr:uid="{291FB598-9BDA-44E0-B433-D22E092B2687}">
      <text>
        <r>
          <rPr>
            <sz val="8"/>
            <rFont val="Arial"/>
            <family val="2"/>
          </rPr>
          <t>Adjusted for changes in the Consumer Price Index.
Estimates presented from 2007–08 onwards are not directly comparable with estimates for previous cycles due to the improvements made to measuring income introduced in the 2007-08 cycle. Estimates for 2003–04 and 2005–06 have been recompiled to reflect the new treatments of income, however not all new components introduced in 2007-08 are available for earlier cycles.</t>
        </r>
      </text>
    </comment>
    <comment ref="C110" authorId="0" shapeId="0" xr:uid="{1C7BF068-36C8-4771-86AC-0046568F08C9}">
      <text>
        <r>
          <rPr>
            <sz val="8"/>
            <rFont val="Arial"/>
            <family val="2"/>
          </rPr>
          <t>not applicable</t>
        </r>
      </text>
    </comment>
    <comment ref="D110" authorId="0" shapeId="0" xr:uid="{3E38CB28-B7D2-4252-959B-69D9A0E17BCC}">
      <text>
        <r>
          <rPr>
            <sz val="8"/>
            <rFont val="Arial"/>
            <family val="2"/>
          </rPr>
          <t>not applicable</t>
        </r>
      </text>
    </comment>
    <comment ref="E110" authorId="0" shapeId="0" xr:uid="{555029CC-C601-4B27-8EEE-E4E154745425}">
      <text>
        <r>
          <rPr>
            <sz val="8"/>
            <rFont val="Arial"/>
            <family val="2"/>
          </rPr>
          <t>not applicable</t>
        </r>
      </text>
    </comment>
    <comment ref="F110" authorId="0" shapeId="0" xr:uid="{CA3A49CF-35FF-46BA-B56E-857EA9DF5B70}">
      <text>
        <r>
          <rPr>
            <sz val="8"/>
            <rFont val="Arial"/>
            <family val="2"/>
          </rPr>
          <t>not applicable</t>
        </r>
      </text>
    </comment>
    <comment ref="G110" authorId="0" shapeId="0" xr:uid="{B81922FF-899C-4C75-9966-687B7A433CAA}">
      <text>
        <r>
          <rPr>
            <sz val="8"/>
            <rFont val="Arial"/>
            <family val="2"/>
          </rPr>
          <t>not applicable</t>
        </r>
      </text>
    </comment>
    <comment ref="H110" authorId="0" shapeId="0" xr:uid="{A4DF41B5-E6F4-4C95-96E5-C1EE8BAE8BBB}">
      <text>
        <r>
          <rPr>
            <sz val="8"/>
            <rFont val="Arial"/>
            <family val="2"/>
          </rPr>
          <t>not applicable</t>
        </r>
      </text>
    </comment>
    <comment ref="I110" authorId="0" shapeId="0" xr:uid="{3EB41D21-FD02-40BA-9AFE-DA6217027CEA}">
      <text>
        <r>
          <rPr>
            <sz val="8"/>
            <rFont val="Arial"/>
            <family val="2"/>
          </rPr>
          <t>not applicable</t>
        </r>
      </text>
    </comment>
    <comment ref="J110" authorId="0" shapeId="0" xr:uid="{EF3CBD6D-C344-4961-961B-B07F565A36F7}">
      <text>
        <r>
          <rPr>
            <sz val="8"/>
            <rFont val="Arial"/>
            <family val="2"/>
          </rPr>
          <t>not applicable</t>
        </r>
      </text>
    </comment>
    <comment ref="K110" authorId="0" shapeId="0" xr:uid="{6E070E68-6E2C-474E-A85B-F643D0395A91}">
      <text>
        <r>
          <rPr>
            <sz val="8"/>
            <rFont val="Arial"/>
            <family val="2"/>
          </rPr>
          <t>not applicable</t>
        </r>
      </text>
    </comment>
    <comment ref="L110" authorId="0" shapeId="0" xr:uid="{165A2A10-4B67-48D2-B9BF-EE62DF637CC8}">
      <text>
        <r>
          <rPr>
            <sz val="8"/>
            <rFont val="Arial"/>
            <family val="2"/>
          </rPr>
          <t>not applicable</t>
        </r>
      </text>
    </comment>
    <comment ref="M110" authorId="0" shapeId="0" xr:uid="{BCE06A26-C9D0-4FD2-8EC2-D0E1C8F883FE}">
      <text>
        <r>
          <rPr>
            <sz val="8"/>
            <rFont val="Arial"/>
            <family val="2"/>
          </rPr>
          <t>not applicable</t>
        </r>
      </text>
    </comment>
    <comment ref="N110" authorId="2" shapeId="0" xr:uid="{ACB30764-FD02-4AD6-8EE3-47C1F9D03606}">
      <text>
        <r>
          <rPr>
            <sz val="9"/>
            <color indexed="81"/>
            <rFont val="Tahoma"/>
            <family val="2"/>
          </rPr>
          <t>not applicable</t>
        </r>
      </text>
    </comment>
    <comment ref="C111" authorId="0" shapeId="0" xr:uid="{11271766-5317-4B06-8D09-4F040C8FD4AD}">
      <text>
        <r>
          <rPr>
            <sz val="8"/>
            <rFont val="Arial"/>
            <family val="2"/>
          </rPr>
          <t>not applicable</t>
        </r>
      </text>
    </comment>
    <comment ref="D111" authorId="0" shapeId="0" xr:uid="{3350D5E0-D006-4861-8251-B6581484A0B3}">
      <text>
        <r>
          <rPr>
            <sz val="8"/>
            <rFont val="Arial"/>
            <family val="2"/>
          </rPr>
          <t>not applicable</t>
        </r>
      </text>
    </comment>
    <comment ref="E111" authorId="0" shapeId="0" xr:uid="{94074283-3B2F-47A0-AB27-7F4C68297E3E}">
      <text>
        <r>
          <rPr>
            <sz val="8"/>
            <rFont val="Arial"/>
            <family val="2"/>
          </rPr>
          <t>not applicable</t>
        </r>
      </text>
    </comment>
    <comment ref="F111" authorId="0" shapeId="0" xr:uid="{667C6F04-4161-48A5-8009-D1D01E1AF13A}">
      <text>
        <r>
          <rPr>
            <sz val="8"/>
            <rFont val="Arial"/>
            <family val="2"/>
          </rPr>
          <t>not applicable</t>
        </r>
      </text>
    </comment>
    <comment ref="G111" authorId="0" shapeId="0" xr:uid="{06C9FE33-C01D-4B43-8E5C-C932D7073C09}">
      <text>
        <r>
          <rPr>
            <sz val="8"/>
            <rFont val="Arial"/>
            <family val="2"/>
          </rPr>
          <t>not applicable</t>
        </r>
      </text>
    </comment>
    <comment ref="H111" authorId="0" shapeId="0" xr:uid="{4ED00DDF-F991-46B7-9EF2-E68019B2D23A}">
      <text>
        <r>
          <rPr>
            <sz val="8"/>
            <rFont val="Arial"/>
            <family val="2"/>
          </rPr>
          <t>not applicable</t>
        </r>
      </text>
    </comment>
    <comment ref="I111" authorId="0" shapeId="0" xr:uid="{6090D3B8-5797-4C58-82B6-1D11A65AFF89}">
      <text>
        <r>
          <rPr>
            <sz val="8"/>
            <rFont val="Arial"/>
            <family val="2"/>
          </rPr>
          <t>not applicable</t>
        </r>
      </text>
    </comment>
    <comment ref="J111" authorId="0" shapeId="0" xr:uid="{0E062337-A7D2-4922-93C5-528125D7115C}">
      <text>
        <r>
          <rPr>
            <sz val="8"/>
            <rFont val="Arial"/>
            <family val="2"/>
          </rPr>
          <t>not applicable</t>
        </r>
      </text>
    </comment>
    <comment ref="K111" authorId="0" shapeId="0" xr:uid="{9D102DFC-E140-4B4B-A32A-EF452E2662C0}">
      <text>
        <r>
          <rPr>
            <sz val="8"/>
            <rFont val="Arial"/>
            <family val="2"/>
          </rPr>
          <t>not applicable</t>
        </r>
      </text>
    </comment>
    <comment ref="L111" authorId="0" shapeId="0" xr:uid="{AA8E32D5-7D39-435D-A388-AF352FA93CAE}">
      <text>
        <r>
          <rPr>
            <sz val="8"/>
            <rFont val="Arial"/>
            <family val="2"/>
          </rPr>
          <t>not applicable</t>
        </r>
      </text>
    </comment>
    <comment ref="M111" authorId="0" shapeId="0" xr:uid="{20CC64B0-A9CB-4AFC-BD5E-29A2D335673D}">
      <text>
        <r>
          <rPr>
            <sz val="8"/>
            <rFont val="Arial"/>
            <family val="2"/>
          </rPr>
          <t>not applicable</t>
        </r>
      </text>
    </comment>
    <comment ref="N111" authorId="2" shapeId="0" xr:uid="{3E648464-6D7A-4767-8B79-3141685DCA40}">
      <text>
        <r>
          <rPr>
            <b/>
            <sz val="9"/>
            <color indexed="81"/>
            <rFont val="Tahoma"/>
            <family val="2"/>
          </rPr>
          <t>April Ash:</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Q1" authorId="0" shapeId="0" xr:uid="{160799A1-2AFB-4CCA-9EDD-0931D0D9E663}">
      <text>
        <r>
          <rPr>
            <sz val="8"/>
            <color indexed="81"/>
            <rFont val="Tahoma"/>
            <family val="2"/>
          </rPr>
          <t>Attached dwellings includes flats, units and apartments plus semi-detached, row and terrace houses.</t>
        </r>
      </text>
    </comment>
    <comment ref="R1" authorId="0" shapeId="0" xr:uid="{437841FB-80FA-4E45-AF88-34ADC8257B2A}">
      <text>
        <r>
          <rPr>
            <sz val="8"/>
            <color indexed="81"/>
            <rFont val="Tahoma"/>
            <family val="2"/>
          </rPr>
          <t>Attached dwellings includes flats, units and apartments plus semi-detached, row and terrace houses.</t>
        </r>
      </text>
    </comment>
    <comment ref="S1" authorId="0" shapeId="0" xr:uid="{164ED3C5-3D81-47CC-B775-51CAB287356E}">
      <text>
        <r>
          <rPr>
            <sz val="8"/>
            <color indexed="81"/>
            <rFont val="Tahoma"/>
            <family val="2"/>
          </rPr>
          <t>Attached dwellings includes flats, units and apartments plus semi-detached, row and terrace houses.</t>
        </r>
      </text>
    </comment>
    <comment ref="T1" authorId="0" shapeId="0" xr:uid="{F487017B-74CD-4D73-81BB-6789E1D9F250}">
      <text>
        <r>
          <rPr>
            <sz val="8"/>
            <color indexed="81"/>
            <rFont val="Tahoma"/>
            <family val="2"/>
          </rPr>
          <t>Attached dwellings includes flats, units and apartments plus semi-detached, row and terrace houses.</t>
        </r>
      </text>
    </comment>
    <comment ref="U1" authorId="0" shapeId="0" xr:uid="{98E2E865-2862-49F6-A7D8-2BDC68C5C3A0}">
      <text>
        <r>
          <rPr>
            <sz val="8"/>
            <color indexed="81"/>
            <rFont val="Tahoma"/>
            <family val="2"/>
          </rPr>
          <t>Attached dwellings includes flats, units and apartments plus semi-detached, row and terrace houses.</t>
        </r>
      </text>
    </comment>
    <comment ref="V1" authorId="0" shapeId="0" xr:uid="{27B842E7-0451-4CCA-9367-42E2527FE6B5}">
      <text>
        <r>
          <rPr>
            <sz val="8"/>
            <color indexed="81"/>
            <rFont val="Tahoma"/>
            <family val="2"/>
          </rPr>
          <t>Attached dwellings includes flats, units and apartments plus semi-detached, row and terrace houses.</t>
        </r>
      </text>
    </comment>
    <comment ref="W1" authorId="0" shapeId="0" xr:uid="{0D198B6E-1C56-4089-A215-403F0EB08B94}">
      <text>
        <r>
          <rPr>
            <sz val="8"/>
            <color indexed="81"/>
            <rFont val="Tahoma"/>
            <family val="2"/>
          </rPr>
          <t>Attached dwellings includes flats, units and apartments plus semi-detached, row and terrace houses.</t>
        </r>
      </text>
    </comment>
    <comment ref="X1" authorId="0" shapeId="0" xr:uid="{3E37ECA9-03BB-4B6F-AA93-A5E854D5DDD0}">
      <text>
        <r>
          <rPr>
            <sz val="8"/>
            <color indexed="81"/>
            <rFont val="Tahoma"/>
            <family val="2"/>
          </rPr>
          <t>Attached dwellings includes flats, units and apartments plus semi-detached, row and terrace houses.</t>
        </r>
      </text>
    </comment>
    <comment ref="Y1" authorId="0" shapeId="0" xr:uid="{911945AE-3C9D-472D-BB7E-C5FAFF40AEBF}">
      <text>
        <r>
          <rPr>
            <sz val="8"/>
            <color indexed="81"/>
            <rFont val="Tahoma"/>
            <family val="2"/>
          </rPr>
          <t>Attached dwellings includes flats, units and apartments plus semi-detached, row and terrace houses.</t>
        </r>
      </text>
    </comment>
    <comment ref="Z1" authorId="0" shapeId="0" xr:uid="{8A9730A1-9F8D-4113-9779-C9E8F197D601}">
      <text>
        <r>
          <rPr>
            <sz val="8"/>
            <color indexed="81"/>
            <rFont val="Tahoma"/>
            <family val="2"/>
          </rPr>
          <t>Attached dwellings includes flats, units and apartments plus semi-detached, row and terrace houses.</t>
        </r>
      </text>
    </comment>
    <comment ref="AA1" authorId="0" shapeId="0" xr:uid="{82FBAFC2-86EB-4471-AFC2-D5FDA000C1B2}">
      <text>
        <r>
          <rPr>
            <sz val="8"/>
            <color indexed="81"/>
            <rFont val="Tahoma"/>
            <family val="2"/>
          </rPr>
          <t>Attached dwellings includes flats, units and apartments plus semi-detached, row and terrace houses.</t>
        </r>
      </text>
    </comment>
    <comment ref="AB1" authorId="0" shapeId="0" xr:uid="{BB46C58C-CBE4-406F-AB16-504EDEF4B811}">
      <text>
        <r>
          <rPr>
            <sz val="8"/>
            <color indexed="81"/>
            <rFont val="Tahoma"/>
            <family val="2"/>
          </rPr>
          <t>Attached dwellings includes flats, units and apartments plus semi-detached, row and terrace houses.</t>
        </r>
      </text>
    </comment>
    <comment ref="AC1" authorId="0" shapeId="0" xr:uid="{C05170B5-1B0F-4DF1-B688-30223E3F0B9D}">
      <text>
        <r>
          <rPr>
            <sz val="8"/>
            <color indexed="81"/>
            <rFont val="Tahoma"/>
            <family val="2"/>
          </rPr>
          <t>Attached dwellings includes flats, units and apartments plus semi-detached, row and terrace houses.</t>
        </r>
      </text>
    </comment>
    <comment ref="AD1" authorId="0" shapeId="0" xr:uid="{C70B48E3-484F-4C55-B103-AD6B8C0271C5}">
      <text>
        <r>
          <rPr>
            <sz val="8"/>
            <color indexed="81"/>
            <rFont val="Tahoma"/>
            <family val="2"/>
          </rPr>
          <t>Attached dwellings includes flats, units and apartments plus semi-detached, row and terrace houses.</t>
        </r>
      </text>
    </comment>
    <comment ref="AE1" authorId="0" shapeId="0" xr:uid="{C667635D-3477-4732-BB3D-42C9813AE9C4}">
      <text>
        <r>
          <rPr>
            <sz val="8"/>
            <color indexed="81"/>
            <rFont val="Tahoma"/>
            <family val="2"/>
          </rPr>
          <t>Attached dwellings includes flats, units and apartments plus semi-detached, row and terrace houses.</t>
        </r>
      </text>
    </comment>
    <comment ref="AU1" authorId="0" shapeId="0" xr:uid="{D8AFCF95-AD6D-4011-A901-EECC3C540149}">
      <text>
        <r>
          <rPr>
            <sz val="8"/>
            <color indexed="81"/>
            <rFont val="Tahoma"/>
            <family val="2"/>
          </rPr>
          <t>Attached dwellings includes flats, units and apartments plus semi-detached, row and terrace houses.</t>
        </r>
      </text>
    </comment>
    <comment ref="AV1" authorId="0" shapeId="0" xr:uid="{E5E842B4-9EC1-40DC-8F59-CEA9DE6F07A4}">
      <text>
        <r>
          <rPr>
            <sz val="8"/>
            <color indexed="81"/>
            <rFont val="Tahoma"/>
            <family val="2"/>
          </rPr>
          <t>Attached dwellings includes flats, units and apartments plus semi-detached, row and terrace houses.</t>
        </r>
      </text>
    </comment>
    <comment ref="AW1" authorId="0" shapeId="0" xr:uid="{1BDCA899-FFA5-4F43-87EE-C4A360BD8BC9}">
      <text>
        <r>
          <rPr>
            <sz val="8"/>
            <color indexed="81"/>
            <rFont val="Tahoma"/>
            <family val="2"/>
          </rPr>
          <t>Attached dwellings includes flats, units and apartments plus semi-detached, row and terrace houses.</t>
        </r>
      </text>
    </comment>
    <comment ref="AX1" authorId="0" shapeId="0" xr:uid="{45D36AC8-7F54-45E4-ADCA-1A38EB900ACA}">
      <text>
        <r>
          <rPr>
            <sz val="8"/>
            <color indexed="81"/>
            <rFont val="Tahoma"/>
            <family val="2"/>
          </rPr>
          <t>Attached dwellings includes flats, units and apartments plus semi-detached, row and terrace houses.</t>
        </r>
      </text>
    </comment>
    <comment ref="AY1" authorId="0" shapeId="0" xr:uid="{13B5A90A-6A13-4537-B4E9-37D4FDA4BF55}">
      <text>
        <r>
          <rPr>
            <sz val="8"/>
            <color indexed="81"/>
            <rFont val="Tahoma"/>
            <family val="2"/>
          </rPr>
          <t>Attached dwellings includes flats, units and apartments plus semi-detached, row and terrace houses.</t>
        </r>
      </text>
    </comment>
    <comment ref="AZ1" authorId="0" shapeId="0" xr:uid="{36899DD7-48A8-4043-90C6-2FC239F3ED6B}">
      <text>
        <r>
          <rPr>
            <sz val="8"/>
            <color indexed="81"/>
            <rFont val="Tahoma"/>
            <family val="2"/>
          </rPr>
          <t>Attached dwellings includes flats, units and apartments plus semi-detached, row and terrace houses.</t>
        </r>
      </text>
    </comment>
    <comment ref="BA1" authorId="0" shapeId="0" xr:uid="{178BCED2-A49A-4EC1-889E-D2388A104FA3}">
      <text>
        <r>
          <rPr>
            <sz val="8"/>
            <color indexed="81"/>
            <rFont val="Tahoma"/>
            <family val="2"/>
          </rPr>
          <t>Attached dwellings includes flats, units and apartments plus semi-detached, row and terrace houses.</t>
        </r>
      </text>
    </comment>
    <comment ref="BB1" authorId="0" shapeId="0" xr:uid="{745DABC8-EC18-460C-B941-87C9A3FCB62B}">
      <text>
        <r>
          <rPr>
            <sz val="8"/>
            <color indexed="81"/>
            <rFont val="Tahoma"/>
            <family val="2"/>
          </rPr>
          <t>Attached dwellings includes flats, units and apartments plus semi-detached, row and terrace houses.</t>
        </r>
      </text>
    </comment>
    <comment ref="BC1" authorId="0" shapeId="0" xr:uid="{E1ABAF80-23BF-4845-A6D9-F4C88C69C320}">
      <text>
        <r>
          <rPr>
            <sz val="8"/>
            <color indexed="81"/>
            <rFont val="Tahoma"/>
            <family val="2"/>
          </rPr>
          <t>Attached dwellings includes flats, units and apartments plus semi-detached, row and terrace houses.</t>
        </r>
      </text>
    </comment>
    <comment ref="BD1" authorId="0" shapeId="0" xr:uid="{85C19BE5-B286-430A-B63D-DCEEC9525178}">
      <text>
        <r>
          <rPr>
            <sz val="8"/>
            <color indexed="81"/>
            <rFont val="Tahoma"/>
            <family val="2"/>
          </rPr>
          <t>Attached dwellings includes flats, units and apartments plus semi-detached, row and terrace houses.</t>
        </r>
      </text>
    </comment>
    <comment ref="BE1" authorId="0" shapeId="0" xr:uid="{8A361AEC-A0BD-454A-A58E-6C0D7092CAF7}">
      <text>
        <r>
          <rPr>
            <sz val="8"/>
            <color indexed="81"/>
            <rFont val="Tahoma"/>
            <family val="2"/>
          </rPr>
          <t>Attached dwellings includes flats, units and apartments plus semi-detached, row and terrace houses.</t>
        </r>
      </text>
    </comment>
    <comment ref="BF1" authorId="0" shapeId="0" xr:uid="{C2EC42C7-85A0-4740-8F91-53B2076437CE}">
      <text>
        <r>
          <rPr>
            <sz val="8"/>
            <color indexed="81"/>
            <rFont val="Tahoma"/>
            <family val="2"/>
          </rPr>
          <t>Attached dwellings includes flats, units and apartments plus semi-detached, row and terrace houses.</t>
        </r>
      </text>
    </comment>
    <comment ref="BG1" authorId="0" shapeId="0" xr:uid="{0ADC0907-2217-4FC5-ABF4-51ECB5A0233F}">
      <text>
        <r>
          <rPr>
            <sz val="8"/>
            <color indexed="81"/>
            <rFont val="Tahoma"/>
            <family val="2"/>
          </rPr>
          <t>Attached dwellings includes flats, units and apartments plus semi-detached, row and terrace houses.</t>
        </r>
      </text>
    </comment>
    <comment ref="BH1" authorId="0" shapeId="0" xr:uid="{9876B2A6-59B4-4E48-BED9-F0F16BB5E444}">
      <text>
        <r>
          <rPr>
            <sz val="8"/>
            <color indexed="81"/>
            <rFont val="Tahoma"/>
            <family val="2"/>
          </rPr>
          <t>Attached dwellings includes flats, units and apartments plus semi-detached, row and terrace houses.</t>
        </r>
      </text>
    </comment>
    <comment ref="BI1" authorId="0" shapeId="0" xr:uid="{A700DDBD-6913-4ED0-A956-16B0EFAE55FC}">
      <text>
        <r>
          <rPr>
            <sz val="8"/>
            <color indexed="81"/>
            <rFont val="Tahoma"/>
            <family val="2"/>
          </rPr>
          <t>Attached dwellings includes flats, units and apartments plus semi-detached, row and terrace houses.</t>
        </r>
      </text>
    </comment>
    <comment ref="A6" authorId="0" shapeId="0" xr:uid="{F1E3F243-C0B1-46E4-9B69-EB74C3325702}">
      <text>
        <r>
          <rPr>
            <sz val="8"/>
            <color indexed="81"/>
            <rFont val="Tahoma"/>
            <family val="2"/>
          </rPr>
          <t>Refers to series collected at quarterly and lesser frequencies only.
Indicates which month in the collection period the data refers to.</t>
        </r>
      </text>
    </comment>
    <comment ref="J97" authorId="0" shapeId="0" xr:uid="{44E5B53C-BE04-4C66-941F-4660BB2D776E}">
      <text>
        <r>
          <rPr>
            <sz val="8"/>
            <color indexed="81"/>
            <rFont val="Tahoma"/>
            <family val="2"/>
          </rPr>
          <t>revised</t>
        </r>
      </text>
    </comment>
    <comment ref="K97" authorId="0" shapeId="0" xr:uid="{125D08E9-6454-4AE0-85B8-2796DDE8773A}">
      <text>
        <r>
          <rPr>
            <sz val="8"/>
            <color indexed="81"/>
            <rFont val="Tahoma"/>
            <family val="2"/>
          </rPr>
          <t>revised</t>
        </r>
      </text>
    </comment>
    <comment ref="L97" authorId="0" shapeId="0" xr:uid="{8FD0AA6F-7618-43E4-9082-2AD8F16EE6B9}">
      <text>
        <r>
          <rPr>
            <sz val="8"/>
            <color indexed="81"/>
            <rFont val="Tahoma"/>
            <family val="2"/>
          </rPr>
          <t>revised</t>
        </r>
      </text>
    </comment>
    <comment ref="M97" authorId="0" shapeId="0" xr:uid="{E8C88C85-6ACE-44ED-AFE1-8ABEC897F4C3}">
      <text>
        <r>
          <rPr>
            <sz val="8"/>
            <color indexed="81"/>
            <rFont val="Tahoma"/>
            <family val="2"/>
          </rPr>
          <t>revised</t>
        </r>
      </text>
    </comment>
    <comment ref="Z97" authorId="0" shapeId="0" xr:uid="{B59FECAB-F98B-4CC6-9468-77BEEB9D111A}">
      <text>
        <r>
          <rPr>
            <sz val="8"/>
            <color indexed="81"/>
            <rFont val="Tahoma"/>
            <family val="2"/>
          </rPr>
          <t>revised</t>
        </r>
      </text>
    </comment>
    <comment ref="AF97" authorId="0" shapeId="0" xr:uid="{AC24EF5A-3F90-4FEF-928A-0FBC8974A0E8}">
      <text>
        <r>
          <rPr>
            <sz val="8"/>
            <color indexed="81"/>
            <rFont val="Tahoma"/>
            <family val="2"/>
          </rPr>
          <t>revised</t>
        </r>
      </text>
    </comment>
    <comment ref="AH97" authorId="0" shapeId="0" xr:uid="{AE406641-6886-4CB3-932E-4736AB8375E1}">
      <text>
        <r>
          <rPr>
            <sz val="8"/>
            <color indexed="81"/>
            <rFont val="Tahoma"/>
            <family val="2"/>
          </rPr>
          <t>revised</t>
        </r>
      </text>
    </comment>
    <comment ref="AI97" authorId="0" shapeId="0" xr:uid="{0D6D9349-45D8-462C-BC45-A3AAE5342539}">
      <text>
        <r>
          <rPr>
            <sz val="8"/>
            <color indexed="81"/>
            <rFont val="Tahoma"/>
            <family val="2"/>
          </rPr>
          <t>revised</t>
        </r>
      </text>
    </comment>
    <comment ref="AJ97" authorId="0" shapeId="0" xr:uid="{7DE8D48D-4048-4E1E-989B-F9C9CA20138B}">
      <text>
        <r>
          <rPr>
            <sz val="8"/>
            <color indexed="81"/>
            <rFont val="Tahoma"/>
            <family val="2"/>
          </rPr>
          <t>revised</t>
        </r>
      </text>
    </comment>
    <comment ref="AK97" authorId="0" shapeId="0" xr:uid="{AB0B14DE-1347-4331-95DF-CE3F34652A6D}">
      <text>
        <r>
          <rPr>
            <sz val="8"/>
            <color indexed="81"/>
            <rFont val="Tahoma"/>
            <family val="2"/>
          </rPr>
          <t>revised</t>
        </r>
      </text>
    </comment>
    <comment ref="AL97" authorId="0" shapeId="0" xr:uid="{252B64D3-BFB5-451A-9458-297D007E9381}">
      <text>
        <r>
          <rPr>
            <sz val="8"/>
            <color indexed="81"/>
            <rFont val="Tahoma"/>
            <family val="2"/>
          </rPr>
          <t>revised</t>
        </r>
      </text>
    </comment>
    <comment ref="AN97" authorId="0" shapeId="0" xr:uid="{E6AA9942-FA7D-45C6-9FA2-EC592F901FA3}">
      <text>
        <r>
          <rPr>
            <sz val="8"/>
            <color indexed="81"/>
            <rFont val="Tahoma"/>
            <family val="2"/>
          </rPr>
          <t>revised</t>
        </r>
      </text>
    </comment>
    <comment ref="AO97" authorId="0" shapeId="0" xr:uid="{282AABE6-DC83-47E2-8169-27CA257747B5}">
      <text>
        <r>
          <rPr>
            <sz val="8"/>
            <color indexed="81"/>
            <rFont val="Tahoma"/>
            <family val="2"/>
          </rPr>
          <t>revised</t>
        </r>
      </text>
    </comment>
    <comment ref="AP97" authorId="0" shapeId="0" xr:uid="{E87312C2-A8D2-4C71-9AAE-A2B9C37B3D9F}">
      <text>
        <r>
          <rPr>
            <sz val="8"/>
            <color indexed="81"/>
            <rFont val="Tahoma"/>
            <family val="2"/>
          </rPr>
          <t>revised</t>
        </r>
      </text>
    </comment>
    <comment ref="AQ97" authorId="0" shapeId="0" xr:uid="{DFA623B3-24F0-416A-8ACD-36A6A4652BAF}">
      <text>
        <r>
          <rPr>
            <sz val="8"/>
            <color indexed="81"/>
            <rFont val="Tahoma"/>
            <family val="2"/>
          </rPr>
          <t>revised</t>
        </r>
      </text>
    </comment>
    <comment ref="AU97" authorId="0" shapeId="0" xr:uid="{1DEF4367-71A5-4383-B0B0-BFEC0365E722}">
      <text>
        <r>
          <rPr>
            <sz val="8"/>
            <color indexed="81"/>
            <rFont val="Tahoma"/>
            <family val="2"/>
          </rPr>
          <t>revised</t>
        </r>
      </text>
    </comment>
    <comment ref="AV97" authorId="0" shapeId="0" xr:uid="{70FC75FA-8083-467E-8EE1-51D19A1F7989}">
      <text>
        <r>
          <rPr>
            <sz val="8"/>
            <color indexed="81"/>
            <rFont val="Tahoma"/>
            <family val="2"/>
          </rPr>
          <t>revised</t>
        </r>
      </text>
    </comment>
    <comment ref="AW97" authorId="0" shapeId="0" xr:uid="{9851EDBD-3C1D-472C-9C8A-85BAC78520FE}">
      <text>
        <r>
          <rPr>
            <sz val="8"/>
            <color indexed="81"/>
            <rFont val="Tahoma"/>
            <family val="2"/>
          </rPr>
          <t>revised</t>
        </r>
      </text>
    </comment>
    <comment ref="AY97" authorId="0" shapeId="0" xr:uid="{8AB552B2-F11C-4C13-A2CE-F649FDAA9F5C}">
      <text>
        <r>
          <rPr>
            <sz val="8"/>
            <color indexed="81"/>
            <rFont val="Tahoma"/>
            <family val="2"/>
          </rPr>
          <t>revised</t>
        </r>
      </text>
    </comment>
    <comment ref="AZ97" authorId="0" shapeId="0" xr:uid="{421AC7E5-7DB8-44C3-B1A7-E97E033763AE}">
      <text>
        <r>
          <rPr>
            <sz val="8"/>
            <color indexed="81"/>
            <rFont val="Tahoma"/>
            <family val="2"/>
          </rPr>
          <t>revised</t>
        </r>
      </text>
    </comment>
    <comment ref="BC97" authorId="0" shapeId="0" xr:uid="{578F147D-C1EA-4F69-969A-46708FBDDAC6}">
      <text>
        <r>
          <rPr>
            <sz val="8"/>
            <color indexed="81"/>
            <rFont val="Tahoma"/>
            <family val="2"/>
          </rPr>
          <t>revised</t>
        </r>
      </text>
    </comment>
    <comment ref="BD97" authorId="0" shapeId="0" xr:uid="{407DC16C-5120-4EC1-8DF4-2E7AE7324560}">
      <text>
        <r>
          <rPr>
            <sz val="8"/>
            <color indexed="81"/>
            <rFont val="Tahoma"/>
            <family val="2"/>
          </rPr>
          <t>revised</t>
        </r>
      </text>
    </comment>
    <comment ref="H98" authorId="0" shapeId="0" xr:uid="{3E914551-7696-475D-8CE8-F9DBD1A02677}">
      <text>
        <r>
          <rPr>
            <sz val="8"/>
            <color indexed="81"/>
            <rFont val="Tahoma"/>
            <family val="2"/>
          </rPr>
          <t>revised</t>
        </r>
      </text>
    </comment>
    <comment ref="J98" authorId="0" shapeId="0" xr:uid="{6BEA4D8E-333A-4551-87BC-7C3149F1FA74}">
      <text>
        <r>
          <rPr>
            <sz val="8"/>
            <color indexed="81"/>
            <rFont val="Tahoma"/>
            <family val="2"/>
          </rPr>
          <t>revised</t>
        </r>
      </text>
    </comment>
    <comment ref="K98" authorId="0" shapeId="0" xr:uid="{2955C72E-457D-4DA9-88F0-56B2F3B33857}">
      <text>
        <r>
          <rPr>
            <sz val="8"/>
            <color indexed="81"/>
            <rFont val="Tahoma"/>
            <family val="2"/>
          </rPr>
          <t>revised</t>
        </r>
      </text>
    </comment>
    <comment ref="L98" authorId="0" shapeId="0" xr:uid="{E04E11F5-5266-48F9-9BBD-4B429E548D23}">
      <text>
        <r>
          <rPr>
            <sz val="8"/>
            <color indexed="81"/>
            <rFont val="Tahoma"/>
            <family val="2"/>
          </rPr>
          <t>revised</t>
        </r>
      </text>
    </comment>
    <comment ref="R98" authorId="0" shapeId="0" xr:uid="{872CC450-49E5-46D3-B848-9A61A807CB8B}">
      <text>
        <r>
          <rPr>
            <sz val="8"/>
            <color indexed="81"/>
            <rFont val="Tahoma"/>
            <family val="2"/>
          </rPr>
          <t>revised</t>
        </r>
      </text>
    </comment>
    <comment ref="S98" authorId="0" shapeId="0" xr:uid="{26DEC3A4-4FB1-4072-8F43-8E0133A11B60}">
      <text>
        <r>
          <rPr>
            <sz val="8"/>
            <color indexed="81"/>
            <rFont val="Tahoma"/>
            <family val="2"/>
          </rPr>
          <t>revised</t>
        </r>
      </text>
    </comment>
    <comment ref="V98" authorId="0" shapeId="0" xr:uid="{4CAB19CA-CBD7-43F2-9245-D11AEAD46760}">
      <text>
        <r>
          <rPr>
            <sz val="8"/>
            <color indexed="81"/>
            <rFont val="Tahoma"/>
            <family val="2"/>
          </rPr>
          <t>revised</t>
        </r>
      </text>
    </comment>
    <comment ref="W98" authorId="0" shapeId="0" xr:uid="{2CA342F2-2BE9-4E49-8F9F-5AD1DBA4C19D}">
      <text>
        <r>
          <rPr>
            <sz val="8"/>
            <color indexed="81"/>
            <rFont val="Tahoma"/>
            <family val="2"/>
          </rPr>
          <t>revised</t>
        </r>
      </text>
    </comment>
    <comment ref="Z98" authorId="0" shapeId="0" xr:uid="{49C9A331-D9B6-478A-8154-93562CF77343}">
      <text>
        <r>
          <rPr>
            <sz val="8"/>
            <color indexed="81"/>
            <rFont val="Tahoma"/>
            <family val="2"/>
          </rPr>
          <t>revised</t>
        </r>
      </text>
    </comment>
    <comment ref="AF98" authorId="0" shapeId="0" xr:uid="{C32FBFB1-BBAC-4AAC-A5AC-8079EF931019}">
      <text>
        <r>
          <rPr>
            <sz val="8"/>
            <color indexed="81"/>
            <rFont val="Tahoma"/>
            <family val="2"/>
          </rPr>
          <t>revised</t>
        </r>
      </text>
    </comment>
    <comment ref="AG98" authorId="0" shapeId="0" xr:uid="{D826FB92-44D3-4786-A6E6-0F2737F22B9F}">
      <text>
        <r>
          <rPr>
            <sz val="8"/>
            <color indexed="81"/>
            <rFont val="Tahoma"/>
            <family val="2"/>
          </rPr>
          <t>revised</t>
        </r>
      </text>
    </comment>
    <comment ref="AH98" authorId="0" shapeId="0" xr:uid="{C99F4E9C-E83C-4600-96E0-C6D44F90CECE}">
      <text>
        <r>
          <rPr>
            <sz val="8"/>
            <color indexed="81"/>
            <rFont val="Tahoma"/>
            <family val="2"/>
          </rPr>
          <t>revised</t>
        </r>
      </text>
    </comment>
    <comment ref="AJ98" authorId="0" shapeId="0" xr:uid="{C41CAD3F-B190-4D90-A967-5F86C38C572A}">
      <text>
        <r>
          <rPr>
            <sz val="8"/>
            <color indexed="81"/>
            <rFont val="Tahoma"/>
            <family val="2"/>
          </rPr>
          <t>revised</t>
        </r>
      </text>
    </comment>
    <comment ref="AL98" authorId="0" shapeId="0" xr:uid="{09BA4796-F7E2-445D-911E-EE47BC2A8C56}">
      <text>
        <r>
          <rPr>
            <sz val="8"/>
            <color indexed="81"/>
            <rFont val="Tahoma"/>
            <family val="2"/>
          </rPr>
          <t>revised</t>
        </r>
      </text>
    </comment>
    <comment ref="AN98" authorId="0" shapeId="0" xr:uid="{D58F1435-EBA2-49E5-A62E-A8C6CACFDAC3}">
      <text>
        <r>
          <rPr>
            <sz val="8"/>
            <color indexed="81"/>
            <rFont val="Tahoma"/>
            <family val="2"/>
          </rPr>
          <t>revised</t>
        </r>
      </text>
    </comment>
    <comment ref="AO98" authorId="0" shapeId="0" xr:uid="{7D23D33B-0CF2-41DB-961A-5653E2080DD7}">
      <text>
        <r>
          <rPr>
            <sz val="8"/>
            <color indexed="81"/>
            <rFont val="Tahoma"/>
            <family val="2"/>
          </rPr>
          <t>revised</t>
        </r>
      </text>
    </comment>
    <comment ref="AP98" authorId="0" shapeId="0" xr:uid="{849C7E5E-5230-4370-873A-21D6E512AC53}">
      <text>
        <r>
          <rPr>
            <sz val="8"/>
            <color indexed="81"/>
            <rFont val="Tahoma"/>
            <family val="2"/>
          </rPr>
          <t>revised</t>
        </r>
      </text>
    </comment>
    <comment ref="AQ98" authorId="0" shapeId="0" xr:uid="{1E42B401-490C-4B05-A5FD-56832C3C4DCD}">
      <text>
        <r>
          <rPr>
            <sz val="8"/>
            <color indexed="81"/>
            <rFont val="Tahoma"/>
            <family val="2"/>
          </rPr>
          <t>revised</t>
        </r>
      </text>
    </comment>
    <comment ref="AU98" authorId="0" shapeId="0" xr:uid="{F2234696-9F87-4D4B-910F-A65490AF634F}">
      <text>
        <r>
          <rPr>
            <sz val="8"/>
            <color indexed="81"/>
            <rFont val="Tahoma"/>
            <family val="2"/>
          </rPr>
          <t>revised</t>
        </r>
      </text>
    </comment>
    <comment ref="AV98" authorId="0" shapeId="0" xr:uid="{9E752DC5-C196-4EAE-BAA5-938988BB2445}">
      <text>
        <r>
          <rPr>
            <sz val="8"/>
            <color indexed="81"/>
            <rFont val="Tahoma"/>
            <family val="2"/>
          </rPr>
          <t>revised</t>
        </r>
      </text>
    </comment>
    <comment ref="AW98" authorId="0" shapeId="0" xr:uid="{967375AB-B609-4C67-808D-342ECCEE0FED}">
      <text>
        <r>
          <rPr>
            <sz val="8"/>
            <color indexed="81"/>
            <rFont val="Tahoma"/>
            <family val="2"/>
          </rPr>
          <t>revised</t>
        </r>
      </text>
    </comment>
    <comment ref="AY98" authorId="0" shapeId="0" xr:uid="{BF636A89-4C33-4C62-A546-5AD6537151C3}">
      <text>
        <r>
          <rPr>
            <sz val="8"/>
            <color indexed="81"/>
            <rFont val="Tahoma"/>
            <family val="2"/>
          </rPr>
          <t>revised</t>
        </r>
      </text>
    </comment>
    <comment ref="AZ98" authorId="0" shapeId="0" xr:uid="{658DB6E5-DF81-41F3-B213-6579F7B3BAA5}">
      <text>
        <r>
          <rPr>
            <sz val="8"/>
            <color indexed="81"/>
            <rFont val="Tahoma"/>
            <family val="2"/>
          </rPr>
          <t>revised</t>
        </r>
      </text>
    </comment>
    <comment ref="BA98" authorId="0" shapeId="0" xr:uid="{2266E30E-BABD-4630-B947-3C4F331B2615}">
      <text>
        <r>
          <rPr>
            <sz val="8"/>
            <color indexed="81"/>
            <rFont val="Tahoma"/>
            <family val="2"/>
          </rPr>
          <t>revised</t>
        </r>
      </text>
    </comment>
    <comment ref="BC98" authorId="0" shapeId="0" xr:uid="{C1EF582E-B8F2-4857-8E6A-F5D938D8AE8D}">
      <text>
        <r>
          <rPr>
            <sz val="8"/>
            <color indexed="81"/>
            <rFont val="Tahoma"/>
            <family val="2"/>
          </rPr>
          <t>revised</t>
        </r>
      </text>
    </comment>
    <comment ref="BD98" authorId="0" shapeId="0" xr:uid="{B2F0B1EB-4B91-4202-A199-D3D936F1E6AA}">
      <text>
        <r>
          <rPr>
            <sz val="8"/>
            <color indexed="81"/>
            <rFont val="Tahoma"/>
            <family val="2"/>
          </rPr>
          <t>revised</t>
        </r>
      </text>
    </comment>
    <comment ref="H99" authorId="0" shapeId="0" xr:uid="{3ED77541-9B9E-4B3A-A871-EF8E043F64AA}">
      <text>
        <r>
          <rPr>
            <sz val="8"/>
            <color indexed="81"/>
            <rFont val="Tahoma"/>
            <family val="2"/>
          </rPr>
          <t>revised</t>
        </r>
      </text>
    </comment>
    <comment ref="J99" authorId="0" shapeId="0" xr:uid="{AA5683F6-5574-4916-9E06-1D4F7F85EAB8}">
      <text>
        <r>
          <rPr>
            <sz val="8"/>
            <color indexed="81"/>
            <rFont val="Tahoma"/>
            <family val="2"/>
          </rPr>
          <t>revised</t>
        </r>
      </text>
    </comment>
    <comment ref="M99" authorId="0" shapeId="0" xr:uid="{7D08CF35-4668-483B-97B8-20E10C94461B}">
      <text>
        <r>
          <rPr>
            <sz val="8"/>
            <color indexed="81"/>
            <rFont val="Tahoma"/>
            <family val="2"/>
          </rPr>
          <t>revised</t>
        </r>
      </text>
    </comment>
    <comment ref="R99" authorId="0" shapeId="0" xr:uid="{50D7AC2E-144D-48F9-8247-0741879D4CFD}">
      <text>
        <r>
          <rPr>
            <sz val="8"/>
            <color indexed="81"/>
            <rFont val="Tahoma"/>
            <family val="2"/>
          </rPr>
          <t>revised</t>
        </r>
      </text>
    </comment>
    <comment ref="T99" authorId="0" shapeId="0" xr:uid="{18233089-2284-4068-A14A-FF898A72F0F6}">
      <text>
        <r>
          <rPr>
            <sz val="8"/>
            <color indexed="81"/>
            <rFont val="Tahoma"/>
            <family val="2"/>
          </rPr>
          <t>revised</t>
        </r>
      </text>
    </comment>
    <comment ref="Z99" authorId="0" shapeId="0" xr:uid="{AF291592-61FC-4028-977A-C26F3725CA93}">
      <text>
        <r>
          <rPr>
            <sz val="8"/>
            <color indexed="81"/>
            <rFont val="Tahoma"/>
            <family val="2"/>
          </rPr>
          <t>revised</t>
        </r>
      </text>
    </comment>
    <comment ref="AG99" authorId="0" shapeId="0" xr:uid="{59FDDF51-42CB-4314-A61A-2E560D0144F5}">
      <text>
        <r>
          <rPr>
            <sz val="8"/>
            <color indexed="81"/>
            <rFont val="Tahoma"/>
            <family val="2"/>
          </rPr>
          <t>revised</t>
        </r>
      </text>
    </comment>
    <comment ref="AH99" authorId="0" shapeId="0" xr:uid="{276B32BC-81C1-4F03-B894-F1507EDE2AFE}">
      <text>
        <r>
          <rPr>
            <sz val="8"/>
            <color indexed="81"/>
            <rFont val="Tahoma"/>
            <family val="2"/>
          </rPr>
          <t>revised</t>
        </r>
      </text>
    </comment>
    <comment ref="AI99" authorId="0" shapeId="0" xr:uid="{B1113F23-7102-461C-B648-F96FC4CA4495}">
      <text>
        <r>
          <rPr>
            <sz val="8"/>
            <color indexed="81"/>
            <rFont val="Tahoma"/>
            <family val="2"/>
          </rPr>
          <t>revised</t>
        </r>
      </text>
    </comment>
    <comment ref="AK99" authorId="0" shapeId="0" xr:uid="{66E0BB91-71E8-4144-8983-79A466174E23}">
      <text>
        <r>
          <rPr>
            <sz val="8"/>
            <color indexed="81"/>
            <rFont val="Tahoma"/>
            <family val="2"/>
          </rPr>
          <t>revised</t>
        </r>
      </text>
    </comment>
    <comment ref="AL99" authorId="0" shapeId="0" xr:uid="{3421F56E-66E5-45B2-9158-D8B1F7AA635E}">
      <text>
        <r>
          <rPr>
            <sz val="8"/>
            <color indexed="81"/>
            <rFont val="Tahoma"/>
            <family val="2"/>
          </rPr>
          <t>revised</t>
        </r>
      </text>
    </comment>
    <comment ref="AM99" authorId="0" shapeId="0" xr:uid="{0068514F-A3D1-405F-B05C-D874865CF2D0}">
      <text>
        <r>
          <rPr>
            <sz val="8"/>
            <color indexed="81"/>
            <rFont val="Tahoma"/>
            <family val="2"/>
          </rPr>
          <t>revised</t>
        </r>
      </text>
    </comment>
    <comment ref="AN99" authorId="0" shapeId="0" xr:uid="{98B42DF2-DCB4-414E-90C7-EA681380921A}">
      <text>
        <r>
          <rPr>
            <sz val="8"/>
            <color indexed="81"/>
            <rFont val="Tahoma"/>
            <family val="2"/>
          </rPr>
          <t>revised</t>
        </r>
      </text>
    </comment>
    <comment ref="AO99" authorId="0" shapeId="0" xr:uid="{58EDBD33-2BCE-4C4D-A727-FE8E4B2A1E07}">
      <text>
        <r>
          <rPr>
            <sz val="8"/>
            <color indexed="81"/>
            <rFont val="Tahoma"/>
            <family val="2"/>
          </rPr>
          <t>revised</t>
        </r>
      </text>
    </comment>
    <comment ref="AQ99" authorId="0" shapeId="0" xr:uid="{512FF15C-C88A-40CB-973F-B59FCB64E389}">
      <text>
        <r>
          <rPr>
            <sz val="8"/>
            <color indexed="81"/>
            <rFont val="Tahoma"/>
            <family val="2"/>
          </rPr>
          <t>revised</t>
        </r>
      </text>
    </comment>
    <comment ref="AR99" authorId="0" shapeId="0" xr:uid="{8CE46E1A-C373-4A73-8EE5-84C6E54F0FC2}">
      <text>
        <r>
          <rPr>
            <sz val="8"/>
            <color indexed="81"/>
            <rFont val="Tahoma"/>
            <family val="2"/>
          </rPr>
          <t>revised</t>
        </r>
      </text>
    </comment>
    <comment ref="AT99" authorId="0" shapeId="0" xr:uid="{48C689DF-D3A2-4DAC-8480-11ACC2EB81E7}">
      <text>
        <r>
          <rPr>
            <sz val="8"/>
            <color indexed="81"/>
            <rFont val="Tahoma"/>
            <family val="2"/>
          </rPr>
          <t>revised</t>
        </r>
      </text>
    </comment>
    <comment ref="AU99" authorId="0" shapeId="0" xr:uid="{E050EE44-AAB2-4CE2-8F93-C1A908CF42C8}">
      <text>
        <r>
          <rPr>
            <sz val="8"/>
            <color indexed="81"/>
            <rFont val="Tahoma"/>
            <family val="2"/>
          </rPr>
          <t>revised</t>
        </r>
      </text>
    </comment>
    <comment ref="AV99" authorId="0" shapeId="0" xr:uid="{A6FBFC30-874D-422C-908E-597538C69D05}">
      <text>
        <r>
          <rPr>
            <sz val="8"/>
            <color indexed="81"/>
            <rFont val="Tahoma"/>
            <family val="2"/>
          </rPr>
          <t>revised</t>
        </r>
      </text>
    </comment>
    <comment ref="AW99" authorId="0" shapeId="0" xr:uid="{C3775412-1319-4419-8D6B-DB0316791460}">
      <text>
        <r>
          <rPr>
            <sz val="8"/>
            <color indexed="81"/>
            <rFont val="Tahoma"/>
            <family val="2"/>
          </rPr>
          <t>revised</t>
        </r>
      </text>
    </comment>
    <comment ref="AX99" authorId="0" shapeId="0" xr:uid="{3284035D-AD7D-49F3-85D1-BD467A57BAED}">
      <text>
        <r>
          <rPr>
            <sz val="8"/>
            <color indexed="81"/>
            <rFont val="Tahoma"/>
            <family val="2"/>
          </rPr>
          <t>revised</t>
        </r>
      </text>
    </comment>
    <comment ref="AY99" authorId="0" shapeId="0" xr:uid="{9C7AFD6E-543C-45AD-A40A-0460AE491C0D}">
      <text>
        <r>
          <rPr>
            <sz val="8"/>
            <color indexed="81"/>
            <rFont val="Tahoma"/>
            <family val="2"/>
          </rPr>
          <t>revised</t>
        </r>
      </text>
    </comment>
    <comment ref="AZ99" authorId="0" shapeId="0" xr:uid="{096A52D4-058B-472B-8357-323954B470B6}">
      <text>
        <r>
          <rPr>
            <sz val="8"/>
            <color indexed="81"/>
            <rFont val="Tahoma"/>
            <family val="2"/>
          </rPr>
          <t>revised</t>
        </r>
      </text>
    </comment>
    <comment ref="BC99" authorId="0" shapeId="0" xr:uid="{9FE1129D-ED53-4124-AF09-B059F23DF328}">
      <text>
        <r>
          <rPr>
            <sz val="8"/>
            <color indexed="81"/>
            <rFont val="Tahoma"/>
            <family val="2"/>
          </rPr>
          <t>revised</t>
        </r>
      </text>
    </comment>
    <comment ref="BD99" authorId="0" shapeId="0" xr:uid="{42793509-3A6A-45F8-A9B1-38998EFF87A6}">
      <text>
        <r>
          <rPr>
            <sz val="8"/>
            <color indexed="81"/>
            <rFont val="Tahoma"/>
            <family val="2"/>
          </rPr>
          <t>revised</t>
        </r>
      </text>
    </comment>
    <comment ref="C100" authorId="0" shapeId="0" xr:uid="{2564D78B-6179-4B1D-A81B-F5D2DAAF625D}">
      <text>
        <r>
          <rPr>
            <sz val="8"/>
            <color indexed="81"/>
            <rFont val="Tahoma"/>
            <family val="2"/>
          </rPr>
          <t>revised</t>
        </r>
      </text>
    </comment>
    <comment ref="J100" authorId="0" shapeId="0" xr:uid="{08A0A81A-11C1-476D-ACE9-3BA073C6FC08}">
      <text>
        <r>
          <rPr>
            <sz val="8"/>
            <color indexed="81"/>
            <rFont val="Tahoma"/>
            <family val="2"/>
          </rPr>
          <t>revised</t>
        </r>
      </text>
    </comment>
    <comment ref="L100" authorId="0" shapeId="0" xr:uid="{A18CFB95-322D-4402-9C39-1D73894BE983}">
      <text>
        <r>
          <rPr>
            <sz val="8"/>
            <color indexed="81"/>
            <rFont val="Tahoma"/>
            <family val="2"/>
          </rPr>
          <t>revised</t>
        </r>
      </text>
    </comment>
    <comment ref="R100" authorId="0" shapeId="0" xr:uid="{B9BB233F-305D-49F8-BA73-F8AA6F2E163D}">
      <text>
        <r>
          <rPr>
            <sz val="8"/>
            <color indexed="81"/>
            <rFont val="Tahoma"/>
            <family val="2"/>
          </rPr>
          <t>revised</t>
        </r>
      </text>
    </comment>
    <comment ref="AE100" authorId="0" shapeId="0" xr:uid="{5A3901DC-A45C-42CE-B13D-7DA1FCC6B3A4}">
      <text>
        <r>
          <rPr>
            <sz val="8"/>
            <color indexed="81"/>
            <rFont val="Tahoma"/>
            <family val="2"/>
          </rPr>
          <t>revised</t>
        </r>
      </text>
    </comment>
    <comment ref="AF100" authorId="0" shapeId="0" xr:uid="{21CA5ADF-3D4A-462E-9C88-0F85131D1361}">
      <text>
        <r>
          <rPr>
            <sz val="8"/>
            <color indexed="81"/>
            <rFont val="Tahoma"/>
            <family val="2"/>
          </rPr>
          <t>revised</t>
        </r>
      </text>
    </comment>
    <comment ref="AG100" authorId="0" shapeId="0" xr:uid="{17335532-8CE6-4550-802E-5BDF65A7583F}">
      <text>
        <r>
          <rPr>
            <sz val="8"/>
            <color indexed="81"/>
            <rFont val="Tahoma"/>
            <family val="2"/>
          </rPr>
          <t>revised</t>
        </r>
      </text>
    </comment>
    <comment ref="AH100" authorId="0" shapeId="0" xr:uid="{8275D35E-E3F5-4B80-8852-326E79B03C8F}">
      <text>
        <r>
          <rPr>
            <sz val="8"/>
            <color indexed="81"/>
            <rFont val="Tahoma"/>
            <family val="2"/>
          </rPr>
          <t>revised</t>
        </r>
      </text>
    </comment>
    <comment ref="AI100" authorId="0" shapeId="0" xr:uid="{0E84E177-2AC2-4289-9E4D-9D543349222C}">
      <text>
        <r>
          <rPr>
            <sz val="8"/>
            <color indexed="81"/>
            <rFont val="Tahoma"/>
            <family val="2"/>
          </rPr>
          <t>revised</t>
        </r>
      </text>
    </comment>
    <comment ref="AJ100" authorId="0" shapeId="0" xr:uid="{6BECD634-836A-4B4F-849D-76E130BEAD3B}">
      <text>
        <r>
          <rPr>
            <sz val="8"/>
            <color indexed="81"/>
            <rFont val="Tahoma"/>
            <family val="2"/>
          </rPr>
          <t>revised</t>
        </r>
      </text>
    </comment>
    <comment ref="AK100" authorId="0" shapeId="0" xr:uid="{0FF45FFC-AD6A-4EF8-9257-AD412B8E4787}">
      <text>
        <r>
          <rPr>
            <sz val="8"/>
            <color indexed="81"/>
            <rFont val="Tahoma"/>
            <family val="2"/>
          </rPr>
          <t>revised</t>
        </r>
      </text>
    </comment>
    <comment ref="AL100" authorId="0" shapeId="0" xr:uid="{F6BDD28E-4180-4692-AFA1-88594101ADD5}">
      <text>
        <r>
          <rPr>
            <sz val="8"/>
            <color indexed="81"/>
            <rFont val="Tahoma"/>
            <family val="2"/>
          </rPr>
          <t>revised</t>
        </r>
      </text>
    </comment>
    <comment ref="AN100" authorId="0" shapeId="0" xr:uid="{7E550AF7-11D1-45E0-B6C1-58D029BF3523}">
      <text>
        <r>
          <rPr>
            <sz val="8"/>
            <color indexed="81"/>
            <rFont val="Tahoma"/>
            <family val="2"/>
          </rPr>
          <t>revised</t>
        </r>
      </text>
    </comment>
    <comment ref="AO100" authorId="0" shapeId="0" xr:uid="{29DE1544-4100-4044-8819-029A0A356B2E}">
      <text>
        <r>
          <rPr>
            <sz val="8"/>
            <color indexed="81"/>
            <rFont val="Tahoma"/>
            <family val="2"/>
          </rPr>
          <t>revised</t>
        </r>
      </text>
    </comment>
    <comment ref="AP100" authorId="0" shapeId="0" xr:uid="{8DA6D496-7967-4D6B-8706-C3835F3CD64E}">
      <text>
        <r>
          <rPr>
            <sz val="8"/>
            <color indexed="81"/>
            <rFont val="Tahoma"/>
            <family val="2"/>
          </rPr>
          <t>revised</t>
        </r>
      </text>
    </comment>
    <comment ref="AU100" authorId="0" shapeId="0" xr:uid="{C159BADA-D51B-4D4A-918E-2276B118559A}">
      <text>
        <r>
          <rPr>
            <sz val="8"/>
            <color indexed="81"/>
            <rFont val="Tahoma"/>
            <family val="2"/>
          </rPr>
          <t>revised</t>
        </r>
      </text>
    </comment>
    <comment ref="AV100" authorId="0" shapeId="0" xr:uid="{87C486EE-9522-4B44-BF89-2E4273C742BE}">
      <text>
        <r>
          <rPr>
            <sz val="8"/>
            <color indexed="81"/>
            <rFont val="Tahoma"/>
            <family val="2"/>
          </rPr>
          <t>revised</t>
        </r>
      </text>
    </comment>
    <comment ref="AW100" authorId="0" shapeId="0" xr:uid="{0C55ADC7-64E3-474B-BFF7-8496E5F5F7B0}">
      <text>
        <r>
          <rPr>
            <sz val="8"/>
            <color indexed="81"/>
            <rFont val="Tahoma"/>
            <family val="2"/>
          </rPr>
          <t>revised</t>
        </r>
      </text>
    </comment>
    <comment ref="AY100" authorId="0" shapeId="0" xr:uid="{0B30648A-F3F2-43CB-838A-9425D06DC3F7}">
      <text>
        <r>
          <rPr>
            <sz val="8"/>
            <color indexed="81"/>
            <rFont val="Tahoma"/>
            <family val="2"/>
          </rPr>
          <t>revised</t>
        </r>
      </text>
    </comment>
    <comment ref="AZ100" authorId="0" shapeId="0" xr:uid="{89E35E66-56E3-467B-9A53-B18E81EDDDE8}">
      <text>
        <r>
          <rPr>
            <sz val="8"/>
            <color indexed="81"/>
            <rFont val="Tahoma"/>
            <family val="2"/>
          </rPr>
          <t>revised</t>
        </r>
      </text>
    </comment>
    <comment ref="BC100" authorId="0" shapeId="0" xr:uid="{EFAA86E9-5496-4A42-BEC6-AB52483FF4DD}">
      <text>
        <r>
          <rPr>
            <sz val="8"/>
            <color indexed="81"/>
            <rFont val="Tahoma"/>
            <family val="2"/>
          </rPr>
          <t>revised</t>
        </r>
      </text>
    </comment>
    <comment ref="BD100" authorId="0" shapeId="0" xr:uid="{7186CCC9-A6C5-4383-B92B-CA7F459B23A6}">
      <text>
        <r>
          <rPr>
            <sz val="8"/>
            <color indexed="81"/>
            <rFont val="Tahoma"/>
            <family val="2"/>
          </rPr>
          <t>revised</t>
        </r>
      </text>
    </comment>
    <comment ref="BF100" authorId="0" shapeId="0" xr:uid="{E2B731B5-2D51-454E-AAF3-5494E40A214D}">
      <text>
        <r>
          <rPr>
            <sz val="8"/>
            <color indexed="81"/>
            <rFont val="Tahoma"/>
            <family val="2"/>
          </rPr>
          <t>revised</t>
        </r>
      </text>
    </comment>
    <comment ref="BI100" authorId="0" shapeId="0" xr:uid="{01B1057E-1DDA-4F36-BE78-B3D644A50924}">
      <text>
        <r>
          <rPr>
            <sz val="8"/>
            <color indexed="81"/>
            <rFont val="Tahoma"/>
            <family val="2"/>
          </rPr>
          <t>revised</t>
        </r>
      </text>
    </comment>
    <comment ref="E101" authorId="0" shapeId="0" xr:uid="{64AF78FA-D843-4A67-B1D7-60386AE9A4EA}">
      <text>
        <r>
          <rPr>
            <sz val="8"/>
            <color indexed="81"/>
            <rFont val="Tahoma"/>
            <family val="2"/>
          </rPr>
          <t>revised</t>
        </r>
      </text>
    </comment>
    <comment ref="M101" authorId="0" shapeId="0" xr:uid="{EB0E4D0E-8487-47CD-8CF6-590C202E3A2F}">
      <text>
        <r>
          <rPr>
            <sz val="8"/>
            <color indexed="81"/>
            <rFont val="Tahoma"/>
            <family val="2"/>
          </rPr>
          <t>revised</t>
        </r>
      </text>
    </comment>
    <comment ref="Q101" authorId="0" shapeId="0" xr:uid="{54A435AF-F5C4-4490-B0E6-961A923B79E0}">
      <text>
        <r>
          <rPr>
            <sz val="8"/>
            <color indexed="81"/>
            <rFont val="Tahoma"/>
            <family val="2"/>
          </rPr>
          <t>revised</t>
        </r>
      </text>
    </comment>
    <comment ref="S101" authorId="0" shapeId="0" xr:uid="{66B327F3-E338-4695-86AF-B797198C1EDB}">
      <text>
        <r>
          <rPr>
            <sz val="8"/>
            <color indexed="81"/>
            <rFont val="Tahoma"/>
            <family val="2"/>
          </rPr>
          <t>revised</t>
        </r>
      </text>
    </comment>
    <comment ref="T101" authorId="0" shapeId="0" xr:uid="{5A75E993-D274-44ED-B560-BE201AEA937C}">
      <text>
        <r>
          <rPr>
            <sz val="8"/>
            <color indexed="81"/>
            <rFont val="Tahoma"/>
            <family val="2"/>
          </rPr>
          <t>revised</t>
        </r>
      </text>
    </comment>
    <comment ref="AF101" authorId="0" shapeId="0" xr:uid="{81B08239-CE20-4E4F-AFA5-DF6221315A52}">
      <text>
        <r>
          <rPr>
            <sz val="8"/>
            <color indexed="81"/>
            <rFont val="Tahoma"/>
            <family val="2"/>
          </rPr>
          <t>revised</t>
        </r>
      </text>
    </comment>
    <comment ref="AG101" authorId="0" shapeId="0" xr:uid="{60AE186D-D03A-41D1-A7B4-8E3C657DF171}">
      <text>
        <r>
          <rPr>
            <sz val="8"/>
            <color indexed="81"/>
            <rFont val="Tahoma"/>
            <family val="2"/>
          </rPr>
          <t>revised</t>
        </r>
      </text>
    </comment>
    <comment ref="AH101" authorId="0" shapeId="0" xr:uid="{47ECABA9-1AED-473A-9F09-ECCF3960A691}">
      <text>
        <r>
          <rPr>
            <sz val="8"/>
            <color indexed="81"/>
            <rFont val="Tahoma"/>
            <family val="2"/>
          </rPr>
          <t>revised</t>
        </r>
      </text>
    </comment>
    <comment ref="AI101" authorId="0" shapeId="0" xr:uid="{F6E15B82-4AE3-456C-995F-1963B772225B}">
      <text>
        <r>
          <rPr>
            <sz val="8"/>
            <color indexed="81"/>
            <rFont val="Tahoma"/>
            <family val="2"/>
          </rPr>
          <t>revised</t>
        </r>
      </text>
    </comment>
    <comment ref="AJ101" authorId="0" shapeId="0" xr:uid="{DFE1A1DE-9E60-4B3C-984B-8899AD8CAF0B}">
      <text>
        <r>
          <rPr>
            <sz val="8"/>
            <color indexed="81"/>
            <rFont val="Tahoma"/>
            <family val="2"/>
          </rPr>
          <t>revised</t>
        </r>
      </text>
    </comment>
    <comment ref="AK101" authorId="0" shapeId="0" xr:uid="{CFC17EC1-FA7F-46C3-927D-CC56C9707557}">
      <text>
        <r>
          <rPr>
            <sz val="8"/>
            <color indexed="81"/>
            <rFont val="Tahoma"/>
            <family val="2"/>
          </rPr>
          <t>revised</t>
        </r>
      </text>
    </comment>
    <comment ref="AL101" authorId="0" shapeId="0" xr:uid="{CD2C8A64-2BCE-4563-BC6A-B960AFC3196D}">
      <text>
        <r>
          <rPr>
            <sz val="8"/>
            <color indexed="81"/>
            <rFont val="Tahoma"/>
            <family val="2"/>
          </rPr>
          <t>revised</t>
        </r>
      </text>
    </comment>
    <comment ref="AN101" authorId="0" shapeId="0" xr:uid="{C8AB6419-3132-4BF5-B789-F8761C41E25C}">
      <text>
        <r>
          <rPr>
            <sz val="8"/>
            <color indexed="81"/>
            <rFont val="Tahoma"/>
            <family val="2"/>
          </rPr>
          <t>revised</t>
        </r>
      </text>
    </comment>
    <comment ref="AO101" authorId="0" shapeId="0" xr:uid="{A54E41E3-1C28-4B12-BD2C-7B08D640144C}">
      <text>
        <r>
          <rPr>
            <sz val="8"/>
            <color indexed="81"/>
            <rFont val="Tahoma"/>
            <family val="2"/>
          </rPr>
          <t>revised</t>
        </r>
      </text>
    </comment>
    <comment ref="AP101" authorId="0" shapeId="0" xr:uid="{FDAA2603-A649-40E4-B1E4-385A0DF5E582}">
      <text>
        <r>
          <rPr>
            <sz val="8"/>
            <color indexed="81"/>
            <rFont val="Tahoma"/>
            <family val="2"/>
          </rPr>
          <t>revised</t>
        </r>
      </text>
    </comment>
    <comment ref="AQ101" authorId="0" shapeId="0" xr:uid="{6AFE4C03-EFDA-44AA-A51E-689C99984D2C}">
      <text>
        <r>
          <rPr>
            <sz val="8"/>
            <color indexed="81"/>
            <rFont val="Tahoma"/>
            <family val="2"/>
          </rPr>
          <t>revised</t>
        </r>
      </text>
    </comment>
    <comment ref="AT101" authorId="0" shapeId="0" xr:uid="{3366F6D6-BAE5-43E2-AC84-01F1E278E9FE}">
      <text>
        <r>
          <rPr>
            <sz val="8"/>
            <color indexed="81"/>
            <rFont val="Tahoma"/>
            <family val="2"/>
          </rPr>
          <t>revised</t>
        </r>
      </text>
    </comment>
    <comment ref="AU101" authorId="0" shapeId="0" xr:uid="{1D8F52F2-2229-49B9-9152-596B787B2C11}">
      <text>
        <r>
          <rPr>
            <sz val="8"/>
            <color indexed="81"/>
            <rFont val="Tahoma"/>
            <family val="2"/>
          </rPr>
          <t>revised</t>
        </r>
      </text>
    </comment>
    <comment ref="AV101" authorId="0" shapeId="0" xr:uid="{AB2C27BC-D585-4D47-932C-BBEE23432F86}">
      <text>
        <r>
          <rPr>
            <sz val="8"/>
            <color indexed="81"/>
            <rFont val="Tahoma"/>
            <family val="2"/>
          </rPr>
          <t>revised</t>
        </r>
      </text>
    </comment>
    <comment ref="AW101" authorId="0" shapeId="0" xr:uid="{B787ABF0-BD67-424E-8371-452616C505AE}">
      <text>
        <r>
          <rPr>
            <sz val="8"/>
            <color indexed="81"/>
            <rFont val="Tahoma"/>
            <family val="2"/>
          </rPr>
          <t>revised</t>
        </r>
      </text>
    </comment>
    <comment ref="AX101" authorId="0" shapeId="0" xr:uid="{8403199E-1323-479D-820E-49D550CC064D}">
      <text>
        <r>
          <rPr>
            <sz val="8"/>
            <color indexed="81"/>
            <rFont val="Tahoma"/>
            <family val="2"/>
          </rPr>
          <t>revised</t>
        </r>
      </text>
    </comment>
    <comment ref="AY101" authorId="0" shapeId="0" xr:uid="{3EBCBDBC-8556-4C6E-B6B0-865EC2790BE7}">
      <text>
        <r>
          <rPr>
            <sz val="8"/>
            <color indexed="81"/>
            <rFont val="Tahoma"/>
            <family val="2"/>
          </rPr>
          <t>revised</t>
        </r>
      </text>
    </comment>
    <comment ref="AZ101" authorId="0" shapeId="0" xr:uid="{186B7ED0-00B5-4B7E-8D85-FBA288CB5E95}">
      <text>
        <r>
          <rPr>
            <sz val="8"/>
            <color indexed="81"/>
            <rFont val="Tahoma"/>
            <family val="2"/>
          </rPr>
          <t>revised</t>
        </r>
      </text>
    </comment>
    <comment ref="BC101" authorId="0" shapeId="0" xr:uid="{BD234C3E-137B-4DD3-B885-72D576301306}">
      <text>
        <r>
          <rPr>
            <sz val="8"/>
            <color indexed="81"/>
            <rFont val="Tahoma"/>
            <family val="2"/>
          </rPr>
          <t>revised</t>
        </r>
      </text>
    </comment>
    <comment ref="BE101" authorId="0" shapeId="0" xr:uid="{01138135-943F-4865-B9C7-CAC4E5DF40B2}">
      <text>
        <r>
          <rPr>
            <sz val="8"/>
            <color indexed="81"/>
            <rFont val="Tahoma"/>
            <family val="2"/>
          </rPr>
          <t>revised</t>
        </r>
      </text>
    </comment>
    <comment ref="B102" authorId="0" shapeId="0" xr:uid="{A5C82FD9-616E-4260-A272-51AB975B95A0}">
      <text>
        <r>
          <rPr>
            <sz val="8"/>
            <color indexed="81"/>
            <rFont val="Tahoma"/>
            <family val="2"/>
          </rPr>
          <t>revised</t>
        </r>
      </text>
    </comment>
    <comment ref="D102" authorId="0" shapeId="0" xr:uid="{C0D74781-793B-44A8-B274-04A45030FB84}">
      <text>
        <r>
          <rPr>
            <sz val="8"/>
            <color indexed="81"/>
            <rFont val="Tahoma"/>
            <family val="2"/>
          </rPr>
          <t>revised</t>
        </r>
      </text>
    </comment>
    <comment ref="O102" authorId="0" shapeId="0" xr:uid="{F913FC68-BE3F-48D4-9F64-B80566245561}">
      <text>
        <r>
          <rPr>
            <sz val="8"/>
            <color indexed="81"/>
            <rFont val="Tahoma"/>
            <family val="2"/>
          </rPr>
          <t>revised</t>
        </r>
      </text>
    </comment>
    <comment ref="X102" authorId="0" shapeId="0" xr:uid="{F6F20618-D825-46E7-AD37-666865F7D02F}">
      <text>
        <r>
          <rPr>
            <sz val="8"/>
            <color indexed="81"/>
            <rFont val="Tahoma"/>
            <family val="2"/>
          </rPr>
          <t>revised</t>
        </r>
      </text>
    </comment>
    <comment ref="Y102" authorId="0" shapeId="0" xr:uid="{0A43B575-2835-4953-A301-97C610DD35F8}">
      <text>
        <r>
          <rPr>
            <sz val="8"/>
            <color indexed="81"/>
            <rFont val="Tahoma"/>
            <family val="2"/>
          </rPr>
          <t>revised</t>
        </r>
      </text>
    </comment>
    <comment ref="Z102" authorId="0" shapeId="0" xr:uid="{B4043031-0F5B-4A98-BEE3-223716F53E27}">
      <text>
        <r>
          <rPr>
            <sz val="8"/>
            <color indexed="81"/>
            <rFont val="Tahoma"/>
            <family val="2"/>
          </rPr>
          <t>revised</t>
        </r>
      </text>
    </comment>
    <comment ref="AA102" authorId="0" shapeId="0" xr:uid="{A97B2FC6-75E5-4755-BB97-172A8B4E2782}">
      <text>
        <r>
          <rPr>
            <sz val="8"/>
            <color indexed="81"/>
            <rFont val="Tahoma"/>
            <family val="2"/>
          </rPr>
          <t>revised</t>
        </r>
      </text>
    </comment>
    <comment ref="AC102" authorId="0" shapeId="0" xr:uid="{A5A27A6C-66E9-44A1-A12E-DF67034888F1}">
      <text>
        <r>
          <rPr>
            <sz val="8"/>
            <color indexed="81"/>
            <rFont val="Tahoma"/>
            <family val="2"/>
          </rPr>
          <t>revised</t>
        </r>
      </text>
    </comment>
    <comment ref="AF102" authorId="0" shapeId="0" xr:uid="{D88EA3BF-D5A8-4710-94F7-FFB6D8E6F26B}">
      <text>
        <r>
          <rPr>
            <sz val="8"/>
            <color indexed="81"/>
            <rFont val="Tahoma"/>
            <family val="2"/>
          </rPr>
          <t>revised</t>
        </r>
      </text>
    </comment>
    <comment ref="AG102" authorId="0" shapeId="0" xr:uid="{C42BC2FF-6B9D-4AA2-99BD-69FF30D5CAE7}">
      <text>
        <r>
          <rPr>
            <sz val="8"/>
            <color indexed="81"/>
            <rFont val="Tahoma"/>
            <family val="2"/>
          </rPr>
          <t>revised</t>
        </r>
      </text>
    </comment>
    <comment ref="AH102" authorId="0" shapeId="0" xr:uid="{DBCD1047-5D59-4932-99FA-559F37C55E8D}">
      <text>
        <r>
          <rPr>
            <sz val="8"/>
            <color indexed="81"/>
            <rFont val="Tahoma"/>
            <family val="2"/>
          </rPr>
          <t>revised</t>
        </r>
      </text>
    </comment>
    <comment ref="AI102" authorId="0" shapeId="0" xr:uid="{C01F77BA-26BB-4DB0-A822-E4BD1D34530B}">
      <text>
        <r>
          <rPr>
            <sz val="8"/>
            <color indexed="81"/>
            <rFont val="Tahoma"/>
            <family val="2"/>
          </rPr>
          <t>revised</t>
        </r>
      </text>
    </comment>
    <comment ref="AJ102" authorId="0" shapeId="0" xr:uid="{2844642F-97B1-4DAB-8218-A1E05A8C2FD9}">
      <text>
        <r>
          <rPr>
            <sz val="8"/>
            <color indexed="81"/>
            <rFont val="Tahoma"/>
            <family val="2"/>
          </rPr>
          <t>revised</t>
        </r>
      </text>
    </comment>
    <comment ref="AK102" authorId="0" shapeId="0" xr:uid="{988315AB-DF66-4A70-8BD5-514EAB47E366}">
      <text>
        <r>
          <rPr>
            <sz val="8"/>
            <color indexed="81"/>
            <rFont val="Tahoma"/>
            <family val="2"/>
          </rPr>
          <t>revised</t>
        </r>
      </text>
    </comment>
    <comment ref="AL102" authorId="0" shapeId="0" xr:uid="{9C8ACAA1-072D-4105-98E4-9600588A2138}">
      <text>
        <r>
          <rPr>
            <sz val="8"/>
            <color indexed="81"/>
            <rFont val="Tahoma"/>
            <family val="2"/>
          </rPr>
          <t>revised</t>
        </r>
      </text>
    </comment>
    <comment ref="AM102" authorId="0" shapeId="0" xr:uid="{F9D7F8FD-F815-4203-91E2-F0054D8E0AF6}">
      <text>
        <r>
          <rPr>
            <sz val="8"/>
            <color indexed="81"/>
            <rFont val="Tahoma"/>
            <family val="2"/>
          </rPr>
          <t>revised</t>
        </r>
      </text>
    </comment>
    <comment ref="AN102" authorId="0" shapeId="0" xr:uid="{E9CD0064-5C8A-4C5D-8AC8-3FBBCBED48EC}">
      <text>
        <r>
          <rPr>
            <sz val="8"/>
            <color indexed="81"/>
            <rFont val="Tahoma"/>
            <family val="2"/>
          </rPr>
          <t>revised</t>
        </r>
      </text>
    </comment>
    <comment ref="AO102" authorId="0" shapeId="0" xr:uid="{917F98F5-47DC-47A0-9AC9-8B5CF823C87D}">
      <text>
        <r>
          <rPr>
            <sz val="8"/>
            <color indexed="81"/>
            <rFont val="Tahoma"/>
            <family val="2"/>
          </rPr>
          <t>revised</t>
        </r>
      </text>
    </comment>
    <comment ref="AP102" authorId="0" shapeId="0" xr:uid="{EDC451EC-482C-414A-A84C-F7AE54121605}">
      <text>
        <r>
          <rPr>
            <sz val="8"/>
            <color indexed="81"/>
            <rFont val="Tahoma"/>
            <family val="2"/>
          </rPr>
          <t>revised</t>
        </r>
      </text>
    </comment>
    <comment ref="AQ102" authorId="0" shapeId="0" xr:uid="{F88B78C2-EAFE-4B55-9C8F-D7C333D3B3DA}">
      <text>
        <r>
          <rPr>
            <sz val="8"/>
            <color indexed="81"/>
            <rFont val="Tahoma"/>
            <family val="2"/>
          </rPr>
          <t>revised</t>
        </r>
      </text>
    </comment>
    <comment ref="AR102" authorId="0" shapeId="0" xr:uid="{41C2CFE2-55D4-41E6-9C17-EE7F771549CB}">
      <text>
        <r>
          <rPr>
            <sz val="8"/>
            <color indexed="81"/>
            <rFont val="Tahoma"/>
            <family val="2"/>
          </rPr>
          <t>revised</t>
        </r>
      </text>
    </comment>
    <comment ref="AS102" authorId="0" shapeId="0" xr:uid="{33F7F194-0872-44DA-B83F-0A9EFA128772}">
      <text>
        <r>
          <rPr>
            <sz val="8"/>
            <color indexed="81"/>
            <rFont val="Tahoma"/>
            <family val="2"/>
          </rPr>
          <t>revised</t>
        </r>
      </text>
    </comment>
    <comment ref="AT102" authorId="0" shapeId="0" xr:uid="{FC20CAD1-BD3D-4F44-B7E1-FBDDF2E43B56}">
      <text>
        <r>
          <rPr>
            <sz val="8"/>
            <color indexed="81"/>
            <rFont val="Tahoma"/>
            <family val="2"/>
          </rPr>
          <t>revised</t>
        </r>
      </text>
    </comment>
    <comment ref="AU102" authorId="0" shapeId="0" xr:uid="{5B3CF521-08A7-425C-82D1-1A7C4509D4A9}">
      <text>
        <r>
          <rPr>
            <sz val="8"/>
            <color indexed="81"/>
            <rFont val="Tahoma"/>
            <family val="2"/>
          </rPr>
          <t>revised</t>
        </r>
      </text>
    </comment>
    <comment ref="AV102" authorId="0" shapeId="0" xr:uid="{C4A087CC-F40A-4C5A-A7D7-124231F95E96}">
      <text>
        <r>
          <rPr>
            <sz val="8"/>
            <color indexed="81"/>
            <rFont val="Tahoma"/>
            <family val="2"/>
          </rPr>
          <t>revised</t>
        </r>
      </text>
    </comment>
    <comment ref="AW102" authorId="0" shapeId="0" xr:uid="{7BFFA81F-58BD-4223-B8C3-834D359FB2D6}">
      <text>
        <r>
          <rPr>
            <sz val="8"/>
            <color indexed="81"/>
            <rFont val="Tahoma"/>
            <family val="2"/>
          </rPr>
          <t>revised</t>
        </r>
      </text>
    </comment>
    <comment ref="AX102" authorId="0" shapeId="0" xr:uid="{3A11A37E-3A90-43C3-B7C2-0A4C292A9E96}">
      <text>
        <r>
          <rPr>
            <sz val="8"/>
            <color indexed="81"/>
            <rFont val="Tahoma"/>
            <family val="2"/>
          </rPr>
          <t>revised</t>
        </r>
      </text>
    </comment>
    <comment ref="AY102" authorId="0" shapeId="0" xr:uid="{A1F3818A-610D-4AAE-81DC-168FE77F5C7B}">
      <text>
        <r>
          <rPr>
            <sz val="8"/>
            <color indexed="81"/>
            <rFont val="Tahoma"/>
            <family val="2"/>
          </rPr>
          <t>revised</t>
        </r>
      </text>
    </comment>
    <comment ref="AZ102" authorId="0" shapeId="0" xr:uid="{16E02AD5-18C1-4C42-B058-C356972DD2DC}">
      <text>
        <r>
          <rPr>
            <sz val="8"/>
            <color indexed="81"/>
            <rFont val="Tahoma"/>
            <family val="2"/>
          </rPr>
          <t>revised</t>
        </r>
      </text>
    </comment>
    <comment ref="BA102" authorId="0" shapeId="0" xr:uid="{45A1ED46-B179-4F30-954B-2BE689F663AC}">
      <text>
        <r>
          <rPr>
            <sz val="8"/>
            <color indexed="81"/>
            <rFont val="Tahoma"/>
            <family val="2"/>
          </rPr>
          <t>revised</t>
        </r>
      </text>
    </comment>
    <comment ref="BB102" authorId="0" shapeId="0" xr:uid="{1D3464C3-A424-45A0-B94F-4EDD89BD8BDB}">
      <text>
        <r>
          <rPr>
            <sz val="8"/>
            <color indexed="81"/>
            <rFont val="Tahoma"/>
            <family val="2"/>
          </rPr>
          <t>revised</t>
        </r>
      </text>
    </comment>
    <comment ref="BC102" authorId="0" shapeId="0" xr:uid="{243EBA37-405E-4F80-814C-CC974B5EAE5C}">
      <text>
        <r>
          <rPr>
            <sz val="8"/>
            <color indexed="81"/>
            <rFont val="Tahoma"/>
            <family val="2"/>
          </rPr>
          <t>revised</t>
        </r>
      </text>
    </comment>
    <comment ref="BD102" authorId="0" shapeId="0" xr:uid="{97942C53-10EB-48CE-A547-730B482BC87B}">
      <text>
        <r>
          <rPr>
            <sz val="8"/>
            <color indexed="81"/>
            <rFont val="Tahoma"/>
            <family val="2"/>
          </rPr>
          <t>revised</t>
        </r>
      </text>
    </comment>
    <comment ref="BE102" authorId="0" shapeId="0" xr:uid="{54CE872B-55F4-4C99-8FF6-C3DD92805190}">
      <text>
        <r>
          <rPr>
            <sz val="8"/>
            <color indexed="81"/>
            <rFont val="Tahoma"/>
            <family val="2"/>
          </rPr>
          <t>revised</t>
        </r>
      </text>
    </comment>
    <comment ref="BF102" authorId="0" shapeId="0" xr:uid="{9A276E07-6EC7-4A9E-991B-8A478CAC37A4}">
      <text>
        <r>
          <rPr>
            <sz val="8"/>
            <color indexed="81"/>
            <rFont val="Tahoma"/>
            <family val="2"/>
          </rPr>
          <t>revised</t>
        </r>
      </text>
    </comment>
    <comment ref="BG102" authorId="0" shapeId="0" xr:uid="{22F72357-71CD-424B-AB8A-1E021868E77B}">
      <text>
        <r>
          <rPr>
            <sz val="8"/>
            <color indexed="81"/>
            <rFont val="Tahoma"/>
            <family val="2"/>
          </rPr>
          <t>revised</t>
        </r>
      </text>
    </comment>
    <comment ref="BI102" authorId="0" shapeId="0" xr:uid="{0B3DA0CC-8531-4CD8-87FB-AD2704D45D8D}">
      <text>
        <r>
          <rPr>
            <sz val="8"/>
            <color indexed="81"/>
            <rFont val="Tahoma"/>
            <family val="2"/>
          </rPr>
          <t>revised</t>
        </r>
      </text>
    </comment>
    <comment ref="F103" authorId="0" shapeId="0" xr:uid="{0DF3E734-8496-4A92-91DE-4E3805AA5DDB}">
      <text>
        <r>
          <rPr>
            <sz val="8"/>
            <color indexed="81"/>
            <rFont val="Tahoma"/>
            <family val="2"/>
          </rPr>
          <t>revised</t>
        </r>
      </text>
    </comment>
    <comment ref="H103" authorId="0" shapeId="0" xr:uid="{28368428-5254-4E0C-9928-C0638049A092}">
      <text>
        <r>
          <rPr>
            <sz val="8"/>
            <color indexed="81"/>
            <rFont val="Tahoma"/>
            <family val="2"/>
          </rPr>
          <t>revised</t>
        </r>
      </text>
    </comment>
    <comment ref="I103" authorId="0" shapeId="0" xr:uid="{A497A787-3B90-4ACD-BD1C-976BABB2ED19}">
      <text>
        <r>
          <rPr>
            <sz val="8"/>
            <color indexed="81"/>
            <rFont val="Tahoma"/>
            <family val="2"/>
          </rPr>
          <t>revised</t>
        </r>
      </text>
    </comment>
    <comment ref="J103" authorId="0" shapeId="0" xr:uid="{03AFC322-0B5B-4130-B714-CD2EC7C14A65}">
      <text>
        <r>
          <rPr>
            <sz val="8"/>
            <color indexed="81"/>
            <rFont val="Tahoma"/>
            <family val="2"/>
          </rPr>
          <t>revised</t>
        </r>
      </text>
    </comment>
    <comment ref="L103" authorId="0" shapeId="0" xr:uid="{91C721F6-AF82-4E79-BF64-C0B47C1C298A}">
      <text>
        <r>
          <rPr>
            <sz val="8"/>
            <color indexed="81"/>
            <rFont val="Tahoma"/>
            <family val="2"/>
          </rPr>
          <t>revised</t>
        </r>
      </text>
    </comment>
    <comment ref="O103" authorId="0" shapeId="0" xr:uid="{9833FB3B-CAC2-403A-B742-C580C5632314}">
      <text>
        <r>
          <rPr>
            <sz val="8"/>
            <color indexed="81"/>
            <rFont val="Tahoma"/>
            <family val="2"/>
          </rPr>
          <t>revised</t>
        </r>
      </text>
    </comment>
    <comment ref="R103" authorId="0" shapeId="0" xr:uid="{100B6E12-9BFA-46FB-BBDE-D54F660D9A67}">
      <text>
        <r>
          <rPr>
            <sz val="8"/>
            <color indexed="81"/>
            <rFont val="Tahoma"/>
            <family val="2"/>
          </rPr>
          <t>revised</t>
        </r>
      </text>
    </comment>
    <comment ref="S103" authorId="0" shapeId="0" xr:uid="{53AD3F5A-85E9-4B4E-B7C6-70EFD0D45EA7}">
      <text>
        <r>
          <rPr>
            <sz val="8"/>
            <color indexed="81"/>
            <rFont val="Tahoma"/>
            <family val="2"/>
          </rPr>
          <t>revised</t>
        </r>
      </text>
    </comment>
    <comment ref="Y103" authorId="0" shapeId="0" xr:uid="{D559E504-0FC2-44FF-85AE-36DFF511CCA5}">
      <text>
        <r>
          <rPr>
            <sz val="8"/>
            <color indexed="81"/>
            <rFont val="Tahoma"/>
            <family val="2"/>
          </rPr>
          <t>revised</t>
        </r>
      </text>
    </comment>
    <comment ref="Z103" authorId="0" shapeId="0" xr:uid="{3A572CB0-2B91-4F0C-B454-1825CDF444C8}">
      <text>
        <r>
          <rPr>
            <sz val="8"/>
            <color indexed="81"/>
            <rFont val="Tahoma"/>
            <family val="2"/>
          </rPr>
          <t>revised</t>
        </r>
      </text>
    </comment>
    <comment ref="AB103" authorId="0" shapeId="0" xr:uid="{7FA76D95-4418-40CD-B03C-A1D6D7F8DAFC}">
      <text>
        <r>
          <rPr>
            <sz val="8"/>
            <color indexed="81"/>
            <rFont val="Tahoma"/>
            <family val="2"/>
          </rPr>
          <t>revised</t>
        </r>
      </text>
    </comment>
    <comment ref="AF103" authorId="0" shapeId="0" xr:uid="{F4D4542C-B29B-41AF-8335-D5ACD348D42E}">
      <text>
        <r>
          <rPr>
            <sz val="8"/>
            <color indexed="81"/>
            <rFont val="Tahoma"/>
            <family val="2"/>
          </rPr>
          <t>revised</t>
        </r>
      </text>
    </comment>
    <comment ref="AG103" authorId="0" shapeId="0" xr:uid="{731ADADA-C500-45D6-B883-762B5535B466}">
      <text>
        <r>
          <rPr>
            <sz val="8"/>
            <color indexed="81"/>
            <rFont val="Tahoma"/>
            <family val="2"/>
          </rPr>
          <t>revised</t>
        </r>
      </text>
    </comment>
    <comment ref="AH103" authorId="0" shapeId="0" xr:uid="{47C36F61-35E7-4B58-9B72-2E94FCE1E000}">
      <text>
        <r>
          <rPr>
            <sz val="8"/>
            <color indexed="81"/>
            <rFont val="Tahoma"/>
            <family val="2"/>
          </rPr>
          <t>revised</t>
        </r>
      </text>
    </comment>
    <comment ref="AI103" authorId="0" shapeId="0" xr:uid="{BB1E36BF-F4D0-43FE-87FC-ED41AE09B852}">
      <text>
        <r>
          <rPr>
            <sz val="8"/>
            <color indexed="81"/>
            <rFont val="Tahoma"/>
            <family val="2"/>
          </rPr>
          <t>revised</t>
        </r>
      </text>
    </comment>
    <comment ref="AJ103" authorId="0" shapeId="0" xr:uid="{067D5F11-7BB3-42A4-98D9-B637EEDF3207}">
      <text>
        <r>
          <rPr>
            <sz val="8"/>
            <color indexed="81"/>
            <rFont val="Tahoma"/>
            <family val="2"/>
          </rPr>
          <t>revised</t>
        </r>
      </text>
    </comment>
    <comment ref="AK103" authorId="0" shapeId="0" xr:uid="{31503B32-2C93-4329-878E-8C4B23F3E621}">
      <text>
        <r>
          <rPr>
            <sz val="8"/>
            <color indexed="81"/>
            <rFont val="Tahoma"/>
            <family val="2"/>
          </rPr>
          <t>revised</t>
        </r>
      </text>
    </comment>
    <comment ref="AL103" authorId="0" shapeId="0" xr:uid="{5D64FC07-E11A-4DE8-8A49-C63EBB39162D}">
      <text>
        <r>
          <rPr>
            <sz val="8"/>
            <color indexed="81"/>
            <rFont val="Tahoma"/>
            <family val="2"/>
          </rPr>
          <t>revised</t>
        </r>
      </text>
    </comment>
    <comment ref="AM103" authorId="0" shapeId="0" xr:uid="{978D88CF-52E6-4531-8BCF-6DD77D5B2F38}">
      <text>
        <r>
          <rPr>
            <sz val="8"/>
            <color indexed="81"/>
            <rFont val="Tahoma"/>
            <family val="2"/>
          </rPr>
          <t>revised</t>
        </r>
      </text>
    </comment>
    <comment ref="AN103" authorId="0" shapeId="0" xr:uid="{3911DEDE-D390-43AD-BED0-A3869A9A2D49}">
      <text>
        <r>
          <rPr>
            <sz val="8"/>
            <color indexed="81"/>
            <rFont val="Tahoma"/>
            <family val="2"/>
          </rPr>
          <t>revised</t>
        </r>
      </text>
    </comment>
    <comment ref="AO103" authorId="0" shapeId="0" xr:uid="{46E6F8AE-2471-478A-8027-CAB2C27CAD56}">
      <text>
        <r>
          <rPr>
            <sz val="8"/>
            <color indexed="81"/>
            <rFont val="Tahoma"/>
            <family val="2"/>
          </rPr>
          <t>revised</t>
        </r>
      </text>
    </comment>
    <comment ref="AP103" authorId="0" shapeId="0" xr:uid="{18F47E85-FA24-42B7-A63B-BBD22F05F9C5}">
      <text>
        <r>
          <rPr>
            <sz val="8"/>
            <color indexed="81"/>
            <rFont val="Tahoma"/>
            <family val="2"/>
          </rPr>
          <t>revised</t>
        </r>
      </text>
    </comment>
    <comment ref="AQ103" authorId="0" shapeId="0" xr:uid="{5FA4559B-62F0-4A85-9678-9525562D164A}">
      <text>
        <r>
          <rPr>
            <sz val="8"/>
            <color indexed="81"/>
            <rFont val="Tahoma"/>
            <family val="2"/>
          </rPr>
          <t>revised</t>
        </r>
      </text>
    </comment>
    <comment ref="AR103" authorId="0" shapeId="0" xr:uid="{5D02AA1C-3120-481E-9F21-6E2F55E59444}">
      <text>
        <r>
          <rPr>
            <sz val="8"/>
            <color indexed="81"/>
            <rFont val="Tahoma"/>
            <family val="2"/>
          </rPr>
          <t>revised</t>
        </r>
      </text>
    </comment>
    <comment ref="AS103" authorId="0" shapeId="0" xr:uid="{331C92B6-0031-45BC-8A14-767654E7CF81}">
      <text>
        <r>
          <rPr>
            <sz val="8"/>
            <color indexed="81"/>
            <rFont val="Tahoma"/>
            <family val="2"/>
          </rPr>
          <t>revised</t>
        </r>
      </text>
    </comment>
    <comment ref="AT103" authorId="0" shapeId="0" xr:uid="{9143EAE5-27F4-4AA9-81D4-EDBED6B39ECB}">
      <text>
        <r>
          <rPr>
            <sz val="8"/>
            <color indexed="81"/>
            <rFont val="Tahoma"/>
            <family val="2"/>
          </rPr>
          <t>revised</t>
        </r>
      </text>
    </comment>
    <comment ref="AU103" authorId="0" shapeId="0" xr:uid="{C999F8CD-D91F-448C-9E71-8297408C3DB3}">
      <text>
        <r>
          <rPr>
            <sz val="8"/>
            <color indexed="81"/>
            <rFont val="Tahoma"/>
            <family val="2"/>
          </rPr>
          <t>revised</t>
        </r>
      </text>
    </comment>
    <comment ref="AV103" authorId="0" shapeId="0" xr:uid="{FEA34D48-EF0B-43C0-A4D4-1B38E210756D}">
      <text>
        <r>
          <rPr>
            <sz val="8"/>
            <color indexed="81"/>
            <rFont val="Tahoma"/>
            <family val="2"/>
          </rPr>
          <t>revised</t>
        </r>
      </text>
    </comment>
    <comment ref="AW103" authorId="0" shapeId="0" xr:uid="{20F40EA6-A12A-4FA1-A8D8-897A35DCEE9A}">
      <text>
        <r>
          <rPr>
            <sz val="8"/>
            <color indexed="81"/>
            <rFont val="Tahoma"/>
            <family val="2"/>
          </rPr>
          <t>revised</t>
        </r>
      </text>
    </comment>
    <comment ref="AX103" authorId="0" shapeId="0" xr:uid="{C1EC02A1-0214-4A8F-94F1-90CD793E0F41}">
      <text>
        <r>
          <rPr>
            <sz val="8"/>
            <color indexed="81"/>
            <rFont val="Tahoma"/>
            <family val="2"/>
          </rPr>
          <t>revised</t>
        </r>
      </text>
    </comment>
    <comment ref="AY103" authorId="0" shapeId="0" xr:uid="{9DE349AF-F2AF-4A8D-8A45-628CC8BB096E}">
      <text>
        <r>
          <rPr>
            <sz val="8"/>
            <color indexed="81"/>
            <rFont val="Tahoma"/>
            <family val="2"/>
          </rPr>
          <t>revised</t>
        </r>
      </text>
    </comment>
    <comment ref="AZ103" authorId="0" shapeId="0" xr:uid="{C2672051-F1D0-4ED5-B66D-6164521BC18C}">
      <text>
        <r>
          <rPr>
            <sz val="8"/>
            <color indexed="81"/>
            <rFont val="Tahoma"/>
            <family val="2"/>
          </rPr>
          <t>revised</t>
        </r>
      </text>
    </comment>
    <comment ref="BA103" authorId="0" shapeId="0" xr:uid="{DC963D0B-5155-437C-B275-616D94BF5375}">
      <text>
        <r>
          <rPr>
            <sz val="8"/>
            <color indexed="81"/>
            <rFont val="Tahoma"/>
            <family val="2"/>
          </rPr>
          <t>revised</t>
        </r>
      </text>
    </comment>
    <comment ref="BB103" authorId="0" shapeId="0" xr:uid="{10D89338-301E-4972-AAD8-98AC533A345A}">
      <text>
        <r>
          <rPr>
            <sz val="8"/>
            <color indexed="81"/>
            <rFont val="Tahoma"/>
            <family val="2"/>
          </rPr>
          <t>revised</t>
        </r>
      </text>
    </comment>
    <comment ref="BC103" authorId="0" shapeId="0" xr:uid="{B91601E3-C1C8-4370-9FCF-9F59351F521C}">
      <text>
        <r>
          <rPr>
            <sz val="8"/>
            <color indexed="81"/>
            <rFont val="Tahoma"/>
            <family val="2"/>
          </rPr>
          <t>revised</t>
        </r>
      </text>
    </comment>
    <comment ref="BD103" authorId="0" shapeId="0" xr:uid="{FD347D18-3DF7-43EB-87FB-BF211AB4606B}">
      <text>
        <r>
          <rPr>
            <sz val="8"/>
            <color indexed="81"/>
            <rFont val="Tahoma"/>
            <family val="2"/>
          </rPr>
          <t>revised</t>
        </r>
      </text>
    </comment>
    <comment ref="BE103" authorId="0" shapeId="0" xr:uid="{D91A2876-8C73-4771-81BC-4C42636554DC}">
      <text>
        <r>
          <rPr>
            <sz val="8"/>
            <color indexed="81"/>
            <rFont val="Tahoma"/>
            <family val="2"/>
          </rPr>
          <t>revised</t>
        </r>
      </text>
    </comment>
    <comment ref="BF103" authorId="0" shapeId="0" xr:uid="{FFF45031-0D8F-4783-8570-A0E4F63E9D31}">
      <text>
        <r>
          <rPr>
            <sz val="8"/>
            <color indexed="81"/>
            <rFont val="Tahoma"/>
            <family val="2"/>
          </rPr>
          <t>revised</t>
        </r>
      </text>
    </comment>
    <comment ref="BG103" authorId="0" shapeId="0" xr:uid="{8CEE09A9-BE93-4DB9-9A1F-15FBE4AE736F}">
      <text>
        <r>
          <rPr>
            <sz val="8"/>
            <color indexed="81"/>
            <rFont val="Tahoma"/>
            <family val="2"/>
          </rPr>
          <t>revised</t>
        </r>
      </text>
    </comment>
    <comment ref="BH103" authorId="0" shapeId="0" xr:uid="{A55D10E7-898A-402F-B756-6BF66C9ECD62}">
      <text>
        <r>
          <rPr>
            <sz val="8"/>
            <color indexed="81"/>
            <rFont val="Tahoma"/>
            <family val="2"/>
          </rPr>
          <t>revised</t>
        </r>
      </text>
    </comment>
    <comment ref="BI103" authorId="0" shapeId="0" xr:uid="{20C10D89-47B9-4043-B51D-DBB7B28C6EF6}">
      <text>
        <r>
          <rPr>
            <sz val="8"/>
            <color indexed="81"/>
            <rFont val="Tahoma"/>
            <family val="2"/>
          </rPr>
          <t>revised</t>
        </r>
      </text>
    </comment>
    <comment ref="B104" authorId="0" shapeId="0" xr:uid="{D04524A8-B3D1-4CC5-917E-46C6645F5FDE}">
      <text>
        <r>
          <rPr>
            <sz val="8"/>
            <color indexed="81"/>
            <rFont val="Tahoma"/>
            <family val="2"/>
          </rPr>
          <t>revised</t>
        </r>
      </text>
    </comment>
    <comment ref="D104" authorId="0" shapeId="0" xr:uid="{0D66C798-6B16-4E65-A6D6-2FAAE1CB027A}">
      <text>
        <r>
          <rPr>
            <sz val="8"/>
            <color indexed="81"/>
            <rFont val="Tahoma"/>
            <family val="2"/>
          </rPr>
          <t>revised</t>
        </r>
      </text>
    </comment>
    <comment ref="L104" authorId="0" shapeId="0" xr:uid="{148FA758-9C46-447F-83C4-30E54913C8EA}">
      <text>
        <r>
          <rPr>
            <sz val="8"/>
            <color indexed="81"/>
            <rFont val="Tahoma"/>
            <family val="2"/>
          </rPr>
          <t>revised</t>
        </r>
      </text>
    </comment>
    <comment ref="M104" authorId="0" shapeId="0" xr:uid="{9E0D9B62-41D5-471B-B851-3157D1D14CC7}">
      <text>
        <r>
          <rPr>
            <sz val="8"/>
            <color indexed="81"/>
            <rFont val="Tahoma"/>
            <family val="2"/>
          </rPr>
          <t>revised</t>
        </r>
      </text>
    </comment>
    <comment ref="O104" authorId="0" shapeId="0" xr:uid="{E888F37E-F9F7-4150-810D-83F808ADB39A}">
      <text>
        <r>
          <rPr>
            <sz val="8"/>
            <color indexed="81"/>
            <rFont val="Tahoma"/>
            <family val="2"/>
          </rPr>
          <t>revised</t>
        </r>
      </text>
    </comment>
    <comment ref="R104" authorId="0" shapeId="0" xr:uid="{E1D5B003-D83A-49F5-83E9-EAA3E714D3E6}">
      <text>
        <r>
          <rPr>
            <sz val="8"/>
            <color indexed="81"/>
            <rFont val="Tahoma"/>
            <family val="2"/>
          </rPr>
          <t>revised</t>
        </r>
      </text>
    </comment>
    <comment ref="S104" authorId="0" shapeId="0" xr:uid="{15041365-1FD8-4606-8EA5-ABE2506FCA8D}">
      <text>
        <r>
          <rPr>
            <sz val="8"/>
            <color indexed="81"/>
            <rFont val="Tahoma"/>
            <family val="2"/>
          </rPr>
          <t>revised</t>
        </r>
      </text>
    </comment>
    <comment ref="U104" authorId="0" shapeId="0" xr:uid="{94F0E79E-8318-4B4A-90AE-971B80B10295}">
      <text>
        <r>
          <rPr>
            <sz val="8"/>
            <color indexed="81"/>
            <rFont val="Tahoma"/>
            <family val="2"/>
          </rPr>
          <t>revised</t>
        </r>
      </text>
    </comment>
    <comment ref="V104" authorId="0" shapeId="0" xr:uid="{50AF3E69-33CC-4305-AA94-39AD252CF62A}">
      <text>
        <r>
          <rPr>
            <sz val="8"/>
            <color indexed="81"/>
            <rFont val="Tahoma"/>
            <family val="2"/>
          </rPr>
          <t>revised</t>
        </r>
      </text>
    </comment>
    <comment ref="AA104" authorId="0" shapeId="0" xr:uid="{FF223A11-C0FB-4C2C-8F51-B641700CE3BE}">
      <text>
        <r>
          <rPr>
            <sz val="8"/>
            <color indexed="81"/>
            <rFont val="Tahoma"/>
            <family val="2"/>
          </rPr>
          <t>revised</t>
        </r>
      </text>
    </comment>
    <comment ref="AF104" authorId="0" shapeId="0" xr:uid="{716DB7B7-03C3-4E99-B35F-63D6B9CB1EB0}">
      <text>
        <r>
          <rPr>
            <sz val="8"/>
            <color indexed="81"/>
            <rFont val="Tahoma"/>
            <family val="2"/>
          </rPr>
          <t>revised</t>
        </r>
      </text>
    </comment>
    <comment ref="AG104" authorId="0" shapeId="0" xr:uid="{CFA8D475-EFEF-4DB1-9AF7-F5E11D3A1D0D}">
      <text>
        <r>
          <rPr>
            <sz val="8"/>
            <color indexed="81"/>
            <rFont val="Tahoma"/>
            <family val="2"/>
          </rPr>
          <t>revised</t>
        </r>
      </text>
    </comment>
    <comment ref="AH104" authorId="0" shapeId="0" xr:uid="{2E5EFDF3-78D0-47F9-BB57-84CD2EE80C40}">
      <text>
        <r>
          <rPr>
            <sz val="8"/>
            <color indexed="81"/>
            <rFont val="Tahoma"/>
            <family val="2"/>
          </rPr>
          <t>revised</t>
        </r>
      </text>
    </comment>
    <comment ref="AI104" authorId="0" shapeId="0" xr:uid="{A4D93DB9-4E94-43F0-857F-2CA7665F55F7}">
      <text>
        <r>
          <rPr>
            <sz val="8"/>
            <color indexed="81"/>
            <rFont val="Tahoma"/>
            <family val="2"/>
          </rPr>
          <t>revised</t>
        </r>
      </text>
    </comment>
    <comment ref="AJ104" authorId="0" shapeId="0" xr:uid="{605E7C61-DDB2-4148-818F-497D3CEAE0C8}">
      <text>
        <r>
          <rPr>
            <sz val="8"/>
            <color indexed="81"/>
            <rFont val="Tahoma"/>
            <family val="2"/>
          </rPr>
          <t>revised</t>
        </r>
      </text>
    </comment>
    <comment ref="AK104" authorId="0" shapeId="0" xr:uid="{B733DF2A-F25D-43B8-8822-786BFCD74262}">
      <text>
        <r>
          <rPr>
            <sz val="8"/>
            <color indexed="81"/>
            <rFont val="Tahoma"/>
            <family val="2"/>
          </rPr>
          <t>revised</t>
        </r>
      </text>
    </comment>
    <comment ref="AL104" authorId="0" shapeId="0" xr:uid="{587F6256-52AD-4DE1-BB51-3B171D7FB814}">
      <text>
        <r>
          <rPr>
            <sz val="8"/>
            <color indexed="81"/>
            <rFont val="Tahoma"/>
            <family val="2"/>
          </rPr>
          <t>revised</t>
        </r>
      </text>
    </comment>
    <comment ref="AM104" authorId="0" shapeId="0" xr:uid="{431365B7-6F04-45FF-A5AF-7A3BE56AED3E}">
      <text>
        <r>
          <rPr>
            <sz val="8"/>
            <color indexed="81"/>
            <rFont val="Tahoma"/>
            <family val="2"/>
          </rPr>
          <t>revised</t>
        </r>
      </text>
    </comment>
    <comment ref="AN104" authorId="0" shapeId="0" xr:uid="{00190992-FD0B-4DA4-98B2-39549B1086CD}">
      <text>
        <r>
          <rPr>
            <sz val="8"/>
            <color indexed="81"/>
            <rFont val="Tahoma"/>
            <family val="2"/>
          </rPr>
          <t>revised</t>
        </r>
      </text>
    </comment>
    <comment ref="AO104" authorId="0" shapeId="0" xr:uid="{0FE41468-5B6A-4472-95F6-88CB0BA33F0B}">
      <text>
        <r>
          <rPr>
            <sz val="8"/>
            <color indexed="81"/>
            <rFont val="Tahoma"/>
            <family val="2"/>
          </rPr>
          <t>revised</t>
        </r>
      </text>
    </comment>
    <comment ref="AP104" authorId="0" shapeId="0" xr:uid="{E3697885-1B14-458A-8A66-802127E12440}">
      <text>
        <r>
          <rPr>
            <sz val="8"/>
            <color indexed="81"/>
            <rFont val="Tahoma"/>
            <family val="2"/>
          </rPr>
          <t>revised</t>
        </r>
      </text>
    </comment>
    <comment ref="AQ104" authorId="0" shapeId="0" xr:uid="{CF8D220D-5CA1-4A9A-9447-70E576189AC7}">
      <text>
        <r>
          <rPr>
            <sz val="8"/>
            <color indexed="81"/>
            <rFont val="Tahoma"/>
            <family val="2"/>
          </rPr>
          <t>revised</t>
        </r>
      </text>
    </comment>
    <comment ref="AS104" authorId="0" shapeId="0" xr:uid="{410B6939-8B68-4628-A8ED-2FA6D686CEDA}">
      <text>
        <r>
          <rPr>
            <sz val="8"/>
            <color indexed="81"/>
            <rFont val="Tahoma"/>
            <family val="2"/>
          </rPr>
          <t>revised</t>
        </r>
      </text>
    </comment>
    <comment ref="AT104" authorId="0" shapeId="0" xr:uid="{0941D74D-37D4-44D7-8F39-A4A13B249DC0}">
      <text>
        <r>
          <rPr>
            <sz val="8"/>
            <color indexed="81"/>
            <rFont val="Tahoma"/>
            <family val="2"/>
          </rPr>
          <t>revised</t>
        </r>
      </text>
    </comment>
    <comment ref="AU104" authorId="0" shapeId="0" xr:uid="{8C09E65B-041B-473E-8E38-0520D0273377}">
      <text>
        <r>
          <rPr>
            <sz val="8"/>
            <color indexed="81"/>
            <rFont val="Tahoma"/>
            <family val="2"/>
          </rPr>
          <t>revised</t>
        </r>
      </text>
    </comment>
    <comment ref="AV104" authorId="0" shapeId="0" xr:uid="{9743D6EF-68AA-4E08-8339-8DF708A83930}">
      <text>
        <r>
          <rPr>
            <sz val="8"/>
            <color indexed="81"/>
            <rFont val="Tahoma"/>
            <family val="2"/>
          </rPr>
          <t>revised</t>
        </r>
      </text>
    </comment>
    <comment ref="AW104" authorId="0" shapeId="0" xr:uid="{15FC116B-11DF-44DD-9757-1FDED0DD29FB}">
      <text>
        <r>
          <rPr>
            <sz val="8"/>
            <color indexed="81"/>
            <rFont val="Tahoma"/>
            <family val="2"/>
          </rPr>
          <t>revised</t>
        </r>
      </text>
    </comment>
    <comment ref="AX104" authorId="0" shapeId="0" xr:uid="{6B93CFE9-A85F-40D2-B473-61FC63D1D7B2}">
      <text>
        <r>
          <rPr>
            <sz val="8"/>
            <color indexed="81"/>
            <rFont val="Tahoma"/>
            <family val="2"/>
          </rPr>
          <t>revised</t>
        </r>
      </text>
    </comment>
    <comment ref="AY104" authorId="0" shapeId="0" xr:uid="{D675ADBE-C52C-4AF3-B315-DFF83CBBECB0}">
      <text>
        <r>
          <rPr>
            <sz val="8"/>
            <color indexed="81"/>
            <rFont val="Tahoma"/>
            <family val="2"/>
          </rPr>
          <t>revised</t>
        </r>
      </text>
    </comment>
    <comment ref="AZ104" authorId="0" shapeId="0" xr:uid="{AAB5864A-3B89-45F6-AA05-43A7F6990185}">
      <text>
        <r>
          <rPr>
            <sz val="8"/>
            <color indexed="81"/>
            <rFont val="Tahoma"/>
            <family val="2"/>
          </rPr>
          <t>revised</t>
        </r>
      </text>
    </comment>
    <comment ref="BA104" authorId="0" shapeId="0" xr:uid="{89AA1DC6-D081-47A8-BB9D-5CBD7B274709}">
      <text>
        <r>
          <rPr>
            <sz val="8"/>
            <color indexed="81"/>
            <rFont val="Tahoma"/>
            <family val="2"/>
          </rPr>
          <t>revised</t>
        </r>
      </text>
    </comment>
    <comment ref="BC104" authorId="0" shapeId="0" xr:uid="{33059866-E92E-4ECF-A1F1-2D91426606AC}">
      <text>
        <r>
          <rPr>
            <sz val="8"/>
            <color indexed="81"/>
            <rFont val="Tahoma"/>
            <family val="2"/>
          </rPr>
          <t>revised</t>
        </r>
      </text>
    </comment>
    <comment ref="BD104" authorId="0" shapeId="0" xr:uid="{B8E87927-2B03-4AFA-B884-9727F8B60118}">
      <text>
        <r>
          <rPr>
            <sz val="8"/>
            <color indexed="81"/>
            <rFont val="Tahoma"/>
            <family val="2"/>
          </rPr>
          <t>revised</t>
        </r>
      </text>
    </comment>
    <comment ref="BE104" authorId="0" shapeId="0" xr:uid="{7AE786F9-AD27-4999-8601-E6E42A36D4BF}">
      <text>
        <r>
          <rPr>
            <sz val="8"/>
            <color indexed="81"/>
            <rFont val="Tahoma"/>
            <family val="2"/>
          </rPr>
          <t>revised</t>
        </r>
      </text>
    </comment>
    <comment ref="BF104" authorId="0" shapeId="0" xr:uid="{6F0C4F50-9FCB-4FD8-8930-13F7E2CF139F}">
      <text>
        <r>
          <rPr>
            <sz val="8"/>
            <color indexed="81"/>
            <rFont val="Tahoma"/>
            <family val="2"/>
          </rPr>
          <t>revised</t>
        </r>
      </text>
    </comment>
    <comment ref="BI104" authorId="0" shapeId="0" xr:uid="{C86AC2B9-2EE4-4FA8-BA94-07A6204D69E0}">
      <text>
        <r>
          <rPr>
            <sz val="8"/>
            <color indexed="81"/>
            <rFont val="Tahoma"/>
            <family val="2"/>
          </rPr>
          <t>revised</t>
        </r>
      </text>
    </comment>
    <comment ref="B105" authorId="0" shapeId="0" xr:uid="{F4B36040-3146-49D8-A02C-76AA7EDE8ECB}">
      <text>
        <r>
          <rPr>
            <sz val="8"/>
            <color indexed="81"/>
            <rFont val="Tahoma"/>
            <family val="2"/>
          </rPr>
          <t>revised</t>
        </r>
      </text>
    </comment>
    <comment ref="C105" authorId="0" shapeId="0" xr:uid="{39E9ACA6-F8EA-44F8-8E22-6F2B288B4D94}">
      <text>
        <r>
          <rPr>
            <sz val="8"/>
            <color indexed="81"/>
            <rFont val="Tahoma"/>
            <family val="2"/>
          </rPr>
          <t>revised</t>
        </r>
      </text>
    </comment>
    <comment ref="D105" authorId="0" shapeId="0" xr:uid="{3AE6309B-F09B-40C2-986B-F3ADD9FF8A17}">
      <text>
        <r>
          <rPr>
            <sz val="8"/>
            <color indexed="81"/>
            <rFont val="Tahoma"/>
            <family val="2"/>
          </rPr>
          <t>revised</t>
        </r>
      </text>
    </comment>
    <comment ref="E105" authorId="0" shapeId="0" xr:uid="{AB65198A-C1D6-48B3-B3FD-2354DAFA4304}">
      <text>
        <r>
          <rPr>
            <sz val="8"/>
            <color indexed="81"/>
            <rFont val="Tahoma"/>
            <family val="2"/>
          </rPr>
          <t>revised</t>
        </r>
      </text>
    </comment>
    <comment ref="F105" authorId="0" shapeId="0" xr:uid="{1C08D2C2-EB84-42BC-8042-E734F19C024E}">
      <text>
        <r>
          <rPr>
            <sz val="8"/>
            <color indexed="81"/>
            <rFont val="Tahoma"/>
            <family val="2"/>
          </rPr>
          <t>revised</t>
        </r>
      </text>
    </comment>
    <comment ref="G105" authorId="0" shapeId="0" xr:uid="{193D1E06-5712-459E-9732-C4E4CB5139B2}">
      <text>
        <r>
          <rPr>
            <sz val="8"/>
            <color indexed="81"/>
            <rFont val="Tahoma"/>
            <family val="2"/>
          </rPr>
          <t>revised</t>
        </r>
      </text>
    </comment>
    <comment ref="H105" authorId="0" shapeId="0" xr:uid="{7FB50BAE-2A19-4D84-A725-F592C70E7CE9}">
      <text>
        <r>
          <rPr>
            <sz val="8"/>
            <color indexed="81"/>
            <rFont val="Tahoma"/>
            <family val="2"/>
          </rPr>
          <t>revised</t>
        </r>
      </text>
    </comment>
    <comment ref="J105" authorId="0" shapeId="0" xr:uid="{965639F0-34A3-447B-B910-19BCA017F493}">
      <text>
        <r>
          <rPr>
            <sz val="8"/>
            <color indexed="81"/>
            <rFont val="Tahoma"/>
            <family val="2"/>
          </rPr>
          <t>revised</t>
        </r>
      </text>
    </comment>
    <comment ref="K105" authorId="0" shapeId="0" xr:uid="{54DA473C-3C10-411E-A57B-D2F0A6EBD24C}">
      <text>
        <r>
          <rPr>
            <sz val="8"/>
            <color indexed="81"/>
            <rFont val="Tahoma"/>
            <family val="2"/>
          </rPr>
          <t>revised</t>
        </r>
      </text>
    </comment>
    <comment ref="L105" authorId="0" shapeId="0" xr:uid="{EA11DAE0-303D-4705-B771-80CC10AC4E7A}">
      <text>
        <r>
          <rPr>
            <sz val="8"/>
            <color indexed="81"/>
            <rFont val="Tahoma"/>
            <family val="2"/>
          </rPr>
          <t>revised</t>
        </r>
      </text>
    </comment>
    <comment ref="M105" authorId="0" shapeId="0" xr:uid="{19F419B0-4A73-4E5A-83B3-984A96EA6CC2}">
      <text>
        <r>
          <rPr>
            <sz val="8"/>
            <color indexed="81"/>
            <rFont val="Tahoma"/>
            <family val="2"/>
          </rPr>
          <t>revised</t>
        </r>
      </text>
    </comment>
    <comment ref="P105" authorId="0" shapeId="0" xr:uid="{D9322753-1AD6-41FA-868A-9C6B3CB9F5D1}">
      <text>
        <r>
          <rPr>
            <sz val="8"/>
            <color indexed="81"/>
            <rFont val="Tahoma"/>
            <family val="2"/>
          </rPr>
          <t>revised</t>
        </r>
      </text>
    </comment>
    <comment ref="Q105" authorId="0" shapeId="0" xr:uid="{0F2FE8E6-3CA2-4974-A6E1-7A245565760A}">
      <text>
        <r>
          <rPr>
            <sz val="8"/>
            <color indexed="81"/>
            <rFont val="Tahoma"/>
            <family val="2"/>
          </rPr>
          <t>revised</t>
        </r>
      </text>
    </comment>
    <comment ref="R105" authorId="0" shapeId="0" xr:uid="{33DBF81B-2C7D-45B7-BA8A-F14908471877}">
      <text>
        <r>
          <rPr>
            <sz val="8"/>
            <color indexed="81"/>
            <rFont val="Tahoma"/>
            <family val="2"/>
          </rPr>
          <t>revised</t>
        </r>
      </text>
    </comment>
    <comment ref="S105" authorId="0" shapeId="0" xr:uid="{85231A06-B161-4E1C-AD0A-816926B73BFF}">
      <text>
        <r>
          <rPr>
            <sz val="8"/>
            <color indexed="81"/>
            <rFont val="Tahoma"/>
            <family val="2"/>
          </rPr>
          <t>revised</t>
        </r>
      </text>
    </comment>
    <comment ref="T105" authorId="0" shapeId="0" xr:uid="{7210EE54-FA6F-418D-B149-2432C9163CA6}">
      <text>
        <r>
          <rPr>
            <sz val="8"/>
            <color indexed="81"/>
            <rFont val="Tahoma"/>
            <family val="2"/>
          </rPr>
          <t>revised</t>
        </r>
      </text>
    </comment>
    <comment ref="U105" authorId="0" shapeId="0" xr:uid="{385DB5FE-2955-403F-9D5D-3471515CE8C0}">
      <text>
        <r>
          <rPr>
            <sz val="8"/>
            <color indexed="81"/>
            <rFont val="Tahoma"/>
            <family val="2"/>
          </rPr>
          <t>revised</t>
        </r>
      </text>
    </comment>
    <comment ref="V105" authorId="0" shapeId="0" xr:uid="{ECBDBBF3-3863-46FB-9E41-BB8D6E1CD8EC}">
      <text>
        <r>
          <rPr>
            <sz val="8"/>
            <color indexed="81"/>
            <rFont val="Tahoma"/>
            <family val="2"/>
          </rPr>
          <t>revised</t>
        </r>
      </text>
    </comment>
    <comment ref="W105" authorId="0" shapeId="0" xr:uid="{5109DD69-B820-48AC-9AB8-94B2107CB3E8}">
      <text>
        <r>
          <rPr>
            <sz val="8"/>
            <color indexed="81"/>
            <rFont val="Tahoma"/>
            <family val="2"/>
          </rPr>
          <t>revised</t>
        </r>
      </text>
    </comment>
    <comment ref="X105" authorId="0" shapeId="0" xr:uid="{BBB4273E-26C0-4D7A-9303-5F2C815B55A2}">
      <text>
        <r>
          <rPr>
            <sz val="8"/>
            <color indexed="81"/>
            <rFont val="Tahoma"/>
            <family val="2"/>
          </rPr>
          <t>revised</t>
        </r>
      </text>
    </comment>
    <comment ref="Y105" authorId="0" shapeId="0" xr:uid="{66681211-B650-4737-97F6-F7C1D60DA1EE}">
      <text>
        <r>
          <rPr>
            <sz val="8"/>
            <color indexed="81"/>
            <rFont val="Tahoma"/>
            <family val="2"/>
          </rPr>
          <t>revised</t>
        </r>
      </text>
    </comment>
    <comment ref="Z105" authorId="0" shapeId="0" xr:uid="{5876EAD1-A65F-4AD1-83AB-13B8B6B085FB}">
      <text>
        <r>
          <rPr>
            <sz val="8"/>
            <color indexed="81"/>
            <rFont val="Tahoma"/>
            <family val="2"/>
          </rPr>
          <t>revised</t>
        </r>
      </text>
    </comment>
    <comment ref="AA105" authorId="0" shapeId="0" xr:uid="{E8515A16-35FE-4C9E-8C97-5A2E062C86A5}">
      <text>
        <r>
          <rPr>
            <sz val="8"/>
            <color indexed="81"/>
            <rFont val="Tahoma"/>
            <family val="2"/>
          </rPr>
          <t>revised</t>
        </r>
      </text>
    </comment>
    <comment ref="AB105" authorId="0" shapeId="0" xr:uid="{FF3079F5-3A88-4E32-B50B-176F2B0B2168}">
      <text>
        <r>
          <rPr>
            <sz val="8"/>
            <color indexed="81"/>
            <rFont val="Tahoma"/>
            <family val="2"/>
          </rPr>
          <t>revised</t>
        </r>
      </text>
    </comment>
    <comment ref="AC105" authorId="0" shapeId="0" xr:uid="{FA0304D2-489D-4EE4-A390-360368C54850}">
      <text>
        <r>
          <rPr>
            <sz val="8"/>
            <color indexed="81"/>
            <rFont val="Tahoma"/>
            <family val="2"/>
          </rPr>
          <t>revised</t>
        </r>
      </text>
    </comment>
    <comment ref="AE105" authorId="0" shapeId="0" xr:uid="{5CD39B7B-DBEF-4AF4-BCB9-A80561D23D37}">
      <text>
        <r>
          <rPr>
            <sz val="8"/>
            <color indexed="81"/>
            <rFont val="Tahoma"/>
            <family val="2"/>
          </rPr>
          <t>revised</t>
        </r>
      </text>
    </comment>
    <comment ref="AF105" authorId="0" shapeId="0" xr:uid="{AB70FF19-2E54-4A26-AA05-0E05F8897F91}">
      <text>
        <r>
          <rPr>
            <sz val="8"/>
            <color indexed="81"/>
            <rFont val="Tahoma"/>
            <family val="2"/>
          </rPr>
          <t>revised</t>
        </r>
      </text>
    </comment>
    <comment ref="AG105" authorId="0" shapeId="0" xr:uid="{4E415E3B-7689-48AF-BE88-8553826D7951}">
      <text>
        <r>
          <rPr>
            <sz val="8"/>
            <color indexed="81"/>
            <rFont val="Tahoma"/>
            <family val="2"/>
          </rPr>
          <t>revised</t>
        </r>
      </text>
    </comment>
    <comment ref="AH105" authorId="0" shapeId="0" xr:uid="{C388D6A1-8623-48FA-AF37-A4AE4D56E329}">
      <text>
        <r>
          <rPr>
            <sz val="8"/>
            <color indexed="81"/>
            <rFont val="Tahoma"/>
            <family val="2"/>
          </rPr>
          <t>revised</t>
        </r>
      </text>
    </comment>
    <comment ref="AI105" authorId="0" shapeId="0" xr:uid="{5E77E8A8-2D1C-41F3-A2AE-36745F2EA0F9}">
      <text>
        <r>
          <rPr>
            <sz val="8"/>
            <color indexed="81"/>
            <rFont val="Tahoma"/>
            <family val="2"/>
          </rPr>
          <t>revised</t>
        </r>
      </text>
    </comment>
    <comment ref="AJ105" authorId="0" shapeId="0" xr:uid="{23E8729A-D7E3-4014-8ADF-1CAE8F202EE2}">
      <text>
        <r>
          <rPr>
            <sz val="8"/>
            <color indexed="81"/>
            <rFont val="Tahoma"/>
            <family val="2"/>
          </rPr>
          <t>revised</t>
        </r>
      </text>
    </comment>
    <comment ref="AK105" authorId="0" shapeId="0" xr:uid="{21BDF4BE-10EC-4A4C-9ECA-19DA786112A9}">
      <text>
        <r>
          <rPr>
            <sz val="8"/>
            <color indexed="81"/>
            <rFont val="Tahoma"/>
            <family val="2"/>
          </rPr>
          <t>revised</t>
        </r>
      </text>
    </comment>
    <comment ref="AL105" authorId="0" shapeId="0" xr:uid="{79D324D8-55F9-4597-84DA-E3F6137E5895}">
      <text>
        <r>
          <rPr>
            <sz val="8"/>
            <color indexed="81"/>
            <rFont val="Tahoma"/>
            <family val="2"/>
          </rPr>
          <t>revised</t>
        </r>
      </text>
    </comment>
    <comment ref="AM105" authorId="0" shapeId="0" xr:uid="{1388BDAB-6EA2-4A4F-8B44-E3456CDDCB31}">
      <text>
        <r>
          <rPr>
            <sz val="8"/>
            <color indexed="81"/>
            <rFont val="Tahoma"/>
            <family val="2"/>
          </rPr>
          <t>revised</t>
        </r>
      </text>
    </comment>
    <comment ref="AN105" authorId="0" shapeId="0" xr:uid="{F1014F06-6559-412D-BE28-2D60E4B5466A}">
      <text>
        <r>
          <rPr>
            <sz val="8"/>
            <color indexed="81"/>
            <rFont val="Tahoma"/>
            <family val="2"/>
          </rPr>
          <t>revised</t>
        </r>
      </text>
    </comment>
    <comment ref="AO105" authorId="0" shapeId="0" xr:uid="{05AAECD9-BD64-4D7B-A327-C392A870AFBE}">
      <text>
        <r>
          <rPr>
            <sz val="8"/>
            <color indexed="81"/>
            <rFont val="Tahoma"/>
            <family val="2"/>
          </rPr>
          <t>revised</t>
        </r>
      </text>
    </comment>
    <comment ref="AP105" authorId="0" shapeId="0" xr:uid="{5C3FE0E1-A4CD-4570-8914-10F3B3F33DE8}">
      <text>
        <r>
          <rPr>
            <sz val="8"/>
            <color indexed="81"/>
            <rFont val="Tahoma"/>
            <family val="2"/>
          </rPr>
          <t>revised</t>
        </r>
      </text>
    </comment>
    <comment ref="AQ105" authorId="0" shapeId="0" xr:uid="{0DBA67F6-5D32-4FB6-AEC9-63D1050036DB}">
      <text>
        <r>
          <rPr>
            <sz val="8"/>
            <color indexed="81"/>
            <rFont val="Tahoma"/>
            <family val="2"/>
          </rPr>
          <t>revised</t>
        </r>
      </text>
    </comment>
    <comment ref="AR105" authorId="0" shapeId="0" xr:uid="{2A46E0C2-49D7-4BF5-AAB2-505488CEA424}">
      <text>
        <r>
          <rPr>
            <sz val="8"/>
            <color indexed="81"/>
            <rFont val="Tahoma"/>
            <family val="2"/>
          </rPr>
          <t>revised</t>
        </r>
      </text>
    </comment>
    <comment ref="AS105" authorId="0" shapeId="0" xr:uid="{813A0C5B-AAA1-442A-BA49-E4DC93F245A8}">
      <text>
        <r>
          <rPr>
            <sz val="8"/>
            <color indexed="81"/>
            <rFont val="Tahoma"/>
            <family val="2"/>
          </rPr>
          <t>revised</t>
        </r>
      </text>
    </comment>
    <comment ref="AT105" authorId="0" shapeId="0" xr:uid="{AF2FB07D-7964-4CD5-BDF6-90CB69DBD089}">
      <text>
        <r>
          <rPr>
            <sz val="8"/>
            <color indexed="81"/>
            <rFont val="Tahoma"/>
            <family val="2"/>
          </rPr>
          <t>revised</t>
        </r>
      </text>
    </comment>
    <comment ref="AU105" authorId="0" shapeId="0" xr:uid="{58C8013F-37B1-4BAA-B1A6-22305FD7FACC}">
      <text>
        <r>
          <rPr>
            <sz val="8"/>
            <color indexed="81"/>
            <rFont val="Tahoma"/>
            <family val="2"/>
          </rPr>
          <t>revised</t>
        </r>
      </text>
    </comment>
    <comment ref="AV105" authorId="0" shapeId="0" xr:uid="{6DA3710F-5107-465F-8BFB-55B031E8F2F6}">
      <text>
        <r>
          <rPr>
            <sz val="8"/>
            <color indexed="81"/>
            <rFont val="Tahoma"/>
            <family val="2"/>
          </rPr>
          <t>revised</t>
        </r>
      </text>
    </comment>
    <comment ref="AW105" authorId="0" shapeId="0" xr:uid="{FDB82BC4-A2CA-4AA4-BA12-E300E9122C1F}">
      <text>
        <r>
          <rPr>
            <sz val="8"/>
            <color indexed="81"/>
            <rFont val="Tahoma"/>
            <family val="2"/>
          </rPr>
          <t>revised</t>
        </r>
      </text>
    </comment>
    <comment ref="AX105" authorId="0" shapeId="0" xr:uid="{CC2285E4-0BB3-45C4-B3D7-079638DA640E}">
      <text>
        <r>
          <rPr>
            <sz val="8"/>
            <color indexed="81"/>
            <rFont val="Tahoma"/>
            <family val="2"/>
          </rPr>
          <t>revised</t>
        </r>
      </text>
    </comment>
    <comment ref="AY105" authorId="0" shapeId="0" xr:uid="{C6822D38-DF8F-4692-9A70-307B6A986261}">
      <text>
        <r>
          <rPr>
            <sz val="8"/>
            <color indexed="81"/>
            <rFont val="Tahoma"/>
            <family val="2"/>
          </rPr>
          <t>revised</t>
        </r>
      </text>
    </comment>
    <comment ref="AZ105" authorId="0" shapeId="0" xr:uid="{DECC71DB-D884-42A3-B05F-D9144FFDFAEE}">
      <text>
        <r>
          <rPr>
            <sz val="8"/>
            <color indexed="81"/>
            <rFont val="Tahoma"/>
            <family val="2"/>
          </rPr>
          <t>revised</t>
        </r>
      </text>
    </comment>
    <comment ref="BA105" authorId="0" shapeId="0" xr:uid="{A5267F4C-47FC-425E-A0E3-D503FA791876}">
      <text>
        <r>
          <rPr>
            <sz val="8"/>
            <color indexed="81"/>
            <rFont val="Tahoma"/>
            <family val="2"/>
          </rPr>
          <t>revised</t>
        </r>
      </text>
    </comment>
    <comment ref="BB105" authorId="0" shapeId="0" xr:uid="{300D9418-DED7-4B70-BB11-DDA59E9042AE}">
      <text>
        <r>
          <rPr>
            <sz val="8"/>
            <color indexed="81"/>
            <rFont val="Tahoma"/>
            <family val="2"/>
          </rPr>
          <t>revised</t>
        </r>
      </text>
    </comment>
    <comment ref="BC105" authorId="0" shapeId="0" xr:uid="{638D2939-5178-4B84-981D-34EEED3F7FB3}">
      <text>
        <r>
          <rPr>
            <sz val="8"/>
            <color indexed="81"/>
            <rFont val="Tahoma"/>
            <family val="2"/>
          </rPr>
          <t>revised</t>
        </r>
      </text>
    </comment>
    <comment ref="BD105" authorId="0" shapeId="0" xr:uid="{DFCD8CAC-0910-4F1F-B4E3-5F9DB1E48830}">
      <text>
        <r>
          <rPr>
            <sz val="8"/>
            <color indexed="81"/>
            <rFont val="Tahoma"/>
            <family val="2"/>
          </rPr>
          <t>revised</t>
        </r>
      </text>
    </comment>
    <comment ref="BE105" authorId="0" shapeId="0" xr:uid="{85790363-A279-474B-988B-F0444918608D}">
      <text>
        <r>
          <rPr>
            <sz val="8"/>
            <color indexed="81"/>
            <rFont val="Tahoma"/>
            <family val="2"/>
          </rPr>
          <t>revised</t>
        </r>
      </text>
    </comment>
    <comment ref="BF105" authorId="0" shapeId="0" xr:uid="{93919E58-8E0D-4138-9E6C-80AFF0627E87}">
      <text>
        <r>
          <rPr>
            <sz val="8"/>
            <color indexed="81"/>
            <rFont val="Tahoma"/>
            <family val="2"/>
          </rPr>
          <t>revised</t>
        </r>
      </text>
    </comment>
    <comment ref="BG105" authorId="0" shapeId="0" xr:uid="{356FFDA1-E689-46A2-BD21-AFCF663A0C30}">
      <text>
        <r>
          <rPr>
            <sz val="8"/>
            <color indexed="81"/>
            <rFont val="Tahoma"/>
            <family val="2"/>
          </rPr>
          <t>revised</t>
        </r>
      </text>
    </comment>
    <comment ref="BH105" authorId="0" shapeId="0" xr:uid="{5B943147-AE04-478C-A87C-24B03D3C7E02}">
      <text>
        <r>
          <rPr>
            <sz val="8"/>
            <color indexed="81"/>
            <rFont val="Tahoma"/>
            <family val="2"/>
          </rPr>
          <t>revised</t>
        </r>
      </text>
    </comment>
    <comment ref="BI105" authorId="0" shapeId="0" xr:uid="{8FDBA5BE-003B-4E7B-99D1-AC8F0E81C2F0}">
      <text>
        <r>
          <rPr>
            <sz val="8"/>
            <color indexed="81"/>
            <rFont val="Tahoma"/>
            <family val="2"/>
          </rPr>
          <t>revised</t>
        </r>
      </text>
    </comment>
    <comment ref="B106" authorId="0" shapeId="0" xr:uid="{3F3D8630-C69C-4A84-9442-AF0212964EFF}">
      <text>
        <r>
          <rPr>
            <sz val="8"/>
            <color indexed="81"/>
            <rFont val="Tahoma"/>
            <family val="2"/>
          </rPr>
          <t>preliminary figure or series subject to revision</t>
        </r>
      </text>
    </comment>
    <comment ref="C106" authorId="0" shapeId="0" xr:uid="{D1A38C0E-3EA4-44CC-8E2E-9A5D9B61D135}">
      <text>
        <r>
          <rPr>
            <sz val="8"/>
            <color indexed="81"/>
            <rFont val="Tahoma"/>
            <family val="2"/>
          </rPr>
          <t>preliminary figure or series subject to revision</t>
        </r>
      </text>
    </comment>
    <comment ref="D106" authorId="0" shapeId="0" xr:uid="{2E9D4516-B64C-4841-9C55-D142646DADAC}">
      <text>
        <r>
          <rPr>
            <sz val="8"/>
            <color indexed="81"/>
            <rFont val="Tahoma"/>
            <family val="2"/>
          </rPr>
          <t>preliminary figure or series subject to revision</t>
        </r>
      </text>
    </comment>
    <comment ref="E106" authorId="0" shapeId="0" xr:uid="{9D10B043-B5B4-407E-AEFE-892DA5B14ED1}">
      <text>
        <r>
          <rPr>
            <sz val="8"/>
            <color indexed="81"/>
            <rFont val="Tahoma"/>
            <family val="2"/>
          </rPr>
          <t>preliminary figure or series subject to revision</t>
        </r>
      </text>
    </comment>
    <comment ref="F106" authorId="0" shapeId="0" xr:uid="{12111B65-7D0C-4F58-9C5D-B7173B51E6CA}">
      <text>
        <r>
          <rPr>
            <sz val="8"/>
            <color indexed="81"/>
            <rFont val="Tahoma"/>
            <family val="2"/>
          </rPr>
          <t>preliminary figure or series subject to revision</t>
        </r>
      </text>
    </comment>
    <comment ref="G106" authorId="0" shapeId="0" xr:uid="{8E594400-1D0D-4215-8C96-DE0E233D619C}">
      <text>
        <r>
          <rPr>
            <sz val="8"/>
            <color indexed="81"/>
            <rFont val="Tahoma"/>
            <family val="2"/>
          </rPr>
          <t>preliminary figure or series subject to revision</t>
        </r>
      </text>
    </comment>
    <comment ref="H106" authorId="0" shapeId="0" xr:uid="{F9B83753-4CF5-4B34-B8A0-0514752571F5}">
      <text>
        <r>
          <rPr>
            <sz val="8"/>
            <color indexed="81"/>
            <rFont val="Tahoma"/>
            <family val="2"/>
          </rPr>
          <t>preliminary figure or series subject to revision</t>
        </r>
      </text>
    </comment>
    <comment ref="I106" authorId="0" shapeId="0" xr:uid="{53778956-B8B1-4181-8A9E-9D7B37E8DECA}">
      <text>
        <r>
          <rPr>
            <sz val="8"/>
            <color indexed="81"/>
            <rFont val="Tahoma"/>
            <family val="2"/>
          </rPr>
          <t>preliminary figure or series subject to revision</t>
        </r>
      </text>
    </comment>
    <comment ref="J106" authorId="0" shapeId="0" xr:uid="{BF4578C1-75B8-4344-A006-82A57F6E8892}">
      <text>
        <r>
          <rPr>
            <sz val="8"/>
            <color indexed="81"/>
            <rFont val="Tahoma"/>
            <family val="2"/>
          </rPr>
          <t>preliminary figure or series subject to revision</t>
        </r>
      </text>
    </comment>
    <comment ref="K106" authorId="0" shapeId="0" xr:uid="{DA82A293-9A8C-4A6D-85FD-C630D48E6208}">
      <text>
        <r>
          <rPr>
            <sz val="8"/>
            <color indexed="81"/>
            <rFont val="Tahoma"/>
            <family val="2"/>
          </rPr>
          <t>preliminary figure or series subject to revision</t>
        </r>
      </text>
    </comment>
    <comment ref="L106" authorId="0" shapeId="0" xr:uid="{E1C49917-0E00-48CD-95DA-C9407730B4C2}">
      <text>
        <r>
          <rPr>
            <sz val="8"/>
            <color indexed="81"/>
            <rFont val="Tahoma"/>
            <family val="2"/>
          </rPr>
          <t>preliminary figure or series subject to revision</t>
        </r>
      </text>
    </comment>
    <comment ref="M106" authorId="0" shapeId="0" xr:uid="{0BA1005A-5DE9-4B77-AA0D-64CC30828D06}">
      <text>
        <r>
          <rPr>
            <sz val="8"/>
            <color indexed="81"/>
            <rFont val="Tahoma"/>
            <family val="2"/>
          </rPr>
          <t>preliminary figure or series subject to revision</t>
        </r>
      </text>
    </comment>
    <comment ref="N106" authorId="0" shapeId="0" xr:uid="{889A815D-0DE2-4564-BFD0-4F94C9231915}">
      <text>
        <r>
          <rPr>
            <sz val="8"/>
            <color indexed="81"/>
            <rFont val="Tahoma"/>
            <family val="2"/>
          </rPr>
          <t>preliminary figure or series subject to revision</t>
        </r>
      </text>
    </comment>
    <comment ref="O106" authorId="0" shapeId="0" xr:uid="{043A3CA2-65AD-48B0-A6E9-129327B61F59}">
      <text>
        <r>
          <rPr>
            <sz val="8"/>
            <color indexed="81"/>
            <rFont val="Tahoma"/>
            <family val="2"/>
          </rPr>
          <t>preliminary figure or series subject to revision</t>
        </r>
      </text>
    </comment>
    <comment ref="P106" authorId="0" shapeId="0" xr:uid="{8B74B655-2DAE-4A8E-9ACC-417CAC170776}">
      <text>
        <r>
          <rPr>
            <sz val="8"/>
            <color indexed="81"/>
            <rFont val="Tahoma"/>
            <family val="2"/>
          </rPr>
          <t>preliminary figure or series subject to revision</t>
        </r>
      </text>
    </comment>
    <comment ref="Q106" authorId="0" shapeId="0" xr:uid="{8BB05AF9-1E1E-456F-9705-AA5089DDB8B3}">
      <text>
        <r>
          <rPr>
            <sz val="8"/>
            <color indexed="81"/>
            <rFont val="Tahoma"/>
            <family val="2"/>
          </rPr>
          <t>preliminary figure or series subject to revision</t>
        </r>
      </text>
    </comment>
    <comment ref="R106" authorId="0" shapeId="0" xr:uid="{B578C3BB-3A4B-4CE5-9D58-2F446FA9174A}">
      <text>
        <r>
          <rPr>
            <sz val="8"/>
            <color indexed="81"/>
            <rFont val="Tahoma"/>
            <family val="2"/>
          </rPr>
          <t>preliminary figure or series subject to revision</t>
        </r>
      </text>
    </comment>
    <comment ref="S106" authorId="0" shapeId="0" xr:uid="{63E6BE14-5D53-45F8-B17B-AF5270128DB6}">
      <text>
        <r>
          <rPr>
            <sz val="8"/>
            <color indexed="81"/>
            <rFont val="Tahoma"/>
            <family val="2"/>
          </rPr>
          <t>preliminary figure or series subject to revision</t>
        </r>
      </text>
    </comment>
    <comment ref="T106" authorId="0" shapeId="0" xr:uid="{F041B6F9-34DE-46FE-AA34-F61DC478AC09}">
      <text>
        <r>
          <rPr>
            <sz val="8"/>
            <color indexed="81"/>
            <rFont val="Tahoma"/>
            <family val="2"/>
          </rPr>
          <t>preliminary figure or series subject to revision</t>
        </r>
      </text>
    </comment>
    <comment ref="U106" authorId="0" shapeId="0" xr:uid="{84314837-D51C-4E52-8D70-ADD9FBC79C4B}">
      <text>
        <r>
          <rPr>
            <sz val="8"/>
            <color indexed="81"/>
            <rFont val="Tahoma"/>
            <family val="2"/>
          </rPr>
          <t>preliminary figure or series subject to revision</t>
        </r>
      </text>
    </comment>
    <comment ref="V106" authorId="0" shapeId="0" xr:uid="{F860D84A-8CEB-498D-BF73-0240B412ED1A}">
      <text>
        <r>
          <rPr>
            <sz val="8"/>
            <color indexed="81"/>
            <rFont val="Tahoma"/>
            <family val="2"/>
          </rPr>
          <t>preliminary figure or series subject to revision</t>
        </r>
      </text>
    </comment>
    <comment ref="W106" authorId="0" shapeId="0" xr:uid="{42BA62AE-AC5A-48C3-855B-6C72F04E18C5}">
      <text>
        <r>
          <rPr>
            <sz val="8"/>
            <color indexed="81"/>
            <rFont val="Tahoma"/>
            <family val="2"/>
          </rPr>
          <t>preliminary figure or series subject to revision</t>
        </r>
      </text>
    </comment>
    <comment ref="X106" authorId="0" shapeId="0" xr:uid="{1015E1E7-B08C-4304-B279-DA74C16E4170}">
      <text>
        <r>
          <rPr>
            <sz val="8"/>
            <color indexed="81"/>
            <rFont val="Tahoma"/>
            <family val="2"/>
          </rPr>
          <t>preliminary figure or series subject to revision</t>
        </r>
      </text>
    </comment>
    <comment ref="Y106" authorId="0" shapeId="0" xr:uid="{01BB0AAF-3F11-43F2-94E3-2683F640D55E}">
      <text>
        <r>
          <rPr>
            <sz val="8"/>
            <color indexed="81"/>
            <rFont val="Tahoma"/>
            <family val="2"/>
          </rPr>
          <t>preliminary figure or series subject to revision</t>
        </r>
      </text>
    </comment>
    <comment ref="Z106" authorId="0" shapeId="0" xr:uid="{62D042EC-8189-47C6-9937-E5D439538C2A}">
      <text>
        <r>
          <rPr>
            <sz val="8"/>
            <color indexed="81"/>
            <rFont val="Tahoma"/>
            <family val="2"/>
          </rPr>
          <t>preliminary figure or series subject to revision</t>
        </r>
      </text>
    </comment>
    <comment ref="AA106" authorId="0" shapeId="0" xr:uid="{74688CC7-CC5D-4D0B-B5CB-39F0338B453B}">
      <text>
        <r>
          <rPr>
            <sz val="8"/>
            <color indexed="81"/>
            <rFont val="Tahoma"/>
            <family val="2"/>
          </rPr>
          <t>preliminary figure or series subject to revision</t>
        </r>
      </text>
    </comment>
    <comment ref="AB106" authorId="0" shapeId="0" xr:uid="{DA04FDA2-AF80-4479-ADE3-7731690EC1EA}">
      <text>
        <r>
          <rPr>
            <sz val="8"/>
            <color indexed="81"/>
            <rFont val="Tahoma"/>
            <family val="2"/>
          </rPr>
          <t>preliminary figure or series subject to revision</t>
        </r>
      </text>
    </comment>
    <comment ref="AC106" authorId="0" shapeId="0" xr:uid="{C7FF2066-4D8F-4687-987F-60C193BC77AD}">
      <text>
        <r>
          <rPr>
            <sz val="8"/>
            <color indexed="81"/>
            <rFont val="Tahoma"/>
            <family val="2"/>
          </rPr>
          <t>preliminary figure or series subject to revision</t>
        </r>
      </text>
    </comment>
    <comment ref="AD106" authorId="0" shapeId="0" xr:uid="{362AC543-00F2-41B7-B2AD-12953A407BCF}">
      <text>
        <r>
          <rPr>
            <sz val="8"/>
            <color indexed="81"/>
            <rFont val="Tahoma"/>
            <family val="2"/>
          </rPr>
          <t>preliminary figure or series subject to revision</t>
        </r>
      </text>
    </comment>
    <comment ref="AE106" authorId="0" shapeId="0" xr:uid="{A07D216E-9FEE-4D48-BFBF-246DA40624DA}">
      <text>
        <r>
          <rPr>
            <sz val="8"/>
            <color indexed="81"/>
            <rFont val="Tahoma"/>
            <family val="2"/>
          </rPr>
          <t>preliminary figure or series subject to revision</t>
        </r>
      </text>
    </comment>
    <comment ref="AF106" authorId="0" shapeId="0" xr:uid="{66ADDB7D-10DF-4531-B351-4FBF339F88DC}">
      <text>
        <r>
          <rPr>
            <sz val="8"/>
            <color indexed="81"/>
            <rFont val="Tahoma"/>
            <family val="2"/>
          </rPr>
          <t>preliminary figure or series subject to revision</t>
        </r>
      </text>
    </comment>
    <comment ref="AG106" authorId="0" shapeId="0" xr:uid="{4E0ED770-805A-4318-9C5A-16415305A3CB}">
      <text>
        <r>
          <rPr>
            <sz val="8"/>
            <color indexed="81"/>
            <rFont val="Tahoma"/>
            <family val="2"/>
          </rPr>
          <t>preliminary figure or series subject to revision</t>
        </r>
      </text>
    </comment>
    <comment ref="AH106" authorId="0" shapeId="0" xr:uid="{240BC15D-CCDC-4C97-ACB8-FA1ACAEAE000}">
      <text>
        <r>
          <rPr>
            <sz val="8"/>
            <color indexed="81"/>
            <rFont val="Tahoma"/>
            <family val="2"/>
          </rPr>
          <t>preliminary figure or series subject to revision</t>
        </r>
      </text>
    </comment>
    <comment ref="AI106" authorId="0" shapeId="0" xr:uid="{8AEE5C35-02C2-45FF-88AC-0C637B243963}">
      <text>
        <r>
          <rPr>
            <sz val="8"/>
            <color indexed="81"/>
            <rFont val="Tahoma"/>
            <family val="2"/>
          </rPr>
          <t>preliminary figure or series subject to revision</t>
        </r>
      </text>
    </comment>
    <comment ref="AJ106" authorId="0" shapeId="0" xr:uid="{3E51333D-54FE-44CB-89F8-CC7B6CF5A732}">
      <text>
        <r>
          <rPr>
            <sz val="8"/>
            <color indexed="81"/>
            <rFont val="Tahoma"/>
            <family val="2"/>
          </rPr>
          <t>preliminary figure or series subject to revision</t>
        </r>
      </text>
    </comment>
    <comment ref="AK106" authorId="0" shapeId="0" xr:uid="{3C8427D6-D4B7-4B53-9A5D-1EC3D9945751}">
      <text>
        <r>
          <rPr>
            <sz val="8"/>
            <color indexed="81"/>
            <rFont val="Tahoma"/>
            <family val="2"/>
          </rPr>
          <t>preliminary figure or series subject to revision</t>
        </r>
      </text>
    </comment>
    <comment ref="AL106" authorId="0" shapeId="0" xr:uid="{6B0AB6D8-5013-44F7-8AA7-440943BA08FA}">
      <text>
        <r>
          <rPr>
            <sz val="8"/>
            <color indexed="81"/>
            <rFont val="Tahoma"/>
            <family val="2"/>
          </rPr>
          <t>preliminary figure or series subject to revision</t>
        </r>
      </text>
    </comment>
    <comment ref="AM106" authorId="0" shapeId="0" xr:uid="{E01377E4-A7E0-41B9-98FE-5EBCFA090032}">
      <text>
        <r>
          <rPr>
            <sz val="8"/>
            <color indexed="81"/>
            <rFont val="Tahoma"/>
            <family val="2"/>
          </rPr>
          <t>preliminary figure or series subject to revision</t>
        </r>
      </text>
    </comment>
    <comment ref="AN106" authorId="0" shapeId="0" xr:uid="{4997123F-E50E-4DA7-9294-9C583CB00F95}">
      <text>
        <r>
          <rPr>
            <sz val="8"/>
            <color indexed="81"/>
            <rFont val="Tahoma"/>
            <family val="2"/>
          </rPr>
          <t>preliminary figure or series subject to revision</t>
        </r>
      </text>
    </comment>
    <comment ref="AO106" authorId="0" shapeId="0" xr:uid="{ED855E42-CC36-4E3B-A49D-8E4663059BF6}">
      <text>
        <r>
          <rPr>
            <sz val="8"/>
            <color indexed="81"/>
            <rFont val="Tahoma"/>
            <family val="2"/>
          </rPr>
          <t>preliminary figure or series subject to revision</t>
        </r>
      </text>
    </comment>
    <comment ref="AP106" authorId="0" shapeId="0" xr:uid="{48AA030D-99A0-4374-80C3-6BAB1704A57E}">
      <text>
        <r>
          <rPr>
            <sz val="8"/>
            <color indexed="81"/>
            <rFont val="Tahoma"/>
            <family val="2"/>
          </rPr>
          <t>preliminary figure or series subject to revision</t>
        </r>
      </text>
    </comment>
    <comment ref="AQ106" authorId="0" shapeId="0" xr:uid="{4BB1BE6D-7D34-45DA-BE0A-646A7365E2DF}">
      <text>
        <r>
          <rPr>
            <sz val="8"/>
            <color indexed="81"/>
            <rFont val="Tahoma"/>
            <family val="2"/>
          </rPr>
          <t>preliminary figure or series subject to revision</t>
        </r>
      </text>
    </comment>
    <comment ref="AR106" authorId="0" shapeId="0" xr:uid="{9FBB6F05-325A-4A62-A014-0B653518D75B}">
      <text>
        <r>
          <rPr>
            <sz val="8"/>
            <color indexed="81"/>
            <rFont val="Tahoma"/>
            <family val="2"/>
          </rPr>
          <t>preliminary figure or series subject to revision</t>
        </r>
      </text>
    </comment>
    <comment ref="AS106" authorId="0" shapeId="0" xr:uid="{D82E68A4-6F8D-4D4A-9939-FA73EFD8973E}">
      <text>
        <r>
          <rPr>
            <sz val="8"/>
            <color indexed="81"/>
            <rFont val="Tahoma"/>
            <family val="2"/>
          </rPr>
          <t>preliminary figure or series subject to revision</t>
        </r>
      </text>
    </comment>
    <comment ref="AT106" authorId="0" shapeId="0" xr:uid="{C70D13D9-77EB-40E3-9E48-31C190333913}">
      <text>
        <r>
          <rPr>
            <sz val="8"/>
            <color indexed="81"/>
            <rFont val="Tahoma"/>
            <family val="2"/>
          </rPr>
          <t>preliminary figure or series subject to revision</t>
        </r>
      </text>
    </comment>
    <comment ref="AU106" authorId="0" shapeId="0" xr:uid="{1101DB15-97BD-4750-A024-817E9198C368}">
      <text>
        <r>
          <rPr>
            <sz val="8"/>
            <color indexed="81"/>
            <rFont val="Tahoma"/>
            <family val="2"/>
          </rPr>
          <t>preliminary figure or series subject to revision</t>
        </r>
      </text>
    </comment>
    <comment ref="AV106" authorId="0" shapeId="0" xr:uid="{5B36D53C-17E9-4285-8084-FFEBC034A340}">
      <text>
        <r>
          <rPr>
            <sz val="8"/>
            <color indexed="81"/>
            <rFont val="Tahoma"/>
            <family val="2"/>
          </rPr>
          <t>preliminary figure or series subject to revision</t>
        </r>
      </text>
    </comment>
    <comment ref="AW106" authorId="0" shapeId="0" xr:uid="{FB3108C3-D44D-4BD3-B5E6-75596073E5EC}">
      <text>
        <r>
          <rPr>
            <sz val="8"/>
            <color indexed="81"/>
            <rFont val="Tahoma"/>
            <family val="2"/>
          </rPr>
          <t>preliminary figure or series subject to revision</t>
        </r>
      </text>
    </comment>
    <comment ref="AX106" authorId="0" shapeId="0" xr:uid="{FFDEC9BF-D61E-4918-B86F-2A55346E1007}">
      <text>
        <r>
          <rPr>
            <sz val="8"/>
            <color indexed="81"/>
            <rFont val="Tahoma"/>
            <family val="2"/>
          </rPr>
          <t>preliminary figure or series subject to revision</t>
        </r>
      </text>
    </comment>
    <comment ref="AY106" authorId="0" shapeId="0" xr:uid="{5433C090-ACBA-4FC2-AAC5-1F25794A4946}">
      <text>
        <r>
          <rPr>
            <sz val="8"/>
            <color indexed="81"/>
            <rFont val="Tahoma"/>
            <family val="2"/>
          </rPr>
          <t>preliminary figure or series subject to revision</t>
        </r>
      </text>
    </comment>
    <comment ref="AZ106" authorId="0" shapeId="0" xr:uid="{3C5AEEDE-5322-49DE-90F7-71068ED9238A}">
      <text>
        <r>
          <rPr>
            <sz val="8"/>
            <color indexed="81"/>
            <rFont val="Tahoma"/>
            <family val="2"/>
          </rPr>
          <t>preliminary figure or series subject to revision</t>
        </r>
      </text>
    </comment>
    <comment ref="BA106" authorId="0" shapeId="0" xr:uid="{9AA12423-61E9-423D-A888-DE24F58FB942}">
      <text>
        <r>
          <rPr>
            <sz val="8"/>
            <color indexed="81"/>
            <rFont val="Tahoma"/>
            <family val="2"/>
          </rPr>
          <t>preliminary figure or series subject to revision</t>
        </r>
      </text>
    </comment>
    <comment ref="BB106" authorId="0" shapeId="0" xr:uid="{305D689D-36DA-4061-803E-3658321613BF}">
      <text>
        <r>
          <rPr>
            <sz val="8"/>
            <color indexed="81"/>
            <rFont val="Tahoma"/>
            <family val="2"/>
          </rPr>
          <t>preliminary figure or series subject to revision</t>
        </r>
      </text>
    </comment>
    <comment ref="BC106" authorId="0" shapeId="0" xr:uid="{36B7C380-CABD-405E-BA0D-FA7CD3179F13}">
      <text>
        <r>
          <rPr>
            <sz val="8"/>
            <color indexed="81"/>
            <rFont val="Tahoma"/>
            <family val="2"/>
          </rPr>
          <t>preliminary figure or series subject to revision</t>
        </r>
      </text>
    </comment>
    <comment ref="BD106" authorId="0" shapeId="0" xr:uid="{38D2DEC4-88E7-44AD-9F60-FD9924F581C4}">
      <text>
        <r>
          <rPr>
            <sz val="8"/>
            <color indexed="81"/>
            <rFont val="Tahoma"/>
            <family val="2"/>
          </rPr>
          <t>preliminary figure or series subject to revision</t>
        </r>
      </text>
    </comment>
    <comment ref="BE106" authorId="0" shapeId="0" xr:uid="{52A56234-7F6B-4B67-A2F1-D39C542B1B69}">
      <text>
        <r>
          <rPr>
            <sz val="8"/>
            <color indexed="81"/>
            <rFont val="Tahoma"/>
            <family val="2"/>
          </rPr>
          <t>preliminary figure or series subject to revision</t>
        </r>
      </text>
    </comment>
    <comment ref="BF106" authorId="0" shapeId="0" xr:uid="{8A8E2CE2-BFE4-437B-89D1-F14B9154C426}">
      <text>
        <r>
          <rPr>
            <sz val="8"/>
            <color indexed="81"/>
            <rFont val="Tahoma"/>
            <family val="2"/>
          </rPr>
          <t>preliminary figure or series subject to revision</t>
        </r>
      </text>
    </comment>
    <comment ref="BG106" authorId="0" shapeId="0" xr:uid="{4082FB4C-E68E-43BE-B027-9D8D68BFC45C}">
      <text>
        <r>
          <rPr>
            <sz val="8"/>
            <color indexed="81"/>
            <rFont val="Tahoma"/>
            <family val="2"/>
          </rPr>
          <t>preliminary figure or series subject to revision</t>
        </r>
      </text>
    </comment>
    <comment ref="BH106" authorId="0" shapeId="0" xr:uid="{053D434A-05B6-475E-B71E-CA1484A4E4C4}">
      <text>
        <r>
          <rPr>
            <sz val="8"/>
            <color indexed="81"/>
            <rFont val="Tahoma"/>
            <family val="2"/>
          </rPr>
          <t>preliminary figure or series subject to revision</t>
        </r>
      </text>
    </comment>
    <comment ref="BI106" authorId="0" shapeId="0" xr:uid="{04C8C38D-3885-473E-8505-2000D11A0D79}">
      <text>
        <r>
          <rPr>
            <sz val="8"/>
            <color indexed="81"/>
            <rFont val="Tahoma"/>
            <family val="2"/>
          </rPr>
          <t>preliminary figure or series subject to revision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<sst xmlns="http://schemas.openxmlformats.org/spreadsheetml/2006/main" count="2258" uniqueCount="801">
  <si>
    <t>Median Rent ($ per Week) by Quarter</t>
  </si>
  <si>
    <t>LGA/Ring/SD NAME</t>
  </si>
  <si>
    <t>Quarter</t>
  </si>
  <si>
    <t>2 Bedrooms</t>
  </si>
  <si>
    <t>3 Bedrooms</t>
  </si>
  <si>
    <t>House</t>
  </si>
  <si>
    <t>Flat/Unit</t>
  </si>
  <si>
    <t>Analysis start quarter</t>
  </si>
  <si>
    <t>Analysis end quarter</t>
  </si>
  <si>
    <t>Council/Area</t>
  </si>
  <si>
    <t>Quarterly rent</t>
  </si>
  <si>
    <t>Non Strata</t>
  </si>
  <si>
    <t>Strata</t>
  </si>
  <si>
    <t>Median Sales Price $'000s</t>
  </si>
  <si>
    <t>Renter calcs &gt;&gt;</t>
  </si>
  <si>
    <t>Council rates</t>
  </si>
  <si>
    <t>Plant depreciation</t>
  </si>
  <si>
    <t>Maintenance incl. body corporate fees</t>
  </si>
  <si>
    <t>Other expenses</t>
  </si>
  <si>
    <t>Total home ownership running costs</t>
  </si>
  <si>
    <t>Home ownership running costs (% of gross rents)</t>
  </si>
  <si>
    <t>Buyer calcs &gt;&gt;</t>
  </si>
  <si>
    <t>Median home price</t>
  </si>
  <si>
    <t>Dwellings</t>
  </si>
  <si>
    <t>Mortgage interest</t>
  </si>
  <si>
    <t>Mortgage - principal component</t>
  </si>
  <si>
    <t>Home purchase costs</t>
  </si>
  <si>
    <t>Title</t>
  </si>
  <si>
    <t>Lending rates; Small business; Variable; Term</t>
  </si>
  <si>
    <t>Lending rates; Small business; Variable; Overdraft</t>
  </si>
  <si>
    <t>Lending rates; Housing loans; Banks; Variable; Standard; Owner-occupier</t>
  </si>
  <si>
    <t>Lending rates; Housing loans; Banks; Variable; Discounted; Owner-occupier</t>
  </si>
  <si>
    <t>Lending rates; Housing loans; Banks; Variable; Standard interest-only; Owner-occupier</t>
  </si>
  <si>
    <t>Lending rates; Housing loans; Banks; 3-year fixed; Owner-occupier</t>
  </si>
  <si>
    <t>Description</t>
  </si>
  <si>
    <t>Frequency</t>
  </si>
  <si>
    <t>Monthly</t>
  </si>
  <si>
    <t>Type</t>
  </si>
  <si>
    <t>Original</t>
  </si>
  <si>
    <t>Units</t>
  </si>
  <si>
    <t>Per cent per annum</t>
  </si>
  <si>
    <t>Source</t>
  </si>
  <si>
    <t>RBA</t>
  </si>
  <si>
    <t>Publication date</t>
  </si>
  <si>
    <t>Series ID</t>
  </si>
  <si>
    <t>FILRSBVRT</t>
  </si>
  <si>
    <t>FILRSBVOO</t>
  </si>
  <si>
    <t>FILRHLBVS</t>
  </si>
  <si>
    <t>FILRHLBVD</t>
  </si>
  <si>
    <t>FILRHLBVO</t>
  </si>
  <si>
    <t>FILRHL3YF</t>
  </si>
  <si>
    <t>Mortgage rates</t>
  </si>
  <si>
    <t>Depreciation</t>
  </si>
  <si>
    <t>Days in quarter</t>
  </si>
  <si>
    <t>Quarter ending</t>
  </si>
  <si>
    <t>Loan term (years)</t>
  </si>
  <si>
    <t>Mortgage payment</t>
  </si>
  <si>
    <t>Loan balance</t>
  </si>
  <si>
    <t>Quarter of analysis</t>
  </si>
  <si>
    <t>Owner's cashflow costs</t>
  </si>
  <si>
    <t>Renter's cashflow costs</t>
  </si>
  <si>
    <t>Owner's home equity</t>
  </si>
  <si>
    <t>Renter's portfolio</t>
  </si>
  <si>
    <t>Date</t>
  </si>
  <si>
    <t>2006-01-31</t>
  </si>
  <si>
    <t>2006-02-28</t>
  </si>
  <si>
    <t>2006-03-31</t>
  </si>
  <si>
    <t>2006-04-28</t>
  </si>
  <si>
    <t>2006-05-31</t>
  </si>
  <si>
    <t>2006-06-30</t>
  </si>
  <si>
    <t>2006-07-31</t>
  </si>
  <si>
    <t>2006-08-31</t>
  </si>
  <si>
    <t>2006-09-29</t>
  </si>
  <si>
    <t>2006-10-31</t>
  </si>
  <si>
    <t>2006-11-30</t>
  </si>
  <si>
    <t>2006-12-29</t>
  </si>
  <si>
    <t>2007-01-31</t>
  </si>
  <si>
    <t>2007-02-28</t>
  </si>
  <si>
    <t>2007-03-30</t>
  </si>
  <si>
    <t>2007-04-30</t>
  </si>
  <si>
    <t>2007-05-31</t>
  </si>
  <si>
    <t>2007-06-29</t>
  </si>
  <si>
    <t>2007-07-31</t>
  </si>
  <si>
    <t>2007-08-31</t>
  </si>
  <si>
    <t>2007-09-28</t>
  </si>
  <si>
    <t>2007-10-31</t>
  </si>
  <si>
    <t>2007-11-30</t>
  </si>
  <si>
    <t>2007-12-31</t>
  </si>
  <si>
    <t>2008-01-31</t>
  </si>
  <si>
    <t>2008-02-29</t>
  </si>
  <si>
    <t>2008-03-31</t>
  </si>
  <si>
    <t>2008-04-30</t>
  </si>
  <si>
    <t>2008-05-30</t>
  </si>
  <si>
    <t>2008-06-30</t>
  </si>
  <si>
    <t>2008-07-31</t>
  </si>
  <si>
    <t>2008-08-29</t>
  </si>
  <si>
    <t>2008-09-30</t>
  </si>
  <si>
    <t>2008-10-31</t>
  </si>
  <si>
    <t>2008-11-28</t>
  </si>
  <si>
    <t>2008-12-31</t>
  </si>
  <si>
    <t>2009-01-30</t>
  </si>
  <si>
    <t>2009-02-27</t>
  </si>
  <si>
    <t>2009-03-31</t>
  </si>
  <si>
    <t>2009-04-30</t>
  </si>
  <si>
    <t>2009-05-29</t>
  </si>
  <si>
    <t>2009-06-30</t>
  </si>
  <si>
    <t>2009-07-31</t>
  </si>
  <si>
    <t>2009-08-31</t>
  </si>
  <si>
    <t>2009-09-30</t>
  </si>
  <si>
    <t>2009-10-30</t>
  </si>
  <si>
    <t>2009-11-30</t>
  </si>
  <si>
    <t>2009-12-31</t>
  </si>
  <si>
    <t>2010-01-29</t>
  </si>
  <si>
    <t>2010-02-26</t>
  </si>
  <si>
    <t>2010-03-31</t>
  </si>
  <si>
    <t>2010-04-30</t>
  </si>
  <si>
    <t>2010-05-31</t>
  </si>
  <si>
    <t>2010-06-30</t>
  </si>
  <si>
    <t>2010-07-30</t>
  </si>
  <si>
    <t>2010-08-31</t>
  </si>
  <si>
    <t>2010-09-30</t>
  </si>
  <si>
    <t>2010-10-29</t>
  </si>
  <si>
    <t>2010-11-30</t>
  </si>
  <si>
    <t>2010-12-31</t>
  </si>
  <si>
    <t>2011-01-31</t>
  </si>
  <si>
    <t>2011-02-28</t>
  </si>
  <si>
    <t>2011-03-31</t>
  </si>
  <si>
    <t>2011-04-29</t>
  </si>
  <si>
    <t>2011-05-31</t>
  </si>
  <si>
    <t>2011-06-30</t>
  </si>
  <si>
    <t>2011-07-29</t>
  </si>
  <si>
    <t>2011-08-31</t>
  </si>
  <si>
    <t>2011-09-30</t>
  </si>
  <si>
    <t>2011-10-31</t>
  </si>
  <si>
    <t>2011-11-30</t>
  </si>
  <si>
    <t>2011-12-30</t>
  </si>
  <si>
    <t>2012-01-31</t>
  </si>
  <si>
    <t>2012-02-29</t>
  </si>
  <si>
    <t>2012-03-30</t>
  </si>
  <si>
    <t>2012-04-30</t>
  </si>
  <si>
    <t>2012-05-31</t>
  </si>
  <si>
    <t>2012-06-29</t>
  </si>
  <si>
    <t>2012-07-31</t>
  </si>
  <si>
    <t>2012-08-31</t>
  </si>
  <si>
    <t>2012-09-28</t>
  </si>
  <si>
    <t>2012-10-31</t>
  </si>
  <si>
    <t>2012-11-30</t>
  </si>
  <si>
    <t>2012-12-31</t>
  </si>
  <si>
    <t>2013-01-31</t>
  </si>
  <si>
    <t>2013-02-28</t>
  </si>
  <si>
    <t>2013-03-29</t>
  </si>
  <si>
    <t>2013-04-30</t>
  </si>
  <si>
    <t>2013-05-31</t>
  </si>
  <si>
    <t>2013-06-28</t>
  </si>
  <si>
    <t>2013-07-31</t>
  </si>
  <si>
    <t>2013-08-30</t>
  </si>
  <si>
    <t>2013-09-30</t>
  </si>
  <si>
    <t>2013-10-31</t>
  </si>
  <si>
    <t>2013-11-29</t>
  </si>
  <si>
    <t>2013-12-31</t>
  </si>
  <si>
    <t>2014-01-31</t>
  </si>
  <si>
    <t>2014-02-28</t>
  </si>
  <si>
    <t>2014-03-31</t>
  </si>
  <si>
    <t>2014-04-30</t>
  </si>
  <si>
    <t>2014-05-30</t>
  </si>
  <si>
    <t>2014-06-30</t>
  </si>
  <si>
    <t>2014-07-31</t>
  </si>
  <si>
    <t>2014-08-29</t>
  </si>
  <si>
    <t>2014-09-30</t>
  </si>
  <si>
    <t>2014-10-31</t>
  </si>
  <si>
    <t>2014-11-28</t>
  </si>
  <si>
    <t>2014-12-31</t>
  </si>
  <si>
    <t>2015-01-30</t>
  </si>
  <si>
    <t>2015-02-27</t>
  </si>
  <si>
    <t>2015-03-31</t>
  </si>
  <si>
    <t>2015-04-30</t>
  </si>
  <si>
    <t>2015-05-29</t>
  </si>
  <si>
    <t>2015-06-30</t>
  </si>
  <si>
    <t>2015-07-31</t>
  </si>
  <si>
    <t>2015-08-31</t>
  </si>
  <si>
    <t>2015-09-30</t>
  </si>
  <si>
    <t>2015-10-30</t>
  </si>
  <si>
    <t>2015-11-30</t>
  </si>
  <si>
    <t>2015-12-31</t>
  </si>
  <si>
    <t>2016-01-29</t>
  </si>
  <si>
    <t>2016-02-29</t>
  </si>
  <si>
    <t>2016-03-31</t>
  </si>
  <si>
    <t>2016-04-29</t>
  </si>
  <si>
    <t>2016-05-31</t>
  </si>
  <si>
    <t>2016-06-30</t>
  </si>
  <si>
    <t>2016-07-29</t>
  </si>
  <si>
    <t>2016-08-31</t>
  </si>
  <si>
    <t>2016-09-30</t>
  </si>
  <si>
    <t>2016-10-31</t>
  </si>
  <si>
    <t>2016-11-30</t>
  </si>
  <si>
    <t>2016-12-30</t>
  </si>
  <si>
    <t>2017-01-31</t>
  </si>
  <si>
    <t>2017-02-28</t>
  </si>
  <si>
    <t>2017-03-31</t>
  </si>
  <si>
    <t>2017-04-28</t>
  </si>
  <si>
    <t>2017-05-31</t>
  </si>
  <si>
    <t>2017-06-30</t>
  </si>
  <si>
    <t>2017-07-31</t>
  </si>
  <si>
    <t>2017-08-31</t>
  </si>
  <si>
    <t>2017-09-29</t>
  </si>
  <si>
    <t>2017-10-31</t>
  </si>
  <si>
    <t>2017-11-30</t>
  </si>
  <si>
    <t>2017-12-29</t>
  </si>
  <si>
    <t>2018-01-31</t>
  </si>
  <si>
    <t>2018-02-28</t>
  </si>
  <si>
    <t>2018-03-30</t>
  </si>
  <si>
    <t>2018-04-30</t>
  </si>
  <si>
    <t>2018-05-31</t>
  </si>
  <si>
    <t>2018-06-29</t>
  </si>
  <si>
    <t>2018-07-31</t>
  </si>
  <si>
    <t>2018-08-31</t>
  </si>
  <si>
    <t>2018-09-28</t>
  </si>
  <si>
    <t>2018-10-31</t>
  </si>
  <si>
    <t>2018-11-30</t>
  </si>
  <si>
    <t>2018-12-31</t>
  </si>
  <si>
    <t>2019-01-31</t>
  </si>
  <si>
    <t>2019-02-28</t>
  </si>
  <si>
    <t>2019-03-29</t>
  </si>
  <si>
    <t>2019-04-30</t>
  </si>
  <si>
    <t>2019-05-31</t>
  </si>
  <si>
    <t>2019-06-28</t>
  </si>
  <si>
    <t>2019-07-31</t>
  </si>
  <si>
    <t>2019-08-30</t>
  </si>
  <si>
    <t>2019-09-30</t>
  </si>
  <si>
    <t>2019-10-31</t>
  </si>
  <si>
    <t>2019-11-29</t>
  </si>
  <si>
    <t>2019-12-31</t>
  </si>
  <si>
    <t>2020-01-31</t>
  </si>
  <si>
    <t>2020-02-28</t>
  </si>
  <si>
    <t>2020-03-31</t>
  </si>
  <si>
    <t>2020-04-30</t>
  </si>
  <si>
    <t>2020-05-29</t>
  </si>
  <si>
    <t>2020-06-30</t>
  </si>
  <si>
    <t>2020-07-31</t>
  </si>
  <si>
    <t>2020-08-31</t>
  </si>
  <si>
    <t>2020-09-30</t>
  </si>
  <si>
    <t>2020-10-30</t>
  </si>
  <si>
    <t>2020-11-30</t>
  </si>
  <si>
    <t>2020-12-31</t>
  </si>
  <si>
    <t>2021-01-29</t>
  </si>
  <si>
    <t>2021-02-26</t>
  </si>
  <si>
    <t>2021-03-31</t>
  </si>
  <si>
    <t>2021-04-30</t>
  </si>
  <si>
    <t>2021-05-31</t>
  </si>
  <si>
    <t>2021-06-30</t>
  </si>
  <si>
    <t>2021-07-30</t>
  </si>
  <si>
    <t>2021-08-31</t>
  </si>
  <si>
    <t>2021-09-30</t>
  </si>
  <si>
    <t>2021-10-29</t>
  </si>
  <si>
    <t>2021-11-30</t>
  </si>
  <si>
    <t>2021-12-31</t>
  </si>
  <si>
    <t>2022-01-31</t>
  </si>
  <si>
    <t>2022-02-28</t>
  </si>
  <si>
    <t>2022-03-31</t>
  </si>
  <si>
    <t>2022-04-29</t>
  </si>
  <si>
    <t>2022-05-31</t>
  </si>
  <si>
    <t>2022-06-30</t>
  </si>
  <si>
    <t>2022-07-29</t>
  </si>
  <si>
    <t>2022-08-31</t>
  </si>
  <si>
    <t>2022-09-30</t>
  </si>
  <si>
    <t>2022-10-31</t>
  </si>
  <si>
    <t>2022-11-30</t>
  </si>
  <si>
    <t>2022-12-30</t>
  </si>
  <si>
    <t>2023-01-31</t>
  </si>
  <si>
    <t>2023-02-28</t>
  </si>
  <si>
    <t>2023-03-31</t>
  </si>
  <si>
    <t>2023-04-28</t>
  </si>
  <si>
    <t>2023-05-31</t>
  </si>
  <si>
    <t>2023-06-30</t>
  </si>
  <si>
    <t>2023-07-31</t>
  </si>
  <si>
    <t>2023-08-31</t>
  </si>
  <si>
    <t>2023-09-29</t>
  </si>
  <si>
    <t>2023-10-31</t>
  </si>
  <si>
    <t>2023-11-30</t>
  </si>
  <si>
    <t>2023-12-29</t>
  </si>
  <si>
    <t>2024-01-31</t>
  </si>
  <si>
    <t>2024-02-29</t>
  </si>
  <si>
    <t>2024-03-29</t>
  </si>
  <si>
    <t>2024-04-30</t>
  </si>
  <si>
    <t>2024-05-31</t>
  </si>
  <si>
    <t>2024-06-28</t>
  </si>
  <si>
    <t>2024-07-31</t>
  </si>
  <si>
    <t>2024-08-30</t>
  </si>
  <si>
    <t>2024-09-30</t>
  </si>
  <si>
    <t>2024-10-31</t>
  </si>
  <si>
    <t>2024-11-29</t>
  </si>
  <si>
    <t>2024-12-31</t>
  </si>
  <si>
    <t>2025-01-31</t>
  </si>
  <si>
    <t>2025-02-28</t>
  </si>
  <si>
    <t>2025-03-31</t>
  </si>
  <si>
    <t>2025-04-30</t>
  </si>
  <si>
    <t>2025-05-30</t>
  </si>
  <si>
    <t>2025-06-30</t>
  </si>
  <si>
    <t>2025-07-31</t>
  </si>
  <si>
    <t>2025-08-29</t>
  </si>
  <si>
    <t>2025-09-30</t>
  </si>
  <si>
    <t>2025-10-31</t>
  </si>
  <si>
    <t>2025-11-28</t>
  </si>
  <si>
    <t>2025-12-31</t>
  </si>
  <si>
    <t>Year-month</t>
  </si>
  <si>
    <t>Median weekly rents, new bonds</t>
  </si>
  <si>
    <t>Renter's rents</t>
  </si>
  <si>
    <t>Renter additional cashflow</t>
  </si>
  <si>
    <t>MSCI Aus index, end Q</t>
  </si>
  <si>
    <t>MSCI World index, end Q</t>
  </si>
  <si>
    <t>% of portfolio in global equities</t>
  </si>
  <si>
    <t>% of portfolio in Australian equities</t>
  </si>
  <si>
    <t>MSCI World index, start Q</t>
  </si>
  <si>
    <t>MSCI Aus index, start Q</t>
  </si>
  <si>
    <t>Portfolio, start Q</t>
  </si>
  <si>
    <t>Portfolio, end Q</t>
  </si>
  <si>
    <t>Renter-to-owner wealth ratio</t>
  </si>
  <si>
    <t>Investment fees</t>
  </si>
  <si>
    <t>Renter-to-owner cash needs</t>
  </si>
  <si>
    <t>Renovation</t>
  </si>
  <si>
    <t>Adjusted home price</t>
  </si>
  <si>
    <t>Maintenance</t>
  </si>
  <si>
    <t>Total p.a. as % of home value</t>
  </si>
  <si>
    <t>Mortgage</t>
  </si>
  <si>
    <t>Mortgage rates (Standard/Discounted)</t>
  </si>
  <si>
    <t>Total p.a. as % of rent</t>
  </si>
  <si>
    <t>Maintenance and renovation</t>
  </si>
  <si>
    <t>Dwelling type (3br house, 3BR_H; or 2br flat, 2BR_F)</t>
  </si>
  <si>
    <t>Ending renter-to-owner wealth ratio</t>
  </si>
  <si>
    <t>Discounted</t>
  </si>
  <si>
    <t>Investment fees (% of investment value per year)</t>
  </si>
  <si>
    <t>Average maint + reno spending (% home value)</t>
  </si>
  <si>
    <t>Average maint + reno spending (% rents)</t>
  </si>
  <si>
    <t>Depreciation (% of initial home value per year)</t>
  </si>
  <si>
    <t>Lenders' mortgage insurance (% of home purchase price)</t>
  </si>
  <si>
    <t>Deposit (% of home purchase price)</t>
  </si>
  <si>
    <t>Real estate agent commissions (purchase)</t>
  </si>
  <si>
    <t>Stamp duty (purchase)</t>
  </si>
  <si>
    <t>Real estate agent commissions (sale)</t>
  </si>
  <si>
    <t>Home transaction costs (% of home value)</t>
  </si>
  <si>
    <t>Home sale costs</t>
  </si>
  <si>
    <t>No</t>
  </si>
  <si>
    <t>Tax concessions</t>
  </si>
  <si>
    <t>Concessional super contributions tax rate</t>
  </si>
  <si>
    <t>Marginal income tax rate (including Medicare levy)</t>
  </si>
  <si>
    <t>Other selling costs</t>
  </si>
  <si>
    <t>Renter investment contributions</t>
  </si>
  <si>
    <t>Renter investment parameters</t>
  </si>
  <si>
    <t>Other renter parameters</t>
  </si>
  <si>
    <t>1997-01-31</t>
  </si>
  <si>
    <t>1997-02-28</t>
  </si>
  <si>
    <t>1997-03-31</t>
  </si>
  <si>
    <t>1997-04-30</t>
  </si>
  <si>
    <t>1997-05-30</t>
  </si>
  <si>
    <t>1997-06-30</t>
  </si>
  <si>
    <t>1997-07-31</t>
  </si>
  <si>
    <t>1997-08-29</t>
  </si>
  <si>
    <t>1997-09-30</t>
  </si>
  <si>
    <t>1997-10-31</t>
  </si>
  <si>
    <t>1997-11-28</t>
  </si>
  <si>
    <t>1997-12-31</t>
  </si>
  <si>
    <t>1998-01-30</t>
  </si>
  <si>
    <t>1998-02-27</t>
  </si>
  <si>
    <t>1998-03-31</t>
  </si>
  <si>
    <t>1998-04-30</t>
  </si>
  <si>
    <t>1998-05-29</t>
  </si>
  <si>
    <t>1998-06-30</t>
  </si>
  <si>
    <t>1998-07-31</t>
  </si>
  <si>
    <t>1998-08-31</t>
  </si>
  <si>
    <t>1998-09-30</t>
  </si>
  <si>
    <t>1998-10-30</t>
  </si>
  <si>
    <t>1998-11-30</t>
  </si>
  <si>
    <t>1998-12-31</t>
  </si>
  <si>
    <t>1999-01-29</t>
  </si>
  <si>
    <t>1999-02-26</t>
  </si>
  <si>
    <t>1999-03-31</t>
  </si>
  <si>
    <t>1999-04-30</t>
  </si>
  <si>
    <t>1999-05-31</t>
  </si>
  <si>
    <t>1999-06-30</t>
  </si>
  <si>
    <t>1999-07-30</t>
  </si>
  <si>
    <t>1999-08-31</t>
  </si>
  <si>
    <t>1999-09-30</t>
  </si>
  <si>
    <t>1999-10-29</t>
  </si>
  <si>
    <t>1999-11-30</t>
  </si>
  <si>
    <t>1999-12-31</t>
  </si>
  <si>
    <t>2000-01-31</t>
  </si>
  <si>
    <t>2000-02-29</t>
  </si>
  <si>
    <t>2000-03-31</t>
  </si>
  <si>
    <t>2000-04-28</t>
  </si>
  <si>
    <t>2000-05-31</t>
  </si>
  <si>
    <t>2000-06-30</t>
  </si>
  <si>
    <t>2000-07-31</t>
  </si>
  <si>
    <t>2000-08-31</t>
  </si>
  <si>
    <t>2000-09-29</t>
  </si>
  <si>
    <t>2000-10-31</t>
  </si>
  <si>
    <t>2000-11-30</t>
  </si>
  <si>
    <t>2000-12-29</t>
  </si>
  <si>
    <t>2001-01-31</t>
  </si>
  <si>
    <t>2001-02-28</t>
  </si>
  <si>
    <t>2001-03-30</t>
  </si>
  <si>
    <t>2001-04-30</t>
  </si>
  <si>
    <t>2001-05-31</t>
  </si>
  <si>
    <t>2001-06-29</t>
  </si>
  <si>
    <t>2001-07-31</t>
  </si>
  <si>
    <t>2001-08-31</t>
  </si>
  <si>
    <t>2001-09-28</t>
  </si>
  <si>
    <t>2001-10-31</t>
  </si>
  <si>
    <t>2001-11-30</t>
  </si>
  <si>
    <t>2001-12-31</t>
  </si>
  <si>
    <t>2002-01-31</t>
  </si>
  <si>
    <t>2002-02-28</t>
  </si>
  <si>
    <t>2002-03-29</t>
  </si>
  <si>
    <t>2002-04-30</t>
  </si>
  <si>
    <t>2002-05-31</t>
  </si>
  <si>
    <t>2002-06-28</t>
  </si>
  <si>
    <t>2002-07-31</t>
  </si>
  <si>
    <t>2002-08-30</t>
  </si>
  <si>
    <t>2002-09-30</t>
  </si>
  <si>
    <t>2002-10-31</t>
  </si>
  <si>
    <t>2002-11-29</t>
  </si>
  <si>
    <t>2002-12-31</t>
  </si>
  <si>
    <t>2003-01-31</t>
  </si>
  <si>
    <t>2003-02-28</t>
  </si>
  <si>
    <t>2003-03-31</t>
  </si>
  <si>
    <t>2003-04-30</t>
  </si>
  <si>
    <t>2003-05-30</t>
  </si>
  <si>
    <t>2003-06-30</t>
  </si>
  <si>
    <t>2003-07-31</t>
  </si>
  <si>
    <t>2003-08-29</t>
  </si>
  <si>
    <t>2003-09-30</t>
  </si>
  <si>
    <t>2003-10-31</t>
  </si>
  <si>
    <t>2003-11-28</t>
  </si>
  <si>
    <t>2003-12-31</t>
  </si>
  <si>
    <t>2004-01-30</t>
  </si>
  <si>
    <t>2004-02-27</t>
  </si>
  <si>
    <t>2004-03-31</t>
  </si>
  <si>
    <t>2004-04-30</t>
  </si>
  <si>
    <t>2004-05-31</t>
  </si>
  <si>
    <t>2004-06-30</t>
  </si>
  <si>
    <t>2004-07-30</t>
  </si>
  <si>
    <t>2004-08-31</t>
  </si>
  <si>
    <t>2004-09-30</t>
  </si>
  <si>
    <t>2004-10-29</t>
  </si>
  <si>
    <t>2004-11-30</t>
  </si>
  <si>
    <t>2004-12-31</t>
  </si>
  <si>
    <t>2005-01-31</t>
  </si>
  <si>
    <t>2005-02-28</t>
  </si>
  <si>
    <t>2005-03-31</t>
  </si>
  <si>
    <t>2005-04-29</t>
  </si>
  <si>
    <t>2005-05-31</t>
  </si>
  <si>
    <t>2005-06-30</t>
  </si>
  <si>
    <t>2005-07-29</t>
  </si>
  <si>
    <t>2005-08-31</t>
  </si>
  <si>
    <t>2005-09-30</t>
  </si>
  <si>
    <t>2005-10-31</t>
  </si>
  <si>
    <t>2005-11-30</t>
  </si>
  <si>
    <t>2005-12-30</t>
  </si>
  <si>
    <t>2026-01-30</t>
  </si>
  <si>
    <t>2026-02-27</t>
  </si>
  <si>
    <t>2026-03-31</t>
  </si>
  <si>
    <t>MSCI World IMI Index (total returns, net of tax, USD)</t>
  </si>
  <si>
    <t>MSCI Australia IMI Index (total returns, gross of tax, AUD)</t>
  </si>
  <si>
    <t>Rent growth p.a.</t>
  </si>
  <si>
    <t>Investing through superannuation?</t>
  </si>
  <si>
    <t>3BR_H</t>
  </si>
  <si>
    <t>CPI</t>
  </si>
  <si>
    <t>Index Numbers ;  All groups CPI, seasonally adjusted ;  Australia ;</t>
  </si>
  <si>
    <t>Real gains ($)</t>
  </si>
  <si>
    <t>Nominal gains ($)</t>
  </si>
  <si>
    <t>CGT calcs</t>
  </si>
  <si>
    <t>CGT on withdrawals</t>
  </si>
  <si>
    <r>
      <t xml:space="preserve">Tax concessions on contributions (0% if </t>
    </r>
    <r>
      <rPr>
        <b/>
        <sz val="11"/>
        <color theme="1"/>
        <rFont val="Aptos Narrow"/>
        <family val="2"/>
        <scheme val="minor"/>
      </rPr>
      <t>not</t>
    </r>
    <r>
      <rPr>
        <sz val="11"/>
        <color theme="1"/>
        <rFont val="Aptos Narrow"/>
        <family val="2"/>
        <scheme val="minor"/>
      </rPr>
      <t xml:space="preserve"> investing through super)</t>
    </r>
  </si>
  <si>
    <t>Cost base (nominal)</t>
  </si>
  <si>
    <t>Portfolio, end Q, before CGT</t>
  </si>
  <si>
    <t>Cost base (CPI-adjusted to Q_end)</t>
  </si>
  <si>
    <t>Contributions (CPI-adjusted to Q_end)</t>
  </si>
  <si>
    <t>Cost base + CPI to current quarter</t>
  </si>
  <si>
    <t>Comparison vs inflation</t>
  </si>
  <si>
    <t>Marginal income tax rate on withdrawal</t>
  </si>
  <si>
    <t>CPI (Q_st art = 100)</t>
  </si>
  <si>
    <t>MSCI World (Q_start=100)</t>
  </si>
  <si>
    <t>MSCI Aus (Q_start=100)</t>
  </si>
  <si>
    <t>Portfolio (Q_start=100)</t>
  </si>
  <si>
    <t>Adjusted home price (Q_start = 100)</t>
  </si>
  <si>
    <t>Median home price (Q_start = 100)</t>
  </si>
  <si>
    <t>Median home price growth p.a.</t>
  </si>
  <si>
    <t>Investment index (country-weighted) growth p.a.</t>
  </si>
  <si>
    <t>CPI growth p.a.</t>
  </si>
  <si>
    <t>Marginal CGT &amp; dividend income tax rate (0% if investing through super)</t>
  </si>
  <si>
    <t>Renovations, alterations, and additions (% of current home value per year)</t>
  </si>
  <si>
    <t>Default values</t>
  </si>
  <si>
    <t>Set values</t>
  </si>
  <si>
    <t>Renovation, cumulative</t>
  </si>
  <si>
    <t>Consider CGT? Note: Unlikely  to reflect realistic tax liabilities</t>
  </si>
  <si>
    <t>When buying the house (cashflow costs)</t>
  </si>
  <si>
    <t>When selling the house (derating of home value)</t>
  </si>
  <si>
    <t>Adjusted home price growth p.a.</t>
  </si>
  <si>
    <t>Average renter-to-owner cashflow needs excl. home purchase costs</t>
  </si>
  <si>
    <t>Median Price of Established House Transfers (Unstratified) ;  Sydney ;</t>
  </si>
  <si>
    <t>Median Price of Established House Transfers (Unstratified) ;  Rest of NSW ;</t>
  </si>
  <si>
    <t>Median Price of Established House Transfers (Unstratified) ;  Melbourne ;</t>
  </si>
  <si>
    <t>Median Price of Established House Transfers (Unstratified) ;  Rest of Vic. ;</t>
  </si>
  <si>
    <t>Median Price of Established House Transfers (Unstratified) ;  Brisbane ;</t>
  </si>
  <si>
    <t>Median Price of Established House Transfers (Unstratified) ;  Rest of Qld. ;</t>
  </si>
  <si>
    <t>Median Price of Established House Transfers (Unstratified) ;  Adelaide ;</t>
  </si>
  <si>
    <t>Median Price of Established House Transfers (Unstratified) ;  Rest of SA ;</t>
  </si>
  <si>
    <t>Median Price of Established House Transfers (Unstratified) ;  Perth ;</t>
  </si>
  <si>
    <t>Median Price of Established House Transfers (Unstratified) ;  Rest of WA ;</t>
  </si>
  <si>
    <t>Median Price of Established House Transfers (Unstratified) ;  Hobart ;</t>
  </si>
  <si>
    <t>Median Price of Established House Transfers (Unstratified) ;  Rest of Tas. ;</t>
  </si>
  <si>
    <t>Median Price of Established House Transfers (Unstratified) ;  Darwin ;</t>
  </si>
  <si>
    <t>Median Price of Established House Transfers (Unstratified) ;  Rest of NT ;</t>
  </si>
  <si>
    <t>Median Price of Established House Transfers (Unstratified) ;  Canberra ;</t>
  </si>
  <si>
    <t>Median Price of Attached Dwelling Transfers (Unstratified) ;  Sydney ;</t>
  </si>
  <si>
    <t>Median Price of Attached Dwelling Transfers (Unstratified) ;  Rest of NSW ;</t>
  </si>
  <si>
    <t>Median Price of Attached Dwelling Transfers (Unstratified) ;  Melbourne ;</t>
  </si>
  <si>
    <t>Median Price of Attached Dwelling Transfers (Unstratified) ;  Rest of Vic. ;</t>
  </si>
  <si>
    <t>Median Price of Attached Dwelling Transfers (Unstratified) ;  Brisbane ;</t>
  </si>
  <si>
    <t>Median Price of Attached Dwelling Transfers (Unstratified) ;  Rest of Qld. ;</t>
  </si>
  <si>
    <t>Median Price of Attached Dwelling Transfers (Unstratified) ;  Adelaide ;</t>
  </si>
  <si>
    <t>Median Price of Attached Dwelling Transfers (Unstratified) ;  Rest of SA ;</t>
  </si>
  <si>
    <t>Median Price of Attached Dwelling Transfers (Unstratified) ;  Perth ;</t>
  </si>
  <si>
    <t>Median Price of Attached Dwelling Transfers (Unstratified) ;  Rest of WA ;</t>
  </si>
  <si>
    <t>Median Price of Attached Dwelling Transfers (Unstratified) ;  Hobart ;</t>
  </si>
  <si>
    <t>Median Price of Attached Dwelling Transfers (Unstratified) ;  Rest of Tas. ;</t>
  </si>
  <si>
    <t>Median Price of Attached Dwelling Transfers (Unstratified) ;  Darwin ;</t>
  </si>
  <si>
    <t>Median Price of Attached Dwelling Transfers (Unstratified) ;  Rest of NT ;</t>
  </si>
  <si>
    <t>Median Price of Attached Dwelling Transfers (Unstratified) ;  Canberra ;</t>
  </si>
  <si>
    <t>Number of Established House Transfers ;  Sydney ;</t>
  </si>
  <si>
    <t>Number of Established House Transfers ;  Rest of NSW ;</t>
  </si>
  <si>
    <t>Number of Established House Transfers ;  Melbourne ;</t>
  </si>
  <si>
    <t>Number of Established House Transfers ;  Rest of Vic. ;</t>
  </si>
  <si>
    <t>Number of Established House Transfers ;  Brisbane ;</t>
  </si>
  <si>
    <t>Number of Established House Transfers ;  Rest of Qld. ;</t>
  </si>
  <si>
    <t>Number of Established House Transfers ;  Adelaide ;</t>
  </si>
  <si>
    <t>Number of Established House Transfers ;  Rest of SA ;</t>
  </si>
  <si>
    <t>Number of Established House Transfers ;  Perth ;</t>
  </si>
  <si>
    <t>Number of Established House Transfers ;  Rest of WA ;</t>
  </si>
  <si>
    <t>Number of Established House Transfers ;  Hobart ;</t>
  </si>
  <si>
    <t>Number of Established House Transfers ;  Rest of Tas. ;</t>
  </si>
  <si>
    <t>Number of Established House Transfers ;  Darwin ;</t>
  </si>
  <si>
    <t>Number of Established House Transfers ;  Rest of NT ;</t>
  </si>
  <si>
    <t>Number of Established House Transfers ;  Canberra ;</t>
  </si>
  <si>
    <t>Number of Attached Dwelling Transfers ;  Sydney ;</t>
  </si>
  <si>
    <t>Number of Attached Dwelling Transfers ;  Rest of NSW ;</t>
  </si>
  <si>
    <t>Number of Attached Dwelling Transfers ;  Melbourne ;</t>
  </si>
  <si>
    <t>Number of Attached Dwelling Transfers ;  Rest of Vic. ;</t>
  </si>
  <si>
    <t>Number of Attached Dwelling Transfers ;  Brisbane ;</t>
  </si>
  <si>
    <t>Number of Attached Dwelling Transfers ;  Rest of Qld. ;</t>
  </si>
  <si>
    <t>Number of Attached Dwelling Transfers ;  Adelaide ;</t>
  </si>
  <si>
    <t>Number of Attached Dwelling Transfers ;  Rest of SA ;</t>
  </si>
  <si>
    <t>Number of Attached Dwelling Transfers ;  Perth ;</t>
  </si>
  <si>
    <t>Number of Attached Dwelling Transfers ;  Rest of WA ;</t>
  </si>
  <si>
    <t>Number of Attached Dwelling Transfers ;  Hobart ;</t>
  </si>
  <si>
    <t>Number of Attached Dwelling Transfers ;  Rest of Tas. ;</t>
  </si>
  <si>
    <t>Number of Attached Dwelling Transfers ;  Darwin ;</t>
  </si>
  <si>
    <t>Number of Attached Dwelling Transfers ;  Rest of NT ;</t>
  </si>
  <si>
    <t>Number of Attached Dwelling Transfers ;  Canberra ;</t>
  </si>
  <si>
    <t>Unit</t>
  </si>
  <si>
    <t>$'000</t>
  </si>
  <si>
    <t>Number</t>
  </si>
  <si>
    <t>Series Type</t>
  </si>
  <si>
    <t>Data Type</t>
  </si>
  <si>
    <t>FLOW</t>
  </si>
  <si>
    <t>Collection Month</t>
  </si>
  <si>
    <t>Series Start</t>
  </si>
  <si>
    <t>Series End</t>
  </si>
  <si>
    <t>No. Obs</t>
  </si>
  <si>
    <t>A83728545T</t>
  </si>
  <si>
    <t>A83728577K</t>
  </si>
  <si>
    <t>A83728549A</t>
  </si>
  <si>
    <t>A83728581A</t>
  </si>
  <si>
    <t>A83728553T</t>
  </si>
  <si>
    <t>A83728585K</t>
  </si>
  <si>
    <t>A83728557A</t>
  </si>
  <si>
    <t>A83728589V</t>
  </si>
  <si>
    <t>A83728561T</t>
  </si>
  <si>
    <t>A83728593K</t>
  </si>
  <si>
    <t>A83728565A</t>
  </si>
  <si>
    <t>A83728597V</t>
  </si>
  <si>
    <t>A83728569K</t>
  </si>
  <si>
    <t>A83728601X</t>
  </si>
  <si>
    <t>A83728573A</t>
  </si>
  <si>
    <t>A83728546V</t>
  </si>
  <si>
    <t>A83728578L</t>
  </si>
  <si>
    <t>A83728550K</t>
  </si>
  <si>
    <t>A83728582C</t>
  </si>
  <si>
    <t>A83728554V</t>
  </si>
  <si>
    <t>A83728586L</t>
  </si>
  <si>
    <t>A83728558C</t>
  </si>
  <si>
    <t>A83728590C</t>
  </si>
  <si>
    <t>A83728562V</t>
  </si>
  <si>
    <t>A83728594L</t>
  </si>
  <si>
    <t>A83728566C</t>
  </si>
  <si>
    <t>A83728598W</t>
  </si>
  <si>
    <t>A83728570V</t>
  </si>
  <si>
    <t>A83728602A</t>
  </si>
  <si>
    <t>A83728574C</t>
  </si>
  <si>
    <t>A83728543L</t>
  </si>
  <si>
    <t>A83728575F</t>
  </si>
  <si>
    <t>A83728547W</t>
  </si>
  <si>
    <t>A83728579R</t>
  </si>
  <si>
    <t>A83728551L</t>
  </si>
  <si>
    <t>A83728583F</t>
  </si>
  <si>
    <t>A83728555W</t>
  </si>
  <si>
    <t>A83728587R</t>
  </si>
  <si>
    <t>A83728559F</t>
  </si>
  <si>
    <t>A83728591F</t>
  </si>
  <si>
    <t>A83728563W</t>
  </si>
  <si>
    <t>A83728595R</t>
  </si>
  <si>
    <t>A83728567F</t>
  </si>
  <si>
    <t>A83728599X</t>
  </si>
  <si>
    <t>A83728571W</t>
  </si>
  <si>
    <t>A83728544R</t>
  </si>
  <si>
    <t>A83728576J</t>
  </si>
  <si>
    <t>A83728548X</t>
  </si>
  <si>
    <t>A83728580X</t>
  </si>
  <si>
    <t>A83728552R</t>
  </si>
  <si>
    <t>A83728584J</t>
  </si>
  <si>
    <t>A83728556X</t>
  </si>
  <si>
    <t>A83728588T</t>
  </si>
  <si>
    <t>A83728560R</t>
  </si>
  <si>
    <t>A83728592J</t>
  </si>
  <si>
    <t>A83728564X</t>
  </si>
  <si>
    <t>A83728596T</t>
  </si>
  <si>
    <t>A83728568J</t>
  </si>
  <si>
    <t>A83728600W</t>
  </si>
  <si>
    <t>A83728572X</t>
  </si>
  <si>
    <t>Metro</t>
  </si>
  <si>
    <t>Portfolio index (Q_start=100)</t>
  </si>
  <si>
    <t>Renter's insurance and other costs ($ per year, end-quarter dollars)</t>
  </si>
  <si>
    <t>Investment efficiency</t>
  </si>
  <si>
    <t>Other renter costs</t>
  </si>
  <si>
    <t>Rent vs buy analysis - Adelaide</t>
  </si>
  <si>
    <t>Adelaide</t>
  </si>
  <si>
    <t>Rest of SA</t>
  </si>
  <si>
    <t>region</t>
  </si>
  <si>
    <t>year</t>
  </si>
  <si>
    <t>month</t>
  </si>
  <si>
    <t>1_br_flats_count</t>
  </si>
  <si>
    <t>1_br_flats_median</t>
  </si>
  <si>
    <t>2_br_flats_count</t>
  </si>
  <si>
    <t>2_br_flats_median</t>
  </si>
  <si>
    <t>3_br_flats_count</t>
  </si>
  <si>
    <t>3_br_flats_median</t>
  </si>
  <si>
    <t>4_br_flats_count</t>
  </si>
  <si>
    <t>4_br_flats_median</t>
  </si>
  <si>
    <t>flat_unknown_br_count</t>
  </si>
  <si>
    <t>flat_unknown_br_median</t>
  </si>
  <si>
    <t>total_flats_count</t>
  </si>
  <si>
    <t>total_flats_median</t>
  </si>
  <si>
    <t>1_br_houses_count</t>
  </si>
  <si>
    <t>1_br_houses_median</t>
  </si>
  <si>
    <t>2_br_houses_count</t>
  </si>
  <si>
    <t>2_br_houses_median</t>
  </si>
  <si>
    <t>3_br_houses_count</t>
  </si>
  <si>
    <t>3_br_houses_median</t>
  </si>
  <si>
    <t>4_br_houses_count</t>
  </si>
  <si>
    <t>4_br_houses_median</t>
  </si>
  <si>
    <t>house_unknown_br_count</t>
  </si>
  <si>
    <t>house_unknown_br_median</t>
  </si>
  <si>
    <t>total_houses_count</t>
  </si>
  <si>
    <t>total_houses_median</t>
  </si>
  <si>
    <t>other_unknown_count</t>
  </si>
  <si>
    <t>other_unknown_median</t>
  </si>
  <si>
    <t>total_count</t>
  </si>
  <si>
    <t>total_median</t>
  </si>
  <si>
    <t>1_bedroom_count</t>
  </si>
  <si>
    <t>1_bedroom_median</t>
  </si>
  <si>
    <t>2_bedrooms_count</t>
  </si>
  <si>
    <t>2_bedrooms_median</t>
  </si>
  <si>
    <t>3_bedrooms_count</t>
  </si>
  <si>
    <t>3_bedrooms_median</t>
  </si>
  <si>
    <t>4_bedrooms_count</t>
  </si>
  <si>
    <t>4_bedrooms_median</t>
  </si>
  <si>
    <t>unknown_count</t>
  </si>
  <si>
    <t>unknown_median</t>
  </si>
  <si>
    <t>column_11</t>
  </si>
  <si>
    <t>column_12</t>
  </si>
  <si>
    <t>column_23</t>
  </si>
  <si>
    <t>column_24</t>
  </si>
  <si>
    <t>not_applicable_count</t>
  </si>
  <si>
    <t>not_applicable_median</t>
  </si>
  <si>
    <t>column_27</t>
  </si>
  <si>
    <t>column_28</t>
  </si>
  <si>
    <t>column_29</t>
  </si>
  <si>
    <t>column_30</t>
  </si>
  <si>
    <t>column_9</t>
  </si>
  <si>
    <t>column_10</t>
  </si>
  <si>
    <t>column_19</t>
  </si>
  <si>
    <t>column_20</t>
  </si>
  <si>
    <t>column_25</t>
  </si>
  <si>
    <t>column_26</t>
  </si>
  <si>
    <t>unknown_flats_units_count</t>
  </si>
  <si>
    <t>unknown_flats_units_median</t>
  </si>
  <si>
    <t>unknown_flats_units_count_median</t>
  </si>
  <si>
    <t>unknown_flats_units_median_median</t>
  </si>
  <si>
    <t>unknown_houses_count</t>
  </si>
  <si>
    <t>unknown_houses_median</t>
  </si>
  <si>
    <t>unknown_houses_count_median</t>
  </si>
  <si>
    <t>unknown_houses_median_median</t>
  </si>
  <si>
    <t>not_applicable_other_unknown_count</t>
  </si>
  <si>
    <t>not_applicable_other_unknown_median</t>
  </si>
  <si>
    <t>not_applicable_other_unknown_count_median</t>
  </si>
  <si>
    <t>not_applicable_other_unknown_median_median</t>
  </si>
  <si>
    <t>not_applicable_total_count_median</t>
  </si>
  <si>
    <t>not_applicable_total_median_median</t>
  </si>
  <si>
    <t>4_br_flats_count_median</t>
  </si>
  <si>
    <t>4_br_flats_median_median</t>
  </si>
  <si>
    <t>4_br_houses_count_median</t>
  </si>
  <si>
    <t>4_br_houses_median_median</t>
  </si>
  <si>
    <t>Adelaide Hills</t>
  </si>
  <si>
    <t>Barossa</t>
  </si>
  <si>
    <t>Eastern Adelaide</t>
  </si>
  <si>
    <t>Eyre and Western</t>
  </si>
  <si>
    <t>Far North</t>
  </si>
  <si>
    <t>Fleurieu and KI</t>
  </si>
  <si>
    <t>Limestone Coast</t>
  </si>
  <si>
    <t>Murray and Mallee</t>
  </si>
  <si>
    <t>Northern Adelaide</t>
  </si>
  <si>
    <t>Rest of State</t>
  </si>
  <si>
    <t>Southern Adelaide</t>
  </si>
  <si>
    <t>Western Adelaide</t>
  </si>
  <si>
    <t>Yorke and Mid North</t>
  </si>
  <si>
    <t>South Australia</t>
  </si>
  <si>
    <t>Metro Total</t>
  </si>
  <si>
    <t>Rest of State Total</t>
  </si>
  <si>
    <t>Year</t>
  </si>
  <si>
    <t>Month</t>
  </si>
  <si>
    <t>Australian Bureau of Statistics</t>
  </si>
  <si>
    <t>41300DO003_201112 State and territory data, 1994-95 to 2011-12</t>
  </si>
  <si>
    <t>Released at 11:30 am (Canberra time) Wed 28 Aug 2013</t>
  </si>
  <si>
    <t>Table 4 SA Households, Housing costs by selected household characteristics, and dwelling values</t>
  </si>
  <si>
    <t>1994–95</t>
  </si>
  <si>
    <t>1995–96</t>
  </si>
  <si>
    <t>1996–97</t>
  </si>
  <si>
    <t>1997–98</t>
  </si>
  <si>
    <t>1999–00</t>
  </si>
  <si>
    <t>2000–01</t>
  </si>
  <si>
    <t>2002–03</t>
  </si>
  <si>
    <t>2003–04</t>
  </si>
  <si>
    <t>2005–06</t>
  </si>
  <si>
    <t>2007–08</t>
  </si>
  <si>
    <t>2009–10</t>
  </si>
  <si>
    <t>2011-12</t>
  </si>
  <si>
    <t>ESTIMATE</t>
  </si>
  <si>
    <t>Mean housing costs per week in 2011–12 dollars</t>
  </si>
  <si>
    <t>Tenure and landlord type</t>
  </si>
  <si>
    <t>Owner without a mortgage</t>
  </si>
  <si>
    <t>$</t>
  </si>
  <si>
    <t>Owner with a mortgage</t>
  </si>
  <si>
    <t>Renter</t>
  </si>
  <si>
    <t>State/territory housing authority</t>
  </si>
  <si>
    <t>Private landlord</t>
  </si>
  <si>
    <t>Total renters</t>
  </si>
  <si>
    <t>All households</t>
  </si>
  <si>
    <t>Family composition of household</t>
  </si>
  <si>
    <t>One family households</t>
  </si>
  <si>
    <t>Couple family with dependent children</t>
  </si>
  <si>
    <t>One parent family with dependent children</t>
  </si>
  <si>
    <t>Couple only</t>
  </si>
  <si>
    <t>Other one family households</t>
  </si>
  <si>
    <t>Multiple family households</t>
  </si>
  <si>
    <t>Non-family households</t>
  </si>
  <si>
    <t>Lone person</t>
  </si>
  <si>
    <t>Group households</t>
  </si>
  <si>
    <t>Dwelling structure</t>
  </si>
  <si>
    <t>Separate house</t>
  </si>
  <si>
    <t>Semi detached/row or terrace house/townhouse</t>
  </si>
  <si>
    <t>Flat/unit/apartment</t>
  </si>
  <si>
    <t>Equivalised disposable household income</t>
  </si>
  <si>
    <t>Lowest quintile</t>
  </si>
  <si>
    <t>Second quintile</t>
  </si>
  <si>
    <t>Third quintile</t>
  </si>
  <si>
    <t>Fourth quintile</t>
  </si>
  <si>
    <t>Highest quintile</t>
  </si>
  <si>
    <t>Second and third deciles</t>
  </si>
  <si>
    <t>Main source of income</t>
  </si>
  <si>
    <t>Wages and salaries</t>
  </si>
  <si>
    <t>Own unincorporated business income</t>
  </si>
  <si>
    <t>Government pensions and allowances</t>
  </si>
  <si>
    <t>Other income</t>
  </si>
  <si>
    <t>Number of employed persons</t>
  </si>
  <si>
    <t>None</t>
  </si>
  <si>
    <t>One</t>
  </si>
  <si>
    <t>Two</t>
  </si>
  <si>
    <t>Three or more</t>
  </si>
  <si>
    <t>Dwelling values for owner households in 2011–12 dollars</t>
  </si>
  <si>
    <t>Median value of dwelling</t>
  </si>
  <si>
    <t>Median amount of mortgage outstanding</t>
  </si>
  <si>
    <t>Mean gross household income (in 2011–12 dollars)</t>
  </si>
  <si>
    <t>Number of households in sample</t>
  </si>
  <si>
    <t>no.</t>
  </si>
  <si>
    <t>Factor applied to adjust to 2011–12 dollars</t>
  </si>
  <si>
    <t>RSE OF ESTIMATE</t>
  </si>
  <si>
    <t>%</t>
  </si>
  <si>
    <t>© Commonwealth of Australia 2013</t>
  </si>
  <si>
    <t>Calculations</t>
  </si>
  <si>
    <t>$ nominal</t>
  </si>
  <si>
    <t>Private landlord average rents</t>
  </si>
  <si>
    <t>% of EOFY 2008 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</si>
</sst>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0.00;[Red]\-&quot;$&quot;#,##0.00"/>
    <numFmt numFmtId="43" formatCode="_-* #,##0.00_-;\-* #,##0.00_-;_-* &quot;-&quot;??_-;_-@_-"/>
    <numFmt numFmtId="164" formatCode="_-* #,##0_-;\-* #,##0_-;_-* &quot;-&quot;??_-;_-@_-"/>
    <numFmt numFmtId="165" formatCode="dd\-mmm\-yyyy"/>
    <numFmt numFmtId="166" formatCode="mmm\-yyyy"/>
    <numFmt numFmtId="167" formatCode="0.0%"/>
    <numFmt numFmtId="168" formatCode="0.000"/>
    <numFmt numFmtId="169" formatCode="0.0;\-0.0;0.0;@"/>
    <numFmt numFmtId="170" formatCode="0;\-0;0;@"/>
    <numFmt numFmtId="171" formatCode="#,##0.0"/>
    <numFmt numFmtId="172" formatCode="0.0"/>
  </numFmts>
  <fonts count="25" x14ac:knownFonts="1">
    <font>
      <sz val="11"/>
      <color theme="1"/>
      <name val="Aptos Narrow"/>
      <family val="2"/>
      <scheme val="minor"/>
    </font>
    <font>
      <sz val="10"/>
      <name val="Arial"/>
      <family val="2"/>
    </font>
    <font>
      <b/>
      <sz val="11"/>
      <color theme="1"/>
      <name val="Aptos Narrow"/>
      <family val="2"/>
      <scheme val="minor"/>
    </font>
    <font>
      <i/>
      <sz val="11"/>
      <color theme="1"/>
      <name val="Aptos Narrow"/>
      <family val="2"/>
      <scheme val="minor"/>
    </font>
    <font>
      <sz val="11"/>
      <color theme="1"/>
      <name val="Aptos Narrow"/>
      <family val="2"/>
      <scheme val="minor"/>
    </font>
    <font>
      <b/>
      <i/>
      <sz val="11"/>
      <color theme="1"/>
      <name val="Aptos Narrow"/>
      <family val="2"/>
      <scheme val="minor"/>
    </font>
    <font>
      <sz val="9"/>
      <color indexed="81"/>
      <name val="Tahoma"/>
      <family val="2"/>
    </font>
    <font>
      <b/>
      <sz val="9"/>
      <color indexed="81"/>
      <name val="Tahoma"/>
      <family val="2"/>
    </font>
    <font>
      <sz val="9"/>
      <color rgb="FF000000"/>
      <name val="Arial"/>
      <family val="2"/>
    </font>
    <font>
      <sz val="8"/>
      <color rgb="FF000000"/>
      <name val="Arial"/>
      <family val="2"/>
    </font>
    <font>
      <sz val="10"/>
      <color rgb="FF000000"/>
      <name val="Arial"/>
      <family val="2"/>
    </font>
    <font>
      <b/>
      <sz val="11"/>
      <name val="Calibri"/>
      <family val="2"/>
    </font>
    <font>
      <sz val="8"/>
      <color theme="1"/>
      <name val="Arial"/>
      <family val="2"/>
    </font>
    <font>
      <b/>
      <sz val="8"/>
      <color theme="1"/>
      <name val="Arial"/>
      <family val="2"/>
    </font>
    <font>
      <sz val="8"/>
      <color indexed="81"/>
      <name val="Tahoma"/>
      <family val="2"/>
    </font>
    <font>
      <sz val="11"/>
      <color indexed="8"/>
      <name val="Calibri"/>
      <family val="2"/>
    </font>
    <font>
      <b/>
      <sz val="18"/>
      <color indexed="9"/>
      <name val="Arial"/>
      <family val="2"/>
    </font>
    <font>
      <b/>
      <sz val="12"/>
      <name val="Arial"/>
      <family val="2"/>
    </font>
    <font>
      <sz val="8"/>
      <name val="Arial"/>
      <family val="2"/>
    </font>
    <font>
      <b/>
      <sz val="10"/>
      <name val="Arial"/>
      <family val="2"/>
    </font>
    <font>
      <b/>
      <sz val="8"/>
      <name val="Arial"/>
      <family val="2"/>
    </font>
    <font>
      <sz val="8"/>
      <name val="MS Sans Serif"/>
      <family val="2"/>
    </font>
    <font>
      <i/>
      <sz val="8"/>
      <name val="Arial"/>
      <family val="2"/>
    </font>
    <font>
      <sz val="10"/>
      <name val="MS Sans Serif"/>
      <family val="2"/>
    </font>
    <font>
      <sz val="8"/>
      <color indexed="12"/>
      <name val="Arial"/>
      <family val="2"/>
    </font>
  </fonts>
  <fills count="6">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indexed="17"/>
        <bgColor indexed="63"/>
      </patternFill>
    </fill>
    <fill>
      <patternFill patternType="solid">
        <fgColor rgb="FFFFC0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7">
    <xf numFmtId="0" fontId="0" fillId="0" borderId="0"/>
    <xf numFmtId="0" fontId="1" fillId="0" borderId="0"/>
    <xf numFmtId="43" fontId="4" fillId="0" borderId="0" applyFont="0" applyFill="0" applyBorder="0" applyAlignment="0" applyProtection="0"/>
    <xf numFmtId="9" fontId="4" fillId="0" borderId="0" applyFont="0" applyFill="0" applyBorder="0" applyAlignment="0" applyProtection="0"/>
    <xf numFmtId="43" fontId="15" fillId="0" borderId="0" applyFont="0" applyFill="0" applyBorder="0" applyAlignment="0" applyProtection="0"/>
    <xf numFmtId="43" fontId="1" fillId="0" borderId="0" applyFill="0" applyBorder="0" applyAlignment="0" applyProtection="0"/>
    <xf numFmtId="0" fontId="23" fillId="0" borderId="0"/>
  </cellStyleXfs>
  <cellXfs count="77">
    <xf numFmtId="0" fontId="0" fillId="0" borderId="0" xfId="0"/>
    <xf numFmtId="17" fontId="0" fillId="0" borderId="0" xfId="0" applyNumberFormat="1"/>
    <xf numFmtId="17" fontId="0" fillId="0" borderId="0" xfId="0" quotePrefix="1" applyNumberFormat="1"/>
    <xf numFmtId="14" fontId="0" fillId="0" borderId="0" xfId="0" applyNumberFormat="1"/>
    <xf numFmtId="10" fontId="0" fillId="0" borderId="0" xfId="0" applyNumberFormat="1"/>
    <xf numFmtId="0" fontId="2" fillId="0" borderId="0" xfId="0" applyFont="1"/>
    <xf numFmtId="0" fontId="3" fillId="0" borderId="0" xfId="0" applyFont="1"/>
    <xf numFmtId="2" fontId="0" fillId="0" borderId="0" xfId="0" applyNumberFormat="1"/>
    <xf numFmtId="9" fontId="0" fillId="0" borderId="0" xfId="0" applyNumberFormat="1"/>
    <xf numFmtId="0" fontId="5" fillId="0" borderId="0" xfId="0" applyFont="1"/>
    <xf numFmtId="164" fontId="0" fillId="0" borderId="0" xfId="2" applyNumberFormat="1" applyFont="1"/>
    <xf numFmtId="43" fontId="0" fillId="0" borderId="0" xfId="0" applyNumberFormat="1"/>
    <xf numFmtId="164" fontId="0" fillId="0" borderId="0" xfId="0" applyNumberFormat="1"/>
    <xf numFmtId="164" fontId="0" fillId="3" borderId="0" xfId="2" applyNumberFormat="1" applyFont="1" applyFill="1"/>
    <xf numFmtId="0" fontId="8" fillId="0" borderId="0" xfId="0" applyFont="1" applyAlignment="1">
      <alignment vertical="top" wrapText="1"/>
    </xf>
    <xf numFmtId="0" fontId="8" fillId="0" borderId="0" xfId="0" applyFont="1"/>
    <xf numFmtId="0" fontId="8" fillId="0" borderId="0" xfId="0" applyFont="1" applyAlignment="1">
      <alignment vertical="top"/>
    </xf>
    <xf numFmtId="0" fontId="8" fillId="0" borderId="0" xfId="0" applyFont="1" applyAlignment="1">
      <alignment wrapText="1"/>
    </xf>
    <xf numFmtId="0" fontId="9" fillId="0" borderId="0" xfId="0" applyFont="1" applyAlignment="1">
      <alignment horizontal="center"/>
    </xf>
    <xf numFmtId="165" fontId="8" fillId="0" borderId="0" xfId="0" applyNumberFormat="1" applyFont="1" applyAlignment="1">
      <alignment horizontal="left"/>
    </xf>
    <xf numFmtId="166" fontId="10" fillId="0" borderId="0" xfId="0" applyNumberFormat="1" applyFont="1"/>
    <xf numFmtId="2" fontId="10" fillId="0" borderId="0" xfId="0" applyNumberFormat="1" applyFont="1"/>
    <xf numFmtId="43" fontId="0" fillId="0" borderId="0" xfId="2" applyFont="1"/>
    <xf numFmtId="1" fontId="0" fillId="0" borderId="0" xfId="0" applyNumberFormat="1"/>
    <xf numFmtId="167" fontId="0" fillId="0" borderId="0" xfId="3" applyNumberFormat="1" applyFont="1"/>
    <xf numFmtId="10" fontId="0" fillId="0" borderId="0" xfId="3" applyNumberFormat="1" applyFont="1"/>
    <xf numFmtId="8" fontId="0" fillId="0" borderId="0" xfId="2" applyNumberFormat="1" applyFont="1"/>
    <xf numFmtId="164" fontId="0" fillId="0" borderId="0" xfId="2" applyNumberFormat="1" applyFont="1" applyFill="1"/>
    <xf numFmtId="0" fontId="11" fillId="0" borderId="0" xfId="0" applyFont="1"/>
    <xf numFmtId="43" fontId="0" fillId="3" borderId="0" xfId="2" applyFont="1" applyFill="1"/>
    <xf numFmtId="168" fontId="0" fillId="0" borderId="0" xfId="0" applyNumberFormat="1"/>
    <xf numFmtId="167" fontId="0" fillId="0" borderId="0" xfId="0" applyNumberFormat="1"/>
    <xf numFmtId="2" fontId="2" fillId="0" borderId="0" xfId="0" applyNumberFormat="1" applyFont="1"/>
    <xf numFmtId="43" fontId="0" fillId="0" borderId="0" xfId="0" quotePrefix="1" applyNumberFormat="1"/>
    <xf numFmtId="0" fontId="0" fillId="0" borderId="0" xfId="0" quotePrefix="1"/>
    <xf numFmtId="0" fontId="12" fillId="0" borderId="0" xfId="0" applyFont="1" applyAlignment="1">
      <alignment wrapText="1"/>
    </xf>
    <xf numFmtId="0" fontId="12" fillId="0" borderId="0" xfId="0" applyFont="1" applyAlignment="1">
      <alignment horizontal="right" wrapText="1"/>
    </xf>
    <xf numFmtId="0" fontId="13" fillId="0" borderId="0" xfId="0" applyFont="1"/>
    <xf numFmtId="0" fontId="12" fillId="0" borderId="0" xfId="0" applyFont="1" applyAlignment="1">
      <alignment horizontal="right"/>
    </xf>
    <xf numFmtId="0" fontId="12" fillId="0" borderId="0" xfId="0" applyFont="1"/>
    <xf numFmtId="166" fontId="13" fillId="0" borderId="0" xfId="0" applyNumberFormat="1" applyFont="1"/>
    <xf numFmtId="166" fontId="12" fillId="0" borderId="0" xfId="0" applyNumberFormat="1" applyFont="1"/>
    <xf numFmtId="166" fontId="12" fillId="0" borderId="0" xfId="0" applyNumberFormat="1" applyFont="1" applyAlignment="1">
      <alignment horizontal="left"/>
    </xf>
    <xf numFmtId="169" fontId="12" fillId="0" borderId="0" xfId="0" applyNumberFormat="1" applyFont="1"/>
    <xf numFmtId="170" fontId="12" fillId="0" borderId="0" xfId="0" applyNumberFormat="1" applyFont="1"/>
    <xf numFmtId="0" fontId="1" fillId="0" borderId="0" xfId="1"/>
    <xf numFmtId="0" fontId="17" fillId="0" borderId="0" xfId="1" applyFont="1" applyAlignment="1">
      <alignment horizontal="left"/>
    </xf>
    <xf numFmtId="0" fontId="18" fillId="0" borderId="0" xfId="1" applyFont="1"/>
    <xf numFmtId="0" fontId="1" fillId="0" borderId="0" xfId="1" applyAlignment="1">
      <alignment horizontal="left"/>
    </xf>
    <xf numFmtId="0" fontId="19" fillId="0" borderId="0" xfId="1" applyFont="1" applyAlignment="1">
      <alignment horizontal="left"/>
    </xf>
    <xf numFmtId="0" fontId="18" fillId="0" borderId="0" xfId="1" applyFont="1" applyAlignment="1">
      <alignment horizontal="left" wrapText="1"/>
    </xf>
    <xf numFmtId="0" fontId="20" fillId="0" borderId="0" xfId="1" applyFont="1" applyAlignment="1">
      <alignment horizontal="right" wrapText="1"/>
    </xf>
    <xf numFmtId="0" fontId="1" fillId="0" borderId="1" xfId="1" applyBorder="1"/>
    <xf numFmtId="0" fontId="18" fillId="0" borderId="0" xfId="1" applyFont="1" applyAlignment="1">
      <alignment horizontal="left"/>
    </xf>
    <xf numFmtId="0" fontId="18" fillId="0" borderId="0" xfId="1" applyFont="1" applyAlignment="1">
      <alignment horizontal="left" indent="1"/>
    </xf>
    <xf numFmtId="0" fontId="18" fillId="0" borderId="0" xfId="1" applyFont="1" applyAlignment="1">
      <alignment horizontal="left" indent="2"/>
    </xf>
    <xf numFmtId="0" fontId="18" fillId="0" borderId="0" xfId="1" applyFont="1" applyAlignment="1">
      <alignment horizontal="left" indent="3"/>
    </xf>
    <xf numFmtId="1" fontId="18" fillId="0" borderId="0" xfId="1" quotePrefix="1" applyNumberFormat="1" applyFont="1"/>
    <xf numFmtId="1" fontId="21" fillId="0" borderId="0" xfId="1" quotePrefix="1" applyNumberFormat="1" applyFont="1"/>
    <xf numFmtId="3" fontId="18" fillId="0" borderId="0" xfId="1" applyNumberFormat="1" applyFont="1"/>
    <xf numFmtId="164" fontId="18" fillId="0" borderId="0" xfId="5" applyNumberFormat="1" applyFont="1"/>
    <xf numFmtId="168" fontId="18" fillId="0" borderId="0" xfId="1" applyNumberFormat="1" applyFont="1"/>
    <xf numFmtId="0" fontId="1" fillId="0" borderId="2" xfId="1" applyBorder="1"/>
    <xf numFmtId="171" fontId="18" fillId="0" borderId="0" xfId="1" applyNumberFormat="1" applyFont="1" applyAlignment="1">
      <alignment horizontal="right"/>
    </xf>
    <xf numFmtId="172" fontId="18" fillId="0" borderId="0" xfId="1" applyNumberFormat="1" applyFont="1"/>
    <xf numFmtId="0" fontId="22" fillId="0" borderId="0" xfId="1" applyFont="1" applyAlignment="1">
      <alignment horizontal="left" indent="3"/>
    </xf>
    <xf numFmtId="172" fontId="21" fillId="0" borderId="0" xfId="1" quotePrefix="1" applyNumberFormat="1" applyFont="1"/>
    <xf numFmtId="172" fontId="18" fillId="0" borderId="0" xfId="6" applyNumberFormat="1" applyFont="1"/>
    <xf numFmtId="0" fontId="24" fillId="0" borderId="0" xfId="1" applyFont="1" applyAlignment="1">
      <alignment horizontal="left"/>
    </xf>
    <xf numFmtId="0" fontId="1" fillId="2" borderId="0" xfId="1" applyFill="1"/>
    <xf numFmtId="2" fontId="1" fillId="0" borderId="0" xfId="1" applyNumberFormat="1"/>
    <xf numFmtId="167" fontId="1" fillId="0" borderId="0" xfId="3" applyNumberFormat="1" applyFont="1"/>
    <xf numFmtId="0" fontId="0" fillId="5" borderId="0" xfId="0" applyFill="1"/>
    <xf numFmtId="2" fontId="0" fillId="5" borderId="0" xfId="0" applyNumberFormat="1" applyFill="1"/>
    <xf numFmtId="0" fontId="16" fillId="4" borderId="0" xfId="1" applyFont="1" applyFill="1" applyAlignment="1">
      <alignment horizontal="left" vertical="center" indent="10"/>
    </xf>
    <xf numFmtId="0" fontId="20" fillId="0" borderId="1" xfId="1" applyFont="1" applyBorder="1" applyAlignment="1">
      <alignment horizontal="center" wrapText="1"/>
    </xf>
    <xf numFmtId="0" fontId="20" fillId="0" borderId="2" xfId="1" applyFont="1" applyBorder="1" applyAlignment="1">
      <alignment horizontal="center" wrapText="1"/>
    </xf>
  </cellXfs>
  <cellStyles count="7">
    <cellStyle name="Comma" xfId="2" builtinId="3"/>
    <cellStyle name="Comma 2" xfId="4" xr:uid="{08858974-E26C-4C8C-A06B-AA9505693D98}"/>
    <cellStyle name="Comma 3" xfId="5" xr:uid="{2E7F94B6-BC7E-43E6-AF74-4A0A33FAFB5F}"/>
    <cellStyle name="Normal" xfId="0" builtinId="0"/>
    <cellStyle name="Normal 2" xfId="1" xr:uid="{EA054D48-7445-4D79-A4CC-930395C15F80}"/>
    <cellStyle name="Normal_SA RSE" xfId="6" xr:uid="{9CD47896-EB70-4BD0-B3F5-E5CF7460DEAD}"/>
    <cellStyle name="Per cent" xfId="3" builtinId="5"/>
  </cellStyles>
  <dxfs count="2">
    <dxf>
      <font>
        <condense val="0"/>
        <extend val="0"/>
        <color indexed="10"/>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0.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2.xml"/><Relationship Id="rId5" Type="http://schemas.openxmlformats.org/officeDocument/2006/relationships/worksheet" Target="worksheets/sheet5.xml"/><Relationship Id="rId15" Type="http://schemas.openxmlformats.org/officeDocument/2006/relationships/worksheet" Target="worksheets/sheet13.xml"/><Relationship Id="rId10" Type="http://schemas.openxmlformats.org/officeDocument/2006/relationships/chartsheet" Target="chartsheets/sheet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analysis!$O$2</c:f>
              <c:strCache>
                <c:ptCount val="1"/>
                <c:pt idx="0">
                  <c:v>Renter-to-owner wealth ratio</c:v>
                </c:pt>
              </c:strCache>
            </c:strRef>
          </c:tx>
          <c:spPr>
            <a:ln w="28575" cap="rnd">
              <a:solidFill>
                <a:schemeClr val="accent3"/>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analysis!$O$3:$O$82</c:f>
              <c:numCache>
                <c:formatCode>0.00</c:formatCode>
                <c:ptCount val="80"/>
                <c:pt idx="0">
                  <c:v>1.6113560323635134</c:v>
                </c:pt>
                <c:pt idx="1">
                  <c:v>1.4933971981714629</c:v>
                </c:pt>
                <c:pt idx="2">
                  <c:v>1.5079853479350567</c:v>
                </c:pt>
                <c:pt idx="3">
                  <c:v>1.4661294875428201</c:v>
                </c:pt>
                <c:pt idx="4">
                  <c:v>1.4747219646384628</c:v>
                </c:pt>
                <c:pt idx="5">
                  <c:v>1.4237635604903138</c:v>
                </c:pt>
                <c:pt idx="6">
                  <c:v>1.2157539123110843</c:v>
                </c:pt>
                <c:pt idx="7">
                  <c:v>0.99228761054557291</c:v>
                </c:pt>
                <c:pt idx="8">
                  <c:v>0.90111673576926365</c:v>
                </c:pt>
                <c:pt idx="9">
                  <c:v>0.88396196867172716</c:v>
                </c:pt>
                <c:pt idx="10">
                  <c:v>0.82101052155909471</c:v>
                </c:pt>
                <c:pt idx="11">
                  <c:v>0.69456859206522803</c:v>
                </c:pt>
                <c:pt idx="12">
                  <c:v>0.65822667527761003</c:v>
                </c:pt>
                <c:pt idx="13">
                  <c:v>0.73738095460229802</c:v>
                </c:pt>
                <c:pt idx="14">
                  <c:v>0.84837153825878764</c:v>
                </c:pt>
                <c:pt idx="15">
                  <c:v>0.73362019198836015</c:v>
                </c:pt>
                <c:pt idx="16">
                  <c:v>0.75574973386119981</c:v>
                </c:pt>
                <c:pt idx="17">
                  <c:v>0.6438314834976554</c:v>
                </c:pt>
                <c:pt idx="18">
                  <c:v>0.78612737790244547</c:v>
                </c:pt>
                <c:pt idx="19">
                  <c:v>0.81538594094641004</c:v>
                </c:pt>
                <c:pt idx="20">
                  <c:v>0.92394744559594444</c:v>
                </c:pt>
                <c:pt idx="21">
                  <c:v>0.96101313909161301</c:v>
                </c:pt>
                <c:pt idx="22">
                  <c:v>0.85287427694628659</c:v>
                </c:pt>
                <c:pt idx="23">
                  <c:v>0.95277764120555752</c:v>
                </c:pt>
                <c:pt idx="24">
                  <c:v>1.0974324219588556</c:v>
                </c:pt>
                <c:pt idx="25">
                  <c:v>1.0309745921715041</c:v>
                </c:pt>
                <c:pt idx="26">
                  <c:v>1.1123194956874423</c:v>
                </c:pt>
                <c:pt idx="27">
                  <c:v>1.0967336494076751</c:v>
                </c:pt>
                <c:pt idx="28">
                  <c:v>1.1980822213248754</c:v>
                </c:pt>
                <c:pt idx="29">
                  <c:v>1.2014444258485828</c:v>
                </c:pt>
                <c:pt idx="30">
                  <c:v>1.3204096662418621</c:v>
                </c:pt>
                <c:pt idx="31">
                  <c:v>1.2683506657769232</c:v>
                </c:pt>
                <c:pt idx="32">
                  <c:v>1.3392011266213191</c:v>
                </c:pt>
                <c:pt idx="33">
                  <c:v>1.4119704123740677</c:v>
                </c:pt>
                <c:pt idx="34">
                  <c:v>1.3458551986079652</c:v>
                </c:pt>
                <c:pt idx="35">
                  <c:v>1.2581117729361484</c:v>
                </c:pt>
                <c:pt idx="36">
                  <c:v>1.4019185760586554</c:v>
                </c:pt>
                <c:pt idx="37">
                  <c:v>1.3470930668082197</c:v>
                </c:pt>
                <c:pt idx="38">
                  <c:v>1.1897497272868607</c:v>
                </c:pt>
                <c:pt idx="39">
                  <c:v>1.2047070470466201</c:v>
                </c:pt>
                <c:pt idx="40">
                  <c:v>1.1977725032949926</c:v>
                </c:pt>
                <c:pt idx="41">
                  <c:v>1.2001164731800069</c:v>
                </c:pt>
                <c:pt idx="42">
                  <c:v>1.2346339837328082</c:v>
                </c:pt>
                <c:pt idx="43">
                  <c:v>1.2629999704888291</c:v>
                </c:pt>
                <c:pt idx="44">
                  <c:v>1.3117303224387522</c:v>
                </c:pt>
                <c:pt idx="45">
                  <c:v>1.3529088187697607</c:v>
                </c:pt>
                <c:pt idx="46">
                  <c:v>1.4000346112752728</c:v>
                </c:pt>
                <c:pt idx="47">
                  <c:v>1.3608407581317132</c:v>
                </c:pt>
                <c:pt idx="48">
                  <c:v>1.3661143674111591</c:v>
                </c:pt>
                <c:pt idx="49">
                  <c:v>1.4033822283538753</c:v>
                </c:pt>
                <c:pt idx="50">
                  <c:v>1.4661474884792576</c:v>
                </c:pt>
                <c:pt idx="51">
                  <c:v>1.211290801371395</c:v>
                </c:pt>
                <c:pt idx="52">
                  <c:v>1.3894011568963411</c:v>
                </c:pt>
                <c:pt idx="53">
                  <c:v>1.4379252144676877</c:v>
                </c:pt>
                <c:pt idx="54">
                  <c:v>1.4822732169704238</c:v>
                </c:pt>
                <c:pt idx="55">
                  <c:v>1.4997184112376121</c:v>
                </c:pt>
                <c:pt idx="56">
                  <c:v>1.2251497084601819</c:v>
                </c:pt>
                <c:pt idx="57">
                  <c:v>1.3639630874960238</c:v>
                </c:pt>
                <c:pt idx="58">
                  <c:v>1.3663527765290899</c:v>
                </c:pt>
                <c:pt idx="59">
                  <c:v>1.4933030875893005</c:v>
                </c:pt>
                <c:pt idx="60">
                  <c:v>1.5086412178649713</c:v>
                </c:pt>
                <c:pt idx="61">
                  <c:v>1.4791645184695721</c:v>
                </c:pt>
                <c:pt idx="62">
                  <c:v>1.3490074798554337</c:v>
                </c:pt>
                <c:pt idx="63">
                  <c:v>1.2388616579297431</c:v>
                </c:pt>
                <c:pt idx="64">
                  <c:v>1.1413772445330967</c:v>
                </c:pt>
                <c:pt idx="65">
                  <c:v>0.93843250681148471</c:v>
                </c:pt>
                <c:pt idx="66">
                  <c:v>0.91901619573527527</c:v>
                </c:pt>
                <c:pt idx="67">
                  <c:v>0.9590071604330026</c:v>
                </c:pt>
                <c:pt idx="68">
                  <c:v>1.005507380527727</c:v>
                </c:pt>
                <c:pt idx="69">
                  <c:v>1.0028630344523008</c:v>
                </c:pt>
                <c:pt idx="70">
                  <c:v>0.94911970854932504</c:v>
                </c:pt>
                <c:pt idx="71">
                  <c:v>0.97715550065176981</c:v>
                </c:pt>
                <c:pt idx="72">
                  <c:v>1.0197833121576898</c:v>
                </c:pt>
                <c:pt idx="73">
                  <c:v>0.99182378075276445</c:v>
                </c:pt>
                <c:pt idx="74">
                  <c:v>0.99810388547674556</c:v>
                </c:pt>
                <c:pt idx="75">
                  <c:v>0.93891648304831898</c:v>
                </c:pt>
                <c:pt idx="76">
                  <c:v>0.91175621323828915</c:v>
                </c:pt>
                <c:pt idx="77">
                  <c:v>0.98453297612711455</c:v>
                </c:pt>
                <c:pt idx="78">
                  <c:v>0.99588439684679664</c:v>
                </c:pt>
                <c:pt idx="79">
                  <c:v>0.94039311329935982</c:v>
                </c:pt>
              </c:numCache>
            </c:numRef>
          </c:val>
          <c:smooth val="0"/>
          <c:extLst>
            <c:ext xmlns:c16="http://schemas.microsoft.com/office/drawing/2014/chart" uri="{C3380CC4-5D6E-409C-BE32-E72D297353CC}">
              <c16:uniqueId val="{00000000-C441-4E8B-A226-8220FE377C02}"/>
            </c:ext>
          </c:extLst>
        </c:ser>
        <c:dLbls>
          <c:showLegendKey val="0"/>
          <c:showVal val="0"/>
          <c:showCatName val="0"/>
          <c:showSerName val="0"/>
          <c:showPercent val="0"/>
          <c:showBubbleSize val="0"/>
        </c:dLbls>
        <c:smooth val="0"/>
        <c:axId val="1041651184"/>
        <c:axId val="1041653584"/>
      </c:lineChart>
      <c:dateAx>
        <c:axId val="1041651184"/>
        <c:scaling>
          <c:orientation val="minMax"/>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3584"/>
        <c:crosses val="autoZero"/>
        <c:auto val="1"/>
        <c:lblOffset val="100"/>
        <c:baseTimeUnit val="months"/>
        <c:majorUnit val="12"/>
        <c:majorTimeUnit val="months"/>
      </c:dateAx>
      <c:valAx>
        <c:axId val="104165358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1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Growth of indices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analysis!$BI$2</c:f>
              <c:strCache>
                <c:ptCount val="1"/>
                <c:pt idx="0">
                  <c:v>CPI (Q_st art = 100)</c:v>
                </c:pt>
              </c:strCache>
            </c:strRef>
          </c:tx>
          <c:spPr>
            <a:ln w="19050" cap="rnd">
              <a:solidFill>
                <a:schemeClr val="accent1"/>
              </a:solidFill>
              <a:prstDash val="sysDot"/>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analysis!$BI$3:$BI$82</c:f>
              <c:numCache>
                <c:formatCode>_(* #,##0.00_);_(* \(#,##0.00\);_(* "-"??_);_(@_)</c:formatCode>
                <c:ptCount val="80"/>
                <c:pt idx="0">
                  <c:v>100</c:v>
                </c:pt>
                <c:pt idx="1">
                  <c:v>101.53664302600474</c:v>
                </c:pt>
                <c:pt idx="2">
                  <c:v>102.36406619385343</c:v>
                </c:pt>
                <c:pt idx="3">
                  <c:v>102.48226950354611</c:v>
                </c:pt>
                <c:pt idx="4">
                  <c:v>102.48226950354611</c:v>
                </c:pt>
                <c:pt idx="5">
                  <c:v>103.66430260047282</c:v>
                </c:pt>
                <c:pt idx="6">
                  <c:v>104.25531914893618</c:v>
                </c:pt>
                <c:pt idx="7">
                  <c:v>105.55555555555556</c:v>
                </c:pt>
                <c:pt idx="8">
                  <c:v>106.85579196217495</c:v>
                </c:pt>
                <c:pt idx="9">
                  <c:v>108.274231678487</c:v>
                </c:pt>
                <c:pt idx="10">
                  <c:v>109.45626477541371</c:v>
                </c:pt>
                <c:pt idx="11">
                  <c:v>109.45626477541371</c:v>
                </c:pt>
                <c:pt idx="12">
                  <c:v>109.33806146572105</c:v>
                </c:pt>
                <c:pt idx="13">
                  <c:v>109.9290780141844</c:v>
                </c:pt>
                <c:pt idx="14">
                  <c:v>110.75650118203311</c:v>
                </c:pt>
                <c:pt idx="15">
                  <c:v>111.70212765957447</c:v>
                </c:pt>
                <c:pt idx="16">
                  <c:v>112.52955082742318</c:v>
                </c:pt>
                <c:pt idx="17">
                  <c:v>113.2387706855792</c:v>
                </c:pt>
                <c:pt idx="18">
                  <c:v>113.94799054373523</c:v>
                </c:pt>
                <c:pt idx="19">
                  <c:v>114.65721040189126</c:v>
                </c:pt>
                <c:pt idx="20">
                  <c:v>116.31205673758866</c:v>
                </c:pt>
                <c:pt idx="21">
                  <c:v>117.3758865248227</c:v>
                </c:pt>
                <c:pt idx="22">
                  <c:v>117.84869976359339</c:v>
                </c:pt>
                <c:pt idx="23">
                  <c:v>118.08510638297874</c:v>
                </c:pt>
                <c:pt idx="24">
                  <c:v>118.08510638297874</c:v>
                </c:pt>
                <c:pt idx="25">
                  <c:v>118.79432624113475</c:v>
                </c:pt>
                <c:pt idx="26">
                  <c:v>120.09456264775415</c:v>
                </c:pt>
                <c:pt idx="27">
                  <c:v>120.56737588652483</c:v>
                </c:pt>
                <c:pt idx="28">
                  <c:v>121.04018912529551</c:v>
                </c:pt>
                <c:pt idx="29">
                  <c:v>121.63120567375887</c:v>
                </c:pt>
                <c:pt idx="30">
                  <c:v>122.81323877068559</c:v>
                </c:pt>
                <c:pt idx="31">
                  <c:v>123.75886524822695</c:v>
                </c:pt>
                <c:pt idx="32">
                  <c:v>124.58628841607566</c:v>
                </c:pt>
                <c:pt idx="33">
                  <c:v>125.41371158392435</c:v>
                </c:pt>
                <c:pt idx="34">
                  <c:v>125.6501182033097</c:v>
                </c:pt>
                <c:pt idx="35">
                  <c:v>125.88652482269504</c:v>
                </c:pt>
                <c:pt idx="36">
                  <c:v>126.24113475177306</c:v>
                </c:pt>
                <c:pt idx="37">
                  <c:v>127.3049645390071</c:v>
                </c:pt>
                <c:pt idx="38">
                  <c:v>127.42316784869978</c:v>
                </c:pt>
                <c:pt idx="39">
                  <c:v>128.01418439716312</c:v>
                </c:pt>
                <c:pt idx="40">
                  <c:v>127.89598108747046</c:v>
                </c:pt>
                <c:pt idx="41">
                  <c:v>128.60520094562648</c:v>
                </c:pt>
                <c:pt idx="42">
                  <c:v>129.19621749408984</c:v>
                </c:pt>
                <c:pt idx="43">
                  <c:v>129.78723404255319</c:v>
                </c:pt>
                <c:pt idx="44">
                  <c:v>130.6146572104019</c:v>
                </c:pt>
                <c:pt idx="45">
                  <c:v>131.0874704491726</c:v>
                </c:pt>
                <c:pt idx="46">
                  <c:v>131.56028368794327</c:v>
                </c:pt>
                <c:pt idx="47">
                  <c:v>132.50591016548464</c:v>
                </c:pt>
                <c:pt idx="48">
                  <c:v>133.21513002364068</c:v>
                </c:pt>
                <c:pt idx="49">
                  <c:v>133.80614657210404</c:v>
                </c:pt>
                <c:pt idx="50">
                  <c:v>134.16075650118205</c:v>
                </c:pt>
                <c:pt idx="51">
                  <c:v>134.75177304964541</c:v>
                </c:pt>
                <c:pt idx="52">
                  <c:v>134.86997635933807</c:v>
                </c:pt>
                <c:pt idx="53">
                  <c:v>135.81560283687944</c:v>
                </c:pt>
                <c:pt idx="54">
                  <c:v>136.40661938534279</c:v>
                </c:pt>
                <c:pt idx="55">
                  <c:v>137.2340425531915</c:v>
                </c:pt>
                <c:pt idx="56">
                  <c:v>137.94326241134752</c:v>
                </c:pt>
                <c:pt idx="57">
                  <c:v>135.34278959810877</c:v>
                </c:pt>
                <c:pt idx="58">
                  <c:v>137.35224586288416</c:v>
                </c:pt>
                <c:pt idx="59">
                  <c:v>138.53427895981088</c:v>
                </c:pt>
                <c:pt idx="60">
                  <c:v>139.24349881796692</c:v>
                </c:pt>
                <c:pt idx="61">
                  <c:v>140.42553191489364</c:v>
                </c:pt>
                <c:pt idx="62">
                  <c:v>141.60756501182033</c:v>
                </c:pt>
                <c:pt idx="63">
                  <c:v>143.49881796690309</c:v>
                </c:pt>
                <c:pt idx="64">
                  <c:v>146.45390070921988</c:v>
                </c:pt>
                <c:pt idx="65">
                  <c:v>149.05437352245863</c:v>
                </c:pt>
                <c:pt idx="66">
                  <c:v>151.77304964539007</c:v>
                </c:pt>
                <c:pt idx="67">
                  <c:v>154.84633569739952</c:v>
                </c:pt>
                <c:pt idx="68">
                  <c:v>156.85579196217492</c:v>
                </c:pt>
                <c:pt idx="69">
                  <c:v>158.15602836879435</c:v>
                </c:pt>
                <c:pt idx="70">
                  <c:v>159.81087470449171</c:v>
                </c:pt>
                <c:pt idx="71">
                  <c:v>161.11111111111114</c:v>
                </c:pt>
                <c:pt idx="72">
                  <c:v>162.52955082742318</c:v>
                </c:pt>
                <c:pt idx="73">
                  <c:v>164.18439716312056</c:v>
                </c:pt>
                <c:pt idx="74">
                  <c:v>164.42080378250591</c:v>
                </c:pt>
                <c:pt idx="75">
                  <c:v>164.89361702127661</c:v>
                </c:pt>
                <c:pt idx="76">
                  <c:v>166.43026004728137</c:v>
                </c:pt>
                <c:pt idx="77">
                  <c:v>167.61229314420808</c:v>
                </c:pt>
                <c:pt idx="78">
                  <c:v>169.73995271867614</c:v>
                </c:pt>
                <c:pt idx="79">
                  <c:v>171.04018912529551</c:v>
                </c:pt>
              </c:numCache>
            </c:numRef>
          </c:val>
          <c:smooth val="0"/>
          <c:extLst>
            <c:ext xmlns:c16="http://schemas.microsoft.com/office/drawing/2014/chart" uri="{C3380CC4-5D6E-409C-BE32-E72D297353CC}">
              <c16:uniqueId val="{00000000-A50B-42C3-8714-611302F37D5D}"/>
            </c:ext>
          </c:extLst>
        </c:ser>
        <c:ser>
          <c:idx val="1"/>
          <c:order val="1"/>
          <c:tx>
            <c:strRef>
              <c:f>analysis!$BJ$2</c:f>
              <c:strCache>
                <c:ptCount val="1"/>
                <c:pt idx="0">
                  <c:v>MSCI World (Q_start=100)</c:v>
                </c:pt>
              </c:strCache>
            </c:strRef>
          </c:tx>
          <c:spPr>
            <a:ln w="19050" cap="rnd">
              <a:solidFill>
                <a:srgbClr val="FF0000"/>
              </a:solidFill>
              <a:prstDash val="sysDash"/>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analysis!$BJ$3:$BJ$82</c:f>
              <c:numCache>
                <c:formatCode>_(* #,##0.00_);_(* \(#,##0.00\);_(* "-"??_);_(@_)</c:formatCode>
                <c:ptCount val="80"/>
                <c:pt idx="0">
                  <c:v>100</c:v>
                </c:pt>
                <c:pt idx="1">
                  <c:v>107.21181327548136</c:v>
                </c:pt>
                <c:pt idx="2">
                  <c:v>106.3276473895915</c:v>
                </c:pt>
                <c:pt idx="3">
                  <c:v>110.63141762349176</c:v>
                </c:pt>
                <c:pt idx="4">
                  <c:v>120.09600057935597</c:v>
                </c:pt>
                <c:pt idx="5">
                  <c:v>123.47632396180853</c:v>
                </c:pt>
                <c:pt idx="6">
                  <c:v>131.37271275432553</c:v>
                </c:pt>
                <c:pt idx="7">
                  <c:v>133.77896505407139</c:v>
                </c:pt>
                <c:pt idx="8">
                  <c:v>130.28618334215415</c:v>
                </c:pt>
                <c:pt idx="9">
                  <c:v>118.56173473997831</c:v>
                </c:pt>
                <c:pt idx="10">
                  <c:v>116.8122339179194</c:v>
                </c:pt>
                <c:pt idx="11">
                  <c:v>99.043604583459881</c:v>
                </c:pt>
                <c:pt idx="12">
                  <c:v>77.099819298205958</c:v>
                </c:pt>
                <c:pt idx="13">
                  <c:v>68.031276049393796</c:v>
                </c:pt>
                <c:pt idx="14">
                  <c:v>82.709344629523997</c:v>
                </c:pt>
                <c:pt idx="15">
                  <c:v>97.613356787298372</c:v>
                </c:pt>
                <c:pt idx="16">
                  <c:v>101.43884545849789</c:v>
                </c:pt>
                <c:pt idx="17">
                  <c:v>105.26674246073921</c:v>
                </c:pt>
                <c:pt idx="18">
                  <c:v>92.224001000339641</c:v>
                </c:pt>
                <c:pt idx="19">
                  <c:v>105.03262314234105</c:v>
                </c:pt>
                <c:pt idx="20">
                  <c:v>115.17381902105713</c:v>
                </c:pt>
                <c:pt idx="21">
                  <c:v>120.92498256652478</c:v>
                </c:pt>
                <c:pt idx="22">
                  <c:v>121.31801238966038</c:v>
                </c:pt>
                <c:pt idx="23">
                  <c:v>100.5125194724593</c:v>
                </c:pt>
                <c:pt idx="24">
                  <c:v>108.22592001362189</c:v>
                </c:pt>
                <c:pt idx="25">
                  <c:v>121.02422951783765</c:v>
                </c:pt>
                <c:pt idx="26">
                  <c:v>114.69456564776658</c:v>
                </c:pt>
                <c:pt idx="27">
                  <c:v>122.39031092336657</c:v>
                </c:pt>
                <c:pt idx="28">
                  <c:v>125.60295617786929</c:v>
                </c:pt>
                <c:pt idx="29">
                  <c:v>135.74420080608061</c:v>
                </c:pt>
                <c:pt idx="30">
                  <c:v>136.51427048544301</c:v>
                </c:pt>
                <c:pt idx="31">
                  <c:v>148.29345801472445</c:v>
                </c:pt>
                <c:pt idx="32">
                  <c:v>160.03975049738099</c:v>
                </c:pt>
                <c:pt idx="33">
                  <c:v>162.39941126188398</c:v>
                </c:pt>
                <c:pt idx="34">
                  <c:v>169.95333591014156</c:v>
                </c:pt>
                <c:pt idx="35">
                  <c:v>165.23061688574342</c:v>
                </c:pt>
                <c:pt idx="36">
                  <c:v>167.2707301403058</c:v>
                </c:pt>
                <c:pt idx="37">
                  <c:v>171.61773071123525</c:v>
                </c:pt>
                <c:pt idx="38">
                  <c:v>172.41252168354035</c:v>
                </c:pt>
                <c:pt idx="39">
                  <c:v>157.54637874303378</c:v>
                </c:pt>
                <c:pt idx="40">
                  <c:v>165.94025216028786</c:v>
                </c:pt>
                <c:pt idx="41">
                  <c:v>165.57963108106787</c:v>
                </c:pt>
                <c:pt idx="42">
                  <c:v>167.38026720925703</c:v>
                </c:pt>
                <c:pt idx="43">
                  <c:v>176.05798840419337</c:v>
                </c:pt>
                <c:pt idx="44">
                  <c:v>179.53868222836397</c:v>
                </c:pt>
                <c:pt idx="45">
                  <c:v>190.70829189477206</c:v>
                </c:pt>
                <c:pt idx="46">
                  <c:v>198.44440095759853</c:v>
                </c:pt>
                <c:pt idx="47">
                  <c:v>208.42381461538773</c:v>
                </c:pt>
                <c:pt idx="48">
                  <c:v>219.81871331798365</c:v>
                </c:pt>
                <c:pt idx="49">
                  <c:v>217.22097697509543</c:v>
                </c:pt>
                <c:pt idx="50">
                  <c:v>221.43994838933332</c:v>
                </c:pt>
                <c:pt idx="51">
                  <c:v>231.53855125118753</c:v>
                </c:pt>
                <c:pt idx="52">
                  <c:v>199.12536689244348</c:v>
                </c:pt>
                <c:pt idx="53">
                  <c:v>224.29400441178427</c:v>
                </c:pt>
                <c:pt idx="54">
                  <c:v>232.67927539772964</c:v>
                </c:pt>
                <c:pt idx="55">
                  <c:v>233.51467999842427</c:v>
                </c:pt>
                <c:pt idx="56">
                  <c:v>253.84774076246714</c:v>
                </c:pt>
                <c:pt idx="57">
                  <c:v>197.57431493271579</c:v>
                </c:pt>
                <c:pt idx="58">
                  <c:v>236.96380335804304</c:v>
                </c:pt>
                <c:pt idx="59">
                  <c:v>255.62200142666194</c:v>
                </c:pt>
                <c:pt idx="60">
                  <c:v>294.21119204132276</c:v>
                </c:pt>
                <c:pt idx="61">
                  <c:v>310.32570304776715</c:v>
                </c:pt>
                <c:pt idx="62">
                  <c:v>333.24601225717834</c:v>
                </c:pt>
                <c:pt idx="63">
                  <c:v>332.61139848165806</c:v>
                </c:pt>
                <c:pt idx="64">
                  <c:v>356.10864207060962</c:v>
                </c:pt>
                <c:pt idx="65">
                  <c:v>337.17844659073722</c:v>
                </c:pt>
                <c:pt idx="66">
                  <c:v>282.19695630380454</c:v>
                </c:pt>
                <c:pt idx="67">
                  <c:v>265.04184479821646</c:v>
                </c:pt>
                <c:pt idx="68">
                  <c:v>291.23097351744474</c:v>
                </c:pt>
                <c:pt idx="69">
                  <c:v>312.59977188601005</c:v>
                </c:pt>
                <c:pt idx="70">
                  <c:v>332.68981469417383</c:v>
                </c:pt>
                <c:pt idx="71">
                  <c:v>320.84385519322234</c:v>
                </c:pt>
                <c:pt idx="72">
                  <c:v>357.853121032302</c:v>
                </c:pt>
                <c:pt idx="73">
                  <c:v>387.88856492244037</c:v>
                </c:pt>
                <c:pt idx="74">
                  <c:v>395.87730618942362</c:v>
                </c:pt>
                <c:pt idx="75">
                  <c:v>422.28036080842037</c:v>
                </c:pt>
                <c:pt idx="76">
                  <c:v>420.53742778860141</c:v>
                </c:pt>
                <c:pt idx="77">
                  <c:v>412.17488625480973</c:v>
                </c:pt>
                <c:pt idx="78">
                  <c:v>459.51259359156273</c:v>
                </c:pt>
                <c:pt idx="79">
                  <c:v>493.52641662486235</c:v>
                </c:pt>
              </c:numCache>
            </c:numRef>
          </c:val>
          <c:smooth val="0"/>
          <c:extLst>
            <c:ext xmlns:c16="http://schemas.microsoft.com/office/drawing/2014/chart" uri="{C3380CC4-5D6E-409C-BE32-E72D297353CC}">
              <c16:uniqueId val="{00000001-A50B-42C3-8714-611302F37D5D}"/>
            </c:ext>
          </c:extLst>
        </c:ser>
        <c:ser>
          <c:idx val="2"/>
          <c:order val="2"/>
          <c:tx>
            <c:strRef>
              <c:f>analysis!$BK$2</c:f>
              <c:strCache>
                <c:ptCount val="1"/>
                <c:pt idx="0">
                  <c:v>MSCI Aus (Q_start=100)</c:v>
                </c:pt>
              </c:strCache>
            </c:strRef>
          </c:tx>
          <c:spPr>
            <a:ln w="19050" cap="rnd">
              <a:solidFill>
                <a:srgbClr val="FFC000"/>
              </a:solidFill>
              <a:prstDash val="sysDash"/>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analysis!$BK$3:$BK$82</c:f>
              <c:numCache>
                <c:formatCode>_(* #,##0.00_);_(* \(#,##0.00\);_(* "-"??_);_(@_)</c:formatCode>
                <c:ptCount val="80"/>
                <c:pt idx="0">
                  <c:v>100</c:v>
                </c:pt>
                <c:pt idx="1">
                  <c:v>109.43777704215839</c:v>
                </c:pt>
                <c:pt idx="2">
                  <c:v>109.40737896360702</c:v>
                </c:pt>
                <c:pt idx="3">
                  <c:v>112.38286632194978</c:v>
                </c:pt>
                <c:pt idx="4">
                  <c:v>124.17613208738743</c:v>
                </c:pt>
                <c:pt idx="5">
                  <c:v>132.69921485097811</c:v>
                </c:pt>
                <c:pt idx="6">
                  <c:v>140.39895396273877</c:v>
                </c:pt>
                <c:pt idx="7">
                  <c:v>148.82638625649071</c:v>
                </c:pt>
                <c:pt idx="8">
                  <c:v>144.48567514971225</c:v>
                </c:pt>
                <c:pt idx="9">
                  <c:v>123.59997274839783</c:v>
                </c:pt>
                <c:pt idx="10">
                  <c:v>121.6640528293176</c:v>
                </c:pt>
                <c:pt idx="11">
                  <c:v>108.80667337781247</c:v>
                </c:pt>
                <c:pt idx="12">
                  <c:v>88.457223238272576</c:v>
                </c:pt>
                <c:pt idx="13">
                  <c:v>87.193141601016094</c:v>
                </c:pt>
                <c:pt idx="14">
                  <c:v>97.403235040312381</c:v>
                </c:pt>
                <c:pt idx="15">
                  <c:v>119.1353557212046</c:v>
                </c:pt>
                <c:pt idx="16">
                  <c:v>123.19736332992677</c:v>
                </c:pt>
                <c:pt idx="17">
                  <c:v>125.3374922739123</c:v>
                </c:pt>
                <c:pt idx="18">
                  <c:v>110.35324724491825</c:v>
                </c:pt>
                <c:pt idx="19">
                  <c:v>120.0536367556367</c:v>
                </c:pt>
                <c:pt idx="20">
                  <c:v>125.49815500810108</c:v>
                </c:pt>
                <c:pt idx="21">
                  <c:v>129.68345419378869</c:v>
                </c:pt>
                <c:pt idx="22">
                  <c:v>124.0087645939373</c:v>
                </c:pt>
                <c:pt idx="23">
                  <c:v>108.87999919579919</c:v>
                </c:pt>
                <c:pt idx="24">
                  <c:v>110.87585715480799</c:v>
                </c:pt>
                <c:pt idx="25">
                  <c:v>120.41856784515979</c:v>
                </c:pt>
                <c:pt idx="26">
                  <c:v>114.04557676875227</c:v>
                </c:pt>
                <c:pt idx="27">
                  <c:v>123.89771163615318</c:v>
                </c:pt>
                <c:pt idx="28">
                  <c:v>132.36398333992017</c:v>
                </c:pt>
                <c:pt idx="29">
                  <c:v>143.28610714873224</c:v>
                </c:pt>
                <c:pt idx="30">
                  <c:v>138.62721424474736</c:v>
                </c:pt>
                <c:pt idx="31">
                  <c:v>152.66830069587706</c:v>
                </c:pt>
                <c:pt idx="32">
                  <c:v>157.76103200341271</c:v>
                </c:pt>
                <c:pt idx="33">
                  <c:v>161.2354750851913</c:v>
                </c:pt>
                <c:pt idx="34">
                  <c:v>162.46513216960426</c:v>
                </c:pt>
                <c:pt idx="35">
                  <c:v>161.38782945540277</c:v>
                </c:pt>
                <c:pt idx="36">
                  <c:v>165.69455180045574</c:v>
                </c:pt>
                <c:pt idx="37">
                  <c:v>182.61005769685053</c:v>
                </c:pt>
                <c:pt idx="38">
                  <c:v>170.44045986176764</c:v>
                </c:pt>
                <c:pt idx="39">
                  <c:v>158.66764710457753</c:v>
                </c:pt>
                <c:pt idx="40">
                  <c:v>168.89654464308245</c:v>
                </c:pt>
                <c:pt idx="41">
                  <c:v>164.2694131551666</c:v>
                </c:pt>
                <c:pt idx="42">
                  <c:v>170.90526341934137</c:v>
                </c:pt>
                <c:pt idx="43">
                  <c:v>180.16224914289867</c:v>
                </c:pt>
                <c:pt idx="44">
                  <c:v>190.24428072652827</c:v>
                </c:pt>
                <c:pt idx="45">
                  <c:v>199.74135734026328</c:v>
                </c:pt>
                <c:pt idx="46">
                  <c:v>195.91744470681382</c:v>
                </c:pt>
                <c:pt idx="47">
                  <c:v>197.90470802901882</c:v>
                </c:pt>
                <c:pt idx="48">
                  <c:v>213.4075008673008</c:v>
                </c:pt>
                <c:pt idx="49">
                  <c:v>204.91246989522486</c:v>
                </c:pt>
                <c:pt idx="50">
                  <c:v>223.12344546999952</c:v>
                </c:pt>
                <c:pt idx="51">
                  <c:v>225.85612452035926</c:v>
                </c:pt>
                <c:pt idx="52">
                  <c:v>207.31821485814123</c:v>
                </c:pt>
                <c:pt idx="53">
                  <c:v>229.67176750188432</c:v>
                </c:pt>
                <c:pt idx="54">
                  <c:v>248.12447403942869</c:v>
                </c:pt>
                <c:pt idx="55">
                  <c:v>254.96097743007783</c:v>
                </c:pt>
                <c:pt idx="56">
                  <c:v>255.20796804239237</c:v>
                </c:pt>
                <c:pt idx="57">
                  <c:v>194.19317115542438</c:v>
                </c:pt>
                <c:pt idx="58">
                  <c:v>227.4505971191806</c:v>
                </c:pt>
                <c:pt idx="59">
                  <c:v>227.36090830549944</c:v>
                </c:pt>
                <c:pt idx="60">
                  <c:v>259.41837017103796</c:v>
                </c:pt>
                <c:pt idx="61">
                  <c:v>270.82530227131878</c:v>
                </c:pt>
                <c:pt idx="62">
                  <c:v>293.85946989254734</c:v>
                </c:pt>
                <c:pt idx="63">
                  <c:v>298.0712046415382</c:v>
                </c:pt>
                <c:pt idx="64">
                  <c:v>304.79207204421903</c:v>
                </c:pt>
                <c:pt idx="65">
                  <c:v>312.58655539910018</c:v>
                </c:pt>
                <c:pt idx="66">
                  <c:v>274.82320356188706</c:v>
                </c:pt>
                <c:pt idx="67">
                  <c:v>276.05705641569335</c:v>
                </c:pt>
                <c:pt idx="68">
                  <c:v>301.55345339164973</c:v>
                </c:pt>
                <c:pt idx="69">
                  <c:v>311.62364652090639</c:v>
                </c:pt>
                <c:pt idx="70">
                  <c:v>314.94298415201342</c:v>
                </c:pt>
                <c:pt idx="71">
                  <c:v>313.52753796685647</c:v>
                </c:pt>
                <c:pt idx="72">
                  <c:v>340.36923194250375</c:v>
                </c:pt>
                <c:pt idx="73">
                  <c:v>359.54771555567845</c:v>
                </c:pt>
                <c:pt idx="74">
                  <c:v>355.47322120595709</c:v>
                </c:pt>
                <c:pt idx="75">
                  <c:v>382.61865149208802</c:v>
                </c:pt>
                <c:pt idx="76">
                  <c:v>378.39451205481896</c:v>
                </c:pt>
                <c:pt idx="77">
                  <c:v>367.43945130198153</c:v>
                </c:pt>
                <c:pt idx="78">
                  <c:v>401.88211128753886</c:v>
                </c:pt>
                <c:pt idx="79">
                  <c:v>420.35884917353138</c:v>
                </c:pt>
              </c:numCache>
            </c:numRef>
          </c:val>
          <c:smooth val="0"/>
          <c:extLst>
            <c:ext xmlns:c16="http://schemas.microsoft.com/office/drawing/2014/chart" uri="{C3380CC4-5D6E-409C-BE32-E72D297353CC}">
              <c16:uniqueId val="{00000002-A50B-42C3-8714-611302F37D5D}"/>
            </c:ext>
          </c:extLst>
        </c:ser>
        <c:ser>
          <c:idx val="3"/>
          <c:order val="3"/>
          <c:tx>
            <c:strRef>
              <c:f>analysis!$BL$2</c:f>
              <c:strCache>
                <c:ptCount val="1"/>
                <c:pt idx="0">
                  <c:v>Portfolio index (Q_start=100)</c:v>
                </c:pt>
              </c:strCache>
            </c:strRef>
          </c:tx>
          <c:spPr>
            <a:ln w="19050" cap="rnd">
              <a:solidFill>
                <a:schemeClr val="accent4"/>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analysis!$BL$3:$BL$82</c:f>
              <c:numCache>
                <c:formatCode>_(* #,##0.00_);_(* \(#,##0.00\);_(* "-"??_);_(@_)</c:formatCode>
                <c:ptCount val="80"/>
                <c:pt idx="0">
                  <c:v>100</c:v>
                </c:pt>
                <c:pt idx="1">
                  <c:v>107.87960240548446</c:v>
                </c:pt>
                <c:pt idx="2">
                  <c:v>107.25156686179616</c:v>
                </c:pt>
                <c:pt idx="3">
                  <c:v>111.15685223302917</c:v>
                </c:pt>
                <c:pt idx="4">
                  <c:v>121.32004003176542</c:v>
                </c:pt>
                <c:pt idx="5">
                  <c:v>126.2431912285594</c:v>
                </c:pt>
                <c:pt idx="6">
                  <c:v>134.08058511684951</c:v>
                </c:pt>
                <c:pt idx="7">
                  <c:v>138.29319141479718</c:v>
                </c:pt>
                <c:pt idx="8">
                  <c:v>134.54603088442158</c:v>
                </c:pt>
                <c:pt idx="9">
                  <c:v>120.07320614250416</c:v>
                </c:pt>
                <c:pt idx="10">
                  <c:v>118.26777959133886</c:v>
                </c:pt>
                <c:pt idx="11">
                  <c:v>101.97252522176566</c:v>
                </c:pt>
                <c:pt idx="12">
                  <c:v>80.507040480225939</c:v>
                </c:pt>
                <c:pt idx="13">
                  <c:v>73.779835714880477</c:v>
                </c:pt>
                <c:pt idx="14">
                  <c:v>87.117511752760507</c:v>
                </c:pt>
                <c:pt idx="15">
                  <c:v>104.06995646747023</c:v>
                </c:pt>
                <c:pt idx="16">
                  <c:v>107.96640081992655</c:v>
                </c:pt>
                <c:pt idx="17">
                  <c:v>111.28796740469113</c:v>
                </c:pt>
                <c:pt idx="18">
                  <c:v>97.662774873713232</c:v>
                </c:pt>
                <c:pt idx="19">
                  <c:v>109.53892722632975</c:v>
                </c:pt>
                <c:pt idx="20">
                  <c:v>118.2711198171703</c:v>
                </c:pt>
                <c:pt idx="21">
                  <c:v>123.55252405470395</c:v>
                </c:pt>
                <c:pt idx="22">
                  <c:v>122.12523805094347</c:v>
                </c:pt>
                <c:pt idx="23">
                  <c:v>103.02276338946128</c:v>
                </c:pt>
                <c:pt idx="24">
                  <c:v>109.02090115597773</c:v>
                </c:pt>
                <c:pt idx="25">
                  <c:v>120.8425310160343</c:v>
                </c:pt>
                <c:pt idx="26">
                  <c:v>114.49986898406229</c:v>
                </c:pt>
                <c:pt idx="27">
                  <c:v>122.84253113720254</c:v>
                </c:pt>
                <c:pt idx="28">
                  <c:v>127.63126432648455</c:v>
                </c:pt>
                <c:pt idx="29">
                  <c:v>138.0067727088761</c:v>
                </c:pt>
                <c:pt idx="30">
                  <c:v>137.14815361323431</c:v>
                </c:pt>
                <c:pt idx="31">
                  <c:v>149.60591081907023</c:v>
                </c:pt>
                <c:pt idx="32">
                  <c:v>159.3561349491905</c:v>
                </c:pt>
                <c:pt idx="33">
                  <c:v>162.05023040887616</c:v>
                </c:pt>
                <c:pt idx="34">
                  <c:v>167.70687478798038</c:v>
                </c:pt>
                <c:pt idx="35">
                  <c:v>164.07778065664121</c:v>
                </c:pt>
                <c:pt idx="36">
                  <c:v>166.79787663835077</c:v>
                </c:pt>
                <c:pt idx="37">
                  <c:v>174.91542880691983</c:v>
                </c:pt>
                <c:pt idx="38">
                  <c:v>171.82090313700854</c:v>
                </c:pt>
                <c:pt idx="39">
                  <c:v>157.88275925149691</c:v>
                </c:pt>
                <c:pt idx="40">
                  <c:v>166.82713990512624</c:v>
                </c:pt>
                <c:pt idx="41">
                  <c:v>165.1865657032975</c:v>
                </c:pt>
                <c:pt idx="42">
                  <c:v>168.43776607228233</c:v>
                </c:pt>
                <c:pt idx="43">
                  <c:v>177.28926662580494</c:v>
                </c:pt>
                <c:pt idx="44">
                  <c:v>182.75036177781325</c:v>
                </c:pt>
                <c:pt idx="45">
                  <c:v>193.41821152841945</c:v>
                </c:pt>
                <c:pt idx="46">
                  <c:v>197.68631408236314</c:v>
                </c:pt>
                <c:pt idx="47">
                  <c:v>205.26808263947706</c:v>
                </c:pt>
                <c:pt idx="48">
                  <c:v>217.89534958277881</c:v>
                </c:pt>
                <c:pt idx="49">
                  <c:v>213.52842485113428</c:v>
                </c:pt>
                <c:pt idx="50">
                  <c:v>221.94499751353317</c:v>
                </c:pt>
                <c:pt idx="51">
                  <c:v>229.83382323193905</c:v>
                </c:pt>
                <c:pt idx="52">
                  <c:v>201.58322128215281</c:v>
                </c:pt>
                <c:pt idx="53">
                  <c:v>225.90733333881428</c:v>
                </c:pt>
                <c:pt idx="54">
                  <c:v>237.31283499023937</c:v>
                </c:pt>
                <c:pt idx="55">
                  <c:v>239.94856922792033</c:v>
                </c:pt>
                <c:pt idx="56">
                  <c:v>254.25580894644472</c:v>
                </c:pt>
                <c:pt idx="57">
                  <c:v>196.55997179952837</c:v>
                </c:pt>
                <c:pt idx="58">
                  <c:v>234.10984148638431</c:v>
                </c:pt>
                <c:pt idx="59">
                  <c:v>247.14367349031318</c:v>
                </c:pt>
                <c:pt idx="60">
                  <c:v>283.77334548023731</c:v>
                </c:pt>
                <c:pt idx="61">
                  <c:v>298.47558281483265</c:v>
                </c:pt>
                <c:pt idx="62">
                  <c:v>321.43004954778905</c:v>
                </c:pt>
                <c:pt idx="63">
                  <c:v>322.2493403296221</c:v>
                </c:pt>
                <c:pt idx="64">
                  <c:v>340.71367106269247</c:v>
                </c:pt>
                <c:pt idx="65">
                  <c:v>329.80087923324612</c:v>
                </c:pt>
                <c:pt idx="66">
                  <c:v>279.98483048122927</c:v>
                </c:pt>
                <c:pt idx="67">
                  <c:v>268.34640828345954</c:v>
                </c:pt>
                <c:pt idx="68">
                  <c:v>294.32771747970622</c:v>
                </c:pt>
                <c:pt idx="69">
                  <c:v>312.30693427647896</c:v>
                </c:pt>
                <c:pt idx="70">
                  <c:v>327.36576553152571</c:v>
                </c:pt>
                <c:pt idx="71">
                  <c:v>318.64896002531259</c:v>
                </c:pt>
                <c:pt idx="72">
                  <c:v>352.60795430536251</c:v>
                </c:pt>
                <c:pt idx="73">
                  <c:v>379.38631011241176</c:v>
                </c:pt>
                <c:pt idx="74">
                  <c:v>383.75608069438363</c:v>
                </c:pt>
                <c:pt idx="75">
                  <c:v>410.38184801352065</c:v>
                </c:pt>
                <c:pt idx="76">
                  <c:v>407.89455306846668</c:v>
                </c:pt>
                <c:pt idx="77">
                  <c:v>398.75425576896129</c:v>
                </c:pt>
                <c:pt idx="78">
                  <c:v>442.22344890035555</c:v>
                </c:pt>
                <c:pt idx="79">
                  <c:v>471.57614638946308</c:v>
                </c:pt>
              </c:numCache>
            </c:numRef>
          </c:val>
          <c:smooth val="0"/>
          <c:extLst>
            <c:ext xmlns:c16="http://schemas.microsoft.com/office/drawing/2014/chart" uri="{C3380CC4-5D6E-409C-BE32-E72D297353CC}">
              <c16:uniqueId val="{00000003-A50B-42C3-8714-611302F37D5D}"/>
            </c:ext>
          </c:extLst>
        </c:ser>
        <c:ser>
          <c:idx val="5"/>
          <c:order val="4"/>
          <c:tx>
            <c:strRef>
              <c:f>analysis!$BN$2</c:f>
              <c:strCache>
                <c:ptCount val="1"/>
                <c:pt idx="0">
                  <c:v>Median home price (Q_start = 100)</c:v>
                </c:pt>
              </c:strCache>
            </c:strRef>
          </c:tx>
          <c:spPr>
            <a:ln w="19050" cap="rnd">
              <a:solidFill>
                <a:schemeClr val="accent6"/>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analysis!$BN$3:$BN$82</c:f>
              <c:numCache>
                <c:formatCode>_(* #,##0.00_);_(* \(#,##0.00\);_(* "-"??_);_(@_)</c:formatCode>
                <c:ptCount val="80"/>
                <c:pt idx="0">
                  <c:v>100</c:v>
                </c:pt>
                <c:pt idx="1">
                  <c:v>102.14285714285714</c:v>
                </c:pt>
                <c:pt idx="2">
                  <c:v>103.57142857142857</c:v>
                </c:pt>
                <c:pt idx="3">
                  <c:v>107.14285714285714</c:v>
                </c:pt>
                <c:pt idx="4">
                  <c:v>108.92857142857143</c:v>
                </c:pt>
                <c:pt idx="5">
                  <c:v>112.5</c:v>
                </c:pt>
                <c:pt idx="6">
                  <c:v>119.64285714285714</c:v>
                </c:pt>
                <c:pt idx="7">
                  <c:v>127.85714285714286</c:v>
                </c:pt>
                <c:pt idx="8">
                  <c:v>128.57142857142858</c:v>
                </c:pt>
                <c:pt idx="9">
                  <c:v>130.35714285714286</c:v>
                </c:pt>
                <c:pt idx="10">
                  <c:v>128.57142857142858</c:v>
                </c:pt>
                <c:pt idx="11">
                  <c:v>126.78571428571429</c:v>
                </c:pt>
                <c:pt idx="12">
                  <c:v>126.25</c:v>
                </c:pt>
                <c:pt idx="13">
                  <c:v>129.64285714285714</c:v>
                </c:pt>
                <c:pt idx="14">
                  <c:v>132.14285714285714</c:v>
                </c:pt>
                <c:pt idx="15">
                  <c:v>142.42857142857142</c:v>
                </c:pt>
                <c:pt idx="16">
                  <c:v>143.57142857142858</c:v>
                </c:pt>
                <c:pt idx="17">
                  <c:v>146.42857142857142</c:v>
                </c:pt>
                <c:pt idx="18">
                  <c:v>142.85714285714286</c:v>
                </c:pt>
                <c:pt idx="19">
                  <c:v>146.42857142857142</c:v>
                </c:pt>
                <c:pt idx="20">
                  <c:v>142.85714285714286</c:v>
                </c:pt>
                <c:pt idx="21">
                  <c:v>141.07142857142858</c:v>
                </c:pt>
                <c:pt idx="22">
                  <c:v>139.28571428571428</c:v>
                </c:pt>
                <c:pt idx="23">
                  <c:v>137.5</c:v>
                </c:pt>
                <c:pt idx="24">
                  <c:v>136.42857142857142</c:v>
                </c:pt>
                <c:pt idx="25">
                  <c:v>137.5</c:v>
                </c:pt>
                <c:pt idx="26">
                  <c:v>137.85714285714286</c:v>
                </c:pt>
                <c:pt idx="27">
                  <c:v>141.07142857142858</c:v>
                </c:pt>
                <c:pt idx="28">
                  <c:v>141.07142857142858</c:v>
                </c:pt>
                <c:pt idx="29">
                  <c:v>141.07142857142858</c:v>
                </c:pt>
                <c:pt idx="30">
                  <c:v>141.07142857142858</c:v>
                </c:pt>
                <c:pt idx="31">
                  <c:v>147.14285714285714</c:v>
                </c:pt>
                <c:pt idx="32">
                  <c:v>145.35714285714286</c:v>
                </c:pt>
                <c:pt idx="33">
                  <c:v>144.64285714285714</c:v>
                </c:pt>
                <c:pt idx="34">
                  <c:v>146.42857142857142</c:v>
                </c:pt>
                <c:pt idx="35">
                  <c:v>151.78571428571428</c:v>
                </c:pt>
                <c:pt idx="36">
                  <c:v>148.39285714285714</c:v>
                </c:pt>
                <c:pt idx="37">
                  <c:v>150</c:v>
                </c:pt>
                <c:pt idx="38">
                  <c:v>152.67857142857142</c:v>
                </c:pt>
                <c:pt idx="39">
                  <c:v>155.71428571428572</c:v>
                </c:pt>
                <c:pt idx="40">
                  <c:v>155.71428571428572</c:v>
                </c:pt>
                <c:pt idx="41">
                  <c:v>157.14285714285714</c:v>
                </c:pt>
                <c:pt idx="42">
                  <c:v>158.92857142857142</c:v>
                </c:pt>
                <c:pt idx="43">
                  <c:v>159.64285714285714</c:v>
                </c:pt>
                <c:pt idx="44">
                  <c:v>161.17857142857142</c:v>
                </c:pt>
                <c:pt idx="45">
                  <c:v>160.71428571428572</c:v>
                </c:pt>
                <c:pt idx="46">
                  <c:v>161.07142857142858</c:v>
                </c:pt>
                <c:pt idx="47">
                  <c:v>167.85714285714286</c:v>
                </c:pt>
                <c:pt idx="48">
                  <c:v>166.07142857142858</c:v>
                </c:pt>
                <c:pt idx="49">
                  <c:v>167.14285714285714</c:v>
                </c:pt>
                <c:pt idx="50">
                  <c:v>166.53571428571428</c:v>
                </c:pt>
                <c:pt idx="51">
                  <c:v>171.42857142857142</c:v>
                </c:pt>
                <c:pt idx="52">
                  <c:v>169.64285714285714</c:v>
                </c:pt>
                <c:pt idx="53">
                  <c:v>170.89285714285714</c:v>
                </c:pt>
                <c:pt idx="54">
                  <c:v>169.28571428571428</c:v>
                </c:pt>
                <c:pt idx="55">
                  <c:v>173.21428571428572</c:v>
                </c:pt>
                <c:pt idx="56">
                  <c:v>168.57142857142858</c:v>
                </c:pt>
                <c:pt idx="57">
                  <c:v>174.10714285714286</c:v>
                </c:pt>
                <c:pt idx="58">
                  <c:v>178.57142857142858</c:v>
                </c:pt>
                <c:pt idx="59">
                  <c:v>183.03571428571428</c:v>
                </c:pt>
                <c:pt idx="60">
                  <c:v>186.78571428571428</c:v>
                </c:pt>
                <c:pt idx="61">
                  <c:v>196.42857142857142</c:v>
                </c:pt>
                <c:pt idx="62">
                  <c:v>207.14285714285714</c:v>
                </c:pt>
                <c:pt idx="63">
                  <c:v>225</c:v>
                </c:pt>
                <c:pt idx="64">
                  <c:v>232.14285714285714</c:v>
                </c:pt>
                <c:pt idx="65">
                  <c:v>236.78571428571428</c:v>
                </c:pt>
                <c:pt idx="66">
                  <c:v>233.57142857142858</c:v>
                </c:pt>
                <c:pt idx="67">
                  <c:v>241.07142857142858</c:v>
                </c:pt>
                <c:pt idx="68">
                  <c:v>242.85714285714286</c:v>
                </c:pt>
                <c:pt idx="69">
                  <c:v>250.71428571428572</c:v>
                </c:pt>
                <c:pt idx="70">
                  <c:v>255.35714285714286</c:v>
                </c:pt>
                <c:pt idx="71">
                  <c:v>267.85714285714283</c:v>
                </c:pt>
                <c:pt idx="72">
                  <c:v>273.21428571428572</c:v>
                </c:pt>
                <c:pt idx="73">
                  <c:v>280.35714285714283</c:v>
                </c:pt>
                <c:pt idx="74">
                  <c:v>292.25</c:v>
                </c:pt>
                <c:pt idx="75">
                  <c:v>303.57142857142856</c:v>
                </c:pt>
                <c:pt idx="76">
                  <c:v>304.64285714285717</c:v>
                </c:pt>
                <c:pt idx="77">
                  <c:v>310</c:v>
                </c:pt>
                <c:pt idx="78">
                  <c:v>321.42857142857144</c:v>
                </c:pt>
                <c:pt idx="79">
                  <c:v>339.28571428571428</c:v>
                </c:pt>
              </c:numCache>
            </c:numRef>
          </c:val>
          <c:smooth val="0"/>
          <c:extLst>
            <c:ext xmlns:c16="http://schemas.microsoft.com/office/drawing/2014/chart" uri="{C3380CC4-5D6E-409C-BE32-E72D297353CC}">
              <c16:uniqueId val="{00000007-A50B-42C3-8714-611302F37D5D}"/>
            </c:ext>
          </c:extLst>
        </c:ser>
        <c:ser>
          <c:idx val="6"/>
          <c:order val="5"/>
          <c:tx>
            <c:strRef>
              <c:f>analysis!$BO$2</c:f>
              <c:strCache>
                <c:ptCount val="1"/>
                <c:pt idx="0">
                  <c:v>Adjusted home price (Q_start = 100)</c:v>
                </c:pt>
              </c:strCache>
            </c:strRef>
          </c:tx>
          <c:spPr>
            <a:ln w="19050" cap="rnd">
              <a:solidFill>
                <a:schemeClr val="accent1">
                  <a:lumMod val="60000"/>
                </a:schemeClr>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analysis!$BO$3:$BO$82</c:f>
              <c:numCache>
                <c:formatCode>General</c:formatCode>
                <c:ptCount val="80"/>
                <c:pt idx="0">
                  <c:v>100</c:v>
                </c:pt>
                <c:pt idx="1">
                  <c:v>101.59685959801389</c:v>
                </c:pt>
                <c:pt idx="2">
                  <c:v>102.47128016269994</c:v>
                </c:pt>
                <c:pt idx="3">
                  <c:v>105.48984041481155</c:v>
                </c:pt>
                <c:pt idx="4">
                  <c:v>106.70757067736675</c:v>
                </c:pt>
                <c:pt idx="5">
                  <c:v>109.71032814818886</c:v>
                </c:pt>
                <c:pt idx="6">
                  <c:v>116.2831400355448</c:v>
                </c:pt>
                <c:pt idx="7">
                  <c:v>123.90905842906612</c:v>
                </c:pt>
                <c:pt idx="8">
                  <c:v>123.99150772275051</c:v>
                </c:pt>
                <c:pt idx="9">
                  <c:v>125.14602686014767</c:v>
                </c:pt>
                <c:pt idx="10">
                  <c:v>122.7146887997215</c:v>
                </c:pt>
                <c:pt idx="11">
                  <c:v>120.28861833305851</c:v>
                </c:pt>
                <c:pt idx="12">
                  <c:v>119.12102182157973</c:v>
                </c:pt>
                <c:pt idx="13">
                  <c:v>121.89365415269609</c:v>
                </c:pt>
                <c:pt idx="14">
                  <c:v>123.76113065464739</c:v>
                </c:pt>
                <c:pt idx="15">
                  <c:v>133.42691786218143</c:v>
                </c:pt>
                <c:pt idx="16">
                  <c:v>133.89605434324557</c:v>
                </c:pt>
                <c:pt idx="17">
                  <c:v>136.08050257425018</c:v>
                </c:pt>
                <c:pt idx="18">
                  <c:v>131.8114613679254</c:v>
                </c:pt>
                <c:pt idx="19">
                  <c:v>134.71413455724729</c:v>
                </c:pt>
                <c:pt idx="20">
                  <c:v>130.44509335092252</c:v>
                </c:pt>
                <c:pt idx="21">
                  <c:v>127.97688213415417</c:v>
                </c:pt>
                <c:pt idx="22">
                  <c:v>125.51393851114898</c:v>
                </c:pt>
                <c:pt idx="23">
                  <c:v>123.05626248190696</c:v>
                </c:pt>
                <c:pt idx="24">
                  <c:v>121.31997196724015</c:v>
                </c:pt>
                <c:pt idx="25">
                  <c:v>121.73519577126734</c:v>
                </c:pt>
                <c:pt idx="26">
                  <c:v>121.43114109822459</c:v>
                </c:pt>
                <c:pt idx="27">
                  <c:v>123.99050458967734</c:v>
                </c:pt>
                <c:pt idx="28">
                  <c:v>123.31785576870224</c:v>
                </c:pt>
                <c:pt idx="29">
                  <c:v>122.64520694772715</c:v>
                </c:pt>
                <c:pt idx="30">
                  <c:v>121.97255812675205</c:v>
                </c:pt>
                <c:pt idx="31">
                  <c:v>127.38691163267923</c:v>
                </c:pt>
                <c:pt idx="32">
                  <c:v>124.90605819087928</c:v>
                </c:pt>
                <c:pt idx="33">
                  <c:v>123.50464922406054</c:v>
                </c:pt>
                <c:pt idx="34">
                  <c:v>124.61176001758918</c:v>
                </c:pt>
                <c:pt idx="35">
                  <c:v>129.29419282141484</c:v>
                </c:pt>
                <c:pt idx="36">
                  <c:v>125.18837831400356</c:v>
                </c:pt>
                <c:pt idx="37">
                  <c:v>126.10539768042653</c:v>
                </c:pt>
                <c:pt idx="38">
                  <c:v>128.09185309368073</c:v>
                </c:pt>
                <c:pt idx="39">
                  <c:v>130.42846607669617</c:v>
                </c:pt>
                <c:pt idx="40">
                  <c:v>129.71262298686307</c:v>
                </c:pt>
                <c:pt idx="41">
                  <c:v>130.42901573865407</c:v>
                </c:pt>
                <c:pt idx="42">
                  <c:v>131.49925337584054</c:v>
                </c:pt>
                <c:pt idx="43">
                  <c:v>131.49004653804576</c:v>
                </c:pt>
                <c:pt idx="44">
                  <c:v>132.30226827167959</c:v>
                </c:pt>
                <c:pt idx="45">
                  <c:v>131.10482969640339</c:v>
                </c:pt>
                <c:pt idx="46">
                  <c:v>130.73229630443944</c:v>
                </c:pt>
                <c:pt idx="47">
                  <c:v>136.80377068103115</c:v>
                </c:pt>
                <c:pt idx="48">
                  <c:v>134.26181315157845</c:v>
                </c:pt>
                <c:pt idx="49">
                  <c:v>134.58959489913704</c:v>
                </c:pt>
                <c:pt idx="50">
                  <c:v>133.23133897652943</c:v>
                </c:pt>
                <c:pt idx="51">
                  <c:v>137.38898202605398</c:v>
                </c:pt>
                <c:pt idx="52">
                  <c:v>134.83648930907492</c:v>
                </c:pt>
                <c:pt idx="53">
                  <c:v>135.33276534931016</c:v>
                </c:pt>
                <c:pt idx="54">
                  <c:v>132.96088239066307</c:v>
                </c:pt>
                <c:pt idx="55">
                  <c:v>136.14365415269609</c:v>
                </c:pt>
                <c:pt idx="56">
                  <c:v>130.72142215870574</c:v>
                </c:pt>
                <c:pt idx="57">
                  <c:v>135.51756628007109</c:v>
                </c:pt>
                <c:pt idx="58">
                  <c:v>139.22320397955258</c:v>
                </c:pt>
                <c:pt idx="59">
                  <c:v>142.91567269462612</c:v>
                </c:pt>
                <c:pt idx="60">
                  <c:v>145.87885450447973</c:v>
                </c:pt>
                <c:pt idx="61">
                  <c:v>154.73894721412998</c:v>
                </c:pt>
                <c:pt idx="62">
                  <c:v>164.64477179867714</c:v>
                </c:pt>
                <c:pt idx="63">
                  <c:v>181.68017002876564</c:v>
                </c:pt>
                <c:pt idx="64">
                  <c:v>187.92112350904193</c:v>
                </c:pt>
                <c:pt idx="65">
                  <c:v>191.63459389142344</c:v>
                </c:pt>
                <c:pt idx="66">
                  <c:v>187.45707140108834</c:v>
                </c:pt>
                <c:pt idx="67">
                  <c:v>194.03079939170743</c:v>
                </c:pt>
                <c:pt idx="68">
                  <c:v>194.85346012202496</c:v>
                </c:pt>
                <c:pt idx="69">
                  <c:v>201.75785558548159</c:v>
                </c:pt>
                <c:pt idx="70">
                  <c:v>205.41654299272614</c:v>
                </c:pt>
                <c:pt idx="71">
                  <c:v>216.93883178511882</c:v>
                </c:pt>
                <c:pt idx="72">
                  <c:v>221.26306821304897</c:v>
                </c:pt>
                <c:pt idx="73">
                  <c:v>227.36179666171972</c:v>
                </c:pt>
                <c:pt idx="74">
                  <c:v>238.20163890873783</c:v>
                </c:pt>
                <c:pt idx="75">
                  <c:v>248.43350464464353</c:v>
                </c:pt>
                <c:pt idx="76">
                  <c:v>248.35568167243812</c:v>
                </c:pt>
                <c:pt idx="77">
                  <c:v>252.57140566884701</c:v>
                </c:pt>
                <c:pt idx="78">
                  <c:v>262.85832921086865</c:v>
                </c:pt>
                <c:pt idx="79">
                  <c:v>279.55660144011432</c:v>
                </c:pt>
              </c:numCache>
            </c:numRef>
          </c:val>
          <c:smooth val="0"/>
          <c:extLst>
            <c:ext xmlns:c16="http://schemas.microsoft.com/office/drawing/2014/chart" uri="{C3380CC4-5D6E-409C-BE32-E72D297353CC}">
              <c16:uniqueId val="{00000008-A50B-42C3-8714-611302F37D5D}"/>
            </c:ext>
          </c:extLst>
        </c:ser>
        <c:dLbls>
          <c:showLegendKey val="0"/>
          <c:showVal val="0"/>
          <c:showCatName val="0"/>
          <c:showSerName val="0"/>
          <c:showPercent val="0"/>
          <c:showBubbleSize val="0"/>
        </c:dLbls>
        <c:smooth val="0"/>
        <c:axId val="1207159248"/>
        <c:axId val="1207169808"/>
      </c:lineChart>
      <c:dateAx>
        <c:axId val="1207159248"/>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69808"/>
        <c:crosses val="autoZero"/>
        <c:auto val="1"/>
        <c:lblOffset val="100"/>
        <c:baseTimeUnit val="months"/>
        <c:majorUnit val="12"/>
        <c:majorTimeUnit val="months"/>
      </c:dateAx>
      <c:valAx>
        <c:axId val="120716980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159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analysis!$E$2</c:f>
          <c:strCache>
            <c:ptCount val="1"/>
            <c:pt idx="0">
              <c:v>Renter vs owner wealth, Adelaide 3-bedroom house</c:v>
            </c:pt>
          </c:strCache>
        </c:strRef>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872018129822667E-2"/>
          <c:y val="0.15864383682636621"/>
          <c:w val="0.88513497863585977"/>
          <c:h val="0.59756043484608967"/>
        </c:manualLayout>
      </c:layout>
      <c:lineChart>
        <c:grouping val="standard"/>
        <c:varyColors val="0"/>
        <c:ser>
          <c:idx val="0"/>
          <c:order val="0"/>
          <c:tx>
            <c:strRef>
              <c:f>analysis!$N$2</c:f>
              <c:strCache>
                <c:ptCount val="1"/>
                <c:pt idx="0">
                  <c:v>Owner's home equity</c:v>
                </c:pt>
              </c:strCache>
            </c:strRef>
          </c:tx>
          <c:spPr>
            <a:ln w="28575" cap="rnd">
              <a:solidFill>
                <a:schemeClr val="accent1"/>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analysis!$N$3:$N$82</c:f>
              <c:numCache>
                <c:formatCode>_-* #,##0_-;\-* #,##0_-;_-* "-"??_-;_-@_-</c:formatCode>
                <c:ptCount val="80"/>
                <c:pt idx="0">
                  <c:v>48895</c:v>
                </c:pt>
                <c:pt idx="1">
                  <c:v>54140.593338349019</c:v>
                </c:pt>
                <c:pt idx="2">
                  <c:v>57390.312836057157</c:v>
                </c:pt>
                <c:pt idx="3">
                  <c:v>66468.355942772701</c:v>
                </c:pt>
                <c:pt idx="4">
                  <c:v>70615.461084837036</c:v>
                </c:pt>
                <c:pt idx="5">
                  <c:v>79649.204056054412</c:v>
                </c:pt>
                <c:pt idx="6">
                  <c:v>98441.122224134277</c:v>
                </c:pt>
                <c:pt idx="7">
                  <c:v>120091.57828264209</c:v>
                </c:pt>
                <c:pt idx="8">
                  <c:v>121141.9420637736</c:v>
                </c:pt>
                <c:pt idx="9">
                  <c:v>125049.78331565598</c:v>
                </c:pt>
                <c:pt idx="10">
                  <c:v>119172.97254354684</c:v>
                </c:pt>
                <c:pt idx="11">
                  <c:v>113336.18877647785</c:v>
                </c:pt>
                <c:pt idx="12">
                  <c:v>111286.4289832098</c:v>
                </c:pt>
                <c:pt idx="13">
                  <c:v>120169.45359333165</c:v>
                </c:pt>
                <c:pt idx="14">
                  <c:v>126606.12551713217</c:v>
                </c:pt>
                <c:pt idx="15">
                  <c:v>154341.22186265353</c:v>
                </c:pt>
                <c:pt idx="16">
                  <c:v>156857.87233900785</c:v>
                </c:pt>
                <c:pt idx="17">
                  <c:v>164035.88137744681</c:v>
                </c:pt>
                <c:pt idx="18">
                  <c:v>153547.95966191587</c:v>
                </c:pt>
                <c:pt idx="19">
                  <c:v>162650.89801743536</c:v>
                </c:pt>
                <c:pt idx="20">
                  <c:v>152145.88466989444</c:v>
                </c:pt>
                <c:pt idx="21">
                  <c:v>146581.29369602283</c:v>
                </c:pt>
                <c:pt idx="22">
                  <c:v>141061.73766853442</c:v>
                </c:pt>
                <c:pt idx="23">
                  <c:v>135579.12159188616</c:v>
                </c:pt>
                <c:pt idx="24">
                  <c:v>132157.75916564497</c:v>
                </c:pt>
                <c:pt idx="25">
                  <c:v>134604.24418371372</c:v>
                </c:pt>
                <c:pt idx="26">
                  <c:v>135197.01593057817</c:v>
                </c:pt>
                <c:pt idx="27">
                  <c:v>143633.42795897921</c:v>
                </c:pt>
                <c:pt idx="28">
                  <c:v>143334.75176030034</c:v>
                </c:pt>
                <c:pt idx="29">
                  <c:v>143067.48803386273</c:v>
                </c:pt>
                <c:pt idx="30">
                  <c:v>142864.24526449927</c:v>
                </c:pt>
                <c:pt idx="31">
                  <c:v>159340.03481072211</c:v>
                </c:pt>
                <c:pt idx="32">
                  <c:v>154288.48471051556</c:v>
                </c:pt>
                <c:pt idx="33">
                  <c:v>152207.89177161219</c:v>
                </c:pt>
                <c:pt idx="34">
                  <c:v>156995.06986488478</c:v>
                </c:pt>
                <c:pt idx="35">
                  <c:v>171561.5502449419</c:v>
                </c:pt>
                <c:pt idx="36">
                  <c:v>162168.05523832576</c:v>
                </c:pt>
                <c:pt idx="37">
                  <c:v>166547.09302528168</c:v>
                </c:pt>
                <c:pt idx="38">
                  <c:v>173891.87822026428</c:v>
                </c:pt>
                <c:pt idx="39">
                  <c:v>182216.33156157829</c:v>
                </c:pt>
                <c:pt idx="40">
                  <c:v>182205.84290202812</c:v>
                </c:pt>
                <c:pt idx="41">
                  <c:v>186127.31610441388</c:v>
                </c:pt>
                <c:pt idx="42">
                  <c:v>191076.73036756483</c:v>
                </c:pt>
                <c:pt idx="43">
                  <c:v>193116.55768088647</c:v>
                </c:pt>
                <c:pt idx="44">
                  <c:v>197421.30483154082</c:v>
                </c:pt>
                <c:pt idx="45">
                  <c:v>196262.16096698228</c:v>
                </c:pt>
                <c:pt idx="46">
                  <c:v>197385.89280997863</c:v>
                </c:pt>
                <c:pt idx="47">
                  <c:v>216120.53396620505</c:v>
                </c:pt>
                <c:pt idx="48">
                  <c:v>211367.56923414741</c:v>
                </c:pt>
                <c:pt idx="49">
                  <c:v>214470.60309036082</c:v>
                </c:pt>
                <c:pt idx="50">
                  <c:v>212997.42566580299</c:v>
                </c:pt>
                <c:pt idx="51">
                  <c:v>226585.61351246221</c:v>
                </c:pt>
                <c:pt idx="52">
                  <c:v>221883.65672474194</c:v>
                </c:pt>
                <c:pt idx="53">
                  <c:v>225523.59132522825</c:v>
                </c:pt>
                <c:pt idx="54">
                  <c:v>221394.9581897991</c:v>
                </c:pt>
                <c:pt idx="55">
                  <c:v>232481.06486831012</c:v>
                </c:pt>
                <c:pt idx="56">
                  <c:v>220124.35145332478</c:v>
                </c:pt>
                <c:pt idx="57">
                  <c:v>235712.47579467995</c:v>
                </c:pt>
                <c:pt idx="58">
                  <c:v>248385.84147341136</c:v>
                </c:pt>
                <c:pt idx="59">
                  <c:v>261046.63755146123</c:v>
                </c:pt>
                <c:pt idx="60">
                  <c:v>271740.82726091077</c:v>
                </c:pt>
                <c:pt idx="61">
                  <c:v>298551.18827958405</c:v>
                </c:pt>
                <c:pt idx="62">
                  <c:v>328247.27488862706</c:v>
                </c:pt>
                <c:pt idx="63">
                  <c:v>377441.80942809873</c:v>
                </c:pt>
                <c:pt idx="64">
                  <c:v>397202.18135922332</c:v>
                </c:pt>
                <c:pt idx="65">
                  <c:v>410088.71696700389</c:v>
                </c:pt>
                <c:pt idx="66">
                  <c:v>401373.74266726593</c:v>
                </c:pt>
                <c:pt idx="67">
                  <c:v>421854.57744973409</c:v>
                </c:pt>
                <c:pt idx="68">
                  <c:v>426647.7414205533</c:v>
                </c:pt>
                <c:pt idx="69">
                  <c:v>448026.93207425019</c:v>
                </c:pt>
                <c:pt idx="70">
                  <c:v>460525.13623527309</c:v>
                </c:pt>
                <c:pt idx="71">
                  <c:v>494527.08448098798</c:v>
                </c:pt>
                <c:pt idx="72">
                  <c:v>508906.81306394446</c:v>
                </c:pt>
                <c:pt idx="73">
                  <c:v>528176.17476487951</c:v>
                </c:pt>
                <c:pt idx="74">
                  <c:v>560449.42005572491</c:v>
                </c:pt>
                <c:pt idx="75">
                  <c:v>591115.98460409231</c:v>
                </c:pt>
                <c:pt idx="76">
                  <c:v>593696.42991210218</c:v>
                </c:pt>
                <c:pt idx="77">
                  <c:v>608064.71059725585</c:v>
                </c:pt>
                <c:pt idx="78">
                  <c:v>639093.78566247656</c:v>
                </c:pt>
                <c:pt idx="79">
                  <c:v>687686.29332688567</c:v>
                </c:pt>
              </c:numCache>
            </c:numRef>
          </c:val>
          <c:smooth val="0"/>
          <c:extLst>
            <c:ext xmlns:c16="http://schemas.microsoft.com/office/drawing/2014/chart" uri="{C3380CC4-5D6E-409C-BE32-E72D297353CC}">
              <c16:uniqueId val="{00000000-7807-4CB6-8999-50A35AE75FE4}"/>
            </c:ext>
          </c:extLst>
        </c:ser>
        <c:ser>
          <c:idx val="1"/>
          <c:order val="1"/>
          <c:tx>
            <c:strRef>
              <c:f>analysis!$M$2</c:f>
              <c:strCache>
                <c:ptCount val="1"/>
                <c:pt idx="0">
                  <c:v>Renter's portfolio</c:v>
                </c:pt>
              </c:strCache>
            </c:strRef>
          </c:tx>
          <c:spPr>
            <a:ln w="28575" cap="rnd">
              <a:solidFill>
                <a:srgbClr val="FF0000"/>
              </a:solidFill>
              <a:round/>
            </a:ln>
            <a:effectLst/>
          </c:spPr>
          <c:marker>
            <c:symbol val="none"/>
          </c:marker>
          <c:cat>
            <c:numRef>
              <c:f>analysis!$L$3:$L$82</c:f>
              <c:numCache>
                <c:formatCode>mmm\-yy</c:formatCode>
                <c:ptCount val="80"/>
                <c:pt idx="0">
                  <c:v>38777</c:v>
                </c:pt>
                <c:pt idx="1">
                  <c:v>38869</c:v>
                </c:pt>
                <c:pt idx="2">
                  <c:v>38961</c:v>
                </c:pt>
                <c:pt idx="3">
                  <c:v>39052</c:v>
                </c:pt>
                <c:pt idx="4">
                  <c:v>39142</c:v>
                </c:pt>
                <c:pt idx="5">
                  <c:v>39234</c:v>
                </c:pt>
                <c:pt idx="6">
                  <c:v>39326</c:v>
                </c:pt>
                <c:pt idx="7">
                  <c:v>39417</c:v>
                </c:pt>
                <c:pt idx="8">
                  <c:v>39508</c:v>
                </c:pt>
                <c:pt idx="9">
                  <c:v>39600</c:v>
                </c:pt>
                <c:pt idx="10">
                  <c:v>39692</c:v>
                </c:pt>
                <c:pt idx="11">
                  <c:v>39783</c:v>
                </c:pt>
                <c:pt idx="12">
                  <c:v>39873</c:v>
                </c:pt>
                <c:pt idx="13">
                  <c:v>39965</c:v>
                </c:pt>
                <c:pt idx="14">
                  <c:v>40057</c:v>
                </c:pt>
                <c:pt idx="15">
                  <c:v>40148</c:v>
                </c:pt>
                <c:pt idx="16">
                  <c:v>40238</c:v>
                </c:pt>
                <c:pt idx="17">
                  <c:v>40330</c:v>
                </c:pt>
                <c:pt idx="18">
                  <c:v>40422</c:v>
                </c:pt>
                <c:pt idx="19">
                  <c:v>40513</c:v>
                </c:pt>
                <c:pt idx="20">
                  <c:v>40603</c:v>
                </c:pt>
                <c:pt idx="21">
                  <c:v>40695</c:v>
                </c:pt>
                <c:pt idx="22">
                  <c:v>40787</c:v>
                </c:pt>
                <c:pt idx="23">
                  <c:v>40878</c:v>
                </c:pt>
                <c:pt idx="24">
                  <c:v>40969</c:v>
                </c:pt>
                <c:pt idx="25">
                  <c:v>41061</c:v>
                </c:pt>
                <c:pt idx="26">
                  <c:v>41153</c:v>
                </c:pt>
                <c:pt idx="27">
                  <c:v>41244</c:v>
                </c:pt>
                <c:pt idx="28">
                  <c:v>41334</c:v>
                </c:pt>
                <c:pt idx="29">
                  <c:v>41426</c:v>
                </c:pt>
                <c:pt idx="30">
                  <c:v>41518</c:v>
                </c:pt>
                <c:pt idx="31">
                  <c:v>41609</c:v>
                </c:pt>
                <c:pt idx="32">
                  <c:v>41699</c:v>
                </c:pt>
                <c:pt idx="33">
                  <c:v>41791</c:v>
                </c:pt>
                <c:pt idx="34">
                  <c:v>41883</c:v>
                </c:pt>
                <c:pt idx="35">
                  <c:v>41974</c:v>
                </c:pt>
                <c:pt idx="36">
                  <c:v>42064</c:v>
                </c:pt>
                <c:pt idx="37">
                  <c:v>42156</c:v>
                </c:pt>
                <c:pt idx="38">
                  <c:v>42248</c:v>
                </c:pt>
                <c:pt idx="39">
                  <c:v>42339</c:v>
                </c:pt>
                <c:pt idx="40">
                  <c:v>42430</c:v>
                </c:pt>
                <c:pt idx="41">
                  <c:v>42522</c:v>
                </c:pt>
                <c:pt idx="42">
                  <c:v>42614</c:v>
                </c:pt>
                <c:pt idx="43">
                  <c:v>42705</c:v>
                </c:pt>
                <c:pt idx="44">
                  <c:v>42795</c:v>
                </c:pt>
                <c:pt idx="45">
                  <c:v>42887</c:v>
                </c:pt>
                <c:pt idx="46">
                  <c:v>42979</c:v>
                </c:pt>
                <c:pt idx="47">
                  <c:v>43070</c:v>
                </c:pt>
                <c:pt idx="48">
                  <c:v>43160</c:v>
                </c:pt>
                <c:pt idx="49">
                  <c:v>43252</c:v>
                </c:pt>
                <c:pt idx="50">
                  <c:v>43344</c:v>
                </c:pt>
                <c:pt idx="51">
                  <c:v>43435</c:v>
                </c:pt>
                <c:pt idx="52">
                  <c:v>43525</c:v>
                </c:pt>
                <c:pt idx="53">
                  <c:v>43617</c:v>
                </c:pt>
                <c:pt idx="54">
                  <c:v>43709</c:v>
                </c:pt>
                <c:pt idx="55">
                  <c:v>43800</c:v>
                </c:pt>
                <c:pt idx="56">
                  <c:v>43891</c:v>
                </c:pt>
                <c:pt idx="57">
                  <c:v>43983</c:v>
                </c:pt>
                <c:pt idx="58">
                  <c:v>44075</c:v>
                </c:pt>
                <c:pt idx="59">
                  <c:v>44166</c:v>
                </c:pt>
                <c:pt idx="60">
                  <c:v>44256</c:v>
                </c:pt>
                <c:pt idx="61">
                  <c:v>44348</c:v>
                </c:pt>
                <c:pt idx="62">
                  <c:v>44440</c:v>
                </c:pt>
                <c:pt idx="63">
                  <c:v>44531</c:v>
                </c:pt>
                <c:pt idx="64">
                  <c:v>44621</c:v>
                </c:pt>
                <c:pt idx="65">
                  <c:v>44713</c:v>
                </c:pt>
                <c:pt idx="66">
                  <c:v>44805</c:v>
                </c:pt>
                <c:pt idx="67">
                  <c:v>44896</c:v>
                </c:pt>
                <c:pt idx="68">
                  <c:v>44986</c:v>
                </c:pt>
                <c:pt idx="69">
                  <c:v>45078</c:v>
                </c:pt>
                <c:pt idx="70">
                  <c:v>45170</c:v>
                </c:pt>
                <c:pt idx="71">
                  <c:v>45261</c:v>
                </c:pt>
                <c:pt idx="72">
                  <c:v>45352</c:v>
                </c:pt>
                <c:pt idx="73">
                  <c:v>45444</c:v>
                </c:pt>
                <c:pt idx="74">
                  <c:v>45536</c:v>
                </c:pt>
                <c:pt idx="75">
                  <c:v>45627</c:v>
                </c:pt>
                <c:pt idx="76">
                  <c:v>45717</c:v>
                </c:pt>
                <c:pt idx="77">
                  <c:v>45809</c:v>
                </c:pt>
                <c:pt idx="78">
                  <c:v>45901</c:v>
                </c:pt>
                <c:pt idx="79">
                  <c:v>45992</c:v>
                </c:pt>
              </c:numCache>
            </c:numRef>
          </c:cat>
          <c:val>
            <c:numRef>
              <c:f>analysis!$M$3:$M$82</c:f>
              <c:numCache>
                <c:formatCode>_-* #,##0_-;\-* #,##0_-;_-* "-"??_-;_-@_-</c:formatCode>
                <c:ptCount val="80"/>
                <c:pt idx="0">
                  <c:v>78787.253202413995</c:v>
                </c:pt>
                <c:pt idx="1">
                  <c:v>80853.410398830994</c:v>
                </c:pt>
                <c:pt idx="2">
                  <c:v>86543.750870183401</c:v>
                </c:pt>
                <c:pt idx="3">
                  <c:v>97451.216636191108</c:v>
                </c:pt>
                <c:pt idx="4">
                  <c:v>104138.17150488179</c:v>
                </c:pt>
                <c:pt idx="5">
                  <c:v>113401.63435706758</c:v>
                </c:pt>
                <c:pt idx="6">
                  <c:v>119680.17947628487</c:v>
                </c:pt>
                <c:pt idx="7">
                  <c:v>119165.38526072954</c:v>
                </c:pt>
                <c:pt idx="8">
                  <c:v>109163.03139725693</c:v>
                </c:pt>
                <c:pt idx="9">
                  <c:v>110539.25264168016</c:v>
                </c:pt>
                <c:pt idx="10">
                  <c:v>97842.264343725066</c:v>
                </c:pt>
                <c:pt idx="11">
                  <c:v>78719.757068517123</c:v>
                </c:pt>
                <c:pt idx="12">
                  <c:v>73251.696153136043</c:v>
                </c:pt>
                <c:pt idx="13">
                  <c:v>88610.66640468745</c:v>
                </c:pt>
                <c:pt idx="14">
                  <c:v>107409.03345795456</c:v>
                </c:pt>
                <c:pt idx="15">
                  <c:v>113227.83681459798</c:v>
                </c:pt>
                <c:pt idx="16">
                  <c:v>118545.29527423924</c:v>
                </c:pt>
                <c:pt idx="17">
                  <c:v>105611.46485408701</c:v>
                </c:pt>
                <c:pt idx="18">
                  <c:v>120708.25491129239</c:v>
                </c:pt>
                <c:pt idx="19">
                  <c:v>132623.25552572511</c:v>
                </c:pt>
                <c:pt idx="20">
                  <c:v>140574.80149868413</c:v>
                </c:pt>
                <c:pt idx="21">
                  <c:v>140866.54918692456</c:v>
                </c:pt>
                <c:pt idx="22">
                  <c:v>120307.92751883806</c:v>
                </c:pt>
                <c:pt idx="23">
                  <c:v>129176.75566703877</c:v>
                </c:pt>
                <c:pt idx="24">
                  <c:v>145034.2097218089</c:v>
                </c:pt>
                <c:pt idx="25">
                  <c:v>138773.55575185781</c:v>
                </c:pt>
                <c:pt idx="26">
                  <c:v>150382.27657834781</c:v>
                </c:pt>
                <c:pt idx="27">
                  <c:v>157527.61362238569</c:v>
                </c:pt>
                <c:pt idx="28">
                  <c:v>171726.81778203024</c:v>
                </c:pt>
                <c:pt idx="29">
                  <c:v>171887.63601844318</c:v>
                </c:pt>
                <c:pt idx="30">
                  <c:v>188639.33040759302</c:v>
                </c:pt>
                <c:pt idx="31">
                  <c:v>202099.03923709752</c:v>
                </c:pt>
                <c:pt idx="32">
                  <c:v>206623.31254901859</c:v>
                </c:pt>
                <c:pt idx="33">
                  <c:v>214913.03971135075</c:v>
                </c:pt>
                <c:pt idx="34">
                  <c:v>211292.63093347588</c:v>
                </c:pt>
                <c:pt idx="35">
                  <c:v>215843.60614633796</c:v>
                </c:pt>
                <c:pt idx="36">
                  <c:v>227346.40908191504</c:v>
                </c:pt>
                <c:pt idx="37">
                  <c:v>224354.43431142054</c:v>
                </c:pt>
                <c:pt idx="38">
                  <c:v>206887.81468995943</c:v>
                </c:pt>
                <c:pt idx="39">
                  <c:v>219517.29871921684</c:v>
                </c:pt>
                <c:pt idx="40">
                  <c:v>218241.14856773638</c:v>
                </c:pt>
                <c:pt idx="41">
                  <c:v>223374.45816568949</c:v>
                </c:pt>
                <c:pt idx="42">
                  <c:v>235909.8248123462</c:v>
                </c:pt>
                <c:pt idx="43">
                  <c:v>243906.20665186387</c:v>
                </c:pt>
                <c:pt idx="44">
                  <c:v>258963.51184295624</c:v>
                </c:pt>
                <c:pt idx="45">
                  <c:v>265524.80836304062</c:v>
                </c:pt>
                <c:pt idx="46">
                  <c:v>276347.0817114411</c:v>
                </c:pt>
                <c:pt idx="47">
                  <c:v>294105.63129040116</c:v>
                </c:pt>
                <c:pt idx="48">
                  <c:v>288752.27313554165</c:v>
                </c:pt>
                <c:pt idx="49">
                  <c:v>300984.23288135009</c:v>
                </c:pt>
                <c:pt idx="50">
                  <c:v>312285.64069246443</c:v>
                </c:pt>
                <c:pt idx="51">
                  <c:v>274461.06937073951</c:v>
                </c:pt>
                <c:pt idx="52">
                  <c:v>308285.40934974706</c:v>
                </c:pt>
                <c:pt idx="53">
                  <c:v>324286.05842385197</c:v>
                </c:pt>
                <c:pt idx="54">
                  <c:v>328167.81689702597</c:v>
                </c:pt>
                <c:pt idx="55">
                  <c:v>348656.13324713026</c:v>
                </c:pt>
                <c:pt idx="56">
                  <c:v>269685.28500802745</c:v>
                </c:pt>
                <c:pt idx="57">
                  <c:v>321503.11624624341</c:v>
                </c:pt>
                <c:pt idx="58">
                  <c:v>339382.68414770998</c:v>
                </c:pt>
                <c:pt idx="59">
                  <c:v>389821.74986040208</c:v>
                </c:pt>
                <c:pt idx="60">
                  <c:v>409959.41258253518</c:v>
                </c:pt>
                <c:pt idx="61">
                  <c:v>441606.32465008949</c:v>
                </c:pt>
                <c:pt idx="62">
                  <c:v>442808.02906692057</c:v>
                </c:pt>
                <c:pt idx="63">
                  <c:v>467598.18580009654</c:v>
                </c:pt>
                <c:pt idx="64">
                  <c:v>453357.53128232568</c:v>
                </c:pt>
                <c:pt idx="65">
                  <c:v>384840.58267845091</c:v>
                </c:pt>
                <c:pt idx="66">
                  <c:v>368868.97005410009</c:v>
                </c:pt>
                <c:pt idx="67">
                  <c:v>404561.56043573364</c:v>
                </c:pt>
                <c:pt idx="68">
                  <c:v>428997.4528838516</c:v>
                </c:pt>
                <c:pt idx="69">
                  <c:v>449309.64861633739</c:v>
                </c:pt>
                <c:pt idx="70">
                  <c:v>437093.48308326059</c:v>
                </c:pt>
                <c:pt idx="71">
                  <c:v>483229.86082187988</c:v>
                </c:pt>
                <c:pt idx="72">
                  <c:v>518974.67540596362</c:v>
                </c:pt>
                <c:pt idx="73">
                  <c:v>523857.69055883563</c:v>
                </c:pt>
                <c:pt idx="74">
                  <c:v>559386.74377080775</c:v>
                </c:pt>
                <c:pt idx="75">
                  <c:v>555008.54133811861</c:v>
                </c:pt>
                <c:pt idx="76">
                  <c:v>541306.40874974965</c:v>
                </c:pt>
                <c:pt idx="77">
                  <c:v>598659.75920218893</c:v>
                </c:pt>
                <c:pt idx="78">
                  <c:v>636463.52926301141</c:v>
                </c:pt>
                <c:pt idx="79">
                  <c:v>646695.45435496676</c:v>
                </c:pt>
              </c:numCache>
            </c:numRef>
          </c:val>
          <c:smooth val="0"/>
          <c:extLst>
            <c:ext xmlns:c16="http://schemas.microsoft.com/office/drawing/2014/chart" uri="{C3380CC4-5D6E-409C-BE32-E72D297353CC}">
              <c16:uniqueId val="{00000001-7807-4CB6-8999-50A35AE75FE4}"/>
            </c:ext>
          </c:extLst>
        </c:ser>
        <c:dLbls>
          <c:showLegendKey val="0"/>
          <c:showVal val="0"/>
          <c:showCatName val="0"/>
          <c:showSerName val="0"/>
          <c:showPercent val="0"/>
          <c:showBubbleSize val="0"/>
        </c:dLbls>
        <c:smooth val="0"/>
        <c:axId val="1041651184"/>
        <c:axId val="1041653584"/>
      </c:lineChart>
      <c:dateAx>
        <c:axId val="1041651184"/>
        <c:scaling>
          <c:orientation val="minMax"/>
        </c:scaling>
        <c:delete val="0"/>
        <c:axPos val="b"/>
        <c:majorGridlines>
          <c:spPr>
            <a:ln w="9525" cap="flat" cmpd="sng" algn="ctr">
              <a:solidFill>
                <a:schemeClr val="tx1">
                  <a:lumMod val="15000"/>
                  <a:lumOff val="85000"/>
                </a:schemeClr>
              </a:solidFill>
              <a:round/>
            </a:ln>
            <a:effectLst/>
          </c:spPr>
        </c:majorGridlines>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3584"/>
        <c:crosses val="autoZero"/>
        <c:auto val="1"/>
        <c:lblOffset val="100"/>
        <c:baseTimeUnit val="months"/>
        <c:majorUnit val="12"/>
        <c:minorUnit val="4"/>
      </c:dateAx>
      <c:valAx>
        <c:axId val="1041653584"/>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651184"/>
        <c:crosses val="autoZero"/>
        <c:crossBetween val="between"/>
        <c:majorUnit val="200000"/>
        <c:minorUnit val="100000"/>
        <c:dispUnits>
          <c:builtInUnit val="thousands"/>
          <c:dispUnitsLbl>
            <c:layout>
              <c:manualLayout>
                <c:xMode val="edge"/>
                <c:yMode val="edge"/>
                <c:x val="3.5763163378520701E-2"/>
                <c:y val="5.7917591222324163E-2"/>
              </c:manualLayout>
            </c:layout>
            <c:tx>
              <c:rich>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900"/>
                    <a:t>A$</a:t>
                  </a:r>
                  <a:r>
                    <a:rPr lang="en-US" sz="900" baseline="0"/>
                    <a:t> '000</a:t>
                  </a:r>
                  <a:endParaRPr lang="en-US" sz="900"/>
                </a:p>
              </c:rich>
            </c:tx>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weekly rents, 2-bed flat, new bonds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'2BR_F-processed'!$E$1</c:f>
              <c:strCache>
                <c:ptCount val="1"/>
                <c:pt idx="0">
                  <c:v>Adelaide</c:v>
                </c:pt>
              </c:strCache>
            </c:strRef>
          </c:tx>
          <c:spPr>
            <a:ln w="28575" cap="rnd">
              <a:solidFill>
                <a:schemeClr val="accent1"/>
              </a:solidFill>
              <a:round/>
            </a:ln>
            <a:effectLst/>
          </c:spPr>
          <c:marker>
            <c:symbol val="none"/>
          </c:marker>
          <c:cat>
            <c:numRef>
              <c:f>'2BR_F-processed'!$B$2:$B$109</c:f>
              <c:numCache>
                <c:formatCode>mmm\-yy</c:formatCode>
                <c:ptCount val="108"/>
                <c:pt idx="0">
                  <c:v>36220</c:v>
                </c:pt>
                <c:pt idx="1">
                  <c:v>36312</c:v>
                </c:pt>
                <c:pt idx="2">
                  <c:v>36404</c:v>
                </c:pt>
                <c:pt idx="3">
                  <c:v>36495</c:v>
                </c:pt>
                <c:pt idx="4">
                  <c:v>36586</c:v>
                </c:pt>
                <c:pt idx="5">
                  <c:v>36678</c:v>
                </c:pt>
                <c:pt idx="6">
                  <c:v>36770</c:v>
                </c:pt>
                <c:pt idx="7">
                  <c:v>36861</c:v>
                </c:pt>
                <c:pt idx="8">
                  <c:v>36951</c:v>
                </c:pt>
                <c:pt idx="9">
                  <c:v>37043</c:v>
                </c:pt>
                <c:pt idx="10">
                  <c:v>37135</c:v>
                </c:pt>
                <c:pt idx="11">
                  <c:v>37226</c:v>
                </c:pt>
                <c:pt idx="12">
                  <c:v>37316</c:v>
                </c:pt>
                <c:pt idx="13">
                  <c:v>37408</c:v>
                </c:pt>
                <c:pt idx="14">
                  <c:v>37500</c:v>
                </c:pt>
                <c:pt idx="15">
                  <c:v>37591</c:v>
                </c:pt>
                <c:pt idx="16">
                  <c:v>37681</c:v>
                </c:pt>
                <c:pt idx="17">
                  <c:v>37773</c:v>
                </c:pt>
                <c:pt idx="18">
                  <c:v>37865</c:v>
                </c:pt>
                <c:pt idx="19">
                  <c:v>37956</c:v>
                </c:pt>
                <c:pt idx="20">
                  <c:v>38047</c:v>
                </c:pt>
                <c:pt idx="21">
                  <c:v>38139</c:v>
                </c:pt>
                <c:pt idx="22">
                  <c:v>38231</c:v>
                </c:pt>
                <c:pt idx="23">
                  <c:v>38322</c:v>
                </c:pt>
                <c:pt idx="24">
                  <c:v>38412</c:v>
                </c:pt>
                <c:pt idx="25">
                  <c:v>38504</c:v>
                </c:pt>
                <c:pt idx="26">
                  <c:v>38596</c:v>
                </c:pt>
                <c:pt idx="27">
                  <c:v>38687</c:v>
                </c:pt>
                <c:pt idx="28">
                  <c:v>38777</c:v>
                </c:pt>
                <c:pt idx="29">
                  <c:v>38869</c:v>
                </c:pt>
                <c:pt idx="30">
                  <c:v>38961</c:v>
                </c:pt>
                <c:pt idx="31">
                  <c:v>39052</c:v>
                </c:pt>
                <c:pt idx="32">
                  <c:v>39142</c:v>
                </c:pt>
                <c:pt idx="33">
                  <c:v>39234</c:v>
                </c:pt>
                <c:pt idx="34">
                  <c:v>39326</c:v>
                </c:pt>
                <c:pt idx="35">
                  <c:v>39417</c:v>
                </c:pt>
                <c:pt idx="36">
                  <c:v>39508</c:v>
                </c:pt>
                <c:pt idx="37">
                  <c:v>39600</c:v>
                </c:pt>
                <c:pt idx="38">
                  <c:v>39692</c:v>
                </c:pt>
                <c:pt idx="39">
                  <c:v>39783</c:v>
                </c:pt>
                <c:pt idx="40">
                  <c:v>39873</c:v>
                </c:pt>
                <c:pt idx="41">
                  <c:v>39965</c:v>
                </c:pt>
                <c:pt idx="42">
                  <c:v>40057</c:v>
                </c:pt>
                <c:pt idx="43">
                  <c:v>40148</c:v>
                </c:pt>
                <c:pt idx="44">
                  <c:v>40238</c:v>
                </c:pt>
                <c:pt idx="45">
                  <c:v>40330</c:v>
                </c:pt>
                <c:pt idx="46">
                  <c:v>40422</c:v>
                </c:pt>
                <c:pt idx="47">
                  <c:v>40513</c:v>
                </c:pt>
                <c:pt idx="48">
                  <c:v>40603</c:v>
                </c:pt>
                <c:pt idx="49">
                  <c:v>40695</c:v>
                </c:pt>
                <c:pt idx="50">
                  <c:v>40787</c:v>
                </c:pt>
                <c:pt idx="51">
                  <c:v>40878</c:v>
                </c:pt>
                <c:pt idx="52">
                  <c:v>40969</c:v>
                </c:pt>
                <c:pt idx="53">
                  <c:v>41061</c:v>
                </c:pt>
                <c:pt idx="54">
                  <c:v>41153</c:v>
                </c:pt>
                <c:pt idx="55">
                  <c:v>41244</c:v>
                </c:pt>
                <c:pt idx="56">
                  <c:v>41334</c:v>
                </c:pt>
                <c:pt idx="57">
                  <c:v>41426</c:v>
                </c:pt>
                <c:pt idx="58">
                  <c:v>41518</c:v>
                </c:pt>
                <c:pt idx="59">
                  <c:v>41609</c:v>
                </c:pt>
                <c:pt idx="60">
                  <c:v>41699</c:v>
                </c:pt>
                <c:pt idx="61">
                  <c:v>41791</c:v>
                </c:pt>
                <c:pt idx="62">
                  <c:v>41883</c:v>
                </c:pt>
                <c:pt idx="63">
                  <c:v>41974</c:v>
                </c:pt>
                <c:pt idx="64">
                  <c:v>42064</c:v>
                </c:pt>
                <c:pt idx="65">
                  <c:v>42156</c:v>
                </c:pt>
                <c:pt idx="66">
                  <c:v>42248</c:v>
                </c:pt>
                <c:pt idx="67">
                  <c:v>42339</c:v>
                </c:pt>
                <c:pt idx="68">
                  <c:v>42430</c:v>
                </c:pt>
                <c:pt idx="69">
                  <c:v>42522</c:v>
                </c:pt>
                <c:pt idx="70">
                  <c:v>42614</c:v>
                </c:pt>
                <c:pt idx="71">
                  <c:v>42705</c:v>
                </c:pt>
                <c:pt idx="72">
                  <c:v>42795</c:v>
                </c:pt>
                <c:pt idx="73">
                  <c:v>42887</c:v>
                </c:pt>
                <c:pt idx="74">
                  <c:v>42979</c:v>
                </c:pt>
                <c:pt idx="75">
                  <c:v>43070</c:v>
                </c:pt>
                <c:pt idx="76">
                  <c:v>43160</c:v>
                </c:pt>
                <c:pt idx="77">
                  <c:v>43252</c:v>
                </c:pt>
                <c:pt idx="78">
                  <c:v>43344</c:v>
                </c:pt>
                <c:pt idx="79">
                  <c:v>43435</c:v>
                </c:pt>
                <c:pt idx="80">
                  <c:v>43525</c:v>
                </c:pt>
                <c:pt idx="81">
                  <c:v>43617</c:v>
                </c:pt>
                <c:pt idx="82">
                  <c:v>43709</c:v>
                </c:pt>
                <c:pt idx="83">
                  <c:v>43800</c:v>
                </c:pt>
                <c:pt idx="84">
                  <c:v>43891</c:v>
                </c:pt>
                <c:pt idx="85">
                  <c:v>43983</c:v>
                </c:pt>
                <c:pt idx="86">
                  <c:v>44075</c:v>
                </c:pt>
                <c:pt idx="87">
                  <c:v>44166</c:v>
                </c:pt>
                <c:pt idx="88">
                  <c:v>44256</c:v>
                </c:pt>
                <c:pt idx="89">
                  <c:v>44348</c:v>
                </c:pt>
                <c:pt idx="90">
                  <c:v>44440</c:v>
                </c:pt>
                <c:pt idx="91">
                  <c:v>44531</c:v>
                </c:pt>
                <c:pt idx="92">
                  <c:v>44621</c:v>
                </c:pt>
                <c:pt idx="93">
                  <c:v>44713</c:v>
                </c:pt>
                <c:pt idx="94">
                  <c:v>44805</c:v>
                </c:pt>
                <c:pt idx="95">
                  <c:v>44896</c:v>
                </c:pt>
                <c:pt idx="96">
                  <c:v>44986</c:v>
                </c:pt>
                <c:pt idx="97">
                  <c:v>45078</c:v>
                </c:pt>
                <c:pt idx="98">
                  <c:v>45170</c:v>
                </c:pt>
                <c:pt idx="99">
                  <c:v>45261</c:v>
                </c:pt>
                <c:pt idx="100">
                  <c:v>45352</c:v>
                </c:pt>
                <c:pt idx="101">
                  <c:v>45444</c:v>
                </c:pt>
                <c:pt idx="102">
                  <c:v>45536</c:v>
                </c:pt>
                <c:pt idx="103">
                  <c:v>45627</c:v>
                </c:pt>
                <c:pt idx="104">
                  <c:v>45717</c:v>
                </c:pt>
                <c:pt idx="105">
                  <c:v>45809</c:v>
                </c:pt>
                <c:pt idx="106">
                  <c:v>45901</c:v>
                </c:pt>
                <c:pt idx="107">
                  <c:v>45992</c:v>
                </c:pt>
              </c:numCache>
            </c:numRef>
          </c:cat>
          <c:val>
            <c:numRef>
              <c:f>'2BR_F-processed'!$E$2:$E$109</c:f>
              <c:numCache>
                <c:formatCode>0.00</c:formatCode>
                <c:ptCount val="108"/>
                <c:pt idx="0">
                  <c:v>144.59275932331894</c:v>
                </c:pt>
                <c:pt idx="1">
                  <c:v>144.59275932331894</c:v>
                </c:pt>
                <c:pt idx="2">
                  <c:v>144.59275932331894</c:v>
                </c:pt>
                <c:pt idx="3">
                  <c:v>144.59275932331894</c:v>
                </c:pt>
                <c:pt idx="4">
                  <c:v>148.25152821873667</c:v>
                </c:pt>
                <c:pt idx="5">
                  <c:v>148.25152821873667</c:v>
                </c:pt>
                <c:pt idx="6">
                  <c:v>148.25152821873667</c:v>
                </c:pt>
                <c:pt idx="7">
                  <c:v>148.25152821873667</c:v>
                </c:pt>
                <c:pt idx="8">
                  <c:v>144.38894943846844</c:v>
                </c:pt>
                <c:pt idx="9">
                  <c:v>144.38894943846844</c:v>
                </c:pt>
                <c:pt idx="10">
                  <c:v>144.38894943846844</c:v>
                </c:pt>
                <c:pt idx="11">
                  <c:v>144.38894943846844</c:v>
                </c:pt>
                <c:pt idx="12">
                  <c:v>154.23067810263944</c:v>
                </c:pt>
                <c:pt idx="13">
                  <c:v>154.23067810263944</c:v>
                </c:pt>
                <c:pt idx="14">
                  <c:v>154.23067810263944</c:v>
                </c:pt>
                <c:pt idx="15">
                  <c:v>154.23067810263944</c:v>
                </c:pt>
                <c:pt idx="16">
                  <c:v>164.07240676681042</c:v>
                </c:pt>
                <c:pt idx="17">
                  <c:v>164.07240676681042</c:v>
                </c:pt>
                <c:pt idx="18">
                  <c:v>164.07240676681042</c:v>
                </c:pt>
                <c:pt idx="19">
                  <c:v>164.07240676681042</c:v>
                </c:pt>
                <c:pt idx="20">
                  <c:v>172.42316258351894</c:v>
                </c:pt>
                <c:pt idx="21">
                  <c:v>172.42316258351894</c:v>
                </c:pt>
                <c:pt idx="22">
                  <c:v>172.42316258351894</c:v>
                </c:pt>
                <c:pt idx="23">
                  <c:v>172.42316258351894</c:v>
                </c:pt>
                <c:pt idx="24">
                  <c:v>187.85712931810644</c:v>
                </c:pt>
                <c:pt idx="25">
                  <c:v>187.85712931810644</c:v>
                </c:pt>
                <c:pt idx="26">
                  <c:v>187.85712931810644</c:v>
                </c:pt>
                <c:pt idx="27">
                  <c:v>187.85712931810644</c:v>
                </c:pt>
                <c:pt idx="28">
                  <c:v>203.29109605269392</c:v>
                </c:pt>
                <c:pt idx="29">
                  <c:v>203.29109605269392</c:v>
                </c:pt>
                <c:pt idx="30">
                  <c:v>203.29109605269392</c:v>
                </c:pt>
                <c:pt idx="31">
                  <c:v>203.29109605269392</c:v>
                </c:pt>
                <c:pt idx="32">
                  <c:v>216.64554802634694</c:v>
                </c:pt>
                <c:pt idx="33">
                  <c:v>216.64554802634694</c:v>
                </c:pt>
                <c:pt idx="34">
                  <c:v>216.64554802634694</c:v>
                </c:pt>
                <c:pt idx="35">
                  <c:v>216.64554802634694</c:v>
                </c:pt>
                <c:pt idx="36" formatCode="General">
                  <c:v>230</c:v>
                </c:pt>
                <c:pt idx="37" formatCode="General">
                  <c:v>230</c:v>
                </c:pt>
                <c:pt idx="38" formatCode="General">
                  <c:v>230</c:v>
                </c:pt>
                <c:pt idx="39" formatCode="General">
                  <c:v>240</c:v>
                </c:pt>
                <c:pt idx="40" formatCode="General">
                  <c:v>240</c:v>
                </c:pt>
                <c:pt idx="41" formatCode="General">
                  <c:v>250</c:v>
                </c:pt>
                <c:pt idx="42" formatCode="General">
                  <c:v>250</c:v>
                </c:pt>
                <c:pt idx="43" formatCode="General">
                  <c:v>250</c:v>
                </c:pt>
                <c:pt idx="44" formatCode="General">
                  <c:v>260</c:v>
                </c:pt>
                <c:pt idx="45" formatCode="General">
                  <c:v>260</c:v>
                </c:pt>
                <c:pt idx="46" formatCode="General">
                  <c:v>260</c:v>
                </c:pt>
                <c:pt idx="47" formatCode="General">
                  <c:v>260</c:v>
                </c:pt>
                <c:pt idx="48" formatCode="General">
                  <c:v>275</c:v>
                </c:pt>
                <c:pt idx="49" formatCode="General">
                  <c:v>270</c:v>
                </c:pt>
                <c:pt idx="50" formatCode="General">
                  <c:v>270</c:v>
                </c:pt>
                <c:pt idx="51" formatCode="General">
                  <c:v>270</c:v>
                </c:pt>
                <c:pt idx="52" formatCode="General">
                  <c:v>275</c:v>
                </c:pt>
                <c:pt idx="53" formatCode="General">
                  <c:v>275</c:v>
                </c:pt>
                <c:pt idx="54" formatCode="General">
                  <c:v>275</c:v>
                </c:pt>
                <c:pt idx="55" formatCode="General">
                  <c:v>270</c:v>
                </c:pt>
                <c:pt idx="56" formatCode="General">
                  <c:v>280</c:v>
                </c:pt>
                <c:pt idx="57" formatCode="General">
                  <c:v>280</c:v>
                </c:pt>
                <c:pt idx="58" formatCode="General">
                  <c:v>275</c:v>
                </c:pt>
                <c:pt idx="59" formatCode="General">
                  <c:v>280</c:v>
                </c:pt>
                <c:pt idx="60" formatCode="General">
                  <c:v>280</c:v>
                </c:pt>
                <c:pt idx="61" formatCode="General">
                  <c:v>285</c:v>
                </c:pt>
                <c:pt idx="62" formatCode="General">
                  <c:v>285</c:v>
                </c:pt>
                <c:pt idx="63" formatCode="General">
                  <c:v>280</c:v>
                </c:pt>
                <c:pt idx="64" formatCode="General">
                  <c:v>285</c:v>
                </c:pt>
                <c:pt idx="65" formatCode="General">
                  <c:v>285</c:v>
                </c:pt>
                <c:pt idx="66" formatCode="General">
                  <c:v>290</c:v>
                </c:pt>
                <c:pt idx="67" formatCode="General">
                  <c:v>285</c:v>
                </c:pt>
                <c:pt idx="68" formatCode="General">
                  <c:v>290</c:v>
                </c:pt>
                <c:pt idx="69" formatCode="General">
                  <c:v>280</c:v>
                </c:pt>
                <c:pt idx="70" formatCode="General">
                  <c:v>285</c:v>
                </c:pt>
                <c:pt idx="71" formatCode="General">
                  <c:v>290</c:v>
                </c:pt>
                <c:pt idx="72" formatCode="General">
                  <c:v>295</c:v>
                </c:pt>
                <c:pt idx="73" formatCode="General">
                  <c:v>290</c:v>
                </c:pt>
                <c:pt idx="74" formatCode="General">
                  <c:v>295</c:v>
                </c:pt>
                <c:pt idx="75" formatCode="General">
                  <c:v>290</c:v>
                </c:pt>
                <c:pt idx="76" formatCode="General">
                  <c:v>300</c:v>
                </c:pt>
                <c:pt idx="77" formatCode="General">
                  <c:v>295</c:v>
                </c:pt>
                <c:pt idx="78" formatCode="General">
                  <c:v>300</c:v>
                </c:pt>
                <c:pt idx="79" formatCode="General">
                  <c:v>300</c:v>
                </c:pt>
                <c:pt idx="80" formatCode="General">
                  <c:v>305</c:v>
                </c:pt>
                <c:pt idx="81" formatCode="General">
                  <c:v>300</c:v>
                </c:pt>
                <c:pt idx="82" formatCode="General">
                  <c:v>305</c:v>
                </c:pt>
                <c:pt idx="83" formatCode="General">
                  <c:v>310</c:v>
                </c:pt>
                <c:pt idx="84" formatCode="General">
                  <c:v>320</c:v>
                </c:pt>
                <c:pt idx="85" formatCode="General">
                  <c:v>310</c:v>
                </c:pt>
                <c:pt idx="86" formatCode="General">
                  <c:v>320</c:v>
                </c:pt>
                <c:pt idx="87" formatCode="General">
                  <c:v>325</c:v>
                </c:pt>
                <c:pt idx="88" formatCode="General">
                  <c:v>335</c:v>
                </c:pt>
                <c:pt idx="89" formatCode="General">
                  <c:v>340</c:v>
                </c:pt>
                <c:pt idx="90" formatCode="General">
                  <c:v>340</c:v>
                </c:pt>
                <c:pt idx="91" formatCode="General">
                  <c:v>350</c:v>
                </c:pt>
                <c:pt idx="92" formatCode="General">
                  <c:v>370</c:v>
                </c:pt>
                <c:pt idx="93" formatCode="General">
                  <c:v>370</c:v>
                </c:pt>
                <c:pt idx="94" formatCode="General">
                  <c:v>380</c:v>
                </c:pt>
                <c:pt idx="95" formatCode="General">
                  <c:v>400</c:v>
                </c:pt>
                <c:pt idx="96" formatCode="General">
                  <c:v>400</c:v>
                </c:pt>
                <c:pt idx="97" formatCode="General">
                  <c:v>410</c:v>
                </c:pt>
                <c:pt idx="98" formatCode="General">
                  <c:v>430</c:v>
                </c:pt>
                <c:pt idx="99" formatCode="General">
                  <c:v>430</c:v>
                </c:pt>
                <c:pt idx="100" formatCode="General">
                  <c:v>450</c:v>
                </c:pt>
                <c:pt idx="101" formatCode="General">
                  <c:v>460</c:v>
                </c:pt>
                <c:pt idx="102" formatCode="General">
                  <c:v>470</c:v>
                </c:pt>
                <c:pt idx="103" formatCode="General">
                  <c:v>480</c:v>
                </c:pt>
                <c:pt idx="104" formatCode="General">
                  <c:v>495</c:v>
                </c:pt>
                <c:pt idx="105" formatCode="General">
                  <c:v>500</c:v>
                </c:pt>
                <c:pt idx="106" formatCode="General">
                  <c:v>500</c:v>
                </c:pt>
                <c:pt idx="107" formatCode="General">
                  <c:v>510</c:v>
                </c:pt>
              </c:numCache>
            </c:numRef>
          </c:val>
          <c:smooth val="0"/>
          <c:extLst>
            <c:ext xmlns:c16="http://schemas.microsoft.com/office/drawing/2014/chart" uri="{C3380CC4-5D6E-409C-BE32-E72D297353CC}">
              <c16:uniqueId val="{00000000-617F-4C2B-A3D4-409ECC1B6286}"/>
            </c:ext>
          </c:extLst>
        </c:ser>
        <c:ser>
          <c:idx val="1"/>
          <c:order val="1"/>
          <c:tx>
            <c:strRef>
              <c:f>'2BR_F-processed'!$F$1</c:f>
              <c:strCache>
                <c:ptCount val="1"/>
                <c:pt idx="0">
                  <c:v>Rest of SA</c:v>
                </c:pt>
              </c:strCache>
            </c:strRef>
          </c:tx>
          <c:spPr>
            <a:ln w="28575" cap="rnd">
              <a:solidFill>
                <a:schemeClr val="accent2"/>
              </a:solidFill>
              <a:prstDash val="sysDot"/>
              <a:round/>
            </a:ln>
            <a:effectLst/>
          </c:spPr>
          <c:marker>
            <c:symbol val="none"/>
          </c:marker>
          <c:cat>
            <c:numRef>
              <c:f>'2BR_F-processed'!$B$2:$B$109</c:f>
              <c:numCache>
                <c:formatCode>mmm\-yy</c:formatCode>
                <c:ptCount val="108"/>
                <c:pt idx="0">
                  <c:v>36220</c:v>
                </c:pt>
                <c:pt idx="1">
                  <c:v>36312</c:v>
                </c:pt>
                <c:pt idx="2">
                  <c:v>36404</c:v>
                </c:pt>
                <c:pt idx="3">
                  <c:v>36495</c:v>
                </c:pt>
                <c:pt idx="4">
                  <c:v>36586</c:v>
                </c:pt>
                <c:pt idx="5">
                  <c:v>36678</c:v>
                </c:pt>
                <c:pt idx="6">
                  <c:v>36770</c:v>
                </c:pt>
                <c:pt idx="7">
                  <c:v>36861</c:v>
                </c:pt>
                <c:pt idx="8">
                  <c:v>36951</c:v>
                </c:pt>
                <c:pt idx="9">
                  <c:v>37043</c:v>
                </c:pt>
                <c:pt idx="10">
                  <c:v>37135</c:v>
                </c:pt>
                <c:pt idx="11">
                  <c:v>37226</c:v>
                </c:pt>
                <c:pt idx="12">
                  <c:v>37316</c:v>
                </c:pt>
                <c:pt idx="13">
                  <c:v>37408</c:v>
                </c:pt>
                <c:pt idx="14">
                  <c:v>37500</c:v>
                </c:pt>
                <c:pt idx="15">
                  <c:v>37591</c:v>
                </c:pt>
                <c:pt idx="16">
                  <c:v>37681</c:v>
                </c:pt>
                <c:pt idx="17">
                  <c:v>37773</c:v>
                </c:pt>
                <c:pt idx="18">
                  <c:v>37865</c:v>
                </c:pt>
                <c:pt idx="19">
                  <c:v>37956</c:v>
                </c:pt>
                <c:pt idx="20">
                  <c:v>38047</c:v>
                </c:pt>
                <c:pt idx="21">
                  <c:v>38139</c:v>
                </c:pt>
                <c:pt idx="22">
                  <c:v>38231</c:v>
                </c:pt>
                <c:pt idx="23">
                  <c:v>38322</c:v>
                </c:pt>
                <c:pt idx="24">
                  <c:v>38412</c:v>
                </c:pt>
                <c:pt idx="25">
                  <c:v>38504</c:v>
                </c:pt>
                <c:pt idx="26">
                  <c:v>38596</c:v>
                </c:pt>
                <c:pt idx="27">
                  <c:v>38687</c:v>
                </c:pt>
                <c:pt idx="28">
                  <c:v>38777</c:v>
                </c:pt>
                <c:pt idx="29">
                  <c:v>38869</c:v>
                </c:pt>
                <c:pt idx="30">
                  <c:v>38961</c:v>
                </c:pt>
                <c:pt idx="31">
                  <c:v>39052</c:v>
                </c:pt>
                <c:pt idx="32">
                  <c:v>39142</c:v>
                </c:pt>
                <c:pt idx="33">
                  <c:v>39234</c:v>
                </c:pt>
                <c:pt idx="34">
                  <c:v>39326</c:v>
                </c:pt>
                <c:pt idx="35">
                  <c:v>39417</c:v>
                </c:pt>
                <c:pt idx="36">
                  <c:v>39508</c:v>
                </c:pt>
                <c:pt idx="37">
                  <c:v>39600</c:v>
                </c:pt>
                <c:pt idx="38">
                  <c:v>39692</c:v>
                </c:pt>
                <c:pt idx="39">
                  <c:v>39783</c:v>
                </c:pt>
                <c:pt idx="40">
                  <c:v>39873</c:v>
                </c:pt>
                <c:pt idx="41">
                  <c:v>39965</c:v>
                </c:pt>
                <c:pt idx="42">
                  <c:v>40057</c:v>
                </c:pt>
                <c:pt idx="43">
                  <c:v>40148</c:v>
                </c:pt>
                <c:pt idx="44">
                  <c:v>40238</c:v>
                </c:pt>
                <c:pt idx="45">
                  <c:v>40330</c:v>
                </c:pt>
                <c:pt idx="46">
                  <c:v>40422</c:v>
                </c:pt>
                <c:pt idx="47">
                  <c:v>40513</c:v>
                </c:pt>
                <c:pt idx="48">
                  <c:v>40603</c:v>
                </c:pt>
                <c:pt idx="49">
                  <c:v>40695</c:v>
                </c:pt>
                <c:pt idx="50">
                  <c:v>40787</c:v>
                </c:pt>
                <c:pt idx="51">
                  <c:v>40878</c:v>
                </c:pt>
                <c:pt idx="52">
                  <c:v>40969</c:v>
                </c:pt>
                <c:pt idx="53">
                  <c:v>41061</c:v>
                </c:pt>
                <c:pt idx="54">
                  <c:v>41153</c:v>
                </c:pt>
                <c:pt idx="55">
                  <c:v>41244</c:v>
                </c:pt>
                <c:pt idx="56">
                  <c:v>41334</c:v>
                </c:pt>
                <c:pt idx="57">
                  <c:v>41426</c:v>
                </c:pt>
                <c:pt idx="58">
                  <c:v>41518</c:v>
                </c:pt>
                <c:pt idx="59">
                  <c:v>41609</c:v>
                </c:pt>
                <c:pt idx="60">
                  <c:v>41699</c:v>
                </c:pt>
                <c:pt idx="61">
                  <c:v>41791</c:v>
                </c:pt>
                <c:pt idx="62">
                  <c:v>41883</c:v>
                </c:pt>
                <c:pt idx="63">
                  <c:v>41974</c:v>
                </c:pt>
                <c:pt idx="64">
                  <c:v>42064</c:v>
                </c:pt>
                <c:pt idx="65">
                  <c:v>42156</c:v>
                </c:pt>
                <c:pt idx="66">
                  <c:v>42248</c:v>
                </c:pt>
                <c:pt idx="67">
                  <c:v>42339</c:v>
                </c:pt>
                <c:pt idx="68">
                  <c:v>42430</c:v>
                </c:pt>
                <c:pt idx="69">
                  <c:v>42522</c:v>
                </c:pt>
                <c:pt idx="70">
                  <c:v>42614</c:v>
                </c:pt>
                <c:pt idx="71">
                  <c:v>42705</c:v>
                </c:pt>
                <c:pt idx="72">
                  <c:v>42795</c:v>
                </c:pt>
                <c:pt idx="73">
                  <c:v>42887</c:v>
                </c:pt>
                <c:pt idx="74">
                  <c:v>42979</c:v>
                </c:pt>
                <c:pt idx="75">
                  <c:v>43070</c:v>
                </c:pt>
                <c:pt idx="76">
                  <c:v>43160</c:v>
                </c:pt>
                <c:pt idx="77">
                  <c:v>43252</c:v>
                </c:pt>
                <c:pt idx="78">
                  <c:v>43344</c:v>
                </c:pt>
                <c:pt idx="79">
                  <c:v>43435</c:v>
                </c:pt>
                <c:pt idx="80">
                  <c:v>43525</c:v>
                </c:pt>
                <c:pt idx="81">
                  <c:v>43617</c:v>
                </c:pt>
                <c:pt idx="82">
                  <c:v>43709</c:v>
                </c:pt>
                <c:pt idx="83">
                  <c:v>43800</c:v>
                </c:pt>
                <c:pt idx="84">
                  <c:v>43891</c:v>
                </c:pt>
                <c:pt idx="85">
                  <c:v>43983</c:v>
                </c:pt>
                <c:pt idx="86">
                  <c:v>44075</c:v>
                </c:pt>
                <c:pt idx="87">
                  <c:v>44166</c:v>
                </c:pt>
                <c:pt idx="88">
                  <c:v>44256</c:v>
                </c:pt>
                <c:pt idx="89">
                  <c:v>44348</c:v>
                </c:pt>
                <c:pt idx="90">
                  <c:v>44440</c:v>
                </c:pt>
                <c:pt idx="91">
                  <c:v>44531</c:v>
                </c:pt>
                <c:pt idx="92">
                  <c:v>44621</c:v>
                </c:pt>
                <c:pt idx="93">
                  <c:v>44713</c:v>
                </c:pt>
                <c:pt idx="94">
                  <c:v>44805</c:v>
                </c:pt>
                <c:pt idx="95">
                  <c:v>44896</c:v>
                </c:pt>
                <c:pt idx="96">
                  <c:v>44986</c:v>
                </c:pt>
                <c:pt idx="97">
                  <c:v>45078</c:v>
                </c:pt>
                <c:pt idx="98">
                  <c:v>45170</c:v>
                </c:pt>
                <c:pt idx="99">
                  <c:v>45261</c:v>
                </c:pt>
                <c:pt idx="100">
                  <c:v>45352</c:v>
                </c:pt>
                <c:pt idx="101">
                  <c:v>45444</c:v>
                </c:pt>
                <c:pt idx="102">
                  <c:v>45536</c:v>
                </c:pt>
                <c:pt idx="103">
                  <c:v>45627</c:v>
                </c:pt>
                <c:pt idx="104">
                  <c:v>45717</c:v>
                </c:pt>
                <c:pt idx="105">
                  <c:v>45809</c:v>
                </c:pt>
                <c:pt idx="106">
                  <c:v>45901</c:v>
                </c:pt>
                <c:pt idx="107">
                  <c:v>45992</c:v>
                </c:pt>
              </c:numCache>
            </c:numRef>
          </c:cat>
          <c:val>
            <c:numRef>
              <c:f>'2BR_F-processed'!$F$2:$F$109</c:f>
              <c:numCache>
                <c:formatCode>0.00</c:formatCode>
                <c:ptCount val="108"/>
                <c:pt idx="0">
                  <c:v>94.299625645642791</c:v>
                </c:pt>
                <c:pt idx="1">
                  <c:v>94.299625645642791</c:v>
                </c:pt>
                <c:pt idx="2">
                  <c:v>94.299625645642791</c:v>
                </c:pt>
                <c:pt idx="3">
                  <c:v>94.299625645642791</c:v>
                </c:pt>
                <c:pt idx="4">
                  <c:v>96.685779273089139</c:v>
                </c:pt>
                <c:pt idx="5">
                  <c:v>96.685779273089139</c:v>
                </c:pt>
                <c:pt idx="6">
                  <c:v>96.685779273089139</c:v>
                </c:pt>
                <c:pt idx="7">
                  <c:v>96.685779273089139</c:v>
                </c:pt>
                <c:pt idx="8">
                  <c:v>94.166706155522903</c:v>
                </c:pt>
                <c:pt idx="9">
                  <c:v>94.166706155522903</c:v>
                </c:pt>
                <c:pt idx="10">
                  <c:v>94.166706155522903</c:v>
                </c:pt>
                <c:pt idx="11">
                  <c:v>94.166706155522903</c:v>
                </c:pt>
                <c:pt idx="12">
                  <c:v>100.58522484954746</c:v>
                </c:pt>
                <c:pt idx="13">
                  <c:v>100.58522484954746</c:v>
                </c:pt>
                <c:pt idx="14">
                  <c:v>100.58522484954746</c:v>
                </c:pt>
                <c:pt idx="15">
                  <c:v>100.58522484954746</c:v>
                </c:pt>
                <c:pt idx="16">
                  <c:v>107.003743543572</c:v>
                </c:pt>
                <c:pt idx="17">
                  <c:v>107.003743543572</c:v>
                </c:pt>
                <c:pt idx="18">
                  <c:v>107.003743543572</c:v>
                </c:pt>
                <c:pt idx="19">
                  <c:v>107.003743543572</c:v>
                </c:pt>
                <c:pt idx="20">
                  <c:v>112.44988864142539</c:v>
                </c:pt>
                <c:pt idx="21">
                  <c:v>112.44988864142539</c:v>
                </c:pt>
                <c:pt idx="22">
                  <c:v>112.44988864142539</c:v>
                </c:pt>
                <c:pt idx="23">
                  <c:v>112.44988864142539</c:v>
                </c:pt>
                <c:pt idx="24">
                  <c:v>122.51551912050419</c:v>
                </c:pt>
                <c:pt idx="25">
                  <c:v>122.51551912050419</c:v>
                </c:pt>
                <c:pt idx="26">
                  <c:v>122.51551912050419</c:v>
                </c:pt>
                <c:pt idx="27">
                  <c:v>122.51551912050419</c:v>
                </c:pt>
                <c:pt idx="28">
                  <c:v>132.581149599583</c:v>
                </c:pt>
                <c:pt idx="29">
                  <c:v>132.581149599583</c:v>
                </c:pt>
                <c:pt idx="30">
                  <c:v>132.581149599583</c:v>
                </c:pt>
                <c:pt idx="31">
                  <c:v>132.581149599583</c:v>
                </c:pt>
                <c:pt idx="32">
                  <c:v>141.2905747997915</c:v>
                </c:pt>
                <c:pt idx="33">
                  <c:v>141.2905747997915</c:v>
                </c:pt>
                <c:pt idx="34">
                  <c:v>141.2905747997915</c:v>
                </c:pt>
                <c:pt idx="35">
                  <c:v>141.2905747997915</c:v>
                </c:pt>
                <c:pt idx="36" formatCode="General">
                  <c:v>150</c:v>
                </c:pt>
                <c:pt idx="37" formatCode="General">
                  <c:v>150</c:v>
                </c:pt>
                <c:pt idx="38" formatCode="General">
                  <c:v>150</c:v>
                </c:pt>
                <c:pt idx="39" formatCode="General">
                  <c:v>155</c:v>
                </c:pt>
                <c:pt idx="40" formatCode="General">
                  <c:v>155</c:v>
                </c:pt>
                <c:pt idx="41" formatCode="General">
                  <c:v>160</c:v>
                </c:pt>
                <c:pt idx="42" formatCode="General">
                  <c:v>160</c:v>
                </c:pt>
                <c:pt idx="43" formatCode="General">
                  <c:v>160</c:v>
                </c:pt>
                <c:pt idx="44" formatCode="General">
                  <c:v>170</c:v>
                </c:pt>
                <c:pt idx="45" formatCode="General">
                  <c:v>170</c:v>
                </c:pt>
                <c:pt idx="46" formatCode="General">
                  <c:v>170</c:v>
                </c:pt>
                <c:pt idx="47" formatCode="General">
                  <c:v>170</c:v>
                </c:pt>
                <c:pt idx="48" formatCode="General">
                  <c:v>180</c:v>
                </c:pt>
                <c:pt idx="49" formatCode="General">
                  <c:v>170</c:v>
                </c:pt>
                <c:pt idx="50" formatCode="General">
                  <c:v>180</c:v>
                </c:pt>
                <c:pt idx="51" formatCode="General">
                  <c:v>175</c:v>
                </c:pt>
                <c:pt idx="52" formatCode="General">
                  <c:v>185</c:v>
                </c:pt>
                <c:pt idx="53" formatCode="General">
                  <c:v>175</c:v>
                </c:pt>
                <c:pt idx="54" formatCode="General">
                  <c:v>185</c:v>
                </c:pt>
                <c:pt idx="55" formatCode="General">
                  <c:v>185</c:v>
                </c:pt>
                <c:pt idx="56" formatCode="General">
                  <c:v>180</c:v>
                </c:pt>
                <c:pt idx="57" formatCode="General">
                  <c:v>185</c:v>
                </c:pt>
                <c:pt idx="58" formatCode="General">
                  <c:v>190</c:v>
                </c:pt>
                <c:pt idx="59" formatCode="General">
                  <c:v>185</c:v>
                </c:pt>
                <c:pt idx="60" formatCode="General">
                  <c:v>182.5</c:v>
                </c:pt>
                <c:pt idx="61" formatCode="General">
                  <c:v>190</c:v>
                </c:pt>
                <c:pt idx="62" formatCode="General">
                  <c:v>190</c:v>
                </c:pt>
                <c:pt idx="63" formatCode="General">
                  <c:v>190</c:v>
                </c:pt>
                <c:pt idx="64" formatCode="General">
                  <c:v>190</c:v>
                </c:pt>
                <c:pt idx="65" formatCode="General">
                  <c:v>185</c:v>
                </c:pt>
                <c:pt idx="66" formatCode="General">
                  <c:v>190</c:v>
                </c:pt>
                <c:pt idx="67" formatCode="General">
                  <c:v>195</c:v>
                </c:pt>
                <c:pt idx="68" formatCode="General">
                  <c:v>190</c:v>
                </c:pt>
                <c:pt idx="69" formatCode="General">
                  <c:v>195</c:v>
                </c:pt>
                <c:pt idx="70" formatCode="General">
                  <c:v>190</c:v>
                </c:pt>
                <c:pt idx="71" formatCode="General">
                  <c:v>190</c:v>
                </c:pt>
                <c:pt idx="72" formatCode="General">
                  <c:v>190</c:v>
                </c:pt>
                <c:pt idx="73" formatCode="General">
                  <c:v>190</c:v>
                </c:pt>
                <c:pt idx="74" formatCode="General">
                  <c:v>200</c:v>
                </c:pt>
                <c:pt idx="75" formatCode="General">
                  <c:v>193</c:v>
                </c:pt>
                <c:pt idx="76" formatCode="General">
                  <c:v>200</c:v>
                </c:pt>
                <c:pt idx="77" formatCode="General">
                  <c:v>200</c:v>
                </c:pt>
                <c:pt idx="78" formatCode="General">
                  <c:v>200</c:v>
                </c:pt>
                <c:pt idx="79" formatCode="General">
                  <c:v>200</c:v>
                </c:pt>
                <c:pt idx="80" formatCode="General">
                  <c:v>210</c:v>
                </c:pt>
                <c:pt idx="81" formatCode="General">
                  <c:v>200</c:v>
                </c:pt>
                <c:pt idx="82" formatCode="General">
                  <c:v>205</c:v>
                </c:pt>
                <c:pt idx="83" formatCode="General">
                  <c:v>200</c:v>
                </c:pt>
                <c:pt idx="84" formatCode="General">
                  <c:v>210</c:v>
                </c:pt>
                <c:pt idx="85" formatCode="General">
                  <c:v>210</c:v>
                </c:pt>
                <c:pt idx="86" formatCode="General">
                  <c:v>210</c:v>
                </c:pt>
                <c:pt idx="87" formatCode="General">
                  <c:v>220</c:v>
                </c:pt>
                <c:pt idx="88" formatCode="General">
                  <c:v>220</c:v>
                </c:pt>
                <c:pt idx="89" formatCode="General">
                  <c:v>230</c:v>
                </c:pt>
                <c:pt idx="90" formatCode="General">
                  <c:v>220</c:v>
                </c:pt>
                <c:pt idx="91" formatCode="General">
                  <c:v>240</c:v>
                </c:pt>
                <c:pt idx="92" formatCode="General">
                  <c:v>235</c:v>
                </c:pt>
                <c:pt idx="93" formatCode="General">
                  <c:v>235</c:v>
                </c:pt>
                <c:pt idx="94" formatCode="General">
                  <c:v>252.5</c:v>
                </c:pt>
                <c:pt idx="95" formatCode="General">
                  <c:v>255</c:v>
                </c:pt>
                <c:pt idx="96" formatCode="General">
                  <c:v>260</c:v>
                </c:pt>
                <c:pt idx="97" formatCode="General">
                  <c:v>260</c:v>
                </c:pt>
                <c:pt idx="98" formatCode="General">
                  <c:v>270</c:v>
                </c:pt>
                <c:pt idx="99" formatCode="General">
                  <c:v>280</c:v>
                </c:pt>
                <c:pt idx="100" formatCode="General">
                  <c:v>280</c:v>
                </c:pt>
                <c:pt idx="101" formatCode="General">
                  <c:v>290</c:v>
                </c:pt>
                <c:pt idx="102" formatCode="General">
                  <c:v>295</c:v>
                </c:pt>
                <c:pt idx="103" formatCode="General">
                  <c:v>295</c:v>
                </c:pt>
                <c:pt idx="104" formatCode="General">
                  <c:v>290</c:v>
                </c:pt>
                <c:pt idx="105" formatCode="General">
                  <c:v>300</c:v>
                </c:pt>
                <c:pt idx="106" formatCode="General">
                  <c:v>302.5</c:v>
                </c:pt>
                <c:pt idx="107" formatCode="General">
                  <c:v>300</c:v>
                </c:pt>
              </c:numCache>
            </c:numRef>
          </c:val>
          <c:smooth val="0"/>
          <c:extLst>
            <c:ext xmlns:c16="http://schemas.microsoft.com/office/drawing/2014/chart" uri="{C3380CC4-5D6E-409C-BE32-E72D297353CC}">
              <c16:uniqueId val="{00000001-617F-4C2B-A3D4-409ECC1B6286}"/>
            </c:ext>
          </c:extLst>
        </c:ser>
        <c:dLbls>
          <c:showLegendKey val="0"/>
          <c:showVal val="0"/>
          <c:showCatName val="0"/>
          <c:showSerName val="0"/>
          <c:showPercent val="0"/>
          <c:showBubbleSize val="0"/>
        </c:dLbls>
        <c:smooth val="0"/>
        <c:axId val="1213482335"/>
        <c:axId val="1213483775"/>
      </c:lineChart>
      <c:dateAx>
        <c:axId val="1213482335"/>
        <c:scaling>
          <c:orientation val="minMax"/>
          <c:max val="45992"/>
          <c:min val="36586"/>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3775"/>
        <c:crosses val="autoZero"/>
        <c:auto val="1"/>
        <c:lblOffset val="100"/>
        <c:baseTimeUnit val="months"/>
        <c:majorUnit val="24"/>
        <c:majorTimeUnit val="months"/>
      </c:dateAx>
      <c:valAx>
        <c:axId val="12134837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2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weekly rents, 3-bed house, new bonds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'3BR_H-processed'!$E$1</c:f>
              <c:strCache>
                <c:ptCount val="1"/>
                <c:pt idx="0">
                  <c:v>Adelaide</c:v>
                </c:pt>
              </c:strCache>
            </c:strRef>
          </c:tx>
          <c:spPr>
            <a:ln w="28575" cap="rnd">
              <a:solidFill>
                <a:schemeClr val="accent1"/>
              </a:solidFill>
              <a:round/>
            </a:ln>
            <a:effectLst/>
          </c:spPr>
          <c:marker>
            <c:symbol val="none"/>
          </c:marker>
          <c:cat>
            <c:numRef>
              <c:f>'3BR_H-processed'!$B$2:$B$97</c:f>
              <c:numCache>
                <c:formatCode>mmm\-yy</c:formatCode>
                <c:ptCount val="96"/>
                <c:pt idx="0">
                  <c:v>36220</c:v>
                </c:pt>
                <c:pt idx="1">
                  <c:v>36312</c:v>
                </c:pt>
                <c:pt idx="2">
                  <c:v>36404</c:v>
                </c:pt>
                <c:pt idx="3">
                  <c:v>36495</c:v>
                </c:pt>
                <c:pt idx="4">
                  <c:v>36586</c:v>
                </c:pt>
                <c:pt idx="5">
                  <c:v>36678</c:v>
                </c:pt>
                <c:pt idx="6">
                  <c:v>36770</c:v>
                </c:pt>
                <c:pt idx="7">
                  <c:v>36861</c:v>
                </c:pt>
                <c:pt idx="8">
                  <c:v>36951</c:v>
                </c:pt>
                <c:pt idx="9">
                  <c:v>37043</c:v>
                </c:pt>
                <c:pt idx="10">
                  <c:v>37135</c:v>
                </c:pt>
                <c:pt idx="11">
                  <c:v>37226</c:v>
                </c:pt>
                <c:pt idx="12">
                  <c:v>37316</c:v>
                </c:pt>
                <c:pt idx="13">
                  <c:v>37408</c:v>
                </c:pt>
                <c:pt idx="14">
                  <c:v>37500</c:v>
                </c:pt>
                <c:pt idx="15">
                  <c:v>37591</c:v>
                </c:pt>
                <c:pt idx="16">
                  <c:v>37681</c:v>
                </c:pt>
                <c:pt idx="17">
                  <c:v>37773</c:v>
                </c:pt>
                <c:pt idx="18">
                  <c:v>37865</c:v>
                </c:pt>
                <c:pt idx="19">
                  <c:v>37956</c:v>
                </c:pt>
                <c:pt idx="20">
                  <c:v>38047</c:v>
                </c:pt>
                <c:pt idx="21">
                  <c:v>38139</c:v>
                </c:pt>
                <c:pt idx="22">
                  <c:v>38231</c:v>
                </c:pt>
                <c:pt idx="23">
                  <c:v>38322</c:v>
                </c:pt>
                <c:pt idx="24">
                  <c:v>38412</c:v>
                </c:pt>
                <c:pt idx="25">
                  <c:v>38504</c:v>
                </c:pt>
                <c:pt idx="26">
                  <c:v>38596</c:v>
                </c:pt>
                <c:pt idx="27">
                  <c:v>38687</c:v>
                </c:pt>
                <c:pt idx="28">
                  <c:v>38777</c:v>
                </c:pt>
                <c:pt idx="29">
                  <c:v>38869</c:v>
                </c:pt>
                <c:pt idx="30">
                  <c:v>38961</c:v>
                </c:pt>
                <c:pt idx="31">
                  <c:v>39052</c:v>
                </c:pt>
                <c:pt idx="32">
                  <c:v>39142</c:v>
                </c:pt>
                <c:pt idx="33">
                  <c:v>39234</c:v>
                </c:pt>
                <c:pt idx="34">
                  <c:v>39326</c:v>
                </c:pt>
                <c:pt idx="35">
                  <c:v>39417</c:v>
                </c:pt>
                <c:pt idx="36">
                  <c:v>39508</c:v>
                </c:pt>
                <c:pt idx="37">
                  <c:v>39600</c:v>
                </c:pt>
                <c:pt idx="38">
                  <c:v>39692</c:v>
                </c:pt>
                <c:pt idx="39">
                  <c:v>39783</c:v>
                </c:pt>
                <c:pt idx="40">
                  <c:v>39873</c:v>
                </c:pt>
                <c:pt idx="41">
                  <c:v>39965</c:v>
                </c:pt>
                <c:pt idx="42">
                  <c:v>40057</c:v>
                </c:pt>
                <c:pt idx="43">
                  <c:v>40148</c:v>
                </c:pt>
                <c:pt idx="44">
                  <c:v>40238</c:v>
                </c:pt>
                <c:pt idx="45">
                  <c:v>40330</c:v>
                </c:pt>
                <c:pt idx="46">
                  <c:v>40422</c:v>
                </c:pt>
                <c:pt idx="47">
                  <c:v>40513</c:v>
                </c:pt>
                <c:pt idx="48">
                  <c:v>40603</c:v>
                </c:pt>
                <c:pt idx="49">
                  <c:v>40695</c:v>
                </c:pt>
                <c:pt idx="50">
                  <c:v>40787</c:v>
                </c:pt>
                <c:pt idx="51">
                  <c:v>40878</c:v>
                </c:pt>
                <c:pt idx="52">
                  <c:v>40969</c:v>
                </c:pt>
                <c:pt idx="53">
                  <c:v>41061</c:v>
                </c:pt>
                <c:pt idx="54">
                  <c:v>41153</c:v>
                </c:pt>
                <c:pt idx="55">
                  <c:v>41244</c:v>
                </c:pt>
                <c:pt idx="56">
                  <c:v>41334</c:v>
                </c:pt>
                <c:pt idx="57">
                  <c:v>41426</c:v>
                </c:pt>
                <c:pt idx="58">
                  <c:v>41518</c:v>
                </c:pt>
                <c:pt idx="59">
                  <c:v>41609</c:v>
                </c:pt>
                <c:pt idx="60">
                  <c:v>41699</c:v>
                </c:pt>
                <c:pt idx="61">
                  <c:v>41791</c:v>
                </c:pt>
                <c:pt idx="62">
                  <c:v>41883</c:v>
                </c:pt>
                <c:pt idx="63">
                  <c:v>41974</c:v>
                </c:pt>
                <c:pt idx="64">
                  <c:v>42064</c:v>
                </c:pt>
                <c:pt idx="65">
                  <c:v>42156</c:v>
                </c:pt>
                <c:pt idx="66">
                  <c:v>42248</c:v>
                </c:pt>
                <c:pt idx="67">
                  <c:v>42339</c:v>
                </c:pt>
                <c:pt idx="68">
                  <c:v>42430</c:v>
                </c:pt>
                <c:pt idx="69">
                  <c:v>42522</c:v>
                </c:pt>
                <c:pt idx="70">
                  <c:v>42614</c:v>
                </c:pt>
                <c:pt idx="71">
                  <c:v>42705</c:v>
                </c:pt>
                <c:pt idx="72">
                  <c:v>42795</c:v>
                </c:pt>
                <c:pt idx="73">
                  <c:v>42887</c:v>
                </c:pt>
                <c:pt idx="74">
                  <c:v>42979</c:v>
                </c:pt>
                <c:pt idx="75">
                  <c:v>43070</c:v>
                </c:pt>
                <c:pt idx="76">
                  <c:v>43160</c:v>
                </c:pt>
                <c:pt idx="77">
                  <c:v>43252</c:v>
                </c:pt>
                <c:pt idx="78">
                  <c:v>43344</c:v>
                </c:pt>
                <c:pt idx="79">
                  <c:v>43435</c:v>
                </c:pt>
                <c:pt idx="80">
                  <c:v>43525</c:v>
                </c:pt>
                <c:pt idx="81">
                  <c:v>43617</c:v>
                </c:pt>
                <c:pt idx="82">
                  <c:v>43709</c:v>
                </c:pt>
                <c:pt idx="83">
                  <c:v>43800</c:v>
                </c:pt>
                <c:pt idx="84">
                  <c:v>43891</c:v>
                </c:pt>
                <c:pt idx="85">
                  <c:v>43983</c:v>
                </c:pt>
                <c:pt idx="86">
                  <c:v>44075</c:v>
                </c:pt>
                <c:pt idx="87">
                  <c:v>44166</c:v>
                </c:pt>
                <c:pt idx="88">
                  <c:v>44256</c:v>
                </c:pt>
                <c:pt idx="89">
                  <c:v>44348</c:v>
                </c:pt>
                <c:pt idx="90">
                  <c:v>44440</c:v>
                </c:pt>
                <c:pt idx="91">
                  <c:v>44531</c:v>
                </c:pt>
                <c:pt idx="92">
                  <c:v>44621</c:v>
                </c:pt>
                <c:pt idx="93">
                  <c:v>44713</c:v>
                </c:pt>
                <c:pt idx="94">
                  <c:v>44805</c:v>
                </c:pt>
                <c:pt idx="95">
                  <c:v>44896</c:v>
                </c:pt>
              </c:numCache>
            </c:numRef>
          </c:cat>
          <c:val>
            <c:numRef>
              <c:f>'3BR_H-processed'!$E$2:$E$97</c:f>
              <c:numCache>
                <c:formatCode>0.00</c:formatCode>
                <c:ptCount val="96"/>
                <c:pt idx="0">
                  <c:v>169.73932616215703</c:v>
                </c:pt>
                <c:pt idx="1">
                  <c:v>169.73932616215703</c:v>
                </c:pt>
                <c:pt idx="2">
                  <c:v>169.73932616215703</c:v>
                </c:pt>
                <c:pt idx="3">
                  <c:v>169.73932616215703</c:v>
                </c:pt>
                <c:pt idx="4">
                  <c:v>174.03440269156044</c:v>
                </c:pt>
                <c:pt idx="5">
                  <c:v>174.03440269156044</c:v>
                </c:pt>
                <c:pt idx="6">
                  <c:v>174.03440269156044</c:v>
                </c:pt>
                <c:pt idx="7">
                  <c:v>174.03440269156044</c:v>
                </c:pt>
                <c:pt idx="8">
                  <c:v>169.50007107994122</c:v>
                </c:pt>
                <c:pt idx="9">
                  <c:v>169.50007107994122</c:v>
                </c:pt>
                <c:pt idx="10">
                  <c:v>169.50007107994122</c:v>
                </c:pt>
                <c:pt idx="11">
                  <c:v>169.50007107994122</c:v>
                </c:pt>
                <c:pt idx="12">
                  <c:v>181.05340472918542</c:v>
                </c:pt>
                <c:pt idx="13">
                  <c:v>181.05340472918542</c:v>
                </c:pt>
                <c:pt idx="14">
                  <c:v>181.05340472918542</c:v>
                </c:pt>
                <c:pt idx="15">
                  <c:v>181.05340472918542</c:v>
                </c:pt>
                <c:pt idx="16">
                  <c:v>192.60673837842961</c:v>
                </c:pt>
                <c:pt idx="17">
                  <c:v>192.60673837842961</c:v>
                </c:pt>
                <c:pt idx="18">
                  <c:v>192.60673837842961</c:v>
                </c:pt>
                <c:pt idx="19">
                  <c:v>192.60673837842961</c:v>
                </c:pt>
                <c:pt idx="20">
                  <c:v>202.40979955456572</c:v>
                </c:pt>
                <c:pt idx="21">
                  <c:v>202.40979955456572</c:v>
                </c:pt>
                <c:pt idx="22">
                  <c:v>202.40979955456572</c:v>
                </c:pt>
                <c:pt idx="23">
                  <c:v>202.40979955456572</c:v>
                </c:pt>
                <c:pt idx="24">
                  <c:v>220.52793441690756</c:v>
                </c:pt>
                <c:pt idx="25">
                  <c:v>220.52793441690756</c:v>
                </c:pt>
                <c:pt idx="26">
                  <c:v>220.52793441690756</c:v>
                </c:pt>
                <c:pt idx="27">
                  <c:v>220.52793441690756</c:v>
                </c:pt>
                <c:pt idx="28">
                  <c:v>238.64606927924939</c:v>
                </c:pt>
                <c:pt idx="29">
                  <c:v>238.64606927924939</c:v>
                </c:pt>
                <c:pt idx="30">
                  <c:v>238.64606927924939</c:v>
                </c:pt>
                <c:pt idx="31">
                  <c:v>238.64606927924939</c:v>
                </c:pt>
                <c:pt idx="32">
                  <c:v>254.32303463962469</c:v>
                </c:pt>
                <c:pt idx="33">
                  <c:v>254.32303463962469</c:v>
                </c:pt>
                <c:pt idx="34">
                  <c:v>254.32303463962469</c:v>
                </c:pt>
                <c:pt idx="35">
                  <c:v>254.32303463962469</c:v>
                </c:pt>
                <c:pt idx="36" formatCode="General">
                  <c:v>270</c:v>
                </c:pt>
                <c:pt idx="37" formatCode="General">
                  <c:v>270</c:v>
                </c:pt>
                <c:pt idx="38" formatCode="General">
                  <c:v>280</c:v>
                </c:pt>
                <c:pt idx="39" formatCode="General">
                  <c:v>280</c:v>
                </c:pt>
                <c:pt idx="40" formatCode="General">
                  <c:v>290</c:v>
                </c:pt>
                <c:pt idx="41" formatCode="General">
                  <c:v>290</c:v>
                </c:pt>
                <c:pt idx="42" formatCode="General">
                  <c:v>295</c:v>
                </c:pt>
                <c:pt idx="43" formatCode="General">
                  <c:v>300</c:v>
                </c:pt>
                <c:pt idx="44" formatCode="General">
                  <c:v>310</c:v>
                </c:pt>
                <c:pt idx="45" formatCode="General">
                  <c:v>300</c:v>
                </c:pt>
                <c:pt idx="46" formatCode="General">
                  <c:v>310</c:v>
                </c:pt>
                <c:pt idx="47" formatCode="General">
                  <c:v>312.5</c:v>
                </c:pt>
                <c:pt idx="48" formatCode="General">
                  <c:v>320</c:v>
                </c:pt>
                <c:pt idx="49" formatCode="General">
                  <c:v>320</c:v>
                </c:pt>
                <c:pt idx="50" formatCode="General">
                  <c:v>320</c:v>
                </c:pt>
                <c:pt idx="51" formatCode="General">
                  <c:v>320</c:v>
                </c:pt>
                <c:pt idx="52" formatCode="General">
                  <c:v>330</c:v>
                </c:pt>
                <c:pt idx="53" formatCode="General">
                  <c:v>320</c:v>
                </c:pt>
                <c:pt idx="54" formatCode="General">
                  <c:v>320</c:v>
                </c:pt>
                <c:pt idx="55" formatCode="General">
                  <c:v>325</c:v>
                </c:pt>
                <c:pt idx="56" formatCode="General">
                  <c:v>330</c:v>
                </c:pt>
                <c:pt idx="57" formatCode="General">
                  <c:v>320</c:v>
                </c:pt>
                <c:pt idx="58" formatCode="General">
                  <c:v>325</c:v>
                </c:pt>
                <c:pt idx="59" formatCode="General">
                  <c:v>327.5</c:v>
                </c:pt>
                <c:pt idx="60" formatCode="General">
                  <c:v>330</c:v>
                </c:pt>
                <c:pt idx="61" formatCode="General">
                  <c:v>340</c:v>
                </c:pt>
                <c:pt idx="62" formatCode="General">
                  <c:v>330</c:v>
                </c:pt>
                <c:pt idx="63" formatCode="General">
                  <c:v>330</c:v>
                </c:pt>
                <c:pt idx="64" formatCode="General">
                  <c:v>340</c:v>
                </c:pt>
                <c:pt idx="65" formatCode="General">
                  <c:v>340</c:v>
                </c:pt>
                <c:pt idx="66" formatCode="General">
                  <c:v>340</c:v>
                </c:pt>
                <c:pt idx="67" formatCode="General">
                  <c:v>330</c:v>
                </c:pt>
                <c:pt idx="68" formatCode="General">
                  <c:v>341</c:v>
                </c:pt>
                <c:pt idx="69" formatCode="General">
                  <c:v>335</c:v>
                </c:pt>
                <c:pt idx="70" formatCode="General">
                  <c:v>340</c:v>
                </c:pt>
                <c:pt idx="71" formatCode="General">
                  <c:v>340</c:v>
                </c:pt>
                <c:pt idx="72" formatCode="General">
                  <c:v>350</c:v>
                </c:pt>
                <c:pt idx="73" formatCode="General">
                  <c:v>340</c:v>
                </c:pt>
                <c:pt idx="74" formatCode="General">
                  <c:v>345</c:v>
                </c:pt>
                <c:pt idx="75" formatCode="General">
                  <c:v>345</c:v>
                </c:pt>
                <c:pt idx="76" formatCode="General">
                  <c:v>360</c:v>
                </c:pt>
                <c:pt idx="77" formatCode="General">
                  <c:v>350</c:v>
                </c:pt>
                <c:pt idx="78" formatCode="General">
                  <c:v>350</c:v>
                </c:pt>
                <c:pt idx="79" formatCode="General">
                  <c:v>355</c:v>
                </c:pt>
                <c:pt idx="80" formatCode="General">
                  <c:v>370</c:v>
                </c:pt>
                <c:pt idx="81" formatCode="General">
                  <c:v>360</c:v>
                </c:pt>
                <c:pt idx="82" formatCode="General">
                  <c:v>360</c:v>
                </c:pt>
                <c:pt idx="83" formatCode="General">
                  <c:v>370</c:v>
                </c:pt>
                <c:pt idx="84" formatCode="General">
                  <c:v>380</c:v>
                </c:pt>
                <c:pt idx="85" formatCode="General">
                  <c:v>360</c:v>
                </c:pt>
                <c:pt idx="86" formatCode="General">
                  <c:v>375</c:v>
                </c:pt>
                <c:pt idx="87" formatCode="General">
                  <c:v>390</c:v>
                </c:pt>
                <c:pt idx="88" formatCode="General">
                  <c:v>400</c:v>
                </c:pt>
                <c:pt idx="89" formatCode="General">
                  <c:v>400</c:v>
                </c:pt>
                <c:pt idx="90" formatCode="General">
                  <c:v>410</c:v>
                </c:pt>
                <c:pt idx="91" formatCode="General">
                  <c:v>420</c:v>
                </c:pt>
                <c:pt idx="92" formatCode="General">
                  <c:v>445</c:v>
                </c:pt>
                <c:pt idx="93" formatCode="General">
                  <c:v>450</c:v>
                </c:pt>
                <c:pt idx="94" formatCode="General">
                  <c:v>460</c:v>
                </c:pt>
                <c:pt idx="95" formatCode="General">
                  <c:v>480</c:v>
                </c:pt>
              </c:numCache>
            </c:numRef>
          </c:val>
          <c:smooth val="0"/>
          <c:extLst>
            <c:ext xmlns:c16="http://schemas.microsoft.com/office/drawing/2014/chart" uri="{C3380CC4-5D6E-409C-BE32-E72D297353CC}">
              <c16:uniqueId val="{00000000-BD94-4DDC-8360-46B49DD12A0E}"/>
            </c:ext>
          </c:extLst>
        </c:ser>
        <c:ser>
          <c:idx val="1"/>
          <c:order val="1"/>
          <c:tx>
            <c:strRef>
              <c:f>'3BR_H-processed'!$F$1</c:f>
              <c:strCache>
                <c:ptCount val="1"/>
                <c:pt idx="0">
                  <c:v>Rest of SA</c:v>
                </c:pt>
              </c:strCache>
            </c:strRef>
          </c:tx>
          <c:spPr>
            <a:ln w="28575" cap="rnd">
              <a:solidFill>
                <a:schemeClr val="accent2"/>
              </a:solidFill>
              <a:prstDash val="sysDot"/>
              <a:round/>
            </a:ln>
            <a:effectLst/>
          </c:spPr>
          <c:marker>
            <c:symbol val="none"/>
          </c:marker>
          <c:cat>
            <c:numRef>
              <c:f>'3BR_H-processed'!$B$2:$B$97</c:f>
              <c:numCache>
                <c:formatCode>mmm\-yy</c:formatCode>
                <c:ptCount val="96"/>
                <c:pt idx="0">
                  <c:v>36220</c:v>
                </c:pt>
                <c:pt idx="1">
                  <c:v>36312</c:v>
                </c:pt>
                <c:pt idx="2">
                  <c:v>36404</c:v>
                </c:pt>
                <c:pt idx="3">
                  <c:v>36495</c:v>
                </c:pt>
                <c:pt idx="4">
                  <c:v>36586</c:v>
                </c:pt>
                <c:pt idx="5">
                  <c:v>36678</c:v>
                </c:pt>
                <c:pt idx="6">
                  <c:v>36770</c:v>
                </c:pt>
                <c:pt idx="7">
                  <c:v>36861</c:v>
                </c:pt>
                <c:pt idx="8">
                  <c:v>36951</c:v>
                </c:pt>
                <c:pt idx="9">
                  <c:v>37043</c:v>
                </c:pt>
                <c:pt idx="10">
                  <c:v>37135</c:v>
                </c:pt>
                <c:pt idx="11">
                  <c:v>37226</c:v>
                </c:pt>
                <c:pt idx="12">
                  <c:v>37316</c:v>
                </c:pt>
                <c:pt idx="13">
                  <c:v>37408</c:v>
                </c:pt>
                <c:pt idx="14">
                  <c:v>37500</c:v>
                </c:pt>
                <c:pt idx="15">
                  <c:v>37591</c:v>
                </c:pt>
                <c:pt idx="16">
                  <c:v>37681</c:v>
                </c:pt>
                <c:pt idx="17">
                  <c:v>37773</c:v>
                </c:pt>
                <c:pt idx="18">
                  <c:v>37865</c:v>
                </c:pt>
                <c:pt idx="19">
                  <c:v>37956</c:v>
                </c:pt>
                <c:pt idx="20">
                  <c:v>38047</c:v>
                </c:pt>
                <c:pt idx="21">
                  <c:v>38139</c:v>
                </c:pt>
                <c:pt idx="22">
                  <c:v>38231</c:v>
                </c:pt>
                <c:pt idx="23">
                  <c:v>38322</c:v>
                </c:pt>
                <c:pt idx="24">
                  <c:v>38412</c:v>
                </c:pt>
                <c:pt idx="25">
                  <c:v>38504</c:v>
                </c:pt>
                <c:pt idx="26">
                  <c:v>38596</c:v>
                </c:pt>
                <c:pt idx="27">
                  <c:v>38687</c:v>
                </c:pt>
                <c:pt idx="28">
                  <c:v>38777</c:v>
                </c:pt>
                <c:pt idx="29">
                  <c:v>38869</c:v>
                </c:pt>
                <c:pt idx="30">
                  <c:v>38961</c:v>
                </c:pt>
                <c:pt idx="31">
                  <c:v>39052</c:v>
                </c:pt>
                <c:pt idx="32">
                  <c:v>39142</c:v>
                </c:pt>
                <c:pt idx="33">
                  <c:v>39234</c:v>
                </c:pt>
                <c:pt idx="34">
                  <c:v>39326</c:v>
                </c:pt>
                <c:pt idx="35">
                  <c:v>39417</c:v>
                </c:pt>
                <c:pt idx="36">
                  <c:v>39508</c:v>
                </c:pt>
                <c:pt idx="37">
                  <c:v>39600</c:v>
                </c:pt>
                <c:pt idx="38">
                  <c:v>39692</c:v>
                </c:pt>
                <c:pt idx="39">
                  <c:v>39783</c:v>
                </c:pt>
                <c:pt idx="40">
                  <c:v>39873</c:v>
                </c:pt>
                <c:pt idx="41">
                  <c:v>39965</c:v>
                </c:pt>
                <c:pt idx="42">
                  <c:v>40057</c:v>
                </c:pt>
                <c:pt idx="43">
                  <c:v>40148</c:v>
                </c:pt>
                <c:pt idx="44">
                  <c:v>40238</c:v>
                </c:pt>
                <c:pt idx="45">
                  <c:v>40330</c:v>
                </c:pt>
                <c:pt idx="46">
                  <c:v>40422</c:v>
                </c:pt>
                <c:pt idx="47">
                  <c:v>40513</c:v>
                </c:pt>
                <c:pt idx="48">
                  <c:v>40603</c:v>
                </c:pt>
                <c:pt idx="49">
                  <c:v>40695</c:v>
                </c:pt>
                <c:pt idx="50">
                  <c:v>40787</c:v>
                </c:pt>
                <c:pt idx="51">
                  <c:v>40878</c:v>
                </c:pt>
                <c:pt idx="52">
                  <c:v>40969</c:v>
                </c:pt>
                <c:pt idx="53">
                  <c:v>41061</c:v>
                </c:pt>
                <c:pt idx="54">
                  <c:v>41153</c:v>
                </c:pt>
                <c:pt idx="55">
                  <c:v>41244</c:v>
                </c:pt>
                <c:pt idx="56">
                  <c:v>41334</c:v>
                </c:pt>
                <c:pt idx="57">
                  <c:v>41426</c:v>
                </c:pt>
                <c:pt idx="58">
                  <c:v>41518</c:v>
                </c:pt>
                <c:pt idx="59">
                  <c:v>41609</c:v>
                </c:pt>
                <c:pt idx="60">
                  <c:v>41699</c:v>
                </c:pt>
                <c:pt idx="61">
                  <c:v>41791</c:v>
                </c:pt>
                <c:pt idx="62">
                  <c:v>41883</c:v>
                </c:pt>
                <c:pt idx="63">
                  <c:v>41974</c:v>
                </c:pt>
                <c:pt idx="64">
                  <c:v>42064</c:v>
                </c:pt>
                <c:pt idx="65">
                  <c:v>42156</c:v>
                </c:pt>
                <c:pt idx="66">
                  <c:v>42248</c:v>
                </c:pt>
                <c:pt idx="67">
                  <c:v>42339</c:v>
                </c:pt>
                <c:pt idx="68">
                  <c:v>42430</c:v>
                </c:pt>
                <c:pt idx="69">
                  <c:v>42522</c:v>
                </c:pt>
                <c:pt idx="70">
                  <c:v>42614</c:v>
                </c:pt>
                <c:pt idx="71">
                  <c:v>42705</c:v>
                </c:pt>
                <c:pt idx="72">
                  <c:v>42795</c:v>
                </c:pt>
                <c:pt idx="73">
                  <c:v>42887</c:v>
                </c:pt>
                <c:pt idx="74">
                  <c:v>42979</c:v>
                </c:pt>
                <c:pt idx="75">
                  <c:v>43070</c:v>
                </c:pt>
                <c:pt idx="76">
                  <c:v>43160</c:v>
                </c:pt>
                <c:pt idx="77">
                  <c:v>43252</c:v>
                </c:pt>
                <c:pt idx="78">
                  <c:v>43344</c:v>
                </c:pt>
                <c:pt idx="79">
                  <c:v>43435</c:v>
                </c:pt>
                <c:pt idx="80">
                  <c:v>43525</c:v>
                </c:pt>
                <c:pt idx="81">
                  <c:v>43617</c:v>
                </c:pt>
                <c:pt idx="82">
                  <c:v>43709</c:v>
                </c:pt>
                <c:pt idx="83">
                  <c:v>43800</c:v>
                </c:pt>
                <c:pt idx="84">
                  <c:v>43891</c:v>
                </c:pt>
                <c:pt idx="85">
                  <c:v>43983</c:v>
                </c:pt>
                <c:pt idx="86">
                  <c:v>44075</c:v>
                </c:pt>
                <c:pt idx="87">
                  <c:v>44166</c:v>
                </c:pt>
                <c:pt idx="88">
                  <c:v>44256</c:v>
                </c:pt>
                <c:pt idx="89">
                  <c:v>44348</c:v>
                </c:pt>
                <c:pt idx="90">
                  <c:v>44440</c:v>
                </c:pt>
                <c:pt idx="91">
                  <c:v>44531</c:v>
                </c:pt>
                <c:pt idx="92">
                  <c:v>44621</c:v>
                </c:pt>
                <c:pt idx="93">
                  <c:v>44713</c:v>
                </c:pt>
                <c:pt idx="94">
                  <c:v>44805</c:v>
                </c:pt>
                <c:pt idx="95">
                  <c:v>44896</c:v>
                </c:pt>
              </c:numCache>
            </c:numRef>
          </c:cat>
          <c:val>
            <c:numRef>
              <c:f>'3BR_H-processed'!$F$2:$F$97</c:f>
              <c:numCache>
                <c:formatCode>0.00</c:formatCode>
                <c:ptCount val="96"/>
                <c:pt idx="0">
                  <c:v>125.73283419419039</c:v>
                </c:pt>
                <c:pt idx="1">
                  <c:v>125.73283419419039</c:v>
                </c:pt>
                <c:pt idx="2">
                  <c:v>125.73283419419039</c:v>
                </c:pt>
                <c:pt idx="3">
                  <c:v>125.73283419419039</c:v>
                </c:pt>
                <c:pt idx="4">
                  <c:v>128.91437236411883</c:v>
                </c:pt>
                <c:pt idx="5">
                  <c:v>128.91437236411883</c:v>
                </c:pt>
                <c:pt idx="6">
                  <c:v>128.91437236411883</c:v>
                </c:pt>
                <c:pt idx="7">
                  <c:v>128.91437236411883</c:v>
                </c:pt>
                <c:pt idx="8">
                  <c:v>125.55560820736386</c:v>
                </c:pt>
                <c:pt idx="9">
                  <c:v>125.55560820736386</c:v>
                </c:pt>
                <c:pt idx="10">
                  <c:v>125.55560820736386</c:v>
                </c:pt>
                <c:pt idx="11">
                  <c:v>125.55560820736386</c:v>
                </c:pt>
                <c:pt idx="12">
                  <c:v>134.11363313272994</c:v>
                </c:pt>
                <c:pt idx="13">
                  <c:v>134.11363313272994</c:v>
                </c:pt>
                <c:pt idx="14">
                  <c:v>134.11363313272994</c:v>
                </c:pt>
                <c:pt idx="15">
                  <c:v>134.11363313272994</c:v>
                </c:pt>
                <c:pt idx="16">
                  <c:v>142.671658058096</c:v>
                </c:pt>
                <c:pt idx="17">
                  <c:v>142.671658058096</c:v>
                </c:pt>
                <c:pt idx="18">
                  <c:v>142.671658058096</c:v>
                </c:pt>
                <c:pt idx="19">
                  <c:v>142.671658058096</c:v>
                </c:pt>
                <c:pt idx="20">
                  <c:v>149.93318485523386</c:v>
                </c:pt>
                <c:pt idx="21">
                  <c:v>149.93318485523386</c:v>
                </c:pt>
                <c:pt idx="22">
                  <c:v>149.93318485523386</c:v>
                </c:pt>
                <c:pt idx="23">
                  <c:v>149.93318485523386</c:v>
                </c:pt>
                <c:pt idx="24">
                  <c:v>163.35402549400558</c:v>
                </c:pt>
                <c:pt idx="25">
                  <c:v>163.35402549400558</c:v>
                </c:pt>
                <c:pt idx="26">
                  <c:v>163.35402549400558</c:v>
                </c:pt>
                <c:pt idx="27">
                  <c:v>163.35402549400558</c:v>
                </c:pt>
                <c:pt idx="28">
                  <c:v>176.77486613277733</c:v>
                </c:pt>
                <c:pt idx="29">
                  <c:v>176.77486613277733</c:v>
                </c:pt>
                <c:pt idx="30">
                  <c:v>176.77486613277733</c:v>
                </c:pt>
                <c:pt idx="31">
                  <c:v>176.77486613277733</c:v>
                </c:pt>
                <c:pt idx="32">
                  <c:v>188.38743306638867</c:v>
                </c:pt>
                <c:pt idx="33">
                  <c:v>188.38743306638867</c:v>
                </c:pt>
                <c:pt idx="34">
                  <c:v>188.38743306638867</c:v>
                </c:pt>
                <c:pt idx="35">
                  <c:v>188.38743306638867</c:v>
                </c:pt>
                <c:pt idx="36" formatCode="General">
                  <c:v>200</c:v>
                </c:pt>
                <c:pt idx="37" formatCode="General">
                  <c:v>200</c:v>
                </c:pt>
                <c:pt idx="38" formatCode="General">
                  <c:v>200</c:v>
                </c:pt>
                <c:pt idx="39" formatCode="General">
                  <c:v>200</c:v>
                </c:pt>
                <c:pt idx="40" formatCode="General">
                  <c:v>210</c:v>
                </c:pt>
                <c:pt idx="41" formatCode="General">
                  <c:v>220</c:v>
                </c:pt>
                <c:pt idx="42" formatCode="General">
                  <c:v>220</c:v>
                </c:pt>
                <c:pt idx="43" formatCode="General">
                  <c:v>225</c:v>
                </c:pt>
                <c:pt idx="44" formatCode="General">
                  <c:v>230</c:v>
                </c:pt>
                <c:pt idx="45" formatCode="General">
                  <c:v>220</c:v>
                </c:pt>
                <c:pt idx="46" formatCode="General">
                  <c:v>230</c:v>
                </c:pt>
                <c:pt idx="47" formatCode="General">
                  <c:v>230</c:v>
                </c:pt>
                <c:pt idx="48" formatCode="General">
                  <c:v>240</c:v>
                </c:pt>
                <c:pt idx="49" formatCode="General">
                  <c:v>240</c:v>
                </c:pt>
                <c:pt idx="50" formatCode="General">
                  <c:v>245</c:v>
                </c:pt>
                <c:pt idx="51" formatCode="General">
                  <c:v>240</c:v>
                </c:pt>
                <c:pt idx="52" formatCode="General">
                  <c:v>250</c:v>
                </c:pt>
                <c:pt idx="53" formatCode="General">
                  <c:v>245</c:v>
                </c:pt>
                <c:pt idx="54" formatCode="General">
                  <c:v>250</c:v>
                </c:pt>
                <c:pt idx="55" formatCode="General">
                  <c:v>245</c:v>
                </c:pt>
                <c:pt idx="56" formatCode="General">
                  <c:v>250</c:v>
                </c:pt>
                <c:pt idx="57" formatCode="General">
                  <c:v>250</c:v>
                </c:pt>
                <c:pt idx="58" formatCode="General">
                  <c:v>250</c:v>
                </c:pt>
                <c:pt idx="59" formatCode="General">
                  <c:v>250</c:v>
                </c:pt>
                <c:pt idx="60" formatCode="General">
                  <c:v>250</c:v>
                </c:pt>
                <c:pt idx="61" formatCode="General">
                  <c:v>253</c:v>
                </c:pt>
                <c:pt idx="62" formatCode="General">
                  <c:v>255</c:v>
                </c:pt>
                <c:pt idx="63" formatCode="General">
                  <c:v>255</c:v>
                </c:pt>
                <c:pt idx="64" formatCode="General">
                  <c:v>255</c:v>
                </c:pt>
                <c:pt idx="65" formatCode="General">
                  <c:v>250</c:v>
                </c:pt>
                <c:pt idx="66" formatCode="General">
                  <c:v>250</c:v>
                </c:pt>
                <c:pt idx="67" formatCode="General">
                  <c:v>250</c:v>
                </c:pt>
                <c:pt idx="68" formatCode="General">
                  <c:v>250</c:v>
                </c:pt>
                <c:pt idx="69" formatCode="General">
                  <c:v>250</c:v>
                </c:pt>
                <c:pt idx="70" formatCode="General">
                  <c:v>250</c:v>
                </c:pt>
                <c:pt idx="71" formatCode="General">
                  <c:v>250</c:v>
                </c:pt>
                <c:pt idx="72" formatCode="General">
                  <c:v>250</c:v>
                </c:pt>
                <c:pt idx="73" formatCode="General">
                  <c:v>250</c:v>
                </c:pt>
                <c:pt idx="74" formatCode="General">
                  <c:v>250</c:v>
                </c:pt>
                <c:pt idx="75" formatCode="General">
                  <c:v>255</c:v>
                </c:pt>
                <c:pt idx="76" formatCode="General">
                  <c:v>260</c:v>
                </c:pt>
                <c:pt idx="77" formatCode="General">
                  <c:v>260</c:v>
                </c:pt>
                <c:pt idx="78" formatCode="General">
                  <c:v>260</c:v>
                </c:pt>
                <c:pt idx="79" formatCode="General">
                  <c:v>260</c:v>
                </c:pt>
                <c:pt idx="80" formatCode="General">
                  <c:v>270</c:v>
                </c:pt>
                <c:pt idx="81" formatCode="General">
                  <c:v>267.5</c:v>
                </c:pt>
                <c:pt idx="82" formatCode="General">
                  <c:v>270</c:v>
                </c:pt>
                <c:pt idx="83" formatCode="General">
                  <c:v>270</c:v>
                </c:pt>
                <c:pt idx="84" formatCode="General">
                  <c:v>280</c:v>
                </c:pt>
                <c:pt idx="85" formatCode="General">
                  <c:v>270</c:v>
                </c:pt>
                <c:pt idx="86" formatCode="General">
                  <c:v>280</c:v>
                </c:pt>
                <c:pt idx="87" formatCode="General">
                  <c:v>280</c:v>
                </c:pt>
                <c:pt idx="88" formatCode="General">
                  <c:v>290</c:v>
                </c:pt>
                <c:pt idx="89" formatCode="General">
                  <c:v>300</c:v>
                </c:pt>
                <c:pt idx="90" formatCode="General">
                  <c:v>290</c:v>
                </c:pt>
                <c:pt idx="91" formatCode="General">
                  <c:v>305</c:v>
                </c:pt>
                <c:pt idx="92" formatCode="General">
                  <c:v>315</c:v>
                </c:pt>
                <c:pt idx="93" formatCode="General">
                  <c:v>320</c:v>
                </c:pt>
                <c:pt idx="94" formatCode="General">
                  <c:v>330</c:v>
                </c:pt>
                <c:pt idx="95" formatCode="General">
                  <c:v>350</c:v>
                </c:pt>
              </c:numCache>
            </c:numRef>
          </c:val>
          <c:smooth val="0"/>
          <c:extLst>
            <c:ext xmlns:c16="http://schemas.microsoft.com/office/drawing/2014/chart" uri="{C3380CC4-5D6E-409C-BE32-E72D297353CC}">
              <c16:uniqueId val="{00000001-BD94-4DDC-8360-46B49DD12A0E}"/>
            </c:ext>
          </c:extLst>
        </c:ser>
        <c:dLbls>
          <c:showLegendKey val="0"/>
          <c:showVal val="0"/>
          <c:showCatName val="0"/>
          <c:showSerName val="0"/>
          <c:showPercent val="0"/>
          <c:showBubbleSize val="0"/>
        </c:dLbls>
        <c:smooth val="0"/>
        <c:axId val="1213482335"/>
        <c:axId val="1213483775"/>
      </c:lineChart>
      <c:dateAx>
        <c:axId val="1213482335"/>
        <c:scaling>
          <c:orientation val="minMax"/>
          <c:min val="36586"/>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3775"/>
        <c:crosses val="autoZero"/>
        <c:auto val="1"/>
        <c:lblOffset val="100"/>
        <c:baseTimeUnit val="months"/>
        <c:majorUnit val="24"/>
        <c:majorTimeUnit val="months"/>
      </c:dateAx>
      <c:valAx>
        <c:axId val="12134837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482335"/>
        <c:crosses val="autoZero"/>
        <c:crossBetween val="between"/>
        <c:minorUnit val="1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33CC8A3-6D49-4316-A100-1670F52EF4B3}">
  <sheetPr>
    <tabColor rgb="FFFF0000"/>
  </sheetPr>
  <sheetViews>
    <sheetView zoomScale="126"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5C39E79-61E4-4732-84C9-674D45B7A933}">
  <sheetPr>
    <tabColor rgb="FFFF0000"/>
  </sheetPr>
  <sheetViews>
    <sheetView zoomScale="126"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168088</xdr:colOff>
      <xdr:row>14</xdr:row>
      <xdr:rowOff>155761</xdr:rowOff>
    </xdr:from>
    <xdr:to>
      <xdr:col>10</xdr:col>
      <xdr:colOff>526676</xdr:colOff>
      <xdr:row>29</xdr:row>
      <xdr:rowOff>41461</xdr:rowOff>
    </xdr:to>
    <xdr:graphicFrame macro="">
      <xdr:nvGraphicFramePr>
        <xdr:cNvPr id="3" name="Chart 2">
          <a:extLst>
            <a:ext uri="{FF2B5EF4-FFF2-40B4-BE49-F238E27FC236}">
              <a16:creationId xmlns:a16="http://schemas.microsoft.com/office/drawing/2014/main" id="{5CB90F4E-02E0-47A0-B466-804A077B4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184899</xdr:colOff>
      <xdr:row>29</xdr:row>
      <xdr:rowOff>85162</xdr:rowOff>
    </xdr:from>
    <xdr:to>
      <xdr:col>10</xdr:col>
      <xdr:colOff>521075</xdr:colOff>
      <xdr:row>52</xdr:row>
      <xdr:rowOff>22412</xdr:rowOff>
    </xdr:to>
    <xdr:graphicFrame macro="">
      <xdr:nvGraphicFramePr>
        <xdr:cNvPr id="11" name="Chart 10">
          <a:extLst>
            <a:ext uri="{FF2B5EF4-FFF2-40B4-BE49-F238E27FC236}">
              <a16:creationId xmlns:a16="http://schemas.microsoft.com/office/drawing/2014/main" id="{B8003069-A1BC-126C-F12C-1245F7F05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165100</xdr:colOff>
      <xdr:row>0</xdr:row>
      <xdr:rowOff>73025</xdr:rowOff>
    </xdr:from>
    <xdr:to>
      <xdr:col>10</xdr:col>
      <xdr:colOff>526863</xdr:colOff>
      <xdr:row>14</xdr:row>
      <xdr:rowOff>149225</xdr:rowOff>
    </xdr:to>
    <xdr:graphicFrame macro="">
      <xdr:nvGraphicFramePr>
        <xdr:cNvPr id="5" name="Chart 4">
          <a:extLst>
            <a:ext uri="{FF2B5EF4-FFF2-40B4-BE49-F238E27FC236}">
              <a16:creationId xmlns:a16="http://schemas.microsoft.com/office/drawing/2014/main" id="{ACF4E6C2-F1C1-49CC-AE96-A2E8AEA58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0</xdr:row>
      <xdr:rowOff>95250</xdr:rowOff>
    </xdr:from>
    <xdr:to>
      <xdr:col>0</xdr:col>
      <xdr:colOff>1000125</xdr:colOff>
      <xdr:row>0</xdr:row>
      <xdr:rowOff>742950</xdr:rowOff>
    </xdr:to>
    <xdr:pic>
      <xdr:nvPicPr>
        <xdr:cNvPr id="2" name="Picture 49">
          <a:extLst>
            <a:ext uri="{FF2B5EF4-FFF2-40B4-BE49-F238E27FC236}">
              <a16:creationId xmlns:a16="http://schemas.microsoft.com/office/drawing/2014/main" id="{19A48E8F-6E2C-43C0-965E-6B5640E2B1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95250"/>
          <a:ext cx="8477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absoluteAnchor>
    <xdr:pos x="0" y="0"/>
    <xdr:ext cx="9305774" cy="6077857"/>
    <xdr:graphicFrame macro="">
      <xdr:nvGraphicFramePr>
        <xdr:cNvPr id="2" name="Chart 1">
          <a:extLst>
            <a:ext uri="{FF2B5EF4-FFF2-40B4-BE49-F238E27FC236}">
              <a16:creationId xmlns:a16="http://schemas.microsoft.com/office/drawing/2014/main" id="{3520ECC8-8C00-BCC9-1A70-5890CC678DE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9305774" cy="6077857"/>
    <xdr:graphicFrame macro="">
      <xdr:nvGraphicFramePr>
        <xdr:cNvPr id="2" name="Chart 1">
          <a:extLst>
            <a:ext uri="{FF2B5EF4-FFF2-40B4-BE49-F238E27FC236}">
              <a16:creationId xmlns:a16="http://schemas.microsoft.com/office/drawing/2014/main" id="{883F9BC4-A5D5-2BF4-5C78-8CBD82A1B49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65180-035D-48DB-8733-6519DE93E6F1}">
  <sheetPr>
    <tabColor theme="4"/>
  </sheetPr>
  <dimension ref="A1:BO163"/>
  <sheetViews>
    <sheetView tabSelected="1" zoomScale="70" zoomScaleNormal="70" workbookViewId="0">
      <selection activeCell="B51" sqref="B51"/>
    </sheetView>
  </sheetViews>
  <sheetFormatPr defaultRowHeight="15" outlineLevelCol="1" x14ac:dyDescent="0.25"/>
  <cols>
    <col min="1" max="1" width="65.140625" bestFit="1" customWidth="1"/>
    <col min="2" max="3" width="14" bestFit="1" customWidth="1"/>
    <col min="12" max="12" width="14.28515625" bestFit="1" customWidth="1"/>
    <col min="13" max="14" width="25.42578125" bestFit="1" customWidth="1"/>
    <col min="15" max="16" width="25.28515625" customWidth="1" outlineLevel="1"/>
    <col min="17" max="17" width="14.28515625" customWidth="1" outlineLevel="1"/>
    <col min="18" max="18" width="14.42578125" customWidth="1" outlineLevel="1"/>
    <col min="19" max="19" width="4.140625" customWidth="1"/>
    <col min="20" max="20" width="32.140625" customWidth="1" outlineLevel="1"/>
    <col min="21" max="21" width="20.28515625" customWidth="1" outlineLevel="1"/>
    <col min="22" max="22" width="13.140625" customWidth="1" outlineLevel="1"/>
    <col min="23" max="23" width="19.140625" customWidth="1" outlineLevel="1"/>
    <col min="24" max="26" width="23.85546875" customWidth="1" outlineLevel="1"/>
    <col min="27" max="28" width="29.42578125" customWidth="1" outlineLevel="1"/>
    <col min="29" max="34" width="26.7109375" customWidth="1" outlineLevel="1"/>
    <col min="35" max="35" width="27" customWidth="1" outlineLevel="1"/>
    <col min="36" max="36" width="19.140625" customWidth="1" outlineLevel="1"/>
    <col min="37" max="39" width="16.7109375" customWidth="1" outlineLevel="1"/>
    <col min="40" max="40" width="13.140625" customWidth="1" outlineLevel="1"/>
    <col min="41" max="41" width="19" customWidth="1" outlineLevel="1"/>
    <col min="42" max="42" width="26.7109375" customWidth="1" outlineLevel="1"/>
    <col min="43" max="43" width="4.140625" customWidth="1"/>
    <col min="44" max="44" width="18.140625" customWidth="1" outlineLevel="1"/>
    <col min="45" max="45" width="12.28515625" customWidth="1" outlineLevel="1"/>
    <col min="46" max="46" width="20.28515625" customWidth="1" outlineLevel="1"/>
    <col min="47" max="48" width="15.5703125" customWidth="1" outlineLevel="1"/>
    <col min="49" max="49" width="22" customWidth="1" outlineLevel="1"/>
    <col min="50" max="50" width="22.7109375" customWidth="1" outlineLevel="1"/>
    <col min="51" max="51" width="26.140625" customWidth="1" outlineLevel="1"/>
    <col min="52" max="53" width="27.140625" customWidth="1" outlineLevel="1"/>
    <col min="54" max="55" width="14.140625" customWidth="1" outlineLevel="1"/>
    <col min="56" max="57" width="17.42578125" customWidth="1" outlineLevel="1"/>
    <col min="58" max="58" width="20" customWidth="1" outlineLevel="1"/>
    <col min="59" max="59" width="22.42578125" customWidth="1" outlineLevel="1"/>
    <col min="60" max="67" width="9.85546875" customWidth="1"/>
  </cols>
  <sheetData>
    <row r="1" spans="1:67" x14ac:dyDescent="0.25">
      <c r="A1" s="9" t="s">
        <v>633</v>
      </c>
      <c r="B1" s="5" t="s">
        <v>491</v>
      </c>
      <c r="C1" s="5" t="s">
        <v>490</v>
      </c>
      <c r="O1" s="7"/>
      <c r="S1" s="11"/>
      <c r="T1" t="s">
        <v>14</v>
      </c>
      <c r="X1" s="11" cm="1">
        <f t="array" ref="X1">SUM(_xlfn._xlws.FILTER(X3:X82,ISNUMBER(X3:X82)))</f>
        <v>393021.69652288221</v>
      </c>
      <c r="Y1" s="33"/>
      <c r="AA1" s="34"/>
      <c r="AI1" t="s">
        <v>469</v>
      </c>
      <c r="AP1" s="11"/>
      <c r="AQ1" s="11"/>
      <c r="AR1" t="s">
        <v>21</v>
      </c>
      <c r="AT1" s="11"/>
      <c r="AX1" s="6"/>
      <c r="AY1" t="s">
        <v>326</v>
      </c>
      <c r="BB1" t="s">
        <v>323</v>
      </c>
      <c r="BG1" s="11" cm="1">
        <f t="array" ref="BG1">SUM(_xlfn._xlws.FILTER(BG3:BG82,ISNUMBER(BG3:BG82)))</f>
        <v>546411.05311416707</v>
      </c>
      <c r="BH1" t="s">
        <v>477</v>
      </c>
    </row>
    <row r="2" spans="1:67" x14ac:dyDescent="0.25">
      <c r="A2" s="5" t="s">
        <v>328</v>
      </c>
      <c r="B2" s="32">
        <f>_xlfn.XLOOKUP(Q_end,L:L,O:O)</f>
        <v>0.94039311329935982</v>
      </c>
      <c r="E2" t="str">
        <f>"Renter vs owner wealth, "&amp;Council_Area&amp;IF(B10="2BR_F"," 2-bedroom flat"," 3-bedroom house")</f>
        <v>Renter vs owner wealth, Adelaide 3-bedroom house</v>
      </c>
      <c r="L2" t="s">
        <v>54</v>
      </c>
      <c r="M2" s="5" t="s">
        <v>62</v>
      </c>
      <c r="N2" s="5" t="s">
        <v>61</v>
      </c>
      <c r="O2" t="s">
        <v>316</v>
      </c>
      <c r="P2" t="s">
        <v>318</v>
      </c>
      <c r="Q2" t="s">
        <v>58</v>
      </c>
      <c r="R2" t="s">
        <v>53</v>
      </c>
      <c r="S2" s="5"/>
      <c r="T2" t="s">
        <v>305</v>
      </c>
      <c r="U2" t="s">
        <v>306</v>
      </c>
      <c r="V2" t="s">
        <v>10</v>
      </c>
      <c r="W2" t="s">
        <v>632</v>
      </c>
      <c r="X2" s="5" t="s">
        <v>60</v>
      </c>
      <c r="Y2" t="s">
        <v>307</v>
      </c>
      <c r="Z2" t="s">
        <v>342</v>
      </c>
      <c r="AA2" t="s">
        <v>346</v>
      </c>
      <c r="AB2" t="s">
        <v>475</v>
      </c>
      <c r="AC2" t="s">
        <v>312</v>
      </c>
      <c r="AD2" t="s">
        <v>313</v>
      </c>
      <c r="AE2" t="s">
        <v>314</v>
      </c>
      <c r="AF2" t="s">
        <v>309</v>
      </c>
      <c r="AG2" t="s">
        <v>308</v>
      </c>
      <c r="AH2" t="s">
        <v>317</v>
      </c>
      <c r="AI2" s="5" t="s">
        <v>473</v>
      </c>
      <c r="AJ2" t="s">
        <v>472</v>
      </c>
      <c r="AK2" t="s">
        <v>468</v>
      </c>
      <c r="AL2" t="s">
        <v>474</v>
      </c>
      <c r="AM2" t="s">
        <v>476</v>
      </c>
      <c r="AN2" t="s">
        <v>467</v>
      </c>
      <c r="AO2" t="s">
        <v>470</v>
      </c>
      <c r="AP2" s="5" t="s">
        <v>315</v>
      </c>
      <c r="AQ2" s="5"/>
      <c r="AR2" t="s">
        <v>22</v>
      </c>
      <c r="AS2" t="s">
        <v>52</v>
      </c>
      <c r="AT2" t="s">
        <v>26</v>
      </c>
      <c r="AU2" t="s">
        <v>340</v>
      </c>
      <c r="AV2" t="s">
        <v>319</v>
      </c>
      <c r="AW2" t="s">
        <v>492</v>
      </c>
      <c r="AX2" s="9" t="s">
        <v>320</v>
      </c>
      <c r="AY2" t="s">
        <v>321</v>
      </c>
      <c r="AZ2" t="s">
        <v>322</v>
      </c>
      <c r="BA2" t="s">
        <v>325</v>
      </c>
      <c r="BB2" t="s">
        <v>51</v>
      </c>
      <c r="BC2" t="s">
        <v>57</v>
      </c>
      <c r="BD2" t="s">
        <v>56</v>
      </c>
      <c r="BE2" t="s">
        <v>24</v>
      </c>
      <c r="BF2" t="s">
        <v>25</v>
      </c>
      <c r="BG2" s="5" t="s">
        <v>59</v>
      </c>
      <c r="BH2" t="s">
        <v>465</v>
      </c>
      <c r="BI2" t="s">
        <v>479</v>
      </c>
      <c r="BJ2" t="s">
        <v>480</v>
      </c>
      <c r="BK2" t="s">
        <v>481</v>
      </c>
      <c r="BL2" t="s">
        <v>629</v>
      </c>
      <c r="BM2" t="s">
        <v>482</v>
      </c>
      <c r="BN2" t="s">
        <v>484</v>
      </c>
      <c r="BO2" t="s">
        <v>483</v>
      </c>
    </row>
    <row r="3" spans="1:67" x14ac:dyDescent="0.25">
      <c r="A3" s="5" t="s">
        <v>497</v>
      </c>
      <c r="B3" s="32" cm="1">
        <f t="array" ref="B3">SUM(_xlfn._xlws.FILTER($X$3:$X$82,ISNUMBER($X$3:$X$82)))/(SUM(_xlfn._xlws.FILTER($BG$3:$BG$82,ISNUMBER($BG$3:$BG$82)))-AT3)</f>
        <v>0.8259689945636729</v>
      </c>
      <c r="L3" s="1">
        <f>Q_start</f>
        <v>38777</v>
      </c>
      <c r="M3" s="10">
        <f t="shared" ref="M3:M34" si="0">AP3</f>
        <v>78787.253202413995</v>
      </c>
      <c r="N3" s="10">
        <f>AX3-BC3</f>
        <v>48895</v>
      </c>
      <c r="O3" s="7">
        <f>M3/N3</f>
        <v>1.6113560323635134</v>
      </c>
      <c r="P3" s="7">
        <f t="shared" ref="P3:P34" si="1">X3/BG3</f>
        <v>4.1768055274608418E-2</v>
      </c>
      <c r="Q3">
        <v>1</v>
      </c>
      <c r="R3">
        <f t="shared" ref="R3:R34" si="2">EOMONTH(L3,0)-EOMONTH(L3,-3)</f>
        <v>90</v>
      </c>
      <c r="S3" s="22"/>
      <c r="T3" s="22">
        <f>IF($B$10="3BR_H",
INDEX('3BR_H-processed'!$E:$F,MATCH($L3,'3BR_H-processed'!$B:$B,0),MATCH(Council_Area,'3BR_H-processed'!$E$1:$F$1,0)),
INDEX('2BR_F-processed'!$E:$F,MATCH($L3,'2BR_F-processed'!$B:$B,0),MATCH(Council_Area,'2BR_F-processed'!$E$1:$F$1,0)))</f>
        <v>238.64606927924939</v>
      </c>
      <c r="U3" s="22">
        <f>IF(MOD(Q3,4)=1,T3,U2)</f>
        <v>238.64606927924939</v>
      </c>
      <c r="V3" s="22">
        <f>U3*(R3)/7</f>
        <v>3068.3066050189204</v>
      </c>
      <c r="W3" s="22">
        <f>$B$53/4*BH3/_xlfn.XLOOKUP(Q_end,cpi!A:A,cpi!B:B)</f>
        <v>116.93158258465792</v>
      </c>
      <c r="X3" s="22">
        <f>V3+W3</f>
        <v>3185.2381876035784</v>
      </c>
      <c r="Y3" s="22">
        <f t="shared" ref="Y3:Y34" si="3">BG3-X3</f>
        <v>73074.912462502078</v>
      </c>
      <c r="Z3" s="29">
        <f>MAX(0,Y3*$B$47)</f>
        <v>0</v>
      </c>
      <c r="AA3" s="22" cm="1">
        <f t="array" ref="AA3">(Y3+Z3)*eff_invest</f>
        <v>73074.912462502078</v>
      </c>
      <c r="AB3" s="22">
        <f>AA3*(_xlfn.XLOOKUP(Q_end,cpi!A:A,cpi!B:B)/BH3)</f>
        <v>124987.46847900769</v>
      </c>
      <c r="AC3" s="22" cm="1">
        <f t="array" ref="AC3">INDEX('msci-indices'!C:C,MATCH($L3,'msci-indices'!$B:$B)-2)</f>
        <v>754.87961099999995</v>
      </c>
      <c r="AD3" s="22" cm="1">
        <f t="array" ref="AD3">INDEX('msci-indices'!D:D,MATCH($L3,'msci-indices'!$B:$B)-2)</f>
        <v>712.95624699999996</v>
      </c>
      <c r="AE3" s="29">
        <f>AA3</f>
        <v>73074.912462502078</v>
      </c>
      <c r="AF3" s="22" cm="1">
        <f t="array" ref="AF3">INDEX('msci-indices'!C:C,MATCH($L3,'msci-indices'!$B:$B)+1)</f>
        <v>809.32011899999998</v>
      </c>
      <c r="AG3" s="22" cm="1">
        <f t="array" ref="AG3">INDEX('msci-indices'!D:D,MATCH($L3,'msci-indices'!$B:$B)+1)</f>
        <v>780.24346800000001</v>
      </c>
      <c r="AH3" s="22">
        <f t="shared" ref="AH3:AH34" si="4">(InvestFees/4)*AE3</f>
        <v>45.671820289063803</v>
      </c>
      <c r="AI3" s="22">
        <f t="shared" ref="AI3:AI34" si="5">((AF3/AC3)*GlobalPortfolio+(AG3/AD3)*AusPortfolio)*AE3-AH3</f>
        <v>78787.253202413995</v>
      </c>
      <c r="AJ3" s="29">
        <f>AA3</f>
        <v>73074.912462502078</v>
      </c>
      <c r="AK3" s="22">
        <f t="shared" ref="AK3:AK34" si="6">AI3-AJ3</f>
        <v>5712.3407399119169</v>
      </c>
      <c r="AL3" s="22">
        <f>AJ3*(_xlfn.XLOOKUP(Q_end,cpi!A:A,cpi!B:B)/BH3)</f>
        <v>124987.46847900769</v>
      </c>
      <c r="AM3" s="29">
        <f>AA3</f>
        <v>73074.912462502078</v>
      </c>
      <c r="AN3" s="22">
        <f>AI3-AM3</f>
        <v>5712.3407399119169</v>
      </c>
      <c r="AO3" s="22">
        <f t="shared" ref="AO3:AO34" si="7">IF($B$49="Real gains",MAX($B$50*AN3,0),IF($B$49="Discounted nominal gains",MAX($B$50*AK3/2,0),0))</f>
        <v>0</v>
      </c>
      <c r="AP3" s="22">
        <f>AI3-AO3</f>
        <v>78787.253202413995</v>
      </c>
      <c r="AQ3" s="22"/>
      <c r="AR3" s="10">
        <f>IF($B$10="3BR_H",
INDEX('ns-combined'!$C:$D,MATCH($L3,'ns-combined'!$B:$B,0),MATCH(Council_Area,'ns-combined'!$C$1:$D$1,0))*1000,
INDEX('s-combined'!$C:$D,MATCH($L3,'s-combined'!$B:$B,0),MATCH(Council_Area,'s-combined'!$C$1:$D$1,0))*1000)</f>
        <v>280000</v>
      </c>
      <c r="AS3" s="29">
        <f>AR3*$B$14/4</f>
        <v>700</v>
      </c>
      <c r="AT3" s="13">
        <f>SUM(B20:B26)*AR3</f>
        <v>70580.000000000015</v>
      </c>
      <c r="AU3" s="22">
        <f t="shared" ref="AU3:AU34" si="8">SUM($B$28:$B$29)*AR3</f>
        <v>5600</v>
      </c>
      <c r="AV3" s="22">
        <f t="shared" ref="AV3:AV34" si="9">AR3*$B$15/4</f>
        <v>805</v>
      </c>
      <c r="AW3" s="22">
        <f>SUM($AV$3:AV3)</f>
        <v>805</v>
      </c>
      <c r="AX3" s="22">
        <f>AR3-AS3-AU3-AW3</f>
        <v>272895</v>
      </c>
      <c r="AY3" s="22">
        <f t="shared" ref="AY3:AY34" si="10">$B$36*V3</f>
        <v>1073.9073117566222</v>
      </c>
      <c r="AZ3" s="24">
        <f t="shared" ref="AZ3:AZ34" si="11">SUM(AY3:AY3)*4/AR3</f>
        <v>1.5341533025094603E-2</v>
      </c>
      <c r="BA3" s="24">
        <f t="shared" ref="BA3:BA34" si="12">SUM(AY3:AY3)/V3</f>
        <v>0.35000000000000003</v>
      </c>
      <c r="BB3" s="25">
        <f>IF(MortgageRate="Discounted",_xlfn.XLOOKUP(L3,'mortgage-rates'!$A:$A,'mortgage-rates'!$E:$E)/100,_xlfn.XLOOKUP(L3,'mortgage-rates'!$A:$A,'mortgage-rates'!$D:$D)/100)</f>
        <v>6.6400000000000001E-2</v>
      </c>
      <c r="BC3" s="10">
        <f>(1-B20)*AR3</f>
        <v>224000</v>
      </c>
      <c r="BD3" s="10">
        <f t="shared" ref="BD3:BD34" si="13">IF($B$16*12/3-Q3+1&gt;0,-PMT($BB3/4,$B$16*12/3-Q3+1,BC3),0)</f>
        <v>4606.243338349027</v>
      </c>
      <c r="BE3" s="10">
        <f t="shared" ref="BE3:BE34" si="14">BC3*($BB3/4)</f>
        <v>3718.4</v>
      </c>
      <c r="BF3" s="10">
        <f>BD3-BE3</f>
        <v>887.84333834902691</v>
      </c>
      <c r="BG3" s="12">
        <f t="shared" ref="BG3:BG34" si="15">AT3+AY3+BD3</f>
        <v>76260.150650105657</v>
      </c>
      <c r="BH3" s="22">
        <f>INDEX(cpi!B:B,MATCH($L3,cpi!A:A))</f>
        <v>84.6</v>
      </c>
      <c r="BI3" s="22">
        <f t="shared" ref="BI3:BI34" si="16">100*BH3/BH$3</f>
        <v>100</v>
      </c>
      <c r="BJ3" s="22">
        <f t="shared" ref="BJ3:BJ34" si="17">100*AC3/AC$3</f>
        <v>100</v>
      </c>
      <c r="BK3" s="22">
        <f t="shared" ref="BK3:BK34" si="18">100*AD3/AD$3</f>
        <v>100</v>
      </c>
      <c r="BL3" s="22">
        <f t="shared" ref="BL3:BL34" si="19">BJ3*GlobalPortfolio+BK3*AusPortfolio</f>
        <v>100</v>
      </c>
      <c r="BM3" s="22">
        <f t="shared" ref="BM3:BM34" si="20">100*AE3/$AE$3</f>
        <v>100</v>
      </c>
      <c r="BN3" s="22">
        <f t="shared" ref="BN3:BN34" si="21">100*AR3/AR$3</f>
        <v>100</v>
      </c>
      <c r="BO3">
        <f t="shared" ref="BO3:BO34" si="22">100*AX3/AX$3</f>
        <v>100</v>
      </c>
    </row>
    <row r="4" spans="1:67" x14ac:dyDescent="0.25">
      <c r="A4" t="s">
        <v>485</v>
      </c>
      <c r="B4" s="4">
        <f>((_xlfn.XLOOKUP(Q_end,L:L,AR:AR)/_xlfn.XLOOKUP(Q_start,L:L,AR:AR))^(1/YEARFRAC(EOMONTH(Q_start,-3)+1,EOMONTH(Q_end,0))))-1</f>
        <v>6.2987796523327644E-2</v>
      </c>
      <c r="L4" s="1">
        <f>IF(DATE(YEAR(L3),MONTH(L3)+3,1)&lt;=Q_end,DATE(YEAR(L3),MONTH(L3)+3,1),"")</f>
        <v>38869</v>
      </c>
      <c r="M4" s="10">
        <f t="shared" si="0"/>
        <v>80853.410398830994</v>
      </c>
      <c r="N4" s="10">
        <f t="shared" ref="N4:N34" si="23">AX4-BC4</f>
        <v>54140.593338349019</v>
      </c>
      <c r="O4" s="7">
        <f t="shared" ref="O4:O67" si="24">M4/N4</f>
        <v>1.4933971981714629</v>
      </c>
      <c r="P4" s="7">
        <f t="shared" si="1"/>
        <v>0.55396017361159866</v>
      </c>
      <c r="Q4">
        <v>2</v>
      </c>
      <c r="R4">
        <f t="shared" si="2"/>
        <v>91</v>
      </c>
      <c r="S4" s="22"/>
      <c r="T4" s="22">
        <f>IF($B$10="3BR_H",
INDEX('3BR_H-processed'!$E:$F,MATCH($L4,'3BR_H-processed'!$B:$B,0),MATCH(Council_Area,'3BR_H-processed'!$E$1:$F$1,0)),
INDEX('2BR_F-processed'!$E:$F,MATCH($L4,'2BR_F-processed'!$B:$B,0),MATCH(Council_Area,'2BR_F-processed'!$E$1:$F$1,0)))</f>
        <v>238.64606927924939</v>
      </c>
      <c r="U4" s="22">
        <f t="shared" ref="U4:U67" si="25">IF(MOD(Q4,4)=1,T4,U3)</f>
        <v>238.64606927924939</v>
      </c>
      <c r="V4" s="22">
        <f>U4*(R4)/7</f>
        <v>3102.3989006302422</v>
      </c>
      <c r="W4" s="22">
        <f>$B$53/4*BH4/_xlfn.XLOOKUP(Q_end,cpi!A:A,cpi!B:B)</f>
        <v>118.72840359364203</v>
      </c>
      <c r="X4" s="22">
        <f t="shared" ref="X4:X34" si="26">V4+W4</f>
        <v>3221.127304223884</v>
      </c>
      <c r="Y4" s="22">
        <f t="shared" si="3"/>
        <v>2593.5999228679534</v>
      </c>
      <c r="Z4" s="22">
        <f t="shared" ref="Z4:Z35" si="27">Y4*$B$47</f>
        <v>0</v>
      </c>
      <c r="AA4" s="22" cm="1">
        <f t="array" ref="AA4">(Y4+Z4)*eff_invest</f>
        <v>2593.5999228679534</v>
      </c>
      <c r="AB4" s="22">
        <f>AA4*(_xlfn.XLOOKUP(Q_end,cpi!A:A,cpi!B:B)/BH4)</f>
        <v>4368.9628502793112</v>
      </c>
      <c r="AC4" s="22" cm="1">
        <f t="array" ref="AC4">INDEX('msci-indices'!C:C,MATCH($L4,'msci-indices'!$B:$B)-2)</f>
        <v>809.32011899999998</v>
      </c>
      <c r="AD4" s="22" cm="1">
        <f t="array" ref="AD4">INDEX('msci-indices'!D:D,MATCH($L4,'msci-indices'!$B:$B)-2)</f>
        <v>780.24346800000001</v>
      </c>
      <c r="AE4" s="22">
        <f t="shared" ref="AE4:AE35" si="28">AI3+AA4</f>
        <v>81380.853125281952</v>
      </c>
      <c r="AF4" s="22" cm="1">
        <f t="array" ref="AF4">INDEX('msci-indices'!C:C,MATCH($L4,'msci-indices'!$B:$B)+1)</f>
        <v>802.64573099999996</v>
      </c>
      <c r="AG4" s="22" cm="1">
        <f t="array" ref="AG4">INDEX('msci-indices'!D:D,MATCH($L4,'msci-indices'!$B:$B)+1)</f>
        <v>780.02674300000001</v>
      </c>
      <c r="AH4" s="22">
        <f t="shared" si="4"/>
        <v>50.863033203301221</v>
      </c>
      <c r="AI4" s="22">
        <f t="shared" si="5"/>
        <v>80853.410398830994</v>
      </c>
      <c r="AJ4" s="22">
        <f t="shared" ref="AJ4:AJ35" si="29">AJ3+AA4</f>
        <v>75668.512385370035</v>
      </c>
      <c r="AK4" s="22">
        <f t="shared" si="6"/>
        <v>5184.8980134609592</v>
      </c>
      <c r="AL4" s="22">
        <f>AJ4*(_xlfn.XLOOKUP(Q_end,cpi!A:A,cpi!B:B)/BH4)</f>
        <v>127464.88640469201</v>
      </c>
      <c r="AM4" s="22" cm="1">
        <f t="array" ref="AM4">SUMPRODUCT($AA$3:AA4,_xlfn.SORTBY($BH$3:BH4,_xlfn.SEQUENCE(ROWS($BH$3:BH4)),-1)/$BH$3)</f>
        <v>76791.412931484141</v>
      </c>
      <c r="AN4" s="22">
        <f t="shared" ref="AN4:AN67" si="30">AI4-AM4</f>
        <v>4061.9974673468532</v>
      </c>
      <c r="AO4" s="22">
        <f t="shared" si="7"/>
        <v>0</v>
      </c>
      <c r="AP4" s="22">
        <f t="shared" ref="AP4:AP67" si="31">AI4-AO4</f>
        <v>80853.410398830994</v>
      </c>
      <c r="AQ4" s="22"/>
      <c r="AR4" s="10">
        <f>IF($B$10="3BR_H",
INDEX('ns-combined'!$C:$D,MATCH($L4,'ns-combined'!$B:$B,0),MATCH(Council_Area,'ns-combined'!$C$1:$D$1,0))*1000,
INDEX('s-combined'!$C:$D,MATCH($L4,'s-combined'!$B:$B,0),MATCH(Council_Area,'s-combined'!$C$1:$D$1,0))*1000)</f>
        <v>286000</v>
      </c>
      <c r="AS4" s="22">
        <f>AS3+$AS$3</f>
        <v>1400</v>
      </c>
      <c r="AT4" s="10">
        <v>0</v>
      </c>
      <c r="AU4" s="22">
        <f t="shared" si="8"/>
        <v>5720</v>
      </c>
      <c r="AV4" s="22">
        <f t="shared" si="9"/>
        <v>822.25</v>
      </c>
      <c r="AW4" s="22">
        <f>SUM($AV$3:AV4)</f>
        <v>1627.25</v>
      </c>
      <c r="AX4" s="22">
        <f t="shared" ref="AX4:AX34" si="32">AR4-AS4-AU4-AW4</f>
        <v>277252.75</v>
      </c>
      <c r="AY4" s="22">
        <f t="shared" si="10"/>
        <v>1085.8396152205848</v>
      </c>
      <c r="AZ4" s="24">
        <f t="shared" si="11"/>
        <v>1.5186568045043146E-2</v>
      </c>
      <c r="BA4" s="24">
        <f t="shared" si="12"/>
        <v>0.35000000000000003</v>
      </c>
      <c r="BB4" s="25">
        <f>IF(MortgageRate="Discounted",_xlfn.XLOOKUP(L4,'mortgage-rates'!$A:$A,'mortgage-rates'!$E:$E)/100,_xlfn.XLOOKUP(L4,'mortgage-rates'!$A:$A,'mortgage-rates'!$D:$D)/100)</f>
        <v>6.93E-2</v>
      </c>
      <c r="BC4" s="10">
        <f>BC3-BF3</f>
        <v>223112.15666165098</v>
      </c>
      <c r="BD4" s="10">
        <f t="shared" si="13"/>
        <v>4728.8876118712524</v>
      </c>
      <c r="BE4" s="10">
        <f t="shared" si="14"/>
        <v>3865.4181141631034</v>
      </c>
      <c r="BF4" s="10">
        <f>BD4-BE4</f>
        <v>863.46949770814899</v>
      </c>
      <c r="BG4" s="12">
        <f t="shared" si="15"/>
        <v>5814.7272270918374</v>
      </c>
      <c r="BH4" s="22">
        <f>INDEX(cpi!B:B,MATCH($L4,cpi!A:A))</f>
        <v>85.9</v>
      </c>
      <c r="BI4" s="22">
        <f t="shared" si="16"/>
        <v>101.53664302600474</v>
      </c>
      <c r="BJ4" s="22">
        <f t="shared" si="17"/>
        <v>107.21181327548136</v>
      </c>
      <c r="BK4" s="22">
        <f t="shared" si="18"/>
        <v>109.43777704215839</v>
      </c>
      <c r="BL4" s="22">
        <f t="shared" si="19"/>
        <v>107.87960240548446</v>
      </c>
      <c r="BM4" s="22">
        <f t="shared" si="20"/>
        <v>111.36633679450797</v>
      </c>
      <c r="BN4" s="22">
        <f t="shared" si="21"/>
        <v>102.14285714285714</v>
      </c>
      <c r="BO4">
        <f t="shared" si="22"/>
        <v>101.59685959801389</v>
      </c>
    </row>
    <row r="5" spans="1:67" x14ac:dyDescent="0.25">
      <c r="A5" t="s">
        <v>496</v>
      </c>
      <c r="B5" s="4">
        <f>((_xlfn.XLOOKUP(Q_end,L:L,AX:AX)/_xlfn.XLOOKUP(Q_start,L:L,AX:AX))^(1/YEARFRAC(EOMONTH(Q_start,-3)+1,EOMONTH(Q_end,0))))-1</f>
        <v>5.2745727661320574E-2</v>
      </c>
      <c r="L5" s="1">
        <f t="shared" ref="L5:L68" si="33">DATE(YEAR(L4),MONTH(L4)+3,1)</f>
        <v>38961</v>
      </c>
      <c r="M5" s="10">
        <f t="shared" si="0"/>
        <v>86543.750870183401</v>
      </c>
      <c r="N5" s="10">
        <f t="shared" si="23"/>
        <v>57390.312836057157</v>
      </c>
      <c r="O5" s="7">
        <f t="shared" si="24"/>
        <v>1.5079853479350567</v>
      </c>
      <c r="P5" s="7">
        <f t="shared" si="1"/>
        <v>0.54726718491287218</v>
      </c>
      <c r="Q5">
        <v>3</v>
      </c>
      <c r="R5">
        <f t="shared" si="2"/>
        <v>92</v>
      </c>
      <c r="S5" s="22"/>
      <c r="T5" s="22">
        <f>IF($B$10="3BR_H",
INDEX('3BR_H-processed'!$E:$F,MATCH($L5,'3BR_H-processed'!$B:$B,0),MATCH(Council_Area,'3BR_H-processed'!$E$1:$F$1,0)),
INDEX('2BR_F-processed'!$E:$F,MATCH($L5,'2BR_F-processed'!$B:$B,0),MATCH(Council_Area,'2BR_F-processed'!$E$1:$F$1,0)))</f>
        <v>238.64606927924939</v>
      </c>
      <c r="U5" s="22">
        <f t="shared" si="25"/>
        <v>238.64606927924939</v>
      </c>
      <c r="V5" s="22">
        <f t="shared" ref="V5:V67" si="34">U5*(R5)/7</f>
        <v>3136.4911962415636</v>
      </c>
      <c r="W5" s="22">
        <f>$B$53/4*BH5/_xlfn.XLOOKUP(Q_end,cpi!A:A,cpi!B:B)</f>
        <v>119.69592259847963</v>
      </c>
      <c r="X5" s="22">
        <f t="shared" si="26"/>
        <v>3256.1871188400432</v>
      </c>
      <c r="Y5" s="22">
        <f t="shared" si="3"/>
        <v>2693.7167098692285</v>
      </c>
      <c r="Z5" s="22">
        <f t="shared" si="27"/>
        <v>0</v>
      </c>
      <c r="AA5" s="22" cm="1">
        <f t="array" ref="AA5">(Y5+Z5)*eff_invest</f>
        <v>2693.7167098692285</v>
      </c>
      <c r="AB5" s="22">
        <f>AA5*(_xlfn.XLOOKUP(Q_end,cpi!A:A,cpi!B:B)/BH5)</f>
        <v>4500.9331168369208</v>
      </c>
      <c r="AC5" s="22" cm="1">
        <f t="array" ref="AC5">INDEX('msci-indices'!C:C,MATCH($L5,'msci-indices'!$B:$B)-2)</f>
        <v>802.64573099999996</v>
      </c>
      <c r="AD5" s="22" cm="1">
        <f t="array" ref="AD5">INDEX('msci-indices'!D:D,MATCH($L5,'msci-indices'!$B:$B)-2)</f>
        <v>780.02674300000001</v>
      </c>
      <c r="AE5" s="22">
        <f t="shared" si="28"/>
        <v>83547.127108700224</v>
      </c>
      <c r="AF5" s="22" cm="1">
        <f t="array" ref="AF5">INDEX('msci-indices'!C:C,MATCH($L5,'msci-indices'!$B:$B)+1)</f>
        <v>835.13401499999998</v>
      </c>
      <c r="AG5" s="22" cm="1">
        <f t="array" ref="AG5">INDEX('msci-indices'!D:D,MATCH($L5,'msci-indices'!$B:$B)+1)</f>
        <v>801.24066600000003</v>
      </c>
      <c r="AH5" s="22">
        <f t="shared" si="4"/>
        <v>52.216954442937642</v>
      </c>
      <c r="AI5" s="22">
        <f t="shared" si="5"/>
        <v>86543.750870183401</v>
      </c>
      <c r="AJ5" s="22">
        <f t="shared" si="29"/>
        <v>78362.229095239265</v>
      </c>
      <c r="AK5" s="22">
        <f t="shared" si="6"/>
        <v>8181.5217749441363</v>
      </c>
      <c r="AL5" s="22">
        <f>AJ5*(_xlfn.XLOOKUP(Q_end,cpi!A:A,cpi!B:B)/BH5)</f>
        <v>130935.50288777277</v>
      </c>
      <c r="AM5" s="22" cm="1">
        <f t="array" ref="AM5">SUMPRODUCT($AA$3:AA5,_xlfn.SORTBY($BH$3:BH5,_xlfn.SEQUENCE(ROWS($BH$3:BH5)),-1)/$BH$3)</f>
        <v>80129.622769290479</v>
      </c>
      <c r="AN5" s="22">
        <f t="shared" si="30"/>
        <v>6414.1281008929218</v>
      </c>
      <c r="AO5" s="22">
        <f t="shared" si="7"/>
        <v>0</v>
      </c>
      <c r="AP5" s="22">
        <f t="shared" si="31"/>
        <v>86543.750870183401</v>
      </c>
      <c r="AQ5" s="22"/>
      <c r="AR5" s="10">
        <f>IF($B$10="3BR_H",
INDEX('ns-combined'!$C:$D,MATCH($L5,'ns-combined'!$B:$B,0),MATCH(Council_Area,'ns-combined'!$C$1:$D$1,0))*1000,
INDEX('s-combined'!$C:$D,MATCH($L5,'s-combined'!$B:$B,0),MATCH(Council_Area,'s-combined'!$C$1:$D$1,0))*1000)</f>
        <v>290000</v>
      </c>
      <c r="AS5" s="22">
        <f t="shared" ref="AS5:AS68" si="35">AS4+$AS$3</f>
        <v>2100</v>
      </c>
      <c r="AT5" s="10">
        <v>0</v>
      </c>
      <c r="AU5" s="22">
        <f t="shared" si="8"/>
        <v>5800</v>
      </c>
      <c r="AV5" s="22">
        <f t="shared" si="9"/>
        <v>833.75</v>
      </c>
      <c r="AW5" s="22">
        <f>SUM($AV$3:AV5)</f>
        <v>2461</v>
      </c>
      <c r="AX5" s="22">
        <f t="shared" si="32"/>
        <v>279639</v>
      </c>
      <c r="AY5" s="22">
        <f t="shared" si="10"/>
        <v>1097.7719186845472</v>
      </c>
      <c r="AZ5" s="24">
        <f t="shared" si="11"/>
        <v>1.5141681637028238E-2</v>
      </c>
      <c r="BA5" s="24">
        <f t="shared" si="12"/>
        <v>0.35</v>
      </c>
      <c r="BB5" s="25">
        <f>IF(MortgageRate="Discounted",_xlfn.XLOOKUP(L5,'mortgage-rates'!$A:$A,'mortgage-rates'!$E:$E)/100,_xlfn.XLOOKUP(L5,'mortgage-rates'!$A:$A,'mortgage-rates'!$D:$D)/100)</f>
        <v>7.22E-2</v>
      </c>
      <c r="BC5" s="10">
        <f>BC4-BF4</f>
        <v>222248.68716394284</v>
      </c>
      <c r="BD5" s="10">
        <f t="shared" si="13"/>
        <v>4852.1319100247247</v>
      </c>
      <c r="BE5" s="10">
        <f t="shared" si="14"/>
        <v>4011.5888033091683</v>
      </c>
      <c r="BF5" s="10">
        <f t="shared" ref="BF5:BF68" si="36">BD5-BE5</f>
        <v>840.54310671555641</v>
      </c>
      <c r="BG5" s="12">
        <f t="shared" si="15"/>
        <v>5949.9038287092717</v>
      </c>
      <c r="BH5" s="22">
        <f>INDEX(cpi!B:B,MATCH($L5,cpi!A:A))</f>
        <v>86.6</v>
      </c>
      <c r="BI5" s="22">
        <f t="shared" si="16"/>
        <v>102.36406619385343</v>
      </c>
      <c r="BJ5" s="22">
        <f t="shared" si="17"/>
        <v>106.3276473895915</v>
      </c>
      <c r="BK5" s="22">
        <f t="shared" si="18"/>
        <v>109.40737896360702</v>
      </c>
      <c r="BL5" s="22">
        <f t="shared" si="19"/>
        <v>107.25156686179616</v>
      </c>
      <c r="BM5" s="22">
        <f t="shared" si="20"/>
        <v>114.33079328226619</v>
      </c>
      <c r="BN5" s="22">
        <f t="shared" si="21"/>
        <v>103.57142857142857</v>
      </c>
      <c r="BO5">
        <f t="shared" si="22"/>
        <v>102.47128016269994</v>
      </c>
    </row>
    <row r="6" spans="1:67" x14ac:dyDescent="0.25">
      <c r="A6" t="s">
        <v>462</v>
      </c>
      <c r="B6" s="4">
        <f>((_xlfn.XLOOKUP(Q_end,L:L,U:U)/_xlfn.XLOOKUP(Q_start,L:L,U:U))^(1/YEARFRAC(EOMONTH(Q_start,-3)+1,EOMONTH(Q_end,0))))-1</f>
        <v>4.6296774059967127E-2</v>
      </c>
      <c r="L6" s="1">
        <f t="shared" si="33"/>
        <v>39052</v>
      </c>
      <c r="M6" s="10">
        <f t="shared" si="0"/>
        <v>97451.216636191108</v>
      </c>
      <c r="N6" s="10">
        <f t="shared" si="23"/>
        <v>66468.355942772701</v>
      </c>
      <c r="O6" s="7">
        <f t="shared" si="24"/>
        <v>1.4661294875428201</v>
      </c>
      <c r="P6" s="7">
        <f t="shared" si="1"/>
        <v>0.53765358038803657</v>
      </c>
      <c r="Q6">
        <v>4</v>
      </c>
      <c r="R6">
        <f t="shared" si="2"/>
        <v>92</v>
      </c>
      <c r="S6" s="22"/>
      <c r="T6" s="22">
        <f>IF($B$10="3BR_H",
INDEX('3BR_H-processed'!$E:$F,MATCH($L6,'3BR_H-processed'!$B:$B,0),MATCH(Council_Area,'3BR_H-processed'!$E$1:$F$1,0)),
INDEX('2BR_F-processed'!$E:$F,MATCH($L6,'2BR_F-processed'!$B:$B,0),MATCH(Council_Area,'2BR_F-processed'!$E$1:$F$1,0)))</f>
        <v>238.64606927924939</v>
      </c>
      <c r="U6" s="22">
        <f t="shared" si="25"/>
        <v>238.64606927924939</v>
      </c>
      <c r="V6" s="22">
        <f t="shared" si="34"/>
        <v>3136.4911962415636</v>
      </c>
      <c r="W6" s="22">
        <f>$B$53/4*BH6/_xlfn.XLOOKUP(Q_end,cpi!A:A,cpi!B:B)</f>
        <v>119.83413959917071</v>
      </c>
      <c r="X6" s="22">
        <f t="shared" si="26"/>
        <v>3256.3253358407342</v>
      </c>
      <c r="Y6" s="22">
        <f t="shared" si="3"/>
        <v>2800.2238151768629</v>
      </c>
      <c r="Z6" s="22">
        <f t="shared" si="27"/>
        <v>0</v>
      </c>
      <c r="AA6" s="22" cm="1">
        <f t="array" ref="AA6">(Y6+Z6)*eff_invest</f>
        <v>2800.2238151768629</v>
      </c>
      <c r="AB6" s="22">
        <f>AA6*(_xlfn.XLOOKUP(Q_end,cpi!A:A,cpi!B:B)/BH6)</f>
        <v>4673.4992624693423</v>
      </c>
      <c r="AC6" s="22" cm="1">
        <f t="array" ref="AC6">INDEX('msci-indices'!C:C,MATCH($L6,'msci-indices'!$B:$B)-2)</f>
        <v>835.13401499999998</v>
      </c>
      <c r="AD6" s="22" cm="1">
        <f t="array" ref="AD6">INDEX('msci-indices'!D:D,MATCH($L6,'msci-indices'!$B:$B)-2)</f>
        <v>801.24066600000003</v>
      </c>
      <c r="AE6" s="22">
        <f t="shared" si="28"/>
        <v>89343.97468536027</v>
      </c>
      <c r="AF6" s="22" cm="1">
        <f t="array" ref="AF6">INDEX('msci-indices'!C:C,MATCH($L6,'msci-indices'!$B:$B)+1)</f>
        <v>906.58022200000005</v>
      </c>
      <c r="AG6" s="22" cm="1">
        <f t="array" ref="AG6">INDEX('msci-indices'!D:D,MATCH($L6,'msci-indices'!$B:$B)+1)</f>
        <v>885.32149100000004</v>
      </c>
      <c r="AH6" s="22">
        <f t="shared" si="4"/>
        <v>55.839984178350171</v>
      </c>
      <c r="AI6" s="22">
        <f t="shared" si="5"/>
        <v>97451.216636191108</v>
      </c>
      <c r="AJ6" s="22">
        <f t="shared" si="29"/>
        <v>81162.452910416134</v>
      </c>
      <c r="AK6" s="22">
        <f t="shared" si="6"/>
        <v>16288.763725774974</v>
      </c>
      <c r="AL6" s="22">
        <f>AJ6*(_xlfn.XLOOKUP(Q_end,cpi!A:A,cpi!B:B)/BH6)</f>
        <v>135457.98080896438</v>
      </c>
      <c r="AM6" s="22" cm="1">
        <f t="array" ref="AM6">SUMPRODUCT($AA$3:AA6,_xlfn.SORTBY($BH$3:BH6,_xlfn.SEQUENCE(ROWS($BH$3:BH6)),-1)/$BH$3)</f>
        <v>83079.076406158696</v>
      </c>
      <c r="AN6" s="22">
        <f t="shared" si="30"/>
        <v>14372.140230032412</v>
      </c>
      <c r="AO6" s="22">
        <f t="shared" si="7"/>
        <v>0</v>
      </c>
      <c r="AP6" s="22">
        <f t="shared" si="31"/>
        <v>97451.216636191108</v>
      </c>
      <c r="AQ6" s="22"/>
      <c r="AR6" s="10">
        <f>IF($B$10="3BR_H",
INDEX('ns-combined'!$C:$D,MATCH($L6,'ns-combined'!$B:$B,0),MATCH(Council_Area,'ns-combined'!$C$1:$D$1,0))*1000,
INDEX('s-combined'!$C:$D,MATCH($L6,'s-combined'!$B:$B,0),MATCH(Council_Area,'s-combined'!$C$1:$D$1,0))*1000)</f>
        <v>300000</v>
      </c>
      <c r="AS6" s="22">
        <f t="shared" si="35"/>
        <v>2800</v>
      </c>
      <c r="AT6" s="10">
        <v>0</v>
      </c>
      <c r="AU6" s="22">
        <f t="shared" si="8"/>
        <v>6000</v>
      </c>
      <c r="AV6" s="22">
        <f t="shared" si="9"/>
        <v>862.5</v>
      </c>
      <c r="AW6" s="22">
        <f>SUM($AV$3:AV6)</f>
        <v>3323.5</v>
      </c>
      <c r="AX6" s="22">
        <f t="shared" si="32"/>
        <v>287876.5</v>
      </c>
      <c r="AY6" s="22">
        <f t="shared" si="10"/>
        <v>1097.7719186845472</v>
      </c>
      <c r="AZ6" s="24">
        <f t="shared" si="11"/>
        <v>1.4636958915793963E-2</v>
      </c>
      <c r="BA6" s="24">
        <f t="shared" si="12"/>
        <v>0.35</v>
      </c>
      <c r="BB6" s="25">
        <f>IF(MortgageRate="Discounted",_xlfn.XLOOKUP(L6,'mortgage-rates'!$A:$A,'mortgage-rates'!$E:$E)/100,_xlfn.XLOOKUP(L6,'mortgage-rates'!$A:$A,'mortgage-rates'!$D:$D)/100)</f>
        <v>7.4700000000000003E-2</v>
      </c>
      <c r="BC6" s="10">
        <f t="shared" ref="BC6:BC35" si="37">BC5-BF5</f>
        <v>221408.1440572273</v>
      </c>
      <c r="BD6" s="10">
        <f t="shared" si="13"/>
        <v>4958.7772323330501</v>
      </c>
      <c r="BE6" s="10">
        <f t="shared" si="14"/>
        <v>4134.7970902687202</v>
      </c>
      <c r="BF6" s="10">
        <f t="shared" si="36"/>
        <v>823.98014206432981</v>
      </c>
      <c r="BG6" s="12">
        <f t="shared" si="15"/>
        <v>6056.5491510175971</v>
      </c>
      <c r="BH6" s="22">
        <f>INDEX(cpi!B:B,MATCH($L6,cpi!A:A))</f>
        <v>86.7</v>
      </c>
      <c r="BI6" s="22">
        <f t="shared" si="16"/>
        <v>102.48226950354611</v>
      </c>
      <c r="BJ6" s="22">
        <f t="shared" si="17"/>
        <v>110.63141762349176</v>
      </c>
      <c r="BK6" s="22">
        <f t="shared" si="18"/>
        <v>112.38286632194978</v>
      </c>
      <c r="BL6" s="22">
        <f t="shared" si="19"/>
        <v>111.15685223302917</v>
      </c>
      <c r="BM6" s="22">
        <f t="shared" si="20"/>
        <v>122.26353980404227</v>
      </c>
      <c r="BN6" s="22">
        <f t="shared" si="21"/>
        <v>107.14285714285714</v>
      </c>
      <c r="BO6">
        <f t="shared" si="22"/>
        <v>105.48984041481155</v>
      </c>
    </row>
    <row r="7" spans="1:67" x14ac:dyDescent="0.25">
      <c r="A7" t="s">
        <v>486</v>
      </c>
      <c r="B7" s="4">
        <f>((_xlfn.XLOOKUP(Q_end,L:L,BL:BL)/_xlfn.XLOOKUP(Q_start,L:L,BL:BL))^(1/YEARFRAC(EOMONTH(Q_start,-3)+1,EOMONTH(Q_end,0))))-1</f>
        <v>8.0631421747286103E-2</v>
      </c>
      <c r="L7" s="1">
        <f t="shared" si="33"/>
        <v>39142</v>
      </c>
      <c r="M7" s="10">
        <f t="shared" si="0"/>
        <v>104138.17150488179</v>
      </c>
      <c r="N7" s="10">
        <f t="shared" si="23"/>
        <v>70615.461084837036</v>
      </c>
      <c r="O7" s="7">
        <f t="shared" si="24"/>
        <v>1.4747219646384628</v>
      </c>
      <c r="P7" s="7">
        <f t="shared" si="1"/>
        <v>0.55539464095488555</v>
      </c>
      <c r="Q7">
        <v>5</v>
      </c>
      <c r="R7">
        <f t="shared" si="2"/>
        <v>90</v>
      </c>
      <c r="S7" s="22"/>
      <c r="T7" s="22">
        <f>IF($B$10="3BR_H",
INDEX('3BR_H-processed'!$E:$F,MATCH($L7,'3BR_H-processed'!$B:$B,0),MATCH(Council_Area,'3BR_H-processed'!$E$1:$F$1,0)),
INDEX('2BR_F-processed'!$E:$F,MATCH($L7,'2BR_F-processed'!$B:$B,0),MATCH(Council_Area,'2BR_F-processed'!$E$1:$F$1,0)))</f>
        <v>254.32303463962469</v>
      </c>
      <c r="U7" s="22">
        <f>IF(MOD(Q7,4)=1,T7,U6)</f>
        <v>254.32303463962469</v>
      </c>
      <c r="V7" s="22">
        <f t="shared" si="34"/>
        <v>3269.8675882237462</v>
      </c>
      <c r="W7" s="22">
        <f>$B$53/4*BH7/_xlfn.XLOOKUP(Q_end,cpi!A:A,cpi!B:B)</f>
        <v>119.83413959917071</v>
      </c>
      <c r="X7" s="22">
        <f t="shared" si="26"/>
        <v>3389.7017278229168</v>
      </c>
      <c r="Y7" s="22">
        <f t="shared" si="3"/>
        <v>2713.5291603884452</v>
      </c>
      <c r="Z7" s="22">
        <f t="shared" si="27"/>
        <v>0</v>
      </c>
      <c r="AA7" s="22" cm="1">
        <f t="array" ref="AA7">(Y7+Z7)*eff_invest</f>
        <v>2713.5291603884452</v>
      </c>
      <c r="AB7" s="22">
        <f>AA7*(_xlfn.XLOOKUP(Q_end,cpi!A:A,cpi!B:B)/BH7)</f>
        <v>4528.8081834856739</v>
      </c>
      <c r="AC7" s="22" cm="1">
        <f t="array" ref="AC7">INDEX('msci-indices'!C:C,MATCH($L7,'msci-indices'!$B:$B)-2)</f>
        <v>906.58022200000005</v>
      </c>
      <c r="AD7" s="22" cm="1">
        <f t="array" ref="AD7">INDEX('msci-indices'!D:D,MATCH($L7,'msci-indices'!$B:$B)-2)</f>
        <v>885.32149100000004</v>
      </c>
      <c r="AE7" s="22">
        <f t="shared" si="28"/>
        <v>100164.74579657955</v>
      </c>
      <c r="AF7" s="22" cm="1">
        <f t="array" ref="AF7">INDEX('msci-indices'!C:C,MATCH($L7,'msci-indices'!$B:$B)+1)</f>
        <v>932.09759399999996</v>
      </c>
      <c r="AG7" s="22" cm="1">
        <f t="array" ref="AG7">INDEX('msci-indices'!D:D,MATCH($L7,'msci-indices'!$B:$B)+1)</f>
        <v>946.08734200000004</v>
      </c>
      <c r="AH7" s="22">
        <f t="shared" si="4"/>
        <v>62.60296612286222</v>
      </c>
      <c r="AI7" s="22">
        <f t="shared" si="5"/>
        <v>104138.17150488179</v>
      </c>
      <c r="AJ7" s="22">
        <f t="shared" si="29"/>
        <v>83875.982070804574</v>
      </c>
      <c r="AK7" s="22">
        <f t="shared" si="6"/>
        <v>20262.189434077212</v>
      </c>
      <c r="AL7" s="22">
        <f>AJ7*(_xlfn.XLOOKUP(Q_end,cpi!A:A,cpi!B:B)/BH7)</f>
        <v>139986.78899245005</v>
      </c>
      <c r="AM7" s="22" cm="1">
        <f t="array" ref="AM7">SUMPRODUCT($AA$3:AA7,_xlfn.SORTBY($BH$3:BH7,_xlfn.SEQUENCE(ROWS($BH$3:BH7)),-1)/$BH$3)</f>
        <v>85860.989167598251</v>
      </c>
      <c r="AN7" s="22">
        <f t="shared" si="30"/>
        <v>18277.182337283535</v>
      </c>
      <c r="AO7" s="22">
        <f t="shared" si="7"/>
        <v>0</v>
      </c>
      <c r="AP7" s="22">
        <f t="shared" si="31"/>
        <v>104138.17150488179</v>
      </c>
      <c r="AQ7" s="22"/>
      <c r="AR7" s="10">
        <f>IF($B$10="3BR_H",
INDEX('ns-combined'!$C:$D,MATCH($L7,'ns-combined'!$B:$B,0),MATCH(Council_Area,'ns-combined'!$C$1:$D$1,0))*1000,
INDEX('s-combined'!$C:$D,MATCH($L7,'s-combined'!$B:$B,0),MATCH(Council_Area,'s-combined'!$C$1:$D$1,0))*1000)</f>
        <v>305000</v>
      </c>
      <c r="AS7" s="22">
        <f t="shared" si="35"/>
        <v>3500</v>
      </c>
      <c r="AT7" s="10">
        <v>0</v>
      </c>
      <c r="AU7" s="22">
        <f t="shared" si="8"/>
        <v>6100</v>
      </c>
      <c r="AV7" s="22">
        <f t="shared" si="9"/>
        <v>876.875</v>
      </c>
      <c r="AW7" s="22">
        <f>SUM($AV$3:AV7)</f>
        <v>4200.375</v>
      </c>
      <c r="AX7" s="22">
        <f t="shared" si="32"/>
        <v>291199.625</v>
      </c>
      <c r="AY7" s="22">
        <f t="shared" si="10"/>
        <v>1144.4536558783113</v>
      </c>
      <c r="AZ7" s="24">
        <f t="shared" si="11"/>
        <v>1.5009228273813919E-2</v>
      </c>
      <c r="BA7" s="24">
        <f t="shared" si="12"/>
        <v>0.35000000000000003</v>
      </c>
      <c r="BB7" s="25">
        <f>IF(MortgageRate="Discounted",_xlfn.XLOOKUP(L7,'mortgage-rates'!$A:$A,'mortgage-rates'!$E:$E)/100,_xlfn.XLOOKUP(L7,'mortgage-rates'!$A:$A,'mortgage-rates'!$D:$D)/100)</f>
        <v>7.4700000000000003E-2</v>
      </c>
      <c r="BC7" s="10">
        <f t="shared" si="37"/>
        <v>220584.16391516296</v>
      </c>
      <c r="BD7" s="10">
        <f t="shared" si="13"/>
        <v>4958.777232333051</v>
      </c>
      <c r="BE7" s="10">
        <f t="shared" si="14"/>
        <v>4119.4092611156684</v>
      </c>
      <c r="BF7" s="10">
        <f t="shared" si="36"/>
        <v>839.36797121738255</v>
      </c>
      <c r="BG7" s="12">
        <f t="shared" si="15"/>
        <v>6103.2308882113621</v>
      </c>
      <c r="BH7" s="22">
        <f>INDEX(cpi!B:B,MATCH($L7,cpi!A:A))</f>
        <v>86.7</v>
      </c>
      <c r="BI7" s="22">
        <f t="shared" si="16"/>
        <v>102.48226950354611</v>
      </c>
      <c r="BJ7" s="22">
        <f t="shared" si="17"/>
        <v>120.09600057935597</v>
      </c>
      <c r="BK7" s="22">
        <f t="shared" si="18"/>
        <v>124.17613208738743</v>
      </c>
      <c r="BL7" s="22">
        <f t="shared" si="19"/>
        <v>121.32004003176542</v>
      </c>
      <c r="BM7" s="22">
        <f t="shared" si="20"/>
        <v>137.07131821468613</v>
      </c>
      <c r="BN7" s="22">
        <f t="shared" si="21"/>
        <v>108.92857142857143</v>
      </c>
      <c r="BO7">
        <f t="shared" si="22"/>
        <v>106.70757067736675</v>
      </c>
    </row>
    <row r="8" spans="1:67" x14ac:dyDescent="0.25">
      <c r="A8" t="s">
        <v>487</v>
      </c>
      <c r="B8" s="4">
        <f>((_xlfn.XLOOKUP(Q_end,L:L,BI:BI)/_xlfn.XLOOKUP(Q_start,L:L,BI:BI))^(1/YEARFRAC(EOMONTH(Q_start,-3)+1,EOMONTH(Q_end,0))))-1</f>
        <v>2.7199757989349482E-2</v>
      </c>
      <c r="L8" s="1">
        <f t="shared" si="33"/>
        <v>39234</v>
      </c>
      <c r="M8" s="10">
        <f t="shared" si="0"/>
        <v>113401.63435706758</v>
      </c>
      <c r="N8" s="10">
        <f t="shared" si="23"/>
        <v>79649.204056054412</v>
      </c>
      <c r="O8" s="7">
        <f t="shared" si="24"/>
        <v>1.4237635604903138</v>
      </c>
      <c r="P8" s="7">
        <f t="shared" si="1"/>
        <v>0.56040638310578861</v>
      </c>
      <c r="Q8">
        <v>6</v>
      </c>
      <c r="R8">
        <f t="shared" si="2"/>
        <v>91</v>
      </c>
      <c r="S8" s="22"/>
      <c r="T8" s="22">
        <f>IF($B$10="3BR_H",
INDEX('3BR_H-processed'!$E:$F,MATCH($L8,'3BR_H-processed'!$B:$B,0),MATCH(Council_Area,'3BR_H-processed'!$E$1:$F$1,0)),
INDEX('2BR_F-processed'!$E:$F,MATCH($L8,'2BR_F-processed'!$B:$B,0),MATCH(Council_Area,'2BR_F-processed'!$E$1:$F$1,0)))</f>
        <v>254.32303463962469</v>
      </c>
      <c r="U8" s="22">
        <f t="shared" si="25"/>
        <v>254.32303463962469</v>
      </c>
      <c r="V8" s="22">
        <f t="shared" si="34"/>
        <v>3306.1994503151213</v>
      </c>
      <c r="W8" s="22">
        <f>$B$53/4*BH8/_xlfn.XLOOKUP(Q_end,cpi!A:A,cpi!B:B)</f>
        <v>121.21630960608155</v>
      </c>
      <c r="X8" s="22">
        <f t="shared" si="26"/>
        <v>3427.4157599212031</v>
      </c>
      <c r="Y8" s="22">
        <f t="shared" si="3"/>
        <v>2688.53128002214</v>
      </c>
      <c r="Z8" s="22">
        <f t="shared" si="27"/>
        <v>0</v>
      </c>
      <c r="AA8" s="22" cm="1">
        <f t="array" ref="AA8">(Y8+Z8)*eff_invest</f>
        <v>2688.53128002214</v>
      </c>
      <c r="AB8" s="22">
        <f>AA8*(_xlfn.XLOOKUP(Q_end,cpi!A:A,cpi!B:B)/BH8)</f>
        <v>4435.9233320319681</v>
      </c>
      <c r="AC8" s="22" cm="1">
        <f t="array" ref="AC8">INDEX('msci-indices'!C:C,MATCH($L8,'msci-indices'!$B:$B)-2)</f>
        <v>932.09759399999996</v>
      </c>
      <c r="AD8" s="22" cm="1">
        <f t="array" ref="AD8">INDEX('msci-indices'!D:D,MATCH($L8,'msci-indices'!$B:$B)-2)</f>
        <v>946.08734200000004</v>
      </c>
      <c r="AE8" s="22">
        <f t="shared" si="28"/>
        <v>106826.70278490393</v>
      </c>
      <c r="AF8" s="22" cm="1">
        <f t="array" ref="AF8">INDEX('msci-indices'!C:C,MATCH($L8,'msci-indices'!$B:$B)+1)</f>
        <v>991.70582300000001</v>
      </c>
      <c r="AG8" s="22" cm="1">
        <f t="array" ref="AG8">INDEX('msci-indices'!D:D,MATCH($L8,'msci-indices'!$B:$B)+1)</f>
        <v>1000.983113</v>
      </c>
      <c r="AH8" s="22">
        <f t="shared" si="4"/>
        <v>66.766689240564958</v>
      </c>
      <c r="AI8" s="22">
        <f t="shared" si="5"/>
        <v>113401.63435706758</v>
      </c>
      <c r="AJ8" s="22">
        <f t="shared" si="29"/>
        <v>86564.513350826717</v>
      </c>
      <c r="AK8" s="22">
        <f t="shared" si="6"/>
        <v>26837.121006240865</v>
      </c>
      <c r="AL8" s="22">
        <f>AJ8*(_xlfn.XLOOKUP(Q_end,cpi!A:A,cpi!B:B)/BH8)</f>
        <v>142826.51176584521</v>
      </c>
      <c r="AM8" s="22" cm="1">
        <f t="array" ref="AM8">SUMPRODUCT($AA$3:AA8,_xlfn.SORTBY($BH$3:BH8,_xlfn.SEQUENCE(ROWS($BH$3:BH8)),-1)/$BH$3)</f>
        <v>89481.341117982316</v>
      </c>
      <c r="AN8" s="22">
        <f t="shared" si="30"/>
        <v>23920.293239085266</v>
      </c>
      <c r="AO8" s="22">
        <f t="shared" si="7"/>
        <v>0</v>
      </c>
      <c r="AP8" s="22">
        <f t="shared" si="31"/>
        <v>113401.63435706758</v>
      </c>
      <c r="AQ8" s="22"/>
      <c r="AR8" s="10">
        <f>IF($B$10="3BR_H",
INDEX('ns-combined'!$C:$D,MATCH($L8,'ns-combined'!$B:$B,0),MATCH(Council_Area,'ns-combined'!$C$1:$D$1,0))*1000,
INDEX('s-combined'!$C:$D,MATCH($L8,'s-combined'!$B:$B,0),MATCH(Council_Area,'s-combined'!$C$1:$D$1,0))*1000)</f>
        <v>315000</v>
      </c>
      <c r="AS8" s="22">
        <f t="shared" si="35"/>
        <v>4200</v>
      </c>
      <c r="AT8" s="10">
        <v>0</v>
      </c>
      <c r="AU8" s="22">
        <f t="shared" si="8"/>
        <v>6300</v>
      </c>
      <c r="AV8" s="22">
        <f t="shared" si="9"/>
        <v>905.625</v>
      </c>
      <c r="AW8" s="22">
        <f>SUM($AV$3:AV8)</f>
        <v>5106</v>
      </c>
      <c r="AX8" s="22">
        <f t="shared" si="32"/>
        <v>299394</v>
      </c>
      <c r="AY8" s="22">
        <f t="shared" si="10"/>
        <v>1157.1698076102925</v>
      </c>
      <c r="AZ8" s="24">
        <f t="shared" si="11"/>
        <v>1.4694219779178319E-2</v>
      </c>
      <c r="BA8" s="24">
        <f t="shared" si="12"/>
        <v>0.35000000000000003</v>
      </c>
      <c r="BB8" s="25">
        <f>IF(MortgageRate="Discounted",_xlfn.XLOOKUP(L8,'mortgage-rates'!$A:$A,'mortgage-rates'!$E:$E)/100,_xlfn.XLOOKUP(L8,'mortgage-rates'!$A:$A,'mortgage-rates'!$D:$D)/100)</f>
        <v>7.4700000000000003E-2</v>
      </c>
      <c r="BC8" s="10">
        <f t="shared" si="37"/>
        <v>219744.79594394559</v>
      </c>
      <c r="BD8" s="10">
        <f t="shared" si="13"/>
        <v>4958.777232333051</v>
      </c>
      <c r="BE8" s="10">
        <f t="shared" si="14"/>
        <v>4103.7340642531844</v>
      </c>
      <c r="BF8" s="10">
        <f t="shared" si="36"/>
        <v>855.04316807986652</v>
      </c>
      <c r="BG8" s="12">
        <f t="shared" si="15"/>
        <v>6115.947039943343</v>
      </c>
      <c r="BH8" s="22">
        <f>INDEX(cpi!B:B,MATCH($L8,cpi!A:A))</f>
        <v>87.7</v>
      </c>
      <c r="BI8" s="22">
        <f t="shared" si="16"/>
        <v>103.66430260047282</v>
      </c>
      <c r="BJ8" s="22">
        <f t="shared" si="17"/>
        <v>123.47632396180853</v>
      </c>
      <c r="BK8" s="22">
        <f t="shared" si="18"/>
        <v>132.69921485097811</v>
      </c>
      <c r="BL8" s="22">
        <f t="shared" si="19"/>
        <v>126.2431912285594</v>
      </c>
      <c r="BM8" s="22">
        <f t="shared" si="20"/>
        <v>146.18793124072693</v>
      </c>
      <c r="BN8" s="22">
        <f t="shared" si="21"/>
        <v>112.5</v>
      </c>
      <c r="BO8">
        <f t="shared" si="22"/>
        <v>109.71032814818886</v>
      </c>
    </row>
    <row r="9" spans="1:67" x14ac:dyDescent="0.25">
      <c r="L9" s="1">
        <f t="shared" si="33"/>
        <v>39326</v>
      </c>
      <c r="M9" s="10">
        <f t="shared" si="0"/>
        <v>119680.17947628487</v>
      </c>
      <c r="N9" s="10">
        <f t="shared" si="23"/>
        <v>98441.122224134277</v>
      </c>
      <c r="O9" s="7">
        <f t="shared" si="24"/>
        <v>1.2157539123110843</v>
      </c>
      <c r="P9" s="7">
        <f t="shared" si="1"/>
        <v>0.55571822782871272</v>
      </c>
      <c r="Q9">
        <v>7</v>
      </c>
      <c r="R9">
        <f t="shared" si="2"/>
        <v>92</v>
      </c>
      <c r="S9" s="22"/>
      <c r="T9" s="22">
        <f>IF($B$10="3BR_H",
INDEX('3BR_H-processed'!$E:$F,MATCH($L9,'3BR_H-processed'!$B:$B,0),MATCH(Council_Area,'3BR_H-processed'!$E$1:$F$1,0)),
INDEX('2BR_F-processed'!$E:$F,MATCH($L9,'2BR_F-processed'!$B:$B,0),MATCH(Council_Area,'2BR_F-processed'!$E$1:$F$1,0)))</f>
        <v>254.32303463962469</v>
      </c>
      <c r="U9" s="22">
        <f t="shared" si="25"/>
        <v>254.32303463962469</v>
      </c>
      <c r="V9" s="22">
        <f t="shared" si="34"/>
        <v>3342.531312406496</v>
      </c>
      <c r="W9" s="22">
        <f>$B$53/4*BH9/_xlfn.XLOOKUP(Q_end,cpi!A:A,cpi!B:B)</f>
        <v>121.90739460953698</v>
      </c>
      <c r="X9" s="22">
        <f t="shared" si="26"/>
        <v>3464.4387070160328</v>
      </c>
      <c r="Y9" s="22">
        <f t="shared" si="3"/>
        <v>2769.7255394082649</v>
      </c>
      <c r="Z9" s="22">
        <f t="shared" si="27"/>
        <v>0</v>
      </c>
      <c r="AA9" s="22" cm="1">
        <f t="array" ref="AA9">(Y9+Z9)*eff_invest</f>
        <v>2769.7255394082649</v>
      </c>
      <c r="AB9" s="22">
        <f>AA9*(_xlfn.XLOOKUP(Q_end,cpi!A:A,cpi!B:B)/BH9)</f>
        <v>4543.9828293920164</v>
      </c>
      <c r="AC9" s="22" cm="1">
        <f t="array" ref="AC9">INDEX('msci-indices'!C:C,MATCH($L9,'msci-indices'!$B:$B)-2)</f>
        <v>991.70582300000001</v>
      </c>
      <c r="AD9" s="22" cm="1">
        <f t="array" ref="AD9">INDEX('msci-indices'!D:D,MATCH($L9,'msci-indices'!$B:$B)-2)</f>
        <v>1000.983113</v>
      </c>
      <c r="AE9" s="22">
        <f t="shared" si="28"/>
        <v>116171.35989647584</v>
      </c>
      <c r="AF9" s="22" cm="1">
        <f t="array" ref="AF9">INDEX('msci-indices'!C:C,MATCH($L9,'msci-indices'!$B:$B)+1)</f>
        <v>1009.870131</v>
      </c>
      <c r="AG9" s="22" cm="1">
        <f t="array" ref="AG9">INDEX('msci-indices'!D:D,MATCH($L9,'msci-indices'!$B:$B)+1)</f>
        <v>1061.067018</v>
      </c>
      <c r="AH9" s="22">
        <f t="shared" si="4"/>
        <v>72.607099935297398</v>
      </c>
      <c r="AI9" s="22">
        <f t="shared" si="5"/>
        <v>119680.17947628487</v>
      </c>
      <c r="AJ9" s="22">
        <f t="shared" si="29"/>
        <v>89334.238890234978</v>
      </c>
      <c r="AK9" s="22">
        <f t="shared" si="6"/>
        <v>30345.940586049896</v>
      </c>
      <c r="AL9" s="22">
        <f>AJ9*(_xlfn.XLOOKUP(Q_end,cpi!A:A,cpi!B:B)/BH9)</f>
        <v>146560.82049225623</v>
      </c>
      <c r="AM9" s="22" cm="1">
        <f t="array" ref="AM9">SUMPRODUCT($AA$3:AA9,_xlfn.SORTBY($BH$3:BH9,_xlfn.SEQUENCE(ROWS($BH$3:BH9)),-1)/$BH$3)</f>
        <v>92780.684146893385</v>
      </c>
      <c r="AN9" s="22">
        <f t="shared" si="30"/>
        <v>26899.495329391488</v>
      </c>
      <c r="AO9" s="22">
        <f t="shared" si="7"/>
        <v>0</v>
      </c>
      <c r="AP9" s="22">
        <f t="shared" si="31"/>
        <v>119680.17947628487</v>
      </c>
      <c r="AQ9" s="22"/>
      <c r="AR9" s="10">
        <f>IF($B$10="3BR_H",
INDEX('ns-combined'!$C:$D,MATCH($L9,'ns-combined'!$B:$B,0),MATCH(Council_Area,'ns-combined'!$C$1:$D$1,0))*1000,
INDEX('s-combined'!$C:$D,MATCH($L9,'s-combined'!$B:$B,0),MATCH(Council_Area,'s-combined'!$C$1:$D$1,0))*1000)</f>
        <v>335000</v>
      </c>
      <c r="AS9" s="22">
        <f t="shared" si="35"/>
        <v>4900</v>
      </c>
      <c r="AT9" s="10">
        <v>0</v>
      </c>
      <c r="AU9" s="22">
        <f t="shared" si="8"/>
        <v>6700</v>
      </c>
      <c r="AV9" s="22">
        <f t="shared" si="9"/>
        <v>963.125</v>
      </c>
      <c r="AW9" s="22">
        <f>SUM($AV$3:AV9)</f>
        <v>6069.125</v>
      </c>
      <c r="AX9" s="22">
        <f t="shared" si="32"/>
        <v>317330.875</v>
      </c>
      <c r="AY9" s="22">
        <f t="shared" si="10"/>
        <v>1169.8859593422737</v>
      </c>
      <c r="AZ9" s="24">
        <f t="shared" si="11"/>
        <v>1.3968787574236105E-2</v>
      </c>
      <c r="BA9" s="24">
        <f t="shared" si="12"/>
        <v>0.35000000000000003</v>
      </c>
      <c r="BB9" s="25">
        <f>IF(MortgageRate="Discounted",_xlfn.XLOOKUP(L9,'mortgage-rates'!$A:$A,'mortgage-rates'!$E:$E)/100,_xlfn.XLOOKUP(L9,'mortgage-rates'!$A:$A,'mortgage-rates'!$D:$D)/100)</f>
        <v>7.7199999999999991E-2</v>
      </c>
      <c r="BC9" s="10">
        <f t="shared" si="37"/>
        <v>218889.75277586572</v>
      </c>
      <c r="BD9" s="10">
        <f t="shared" si="13"/>
        <v>5064.2782870820238</v>
      </c>
      <c r="BE9" s="10">
        <f t="shared" si="14"/>
        <v>4224.5722285742077</v>
      </c>
      <c r="BF9" s="10">
        <f t="shared" si="36"/>
        <v>839.70605850781612</v>
      </c>
      <c r="BG9" s="12">
        <f t="shared" si="15"/>
        <v>6234.1642464242977</v>
      </c>
      <c r="BH9" s="22">
        <f>INDEX(cpi!B:B,MATCH($L9,cpi!A:A))</f>
        <v>88.2</v>
      </c>
      <c r="BI9" s="22">
        <f t="shared" si="16"/>
        <v>104.25531914893618</v>
      </c>
      <c r="BJ9" s="22">
        <f t="shared" si="17"/>
        <v>131.37271275432553</v>
      </c>
      <c r="BK9" s="22">
        <f t="shared" si="18"/>
        <v>140.39895396273877</v>
      </c>
      <c r="BL9" s="22">
        <f t="shared" si="19"/>
        <v>134.08058511684951</v>
      </c>
      <c r="BM9" s="22">
        <f t="shared" si="20"/>
        <v>158.97570860052474</v>
      </c>
      <c r="BN9" s="22">
        <f t="shared" si="21"/>
        <v>119.64285714285714</v>
      </c>
      <c r="BO9">
        <f t="shared" si="22"/>
        <v>116.2831400355448</v>
      </c>
    </row>
    <row r="10" spans="1:67" x14ac:dyDescent="0.25">
      <c r="A10" t="s">
        <v>327</v>
      </c>
      <c r="B10" t="s">
        <v>464</v>
      </c>
      <c r="C10" t="s">
        <v>464</v>
      </c>
      <c r="L10" s="1">
        <f t="shared" si="33"/>
        <v>39417</v>
      </c>
      <c r="M10" s="10">
        <f t="shared" si="0"/>
        <v>119165.38526072954</v>
      </c>
      <c r="N10" s="10">
        <f t="shared" si="23"/>
        <v>120091.57828264209</v>
      </c>
      <c r="O10" s="7">
        <f t="shared" si="24"/>
        <v>0.99228761054557291</v>
      </c>
      <c r="P10" s="7">
        <f t="shared" si="1"/>
        <v>0.54669013345781048</v>
      </c>
      <c r="Q10">
        <v>8</v>
      </c>
      <c r="R10">
        <f t="shared" si="2"/>
        <v>92</v>
      </c>
      <c r="S10" s="22"/>
      <c r="T10" s="22">
        <f>IF($B$10="3BR_H",
INDEX('3BR_H-processed'!$E:$F,MATCH($L10,'3BR_H-processed'!$B:$B,0),MATCH(Council_Area,'3BR_H-processed'!$E$1:$F$1,0)),
INDEX('2BR_F-processed'!$E:$F,MATCH($L10,'2BR_F-processed'!$B:$B,0),MATCH(Council_Area,'2BR_F-processed'!$E$1:$F$1,0)))</f>
        <v>254.32303463962469</v>
      </c>
      <c r="U10" s="22">
        <f t="shared" si="25"/>
        <v>254.32303463962469</v>
      </c>
      <c r="V10" s="22">
        <f t="shared" si="34"/>
        <v>3342.531312406496</v>
      </c>
      <c r="W10" s="22">
        <f>$B$53/4*BH10/_xlfn.XLOOKUP(Q_end,cpi!A:A,cpi!B:B)</f>
        <v>123.42778161713892</v>
      </c>
      <c r="X10" s="22">
        <f t="shared" si="26"/>
        <v>3465.9590940236349</v>
      </c>
      <c r="Y10" s="22">
        <f t="shared" si="3"/>
        <v>2873.9378272935155</v>
      </c>
      <c r="Z10" s="22">
        <f t="shared" si="27"/>
        <v>0</v>
      </c>
      <c r="AA10" s="22" cm="1">
        <f t="array" ref="AA10">(Y10+Z10)*eff_invest</f>
        <v>2873.9378272935155</v>
      </c>
      <c r="AB10" s="22">
        <f>AA10*(_xlfn.XLOOKUP(Q_end,cpi!A:A,cpi!B:B)/BH10)</f>
        <v>4656.8735006648567</v>
      </c>
      <c r="AC10" s="22" cm="1">
        <f t="array" ref="AC10">INDEX('msci-indices'!C:C,MATCH($L10,'msci-indices'!$B:$B)-2)</f>
        <v>1009.870131</v>
      </c>
      <c r="AD10" s="22" cm="1">
        <f t="array" ref="AD10">INDEX('msci-indices'!D:D,MATCH($L10,'msci-indices'!$B:$B)-2)</f>
        <v>1061.067018</v>
      </c>
      <c r="AE10" s="22">
        <f t="shared" si="28"/>
        <v>122554.11730357839</v>
      </c>
      <c r="AF10" s="22" cm="1">
        <f t="array" ref="AF10">INDEX('msci-indices'!C:C,MATCH($L10,'msci-indices'!$B:$B)+1)</f>
        <v>983.50383399999998</v>
      </c>
      <c r="AG10" s="22" cm="1">
        <f t="array" ref="AG10">INDEX('msci-indices'!D:D,MATCH($L10,'msci-indices'!$B:$B)+1)</f>
        <v>1030.119647</v>
      </c>
      <c r="AH10" s="22">
        <f t="shared" si="4"/>
        <v>76.596323314736495</v>
      </c>
      <c r="AI10" s="22">
        <f t="shared" si="5"/>
        <v>119165.38526072954</v>
      </c>
      <c r="AJ10" s="22">
        <f t="shared" si="29"/>
        <v>92208.176717528491</v>
      </c>
      <c r="AK10" s="22">
        <f t="shared" si="6"/>
        <v>26957.20854320105</v>
      </c>
      <c r="AL10" s="22">
        <f>AJ10*(_xlfn.XLOOKUP(Q_end,cpi!A:A,cpi!B:B)/BH10)</f>
        <v>149412.35353892914</v>
      </c>
      <c r="AM10" s="22" cm="1">
        <f t="array" ref="AM10">SUMPRODUCT($AA$3:AA10,_xlfn.SORTBY($BH$3:BH10,_xlfn.SEQUENCE(ROWS($BH$3:BH10)),-1)/$BH$3)</f>
        <v>96719.951624226378</v>
      </c>
      <c r="AN10" s="22">
        <f t="shared" si="30"/>
        <v>22445.433636503163</v>
      </c>
      <c r="AO10" s="22">
        <f t="shared" si="7"/>
        <v>0</v>
      </c>
      <c r="AP10" s="22">
        <f t="shared" si="31"/>
        <v>119165.38526072954</v>
      </c>
      <c r="AQ10" s="22"/>
      <c r="AR10" s="10">
        <f>IF($B$10="3BR_H",
INDEX('ns-combined'!$C:$D,MATCH($L10,'ns-combined'!$B:$B,0),MATCH(Council_Area,'ns-combined'!$C$1:$D$1,0))*1000,
INDEX('s-combined'!$C:$D,MATCH($L10,'s-combined'!$B:$B,0),MATCH(Council_Area,'s-combined'!$C$1:$D$1,0))*1000)</f>
        <v>358000</v>
      </c>
      <c r="AS10" s="22">
        <f t="shared" si="35"/>
        <v>5600</v>
      </c>
      <c r="AT10" s="10">
        <v>0</v>
      </c>
      <c r="AU10" s="22">
        <f t="shared" si="8"/>
        <v>7160</v>
      </c>
      <c r="AV10" s="22">
        <f t="shared" si="9"/>
        <v>1029.25</v>
      </c>
      <c r="AW10" s="22">
        <f>SUM($AV$3:AV10)</f>
        <v>7098.375</v>
      </c>
      <c r="AX10" s="22">
        <f t="shared" si="32"/>
        <v>338141.625</v>
      </c>
      <c r="AY10" s="22">
        <f t="shared" si="10"/>
        <v>1169.8859593422737</v>
      </c>
      <c r="AZ10" s="24">
        <f t="shared" si="11"/>
        <v>1.3071351501030991E-2</v>
      </c>
      <c r="BA10" s="24">
        <f t="shared" si="12"/>
        <v>0.35000000000000003</v>
      </c>
      <c r="BB10" s="25">
        <f>IF(MortgageRate="Discounted",_xlfn.XLOOKUP(L10,'mortgage-rates'!$A:$A,'mortgage-rates'!$E:$E)/100,_xlfn.XLOOKUP(L10,'mortgage-rates'!$A:$A,'mortgage-rates'!$D:$D)/100)</f>
        <v>7.9699999999999993E-2</v>
      </c>
      <c r="BC10" s="10">
        <f t="shared" si="37"/>
        <v>218050.04671735791</v>
      </c>
      <c r="BD10" s="10">
        <f t="shared" si="13"/>
        <v>5170.0109619748764</v>
      </c>
      <c r="BE10" s="10">
        <f t="shared" si="14"/>
        <v>4344.6471808433562</v>
      </c>
      <c r="BF10" s="10">
        <f t="shared" si="36"/>
        <v>825.36378113152023</v>
      </c>
      <c r="BG10" s="12">
        <f t="shared" si="15"/>
        <v>6339.8969213171504</v>
      </c>
      <c r="BH10" s="22">
        <f>INDEX(cpi!B:B,MATCH($L10,cpi!A:A))</f>
        <v>89.3</v>
      </c>
      <c r="BI10" s="22">
        <f t="shared" si="16"/>
        <v>105.55555555555556</v>
      </c>
      <c r="BJ10" s="22">
        <f t="shared" si="17"/>
        <v>133.77896505407139</v>
      </c>
      <c r="BK10" s="22">
        <f t="shared" si="18"/>
        <v>148.82638625649071</v>
      </c>
      <c r="BL10" s="22">
        <f t="shared" si="19"/>
        <v>138.29319141479718</v>
      </c>
      <c r="BM10" s="22">
        <f t="shared" si="20"/>
        <v>167.71024852950217</v>
      </c>
      <c r="BN10" s="22">
        <f t="shared" si="21"/>
        <v>127.85714285714286</v>
      </c>
      <c r="BO10">
        <f t="shared" si="22"/>
        <v>123.90905842906612</v>
      </c>
    </row>
    <row r="11" spans="1:67" x14ac:dyDescent="0.25">
      <c r="A11" t="s">
        <v>7</v>
      </c>
      <c r="B11" s="1">
        <v>38777</v>
      </c>
      <c r="C11" s="1">
        <v>38777</v>
      </c>
      <c r="L11" s="1">
        <f t="shared" si="33"/>
        <v>39508</v>
      </c>
      <c r="M11" s="10">
        <f t="shared" si="0"/>
        <v>109163.03139725693</v>
      </c>
      <c r="N11" s="10">
        <f t="shared" si="23"/>
        <v>121141.9420637736</v>
      </c>
      <c r="O11" s="7">
        <f t="shared" si="24"/>
        <v>0.90111673576926365</v>
      </c>
      <c r="P11" s="7">
        <f t="shared" si="1"/>
        <v>0.54169253261986372</v>
      </c>
      <c r="Q11">
        <v>9</v>
      </c>
      <c r="R11">
        <f t="shared" si="2"/>
        <v>91</v>
      </c>
      <c r="S11" s="22"/>
      <c r="T11" s="22">
        <f>IF($B$10="3BR_H",
INDEX('3BR_H-processed'!$E:$F,MATCH($L11,'3BR_H-processed'!$B:$B,0),MATCH(Council_Area,'3BR_H-processed'!$E$1:$F$1,0)),
INDEX('2BR_F-processed'!$E:$F,MATCH($L11,'2BR_F-processed'!$B:$B,0),MATCH(Council_Area,'2BR_F-processed'!$E$1:$F$1,0)))</f>
        <v>270</v>
      </c>
      <c r="U11" s="22">
        <f t="shared" si="25"/>
        <v>270</v>
      </c>
      <c r="V11" s="22">
        <f t="shared" si="34"/>
        <v>3510</v>
      </c>
      <c r="W11" s="22">
        <f>$B$53/4*BH11/_xlfn.XLOOKUP(Q_end,cpi!A:A,cpi!B:B)</f>
        <v>124.94816862474086</v>
      </c>
      <c r="X11" s="22">
        <f t="shared" si="26"/>
        <v>3634.9481686247409</v>
      </c>
      <c r="Y11" s="22">
        <f t="shared" si="3"/>
        <v>3075.404937120561</v>
      </c>
      <c r="Z11" s="22">
        <f t="shared" si="27"/>
        <v>0</v>
      </c>
      <c r="AA11" s="22" cm="1">
        <f t="array" ref="AA11">(Y11+Z11)*eff_invest</f>
        <v>3075.404937120561</v>
      </c>
      <c r="AB11" s="22">
        <f>AA11*(_xlfn.XLOOKUP(Q_end,cpi!A:A,cpi!B:B)/BH11)</f>
        <v>4922.6890973600121</v>
      </c>
      <c r="AC11" s="22" cm="1">
        <f t="array" ref="AC11">INDEX('msci-indices'!C:C,MATCH($L11,'msci-indices'!$B:$B)-2)</f>
        <v>983.50383399999998</v>
      </c>
      <c r="AD11" s="22" cm="1">
        <f t="array" ref="AD11">INDEX('msci-indices'!D:D,MATCH($L11,'msci-indices'!$B:$B)-2)</f>
        <v>1030.119647</v>
      </c>
      <c r="AE11" s="22">
        <f t="shared" si="28"/>
        <v>122240.7901978501</v>
      </c>
      <c r="AF11" s="22" cm="1">
        <f t="array" ref="AF11">INDEX('msci-indices'!C:C,MATCH($L11,'msci-indices'!$B:$B)+1)</f>
        <v>894.99836200000004</v>
      </c>
      <c r="AG11" s="22" cm="1">
        <f t="array" ref="AG11">INDEX('msci-indices'!D:D,MATCH($L11,'msci-indices'!$B:$B)+1)</f>
        <v>881.21372699999995</v>
      </c>
      <c r="AH11" s="22">
        <f t="shared" si="4"/>
        <v>76.400493873656316</v>
      </c>
      <c r="AI11" s="22">
        <f t="shared" si="5"/>
        <v>109163.03139725693</v>
      </c>
      <c r="AJ11" s="22">
        <f t="shared" si="29"/>
        <v>95283.581654649053</v>
      </c>
      <c r="AK11" s="22">
        <f t="shared" si="6"/>
        <v>13879.449742607874</v>
      </c>
      <c r="AL11" s="22">
        <f>AJ11*(_xlfn.XLOOKUP(Q_end,cpi!A:A,cpi!B:B)/BH11)</f>
        <v>152516.97196269597</v>
      </c>
      <c r="AM11" s="22" cm="1">
        <f t="array" ref="AM11">SUMPRODUCT($AA$3:AA11,_xlfn.SORTBY($BH$3:BH11,_xlfn.SEQUENCE(ROWS($BH$3:BH11)),-1)/$BH$3)</f>
        <v>100898.50344048512</v>
      </c>
      <c r="AN11" s="22">
        <f t="shared" si="30"/>
        <v>8264.5279567718098</v>
      </c>
      <c r="AO11" s="22">
        <f t="shared" si="7"/>
        <v>0</v>
      </c>
      <c r="AP11" s="22">
        <f t="shared" si="31"/>
        <v>109163.03139725693</v>
      </c>
      <c r="AQ11" s="22"/>
      <c r="AR11" s="10">
        <f>IF($B$10="3BR_H",
INDEX('ns-combined'!$C:$D,MATCH($L11,'ns-combined'!$B:$B,0),MATCH(Council_Area,'ns-combined'!$C$1:$D$1,0))*1000,
INDEX('s-combined'!$C:$D,MATCH($L11,'s-combined'!$B:$B,0),MATCH(Council_Area,'s-combined'!$C$1:$D$1,0))*1000)</f>
        <v>360000</v>
      </c>
      <c r="AS11" s="22">
        <f t="shared" si="35"/>
        <v>6300</v>
      </c>
      <c r="AT11" s="10">
        <v>0</v>
      </c>
      <c r="AU11" s="22">
        <f t="shared" si="8"/>
        <v>7200</v>
      </c>
      <c r="AV11" s="22">
        <f t="shared" si="9"/>
        <v>1035</v>
      </c>
      <c r="AW11" s="22">
        <f>SUM($AV$3:AV11)</f>
        <v>8133.375</v>
      </c>
      <c r="AX11" s="22">
        <f t="shared" si="32"/>
        <v>338366.625</v>
      </c>
      <c r="AY11" s="22">
        <f t="shared" si="10"/>
        <v>1228.5000000000002</v>
      </c>
      <c r="AZ11" s="24">
        <f t="shared" si="11"/>
        <v>1.3650000000000002E-2</v>
      </c>
      <c r="BA11" s="24">
        <f t="shared" si="12"/>
        <v>0.35000000000000009</v>
      </c>
      <c r="BB11" s="25">
        <f>IF(MortgageRate="Discounted",_xlfn.XLOOKUP(L11,'mortgage-rates'!$A:$A,'mortgage-rates'!$E:$E)/100,_xlfn.XLOOKUP(L11,'mortgage-rates'!$A:$A,'mortgage-rates'!$D:$D)/100)</f>
        <v>8.6999999999999994E-2</v>
      </c>
      <c r="BC11" s="10">
        <f t="shared" si="37"/>
        <v>217224.6829362264</v>
      </c>
      <c r="BD11" s="10">
        <f t="shared" si="13"/>
        <v>5481.8531057453019</v>
      </c>
      <c r="BE11" s="10">
        <f t="shared" si="14"/>
        <v>4724.636853862924</v>
      </c>
      <c r="BF11" s="10">
        <f t="shared" si="36"/>
        <v>757.21625188237795</v>
      </c>
      <c r="BG11" s="12">
        <f t="shared" si="15"/>
        <v>6710.3531057453019</v>
      </c>
      <c r="BH11" s="22">
        <f>INDEX(cpi!B:B,MATCH($L11,cpi!A:A))</f>
        <v>90.4</v>
      </c>
      <c r="BI11" s="22">
        <f t="shared" si="16"/>
        <v>106.85579196217495</v>
      </c>
      <c r="BJ11" s="22">
        <f t="shared" si="17"/>
        <v>130.28618334215415</v>
      </c>
      <c r="BK11" s="22">
        <f t="shared" si="18"/>
        <v>144.48567514971225</v>
      </c>
      <c r="BL11" s="22">
        <f t="shared" si="19"/>
        <v>134.54603088442158</v>
      </c>
      <c r="BM11" s="22">
        <f t="shared" si="20"/>
        <v>167.28147332448353</v>
      </c>
      <c r="BN11" s="22">
        <f t="shared" si="21"/>
        <v>128.57142857142858</v>
      </c>
      <c r="BO11">
        <f t="shared" si="22"/>
        <v>123.99150772275051</v>
      </c>
    </row>
    <row r="12" spans="1:67" x14ac:dyDescent="0.25">
      <c r="A12" t="s">
        <v>8</v>
      </c>
      <c r="B12" s="1">
        <v>45992</v>
      </c>
      <c r="C12" s="1">
        <v>45992</v>
      </c>
      <c r="L12" s="1">
        <f t="shared" si="33"/>
        <v>39600</v>
      </c>
      <c r="M12" s="10">
        <f t="shared" si="0"/>
        <v>110539.25264168016</v>
      </c>
      <c r="N12" s="10">
        <f t="shared" si="23"/>
        <v>125049.78331565598</v>
      </c>
      <c r="O12" s="7">
        <f t="shared" si="24"/>
        <v>0.88396196867172716</v>
      </c>
      <c r="P12" s="7">
        <f t="shared" si="1"/>
        <v>0.53711575053065752</v>
      </c>
      <c r="Q12">
        <v>10</v>
      </c>
      <c r="R12">
        <f t="shared" si="2"/>
        <v>91</v>
      </c>
      <c r="S12" s="22"/>
      <c r="T12" s="22">
        <f>IF($B$10="3BR_H",
INDEX('3BR_H-processed'!$E:$F,MATCH($L12,'3BR_H-processed'!$B:$B,0),MATCH(Council_Area,'3BR_H-processed'!$E$1:$F$1,0)),
INDEX('2BR_F-processed'!$E:$F,MATCH($L12,'2BR_F-processed'!$B:$B,0),MATCH(Council_Area,'2BR_F-processed'!$E$1:$F$1,0)))</f>
        <v>270</v>
      </c>
      <c r="U12" s="22">
        <f t="shared" si="25"/>
        <v>270</v>
      </c>
      <c r="V12" s="22">
        <f t="shared" si="34"/>
        <v>3510</v>
      </c>
      <c r="W12" s="22">
        <f>$B$53/4*BH12/_xlfn.XLOOKUP(Q_end,cpi!A:A,cpi!B:B)</f>
        <v>126.60677263303387</v>
      </c>
      <c r="X12" s="22">
        <f t="shared" si="26"/>
        <v>3636.6067726330339</v>
      </c>
      <c r="Y12" s="22">
        <f t="shared" si="3"/>
        <v>3134.0134689818378</v>
      </c>
      <c r="Z12" s="22">
        <f t="shared" si="27"/>
        <v>0</v>
      </c>
      <c r="AA12" s="22" cm="1">
        <f t="array" ref="AA12">(Y12+Z12)*eff_invest</f>
        <v>3134.0134689818378</v>
      </c>
      <c r="AB12" s="22">
        <f>AA12*(_xlfn.XLOOKUP(Q_end,cpi!A:A,cpi!B:B)/BH12)</f>
        <v>4950.7832856077721</v>
      </c>
      <c r="AC12" s="22" cm="1">
        <f t="array" ref="AC12">INDEX('msci-indices'!C:C,MATCH($L12,'msci-indices'!$B:$B)-2)</f>
        <v>894.99836200000004</v>
      </c>
      <c r="AD12" s="22" cm="1">
        <f t="array" ref="AD12">INDEX('msci-indices'!D:D,MATCH($L12,'msci-indices'!$B:$B)-2)</f>
        <v>881.21372699999995</v>
      </c>
      <c r="AE12" s="22">
        <f t="shared" si="28"/>
        <v>112297.04486623876</v>
      </c>
      <c r="AF12" s="22" cm="1">
        <f t="array" ref="AF12">INDEX('msci-indices'!C:C,MATCH($L12,'msci-indices'!$B:$B)+1)</f>
        <v>881.79173700000001</v>
      </c>
      <c r="AG12" s="22" cm="1">
        <f t="array" ref="AG12">INDEX('msci-indices'!D:D,MATCH($L12,'msci-indices'!$B:$B)+1)</f>
        <v>867.41146500000002</v>
      </c>
      <c r="AH12" s="22">
        <f t="shared" si="4"/>
        <v>70.185653041399235</v>
      </c>
      <c r="AI12" s="22">
        <f t="shared" si="5"/>
        <v>110539.25264168016</v>
      </c>
      <c r="AJ12" s="22">
        <f t="shared" si="29"/>
        <v>98417.59512363089</v>
      </c>
      <c r="AK12" s="22">
        <f t="shared" si="6"/>
        <v>12121.657518049265</v>
      </c>
      <c r="AL12" s="22">
        <f>AJ12*(_xlfn.XLOOKUP(Q_end,cpi!A:A,cpi!B:B)/BH12)</f>
        <v>155469.71631429464</v>
      </c>
      <c r="AM12" s="22" cm="1">
        <f t="array" ref="AM12">SUMPRODUCT($AA$3:AA12,_xlfn.SORTBY($BH$3:BH12,_xlfn.SEQUENCE(ROWS($BH$3:BH12)),-1)/$BH$3)</f>
        <v>105260.72423535693</v>
      </c>
      <c r="AN12" s="22">
        <f t="shared" si="30"/>
        <v>5278.5284063232248</v>
      </c>
      <c r="AO12" s="22">
        <f t="shared" si="7"/>
        <v>0</v>
      </c>
      <c r="AP12" s="22">
        <f t="shared" si="31"/>
        <v>110539.25264168016</v>
      </c>
      <c r="AQ12" s="22"/>
      <c r="AR12" s="10">
        <f>IF($B$10="3BR_H",
INDEX('ns-combined'!$C:$D,MATCH($L12,'ns-combined'!$B:$B,0),MATCH(Council_Area,'ns-combined'!$C$1:$D$1,0))*1000,
INDEX('s-combined'!$C:$D,MATCH($L12,'s-combined'!$B:$B,0),MATCH(Council_Area,'s-combined'!$C$1:$D$1,0))*1000)</f>
        <v>365000</v>
      </c>
      <c r="AS12" s="22">
        <f t="shared" si="35"/>
        <v>7000</v>
      </c>
      <c r="AT12" s="10">
        <v>0</v>
      </c>
      <c r="AU12" s="22">
        <f t="shared" si="8"/>
        <v>7300</v>
      </c>
      <c r="AV12" s="22">
        <f t="shared" si="9"/>
        <v>1049.375</v>
      </c>
      <c r="AW12" s="22">
        <f>SUM($AV$3:AV12)</f>
        <v>9182.75</v>
      </c>
      <c r="AX12" s="22">
        <f t="shared" si="32"/>
        <v>341517.25</v>
      </c>
      <c r="AY12" s="22">
        <f t="shared" si="10"/>
        <v>1228.5000000000002</v>
      </c>
      <c r="AZ12" s="24">
        <f t="shared" si="11"/>
        <v>1.3463013698630139E-2</v>
      </c>
      <c r="BA12" s="24">
        <f t="shared" si="12"/>
        <v>0.35000000000000009</v>
      </c>
      <c r="BB12" s="25">
        <f>IF(MortgageRate="Discounted",_xlfn.XLOOKUP(L12,'mortgage-rates'!$A:$A,'mortgage-rates'!$E:$E)/100,_xlfn.XLOOKUP(L12,'mortgage-rates'!$A:$A,'mortgage-rates'!$D:$D)/100)</f>
        <v>8.8399999999999992E-2</v>
      </c>
      <c r="BC12" s="10">
        <f t="shared" si="37"/>
        <v>216467.46668434402</v>
      </c>
      <c r="BD12" s="10">
        <f t="shared" si="13"/>
        <v>5542.1202416148717</v>
      </c>
      <c r="BE12" s="10">
        <f t="shared" si="14"/>
        <v>4783.9310137240027</v>
      </c>
      <c r="BF12" s="10">
        <f t="shared" si="36"/>
        <v>758.18922789086901</v>
      </c>
      <c r="BG12" s="12">
        <f t="shared" si="15"/>
        <v>6770.6202416148717</v>
      </c>
      <c r="BH12" s="22">
        <f>INDEX(cpi!B:B,MATCH($L12,cpi!A:A))</f>
        <v>91.6</v>
      </c>
      <c r="BI12" s="22">
        <f t="shared" si="16"/>
        <v>108.274231678487</v>
      </c>
      <c r="BJ12" s="22">
        <f t="shared" si="17"/>
        <v>118.56173473997831</v>
      </c>
      <c r="BK12" s="22">
        <f t="shared" si="18"/>
        <v>123.59997274839783</v>
      </c>
      <c r="BL12" s="22">
        <f t="shared" si="19"/>
        <v>120.07320614250416</v>
      </c>
      <c r="BM12" s="22">
        <f t="shared" si="20"/>
        <v>153.67386847553635</v>
      </c>
      <c r="BN12" s="22">
        <f t="shared" si="21"/>
        <v>130.35714285714286</v>
      </c>
      <c r="BO12">
        <f t="shared" si="22"/>
        <v>125.14602686014767</v>
      </c>
    </row>
    <row r="13" spans="1:67" x14ac:dyDescent="0.25">
      <c r="A13" t="s">
        <v>9</v>
      </c>
      <c r="B13" s="1" t="s">
        <v>634</v>
      </c>
      <c r="C13" s="1" t="s">
        <v>634</v>
      </c>
      <c r="L13" s="1">
        <f t="shared" si="33"/>
        <v>39692</v>
      </c>
      <c r="M13" s="10">
        <f t="shared" si="0"/>
        <v>97842.264343725066</v>
      </c>
      <c r="N13" s="10">
        <f t="shared" si="23"/>
        <v>119172.97254354684</v>
      </c>
      <c r="O13" s="7">
        <f t="shared" si="24"/>
        <v>0.82101052155909471</v>
      </c>
      <c r="P13" s="7">
        <f t="shared" si="1"/>
        <v>0.54468574499480649</v>
      </c>
      <c r="Q13">
        <v>11</v>
      </c>
      <c r="R13">
        <f t="shared" si="2"/>
        <v>92</v>
      </c>
      <c r="S13" s="22"/>
      <c r="T13" s="22">
        <f>IF($B$10="3BR_H",
INDEX('3BR_H-processed'!$E:$F,MATCH($L13,'3BR_H-processed'!$B:$B,0),MATCH(Council_Area,'3BR_H-processed'!$E$1:$F$1,0)),
INDEX('2BR_F-processed'!$E:$F,MATCH($L13,'2BR_F-processed'!$B:$B,0),MATCH(Council_Area,'2BR_F-processed'!$E$1:$F$1,0)))</f>
        <v>280</v>
      </c>
      <c r="U13" s="22">
        <f t="shared" si="25"/>
        <v>270</v>
      </c>
      <c r="V13" s="22">
        <f t="shared" si="34"/>
        <v>3548.5714285714284</v>
      </c>
      <c r="W13" s="22">
        <f>$B$53/4*BH13/_xlfn.XLOOKUP(Q_end,cpi!A:A,cpi!B:B)</f>
        <v>127.98894263994472</v>
      </c>
      <c r="X13" s="22">
        <f t="shared" si="26"/>
        <v>3676.560371211373</v>
      </c>
      <c r="Y13" s="22">
        <f t="shared" si="3"/>
        <v>3073.3140380159671</v>
      </c>
      <c r="Z13" s="22">
        <f t="shared" si="27"/>
        <v>0</v>
      </c>
      <c r="AA13" s="22" cm="1">
        <f t="array" ref="AA13">(Y13+Z13)*eff_invest</f>
        <v>3073.3140380159671</v>
      </c>
      <c r="AB13" s="22">
        <f>AA13*(_xlfn.XLOOKUP(Q_end,cpi!A:A,cpi!B:B)/BH13)</f>
        <v>4802.4680486059442</v>
      </c>
      <c r="AC13" s="22" cm="1">
        <f t="array" ref="AC13">INDEX('msci-indices'!C:C,MATCH($L13,'msci-indices'!$B:$B)-2)</f>
        <v>881.79173700000001</v>
      </c>
      <c r="AD13" s="22" cm="1">
        <f t="array" ref="AD13">INDEX('msci-indices'!D:D,MATCH($L13,'msci-indices'!$B:$B)-2)</f>
        <v>867.41146500000002</v>
      </c>
      <c r="AE13" s="22">
        <f t="shared" si="28"/>
        <v>113612.56667969612</v>
      </c>
      <c r="AF13" s="22" cm="1">
        <f t="array" ref="AF13">INDEX('msci-indices'!C:C,MATCH($L13,'msci-indices'!$B:$B)+1)</f>
        <v>747.65997700000003</v>
      </c>
      <c r="AG13" s="22" cm="1">
        <f t="array" ref="AG13">INDEX('msci-indices'!D:D,MATCH($L13,'msci-indices'!$B:$B)+1)</f>
        <v>775.74397499999998</v>
      </c>
      <c r="AH13" s="22">
        <f t="shared" si="4"/>
        <v>71.007854174810078</v>
      </c>
      <c r="AI13" s="22">
        <f t="shared" si="5"/>
        <v>97842.264343725066</v>
      </c>
      <c r="AJ13" s="22">
        <f t="shared" si="29"/>
        <v>101490.90916164685</v>
      </c>
      <c r="AK13" s="22">
        <f t="shared" si="6"/>
        <v>-3648.6448179217841</v>
      </c>
      <c r="AL13" s="22">
        <f>AJ13*(_xlfn.XLOOKUP(Q_end,cpi!A:A,cpi!B:B)/BH13)</f>
        <v>158593.24574179589</v>
      </c>
      <c r="AM13" s="22" cm="1">
        <f t="array" ref="AM13">SUMPRODUCT($AA$3:AA13,_xlfn.SORTBY($BH$3:BH13,_xlfn.SEQUENCE(ROWS($BH$3:BH13)),-1)/$BH$3)</f>
        <v>109430.84982840953</v>
      </c>
      <c r="AN13" s="22">
        <f t="shared" si="30"/>
        <v>-11588.58548468446</v>
      </c>
      <c r="AO13" s="22">
        <f t="shared" si="7"/>
        <v>0</v>
      </c>
      <c r="AP13" s="22">
        <f t="shared" si="31"/>
        <v>97842.264343725066</v>
      </c>
      <c r="AQ13" s="22"/>
      <c r="AR13" s="10">
        <f>IF($B$10="3BR_H",
INDEX('ns-combined'!$C:$D,MATCH($L13,'ns-combined'!$B:$B,0),MATCH(Council_Area,'ns-combined'!$C$1:$D$1,0))*1000,
INDEX('s-combined'!$C:$D,MATCH($L13,'s-combined'!$B:$B,0),MATCH(Council_Area,'s-combined'!$C$1:$D$1,0))*1000)</f>
        <v>360000</v>
      </c>
      <c r="AS13" s="22">
        <f t="shared" si="35"/>
        <v>7700</v>
      </c>
      <c r="AT13" s="10">
        <v>0</v>
      </c>
      <c r="AU13" s="22">
        <f t="shared" si="8"/>
        <v>7200</v>
      </c>
      <c r="AV13" s="22">
        <f t="shared" si="9"/>
        <v>1035</v>
      </c>
      <c r="AW13" s="22">
        <f>SUM($AV$3:AV13)</f>
        <v>10217.75</v>
      </c>
      <c r="AX13" s="22">
        <f t="shared" si="32"/>
        <v>334882.25</v>
      </c>
      <c r="AY13" s="22">
        <f t="shared" si="10"/>
        <v>1242</v>
      </c>
      <c r="AZ13" s="24">
        <f t="shared" si="11"/>
        <v>1.38E-2</v>
      </c>
      <c r="BA13" s="24">
        <f t="shared" si="12"/>
        <v>0.35000000000000003</v>
      </c>
      <c r="BB13" s="25">
        <f>IF(MortgageRate="Discounted",_xlfn.XLOOKUP(L13,'mortgage-rates'!$A:$A,'mortgage-rates'!$E:$E)/100,_xlfn.XLOOKUP(L13,'mortgage-rates'!$A:$A,'mortgage-rates'!$D:$D)/100)</f>
        <v>8.7599999999999997E-2</v>
      </c>
      <c r="BC13" s="10">
        <f t="shared" si="37"/>
        <v>215709.27745645316</v>
      </c>
      <c r="BD13" s="10">
        <f t="shared" si="13"/>
        <v>5507.87440922734</v>
      </c>
      <c r="BE13" s="10">
        <f t="shared" si="14"/>
        <v>4724.0331762963242</v>
      </c>
      <c r="BF13" s="10">
        <f t="shared" si="36"/>
        <v>783.84123293101584</v>
      </c>
      <c r="BG13" s="12">
        <f t="shared" si="15"/>
        <v>6749.87440922734</v>
      </c>
      <c r="BH13" s="22">
        <f>INDEX(cpi!B:B,MATCH($L13,cpi!A:A))</f>
        <v>92.6</v>
      </c>
      <c r="BI13" s="22">
        <f t="shared" si="16"/>
        <v>109.45626477541371</v>
      </c>
      <c r="BJ13" s="22">
        <f t="shared" si="17"/>
        <v>116.8122339179194</v>
      </c>
      <c r="BK13" s="22">
        <f t="shared" si="18"/>
        <v>121.6640528293176</v>
      </c>
      <c r="BL13" s="22">
        <f t="shared" si="19"/>
        <v>118.26777959133886</v>
      </c>
      <c r="BM13" s="22">
        <f t="shared" si="20"/>
        <v>155.47410575140364</v>
      </c>
      <c r="BN13" s="22">
        <f t="shared" si="21"/>
        <v>128.57142857142858</v>
      </c>
      <c r="BO13">
        <f t="shared" si="22"/>
        <v>122.7146887997215</v>
      </c>
    </row>
    <row r="14" spans="1:67" x14ac:dyDescent="0.25">
      <c r="A14" t="s">
        <v>333</v>
      </c>
      <c r="B14" s="4">
        <v>0.01</v>
      </c>
      <c r="C14" s="4">
        <v>0.01</v>
      </c>
      <c r="L14" s="1">
        <f t="shared" si="33"/>
        <v>39783</v>
      </c>
      <c r="M14" s="10">
        <f t="shared" si="0"/>
        <v>78719.757068517123</v>
      </c>
      <c r="N14" s="10">
        <f t="shared" si="23"/>
        <v>113336.18877647785</v>
      </c>
      <c r="O14" s="7">
        <f t="shared" si="24"/>
        <v>0.69456859206522803</v>
      </c>
      <c r="P14" s="7">
        <f t="shared" si="1"/>
        <v>0.64389259415526923</v>
      </c>
      <c r="Q14">
        <v>12</v>
      </c>
      <c r="R14">
        <f t="shared" si="2"/>
        <v>92</v>
      </c>
      <c r="S14" s="22"/>
      <c r="T14" s="22">
        <f>IF($B$10="3BR_H",
INDEX('3BR_H-processed'!$E:$F,MATCH($L14,'3BR_H-processed'!$B:$B,0),MATCH(Council_Area,'3BR_H-processed'!$E$1:$F$1,0)),
INDEX('2BR_F-processed'!$E:$F,MATCH($L14,'2BR_F-processed'!$B:$B,0),MATCH(Council_Area,'2BR_F-processed'!$E$1:$F$1,0)))</f>
        <v>280</v>
      </c>
      <c r="U14" s="22">
        <f t="shared" si="25"/>
        <v>270</v>
      </c>
      <c r="V14" s="22">
        <f t="shared" si="34"/>
        <v>3548.5714285714284</v>
      </c>
      <c r="W14" s="22">
        <f>$B$53/4*BH14/_xlfn.XLOOKUP(Q_end,cpi!A:A,cpi!B:B)</f>
        <v>127.98894263994472</v>
      </c>
      <c r="X14" s="22">
        <f t="shared" si="26"/>
        <v>3676.560371211373</v>
      </c>
      <c r="Y14" s="22">
        <f t="shared" si="3"/>
        <v>2033.3365969851607</v>
      </c>
      <c r="Z14" s="22">
        <f t="shared" si="27"/>
        <v>0</v>
      </c>
      <c r="AA14" s="22" cm="1">
        <f t="array" ref="AA14">(Y14+Z14)*eff_invest</f>
        <v>2033.3365969851607</v>
      </c>
      <c r="AB14" s="22">
        <f>AA14*(_xlfn.XLOOKUP(Q_end,cpi!A:A,cpi!B:B)/BH14)</f>
        <v>3177.362911271628</v>
      </c>
      <c r="AC14" s="22" cm="1">
        <f t="array" ref="AC14">INDEX('msci-indices'!C:C,MATCH($L14,'msci-indices'!$B:$B)-2)</f>
        <v>747.65997700000003</v>
      </c>
      <c r="AD14" s="22" cm="1">
        <f t="array" ref="AD14">INDEX('msci-indices'!D:D,MATCH($L14,'msci-indices'!$B:$B)-2)</f>
        <v>775.74397499999998</v>
      </c>
      <c r="AE14" s="22">
        <f t="shared" si="28"/>
        <v>99875.600940710225</v>
      </c>
      <c r="AF14" s="22" cm="1">
        <f t="array" ref="AF14">INDEX('msci-indices'!C:C,MATCH($L14,'msci-indices'!$B:$B)+1)</f>
        <v>582.01081599999998</v>
      </c>
      <c r="AG14" s="22" cm="1">
        <f t="array" ref="AG14">INDEX('msci-indices'!D:D,MATCH($L14,'msci-indices'!$B:$B)+1)</f>
        <v>630.66129899999999</v>
      </c>
      <c r="AH14" s="22">
        <f t="shared" si="4"/>
        <v>62.422250587943893</v>
      </c>
      <c r="AI14" s="22">
        <f t="shared" si="5"/>
        <v>78719.757068517123</v>
      </c>
      <c r="AJ14" s="22">
        <f t="shared" si="29"/>
        <v>103524.24575863201</v>
      </c>
      <c r="AK14" s="22">
        <f t="shared" si="6"/>
        <v>-24804.488690114886</v>
      </c>
      <c r="AL14" s="22">
        <f>AJ14*(_xlfn.XLOOKUP(Q_end,cpi!A:A,cpi!B:B)/BH14)</f>
        <v>161770.60865306752</v>
      </c>
      <c r="AM14" s="22" cm="1">
        <f t="array" ref="AM14">SUMPRODUCT($AA$3:AA14,_xlfn.SORTBY($BH$3:BH14,_xlfn.SEQUENCE(ROWS($BH$3:BH14)),-1)/$BH$3)</f>
        <v>111730.16559322768</v>
      </c>
      <c r="AN14" s="22">
        <f t="shared" si="30"/>
        <v>-33010.408524710554</v>
      </c>
      <c r="AO14" s="22">
        <f t="shared" si="7"/>
        <v>0</v>
      </c>
      <c r="AP14" s="22">
        <f t="shared" si="31"/>
        <v>78719.757068517123</v>
      </c>
      <c r="AQ14" s="22"/>
      <c r="AR14" s="10">
        <f>IF($B$10="3BR_H",
INDEX('ns-combined'!$C:$D,MATCH($L14,'ns-combined'!$B:$B,0),MATCH(Council_Area,'ns-combined'!$C$1:$D$1,0))*1000,
INDEX('s-combined'!$C:$D,MATCH($L14,'s-combined'!$B:$B,0),MATCH(Council_Area,'s-combined'!$C$1:$D$1,0))*1000)</f>
        <v>355000</v>
      </c>
      <c r="AS14" s="22">
        <f t="shared" si="35"/>
        <v>8400</v>
      </c>
      <c r="AT14" s="10">
        <v>0</v>
      </c>
      <c r="AU14" s="22">
        <f t="shared" si="8"/>
        <v>7100</v>
      </c>
      <c r="AV14" s="22">
        <f t="shared" si="9"/>
        <v>1020.625</v>
      </c>
      <c r="AW14" s="22">
        <f>SUM($AV$3:AV14)</f>
        <v>11238.375</v>
      </c>
      <c r="AX14" s="22">
        <f t="shared" si="32"/>
        <v>328261.625</v>
      </c>
      <c r="AY14" s="22">
        <f t="shared" si="10"/>
        <v>1242</v>
      </c>
      <c r="AZ14" s="24">
        <f t="shared" si="11"/>
        <v>1.3994366197183099E-2</v>
      </c>
      <c r="BA14" s="24">
        <f t="shared" si="12"/>
        <v>0.35000000000000003</v>
      </c>
      <c r="BB14" s="25">
        <f>IF(MortgageRate="Discounted",_xlfn.XLOOKUP(L14,'mortgage-rates'!$A:$A,'mortgage-rates'!$E:$E)/100,_xlfn.XLOOKUP(L14,'mortgage-rates'!$A:$A,'mortgage-rates'!$D:$D)/100)</f>
        <v>6.2E-2</v>
      </c>
      <c r="BC14" s="10">
        <f t="shared" si="37"/>
        <v>214925.43622352215</v>
      </c>
      <c r="BD14" s="10">
        <f t="shared" si="13"/>
        <v>4467.8969681965336</v>
      </c>
      <c r="BE14" s="10">
        <f t="shared" si="14"/>
        <v>3331.3442614645933</v>
      </c>
      <c r="BF14" s="10">
        <f t="shared" si="36"/>
        <v>1136.5527067319404</v>
      </c>
      <c r="BG14" s="12">
        <f t="shared" si="15"/>
        <v>5709.8969681965336</v>
      </c>
      <c r="BH14" s="22">
        <f>INDEX(cpi!B:B,MATCH($L14,cpi!A:A))</f>
        <v>92.6</v>
      </c>
      <c r="BI14" s="22">
        <f t="shared" si="16"/>
        <v>109.45626477541371</v>
      </c>
      <c r="BJ14" s="22">
        <f t="shared" si="17"/>
        <v>99.043604583459881</v>
      </c>
      <c r="BK14" s="22">
        <f t="shared" si="18"/>
        <v>108.80667337781247</v>
      </c>
      <c r="BL14" s="22">
        <f t="shared" si="19"/>
        <v>101.97252522176566</v>
      </c>
      <c r="BM14" s="22">
        <f t="shared" si="20"/>
        <v>136.67563541996819</v>
      </c>
      <c r="BN14" s="22">
        <f t="shared" si="21"/>
        <v>126.78571428571429</v>
      </c>
      <c r="BO14">
        <f t="shared" si="22"/>
        <v>120.28861833305851</v>
      </c>
    </row>
    <row r="15" spans="1:67" x14ac:dyDescent="0.25">
      <c r="A15" t="s">
        <v>489</v>
      </c>
      <c r="B15" s="4">
        <v>1.15E-2</v>
      </c>
      <c r="C15" s="4">
        <v>1.15E-2</v>
      </c>
      <c r="L15" s="1">
        <f t="shared" si="33"/>
        <v>39873</v>
      </c>
      <c r="M15" s="10">
        <f t="shared" si="0"/>
        <v>73251.696153136043</v>
      </c>
      <c r="N15" s="10">
        <f t="shared" si="23"/>
        <v>111286.4289832098</v>
      </c>
      <c r="O15" s="7">
        <f t="shared" si="24"/>
        <v>0.65822667527761003</v>
      </c>
      <c r="P15" s="7">
        <f t="shared" si="1"/>
        <v>0.71544858377233422</v>
      </c>
      <c r="Q15">
        <v>13</v>
      </c>
      <c r="R15">
        <f t="shared" si="2"/>
        <v>90</v>
      </c>
      <c r="S15" s="22"/>
      <c r="T15" s="22">
        <f>IF($B$10="3BR_H",
INDEX('3BR_H-processed'!$E:$F,MATCH($L15,'3BR_H-processed'!$B:$B,0),MATCH(Council_Area,'3BR_H-processed'!$E$1:$F$1,0)),
INDEX('2BR_F-processed'!$E:$F,MATCH($L15,'2BR_F-processed'!$B:$B,0),MATCH(Council_Area,'2BR_F-processed'!$E$1:$F$1,0)))</f>
        <v>290</v>
      </c>
      <c r="U15" s="22">
        <f t="shared" si="25"/>
        <v>290</v>
      </c>
      <c r="V15" s="22">
        <f t="shared" si="34"/>
        <v>3728.5714285714284</v>
      </c>
      <c r="W15" s="22">
        <f>$B$53/4*BH15/_xlfn.XLOOKUP(Q_end,cpi!A:A,cpi!B:B)</f>
        <v>127.85072563925364</v>
      </c>
      <c r="X15" s="22">
        <f t="shared" si="26"/>
        <v>3856.422154210682</v>
      </c>
      <c r="Y15" s="22">
        <f t="shared" si="3"/>
        <v>1533.7934974536024</v>
      </c>
      <c r="Z15" s="22">
        <f t="shared" si="27"/>
        <v>0</v>
      </c>
      <c r="AA15" s="22" cm="1">
        <f t="array" ref="AA15">(Y15+Z15)*eff_invest</f>
        <v>1533.7934974536024</v>
      </c>
      <c r="AB15" s="22">
        <f>AA15*(_xlfn.XLOOKUP(Q_end,cpi!A:A,cpi!B:B)/BH15)</f>
        <v>2399.3504765571483</v>
      </c>
      <c r="AC15" s="22" cm="1">
        <f t="array" ref="AC15">INDEX('msci-indices'!C:C,MATCH($L15,'msci-indices'!$B:$B)-2)</f>
        <v>582.01081599999998</v>
      </c>
      <c r="AD15" s="22" cm="1">
        <f t="array" ref="AD15">INDEX('msci-indices'!D:D,MATCH($L15,'msci-indices'!$B:$B)-2)</f>
        <v>630.66129899999999</v>
      </c>
      <c r="AE15" s="22">
        <f t="shared" si="28"/>
        <v>80253.550565970727</v>
      </c>
      <c r="AF15" s="22" cm="1">
        <f t="array" ref="AF15">INDEX('msci-indices'!C:C,MATCH($L15,'msci-indices'!$B:$B)+1)</f>
        <v>513.55423199999996</v>
      </c>
      <c r="AG15" s="22" cm="1">
        <f t="array" ref="AG15">INDEX('msci-indices'!D:D,MATCH($L15,'msci-indices'!$B:$B)+1)</f>
        <v>621.64895000000001</v>
      </c>
      <c r="AH15" s="22">
        <f t="shared" si="4"/>
        <v>50.158469103731704</v>
      </c>
      <c r="AI15" s="22">
        <f t="shared" si="5"/>
        <v>73251.696153136043</v>
      </c>
      <c r="AJ15" s="22">
        <f t="shared" si="29"/>
        <v>105058.03925608561</v>
      </c>
      <c r="AK15" s="22">
        <f t="shared" si="6"/>
        <v>-31806.34310294957</v>
      </c>
      <c r="AL15" s="22">
        <f>AJ15*(_xlfn.XLOOKUP(Q_end,cpi!A:A,cpi!B:B)/BH15)</f>
        <v>164344.84627411445</v>
      </c>
      <c r="AM15" s="22" cm="1">
        <f t="array" ref="AM15">SUMPRODUCT($AA$3:AA15,_xlfn.SORTBY($BH$3:BH15,_xlfn.SEQUENCE(ROWS($BH$3:BH15)),-1)/$BH$3)</f>
        <v>113430.10116955686</v>
      </c>
      <c r="AN15" s="22">
        <f t="shared" si="30"/>
        <v>-40178.405016420817</v>
      </c>
      <c r="AO15" s="22">
        <f t="shared" si="7"/>
        <v>0</v>
      </c>
      <c r="AP15" s="22">
        <f t="shared" si="31"/>
        <v>73251.696153136043</v>
      </c>
      <c r="AQ15" s="22"/>
      <c r="AR15" s="10">
        <f>IF($B$10="3BR_H",
INDEX('ns-combined'!$C:$D,MATCH($L15,'ns-combined'!$B:$B,0),MATCH(Council_Area,'ns-combined'!$C$1:$D$1,0))*1000,
INDEX('s-combined'!$C:$D,MATCH($L15,'s-combined'!$B:$B,0),MATCH(Council_Area,'s-combined'!$C$1:$D$1,0))*1000)</f>
        <v>353500</v>
      </c>
      <c r="AS15" s="22">
        <f t="shared" si="35"/>
        <v>9100</v>
      </c>
      <c r="AT15" s="10">
        <v>0</v>
      </c>
      <c r="AU15" s="22">
        <f t="shared" si="8"/>
        <v>7070</v>
      </c>
      <c r="AV15" s="22">
        <f t="shared" si="9"/>
        <v>1016.3125</v>
      </c>
      <c r="AW15" s="22">
        <f>SUM($AV$3:AV15)</f>
        <v>12254.6875</v>
      </c>
      <c r="AX15" s="22">
        <f t="shared" si="32"/>
        <v>325075.3125</v>
      </c>
      <c r="AY15" s="22">
        <f t="shared" si="10"/>
        <v>1305</v>
      </c>
      <c r="AZ15" s="24">
        <f t="shared" si="11"/>
        <v>1.4766619519094767E-2</v>
      </c>
      <c r="BA15" s="24">
        <f t="shared" si="12"/>
        <v>0.35000000000000003</v>
      </c>
      <c r="BB15" s="25">
        <f>IF(MortgageRate="Discounted",_xlfn.XLOOKUP(L15,'mortgage-rates'!$A:$A,'mortgage-rates'!$E:$E)/100,_xlfn.XLOOKUP(L15,'mortgage-rates'!$A:$A,'mortgage-rates'!$D:$D)/100)</f>
        <v>5.1799999999999999E-2</v>
      </c>
      <c r="BC15" s="10">
        <f t="shared" si="37"/>
        <v>213788.8835167902</v>
      </c>
      <c r="BD15" s="10">
        <f t="shared" si="13"/>
        <v>4085.215651664284</v>
      </c>
      <c r="BE15" s="10">
        <f t="shared" si="14"/>
        <v>2768.5660415424331</v>
      </c>
      <c r="BF15" s="10">
        <f t="shared" si="36"/>
        <v>1316.6496101218509</v>
      </c>
      <c r="BG15" s="12">
        <f t="shared" si="15"/>
        <v>5390.2156516642845</v>
      </c>
      <c r="BH15" s="22">
        <f>INDEX(cpi!B:B,MATCH($L15,cpi!A:A))</f>
        <v>92.5</v>
      </c>
      <c r="BI15" s="22">
        <f t="shared" si="16"/>
        <v>109.33806146572105</v>
      </c>
      <c r="BJ15" s="22">
        <f t="shared" si="17"/>
        <v>77.099819298205958</v>
      </c>
      <c r="BK15" s="22">
        <f t="shared" si="18"/>
        <v>88.457223238272576</v>
      </c>
      <c r="BL15" s="22">
        <f t="shared" si="19"/>
        <v>80.507040480225939</v>
      </c>
      <c r="BM15" s="22">
        <f t="shared" si="20"/>
        <v>109.82366979522872</v>
      </c>
      <c r="BN15" s="22">
        <f t="shared" si="21"/>
        <v>126.25</v>
      </c>
      <c r="BO15">
        <f t="shared" si="22"/>
        <v>119.12102182157973</v>
      </c>
    </row>
    <row r="16" spans="1:67" x14ac:dyDescent="0.25">
      <c r="A16" t="s">
        <v>55</v>
      </c>
      <c r="B16" s="23">
        <v>25</v>
      </c>
      <c r="C16" s="23">
        <v>25</v>
      </c>
      <c r="L16" s="1">
        <f t="shared" si="33"/>
        <v>39965</v>
      </c>
      <c r="M16" s="10">
        <f t="shared" si="0"/>
        <v>88610.66640468745</v>
      </c>
      <c r="N16" s="10">
        <f t="shared" si="23"/>
        <v>120169.45359333165</v>
      </c>
      <c r="O16" s="7">
        <f t="shared" si="24"/>
        <v>0.73738095460229802</v>
      </c>
      <c r="P16" s="7">
        <f t="shared" si="1"/>
        <v>0.72326610323177443</v>
      </c>
      <c r="Q16">
        <v>14</v>
      </c>
      <c r="R16">
        <f t="shared" si="2"/>
        <v>91</v>
      </c>
      <c r="S16" s="22"/>
      <c r="T16" s="22">
        <f>IF($B$10="3BR_H",
INDEX('3BR_H-processed'!$E:$F,MATCH($L16,'3BR_H-processed'!$B:$B,0),MATCH(Council_Area,'3BR_H-processed'!$E$1:$F$1,0)),
INDEX('2BR_F-processed'!$E:$F,MATCH($L16,'2BR_F-processed'!$B:$B,0),MATCH(Council_Area,'2BR_F-processed'!$E$1:$F$1,0)))</f>
        <v>290</v>
      </c>
      <c r="U16" s="22">
        <f t="shared" si="25"/>
        <v>290</v>
      </c>
      <c r="V16" s="22">
        <f t="shared" si="34"/>
        <v>3770</v>
      </c>
      <c r="W16" s="22">
        <f>$B$53/4*BH16/_xlfn.XLOOKUP(Q_end,cpi!A:A,cpi!B:B)</f>
        <v>128.54181064270907</v>
      </c>
      <c r="X16" s="22">
        <f t="shared" si="26"/>
        <v>3898.5418106427092</v>
      </c>
      <c r="Y16" s="22">
        <f t="shared" si="3"/>
        <v>1491.6483188584948</v>
      </c>
      <c r="Z16" s="22">
        <f t="shared" si="27"/>
        <v>0</v>
      </c>
      <c r="AA16" s="22" cm="1">
        <f t="array" ref="AA16">(Y16+Z16)*eff_invest</f>
        <v>1491.6483188584948</v>
      </c>
      <c r="AB16" s="22">
        <f>AA16*(_xlfn.XLOOKUP(Q_end,cpi!A:A,cpi!B:B)/BH16)</f>
        <v>2320.8764703099373</v>
      </c>
      <c r="AC16" s="22" cm="1">
        <f t="array" ref="AC16">INDEX('msci-indices'!C:C,MATCH($L16,'msci-indices'!$B:$B)-2)</f>
        <v>513.55423199999996</v>
      </c>
      <c r="AD16" s="22" cm="1">
        <f t="array" ref="AD16">INDEX('msci-indices'!D:D,MATCH($L16,'msci-indices'!$B:$B)-2)</f>
        <v>621.64895000000001</v>
      </c>
      <c r="AE16" s="22">
        <f t="shared" si="28"/>
        <v>74743.34447199454</v>
      </c>
      <c r="AF16" s="22" cm="1">
        <f t="array" ref="AF16">INDEX('msci-indices'!C:C,MATCH($L16,'msci-indices'!$B:$B)+1)</f>
        <v>624.35597900000005</v>
      </c>
      <c r="AG16" s="22" cm="1">
        <f t="array" ref="AG16">INDEX('msci-indices'!D:D,MATCH($L16,'msci-indices'!$B:$B)+1)</f>
        <v>694.44244900000001</v>
      </c>
      <c r="AH16" s="22">
        <f t="shared" si="4"/>
        <v>46.71459029499659</v>
      </c>
      <c r="AI16" s="22">
        <f t="shared" si="5"/>
        <v>88610.66640468745</v>
      </c>
      <c r="AJ16" s="22">
        <f t="shared" si="29"/>
        <v>106549.68757494411</v>
      </c>
      <c r="AK16" s="22">
        <f t="shared" si="6"/>
        <v>-17939.021170256659</v>
      </c>
      <c r="AL16" s="22">
        <f>AJ16*(_xlfn.XLOOKUP(Q_end,cpi!A:A,cpi!B:B)/BH16)</f>
        <v>165782.14830209044</v>
      </c>
      <c r="AM16" s="22" cm="1">
        <f t="array" ref="AM16">SUMPRODUCT($AA$3:AA16,_xlfn.SORTBY($BH$3:BH16,_xlfn.SEQUENCE(ROWS($BH$3:BH16)),-1)/$BH$3)</f>
        <v>115590.491923015</v>
      </c>
      <c r="AN16" s="22">
        <f t="shared" si="30"/>
        <v>-26979.825518327547</v>
      </c>
      <c r="AO16" s="22">
        <f t="shared" si="7"/>
        <v>0</v>
      </c>
      <c r="AP16" s="22">
        <f t="shared" si="31"/>
        <v>88610.66640468745</v>
      </c>
      <c r="AQ16" s="22"/>
      <c r="AR16" s="10">
        <f>IF($B$10="3BR_H",
INDEX('ns-combined'!$C:$D,MATCH($L16,'ns-combined'!$B:$B,0),MATCH(Council_Area,'ns-combined'!$C$1:$D$1,0))*1000,
INDEX('s-combined'!$C:$D,MATCH($L16,'s-combined'!$B:$B,0),MATCH(Council_Area,'s-combined'!$C$1:$D$1,0))*1000)</f>
        <v>363000</v>
      </c>
      <c r="AS16" s="22">
        <f t="shared" si="35"/>
        <v>9800</v>
      </c>
      <c r="AT16" s="10">
        <v>0</v>
      </c>
      <c r="AU16" s="22">
        <f t="shared" si="8"/>
        <v>7260</v>
      </c>
      <c r="AV16" s="22">
        <f t="shared" si="9"/>
        <v>1043.625</v>
      </c>
      <c r="AW16" s="22">
        <f>SUM($AV$3:AV16)</f>
        <v>13298.3125</v>
      </c>
      <c r="AX16" s="22">
        <f t="shared" si="32"/>
        <v>332641.6875</v>
      </c>
      <c r="AY16" s="22">
        <f t="shared" si="10"/>
        <v>1319.5000000000002</v>
      </c>
      <c r="AZ16" s="24">
        <f t="shared" si="11"/>
        <v>1.453994490358127E-2</v>
      </c>
      <c r="BA16" s="24">
        <f t="shared" si="12"/>
        <v>0.35000000000000003</v>
      </c>
      <c r="BB16" s="25">
        <f>IF(MortgageRate="Discounted",_xlfn.XLOOKUP(L16,'mortgage-rates'!$A:$A,'mortgage-rates'!$E:$E)/100,_xlfn.XLOOKUP(L16,'mortgage-rates'!$A:$A,'mortgage-rates'!$D:$D)/100)</f>
        <v>5.1399999999999994E-2</v>
      </c>
      <c r="BC16" s="10">
        <f t="shared" si="37"/>
        <v>212472.23390666835</v>
      </c>
      <c r="BD16" s="10">
        <f t="shared" si="13"/>
        <v>4070.6901295012035</v>
      </c>
      <c r="BE16" s="10">
        <f t="shared" si="14"/>
        <v>2730.2682057006878</v>
      </c>
      <c r="BF16" s="10">
        <f t="shared" si="36"/>
        <v>1340.4219238005157</v>
      </c>
      <c r="BG16" s="12">
        <f t="shared" si="15"/>
        <v>5390.190129501204</v>
      </c>
      <c r="BH16" s="22">
        <f>INDEX(cpi!B:B,MATCH($L16,cpi!A:A))</f>
        <v>93</v>
      </c>
      <c r="BI16" s="22">
        <f t="shared" si="16"/>
        <v>109.9290780141844</v>
      </c>
      <c r="BJ16" s="22">
        <f t="shared" si="17"/>
        <v>68.031276049393796</v>
      </c>
      <c r="BK16" s="22">
        <f t="shared" si="18"/>
        <v>87.193141601016094</v>
      </c>
      <c r="BL16" s="22">
        <f t="shared" si="19"/>
        <v>73.779835714880477</v>
      </c>
      <c r="BM16" s="22">
        <f t="shared" si="20"/>
        <v>102.2831803053457</v>
      </c>
      <c r="BN16" s="22">
        <f t="shared" si="21"/>
        <v>129.64285714285714</v>
      </c>
      <c r="BO16">
        <f t="shared" si="22"/>
        <v>121.89365415269609</v>
      </c>
    </row>
    <row r="17" spans="1:67" x14ac:dyDescent="0.25">
      <c r="L17" s="1">
        <f t="shared" si="33"/>
        <v>40057</v>
      </c>
      <c r="M17" s="10">
        <f t="shared" si="0"/>
        <v>107409.03345795456</v>
      </c>
      <c r="N17" s="10">
        <f t="shared" si="23"/>
        <v>126606.12551713217</v>
      </c>
      <c r="O17" s="7">
        <f t="shared" si="24"/>
        <v>0.84837153825878764</v>
      </c>
      <c r="P17" s="7">
        <f t="shared" si="1"/>
        <v>0.72916999987931319</v>
      </c>
      <c r="Q17">
        <v>15</v>
      </c>
      <c r="R17">
        <f t="shared" si="2"/>
        <v>92</v>
      </c>
      <c r="S17" s="22"/>
      <c r="T17" s="22">
        <f>IF($B$10="3BR_H",
INDEX('3BR_H-processed'!$E:$F,MATCH($L17,'3BR_H-processed'!$B:$B,0),MATCH(Council_Area,'3BR_H-processed'!$E$1:$F$1,0)),
INDEX('2BR_F-processed'!$E:$F,MATCH($L17,'2BR_F-processed'!$B:$B,0),MATCH(Council_Area,'2BR_F-processed'!$E$1:$F$1,0)))</f>
        <v>295</v>
      </c>
      <c r="U17" s="22">
        <f t="shared" si="25"/>
        <v>290</v>
      </c>
      <c r="V17" s="22">
        <f t="shared" si="34"/>
        <v>3811.4285714285716</v>
      </c>
      <c r="W17" s="22">
        <f>$B$53/4*BH17/_xlfn.XLOOKUP(Q_end,cpi!A:A,cpi!B:B)</f>
        <v>129.50932964754665</v>
      </c>
      <c r="X17" s="22">
        <f t="shared" si="26"/>
        <v>3940.9379010761181</v>
      </c>
      <c r="Y17" s="22">
        <f t="shared" si="3"/>
        <v>1463.7522284250858</v>
      </c>
      <c r="Z17" s="22">
        <f t="shared" si="27"/>
        <v>0</v>
      </c>
      <c r="AA17" s="22" cm="1">
        <f t="array" ref="AA17">(Y17+Z17)*eff_invest</f>
        <v>1463.7522284250858</v>
      </c>
      <c r="AB17" s="22">
        <f>AA17*(_xlfn.XLOOKUP(Q_end,cpi!A:A,cpi!B:B)/BH17)</f>
        <v>2260.4583506201698</v>
      </c>
      <c r="AC17" s="22" cm="1">
        <f t="array" ref="AC17">INDEX('msci-indices'!C:C,MATCH($L17,'msci-indices'!$B:$B)-2)</f>
        <v>624.35597900000005</v>
      </c>
      <c r="AD17" s="22" cm="1">
        <f t="array" ref="AD17">INDEX('msci-indices'!D:D,MATCH($L17,'msci-indices'!$B:$B)-2)</f>
        <v>694.44244900000001</v>
      </c>
      <c r="AE17" s="22">
        <f t="shared" si="28"/>
        <v>90074.418633112538</v>
      </c>
      <c r="AF17" s="22" cm="1">
        <f t="array" ref="AF17">INDEX('msci-indices'!C:C,MATCH($L17,'msci-indices'!$B:$B)+1)</f>
        <v>736.86332800000002</v>
      </c>
      <c r="AG17" s="22" cm="1">
        <f t="array" ref="AG17">INDEX('msci-indices'!D:D,MATCH($L17,'msci-indices'!$B:$B)+1)</f>
        <v>849.38296100000002</v>
      </c>
      <c r="AH17" s="22">
        <f t="shared" si="4"/>
        <v>56.29651164569534</v>
      </c>
      <c r="AI17" s="22">
        <f t="shared" si="5"/>
        <v>107409.03345795456</v>
      </c>
      <c r="AJ17" s="22">
        <f t="shared" si="29"/>
        <v>108013.4398033692</v>
      </c>
      <c r="AK17" s="22">
        <f t="shared" si="6"/>
        <v>-604.40634541463805</v>
      </c>
      <c r="AL17" s="22">
        <f>AJ17*(_xlfn.XLOOKUP(Q_end,cpi!A:A,cpi!B:B)/BH17)</f>
        <v>166804.10607841538</v>
      </c>
      <c r="AM17" s="22" cm="1">
        <f t="array" ref="AM17">SUMPRODUCT($AA$3:AA17,_xlfn.SORTBY($BH$3:BH17,_xlfn.SEQUENCE(ROWS($BH$3:BH17)),-1)/$BH$3)</f>
        <v>117907.85539581314</v>
      </c>
      <c r="AN17" s="22">
        <f t="shared" si="30"/>
        <v>-10498.821937858578</v>
      </c>
      <c r="AO17" s="22">
        <f t="shared" si="7"/>
        <v>0</v>
      </c>
      <c r="AP17" s="22">
        <f t="shared" si="31"/>
        <v>107409.03345795456</v>
      </c>
      <c r="AQ17" s="22"/>
      <c r="AR17" s="10">
        <f>IF($B$10="3BR_H",
INDEX('ns-combined'!$C:$D,MATCH($L17,'ns-combined'!$B:$B,0),MATCH(Council_Area,'ns-combined'!$C$1:$D$1,0))*1000,
INDEX('s-combined'!$C:$D,MATCH($L17,'s-combined'!$B:$B,0),MATCH(Council_Area,'s-combined'!$C$1:$D$1,0))*1000)</f>
        <v>370000</v>
      </c>
      <c r="AS17" s="22">
        <f t="shared" si="35"/>
        <v>10500</v>
      </c>
      <c r="AT17" s="10">
        <v>0</v>
      </c>
      <c r="AU17" s="22">
        <f t="shared" si="8"/>
        <v>7400</v>
      </c>
      <c r="AV17" s="22">
        <f t="shared" si="9"/>
        <v>1063.75</v>
      </c>
      <c r="AW17" s="22">
        <f>SUM($AV$3:AV17)</f>
        <v>14362.0625</v>
      </c>
      <c r="AX17" s="22">
        <f t="shared" si="32"/>
        <v>337737.9375</v>
      </c>
      <c r="AY17" s="22">
        <f t="shared" si="10"/>
        <v>1334.0000000000002</v>
      </c>
      <c r="AZ17" s="24">
        <f t="shared" si="11"/>
        <v>1.4421621621621625E-2</v>
      </c>
      <c r="BA17" s="24">
        <f t="shared" si="12"/>
        <v>0.35000000000000003</v>
      </c>
      <c r="BB17" s="25">
        <f>IF(MortgageRate="Discounted",_xlfn.XLOOKUP(L17,'mortgage-rates'!$A:$A,'mortgage-rates'!$E:$E)/100,_xlfn.XLOOKUP(L17,'mortgage-rates'!$A:$A,'mortgage-rates'!$D:$D)/100)</f>
        <v>5.1399999999999994E-2</v>
      </c>
      <c r="BC17" s="10">
        <f t="shared" si="37"/>
        <v>211131.81198286783</v>
      </c>
      <c r="BD17" s="10">
        <f t="shared" si="13"/>
        <v>4070.6901295012035</v>
      </c>
      <c r="BE17" s="10">
        <f t="shared" si="14"/>
        <v>2713.0437839798515</v>
      </c>
      <c r="BF17" s="10">
        <f t="shared" si="36"/>
        <v>1357.646345521352</v>
      </c>
      <c r="BG17" s="12">
        <f t="shared" si="15"/>
        <v>5404.690129501204</v>
      </c>
      <c r="BH17" s="22">
        <f>INDEX(cpi!B:B,MATCH($L17,cpi!A:A))</f>
        <v>93.7</v>
      </c>
      <c r="BI17" s="22">
        <f t="shared" si="16"/>
        <v>110.75650118203311</v>
      </c>
      <c r="BJ17" s="22">
        <f t="shared" si="17"/>
        <v>82.709344629523997</v>
      </c>
      <c r="BK17" s="22">
        <f t="shared" si="18"/>
        <v>97.403235040312381</v>
      </c>
      <c r="BL17" s="22">
        <f t="shared" si="19"/>
        <v>87.117511752760507</v>
      </c>
      <c r="BM17" s="22">
        <f t="shared" si="20"/>
        <v>123.26312218209449</v>
      </c>
      <c r="BN17" s="22">
        <f t="shared" si="21"/>
        <v>132.14285714285714</v>
      </c>
      <c r="BO17">
        <f t="shared" si="22"/>
        <v>123.76113065464739</v>
      </c>
    </row>
    <row r="18" spans="1:67" x14ac:dyDescent="0.25">
      <c r="A18" s="5" t="s">
        <v>323</v>
      </c>
      <c r="L18" s="1">
        <f t="shared" si="33"/>
        <v>40148</v>
      </c>
      <c r="M18" s="10">
        <f t="shared" si="0"/>
        <v>113227.83681459798</v>
      </c>
      <c r="N18" s="10">
        <f t="shared" si="23"/>
        <v>154341.22186265353</v>
      </c>
      <c r="O18" s="7">
        <f t="shared" si="24"/>
        <v>0.73362019198836015</v>
      </c>
      <c r="P18" s="7">
        <f t="shared" si="1"/>
        <v>0.68952854646862083</v>
      </c>
      <c r="Q18">
        <v>16</v>
      </c>
      <c r="R18">
        <f t="shared" si="2"/>
        <v>92</v>
      </c>
      <c r="S18" s="22"/>
      <c r="T18" s="22">
        <f>IF($B$10="3BR_H",
INDEX('3BR_H-processed'!$E:$F,MATCH($L18,'3BR_H-processed'!$B:$B,0),MATCH(Council_Area,'3BR_H-processed'!$E$1:$F$1,0)),
INDEX('2BR_F-processed'!$E:$F,MATCH($L18,'2BR_F-processed'!$B:$B,0),MATCH(Council_Area,'2BR_F-processed'!$E$1:$F$1,0)))</f>
        <v>300</v>
      </c>
      <c r="U18" s="22">
        <f t="shared" si="25"/>
        <v>290</v>
      </c>
      <c r="V18" s="22">
        <f t="shared" si="34"/>
        <v>3811.4285714285716</v>
      </c>
      <c r="W18" s="22">
        <f>$B$53/4*BH18/_xlfn.XLOOKUP(Q_end,cpi!A:A,cpi!B:B)</f>
        <v>130.61506565307533</v>
      </c>
      <c r="X18" s="22">
        <f t="shared" si="26"/>
        <v>3942.0436370816469</v>
      </c>
      <c r="Y18" s="22">
        <f t="shared" si="3"/>
        <v>1774.9693238328609</v>
      </c>
      <c r="Z18" s="22">
        <f t="shared" si="27"/>
        <v>0</v>
      </c>
      <c r="AA18" s="22" cm="1">
        <f t="array" ref="AA18">(Y18+Z18)*eff_invest</f>
        <v>1774.9693238328609</v>
      </c>
      <c r="AB18" s="22">
        <f>AA18*(_xlfn.XLOOKUP(Q_end,cpi!A:A,cpi!B:B)/BH18)</f>
        <v>2717.8630810435443</v>
      </c>
      <c r="AC18" s="22" cm="1">
        <f t="array" ref="AC18">INDEX('msci-indices'!C:C,MATCH($L18,'msci-indices'!$B:$B)-2)</f>
        <v>736.86332800000002</v>
      </c>
      <c r="AD18" s="22" cm="1">
        <f t="array" ref="AD18">INDEX('msci-indices'!D:D,MATCH($L18,'msci-indices'!$B:$B)-2)</f>
        <v>849.38296100000002</v>
      </c>
      <c r="AE18" s="22">
        <f t="shared" si="28"/>
        <v>109184.00278178742</v>
      </c>
      <c r="AF18" s="22" cm="1">
        <f t="array" ref="AF18">INDEX('msci-indices'!C:C,MATCH($L18,'msci-indices'!$B:$B)+1)</f>
        <v>765.74116200000003</v>
      </c>
      <c r="AG18" s="22" cm="1">
        <f t="array" ref="AG18">INDEX('msci-indices'!D:D,MATCH($L18,'msci-indices'!$B:$B)+1)</f>
        <v>878.343298</v>
      </c>
      <c r="AH18" s="22">
        <f t="shared" si="4"/>
        <v>68.240001738617138</v>
      </c>
      <c r="AI18" s="22">
        <f t="shared" si="5"/>
        <v>113227.83681459798</v>
      </c>
      <c r="AJ18" s="22">
        <f t="shared" si="29"/>
        <v>109788.40912720206</v>
      </c>
      <c r="AK18" s="22">
        <f t="shared" si="6"/>
        <v>3439.427687395917</v>
      </c>
      <c r="AL18" s="22">
        <f>AJ18*(_xlfn.XLOOKUP(Q_end,cpi!A:A,cpi!B:B)/BH18)</f>
        <v>168109.87090694325</v>
      </c>
      <c r="AM18" s="22" cm="1">
        <f t="array" ref="AM18">SUMPRODUCT($AA$3:AA18,_xlfn.SORTBY($BH$3:BH18,_xlfn.SEQUENCE(ROWS($BH$3:BH18)),-1)/$BH$3)</f>
        <v>120647.83059080437</v>
      </c>
      <c r="AN18" s="22">
        <f t="shared" si="30"/>
        <v>-7419.9937762063928</v>
      </c>
      <c r="AO18" s="22">
        <f t="shared" si="7"/>
        <v>0</v>
      </c>
      <c r="AP18" s="22">
        <f t="shared" si="31"/>
        <v>113227.83681459798</v>
      </c>
      <c r="AQ18" s="22"/>
      <c r="AR18" s="10">
        <f>IF($B$10="3BR_H",
INDEX('ns-combined'!$C:$D,MATCH($L18,'ns-combined'!$B:$B,0),MATCH(Council_Area,'ns-combined'!$C$1:$D$1,0))*1000,
INDEX('s-combined'!$C:$D,MATCH($L18,'s-combined'!$B:$B,0),MATCH(Council_Area,'s-combined'!$C$1:$D$1,0))*1000)</f>
        <v>398800</v>
      </c>
      <c r="AS18" s="22">
        <f t="shared" si="35"/>
        <v>11200</v>
      </c>
      <c r="AT18" s="10">
        <v>0</v>
      </c>
      <c r="AU18" s="22">
        <f t="shared" si="8"/>
        <v>7976</v>
      </c>
      <c r="AV18" s="22">
        <f t="shared" si="9"/>
        <v>1146.55</v>
      </c>
      <c r="AW18" s="22">
        <f>SUM($AV$3:AV18)</f>
        <v>15508.612499999999</v>
      </c>
      <c r="AX18" s="22">
        <f t="shared" si="32"/>
        <v>364115.38750000001</v>
      </c>
      <c r="AY18" s="22">
        <f>$B$36*V18</f>
        <v>1334.0000000000002</v>
      </c>
      <c r="AZ18" s="24">
        <f t="shared" si="11"/>
        <v>1.3380140421263793E-2</v>
      </c>
      <c r="BA18" s="24">
        <f t="shared" si="12"/>
        <v>0.35000000000000003</v>
      </c>
      <c r="BB18" s="25">
        <f>IF(MortgageRate="Discounted",_xlfn.XLOOKUP(L18,'mortgage-rates'!$A:$A,'mortgage-rates'!$E:$E)/100,_xlfn.XLOOKUP(L18,'mortgage-rates'!$A:$A,'mortgage-rates'!$D:$D)/100)</f>
        <v>0.06</v>
      </c>
      <c r="BC18" s="10">
        <f t="shared" si="37"/>
        <v>209774.16563734648</v>
      </c>
      <c r="BD18" s="10">
        <f t="shared" si="13"/>
        <v>4383.0129609145079</v>
      </c>
      <c r="BE18" s="10">
        <f t="shared" si="14"/>
        <v>3146.6124845601971</v>
      </c>
      <c r="BF18" s="10">
        <f t="shared" si="36"/>
        <v>1236.4004763543107</v>
      </c>
      <c r="BG18" s="12">
        <f t="shared" si="15"/>
        <v>5717.0129609145079</v>
      </c>
      <c r="BH18" s="22">
        <f>INDEX(cpi!B:B,MATCH($L18,cpi!A:A))</f>
        <v>94.5</v>
      </c>
      <c r="BI18" s="22">
        <f t="shared" si="16"/>
        <v>111.70212765957447</v>
      </c>
      <c r="BJ18" s="22">
        <f t="shared" si="17"/>
        <v>97.613356787298372</v>
      </c>
      <c r="BK18" s="22">
        <f t="shared" si="18"/>
        <v>119.1353557212046</v>
      </c>
      <c r="BL18" s="22">
        <f t="shared" si="19"/>
        <v>104.06995646747023</v>
      </c>
      <c r="BM18" s="22">
        <f t="shared" si="20"/>
        <v>149.41379893929329</v>
      </c>
      <c r="BN18" s="22">
        <f t="shared" si="21"/>
        <v>142.42857142857142</v>
      </c>
      <c r="BO18">
        <f t="shared" si="22"/>
        <v>133.42691786218143</v>
      </c>
    </row>
    <row r="19" spans="1:67" x14ac:dyDescent="0.25">
      <c r="A19" t="s">
        <v>324</v>
      </c>
      <c r="B19" t="s">
        <v>329</v>
      </c>
      <c r="C19" t="s">
        <v>329</v>
      </c>
      <c r="L19" s="1">
        <f>DATE(YEAR(L18),MONTH(L18)+3,1)</f>
        <v>40238</v>
      </c>
      <c r="M19" s="10">
        <f t="shared" si="0"/>
        <v>118545.29527423924</v>
      </c>
      <c r="N19" s="10">
        <f t="shared" si="23"/>
        <v>156857.87233900785</v>
      </c>
      <c r="O19" s="7">
        <f t="shared" si="24"/>
        <v>0.75574973386119981</v>
      </c>
      <c r="P19" s="7">
        <f t="shared" si="1"/>
        <v>0.70139412465067075</v>
      </c>
      <c r="Q19">
        <v>17</v>
      </c>
      <c r="R19">
        <f t="shared" si="2"/>
        <v>90</v>
      </c>
      <c r="S19" s="22"/>
      <c r="T19" s="22">
        <f>IF($B$10="3BR_H",
INDEX('3BR_H-processed'!$E:$F,MATCH($L19,'3BR_H-processed'!$B:$B,0),MATCH(Council_Area,'3BR_H-processed'!$E$1:$F$1,0)),
INDEX('2BR_F-processed'!$E:$F,MATCH($L19,'2BR_F-processed'!$B:$B,0),MATCH(Council_Area,'2BR_F-processed'!$E$1:$F$1,0)))</f>
        <v>310</v>
      </c>
      <c r="U19" s="22">
        <f t="shared" si="25"/>
        <v>310</v>
      </c>
      <c r="V19" s="22">
        <f t="shared" si="34"/>
        <v>3985.7142857142858</v>
      </c>
      <c r="W19" s="22">
        <f>$B$53/4*BH19/_xlfn.XLOOKUP(Q_end,cpi!A:A,cpi!B:B)</f>
        <v>131.58258465791295</v>
      </c>
      <c r="X19" s="22">
        <f t="shared" si="26"/>
        <v>4117.296870372199</v>
      </c>
      <c r="Y19" s="22">
        <f t="shared" si="3"/>
        <v>1752.8647487072567</v>
      </c>
      <c r="Z19" s="22">
        <f t="shared" si="27"/>
        <v>0</v>
      </c>
      <c r="AA19" s="22" cm="1">
        <f t="array" ref="AA19">(Y19+Z19)*eff_invest</f>
        <v>1752.8647487072567</v>
      </c>
      <c r="AB19" s="22">
        <f>AA19*(_xlfn.XLOOKUP(Q_end,cpi!A:A,cpi!B:B)/BH19)</f>
        <v>2664.2807682556727</v>
      </c>
      <c r="AC19" s="22" cm="1">
        <f t="array" ref="AC19">INDEX('msci-indices'!C:C,MATCH($L19,'msci-indices'!$B:$B)-2)</f>
        <v>765.74116200000003</v>
      </c>
      <c r="AD19" s="22" cm="1">
        <f t="array" ref="AD19">INDEX('msci-indices'!D:D,MATCH($L19,'msci-indices'!$B:$B)-2)</f>
        <v>878.343298</v>
      </c>
      <c r="AE19" s="22">
        <f t="shared" si="28"/>
        <v>114980.70156330524</v>
      </c>
      <c r="AF19" s="22" cm="1">
        <f t="array" ref="AF19">INDEX('msci-indices'!C:C,MATCH($L19,'msci-indices'!$B:$B)+1)</f>
        <v>794.63717599999995</v>
      </c>
      <c r="AG19" s="22" cm="1">
        <f t="array" ref="AG19">INDEX('msci-indices'!D:D,MATCH($L19,'msci-indices'!$B:$B)+1)</f>
        <v>893.60148100000004</v>
      </c>
      <c r="AH19" s="22">
        <f t="shared" si="4"/>
        <v>71.862938477065768</v>
      </c>
      <c r="AI19" s="22">
        <f t="shared" si="5"/>
        <v>118545.29527423924</v>
      </c>
      <c r="AJ19" s="22">
        <f t="shared" si="29"/>
        <v>111541.27387590932</v>
      </c>
      <c r="AK19" s="22">
        <f t="shared" si="6"/>
        <v>7004.0213983299182</v>
      </c>
      <c r="AL19" s="22">
        <f>AJ19*(_xlfn.XLOOKUP(Q_end,cpi!A:A,cpi!B:B)/BH19)</f>
        <v>169538.04968323611</v>
      </c>
      <c r="AM19" s="22" cm="1">
        <f t="array" ref="AM19">SUMPRODUCT($AA$3:AA19,_xlfn.SORTBY($BH$3:BH19,_xlfn.SEQUENCE(ROWS($BH$3:BH19)),-1)/$BH$3)</f>
        <v>123303.07992175908</v>
      </c>
      <c r="AN19" s="22">
        <f t="shared" si="30"/>
        <v>-4757.7846475198457</v>
      </c>
      <c r="AO19" s="22">
        <f t="shared" si="7"/>
        <v>0</v>
      </c>
      <c r="AP19" s="22">
        <f t="shared" si="31"/>
        <v>118545.29527423924</v>
      </c>
      <c r="AQ19" s="22"/>
      <c r="AR19" s="10">
        <f>IF($B$10="3BR_H",
INDEX('ns-combined'!$C:$D,MATCH($L19,'ns-combined'!$B:$B,0),MATCH(Council_Area,'ns-combined'!$C$1:$D$1,0))*1000,
INDEX('s-combined'!$C:$D,MATCH($L19,'s-combined'!$B:$B,0),MATCH(Council_Area,'s-combined'!$C$1:$D$1,0))*1000)</f>
        <v>402000</v>
      </c>
      <c r="AS19" s="22">
        <f t="shared" si="35"/>
        <v>11900</v>
      </c>
      <c r="AT19" s="10">
        <v>0</v>
      </c>
      <c r="AU19" s="22">
        <f t="shared" si="8"/>
        <v>8040</v>
      </c>
      <c r="AV19" s="22">
        <f t="shared" si="9"/>
        <v>1155.75</v>
      </c>
      <c r="AW19" s="22">
        <f>SUM($AV$3:AV19)</f>
        <v>16664.362499999999</v>
      </c>
      <c r="AX19" s="22">
        <f t="shared" si="32"/>
        <v>365395.63750000001</v>
      </c>
      <c r="AY19" s="22">
        <f t="shared" si="10"/>
        <v>1395.0000000000002</v>
      </c>
      <c r="AZ19" s="24">
        <f t="shared" si="11"/>
        <v>1.3880597014925375E-2</v>
      </c>
      <c r="BA19" s="24">
        <f t="shared" si="12"/>
        <v>0.35000000000000003</v>
      </c>
      <c r="BB19" s="25">
        <f>IF(MortgageRate="Discounted",_xlfn.XLOOKUP(L19,'mortgage-rates'!$A:$A,'mortgage-rates'!$E:$E)/100,_xlfn.XLOOKUP(L19,'mortgage-rates'!$A:$A,'mortgage-rates'!$D:$D)/100)</f>
        <v>6.25E-2</v>
      </c>
      <c r="BC19" s="10">
        <f t="shared" si="37"/>
        <v>208537.76516099216</v>
      </c>
      <c r="BD19" s="10">
        <f t="shared" si="13"/>
        <v>4475.1616190794557</v>
      </c>
      <c r="BE19" s="10">
        <f t="shared" si="14"/>
        <v>3258.4025806405025</v>
      </c>
      <c r="BF19" s="10">
        <f t="shared" si="36"/>
        <v>1216.7590384389532</v>
      </c>
      <c r="BG19" s="12">
        <f t="shared" si="15"/>
        <v>5870.1616190794557</v>
      </c>
      <c r="BH19" s="22">
        <f>INDEX(cpi!B:B,MATCH($L19,cpi!A:A))</f>
        <v>95.2</v>
      </c>
      <c r="BI19" s="22">
        <f t="shared" si="16"/>
        <v>112.52955082742318</v>
      </c>
      <c r="BJ19" s="22">
        <f t="shared" si="17"/>
        <v>101.43884545849789</v>
      </c>
      <c r="BK19" s="22">
        <f t="shared" si="18"/>
        <v>123.19736332992677</v>
      </c>
      <c r="BL19" s="22">
        <f t="shared" si="19"/>
        <v>107.96640081992655</v>
      </c>
      <c r="BM19" s="22">
        <f t="shared" si="20"/>
        <v>157.34634184106187</v>
      </c>
      <c r="BN19" s="22">
        <f t="shared" si="21"/>
        <v>143.57142857142858</v>
      </c>
      <c r="BO19">
        <f t="shared" si="22"/>
        <v>133.89605434324557</v>
      </c>
    </row>
    <row r="20" spans="1:67" x14ac:dyDescent="0.25">
      <c r="A20" t="s">
        <v>335</v>
      </c>
      <c r="B20" s="8">
        <v>0.2</v>
      </c>
      <c r="C20" s="8">
        <v>0.2</v>
      </c>
      <c r="L20" s="1">
        <f t="shared" si="33"/>
        <v>40330</v>
      </c>
      <c r="M20" s="10">
        <f t="shared" si="0"/>
        <v>105611.46485408701</v>
      </c>
      <c r="N20" s="10">
        <f t="shared" si="23"/>
        <v>164035.88137744681</v>
      </c>
      <c r="O20" s="7">
        <f t="shared" si="24"/>
        <v>0.6438314834976554</v>
      </c>
      <c r="P20" s="7">
        <f t="shared" si="1"/>
        <v>0.68560853787982201</v>
      </c>
      <c r="Q20">
        <v>18</v>
      </c>
      <c r="R20">
        <f t="shared" si="2"/>
        <v>91</v>
      </c>
      <c r="S20" s="22"/>
      <c r="T20" s="22">
        <f>IF($B$10="3BR_H",
INDEX('3BR_H-processed'!$E:$F,MATCH($L20,'3BR_H-processed'!$B:$B,0),MATCH(Council_Area,'3BR_H-processed'!$E$1:$F$1,0)),
INDEX('2BR_F-processed'!$E:$F,MATCH($L20,'2BR_F-processed'!$B:$B,0),MATCH(Council_Area,'2BR_F-processed'!$E$1:$F$1,0)))</f>
        <v>300</v>
      </c>
      <c r="U20" s="22">
        <f t="shared" si="25"/>
        <v>310</v>
      </c>
      <c r="V20" s="22">
        <f t="shared" si="34"/>
        <v>4030</v>
      </c>
      <c r="W20" s="22">
        <f>$B$53/4*BH20/_xlfn.XLOOKUP(Q_end,cpi!A:A,cpi!B:B)</f>
        <v>132.41188666205943</v>
      </c>
      <c r="X20" s="22">
        <f t="shared" si="26"/>
        <v>4162.4118866620593</v>
      </c>
      <c r="Y20" s="22">
        <f t="shared" si="3"/>
        <v>1908.7083761250915</v>
      </c>
      <c r="Z20" s="22">
        <f t="shared" si="27"/>
        <v>0</v>
      </c>
      <c r="AA20" s="22" cm="1">
        <f t="array" ref="AA20">(Y20+Z20)*eff_invest</f>
        <v>1908.7083761250915</v>
      </c>
      <c r="AB20" s="22">
        <f>AA20*(_xlfn.XLOOKUP(Q_end,cpi!A:A,cpi!B:B)/BH20)</f>
        <v>2882.9864512035565</v>
      </c>
      <c r="AC20" s="22" cm="1">
        <f t="array" ref="AC20">INDEX('msci-indices'!C:C,MATCH($L20,'msci-indices'!$B:$B)-2)</f>
        <v>794.63717599999995</v>
      </c>
      <c r="AD20" s="22" cm="1">
        <f t="array" ref="AD20">INDEX('msci-indices'!D:D,MATCH($L20,'msci-indices'!$B:$B)-2)</f>
        <v>893.60148100000004</v>
      </c>
      <c r="AE20" s="22">
        <f t="shared" si="28"/>
        <v>120454.00365036434</v>
      </c>
      <c r="AF20" s="22" cm="1">
        <f t="array" ref="AF20">INDEX('msci-indices'!C:C,MATCH($L20,'msci-indices'!$B:$B)+1)</f>
        <v>696.18017999999995</v>
      </c>
      <c r="AG20" s="22" cm="1">
        <f t="array" ref="AG20">INDEX('msci-indices'!D:D,MATCH($L20,'msci-indices'!$B:$B)+1)</f>
        <v>786.77036999999996</v>
      </c>
      <c r="AH20" s="22">
        <f t="shared" si="4"/>
        <v>75.283752281477717</v>
      </c>
      <c r="AI20" s="22">
        <f t="shared" si="5"/>
        <v>105611.46485408701</v>
      </c>
      <c r="AJ20" s="22">
        <f t="shared" si="29"/>
        <v>113449.98225203442</v>
      </c>
      <c r="AK20" s="22">
        <f t="shared" si="6"/>
        <v>-7838.5173979474057</v>
      </c>
      <c r="AL20" s="22">
        <f>AJ20*(_xlfn.XLOOKUP(Q_end,cpi!A:A,cpi!B:B)/BH20)</f>
        <v>171359.21118861565</v>
      </c>
      <c r="AM20" s="22" cm="1">
        <f t="array" ref="AM20">SUMPRODUCT($AA$3:AA20,_xlfn.SORTBY($BH$3:BH20,_xlfn.SEQUENCE(ROWS($BH$3:BH20)),-1)/$BH$3)</f>
        <v>126044.81468845803</v>
      </c>
      <c r="AN20" s="22">
        <f t="shared" si="30"/>
        <v>-20433.349834371023</v>
      </c>
      <c r="AO20" s="22">
        <f t="shared" si="7"/>
        <v>0</v>
      </c>
      <c r="AP20" s="22">
        <f t="shared" si="31"/>
        <v>105611.46485408701</v>
      </c>
      <c r="AQ20" s="22"/>
      <c r="AR20" s="10">
        <f>IF($B$10="3BR_H",
INDEX('ns-combined'!$C:$D,MATCH($L20,'ns-combined'!$B:$B,0),MATCH(Council_Area,'ns-combined'!$C$1:$D$1,0))*1000,
INDEX('s-combined'!$C:$D,MATCH($L20,'s-combined'!$B:$B,0),MATCH(Council_Area,'s-combined'!$C$1:$D$1,0))*1000)</f>
        <v>410000</v>
      </c>
      <c r="AS20" s="22">
        <f t="shared" si="35"/>
        <v>12600</v>
      </c>
      <c r="AT20" s="10">
        <v>0</v>
      </c>
      <c r="AU20" s="22">
        <f t="shared" si="8"/>
        <v>8200</v>
      </c>
      <c r="AV20" s="22">
        <f t="shared" si="9"/>
        <v>1178.75</v>
      </c>
      <c r="AW20" s="22">
        <f>SUM($AV$3:AV20)</f>
        <v>17843.112499999999</v>
      </c>
      <c r="AX20" s="22">
        <f t="shared" si="32"/>
        <v>371356.88750000001</v>
      </c>
      <c r="AY20" s="22">
        <f t="shared" si="10"/>
        <v>1410.5000000000002</v>
      </c>
      <c r="AZ20" s="24">
        <f t="shared" si="11"/>
        <v>1.37609756097561E-2</v>
      </c>
      <c r="BA20" s="24">
        <f t="shared" si="12"/>
        <v>0.35000000000000003</v>
      </c>
      <c r="BB20" s="25">
        <f>IF(MortgageRate="Discounted",_xlfn.XLOOKUP(L20,'mortgage-rates'!$A:$A,'mortgage-rates'!$E:$E)/100,_xlfn.XLOOKUP(L20,'mortgage-rates'!$A:$A,'mortgage-rates'!$D:$D)/100)</f>
        <v>6.7500000000000004E-2</v>
      </c>
      <c r="BC20" s="10">
        <f t="shared" si="37"/>
        <v>207321.0061225532</v>
      </c>
      <c r="BD20" s="10">
        <f t="shared" si="13"/>
        <v>4660.6202627871508</v>
      </c>
      <c r="BE20" s="10">
        <f t="shared" si="14"/>
        <v>3498.5419783180855</v>
      </c>
      <c r="BF20" s="10">
        <f t="shared" si="36"/>
        <v>1162.0782844690652</v>
      </c>
      <c r="BG20" s="12">
        <f t="shared" si="15"/>
        <v>6071.1202627871508</v>
      </c>
      <c r="BH20" s="22">
        <f>INDEX(cpi!B:B,MATCH($L20,cpi!A:A))</f>
        <v>95.8</v>
      </c>
      <c r="BI20" s="22">
        <f t="shared" si="16"/>
        <v>113.2387706855792</v>
      </c>
      <c r="BJ20" s="22">
        <f t="shared" si="17"/>
        <v>105.26674246073921</v>
      </c>
      <c r="BK20" s="22">
        <f t="shared" si="18"/>
        <v>125.3374922739123</v>
      </c>
      <c r="BL20" s="22">
        <f t="shared" si="19"/>
        <v>111.28796740469113</v>
      </c>
      <c r="BM20" s="22">
        <f t="shared" si="20"/>
        <v>164.83632972146842</v>
      </c>
      <c r="BN20" s="22">
        <f t="shared" si="21"/>
        <v>146.42857142857142</v>
      </c>
      <c r="BO20">
        <f t="shared" si="22"/>
        <v>136.08050257425018</v>
      </c>
    </row>
    <row r="21" spans="1:67" x14ac:dyDescent="0.25">
      <c r="A21" t="s">
        <v>334</v>
      </c>
      <c r="B21" s="4">
        <v>0</v>
      </c>
      <c r="C21" s="4">
        <v>0</v>
      </c>
      <c r="L21" s="1">
        <f t="shared" si="33"/>
        <v>40422</v>
      </c>
      <c r="M21" s="10">
        <f t="shared" si="0"/>
        <v>120708.25491129239</v>
      </c>
      <c r="N21" s="10">
        <f t="shared" si="23"/>
        <v>153547.95966191587</v>
      </c>
      <c r="O21" s="7">
        <f t="shared" si="24"/>
        <v>0.78612737790244547</v>
      </c>
      <c r="P21" s="7">
        <f t="shared" si="1"/>
        <v>0.69127475040232478</v>
      </c>
      <c r="Q21">
        <v>19</v>
      </c>
      <c r="R21">
        <f t="shared" si="2"/>
        <v>92</v>
      </c>
      <c r="S21" s="22"/>
      <c r="T21" s="22">
        <f>IF($B$10="3BR_H",
INDEX('3BR_H-processed'!$E:$F,MATCH($L21,'3BR_H-processed'!$B:$B,0),MATCH(Council_Area,'3BR_H-processed'!$E$1:$F$1,0)),
INDEX('2BR_F-processed'!$E:$F,MATCH($L21,'2BR_F-processed'!$B:$B,0),MATCH(Council_Area,'2BR_F-processed'!$E$1:$F$1,0)))</f>
        <v>310</v>
      </c>
      <c r="U21" s="22">
        <f t="shared" si="25"/>
        <v>310</v>
      </c>
      <c r="V21" s="22">
        <f t="shared" si="34"/>
        <v>4074.2857142857142</v>
      </c>
      <c r="W21" s="22">
        <f>$B$53/4*BH21/_xlfn.XLOOKUP(Q_end,cpi!A:A,cpi!B:B)</f>
        <v>133.24118866620594</v>
      </c>
      <c r="X21" s="22">
        <f t="shared" si="26"/>
        <v>4207.5269029519204</v>
      </c>
      <c r="Y21" s="22">
        <f t="shared" si="3"/>
        <v>1879.0933598352303</v>
      </c>
      <c r="Z21" s="22">
        <f t="shared" si="27"/>
        <v>0</v>
      </c>
      <c r="AA21" s="22" cm="1">
        <f t="array" ref="AA21">(Y21+Z21)*eff_invest</f>
        <v>1879.0933598352303</v>
      </c>
      <c r="AB21" s="22">
        <f>AA21*(_xlfn.XLOOKUP(Q_end,cpi!A:A,cpi!B:B)/BH21)</f>
        <v>2820.5893067236284</v>
      </c>
      <c r="AC21" s="22" cm="1">
        <f t="array" ref="AC21">INDEX('msci-indices'!C:C,MATCH($L21,'msci-indices'!$B:$B)-2)</f>
        <v>696.18017999999995</v>
      </c>
      <c r="AD21" s="22" cm="1">
        <f t="array" ref="AD21">INDEX('msci-indices'!D:D,MATCH($L21,'msci-indices'!$B:$B)-2)</f>
        <v>786.77036999999996</v>
      </c>
      <c r="AE21" s="22">
        <f t="shared" si="28"/>
        <v>107490.55821392224</v>
      </c>
      <c r="AF21" s="22" cm="1">
        <f t="array" ref="AF21">INDEX('msci-indices'!C:C,MATCH($L21,'msci-indices'!$B:$B)+1)</f>
        <v>792.86985700000002</v>
      </c>
      <c r="AG21" s="22" cm="1">
        <f t="array" ref="AG21">INDEX('msci-indices'!D:D,MATCH($L21,'msci-indices'!$B:$B)+1)</f>
        <v>855.92990299999997</v>
      </c>
      <c r="AH21" s="22">
        <f t="shared" si="4"/>
        <v>67.181598883701398</v>
      </c>
      <c r="AI21" s="22">
        <f t="shared" si="5"/>
        <v>120708.25491129239</v>
      </c>
      <c r="AJ21" s="22">
        <f t="shared" si="29"/>
        <v>115329.07561186964</v>
      </c>
      <c r="AK21" s="22">
        <f t="shared" si="6"/>
        <v>5379.1792994227435</v>
      </c>
      <c r="AL21" s="22">
        <f>AJ21*(_xlfn.XLOOKUP(Q_end,cpi!A:A,cpi!B:B)/BH21)</f>
        <v>173113.24938835617</v>
      </c>
      <c r="AM21" s="22" cm="1">
        <f t="array" ref="AM21">SUMPRODUCT($AA$3:AA21,_xlfn.SORTBY($BH$3:BH21,_xlfn.SEQUENCE(ROWS($BH$3:BH21)),-1)/$BH$3)</f>
        <v>128764.23377748995</v>
      </c>
      <c r="AN21" s="22">
        <f t="shared" si="30"/>
        <v>-8055.9788661975617</v>
      </c>
      <c r="AO21" s="22">
        <f t="shared" si="7"/>
        <v>0</v>
      </c>
      <c r="AP21" s="22">
        <f t="shared" si="31"/>
        <v>120708.25491129239</v>
      </c>
      <c r="AQ21" s="22"/>
      <c r="AR21" s="10">
        <f>IF($B$10="3BR_H",
INDEX('ns-combined'!$C:$D,MATCH($L21,'ns-combined'!$B:$B,0),MATCH(Council_Area,'ns-combined'!$C$1:$D$1,0))*1000,
INDEX('s-combined'!$C:$D,MATCH($L21,'s-combined'!$B:$B,0),MATCH(Council_Area,'s-combined'!$C$1:$D$1,0))*1000)</f>
        <v>400000</v>
      </c>
      <c r="AS21" s="22">
        <f t="shared" si="35"/>
        <v>13300</v>
      </c>
      <c r="AT21" s="10">
        <v>0</v>
      </c>
      <c r="AU21" s="22">
        <f t="shared" si="8"/>
        <v>8000</v>
      </c>
      <c r="AV21" s="22">
        <f t="shared" si="9"/>
        <v>1150</v>
      </c>
      <c r="AW21" s="22">
        <f>SUM($AV$3:AV21)</f>
        <v>18993.112499999999</v>
      </c>
      <c r="AX21" s="22">
        <f t="shared" si="32"/>
        <v>359706.88750000001</v>
      </c>
      <c r="AY21" s="22">
        <f t="shared" si="10"/>
        <v>1426</v>
      </c>
      <c r="AZ21" s="24">
        <f t="shared" si="11"/>
        <v>1.426E-2</v>
      </c>
      <c r="BA21" s="24">
        <f t="shared" si="12"/>
        <v>0.35000000000000003</v>
      </c>
      <c r="BB21" s="25">
        <f>IF(MortgageRate="Discounted",_xlfn.XLOOKUP(L21,'mortgage-rates'!$A:$A,'mortgage-rates'!$E:$E)/100,_xlfn.XLOOKUP(L21,'mortgage-rates'!$A:$A,'mortgage-rates'!$D:$D)/100)</f>
        <v>6.7500000000000004E-2</v>
      </c>
      <c r="BC21" s="10">
        <f t="shared" si="37"/>
        <v>206158.92783808414</v>
      </c>
      <c r="BD21" s="10">
        <f t="shared" si="13"/>
        <v>4660.6202627871508</v>
      </c>
      <c r="BE21" s="10">
        <f t="shared" si="14"/>
        <v>3478.9319072676703</v>
      </c>
      <c r="BF21" s="10">
        <f t="shared" si="36"/>
        <v>1181.6883555194804</v>
      </c>
      <c r="BG21" s="12">
        <f t="shared" si="15"/>
        <v>6086.6202627871508</v>
      </c>
      <c r="BH21" s="22">
        <f>INDEX(cpi!B:B,MATCH($L21,cpi!A:A))</f>
        <v>96.4</v>
      </c>
      <c r="BI21" s="22">
        <f t="shared" si="16"/>
        <v>113.94799054373523</v>
      </c>
      <c r="BJ21" s="22">
        <f t="shared" si="17"/>
        <v>92.224001000339641</v>
      </c>
      <c r="BK21" s="22">
        <f t="shared" si="18"/>
        <v>110.35324724491825</v>
      </c>
      <c r="BL21" s="22">
        <f t="shared" si="19"/>
        <v>97.662774873713232</v>
      </c>
      <c r="BM21" s="22">
        <f t="shared" si="20"/>
        <v>147.09638998073424</v>
      </c>
      <c r="BN21" s="22">
        <f t="shared" si="21"/>
        <v>142.85714285714286</v>
      </c>
      <c r="BO21">
        <f t="shared" si="22"/>
        <v>131.8114613679254</v>
      </c>
    </row>
    <row r="22" spans="1:67" x14ac:dyDescent="0.25">
      <c r="L22" s="1">
        <f t="shared" si="33"/>
        <v>40513</v>
      </c>
      <c r="M22" s="10">
        <f t="shared" si="0"/>
        <v>132623.25552572511</v>
      </c>
      <c r="N22" s="10">
        <f t="shared" si="23"/>
        <v>162650.89801743536</v>
      </c>
      <c r="O22" s="7">
        <f t="shared" si="24"/>
        <v>0.81538594094641004</v>
      </c>
      <c r="P22" s="7">
        <f t="shared" si="1"/>
        <v>0.67496178150556552</v>
      </c>
      <c r="Q22">
        <v>20</v>
      </c>
      <c r="R22">
        <f t="shared" si="2"/>
        <v>92</v>
      </c>
      <c r="S22" s="22"/>
      <c r="T22" s="22">
        <f>IF($B$10="3BR_H",
INDEX('3BR_H-processed'!$E:$F,MATCH($L22,'3BR_H-processed'!$B:$B,0),MATCH(Council_Area,'3BR_H-processed'!$E$1:$F$1,0)),
INDEX('2BR_F-processed'!$E:$F,MATCH($L22,'2BR_F-processed'!$B:$B,0),MATCH(Council_Area,'2BR_F-processed'!$E$1:$F$1,0)))</f>
        <v>312.5</v>
      </c>
      <c r="U22" s="22">
        <f t="shared" si="25"/>
        <v>310</v>
      </c>
      <c r="V22" s="22">
        <f t="shared" si="34"/>
        <v>4074.2857142857142</v>
      </c>
      <c r="W22" s="22">
        <f>$B$53/4*BH22/_xlfn.XLOOKUP(Q_end,cpi!A:A,cpi!B:B)</f>
        <v>134.07049067035246</v>
      </c>
      <c r="X22" s="22">
        <f t="shared" si="26"/>
        <v>4208.3562049560669</v>
      </c>
      <c r="Y22" s="22">
        <f t="shared" si="3"/>
        <v>2026.5986032538649</v>
      </c>
      <c r="Z22" s="22">
        <f t="shared" si="27"/>
        <v>0</v>
      </c>
      <c r="AA22" s="22" cm="1">
        <f t="array" ref="AA22">(Y22+Z22)*eff_invest</f>
        <v>2026.5986032538649</v>
      </c>
      <c r="AB22" s="22">
        <f>AA22*(_xlfn.XLOOKUP(Q_end,cpi!A:A,cpi!B:B)/BH22)</f>
        <v>3023.1836895962292</v>
      </c>
      <c r="AC22" s="22" cm="1">
        <f t="array" ref="AC22">INDEX('msci-indices'!C:C,MATCH($L22,'msci-indices'!$B:$B)-2)</f>
        <v>792.86985700000002</v>
      </c>
      <c r="AD22" s="22" cm="1">
        <f t="array" ref="AD22">INDEX('msci-indices'!D:D,MATCH($L22,'msci-indices'!$B:$B)-2)</f>
        <v>855.92990299999997</v>
      </c>
      <c r="AE22" s="22">
        <f t="shared" si="28"/>
        <v>122734.85351454625</v>
      </c>
      <c r="AF22" s="22" cm="1">
        <f t="array" ref="AF22">INDEX('msci-indices'!C:C,MATCH($L22,'msci-indices'!$B:$B)+1)</f>
        <v>869.423677</v>
      </c>
      <c r="AG22" s="22" cm="1">
        <f t="array" ref="AG22">INDEX('msci-indices'!D:D,MATCH($L22,'msci-indices'!$B:$B)+1)</f>
        <v>894.74693600000001</v>
      </c>
      <c r="AH22" s="22">
        <f t="shared" si="4"/>
        <v>76.709283446591414</v>
      </c>
      <c r="AI22" s="22">
        <f t="shared" si="5"/>
        <v>132623.25552572511</v>
      </c>
      <c r="AJ22" s="22">
        <f t="shared" si="29"/>
        <v>117355.67421512351</v>
      </c>
      <c r="AK22" s="22">
        <f t="shared" si="6"/>
        <v>15267.581310601599</v>
      </c>
      <c r="AL22" s="22">
        <f>AJ22*(_xlfn.XLOOKUP(Q_end,cpi!A:A,cpi!B:B)/BH22)</f>
        <v>175065.62947348834</v>
      </c>
      <c r="AM22" s="22" cm="1">
        <f t="array" ref="AM22">SUMPRODUCT($AA$3:AA22,_xlfn.SORTBY($BH$3:BH22,_xlfn.SEQUENCE(ROWS($BH$3:BH22)),-1)/$BH$3)</f>
        <v>131630.5176272137</v>
      </c>
      <c r="AN22" s="22">
        <f t="shared" si="30"/>
        <v>992.73789851140464</v>
      </c>
      <c r="AO22" s="22">
        <f t="shared" si="7"/>
        <v>0</v>
      </c>
      <c r="AP22" s="22">
        <f t="shared" si="31"/>
        <v>132623.25552572511</v>
      </c>
      <c r="AQ22" s="22"/>
      <c r="AR22" s="10">
        <f>IF($B$10="3BR_H",
INDEX('ns-combined'!$C:$D,MATCH($L22,'ns-combined'!$B:$B,0),MATCH(Council_Area,'ns-combined'!$C$1:$D$1,0))*1000,
INDEX('s-combined'!$C:$D,MATCH($L22,'s-combined'!$B:$B,0),MATCH(Council_Area,'s-combined'!$C$1:$D$1,0))*1000)</f>
        <v>410000</v>
      </c>
      <c r="AS22" s="22">
        <f t="shared" si="35"/>
        <v>14000</v>
      </c>
      <c r="AT22" s="10">
        <v>0</v>
      </c>
      <c r="AU22" s="22">
        <f t="shared" si="8"/>
        <v>8200</v>
      </c>
      <c r="AV22" s="22">
        <f t="shared" si="9"/>
        <v>1178.75</v>
      </c>
      <c r="AW22" s="22">
        <f>SUM($AV$3:AV22)</f>
        <v>20171.862499999999</v>
      </c>
      <c r="AX22" s="22">
        <f t="shared" si="32"/>
        <v>367628.13750000001</v>
      </c>
      <c r="AY22" s="22">
        <f t="shared" si="10"/>
        <v>1426</v>
      </c>
      <c r="AZ22" s="24">
        <f t="shared" si="11"/>
        <v>1.3912195121951219E-2</v>
      </c>
      <c r="BA22" s="24">
        <f t="shared" si="12"/>
        <v>0.35000000000000003</v>
      </c>
      <c r="BB22" s="25">
        <f>IF(MortgageRate="Discounted",_xlfn.XLOOKUP(L22,'mortgage-rates'!$A:$A,'mortgage-rates'!$E:$E)/100,_xlfn.XLOOKUP(L22,'mortgage-rates'!$A:$A,'mortgage-rates'!$D:$D)/100)</f>
        <v>7.1500000000000008E-2</v>
      </c>
      <c r="BC22" s="10">
        <f t="shared" si="37"/>
        <v>204977.23948256465</v>
      </c>
      <c r="BD22" s="10">
        <f t="shared" si="13"/>
        <v>4808.9548082099318</v>
      </c>
      <c r="BE22" s="10">
        <f t="shared" si="14"/>
        <v>3663.9681557508434</v>
      </c>
      <c r="BF22" s="10">
        <f t="shared" si="36"/>
        <v>1144.9866524590884</v>
      </c>
      <c r="BG22" s="12">
        <f>AT22+AY22+BD22</f>
        <v>6234.9548082099318</v>
      </c>
      <c r="BH22" s="22">
        <f>INDEX(cpi!B:B,MATCH($L22,cpi!A:A))</f>
        <v>97</v>
      </c>
      <c r="BI22" s="22">
        <f t="shared" si="16"/>
        <v>114.65721040189126</v>
      </c>
      <c r="BJ22" s="22">
        <f t="shared" si="17"/>
        <v>105.03262314234105</v>
      </c>
      <c r="BK22" s="22">
        <f t="shared" si="18"/>
        <v>120.0536367556367</v>
      </c>
      <c r="BL22" s="22">
        <f t="shared" si="19"/>
        <v>109.53892722632975</v>
      </c>
      <c r="BM22" s="22">
        <f t="shared" si="20"/>
        <v>167.95757857052084</v>
      </c>
      <c r="BN22" s="22">
        <f t="shared" si="21"/>
        <v>146.42857142857142</v>
      </c>
      <c r="BO22">
        <f t="shared" si="22"/>
        <v>134.71413455724729</v>
      </c>
    </row>
    <row r="23" spans="1:67" x14ac:dyDescent="0.25">
      <c r="A23" s="5" t="s">
        <v>339</v>
      </c>
      <c r="L23" s="1">
        <f t="shared" si="33"/>
        <v>40603</v>
      </c>
      <c r="M23" s="10">
        <f t="shared" si="0"/>
        <v>140574.80149868413</v>
      </c>
      <c r="N23" s="10">
        <f t="shared" si="23"/>
        <v>152145.88466989444</v>
      </c>
      <c r="O23" s="7">
        <f t="shared" si="24"/>
        <v>0.92394744559594444</v>
      </c>
      <c r="P23" s="7">
        <f t="shared" si="1"/>
        <v>0.68177532801133667</v>
      </c>
      <c r="Q23">
        <v>21</v>
      </c>
      <c r="R23">
        <f t="shared" si="2"/>
        <v>90</v>
      </c>
      <c r="S23" s="22"/>
      <c r="T23" s="22">
        <f>IF($B$10="3BR_H",
INDEX('3BR_H-processed'!$E:$F,MATCH($L23,'3BR_H-processed'!$B:$B,0),MATCH(Council_Area,'3BR_H-processed'!$E$1:$F$1,0)),
INDEX('2BR_F-processed'!$E:$F,MATCH($L23,'2BR_F-processed'!$B:$B,0),MATCH(Council_Area,'2BR_F-processed'!$E$1:$F$1,0)))</f>
        <v>320</v>
      </c>
      <c r="U23" s="22">
        <f t="shared" si="25"/>
        <v>320</v>
      </c>
      <c r="V23" s="22">
        <f t="shared" si="34"/>
        <v>4114.2857142857147</v>
      </c>
      <c r="W23" s="22">
        <f>$B$53/4*BH23/_xlfn.XLOOKUP(Q_end,cpi!A:A,cpi!B:B)</f>
        <v>136.00552868002765</v>
      </c>
      <c r="X23" s="22">
        <f t="shared" si="26"/>
        <v>4250.2912429657426</v>
      </c>
      <c r="Y23" s="22">
        <f t="shared" si="3"/>
        <v>1983.8610772177599</v>
      </c>
      <c r="Z23" s="22">
        <f t="shared" si="27"/>
        <v>0</v>
      </c>
      <c r="AA23" s="22" cm="1">
        <f t="array" ref="AA23">(Y23+Z23)*eff_invest</f>
        <v>1983.8610772177599</v>
      </c>
      <c r="AB23" s="22">
        <f>AA23*(_xlfn.XLOOKUP(Q_end,cpi!A:A,cpi!B:B)/BH23)</f>
        <v>2917.3241653801811</v>
      </c>
      <c r="AC23" s="22" cm="1">
        <f t="array" ref="AC23">INDEX('msci-indices'!C:C,MATCH($L23,'msci-indices'!$B:$B)-2)</f>
        <v>869.423677</v>
      </c>
      <c r="AD23" s="22" cm="1">
        <f t="array" ref="AD23">INDEX('msci-indices'!D:D,MATCH($L23,'msci-indices'!$B:$B)-2)</f>
        <v>894.74693600000001</v>
      </c>
      <c r="AE23" s="22">
        <f t="shared" si="28"/>
        <v>134607.11660294287</v>
      </c>
      <c r="AF23" s="22" cm="1">
        <f t="array" ref="AF23">INDEX('msci-indices'!C:C,MATCH($L23,'msci-indices'!$B:$B)+1)</f>
        <v>912.83803799999998</v>
      </c>
      <c r="AG23" s="22" cm="1">
        <f t="array" ref="AG23">INDEX('msci-indices'!D:D,MATCH($L23,'msci-indices'!$B:$B)+1)</f>
        <v>924.58628799999997</v>
      </c>
      <c r="AH23" s="22">
        <f t="shared" si="4"/>
        <v>84.129447876839293</v>
      </c>
      <c r="AI23" s="22">
        <f t="shared" si="5"/>
        <v>140574.80149868413</v>
      </c>
      <c r="AJ23" s="22">
        <f t="shared" si="29"/>
        <v>119339.53529234127</v>
      </c>
      <c r="AK23" s="22">
        <f t="shared" si="6"/>
        <v>21235.266206342858</v>
      </c>
      <c r="AL23" s="22">
        <f>AJ23*(_xlfn.XLOOKUP(Q_end,cpi!A:A,cpi!B:B)/BH23)</f>
        <v>175492.18248782295</v>
      </c>
      <c r="AM23" s="22" cm="1">
        <f t="array" ref="AM23">SUMPRODUCT($AA$3:AA23,_xlfn.SORTBY($BH$3:BH23,_xlfn.SEQUENCE(ROWS($BH$3:BH23)),-1)/$BH$3)</f>
        <v>135148.24273769595</v>
      </c>
      <c r="AN23" s="22">
        <f t="shared" si="30"/>
        <v>5426.5587609881768</v>
      </c>
      <c r="AO23" s="22">
        <f t="shared" si="7"/>
        <v>0</v>
      </c>
      <c r="AP23" s="22">
        <f t="shared" si="31"/>
        <v>140574.80149868413</v>
      </c>
      <c r="AQ23" s="22"/>
      <c r="AR23" s="10">
        <f>IF($B$10="3BR_H",
INDEX('ns-combined'!$C:$D,MATCH($L23,'ns-combined'!$B:$B,0),MATCH(Council_Area,'ns-combined'!$C$1:$D$1,0))*1000,
INDEX('s-combined'!$C:$D,MATCH($L23,'s-combined'!$B:$B,0),MATCH(Council_Area,'s-combined'!$C$1:$D$1,0))*1000)</f>
        <v>400000</v>
      </c>
      <c r="AS23" s="22">
        <f t="shared" si="35"/>
        <v>14700</v>
      </c>
      <c r="AT23" s="10">
        <v>0</v>
      </c>
      <c r="AU23" s="22">
        <f t="shared" si="8"/>
        <v>8000</v>
      </c>
      <c r="AV23" s="22">
        <f t="shared" si="9"/>
        <v>1150</v>
      </c>
      <c r="AW23" s="22">
        <f>SUM($AV$3:AV23)</f>
        <v>21321.862499999999</v>
      </c>
      <c r="AX23" s="22">
        <f t="shared" si="32"/>
        <v>355978.13750000001</v>
      </c>
      <c r="AY23" s="22">
        <f t="shared" si="10"/>
        <v>1440.0000000000002</v>
      </c>
      <c r="AZ23" s="24">
        <f t="shared" si="11"/>
        <v>1.4400000000000003E-2</v>
      </c>
      <c r="BA23" s="24">
        <f t="shared" si="12"/>
        <v>0.35000000000000003</v>
      </c>
      <c r="BB23" s="25">
        <f>IF(MortgageRate="Discounted",_xlfn.XLOOKUP(L23,'mortgage-rates'!$A:$A,'mortgage-rates'!$E:$E)/100,_xlfn.XLOOKUP(L23,'mortgage-rates'!$A:$A,'mortgage-rates'!$D:$D)/100)</f>
        <v>7.1099999999999997E-2</v>
      </c>
      <c r="BC23" s="10">
        <f t="shared" si="37"/>
        <v>203832.25283010557</v>
      </c>
      <c r="BD23" s="10">
        <f t="shared" si="13"/>
        <v>4794.1523201835025</v>
      </c>
      <c r="BE23" s="10">
        <f t="shared" si="14"/>
        <v>3623.1182940551262</v>
      </c>
      <c r="BF23" s="10">
        <f t="shared" si="36"/>
        <v>1171.0340261283764</v>
      </c>
      <c r="BG23" s="12">
        <f t="shared" si="15"/>
        <v>6234.1523201835025</v>
      </c>
      <c r="BH23" s="22">
        <f>INDEX(cpi!B:B,MATCH($L23,cpi!A:A))</f>
        <v>98.4</v>
      </c>
      <c r="BI23" s="22">
        <f t="shared" si="16"/>
        <v>116.31205673758866</v>
      </c>
      <c r="BJ23" s="22">
        <f t="shared" si="17"/>
        <v>115.17381902105713</v>
      </c>
      <c r="BK23" s="22">
        <f t="shared" si="18"/>
        <v>125.49815500810108</v>
      </c>
      <c r="BL23" s="22">
        <f t="shared" si="19"/>
        <v>118.2711198171703</v>
      </c>
      <c r="BM23" s="22">
        <f t="shared" si="20"/>
        <v>184.204280329471</v>
      </c>
      <c r="BN23" s="22">
        <f t="shared" si="21"/>
        <v>142.85714285714286</v>
      </c>
      <c r="BO23">
        <f t="shared" si="22"/>
        <v>130.44509335092252</v>
      </c>
    </row>
    <row r="24" spans="1:67" x14ac:dyDescent="0.25">
      <c r="A24" s="6" t="s">
        <v>494</v>
      </c>
      <c r="L24" s="1">
        <f t="shared" si="33"/>
        <v>40695</v>
      </c>
      <c r="M24" s="10">
        <f t="shared" si="0"/>
        <v>140866.54918692456</v>
      </c>
      <c r="N24" s="10">
        <f t="shared" si="23"/>
        <v>146581.29369602283</v>
      </c>
      <c r="O24" s="7">
        <f t="shared" si="24"/>
        <v>0.96101313909161301</v>
      </c>
      <c r="P24" s="7">
        <f t="shared" si="1"/>
        <v>0.69037316857121112</v>
      </c>
      <c r="Q24">
        <v>22</v>
      </c>
      <c r="R24">
        <f t="shared" si="2"/>
        <v>91</v>
      </c>
      <c r="S24" s="22"/>
      <c r="T24" s="22">
        <f>IF($B$10="3BR_H",
INDEX('3BR_H-processed'!$E:$F,MATCH($L24,'3BR_H-processed'!$B:$B,0),MATCH(Council_Area,'3BR_H-processed'!$E$1:$F$1,0)),
INDEX('2BR_F-processed'!$E:$F,MATCH($L24,'2BR_F-processed'!$B:$B,0),MATCH(Council_Area,'2BR_F-processed'!$E$1:$F$1,0)))</f>
        <v>320</v>
      </c>
      <c r="U24" s="22">
        <f t="shared" si="25"/>
        <v>320</v>
      </c>
      <c r="V24" s="22">
        <f t="shared" si="34"/>
        <v>4160</v>
      </c>
      <c r="W24" s="22">
        <f>$B$53/4*BH24/_xlfn.XLOOKUP(Q_end,cpi!A:A,cpi!B:B)</f>
        <v>137.24948168624741</v>
      </c>
      <c r="X24" s="22">
        <f t="shared" si="26"/>
        <v>4297.2494816862472</v>
      </c>
      <c r="Y24" s="22">
        <f t="shared" si="3"/>
        <v>1927.2819417753399</v>
      </c>
      <c r="Z24" s="22">
        <f t="shared" si="27"/>
        <v>0</v>
      </c>
      <c r="AA24" s="22" cm="1">
        <f t="array" ref="AA24">(Y24+Z24)*eff_invest</f>
        <v>1927.2819417753399</v>
      </c>
      <c r="AB24" s="22">
        <f>AA24*(_xlfn.XLOOKUP(Q_end,cpi!A:A,cpi!B:B)/BH24)</f>
        <v>2808.4360219022324</v>
      </c>
      <c r="AC24" s="22" cm="1">
        <f t="array" ref="AC24">INDEX('msci-indices'!C:C,MATCH($L24,'msci-indices'!$B:$B)-2)</f>
        <v>912.83803799999998</v>
      </c>
      <c r="AD24" s="22" cm="1">
        <f t="array" ref="AD24">INDEX('msci-indices'!D:D,MATCH($L24,'msci-indices'!$B:$B)-2)</f>
        <v>924.58628799999997</v>
      </c>
      <c r="AE24" s="22">
        <f t="shared" si="28"/>
        <v>142502.08344045948</v>
      </c>
      <c r="AF24" s="22" cm="1">
        <f t="array" ref="AF24">INDEX('msci-indices'!C:C,MATCH($L24,'msci-indices'!$B:$B)+1)</f>
        <v>915.80493999999999</v>
      </c>
      <c r="AG24" s="22" cm="1">
        <f t="array" ref="AG24">INDEX('msci-indices'!D:D,MATCH($L24,'msci-indices'!$B:$B)+1)</f>
        <v>884.12823400000002</v>
      </c>
      <c r="AH24" s="22">
        <f t="shared" si="4"/>
        <v>89.063802150287174</v>
      </c>
      <c r="AI24" s="22">
        <f t="shared" si="5"/>
        <v>140866.54918692456</v>
      </c>
      <c r="AJ24" s="22">
        <f t="shared" si="29"/>
        <v>121266.81723411661</v>
      </c>
      <c r="AK24" s="22">
        <f t="shared" si="6"/>
        <v>19599.731952807953</v>
      </c>
      <c r="AL24" s="22">
        <f>AJ24*(_xlfn.XLOOKUP(Q_end,cpi!A:A,cpi!B:B)/BH24)</f>
        <v>176710.05492222228</v>
      </c>
      <c r="AM24" s="22" cm="1">
        <f t="array" ref="AM24">SUMPRODUCT($AA$3:AA24,_xlfn.SORTBY($BH$3:BH24,_xlfn.SEQUENCE(ROWS($BH$3:BH24)),-1)/$BH$3)</f>
        <v>138205.63672927089</v>
      </c>
      <c r="AN24" s="22">
        <f t="shared" si="30"/>
        <v>2660.9124576536706</v>
      </c>
      <c r="AO24" s="22">
        <f t="shared" si="7"/>
        <v>0</v>
      </c>
      <c r="AP24" s="22">
        <f t="shared" si="31"/>
        <v>140866.54918692456</v>
      </c>
      <c r="AQ24" s="22"/>
      <c r="AR24" s="10">
        <f>IF($B$10="3BR_H",
INDEX('ns-combined'!$C:$D,MATCH($L24,'ns-combined'!$B:$B,0),MATCH(Council_Area,'ns-combined'!$C$1:$D$1,0))*1000,
INDEX('s-combined'!$C:$D,MATCH($L24,'s-combined'!$B:$B,0),MATCH(Council_Area,'s-combined'!$C$1:$D$1,0))*1000)</f>
        <v>395000</v>
      </c>
      <c r="AS24" s="22">
        <f t="shared" si="35"/>
        <v>15400</v>
      </c>
      <c r="AT24" s="10">
        <v>0</v>
      </c>
      <c r="AU24" s="22">
        <f t="shared" si="8"/>
        <v>7900</v>
      </c>
      <c r="AV24" s="22">
        <f t="shared" si="9"/>
        <v>1135.625</v>
      </c>
      <c r="AW24" s="22">
        <f>SUM($AV$3:AV24)</f>
        <v>22457.487499999999</v>
      </c>
      <c r="AX24" s="22">
        <f t="shared" si="32"/>
        <v>349242.51250000001</v>
      </c>
      <c r="AY24" s="22">
        <f t="shared" si="10"/>
        <v>1456.0000000000002</v>
      </c>
      <c r="AZ24" s="24">
        <f t="shared" si="11"/>
        <v>1.4744303797468357E-2</v>
      </c>
      <c r="BA24" s="24">
        <f t="shared" si="12"/>
        <v>0.35000000000000003</v>
      </c>
      <c r="BB24" s="25">
        <f>IF(MortgageRate="Discounted",_xlfn.XLOOKUP(L24,'mortgage-rates'!$A:$A,'mortgage-rates'!$E:$E)/100,_xlfn.XLOOKUP(L24,'mortgage-rates'!$A:$A,'mortgage-rates'!$D:$D)/100)</f>
        <v>7.0400000000000004E-2</v>
      </c>
      <c r="BC24" s="10">
        <f t="shared" si="37"/>
        <v>202661.21880397719</v>
      </c>
      <c r="BD24" s="10">
        <f t="shared" si="13"/>
        <v>4768.5314234615871</v>
      </c>
      <c r="BE24" s="10">
        <f t="shared" si="14"/>
        <v>3566.8374509499986</v>
      </c>
      <c r="BF24" s="10">
        <f t="shared" si="36"/>
        <v>1201.6939725115885</v>
      </c>
      <c r="BG24" s="12">
        <f>AT24+AY24+BD24</f>
        <v>6224.5314234615871</v>
      </c>
      <c r="BH24" s="22">
        <f>INDEX(cpi!B:B,MATCH($L24,cpi!A:A))</f>
        <v>99.3</v>
      </c>
      <c r="BI24" s="22">
        <f t="shared" si="16"/>
        <v>117.3758865248227</v>
      </c>
      <c r="BJ24" s="22">
        <f t="shared" si="17"/>
        <v>120.92498256652478</v>
      </c>
      <c r="BK24" s="22">
        <f t="shared" si="18"/>
        <v>129.68345419378869</v>
      </c>
      <c r="BL24" s="22">
        <f t="shared" si="19"/>
        <v>123.55252405470395</v>
      </c>
      <c r="BM24" s="22">
        <f t="shared" si="20"/>
        <v>195.00821641570013</v>
      </c>
      <c r="BN24" s="22">
        <f t="shared" si="21"/>
        <v>141.07142857142858</v>
      </c>
      <c r="BO24">
        <f t="shared" si="22"/>
        <v>127.97688213415417</v>
      </c>
    </row>
    <row r="25" spans="1:67" x14ac:dyDescent="0.25">
      <c r="A25" t="s">
        <v>336</v>
      </c>
      <c r="B25" s="4">
        <v>1.4999999999999999E-2</v>
      </c>
      <c r="C25" s="4">
        <v>1.4999999999999999E-2</v>
      </c>
      <c r="L25" s="1">
        <f t="shared" si="33"/>
        <v>40787</v>
      </c>
      <c r="M25" s="10">
        <f t="shared" si="0"/>
        <v>120307.92751883806</v>
      </c>
      <c r="N25" s="10">
        <f t="shared" si="23"/>
        <v>141061.73766853442</v>
      </c>
      <c r="O25" s="7">
        <f t="shared" si="24"/>
        <v>0.85287427694628659</v>
      </c>
      <c r="P25" s="7">
        <f t="shared" si="1"/>
        <v>0.69642123825365243</v>
      </c>
      <c r="Q25">
        <v>23</v>
      </c>
      <c r="R25">
        <f t="shared" si="2"/>
        <v>92</v>
      </c>
      <c r="S25" s="22"/>
      <c r="T25" s="22">
        <f>IF($B$10="3BR_H",
INDEX('3BR_H-processed'!$E:$F,MATCH($L25,'3BR_H-processed'!$B:$B,0),MATCH(Council_Area,'3BR_H-processed'!$E$1:$F$1,0)),
INDEX('2BR_F-processed'!$E:$F,MATCH($L25,'2BR_F-processed'!$B:$B,0),MATCH(Council_Area,'2BR_F-processed'!$E$1:$F$1,0)))</f>
        <v>320</v>
      </c>
      <c r="U25" s="22">
        <f t="shared" si="25"/>
        <v>320</v>
      </c>
      <c r="V25" s="22">
        <f t="shared" si="34"/>
        <v>4205.7142857142853</v>
      </c>
      <c r="W25" s="22">
        <f>$B$53/4*BH25/_xlfn.XLOOKUP(Q_end,cpi!A:A,cpi!B:B)</f>
        <v>137.80234968901175</v>
      </c>
      <c r="X25" s="22">
        <f t="shared" si="26"/>
        <v>4343.5166354032972</v>
      </c>
      <c r="Y25" s="22">
        <f t="shared" si="3"/>
        <v>1893.3934368614573</v>
      </c>
      <c r="Z25" s="22">
        <f t="shared" si="27"/>
        <v>0</v>
      </c>
      <c r="AA25" s="22" cm="1">
        <f t="array" ref="AA25">(Y25+Z25)*eff_invest</f>
        <v>1893.3934368614573</v>
      </c>
      <c r="AB25" s="22">
        <f>AA25*(_xlfn.XLOOKUP(Q_end,cpi!A:A,cpi!B:B)/BH25)</f>
        <v>2747.9842559062472</v>
      </c>
      <c r="AC25" s="22" cm="1">
        <f t="array" ref="AC25">INDEX('msci-indices'!C:C,MATCH($L25,'msci-indices'!$B:$B)-2)</f>
        <v>915.80493999999999</v>
      </c>
      <c r="AD25" s="22" cm="1">
        <f t="array" ref="AD25">INDEX('msci-indices'!D:D,MATCH($L25,'msci-indices'!$B:$B)-2)</f>
        <v>884.12823400000002</v>
      </c>
      <c r="AE25" s="22">
        <f t="shared" si="28"/>
        <v>142759.94262378602</v>
      </c>
      <c r="AF25" s="22" cm="1">
        <f t="array" ref="AF25">INDEX('msci-indices'!C:C,MATCH($L25,'msci-indices'!$B:$B)+1)</f>
        <v>758.748516</v>
      </c>
      <c r="AG25" s="22" cm="1">
        <f t="array" ref="AG25">INDEX('msci-indices'!D:D,MATCH($L25,'msci-indices'!$B:$B)+1)</f>
        <v>776.26675599999999</v>
      </c>
      <c r="AH25" s="22">
        <f t="shared" si="4"/>
        <v>89.224964139866259</v>
      </c>
      <c r="AI25" s="22">
        <f t="shared" si="5"/>
        <v>120307.92751883806</v>
      </c>
      <c r="AJ25" s="22">
        <f t="shared" si="29"/>
        <v>123160.21067097806</v>
      </c>
      <c r="AK25" s="22">
        <f t="shared" si="6"/>
        <v>-2852.2831521400076</v>
      </c>
      <c r="AL25" s="22">
        <f>AJ25*(_xlfn.XLOOKUP(Q_end,cpi!A:A,cpi!B:B)/BH25)</f>
        <v>178749.07205707647</v>
      </c>
      <c r="AM25" s="22" cm="1">
        <f t="array" ref="AM25">SUMPRODUCT($AA$3:AA25,_xlfn.SORTBY($BH$3:BH25,_xlfn.SEQUENCE(ROWS($BH$3:BH25)),-1)/$BH$3)</f>
        <v>140828.05535366872</v>
      </c>
      <c r="AN25" s="22">
        <f t="shared" si="30"/>
        <v>-20520.127834830666</v>
      </c>
      <c r="AO25" s="22">
        <f t="shared" si="7"/>
        <v>0</v>
      </c>
      <c r="AP25" s="22">
        <f t="shared" si="31"/>
        <v>120307.92751883806</v>
      </c>
      <c r="AQ25" s="22"/>
      <c r="AR25" s="10">
        <f>IF($B$10="3BR_H",
INDEX('ns-combined'!$C:$D,MATCH($L25,'ns-combined'!$B:$B,0),MATCH(Council_Area,'ns-combined'!$C$1:$D$1,0))*1000,
INDEX('s-combined'!$C:$D,MATCH($L25,'s-combined'!$B:$B,0),MATCH(Council_Area,'s-combined'!$C$1:$D$1,0))*1000)</f>
        <v>390000</v>
      </c>
      <c r="AS25" s="22">
        <f t="shared" si="35"/>
        <v>16100</v>
      </c>
      <c r="AT25" s="10">
        <v>0</v>
      </c>
      <c r="AU25" s="22">
        <f t="shared" si="8"/>
        <v>7800</v>
      </c>
      <c r="AV25" s="22">
        <f t="shared" si="9"/>
        <v>1121.25</v>
      </c>
      <c r="AW25" s="22">
        <f>SUM($AV$3:AV25)</f>
        <v>23578.737499999999</v>
      </c>
      <c r="AX25" s="22">
        <f t="shared" si="32"/>
        <v>342521.26250000001</v>
      </c>
      <c r="AY25" s="22">
        <f t="shared" si="10"/>
        <v>1472</v>
      </c>
      <c r="AZ25" s="24">
        <f t="shared" si="11"/>
        <v>1.5097435897435897E-2</v>
      </c>
      <c r="BA25" s="24">
        <f t="shared" si="12"/>
        <v>0.35000000000000003</v>
      </c>
      <c r="BB25" s="25">
        <f>IF(MortgageRate="Discounted",_xlfn.XLOOKUP(L25,'mortgage-rates'!$A:$A,'mortgage-rates'!$E:$E)/100,_xlfn.XLOOKUP(L25,'mortgage-rates'!$A:$A,'mortgage-rates'!$D:$D)/100)</f>
        <v>7.0300000000000001E-2</v>
      </c>
      <c r="BC25" s="10">
        <f t="shared" si="37"/>
        <v>201459.52483146559</v>
      </c>
      <c r="BD25" s="10">
        <f t="shared" si="13"/>
        <v>4764.9100722647545</v>
      </c>
      <c r="BE25" s="10">
        <f t="shared" si="14"/>
        <v>3540.651148913008</v>
      </c>
      <c r="BF25" s="10">
        <f t="shared" si="36"/>
        <v>1224.2589233517465</v>
      </c>
      <c r="BG25" s="12">
        <f t="shared" si="15"/>
        <v>6236.9100722647545</v>
      </c>
      <c r="BH25" s="22">
        <f>INDEX(cpi!B:B,MATCH($L25,cpi!A:A))</f>
        <v>99.7</v>
      </c>
      <c r="BI25" s="22">
        <f t="shared" si="16"/>
        <v>117.84869976359339</v>
      </c>
      <c r="BJ25" s="22">
        <f t="shared" si="17"/>
        <v>121.31801238966038</v>
      </c>
      <c r="BK25" s="22">
        <f t="shared" si="18"/>
        <v>124.0087645939373</v>
      </c>
      <c r="BL25" s="22">
        <f t="shared" si="19"/>
        <v>122.12523805094347</v>
      </c>
      <c r="BM25" s="22">
        <f t="shared" si="20"/>
        <v>195.36108605951785</v>
      </c>
      <c r="BN25" s="22">
        <f t="shared" si="21"/>
        <v>139.28571428571428</v>
      </c>
      <c r="BO25">
        <f t="shared" si="22"/>
        <v>125.51393851114898</v>
      </c>
    </row>
    <row r="26" spans="1:67" x14ac:dyDescent="0.25">
      <c r="A26" t="s">
        <v>337</v>
      </c>
      <c r="B26" s="4">
        <f>IF(AR3&lt;250000,6830+(4.25/100)*(AR3-200000),8955+(4.75/100)*(AR3-250000))/AR3</f>
        <v>3.7071428571428575E-2</v>
      </c>
      <c r="C26" s="4">
        <v>0.03</v>
      </c>
      <c r="L26" s="1">
        <f t="shared" si="33"/>
        <v>40878</v>
      </c>
      <c r="M26" s="10">
        <f t="shared" si="0"/>
        <v>129176.75566703877</v>
      </c>
      <c r="N26" s="10">
        <f t="shared" si="23"/>
        <v>135579.12159188616</v>
      </c>
      <c r="O26" s="7">
        <f t="shared" si="24"/>
        <v>0.95277764120555752</v>
      </c>
      <c r="P26" s="7">
        <f t="shared" si="1"/>
        <v>0.71647427491164639</v>
      </c>
      <c r="Q26">
        <v>24</v>
      </c>
      <c r="R26">
        <f t="shared" si="2"/>
        <v>92</v>
      </c>
      <c r="S26" s="22"/>
      <c r="T26" s="22">
        <f>IF($B$10="3BR_H",
INDEX('3BR_H-processed'!$E:$F,MATCH($L26,'3BR_H-processed'!$B:$B,0),MATCH(Council_Area,'3BR_H-processed'!$E$1:$F$1,0)),
INDEX('2BR_F-processed'!$E:$F,MATCH($L26,'2BR_F-processed'!$B:$B,0),MATCH(Council_Area,'2BR_F-processed'!$E$1:$F$1,0)))</f>
        <v>320</v>
      </c>
      <c r="U26" s="22">
        <f t="shared" si="25"/>
        <v>320</v>
      </c>
      <c r="V26" s="22">
        <f t="shared" si="34"/>
        <v>4205.7142857142853</v>
      </c>
      <c r="W26" s="22">
        <f>$B$53/4*BH26/_xlfn.XLOOKUP(Q_end,cpi!A:A,cpi!B:B)</f>
        <v>138.07878369039392</v>
      </c>
      <c r="X26" s="22">
        <f t="shared" si="26"/>
        <v>4343.793069404679</v>
      </c>
      <c r="Y26" s="22">
        <f t="shared" si="3"/>
        <v>1718.9411019517784</v>
      </c>
      <c r="Z26" s="22">
        <f t="shared" si="27"/>
        <v>0</v>
      </c>
      <c r="AA26" s="22" cm="1">
        <f t="array" ref="AA26">(Y26+Z26)*eff_invest</f>
        <v>1718.9411019517784</v>
      </c>
      <c r="AB26" s="22">
        <f>AA26*(_xlfn.XLOOKUP(Q_end,cpi!A:A,cpi!B:B)/BH26)</f>
        <v>2489.7975720963195</v>
      </c>
      <c r="AC26" s="22" cm="1">
        <f t="array" ref="AC26">INDEX('msci-indices'!C:C,MATCH($L26,'msci-indices'!$B:$B)-2)</f>
        <v>758.748516</v>
      </c>
      <c r="AD26" s="22" cm="1">
        <f t="array" ref="AD26">INDEX('msci-indices'!D:D,MATCH($L26,'msci-indices'!$B:$B)-2)</f>
        <v>776.26675599999999</v>
      </c>
      <c r="AE26" s="22">
        <f t="shared" si="28"/>
        <v>122026.86862078983</v>
      </c>
      <c r="AF26" s="22" cm="1">
        <f t="array" ref="AF26">INDEX('msci-indices'!C:C,MATCH($L26,'msci-indices'!$B:$B)+1)</f>
        <v>816.97540400000003</v>
      </c>
      <c r="AG26" s="22" cm="1">
        <f t="array" ref="AG26">INDEX('msci-indices'!D:D,MATCH($L26,'msci-indices'!$B:$B)+1)</f>
        <v>790.49635000000001</v>
      </c>
      <c r="AH26" s="22">
        <f t="shared" si="4"/>
        <v>76.266792887993645</v>
      </c>
      <c r="AI26" s="22">
        <f t="shared" si="5"/>
        <v>129176.75566703877</v>
      </c>
      <c r="AJ26" s="22">
        <f t="shared" si="29"/>
        <v>124879.15177292984</v>
      </c>
      <c r="AK26" s="22">
        <f t="shared" si="6"/>
        <v>4297.6038941089355</v>
      </c>
      <c r="AL26" s="22">
        <f>AJ26*(_xlfn.XLOOKUP(Q_end,cpi!A:A,cpi!B:B)/BH26)</f>
        <v>180881.01362905852</v>
      </c>
      <c r="AM26" s="22" cm="1">
        <f t="array" ref="AM26">SUMPRODUCT($AA$3:AA26,_xlfn.SORTBY($BH$3:BH26,_xlfn.SEQUENCE(ROWS($BH$3:BH26)),-1)/$BH$3)</f>
        <v>143124.66166367737</v>
      </c>
      <c r="AN26" s="22">
        <f t="shared" si="30"/>
        <v>-13947.905996638598</v>
      </c>
      <c r="AO26" s="22">
        <f t="shared" si="7"/>
        <v>0</v>
      </c>
      <c r="AP26" s="22">
        <f t="shared" si="31"/>
        <v>129176.75566703877</v>
      </c>
      <c r="AQ26" s="22"/>
      <c r="AR26" s="10">
        <f>IF($B$10="3BR_H",
INDEX('ns-combined'!$C:$D,MATCH($L26,'ns-combined'!$B:$B,0),MATCH(Council_Area,'ns-combined'!$C$1:$D$1,0))*1000,
INDEX('s-combined'!$C:$D,MATCH($L26,'s-combined'!$B:$B,0),MATCH(Council_Area,'s-combined'!$C$1:$D$1,0))*1000)</f>
        <v>385000</v>
      </c>
      <c r="AS26" s="22">
        <f t="shared" si="35"/>
        <v>16800</v>
      </c>
      <c r="AT26" s="10">
        <v>0</v>
      </c>
      <c r="AU26" s="22">
        <f t="shared" si="8"/>
        <v>7700</v>
      </c>
      <c r="AV26" s="22">
        <f t="shared" si="9"/>
        <v>1106.875</v>
      </c>
      <c r="AW26" s="22">
        <f>SUM($AV$3:AV26)</f>
        <v>24685.612499999999</v>
      </c>
      <c r="AX26" s="22">
        <f t="shared" si="32"/>
        <v>335814.38750000001</v>
      </c>
      <c r="AY26" s="22">
        <f t="shared" si="10"/>
        <v>1472</v>
      </c>
      <c r="AZ26" s="24">
        <f t="shared" si="11"/>
        <v>1.5293506493506493E-2</v>
      </c>
      <c r="BA26" s="24">
        <f t="shared" si="12"/>
        <v>0.35000000000000003</v>
      </c>
      <c r="BB26" s="25">
        <f>IF(MortgageRate="Discounted",_xlfn.XLOOKUP(L26,'mortgage-rates'!$A:$A,'mortgage-rates'!$E:$E)/100,_xlfn.XLOOKUP(L26,'mortgage-rates'!$A:$A,'mortgage-rates'!$D:$D)/100)</f>
        <v>6.54E-2</v>
      </c>
      <c r="BC26" s="10">
        <f t="shared" si="37"/>
        <v>200235.26590811386</v>
      </c>
      <c r="BD26" s="10">
        <f t="shared" si="13"/>
        <v>4590.7341713564574</v>
      </c>
      <c r="BE26" s="10">
        <f t="shared" si="14"/>
        <v>3273.8465975976615</v>
      </c>
      <c r="BF26" s="10">
        <f t="shared" si="36"/>
        <v>1316.887573758796</v>
      </c>
      <c r="BG26" s="12">
        <f t="shared" si="15"/>
        <v>6062.7341713564574</v>
      </c>
      <c r="BH26" s="22">
        <f>INDEX(cpi!B:B,MATCH($L26,cpi!A:A))</f>
        <v>99.9</v>
      </c>
      <c r="BI26" s="22">
        <f t="shared" si="16"/>
        <v>118.08510638297874</v>
      </c>
      <c r="BJ26" s="22">
        <f t="shared" si="17"/>
        <v>100.5125194724593</v>
      </c>
      <c r="BK26" s="22">
        <f t="shared" si="18"/>
        <v>108.87999919579919</v>
      </c>
      <c r="BL26" s="22">
        <f t="shared" si="19"/>
        <v>103.02276338946128</v>
      </c>
      <c r="BM26" s="22">
        <f t="shared" si="20"/>
        <v>166.98873048039181</v>
      </c>
      <c r="BN26" s="22">
        <f t="shared" si="21"/>
        <v>137.5</v>
      </c>
      <c r="BO26">
        <f t="shared" si="22"/>
        <v>123.05626248190696</v>
      </c>
    </row>
    <row r="27" spans="1:67" x14ac:dyDescent="0.25">
      <c r="A27" s="6" t="s">
        <v>495</v>
      </c>
      <c r="L27" s="1">
        <f t="shared" si="33"/>
        <v>40969</v>
      </c>
      <c r="M27" s="10">
        <f t="shared" si="0"/>
        <v>145034.2097218089</v>
      </c>
      <c r="N27" s="10">
        <f t="shared" si="23"/>
        <v>132157.75916564497</v>
      </c>
      <c r="O27" s="7">
        <f t="shared" si="24"/>
        <v>1.0974324219588556</v>
      </c>
      <c r="P27" s="7">
        <f t="shared" si="1"/>
        <v>0.71981198695188431</v>
      </c>
      <c r="Q27">
        <v>25</v>
      </c>
      <c r="R27">
        <f t="shared" si="2"/>
        <v>91</v>
      </c>
      <c r="S27" s="22"/>
      <c r="T27" s="22">
        <f>IF($B$10="3BR_H",
INDEX('3BR_H-processed'!$E:$F,MATCH($L27,'3BR_H-processed'!$B:$B,0),MATCH(Council_Area,'3BR_H-processed'!$E$1:$F$1,0)),
INDEX('2BR_F-processed'!$E:$F,MATCH($L27,'2BR_F-processed'!$B:$B,0),MATCH(Council_Area,'2BR_F-processed'!$E$1:$F$1,0)))</f>
        <v>330</v>
      </c>
      <c r="U27" s="22">
        <f t="shared" si="25"/>
        <v>330</v>
      </c>
      <c r="V27" s="22">
        <f t="shared" si="34"/>
        <v>4290</v>
      </c>
      <c r="W27" s="22">
        <f>$B$53/4*BH27/_xlfn.XLOOKUP(Q_end,cpi!A:A,cpi!B:B)</f>
        <v>138.07878369039392</v>
      </c>
      <c r="X27" s="22">
        <f t="shared" si="26"/>
        <v>4428.0787836903937</v>
      </c>
      <c r="Y27" s="22">
        <f t="shared" si="3"/>
        <v>1723.6370309371669</v>
      </c>
      <c r="Z27" s="22">
        <f t="shared" si="27"/>
        <v>0</v>
      </c>
      <c r="AA27" s="22" cm="1">
        <f t="array" ref="AA27">(Y27+Z27)*eff_invest</f>
        <v>1723.6370309371669</v>
      </c>
      <c r="AB27" s="22">
        <f>AA27*(_xlfn.XLOOKUP(Q_end,cpi!A:A,cpi!B:B)/BH27)</f>
        <v>2496.5993831492297</v>
      </c>
      <c r="AC27" s="22" cm="1">
        <f t="array" ref="AC27">INDEX('msci-indices'!C:C,MATCH($L27,'msci-indices'!$B:$B)-2)</f>
        <v>816.97540400000003</v>
      </c>
      <c r="AD27" s="22" cm="1">
        <f t="array" ref="AD27">INDEX('msci-indices'!D:D,MATCH($L27,'msci-indices'!$B:$B)-2)</f>
        <v>790.49635000000001</v>
      </c>
      <c r="AE27" s="22">
        <f t="shared" si="28"/>
        <v>130900.39269797594</v>
      </c>
      <c r="AF27" s="22" cm="1">
        <f t="array" ref="AF27">INDEX('msci-indices'!C:C,MATCH($L27,'msci-indices'!$B:$B)+1)</f>
        <v>913.58723299999997</v>
      </c>
      <c r="AG27" s="22" cm="1">
        <f t="array" ref="AG27">INDEX('msci-indices'!D:D,MATCH($L27,'msci-indices'!$B:$B)+1)</f>
        <v>858.531702</v>
      </c>
      <c r="AH27" s="22">
        <f t="shared" si="4"/>
        <v>81.812745436234962</v>
      </c>
      <c r="AI27" s="22">
        <f t="shared" si="5"/>
        <v>145034.2097218089</v>
      </c>
      <c r="AJ27" s="22">
        <f t="shared" si="29"/>
        <v>126602.78880386701</v>
      </c>
      <c r="AK27" s="22">
        <f t="shared" si="6"/>
        <v>18431.420917941898</v>
      </c>
      <c r="AL27" s="22">
        <f>AJ27*(_xlfn.XLOOKUP(Q_end,cpi!A:A,cpi!B:B)/BH27)</f>
        <v>183377.61301220776</v>
      </c>
      <c r="AM27" s="22" cm="1">
        <f t="array" ref="AM27">SUMPRODUCT($AA$3:AA27,_xlfn.SORTBY($BH$3:BH27,_xlfn.SEQUENCE(ROWS($BH$3:BH27)),-1)/$BH$3)</f>
        <v>145261.17797228962</v>
      </c>
      <c r="AN27" s="22">
        <f t="shared" si="30"/>
        <v>-226.96825048071332</v>
      </c>
      <c r="AO27" s="22">
        <f t="shared" si="7"/>
        <v>0</v>
      </c>
      <c r="AP27" s="22">
        <f t="shared" si="31"/>
        <v>145034.2097218089</v>
      </c>
      <c r="AQ27" s="22"/>
      <c r="AR27" s="10">
        <f>IF($B$10="3BR_H",
INDEX('ns-combined'!$C:$D,MATCH($L27,'ns-combined'!$B:$B,0),MATCH(Council_Area,'ns-combined'!$C$1:$D$1,0))*1000,
INDEX('s-combined'!$C:$D,MATCH($L27,'s-combined'!$B:$B,0),MATCH(Council_Area,'s-combined'!$C$1:$D$1,0))*1000)</f>
        <v>382000</v>
      </c>
      <c r="AS27" s="22">
        <f t="shared" si="35"/>
        <v>17500</v>
      </c>
      <c r="AT27" s="10">
        <v>0</v>
      </c>
      <c r="AU27" s="22">
        <f t="shared" si="8"/>
        <v>7640</v>
      </c>
      <c r="AV27" s="22">
        <f t="shared" si="9"/>
        <v>1098.25</v>
      </c>
      <c r="AW27" s="22">
        <f>SUM($AV$3:AV27)</f>
        <v>25783.862499999999</v>
      </c>
      <c r="AX27" s="22">
        <f t="shared" si="32"/>
        <v>331076.13750000001</v>
      </c>
      <c r="AY27" s="22">
        <f t="shared" si="10"/>
        <v>1501.5000000000002</v>
      </c>
      <c r="AZ27" s="24">
        <f t="shared" si="11"/>
        <v>1.5722513089005238E-2</v>
      </c>
      <c r="BA27" s="24">
        <f t="shared" si="12"/>
        <v>0.35000000000000003</v>
      </c>
      <c r="BB27" s="25">
        <f>IF(MortgageRate="Discounted",_xlfn.XLOOKUP(L27,'mortgage-rates'!$A:$A,'mortgage-rates'!$E:$E)/100,_xlfn.XLOOKUP(L27,'mortgage-rates'!$A:$A,'mortgage-rates'!$D:$D)/100)</f>
        <v>6.7099999999999993E-2</v>
      </c>
      <c r="BC27" s="10">
        <f t="shared" si="37"/>
        <v>198918.37833435505</v>
      </c>
      <c r="BD27" s="10">
        <f t="shared" si="13"/>
        <v>4650.2158146275606</v>
      </c>
      <c r="BE27" s="10">
        <f t="shared" si="14"/>
        <v>3336.8557965588057</v>
      </c>
      <c r="BF27" s="10">
        <f t="shared" si="36"/>
        <v>1313.3600180687549</v>
      </c>
      <c r="BG27" s="12">
        <f t="shared" si="15"/>
        <v>6151.7158146275606</v>
      </c>
      <c r="BH27" s="22">
        <f>INDEX(cpi!B:B,MATCH($L27,cpi!A:A))</f>
        <v>99.9</v>
      </c>
      <c r="BI27" s="22">
        <f t="shared" si="16"/>
        <v>118.08510638297874</v>
      </c>
      <c r="BJ27" s="22">
        <f t="shared" si="17"/>
        <v>108.22592001362189</v>
      </c>
      <c r="BK27" s="22">
        <f t="shared" si="18"/>
        <v>110.87585715480799</v>
      </c>
      <c r="BL27" s="22">
        <f t="shared" si="19"/>
        <v>109.02090115597773</v>
      </c>
      <c r="BM27" s="22">
        <f t="shared" si="20"/>
        <v>179.131781738564</v>
      </c>
      <c r="BN27" s="22">
        <f t="shared" si="21"/>
        <v>136.42857142857142</v>
      </c>
      <c r="BO27">
        <f t="shared" si="22"/>
        <v>121.31997196724015</v>
      </c>
    </row>
    <row r="28" spans="1:67" x14ac:dyDescent="0.25">
      <c r="A28" t="s">
        <v>338</v>
      </c>
      <c r="B28" s="4">
        <v>1.4999999999999999E-2</v>
      </c>
      <c r="C28" s="4">
        <v>1.4999999999999999E-2</v>
      </c>
      <c r="L28" s="1">
        <f t="shared" si="33"/>
        <v>41061</v>
      </c>
      <c r="M28" s="10">
        <f t="shared" si="0"/>
        <v>138773.55575185781</v>
      </c>
      <c r="N28" s="10">
        <f t="shared" si="23"/>
        <v>134604.24418371372</v>
      </c>
      <c r="O28" s="7">
        <f t="shared" si="24"/>
        <v>1.0309745921715041</v>
      </c>
      <c r="P28" s="7">
        <f t="shared" si="1"/>
        <v>0.74406434604918137</v>
      </c>
      <c r="Q28">
        <v>26</v>
      </c>
      <c r="R28">
        <f t="shared" si="2"/>
        <v>91</v>
      </c>
      <c r="S28" s="22"/>
      <c r="T28" s="22">
        <f>IF($B$10="3BR_H",
INDEX('3BR_H-processed'!$E:$F,MATCH($L28,'3BR_H-processed'!$B:$B,0),MATCH(Council_Area,'3BR_H-processed'!$E$1:$F$1,0)),
INDEX('2BR_F-processed'!$E:$F,MATCH($L28,'2BR_F-processed'!$B:$B,0),MATCH(Council_Area,'2BR_F-processed'!$E$1:$F$1,0)))</f>
        <v>320</v>
      </c>
      <c r="U28" s="22">
        <f t="shared" si="25"/>
        <v>330</v>
      </c>
      <c r="V28" s="22">
        <f t="shared" si="34"/>
        <v>4290</v>
      </c>
      <c r="W28" s="22">
        <f>$B$53/4*BH28/_xlfn.XLOOKUP(Q_end,cpi!A:A,cpi!B:B)</f>
        <v>138.90808569454043</v>
      </c>
      <c r="X28" s="22">
        <f t="shared" si="26"/>
        <v>4428.9080856945402</v>
      </c>
      <c r="Y28" s="22">
        <f t="shared" si="3"/>
        <v>1523.4105668669908</v>
      </c>
      <c r="Z28" s="22">
        <f t="shared" si="27"/>
        <v>0</v>
      </c>
      <c r="AA28" s="22" cm="1">
        <f t="array" ref="AA28">(Y28+Z28)*eff_invest</f>
        <v>1523.4105668669908</v>
      </c>
      <c r="AB28" s="22">
        <f>AA28*(_xlfn.XLOOKUP(Q_end,cpi!A:A,cpi!B:B)/BH28)</f>
        <v>2193.4080500065033</v>
      </c>
      <c r="AC28" s="22" cm="1">
        <f t="array" ref="AC28">INDEX('msci-indices'!C:C,MATCH($L28,'msci-indices'!$B:$B)-2)</f>
        <v>913.58723299999997</v>
      </c>
      <c r="AD28" s="22" cm="1">
        <f t="array" ref="AD28">INDEX('msci-indices'!D:D,MATCH($L28,'msci-indices'!$B:$B)-2)</f>
        <v>858.531702</v>
      </c>
      <c r="AE28" s="22">
        <f t="shared" si="28"/>
        <v>146557.62028867588</v>
      </c>
      <c r="AF28" s="22" cm="1">
        <f t="array" ref="AF28">INDEX('msci-indices'!C:C,MATCH($L28,'msci-indices'!$B:$B)+1)</f>
        <v>865.80589099999997</v>
      </c>
      <c r="AG28" s="22" cm="1">
        <f t="array" ref="AG28">INDEX('msci-indices'!D:D,MATCH($L28,'msci-indices'!$B:$B)+1)</f>
        <v>813.09506399999998</v>
      </c>
      <c r="AH28" s="22">
        <f t="shared" si="4"/>
        <v>91.598512680422431</v>
      </c>
      <c r="AI28" s="22">
        <f t="shared" si="5"/>
        <v>138773.55575185781</v>
      </c>
      <c r="AJ28" s="22">
        <f t="shared" si="29"/>
        <v>128126.199370734</v>
      </c>
      <c r="AK28" s="22">
        <f t="shared" si="6"/>
        <v>10647.356381123813</v>
      </c>
      <c r="AL28" s="22">
        <f>AJ28*(_xlfn.XLOOKUP(Q_end,cpi!A:A,cpi!B:B)/BH28)</f>
        <v>184476.2293427384</v>
      </c>
      <c r="AM28" s="22" cm="1">
        <f t="array" ref="AM28">SUMPRODUCT($AA$3:AA28,_xlfn.SORTBY($BH$3:BH28,_xlfn.SEQUENCE(ROWS($BH$3:BH28)),-1)/$BH$3)</f>
        <v>147710.24273683521</v>
      </c>
      <c r="AN28" s="22">
        <f t="shared" si="30"/>
        <v>-8936.6869849773939</v>
      </c>
      <c r="AO28" s="22">
        <f t="shared" si="7"/>
        <v>0</v>
      </c>
      <c r="AP28" s="22">
        <f t="shared" si="31"/>
        <v>138773.55575185781</v>
      </c>
      <c r="AQ28" s="22"/>
      <c r="AR28" s="10">
        <f>IF($B$10="3BR_H",
INDEX('ns-combined'!$C:$D,MATCH($L28,'ns-combined'!$B:$B,0),MATCH(Council_Area,'ns-combined'!$C$1:$D$1,0))*1000,
INDEX('s-combined'!$C:$D,MATCH($L28,'s-combined'!$B:$B,0),MATCH(Council_Area,'s-combined'!$C$1:$D$1,0))*1000)</f>
        <v>385000</v>
      </c>
      <c r="AS28" s="22">
        <f t="shared" si="35"/>
        <v>18200</v>
      </c>
      <c r="AT28" s="10">
        <v>0</v>
      </c>
      <c r="AU28" s="22">
        <f t="shared" si="8"/>
        <v>7700</v>
      </c>
      <c r="AV28" s="22">
        <f t="shared" si="9"/>
        <v>1106.875</v>
      </c>
      <c r="AW28" s="22">
        <f>SUM($AV$3:AV28)</f>
        <v>26890.737499999999</v>
      </c>
      <c r="AX28" s="22">
        <f t="shared" si="32"/>
        <v>332209.26250000001</v>
      </c>
      <c r="AY28" s="22">
        <f t="shared" si="10"/>
        <v>1501.5000000000002</v>
      </c>
      <c r="AZ28" s="24">
        <f t="shared" si="11"/>
        <v>1.5600000000000003E-2</v>
      </c>
      <c r="BA28" s="24">
        <f t="shared" si="12"/>
        <v>0.35000000000000003</v>
      </c>
      <c r="BB28" s="25">
        <f>IF(MortgageRate="Discounted",_xlfn.XLOOKUP(L28,'mortgage-rates'!$A:$A,'mortgage-rates'!$E:$E)/100,_xlfn.XLOOKUP(L28,'mortgage-rates'!$A:$A,'mortgage-rates'!$D:$D)/100)</f>
        <v>6.13E-2</v>
      </c>
      <c r="BC28" s="10">
        <f t="shared" si="37"/>
        <v>197605.0183162863</v>
      </c>
      <c r="BD28" s="10">
        <f t="shared" si="13"/>
        <v>4450.8186525615311</v>
      </c>
      <c r="BE28" s="10">
        <f t="shared" si="14"/>
        <v>3028.2969056970874</v>
      </c>
      <c r="BF28" s="10">
        <f t="shared" si="36"/>
        <v>1422.5217468644437</v>
      </c>
      <c r="BG28" s="12">
        <f t="shared" si="15"/>
        <v>5952.3186525615311</v>
      </c>
      <c r="BH28" s="22">
        <f>INDEX(cpi!B:B,MATCH($L28,cpi!A:A))</f>
        <v>100.5</v>
      </c>
      <c r="BI28" s="22">
        <f t="shared" si="16"/>
        <v>118.79432624113475</v>
      </c>
      <c r="BJ28" s="22">
        <f t="shared" si="17"/>
        <v>121.02422951783765</v>
      </c>
      <c r="BK28" s="22">
        <f t="shared" si="18"/>
        <v>120.41856784515979</v>
      </c>
      <c r="BL28" s="22">
        <f t="shared" si="19"/>
        <v>120.8425310160343</v>
      </c>
      <c r="BM28" s="22">
        <f t="shared" si="20"/>
        <v>200.55805111484872</v>
      </c>
      <c r="BN28" s="22">
        <f t="shared" si="21"/>
        <v>137.5</v>
      </c>
      <c r="BO28">
        <f t="shared" si="22"/>
        <v>121.73519577126734</v>
      </c>
    </row>
    <row r="29" spans="1:67" x14ac:dyDescent="0.25">
      <c r="A29" t="s">
        <v>345</v>
      </c>
      <c r="B29" s="4">
        <v>5.0000000000000001E-3</v>
      </c>
      <c r="C29" s="4">
        <v>5.0000000000000001E-3</v>
      </c>
      <c r="L29" s="1">
        <f t="shared" si="33"/>
        <v>41153</v>
      </c>
      <c r="M29" s="10">
        <f t="shared" si="0"/>
        <v>150382.27657834781</v>
      </c>
      <c r="N29" s="10">
        <f t="shared" si="23"/>
        <v>135197.01593057817</v>
      </c>
      <c r="O29" s="7">
        <f t="shared" si="24"/>
        <v>1.1123194956874423</v>
      </c>
      <c r="P29" s="7">
        <f t="shared" si="1"/>
        <v>0.75227874204313627</v>
      </c>
      <c r="Q29">
        <v>27</v>
      </c>
      <c r="R29">
        <f t="shared" si="2"/>
        <v>92</v>
      </c>
      <c r="S29" s="22"/>
      <c r="T29" s="22">
        <f>IF($B$10="3BR_H",
INDEX('3BR_H-processed'!$E:$F,MATCH($L29,'3BR_H-processed'!$B:$B,0),MATCH(Council_Area,'3BR_H-processed'!$E$1:$F$1,0)),
INDEX('2BR_F-processed'!$E:$F,MATCH($L29,'2BR_F-processed'!$B:$B,0),MATCH(Council_Area,'2BR_F-processed'!$E$1:$F$1,0)))</f>
        <v>320</v>
      </c>
      <c r="U29" s="22">
        <f t="shared" si="25"/>
        <v>330</v>
      </c>
      <c r="V29" s="22">
        <f t="shared" si="34"/>
        <v>4337.1428571428569</v>
      </c>
      <c r="W29" s="22">
        <f>$B$53/4*BH29/_xlfn.XLOOKUP(Q_end,cpi!A:A,cpi!B:B)</f>
        <v>140.42847270214239</v>
      </c>
      <c r="X29" s="22">
        <f t="shared" si="26"/>
        <v>4477.5713298449991</v>
      </c>
      <c r="Y29" s="22">
        <f t="shared" si="3"/>
        <v>1474.4396464112615</v>
      </c>
      <c r="Z29" s="22">
        <f t="shared" si="27"/>
        <v>0</v>
      </c>
      <c r="AA29" s="22" cm="1">
        <f t="array" ref="AA29">(Y29+Z29)*eff_invest</f>
        <v>1474.4396464112615</v>
      </c>
      <c r="AB29" s="22">
        <f>AA29*(_xlfn.XLOOKUP(Q_end,cpi!A:A,cpi!B:B)/BH29)</f>
        <v>2099.9155200365112</v>
      </c>
      <c r="AC29" s="22" cm="1">
        <f t="array" ref="AC29">INDEX('msci-indices'!C:C,MATCH($L29,'msci-indices'!$B:$B)-2)</f>
        <v>865.80589099999997</v>
      </c>
      <c r="AD29" s="22" cm="1">
        <f t="array" ref="AD29">INDEX('msci-indices'!D:D,MATCH($L29,'msci-indices'!$B:$B)-2)</f>
        <v>813.09506399999998</v>
      </c>
      <c r="AE29" s="22">
        <f t="shared" si="28"/>
        <v>140247.99539826906</v>
      </c>
      <c r="AF29" s="22" cm="1">
        <f t="array" ref="AF29">INDEX('msci-indices'!C:C,MATCH($L29,'msci-indices'!$B:$B)+1)</f>
        <v>923.89950299999998</v>
      </c>
      <c r="AG29" s="22" cm="1">
        <f t="array" ref="AG29">INDEX('msci-indices'!D:D,MATCH($L29,'msci-indices'!$B:$B)+1)</f>
        <v>883.33647499999995</v>
      </c>
      <c r="AH29" s="22">
        <f t="shared" si="4"/>
        <v>87.654997123918164</v>
      </c>
      <c r="AI29" s="22">
        <f t="shared" si="5"/>
        <v>150382.27657834781</v>
      </c>
      <c r="AJ29" s="22">
        <f t="shared" si="29"/>
        <v>129600.63901714527</v>
      </c>
      <c r="AK29" s="22">
        <f t="shared" si="6"/>
        <v>20781.637561202544</v>
      </c>
      <c r="AL29" s="22">
        <f>AJ29*(_xlfn.XLOOKUP(Q_end,cpi!A:A,cpi!B:B)/BH29)</f>
        <v>184578.86285217441</v>
      </c>
      <c r="AM29" s="22" cm="1">
        <f t="array" ref="AM29">SUMPRODUCT($AA$3:AA29,_xlfn.SORTBY($BH$3:BH29,_xlfn.SEQUENCE(ROWS($BH$3:BH29)),-1)/$BH$3)</f>
        <v>150548.74956332351</v>
      </c>
      <c r="AN29" s="22">
        <f t="shared" si="30"/>
        <v>-166.47298497569864</v>
      </c>
      <c r="AO29" s="22">
        <f t="shared" si="7"/>
        <v>0</v>
      </c>
      <c r="AP29" s="22">
        <f t="shared" si="31"/>
        <v>150382.27657834781</v>
      </c>
      <c r="AQ29" s="22"/>
      <c r="AR29" s="10">
        <f>IF($B$10="3BR_H",
INDEX('ns-combined'!$C:$D,MATCH($L29,'ns-combined'!$B:$B,0),MATCH(Council_Area,'ns-combined'!$C$1:$D$1,0))*1000,
INDEX('s-combined'!$C:$D,MATCH($L29,'s-combined'!$B:$B,0),MATCH(Council_Area,'s-combined'!$C$1:$D$1,0))*1000)</f>
        <v>386000</v>
      </c>
      <c r="AS29" s="22">
        <f t="shared" si="35"/>
        <v>18900</v>
      </c>
      <c r="AT29" s="10">
        <v>0</v>
      </c>
      <c r="AU29" s="22">
        <f t="shared" si="8"/>
        <v>7720</v>
      </c>
      <c r="AV29" s="22">
        <f t="shared" si="9"/>
        <v>1109.75</v>
      </c>
      <c r="AW29" s="22">
        <f>SUM($AV$3:AV29)</f>
        <v>28000.487499999999</v>
      </c>
      <c r="AX29" s="22">
        <f t="shared" si="32"/>
        <v>331379.51250000001</v>
      </c>
      <c r="AY29" s="22">
        <f t="shared" si="10"/>
        <v>1518</v>
      </c>
      <c r="AZ29" s="24">
        <f t="shared" si="11"/>
        <v>1.5730569948186529E-2</v>
      </c>
      <c r="BA29" s="24">
        <f t="shared" si="12"/>
        <v>0.35000000000000003</v>
      </c>
      <c r="BB29" s="25">
        <f>IF(MortgageRate="Discounted",_xlfn.XLOOKUP(L29,'mortgage-rates'!$A:$A,'mortgage-rates'!$E:$E)/100,_xlfn.XLOOKUP(L29,'mortgage-rates'!$A:$A,'mortgage-rates'!$D:$D)/100)</f>
        <v>6.08E-2</v>
      </c>
      <c r="BC29" s="10">
        <f t="shared" si="37"/>
        <v>196182.49656942184</v>
      </c>
      <c r="BD29" s="10">
        <f t="shared" si="13"/>
        <v>4434.0109762562606</v>
      </c>
      <c r="BE29" s="10">
        <f t="shared" si="14"/>
        <v>2981.9739478552119</v>
      </c>
      <c r="BF29" s="10">
        <f t="shared" si="36"/>
        <v>1452.0370284010487</v>
      </c>
      <c r="BG29" s="12">
        <f t="shared" si="15"/>
        <v>5952.0109762562606</v>
      </c>
      <c r="BH29" s="22">
        <f>INDEX(cpi!B:B,MATCH($L29,cpi!A:A))</f>
        <v>101.6</v>
      </c>
      <c r="BI29" s="22">
        <f t="shared" si="16"/>
        <v>120.09456264775415</v>
      </c>
      <c r="BJ29" s="22">
        <f t="shared" si="17"/>
        <v>114.69456564776658</v>
      </c>
      <c r="BK29" s="22">
        <f t="shared" si="18"/>
        <v>114.04557676875227</v>
      </c>
      <c r="BL29" s="22">
        <f t="shared" si="19"/>
        <v>114.49986898406229</v>
      </c>
      <c r="BM29" s="22">
        <f t="shared" si="20"/>
        <v>191.92359001488566</v>
      </c>
      <c r="BN29" s="22">
        <f t="shared" si="21"/>
        <v>137.85714285714286</v>
      </c>
      <c r="BO29">
        <f t="shared" si="22"/>
        <v>121.43114109822459</v>
      </c>
    </row>
    <row r="30" spans="1:67" x14ac:dyDescent="0.25">
      <c r="L30" s="1">
        <f t="shared" si="33"/>
        <v>41244</v>
      </c>
      <c r="M30" s="10">
        <f t="shared" si="0"/>
        <v>157527.61362238569</v>
      </c>
      <c r="N30" s="10">
        <f t="shared" si="23"/>
        <v>143633.42795897921</v>
      </c>
      <c r="O30" s="7">
        <f t="shared" si="24"/>
        <v>1.0967336494076751</v>
      </c>
      <c r="P30" s="7">
        <f t="shared" si="1"/>
        <v>0.76942110763645155</v>
      </c>
      <c r="Q30">
        <v>28</v>
      </c>
      <c r="R30">
        <f t="shared" si="2"/>
        <v>92</v>
      </c>
      <c r="S30" s="22"/>
      <c r="T30" s="22">
        <f>IF($B$10="3BR_H",
INDEX('3BR_H-processed'!$E:$F,MATCH($L30,'3BR_H-processed'!$B:$B,0),MATCH(Council_Area,'3BR_H-processed'!$E$1:$F$1,0)),
INDEX('2BR_F-processed'!$E:$F,MATCH($L30,'2BR_F-processed'!$B:$B,0),MATCH(Council_Area,'2BR_F-processed'!$E$1:$F$1,0)))</f>
        <v>325</v>
      </c>
      <c r="U30" s="22">
        <f t="shared" si="25"/>
        <v>330</v>
      </c>
      <c r="V30" s="22">
        <f t="shared" si="34"/>
        <v>4337.1428571428569</v>
      </c>
      <c r="W30" s="22">
        <f>$B$53/4*BH30/_xlfn.XLOOKUP(Q_end,cpi!A:A,cpi!B:B)</f>
        <v>140.98134070490673</v>
      </c>
      <c r="X30" s="22">
        <f t="shared" si="26"/>
        <v>4478.1241978477638</v>
      </c>
      <c r="Y30" s="22">
        <f t="shared" si="3"/>
        <v>1341.9971289558416</v>
      </c>
      <c r="Z30" s="22">
        <f t="shared" si="27"/>
        <v>0</v>
      </c>
      <c r="AA30" s="22" cm="1">
        <f t="array" ref="AA30">(Y30+Z30)*eff_invest</f>
        <v>1341.9971289558416</v>
      </c>
      <c r="AB30" s="22">
        <f>AA30*(_xlfn.XLOOKUP(Q_end,cpi!A:A,cpi!B:B)/BH30)</f>
        <v>1903.7939662736301</v>
      </c>
      <c r="AC30" s="22" cm="1">
        <f t="array" ref="AC30">INDEX('msci-indices'!C:C,MATCH($L30,'msci-indices'!$B:$B)-2)</f>
        <v>923.89950299999998</v>
      </c>
      <c r="AD30" s="22" cm="1">
        <f t="array" ref="AD30">INDEX('msci-indices'!D:D,MATCH($L30,'msci-indices'!$B:$B)-2)</f>
        <v>883.33647499999995</v>
      </c>
      <c r="AE30" s="22">
        <f t="shared" si="28"/>
        <v>151724.27370730366</v>
      </c>
      <c r="AF30" s="22" cm="1">
        <f t="array" ref="AF30">INDEX('msci-indices'!C:C,MATCH($L30,'msci-indices'!$B:$B)+1)</f>
        <v>948.15110700000002</v>
      </c>
      <c r="AG30" s="22" cm="1">
        <f t="array" ref="AG30">INDEX('msci-indices'!D:D,MATCH($L30,'msci-indices'!$B:$B)+1)</f>
        <v>943.69728799999996</v>
      </c>
      <c r="AH30" s="22">
        <f t="shared" si="4"/>
        <v>94.827671067064784</v>
      </c>
      <c r="AI30" s="22">
        <f t="shared" si="5"/>
        <v>157527.61362238569</v>
      </c>
      <c r="AJ30" s="22">
        <f t="shared" si="29"/>
        <v>130942.63614610111</v>
      </c>
      <c r="AK30" s="22">
        <f t="shared" si="6"/>
        <v>26584.977476284577</v>
      </c>
      <c r="AL30" s="22">
        <f>AJ30*(_xlfn.XLOOKUP(Q_end,cpi!A:A,cpi!B:B)/BH30)</f>
        <v>185758.81814059636</v>
      </c>
      <c r="AM30" s="22" cm="1">
        <f t="array" ref="AM30">SUMPRODUCT($AA$3:AA30,_xlfn.SORTBY($BH$3:BH30,_xlfn.SEQUENCE(ROWS($BH$3:BH30)),-1)/$BH$3)</f>
        <v>152673.72264033643</v>
      </c>
      <c r="AN30" s="22">
        <f t="shared" si="30"/>
        <v>4853.8909820492554</v>
      </c>
      <c r="AO30" s="22">
        <f t="shared" si="7"/>
        <v>0</v>
      </c>
      <c r="AP30" s="22">
        <f t="shared" si="31"/>
        <v>157527.61362238569</v>
      </c>
      <c r="AQ30" s="22"/>
      <c r="AR30" s="10">
        <f>IF($B$10="3BR_H",
INDEX('ns-combined'!$C:$D,MATCH($L30,'ns-combined'!$B:$B,0),MATCH(Council_Area,'ns-combined'!$C$1:$D$1,0))*1000,
INDEX('s-combined'!$C:$D,MATCH($L30,'s-combined'!$B:$B,0),MATCH(Council_Area,'s-combined'!$C$1:$D$1,0))*1000)</f>
        <v>395000</v>
      </c>
      <c r="AS30" s="22">
        <f t="shared" si="35"/>
        <v>19600</v>
      </c>
      <c r="AT30" s="10">
        <v>0</v>
      </c>
      <c r="AU30" s="22">
        <f t="shared" si="8"/>
        <v>7900</v>
      </c>
      <c r="AV30" s="22">
        <f t="shared" si="9"/>
        <v>1135.625</v>
      </c>
      <c r="AW30" s="22">
        <f>SUM($AV$3:AV30)</f>
        <v>29136.112499999999</v>
      </c>
      <c r="AX30" s="22">
        <f t="shared" si="32"/>
        <v>338363.88750000001</v>
      </c>
      <c r="AY30" s="22">
        <f t="shared" si="10"/>
        <v>1518</v>
      </c>
      <c r="AZ30" s="24">
        <f t="shared" si="11"/>
        <v>1.5372151898734178E-2</v>
      </c>
      <c r="BA30" s="24">
        <f t="shared" si="12"/>
        <v>0.35000000000000003</v>
      </c>
      <c r="BB30" s="25">
        <f>IF(MortgageRate="Discounted",_xlfn.XLOOKUP(L30,'mortgage-rates'!$A:$A,'mortgage-rates'!$E:$E)/100,_xlfn.XLOOKUP(L30,'mortgage-rates'!$A:$A,'mortgage-rates'!$D:$D)/100)</f>
        <v>5.6799999999999996E-2</v>
      </c>
      <c r="BC30" s="10">
        <f t="shared" si="37"/>
        <v>194730.4595410208</v>
      </c>
      <c r="BD30" s="10">
        <f t="shared" si="13"/>
        <v>4302.1213268036054</v>
      </c>
      <c r="BE30" s="10">
        <f t="shared" si="14"/>
        <v>2765.1725254824951</v>
      </c>
      <c r="BF30" s="10">
        <f t="shared" si="36"/>
        <v>1536.9488013211103</v>
      </c>
      <c r="BG30" s="12">
        <f t="shared" si="15"/>
        <v>5820.1213268036054</v>
      </c>
      <c r="BH30" s="22">
        <f>INDEX(cpi!B:B,MATCH($L30,cpi!A:A))</f>
        <v>102</v>
      </c>
      <c r="BI30" s="22">
        <f t="shared" si="16"/>
        <v>120.56737588652483</v>
      </c>
      <c r="BJ30" s="22">
        <f t="shared" si="17"/>
        <v>122.39031092336657</v>
      </c>
      <c r="BK30" s="22">
        <f t="shared" si="18"/>
        <v>123.89771163615318</v>
      </c>
      <c r="BL30" s="22">
        <f t="shared" si="19"/>
        <v>122.84253113720254</v>
      </c>
      <c r="BM30" s="22">
        <f t="shared" si="20"/>
        <v>207.62840295588447</v>
      </c>
      <c r="BN30" s="22">
        <f t="shared" si="21"/>
        <v>141.07142857142858</v>
      </c>
      <c r="BO30">
        <f t="shared" si="22"/>
        <v>123.99050458967734</v>
      </c>
    </row>
    <row r="31" spans="1:67" x14ac:dyDescent="0.25">
      <c r="A31" s="5" t="s">
        <v>20</v>
      </c>
      <c r="L31" s="1">
        <f t="shared" si="33"/>
        <v>41334</v>
      </c>
      <c r="M31" s="10">
        <f t="shared" si="0"/>
        <v>171726.81778203024</v>
      </c>
      <c r="N31" s="10">
        <f t="shared" si="23"/>
        <v>143334.75176030034</v>
      </c>
      <c r="O31" s="7">
        <f t="shared" si="24"/>
        <v>1.1980822213248754</v>
      </c>
      <c r="P31" s="7">
        <f t="shared" si="1"/>
        <v>0.76015889716805007</v>
      </c>
      <c r="Q31">
        <v>29</v>
      </c>
      <c r="R31">
        <f t="shared" si="2"/>
        <v>90</v>
      </c>
      <c r="S31" s="22"/>
      <c r="T31" s="22">
        <f>IF($B$10="3BR_H",
INDEX('3BR_H-processed'!$E:$F,MATCH($L31,'3BR_H-processed'!$B:$B,0),MATCH(Council_Area,'3BR_H-processed'!$E$1:$F$1,0)),
INDEX('2BR_F-processed'!$E:$F,MATCH($L31,'2BR_F-processed'!$B:$B,0),MATCH(Council_Area,'2BR_F-processed'!$E$1:$F$1,0)))</f>
        <v>330</v>
      </c>
      <c r="U31" s="22">
        <f t="shared" si="25"/>
        <v>330</v>
      </c>
      <c r="V31" s="22">
        <f t="shared" si="34"/>
        <v>4242.8571428571431</v>
      </c>
      <c r="W31" s="22">
        <f>$B$53/4*BH31/_xlfn.XLOOKUP(Q_end,cpi!A:A,cpi!B:B)</f>
        <v>141.53420870767104</v>
      </c>
      <c r="X31" s="22">
        <f t="shared" si="26"/>
        <v>4384.3913515648146</v>
      </c>
      <c r="Y31" s="22">
        <f t="shared" si="3"/>
        <v>1383.3387478903614</v>
      </c>
      <c r="Z31" s="22">
        <f t="shared" si="27"/>
        <v>0</v>
      </c>
      <c r="AA31" s="22" cm="1">
        <f t="array" ref="AA31">(Y31+Z31)*eff_invest</f>
        <v>1383.3387478903614</v>
      </c>
      <c r="AB31" s="22">
        <f>AA31*(_xlfn.XLOOKUP(Q_end,cpi!A:A,cpi!B:B)/BH31)</f>
        <v>1954.7765314427272</v>
      </c>
      <c r="AC31" s="22" cm="1">
        <f t="array" ref="AC31">INDEX('msci-indices'!C:C,MATCH($L31,'msci-indices'!$B:$B)-2)</f>
        <v>948.15110700000002</v>
      </c>
      <c r="AD31" s="22" cm="1">
        <f t="array" ref="AD31">INDEX('msci-indices'!D:D,MATCH($L31,'msci-indices'!$B:$B)-2)</f>
        <v>943.69728799999996</v>
      </c>
      <c r="AE31" s="22">
        <f t="shared" si="28"/>
        <v>158910.95237027606</v>
      </c>
      <c r="AF31" s="22" cm="1">
        <f t="array" ref="AF31">INDEX('msci-indices'!C:C,MATCH($L31,'msci-indices'!$B:$B)+1)</f>
        <v>1024.705295</v>
      </c>
      <c r="AG31" s="22" cm="1">
        <f t="array" ref="AG31">INDEX('msci-indices'!D:D,MATCH($L31,'msci-indices'!$B:$B)+1)</f>
        <v>1021.5672520000001</v>
      </c>
      <c r="AH31" s="22">
        <f t="shared" si="4"/>
        <v>99.319345231422545</v>
      </c>
      <c r="AI31" s="22">
        <f t="shared" si="5"/>
        <v>171726.81778203024</v>
      </c>
      <c r="AJ31" s="22">
        <f t="shared" si="29"/>
        <v>132325.97489399149</v>
      </c>
      <c r="AK31" s="22">
        <f t="shared" si="6"/>
        <v>39400.842888038751</v>
      </c>
      <c r="AL31" s="22">
        <f>AJ31*(_xlfn.XLOOKUP(Q_end,cpi!A:A,cpi!B:B)/BH31)</f>
        <v>186987.97428867739</v>
      </c>
      <c r="AM31" s="22" cm="1">
        <f t="array" ref="AM31">SUMPRODUCT($AA$3:AA31,_xlfn.SORTBY($BH$3:BH31,_xlfn.SEQUENCE(ROWS($BH$3:BH31)),-1)/$BH$3)</f>
        <v>154844.34843629863</v>
      </c>
      <c r="AN31" s="22">
        <f t="shared" si="30"/>
        <v>16882.469345731603</v>
      </c>
      <c r="AO31" s="22">
        <f t="shared" si="7"/>
        <v>0</v>
      </c>
      <c r="AP31" s="22">
        <f t="shared" si="31"/>
        <v>171726.81778203024</v>
      </c>
      <c r="AQ31" s="22"/>
      <c r="AR31" s="10">
        <f>IF($B$10="3BR_H",
INDEX('ns-combined'!$C:$D,MATCH($L31,'ns-combined'!$B:$B,0),MATCH(Council_Area,'ns-combined'!$C$1:$D$1,0))*1000,
INDEX('s-combined'!$C:$D,MATCH($L31,'s-combined'!$B:$B,0),MATCH(Council_Area,'s-combined'!$C$1:$D$1,0))*1000)</f>
        <v>395000</v>
      </c>
      <c r="AS31" s="22">
        <f t="shared" si="35"/>
        <v>20300</v>
      </c>
      <c r="AT31" s="10">
        <v>0</v>
      </c>
      <c r="AU31" s="22">
        <f t="shared" si="8"/>
        <v>7900</v>
      </c>
      <c r="AV31" s="22">
        <f t="shared" si="9"/>
        <v>1135.625</v>
      </c>
      <c r="AW31" s="22">
        <f>SUM($AV$3:AV31)</f>
        <v>30271.737499999999</v>
      </c>
      <c r="AX31" s="22">
        <f t="shared" si="32"/>
        <v>336528.26250000001</v>
      </c>
      <c r="AY31" s="22">
        <f t="shared" si="10"/>
        <v>1485.0000000000002</v>
      </c>
      <c r="AZ31" s="24">
        <f t="shared" si="11"/>
        <v>1.5037974683544305E-2</v>
      </c>
      <c r="BA31" s="24">
        <f t="shared" si="12"/>
        <v>0.35000000000000003</v>
      </c>
      <c r="BB31" s="25">
        <f>IF(MortgageRate="Discounted",_xlfn.XLOOKUP(L31,'mortgage-rates'!$A:$A,'mortgage-rates'!$E:$E)/100,_xlfn.XLOOKUP(L31,'mortgage-rates'!$A:$A,'mortgage-rates'!$D:$D)/100)</f>
        <v>5.62E-2</v>
      </c>
      <c r="BC31" s="10">
        <f t="shared" si="37"/>
        <v>193193.51073969968</v>
      </c>
      <c r="BD31" s="10">
        <f t="shared" si="13"/>
        <v>4282.7300994551761</v>
      </c>
      <c r="BE31" s="10">
        <f t="shared" si="14"/>
        <v>2714.3688258927805</v>
      </c>
      <c r="BF31" s="10">
        <f t="shared" si="36"/>
        <v>1568.3612735623956</v>
      </c>
      <c r="BG31" s="12">
        <f t="shared" si="15"/>
        <v>5767.7300994551761</v>
      </c>
      <c r="BH31" s="22">
        <f>INDEX(cpi!B:B,MATCH($L31,cpi!A:A))</f>
        <v>102.4</v>
      </c>
      <c r="BI31" s="22">
        <f t="shared" si="16"/>
        <v>121.04018912529551</v>
      </c>
      <c r="BJ31" s="22">
        <f t="shared" si="17"/>
        <v>125.60295617786929</v>
      </c>
      <c r="BK31" s="22">
        <f t="shared" si="18"/>
        <v>132.36398333992017</v>
      </c>
      <c r="BL31" s="22">
        <f t="shared" si="19"/>
        <v>127.63126432648455</v>
      </c>
      <c r="BM31" s="22">
        <f t="shared" si="20"/>
        <v>217.46307592475077</v>
      </c>
      <c r="BN31" s="22">
        <f t="shared" si="21"/>
        <v>141.07142857142858</v>
      </c>
      <c r="BO31">
        <f t="shared" si="22"/>
        <v>123.31785576870224</v>
      </c>
    </row>
    <row r="32" spans="1:67" x14ac:dyDescent="0.25">
      <c r="A32" t="s">
        <v>15</v>
      </c>
      <c r="B32" s="8">
        <v>7.0000000000000007E-2</v>
      </c>
      <c r="C32" s="8">
        <v>7.0000000000000007E-2</v>
      </c>
      <c r="L32" s="1">
        <f t="shared" si="33"/>
        <v>41426</v>
      </c>
      <c r="M32" s="10">
        <f t="shared" si="0"/>
        <v>171887.63601844318</v>
      </c>
      <c r="N32" s="10">
        <f t="shared" si="23"/>
        <v>143067.48803386273</v>
      </c>
      <c r="O32" s="7">
        <f t="shared" si="24"/>
        <v>1.2014444258485828</v>
      </c>
      <c r="P32" s="7">
        <f t="shared" si="1"/>
        <v>0.77735710118960433</v>
      </c>
      <c r="Q32">
        <v>30</v>
      </c>
      <c r="R32">
        <f t="shared" si="2"/>
        <v>91</v>
      </c>
      <c r="S32" s="22"/>
      <c r="T32" s="22">
        <f>IF($B$10="3BR_H",
INDEX('3BR_H-processed'!$E:$F,MATCH($L32,'3BR_H-processed'!$B:$B,0),MATCH(Council_Area,'3BR_H-processed'!$E$1:$F$1,0)),
INDEX('2BR_F-processed'!$E:$F,MATCH($L32,'2BR_F-processed'!$B:$B,0),MATCH(Council_Area,'2BR_F-processed'!$E$1:$F$1,0)))</f>
        <v>320</v>
      </c>
      <c r="U32" s="22">
        <f t="shared" si="25"/>
        <v>330</v>
      </c>
      <c r="V32" s="22">
        <f t="shared" si="34"/>
        <v>4290</v>
      </c>
      <c r="W32" s="22">
        <f>$B$53/4*BH32/_xlfn.XLOOKUP(Q_end,cpi!A:A,cpi!B:B)</f>
        <v>142.22529371112648</v>
      </c>
      <c r="X32" s="22">
        <f t="shared" si="26"/>
        <v>4432.2252937111261</v>
      </c>
      <c r="Y32" s="22">
        <f>BG32-X32</f>
        <v>1269.4339397716676</v>
      </c>
      <c r="Z32" s="22">
        <f t="shared" si="27"/>
        <v>0</v>
      </c>
      <c r="AA32" s="22" cm="1">
        <f t="array" ref="AA32">(Y32+Z32)*eff_invest</f>
        <v>1269.4339397716676</v>
      </c>
      <c r="AB32" s="22">
        <f>AA32*(_xlfn.XLOOKUP(Q_end,cpi!A:A,cpi!B:B)/BH32)</f>
        <v>1785.1029259957265</v>
      </c>
      <c r="AC32" s="22" cm="1">
        <f t="array" ref="AC32">INDEX('msci-indices'!C:C,MATCH($L32,'msci-indices'!$B:$B)-2)</f>
        <v>1024.705295</v>
      </c>
      <c r="AD32" s="22" cm="1">
        <f t="array" ref="AD32">INDEX('msci-indices'!D:D,MATCH($L32,'msci-indices'!$B:$B)-2)</f>
        <v>1021.5672520000001</v>
      </c>
      <c r="AE32" s="22">
        <f t="shared" si="28"/>
        <v>172996.25172180191</v>
      </c>
      <c r="AF32" s="22" cm="1">
        <f t="array" ref="AF32">INDEX('msci-indices'!C:C,MATCH($L32,'msci-indices'!$B:$B)+1)</f>
        <v>1030.5183939999999</v>
      </c>
      <c r="AG32" s="22" cm="1">
        <f t="array" ref="AG32">INDEX('msci-indices'!D:D,MATCH($L32,'msci-indices'!$B:$B)+1)</f>
        <v>988.35138400000005</v>
      </c>
      <c r="AH32" s="22">
        <f t="shared" si="4"/>
        <v>108.12265732612619</v>
      </c>
      <c r="AI32" s="22">
        <f t="shared" si="5"/>
        <v>171887.63601844318</v>
      </c>
      <c r="AJ32" s="22">
        <f t="shared" si="29"/>
        <v>133595.40883376315</v>
      </c>
      <c r="AK32" s="22">
        <f t="shared" si="6"/>
        <v>38292.227184680029</v>
      </c>
      <c r="AL32" s="22">
        <f>AJ32*(_xlfn.XLOOKUP(Q_end,cpi!A:A,cpi!B:B)/BH32)</f>
        <v>187864.48647468927</v>
      </c>
      <c r="AM32" s="22" cm="1">
        <f t="array" ref="AM32">SUMPRODUCT($AA$3:AA32,_xlfn.SORTBY($BH$3:BH32,_xlfn.SEQUENCE(ROWS($BH$3:BH32)),-1)/$BH$3)</f>
        <v>156993.51614659495</v>
      </c>
      <c r="AN32" s="22">
        <f t="shared" si="30"/>
        <v>14894.119871848234</v>
      </c>
      <c r="AO32" s="22">
        <f t="shared" si="7"/>
        <v>0</v>
      </c>
      <c r="AP32" s="22">
        <f t="shared" si="31"/>
        <v>171887.63601844318</v>
      </c>
      <c r="AQ32" s="22"/>
      <c r="AR32" s="10">
        <f>IF($B$10="3BR_H",
INDEX('ns-combined'!$C:$D,MATCH($L32,'ns-combined'!$B:$B,0),MATCH(Council_Area,'ns-combined'!$C$1:$D$1,0))*1000,
INDEX('s-combined'!$C:$D,MATCH($L32,'s-combined'!$B:$B,0),MATCH(Council_Area,'s-combined'!$C$1:$D$1,0))*1000)</f>
        <v>395000</v>
      </c>
      <c r="AS32" s="22">
        <f t="shared" si="35"/>
        <v>21000</v>
      </c>
      <c r="AT32" s="10">
        <v>0</v>
      </c>
      <c r="AU32" s="22">
        <f t="shared" si="8"/>
        <v>7900</v>
      </c>
      <c r="AV32" s="22">
        <f t="shared" si="9"/>
        <v>1135.625</v>
      </c>
      <c r="AW32" s="22">
        <f>SUM($AV$3:AV32)</f>
        <v>31407.362499999999</v>
      </c>
      <c r="AX32" s="22">
        <f t="shared" si="32"/>
        <v>334692.63750000001</v>
      </c>
      <c r="AY32" s="22">
        <f t="shared" si="10"/>
        <v>1501.5000000000002</v>
      </c>
      <c r="AZ32" s="24">
        <f t="shared" si="11"/>
        <v>1.5205063291139242E-2</v>
      </c>
      <c r="BA32" s="24">
        <f t="shared" si="12"/>
        <v>0.35000000000000003</v>
      </c>
      <c r="BB32" s="25">
        <f>IF(MortgageRate="Discounted",_xlfn.XLOOKUP(L32,'mortgage-rates'!$A:$A,'mortgage-rates'!$E:$E)/100,_xlfn.XLOOKUP(L32,'mortgage-rates'!$A:$A,'mortgage-rates'!$D:$D)/100)</f>
        <v>5.3600000000000002E-2</v>
      </c>
      <c r="BC32" s="10">
        <f t="shared" si="37"/>
        <v>191625.14946613729</v>
      </c>
      <c r="BD32" s="10">
        <f t="shared" si="13"/>
        <v>4200.1592334827938</v>
      </c>
      <c r="BE32" s="10">
        <f t="shared" si="14"/>
        <v>2567.7770028462396</v>
      </c>
      <c r="BF32" s="10">
        <f t="shared" si="36"/>
        <v>1632.3822306365541</v>
      </c>
      <c r="BG32" s="12">
        <f t="shared" si="15"/>
        <v>5701.6592334827938</v>
      </c>
      <c r="BH32" s="22">
        <f>INDEX(cpi!B:B,MATCH($L32,cpi!A:A))</f>
        <v>102.9</v>
      </c>
      <c r="BI32" s="22">
        <f t="shared" si="16"/>
        <v>121.63120567375887</v>
      </c>
      <c r="BJ32" s="22">
        <f t="shared" si="17"/>
        <v>135.74420080608061</v>
      </c>
      <c r="BK32" s="22">
        <f t="shared" si="18"/>
        <v>143.28610714873224</v>
      </c>
      <c r="BL32" s="22">
        <f t="shared" si="19"/>
        <v>138.0067727088761</v>
      </c>
      <c r="BM32" s="22">
        <f t="shared" si="20"/>
        <v>236.73822642014633</v>
      </c>
      <c r="BN32" s="22">
        <f t="shared" si="21"/>
        <v>141.07142857142858</v>
      </c>
      <c r="BO32">
        <f t="shared" si="22"/>
        <v>122.64520694772715</v>
      </c>
    </row>
    <row r="33" spans="1:67" x14ac:dyDescent="0.25">
      <c r="A33" t="s">
        <v>17</v>
      </c>
      <c r="B33" s="8">
        <v>0.16</v>
      </c>
      <c r="C33" s="8">
        <v>0.16</v>
      </c>
      <c r="L33" s="1">
        <f t="shared" si="33"/>
        <v>41518</v>
      </c>
      <c r="M33" s="10">
        <f t="shared" si="0"/>
        <v>188639.33040759302</v>
      </c>
      <c r="N33" s="10">
        <f t="shared" si="23"/>
        <v>142864.24526449927</v>
      </c>
      <c r="O33" s="7">
        <f t="shared" si="24"/>
        <v>1.3204096662418621</v>
      </c>
      <c r="P33" s="7">
        <f t="shared" si="1"/>
        <v>0.79570112211252131</v>
      </c>
      <c r="Q33">
        <v>31</v>
      </c>
      <c r="R33">
        <f t="shared" si="2"/>
        <v>92</v>
      </c>
      <c r="S33" s="22"/>
      <c r="T33" s="22">
        <f>IF($B$10="3BR_H",
INDEX('3BR_H-processed'!$E:$F,MATCH($L33,'3BR_H-processed'!$B:$B,0),MATCH(Council_Area,'3BR_H-processed'!$E$1:$F$1,0)),
INDEX('2BR_F-processed'!$E:$F,MATCH($L33,'2BR_F-processed'!$B:$B,0),MATCH(Council_Area,'2BR_F-processed'!$E$1:$F$1,0)))</f>
        <v>325</v>
      </c>
      <c r="U33" s="22">
        <f t="shared" si="25"/>
        <v>330</v>
      </c>
      <c r="V33" s="22">
        <f t="shared" si="34"/>
        <v>4337.1428571428569</v>
      </c>
      <c r="W33" s="22">
        <f>$B$53/4*BH33/_xlfn.XLOOKUP(Q_end,cpi!A:A,cpi!B:B)</f>
        <v>143.60746371803734</v>
      </c>
      <c r="X33" s="22">
        <f t="shared" si="26"/>
        <v>4480.7503208608941</v>
      </c>
      <c r="Y33" s="22">
        <f t="shared" si="3"/>
        <v>1150.4473692527872</v>
      </c>
      <c r="Z33" s="22">
        <f t="shared" si="27"/>
        <v>0</v>
      </c>
      <c r="AA33" s="22" cm="1">
        <f t="array" ref="AA33">(Y33+Z33)*eff_invest</f>
        <v>1150.4473692527872</v>
      </c>
      <c r="AB33" s="22">
        <f>AA33*(_xlfn.XLOOKUP(Q_end,cpi!A:A,cpi!B:B)/BH33)</f>
        <v>1602.211110018078</v>
      </c>
      <c r="AC33" s="22" cm="1">
        <f t="array" ref="AC33">INDEX('msci-indices'!C:C,MATCH($L33,'msci-indices'!$B:$B)-2)</f>
        <v>1030.5183939999999</v>
      </c>
      <c r="AD33" s="22" cm="1">
        <f t="array" ref="AD33">INDEX('msci-indices'!D:D,MATCH($L33,'msci-indices'!$B:$B)-2)</f>
        <v>988.35138400000005</v>
      </c>
      <c r="AE33" s="22">
        <f t="shared" si="28"/>
        <v>173038.08338769598</v>
      </c>
      <c r="AF33" s="22" cm="1">
        <f t="array" ref="AF33">INDEX('msci-indices'!C:C,MATCH($L33,'msci-indices'!$B:$B)+1)</f>
        <v>1119.437079</v>
      </c>
      <c r="AG33" s="22" cm="1">
        <f t="array" ref="AG33">INDEX('msci-indices'!D:D,MATCH($L33,'msci-indices'!$B:$B)+1)</f>
        <v>1088.458187</v>
      </c>
      <c r="AH33" s="22">
        <f t="shared" si="4"/>
        <v>108.14880211730998</v>
      </c>
      <c r="AI33" s="22">
        <f t="shared" si="5"/>
        <v>188639.33040759302</v>
      </c>
      <c r="AJ33" s="22">
        <f t="shared" si="29"/>
        <v>134745.85620301595</v>
      </c>
      <c r="AK33" s="22">
        <f t="shared" si="6"/>
        <v>53893.474204577069</v>
      </c>
      <c r="AL33" s="22">
        <f>AJ33*(_xlfn.XLOOKUP(Q_end,cpi!A:A,cpi!B:B)/BH33)</f>
        <v>187658.56970718389</v>
      </c>
      <c r="AM33" s="22" cm="1">
        <f t="array" ref="AM33">SUMPRODUCT($AA$3:AA33,_xlfn.SORTBY($BH$3:BH33,_xlfn.SEQUENCE(ROWS($BH$3:BH33)),-1)/$BH$3)</f>
        <v>159455.74847421207</v>
      </c>
      <c r="AN33" s="22">
        <f t="shared" si="30"/>
        <v>29183.581933380949</v>
      </c>
      <c r="AO33" s="22">
        <f t="shared" si="7"/>
        <v>0</v>
      </c>
      <c r="AP33" s="22">
        <f t="shared" si="31"/>
        <v>188639.33040759302</v>
      </c>
      <c r="AQ33" s="22"/>
      <c r="AR33" s="10">
        <f>IF($B$10="3BR_H",
INDEX('ns-combined'!$C:$D,MATCH($L33,'ns-combined'!$B:$B,0),MATCH(Council_Area,'ns-combined'!$C$1:$D$1,0))*1000,
INDEX('s-combined'!$C:$D,MATCH($L33,'s-combined'!$B:$B,0),MATCH(Council_Area,'s-combined'!$C$1:$D$1,0))*1000)</f>
        <v>395000</v>
      </c>
      <c r="AS33" s="22">
        <f t="shared" si="35"/>
        <v>21700</v>
      </c>
      <c r="AT33" s="10">
        <v>0</v>
      </c>
      <c r="AU33" s="22">
        <f t="shared" si="8"/>
        <v>7900</v>
      </c>
      <c r="AV33" s="22">
        <f t="shared" si="9"/>
        <v>1135.625</v>
      </c>
      <c r="AW33" s="22">
        <f>SUM($AV$3:AV33)</f>
        <v>32542.987499999999</v>
      </c>
      <c r="AX33" s="22">
        <f t="shared" si="32"/>
        <v>332857.01250000001</v>
      </c>
      <c r="AY33" s="22">
        <f t="shared" si="10"/>
        <v>1518</v>
      </c>
      <c r="AZ33" s="24">
        <f t="shared" si="11"/>
        <v>1.5372151898734178E-2</v>
      </c>
      <c r="BA33" s="24">
        <f t="shared" si="12"/>
        <v>0.35000000000000003</v>
      </c>
      <c r="BB33" s="25">
        <f>IF(MortgageRate="Discounted",_xlfn.XLOOKUP(L33,'mortgage-rates'!$A:$A,'mortgage-rates'!$E:$E)/100,_xlfn.XLOOKUP(L33,'mortgage-rates'!$A:$A,'mortgage-rates'!$D:$D)/100)</f>
        <v>5.0799999999999998E-2</v>
      </c>
      <c r="BC33" s="10">
        <f t="shared" si="37"/>
        <v>189992.76723550074</v>
      </c>
      <c r="BD33" s="10">
        <f t="shared" si="13"/>
        <v>4113.1976901136813</v>
      </c>
      <c r="BE33" s="10">
        <f t="shared" si="14"/>
        <v>2412.9081438908593</v>
      </c>
      <c r="BF33" s="10">
        <f t="shared" si="36"/>
        <v>1700.2895462228221</v>
      </c>
      <c r="BG33" s="12">
        <f t="shared" si="15"/>
        <v>5631.1976901136813</v>
      </c>
      <c r="BH33" s="22">
        <f>INDEX(cpi!B:B,MATCH($L33,cpi!A:A))</f>
        <v>103.9</v>
      </c>
      <c r="BI33" s="22">
        <f t="shared" si="16"/>
        <v>122.81323877068559</v>
      </c>
      <c r="BJ33" s="22">
        <f t="shared" si="17"/>
        <v>136.51427048544301</v>
      </c>
      <c r="BK33" s="22">
        <f t="shared" si="18"/>
        <v>138.62721424474736</v>
      </c>
      <c r="BL33" s="22">
        <f t="shared" si="19"/>
        <v>137.14815361323431</v>
      </c>
      <c r="BM33" s="22">
        <f t="shared" si="20"/>
        <v>236.79547132744003</v>
      </c>
      <c r="BN33" s="22">
        <f t="shared" si="21"/>
        <v>141.07142857142858</v>
      </c>
      <c r="BO33">
        <f t="shared" si="22"/>
        <v>121.97255812675205</v>
      </c>
    </row>
    <row r="34" spans="1:67" x14ac:dyDescent="0.25">
      <c r="A34" t="s">
        <v>16</v>
      </c>
      <c r="B34" s="8">
        <v>7.0000000000000007E-2</v>
      </c>
      <c r="C34" s="8">
        <v>7.0000000000000007E-2</v>
      </c>
      <c r="L34" s="1">
        <f t="shared" si="33"/>
        <v>41609</v>
      </c>
      <c r="M34" s="10">
        <f t="shared" si="0"/>
        <v>202099.03923709752</v>
      </c>
      <c r="N34" s="10">
        <f t="shared" si="23"/>
        <v>159340.03481072211</v>
      </c>
      <c r="O34" s="7">
        <f t="shared" si="24"/>
        <v>1.2683506657769232</v>
      </c>
      <c r="P34" s="7">
        <f t="shared" si="1"/>
        <v>0.79503536877787995</v>
      </c>
      <c r="Q34">
        <v>32</v>
      </c>
      <c r="R34">
        <f t="shared" si="2"/>
        <v>92</v>
      </c>
      <c r="S34" s="22"/>
      <c r="T34" s="22">
        <f>IF($B$10="3BR_H",
INDEX('3BR_H-processed'!$E:$F,MATCH($L34,'3BR_H-processed'!$B:$B,0),MATCH(Council_Area,'3BR_H-processed'!$E$1:$F$1,0)),
INDEX('2BR_F-processed'!$E:$F,MATCH($L34,'2BR_F-processed'!$B:$B,0),MATCH(Council_Area,'2BR_F-processed'!$E$1:$F$1,0)))</f>
        <v>327.5</v>
      </c>
      <c r="U34" s="22">
        <f t="shared" si="25"/>
        <v>330</v>
      </c>
      <c r="V34" s="22">
        <f t="shared" si="34"/>
        <v>4337.1428571428569</v>
      </c>
      <c r="W34" s="22">
        <f>$B$53/4*BH34/_xlfn.XLOOKUP(Q_end,cpi!A:A,cpi!B:B)</f>
        <v>144.71319972356602</v>
      </c>
      <c r="X34" s="22">
        <f t="shared" si="26"/>
        <v>4481.8560568664225</v>
      </c>
      <c r="Y34" s="22">
        <f t="shared" si="3"/>
        <v>1155.4479334653342</v>
      </c>
      <c r="Z34" s="22">
        <f t="shared" si="27"/>
        <v>0</v>
      </c>
      <c r="AA34" s="22" cm="1">
        <f t="array" ref="AA34">(Y34+Z34)*eff_invest</f>
        <v>1155.4479334653342</v>
      </c>
      <c r="AB34" s="22">
        <f>AA34*(_xlfn.XLOOKUP(Q_end,cpi!A:A,cpi!B:B)/BH34)</f>
        <v>1596.8798087147454</v>
      </c>
      <c r="AC34" s="22" cm="1">
        <f t="array" ref="AC34">INDEX('msci-indices'!C:C,MATCH($L34,'msci-indices'!$B:$B)-2)</f>
        <v>1119.437079</v>
      </c>
      <c r="AD34" s="22" cm="1">
        <f t="array" ref="AD34">INDEX('msci-indices'!D:D,MATCH($L34,'msci-indices'!$B:$B)-2)</f>
        <v>1088.458187</v>
      </c>
      <c r="AE34" s="22">
        <f t="shared" si="28"/>
        <v>189794.77834105835</v>
      </c>
      <c r="AF34" s="22" cm="1">
        <f t="array" ref="AF34">INDEX('msci-indices'!C:C,MATCH($L34,'msci-indices'!$B:$B)+1)</f>
        <v>1208.107446</v>
      </c>
      <c r="AG34" s="22" cm="1">
        <f t="array" ref="AG34">INDEX('msci-indices'!D:D,MATCH($L34,'msci-indices'!$B:$B)+1)</f>
        <v>1124.7671330000001</v>
      </c>
      <c r="AH34" s="22">
        <f t="shared" si="4"/>
        <v>118.62173646316147</v>
      </c>
      <c r="AI34" s="22">
        <f t="shared" si="5"/>
        <v>202099.03923709752</v>
      </c>
      <c r="AJ34" s="22">
        <f t="shared" si="29"/>
        <v>135901.30413648128</v>
      </c>
      <c r="AK34" s="22">
        <f t="shared" si="6"/>
        <v>66197.735100616235</v>
      </c>
      <c r="AL34" s="22">
        <f>AJ34*(_xlfn.XLOOKUP(Q_end,cpi!A:A,cpi!B:B)/BH34)</f>
        <v>187821.57314755337</v>
      </c>
      <c r="AM34" s="22" cm="1">
        <f t="array" ref="AM34">SUMPRODUCT($AA$3:AA34,_xlfn.SORTBY($BH$3:BH34,_xlfn.SEQUENCE(ROWS($BH$3:BH34)),-1)/$BH$3)</f>
        <v>161756.1440791286</v>
      </c>
      <c r="AN34" s="22">
        <f t="shared" si="30"/>
        <v>40342.895157968916</v>
      </c>
      <c r="AO34" s="22">
        <f t="shared" si="7"/>
        <v>0</v>
      </c>
      <c r="AP34" s="22">
        <f t="shared" si="31"/>
        <v>202099.03923709752</v>
      </c>
      <c r="AQ34" s="22"/>
      <c r="AR34" s="10">
        <f>IF($B$10="3BR_H",
INDEX('ns-combined'!$C:$D,MATCH($L34,'ns-combined'!$B:$B,0),MATCH(Council_Area,'ns-combined'!$C$1:$D$1,0))*1000,
INDEX('s-combined'!$C:$D,MATCH($L34,'s-combined'!$B:$B,0),MATCH(Council_Area,'s-combined'!$C$1:$D$1,0))*1000)</f>
        <v>412000</v>
      </c>
      <c r="AS34" s="22">
        <f t="shared" si="35"/>
        <v>22400</v>
      </c>
      <c r="AT34" s="10">
        <v>0</v>
      </c>
      <c r="AU34" s="22">
        <f t="shared" si="8"/>
        <v>8240</v>
      </c>
      <c r="AV34" s="22">
        <f t="shared" si="9"/>
        <v>1184.5</v>
      </c>
      <c r="AW34" s="22">
        <f>SUM($AV$3:AV34)</f>
        <v>33727.487500000003</v>
      </c>
      <c r="AX34" s="22">
        <f t="shared" si="32"/>
        <v>347632.51250000001</v>
      </c>
      <c r="AY34" s="22">
        <f t="shared" si="10"/>
        <v>1518</v>
      </c>
      <c r="AZ34" s="24">
        <f t="shared" si="11"/>
        <v>1.4737864077669903E-2</v>
      </c>
      <c r="BA34" s="24">
        <f t="shared" si="12"/>
        <v>0.35000000000000003</v>
      </c>
      <c r="BB34" s="25">
        <f>IF(MortgageRate="Discounted",_xlfn.XLOOKUP(L34,'mortgage-rates'!$A:$A,'mortgage-rates'!$E:$E)/100,_xlfn.XLOOKUP(L34,'mortgage-rates'!$A:$A,'mortgage-rates'!$D:$D)/100)</f>
        <v>5.0999999999999997E-2</v>
      </c>
      <c r="BC34" s="10">
        <f t="shared" si="37"/>
        <v>188292.4776892779</v>
      </c>
      <c r="BD34" s="10">
        <f t="shared" si="13"/>
        <v>4119.3039903317567</v>
      </c>
      <c r="BE34" s="10">
        <f t="shared" si="14"/>
        <v>2400.7290905382933</v>
      </c>
      <c r="BF34" s="10">
        <f t="shared" si="36"/>
        <v>1718.5748997934634</v>
      </c>
      <c r="BG34" s="12">
        <f t="shared" si="15"/>
        <v>5637.3039903317567</v>
      </c>
      <c r="BH34" s="22">
        <f>INDEX(cpi!B:B,MATCH($L34,cpi!A:A))</f>
        <v>104.7</v>
      </c>
      <c r="BI34" s="22">
        <f t="shared" si="16"/>
        <v>123.75886524822695</v>
      </c>
      <c r="BJ34" s="22">
        <f t="shared" si="17"/>
        <v>148.29345801472445</v>
      </c>
      <c r="BK34" s="22">
        <f t="shared" si="18"/>
        <v>152.66830069587706</v>
      </c>
      <c r="BL34" s="22">
        <f t="shared" si="19"/>
        <v>149.60591081907023</v>
      </c>
      <c r="BM34" s="22">
        <f t="shared" si="20"/>
        <v>259.72631638587364</v>
      </c>
      <c r="BN34" s="22">
        <f t="shared" si="21"/>
        <v>147.14285714285714</v>
      </c>
      <c r="BO34">
        <f t="shared" si="22"/>
        <v>127.38691163267923</v>
      </c>
    </row>
    <row r="35" spans="1:67" x14ac:dyDescent="0.25">
      <c r="A35" t="s">
        <v>18</v>
      </c>
      <c r="B35" s="8">
        <v>0.05</v>
      </c>
      <c r="C35" s="8">
        <v>0.05</v>
      </c>
      <c r="L35" s="1">
        <f t="shared" si="33"/>
        <v>41699</v>
      </c>
      <c r="M35" s="10">
        <f t="shared" ref="M35:M66" si="38">AP35</f>
        <v>206623.31254901859</v>
      </c>
      <c r="N35" s="10">
        <f t="shared" ref="N35:N66" si="39">AX35-BC35</f>
        <v>154288.48471051556</v>
      </c>
      <c r="O35" s="7">
        <f t="shared" si="24"/>
        <v>1.3392011266213191</v>
      </c>
      <c r="P35" s="7">
        <f t="shared" ref="P35:P66" si="40">X35/BG35</f>
        <v>0.78390955964040721</v>
      </c>
      <c r="Q35">
        <v>33</v>
      </c>
      <c r="R35">
        <f t="shared" ref="R35:R66" si="41">EOMONTH(L35,0)-EOMONTH(L35,-3)</f>
        <v>90</v>
      </c>
      <c r="S35" s="22"/>
      <c r="T35" s="22">
        <f>IF($B$10="3BR_H",
INDEX('3BR_H-processed'!$E:$F,MATCH($L35,'3BR_H-processed'!$B:$B,0),MATCH(Council_Area,'3BR_H-processed'!$E$1:$F$1,0)),
INDEX('2BR_F-processed'!$E:$F,MATCH($L35,'2BR_F-processed'!$B:$B,0),MATCH(Council_Area,'2BR_F-processed'!$E$1:$F$1,0)))</f>
        <v>330</v>
      </c>
      <c r="U35" s="22">
        <f t="shared" si="25"/>
        <v>330</v>
      </c>
      <c r="V35" s="22">
        <f t="shared" si="34"/>
        <v>4242.8571428571431</v>
      </c>
      <c r="W35" s="22">
        <f>$B$53/4*BH35/_xlfn.XLOOKUP(Q_end,cpi!A:A,cpi!B:B)</f>
        <v>145.6807187284036</v>
      </c>
      <c r="X35" s="22">
        <f t="shared" ref="X35:X66" si="42">V35+W35</f>
        <v>4388.537861585547</v>
      </c>
      <c r="Y35" s="22">
        <f t="shared" ref="Y35:Y66" si="43">BG35-X35</f>
        <v>1209.7327649375493</v>
      </c>
      <c r="Z35" s="22">
        <f t="shared" si="27"/>
        <v>0</v>
      </c>
      <c r="AA35" s="22" cm="1">
        <f t="array" ref="AA35">(Y35+Z35)*eff_invest</f>
        <v>1209.7327649375493</v>
      </c>
      <c r="AB35" s="22">
        <f>AA35*(_xlfn.XLOOKUP(Q_end,cpi!A:A,cpi!B:B)/BH35)</f>
        <v>1660.8001051846618</v>
      </c>
      <c r="AC35" s="22" cm="1">
        <f t="array" ref="AC35">INDEX('msci-indices'!C:C,MATCH($L35,'msci-indices'!$B:$B)-2)</f>
        <v>1208.107446</v>
      </c>
      <c r="AD35" s="22" cm="1">
        <f t="array" ref="AD35">INDEX('msci-indices'!D:D,MATCH($L35,'msci-indices'!$B:$B)-2)</f>
        <v>1124.7671330000001</v>
      </c>
      <c r="AE35" s="22">
        <f t="shared" si="28"/>
        <v>203308.77200203505</v>
      </c>
      <c r="AF35" s="22" cm="1">
        <f t="array" ref="AF35">INDEX('msci-indices'!C:C,MATCH($L35,'msci-indices'!$B:$B)+1)</f>
        <v>1225.920044</v>
      </c>
      <c r="AG35" s="22" cm="1">
        <f t="array" ref="AG35">INDEX('msci-indices'!D:D,MATCH($L35,'msci-indices'!$B:$B)+1)</f>
        <v>1149.5383919999999</v>
      </c>
      <c r="AH35" s="22">
        <f t="shared" ref="AH35:AH66" si="44">(InvestFees/4)*AE35</f>
        <v>127.06798250127191</v>
      </c>
      <c r="AI35" s="22">
        <f t="shared" ref="AI35:AI66" si="45">((AF35/AC35)*GlobalPortfolio+(AG35/AD35)*AusPortfolio)*AE35-AH35</f>
        <v>206623.31254901859</v>
      </c>
      <c r="AJ35" s="22">
        <f t="shared" si="29"/>
        <v>137111.03690141882</v>
      </c>
      <c r="AK35" s="22">
        <f t="shared" ref="AK35:AK66" si="46">AI35-AJ35</f>
        <v>69512.275647599774</v>
      </c>
      <c r="AL35" s="22">
        <f>AJ35*(_xlfn.XLOOKUP(Q_end,cpi!A:A,cpi!B:B)/BH35)</f>
        <v>188234.9814007144</v>
      </c>
      <c r="AM35" s="22" cm="1">
        <f t="array" ref="AM35">SUMPRODUCT($AA$3:AA35,_xlfn.SORTBY($BH$3:BH35,_xlfn.SEQUENCE(ROWS($BH$3:BH35)),-1)/$BH$3)</f>
        <v>164027.93804757067</v>
      </c>
      <c r="AN35" s="22">
        <f t="shared" si="30"/>
        <v>42595.374501447921</v>
      </c>
      <c r="AO35" s="22">
        <f t="shared" ref="AO35:AO66" si="47">IF($B$49="Real gains",MAX($B$50*AN35,0),IF($B$49="Discounted nominal gains",MAX($B$50*AK35/2,0),0))</f>
        <v>0</v>
      </c>
      <c r="AP35" s="22">
        <f t="shared" si="31"/>
        <v>206623.31254901859</v>
      </c>
      <c r="AQ35" s="22"/>
      <c r="AR35" s="10">
        <f>IF($B$10="3BR_H",
INDEX('ns-combined'!$C:$D,MATCH($L35,'ns-combined'!$B:$B,0),MATCH(Council_Area,'ns-combined'!$C$1:$D$1,0))*1000,
INDEX('s-combined'!$C:$D,MATCH($L35,'s-combined'!$B:$B,0),MATCH(Council_Area,'s-combined'!$C$1:$D$1,0))*1000)</f>
        <v>407000</v>
      </c>
      <c r="AS35" s="22">
        <f t="shared" si="35"/>
        <v>23100</v>
      </c>
      <c r="AT35" s="10">
        <v>0</v>
      </c>
      <c r="AU35" s="22">
        <f t="shared" ref="AU35:AU66" si="48">SUM($B$28:$B$29)*AR35</f>
        <v>8140</v>
      </c>
      <c r="AV35" s="22">
        <f t="shared" ref="AV35:AV66" si="49">AR35*$B$15/4</f>
        <v>1170.125</v>
      </c>
      <c r="AW35" s="22">
        <f>SUM($AV$3:AV35)</f>
        <v>34897.612500000003</v>
      </c>
      <c r="AX35" s="22">
        <f t="shared" ref="AX35:AX66" si="50">AR35-AS35-AU35-AW35</f>
        <v>340862.38750000001</v>
      </c>
      <c r="AY35" s="22">
        <f t="shared" ref="AY35:AY66" si="51">$B$36*V35</f>
        <v>1485.0000000000002</v>
      </c>
      <c r="AZ35" s="24">
        <f t="shared" ref="AZ35:AZ66" si="52">SUM(AY35:AY35)*4/AR35</f>
        <v>1.4594594594594596E-2</v>
      </c>
      <c r="BA35" s="24">
        <f t="shared" ref="BA35:BA66" si="53">SUM(AY35:AY35)/V35</f>
        <v>0.35000000000000003</v>
      </c>
      <c r="BB35" s="25">
        <f>IF(MortgageRate="Discounted",_xlfn.XLOOKUP(L35,'mortgage-rates'!$A:$A,'mortgage-rates'!$E:$E)/100,_xlfn.XLOOKUP(L35,'mortgage-rates'!$A:$A,'mortgage-rates'!$D:$D)/100)</f>
        <v>5.0799999999999998E-2</v>
      </c>
      <c r="BC35" s="10">
        <f t="shared" si="37"/>
        <v>186573.90278948445</v>
      </c>
      <c r="BD35" s="10">
        <f t="shared" ref="BD35:BD66" si="54">IF($B$16*12/3-Q35+1&gt;0,-PMT($BB35/4,$B$16*12/3-Q35+1,BC35),0)</f>
        <v>4113.2706265230963</v>
      </c>
      <c r="BE35" s="10">
        <f t="shared" ref="BE35:BE67" si="55">BC35*($BB35/4)</f>
        <v>2369.4885654264522</v>
      </c>
      <c r="BF35" s="10">
        <f t="shared" si="36"/>
        <v>1743.7820610966442</v>
      </c>
      <c r="BG35" s="12">
        <f t="shared" ref="BG35:BG66" si="56">AT35+AY35+BD35</f>
        <v>5598.2706265230963</v>
      </c>
      <c r="BH35" s="22">
        <f>INDEX(cpi!B:B,MATCH($L35,cpi!A:A))</f>
        <v>105.4</v>
      </c>
      <c r="BI35" s="22">
        <f t="shared" ref="BI35:BI66" si="57">100*BH35/BH$3</f>
        <v>124.58628841607566</v>
      </c>
      <c r="BJ35" s="22">
        <f t="shared" ref="BJ35:BJ66" si="58">100*AC35/AC$3</f>
        <v>160.03975049738099</v>
      </c>
      <c r="BK35" s="22">
        <f t="shared" ref="BK35:BK66" si="59">100*AD35/AD$3</f>
        <v>157.76103200341271</v>
      </c>
      <c r="BL35" s="22">
        <f t="shared" ref="BL35:BL66" si="60">BJ35*GlobalPortfolio+BK35*AusPortfolio</f>
        <v>159.3561349491905</v>
      </c>
      <c r="BM35" s="22">
        <f t="shared" ref="BM35:BM66" si="61">100*AE35/$AE$3</f>
        <v>278.21965863641867</v>
      </c>
      <c r="BN35" s="22">
        <f t="shared" ref="BN35:BN66" si="62">100*AR35/AR$3</f>
        <v>145.35714285714286</v>
      </c>
      <c r="BO35">
        <f t="shared" ref="BO35:BO66" si="63">100*AX35/AX$3</f>
        <v>124.90605819087928</v>
      </c>
    </row>
    <row r="36" spans="1:67" x14ac:dyDescent="0.25">
      <c r="A36" t="s">
        <v>19</v>
      </c>
      <c r="B36" s="8">
        <f>SUM(B32:B35)</f>
        <v>0.35000000000000003</v>
      </c>
      <c r="C36" s="8">
        <v>0.35000000000000003</v>
      </c>
      <c r="L36" s="1">
        <f t="shared" si="33"/>
        <v>41791</v>
      </c>
      <c r="M36" s="10">
        <f t="shared" si="38"/>
        <v>214913.03971135075</v>
      </c>
      <c r="N36" s="10">
        <f t="shared" si="39"/>
        <v>152207.89177161219</v>
      </c>
      <c r="O36" s="7">
        <f t="shared" si="24"/>
        <v>1.4119704123740677</v>
      </c>
      <c r="P36" s="7">
        <f t="shared" si="40"/>
        <v>0.79017444039038187</v>
      </c>
      <c r="Q36">
        <v>34</v>
      </c>
      <c r="R36">
        <f t="shared" si="41"/>
        <v>91</v>
      </c>
      <c r="S36" s="22"/>
      <c r="T36" s="22">
        <f>IF($B$10="3BR_H",
INDEX('3BR_H-processed'!$E:$F,MATCH($L36,'3BR_H-processed'!$B:$B,0),MATCH(Council_Area,'3BR_H-processed'!$E$1:$F$1,0)),
INDEX('2BR_F-processed'!$E:$F,MATCH($L36,'2BR_F-processed'!$B:$B,0),MATCH(Council_Area,'2BR_F-processed'!$E$1:$F$1,0)))</f>
        <v>340</v>
      </c>
      <c r="U36" s="22">
        <f t="shared" si="25"/>
        <v>330</v>
      </c>
      <c r="V36" s="22">
        <f t="shared" si="34"/>
        <v>4290</v>
      </c>
      <c r="W36" s="22">
        <f>$B$53/4*BH36/_xlfn.XLOOKUP(Q_end,cpi!A:A,cpi!B:B)</f>
        <v>146.64823773324119</v>
      </c>
      <c r="X36" s="22">
        <f t="shared" si="42"/>
        <v>4436.6482377332413</v>
      </c>
      <c r="Y36" s="22">
        <f t="shared" si="43"/>
        <v>1178.122388789855</v>
      </c>
      <c r="Z36" s="22">
        <f t="shared" ref="Z36:Z67" si="64">Y36*$B$47</f>
        <v>0</v>
      </c>
      <c r="AA36" s="22" cm="1">
        <f t="array" ref="AA36">(Y36+Z36)*eff_invest</f>
        <v>1178.122388789855</v>
      </c>
      <c r="AB36" s="22">
        <f>AA36*(_xlfn.XLOOKUP(Q_end,cpi!A:A,cpi!B:B)/BH36)</f>
        <v>1606.7324190187749</v>
      </c>
      <c r="AC36" s="22" cm="1">
        <f t="array" ref="AC36">INDEX('msci-indices'!C:C,MATCH($L36,'msci-indices'!$B:$B)-2)</f>
        <v>1225.920044</v>
      </c>
      <c r="AD36" s="22" cm="1">
        <f t="array" ref="AD36">INDEX('msci-indices'!D:D,MATCH($L36,'msci-indices'!$B:$B)-2)</f>
        <v>1149.5383919999999</v>
      </c>
      <c r="AE36" s="22">
        <f t="shared" ref="AE36:AE67" si="65">AI35+AA36</f>
        <v>207801.43493780846</v>
      </c>
      <c r="AF36" s="22" cm="1">
        <f t="array" ref="AF36">INDEX('msci-indices'!C:C,MATCH($L36,'msci-indices'!$B:$B)+1)</f>
        <v>1282.9430809999999</v>
      </c>
      <c r="AG36" s="22" cm="1">
        <f t="array" ref="AG36">INDEX('msci-indices'!D:D,MATCH($L36,'msci-indices'!$B:$B)+1)</f>
        <v>1158.3053090000001</v>
      </c>
      <c r="AH36" s="22">
        <f t="shared" si="44"/>
        <v>129.87589683613029</v>
      </c>
      <c r="AI36" s="22">
        <f t="shared" si="45"/>
        <v>214913.03971135075</v>
      </c>
      <c r="AJ36" s="22">
        <f t="shared" ref="AJ36:AJ67" si="66">AJ35+AA36</f>
        <v>138289.15929020868</v>
      </c>
      <c r="AK36" s="22">
        <f t="shared" si="46"/>
        <v>76623.880421142065</v>
      </c>
      <c r="AL36" s="22">
        <f>AJ36*(_xlfn.XLOOKUP(Q_end,cpi!A:A,cpi!B:B)/BH36)</f>
        <v>188599.82421577</v>
      </c>
      <c r="AM36" s="22" cm="1">
        <f t="array" ref="AM36">SUMPRODUCT($AA$3:AA36,_xlfn.SORTBY($BH$3:BH36,_xlfn.SEQUENCE(ROWS($BH$3:BH36)),-1)/$BH$3)</f>
        <v>166282.35416736366</v>
      </c>
      <c r="AN36" s="22">
        <f t="shared" si="30"/>
        <v>48630.685543987085</v>
      </c>
      <c r="AO36" s="22">
        <f t="shared" si="47"/>
        <v>0</v>
      </c>
      <c r="AP36" s="22">
        <f t="shared" si="31"/>
        <v>214913.03971135075</v>
      </c>
      <c r="AQ36" s="22"/>
      <c r="AR36" s="10">
        <f>IF($B$10="3BR_H",
INDEX('ns-combined'!$C:$D,MATCH($L36,'ns-combined'!$B:$B,0),MATCH(Council_Area,'ns-combined'!$C$1:$D$1,0))*1000,
INDEX('s-combined'!$C:$D,MATCH($L36,'s-combined'!$B:$B,0),MATCH(Council_Area,'s-combined'!$C$1:$D$1,0))*1000)</f>
        <v>405000</v>
      </c>
      <c r="AS36" s="22">
        <f t="shared" si="35"/>
        <v>23800</v>
      </c>
      <c r="AT36" s="10">
        <v>0</v>
      </c>
      <c r="AU36" s="22">
        <f t="shared" si="48"/>
        <v>8100</v>
      </c>
      <c r="AV36" s="22">
        <f t="shared" si="49"/>
        <v>1164.375</v>
      </c>
      <c r="AW36" s="22">
        <f>SUM($AV$3:AV36)</f>
        <v>36061.987500000003</v>
      </c>
      <c r="AX36" s="22">
        <f t="shared" si="50"/>
        <v>337038.01250000001</v>
      </c>
      <c r="AY36" s="22">
        <f t="shared" si="51"/>
        <v>1501.5000000000002</v>
      </c>
      <c r="AZ36" s="24">
        <f t="shared" si="52"/>
        <v>1.4829629629629632E-2</v>
      </c>
      <c r="BA36" s="24">
        <f t="shared" si="53"/>
        <v>0.35000000000000003</v>
      </c>
      <c r="BB36" s="25">
        <f>IF(MortgageRate="Discounted",_xlfn.XLOOKUP(L36,'mortgage-rates'!$A:$A,'mortgage-rates'!$E:$E)/100,_xlfn.XLOOKUP(L36,'mortgage-rates'!$A:$A,'mortgage-rates'!$D:$D)/100)</f>
        <v>5.0799999999999998E-2</v>
      </c>
      <c r="BC36" s="10">
        <f t="shared" ref="BC36:BC67" si="67">BC35-BF35</f>
        <v>184830.12072838782</v>
      </c>
      <c r="BD36" s="10">
        <f t="shared" si="54"/>
        <v>4113.2706265230963</v>
      </c>
      <c r="BE36" s="10">
        <f t="shared" si="55"/>
        <v>2347.3425332505253</v>
      </c>
      <c r="BF36" s="10">
        <f t="shared" si="36"/>
        <v>1765.928093272571</v>
      </c>
      <c r="BG36" s="12">
        <f t="shared" si="56"/>
        <v>5614.7706265230963</v>
      </c>
      <c r="BH36" s="22">
        <f>INDEX(cpi!B:B,MATCH($L36,cpi!A:A))</f>
        <v>106.1</v>
      </c>
      <c r="BI36" s="22">
        <f t="shared" si="57"/>
        <v>125.41371158392435</v>
      </c>
      <c r="BJ36" s="22">
        <f t="shared" si="58"/>
        <v>162.39941126188398</v>
      </c>
      <c r="BK36" s="22">
        <f t="shared" si="59"/>
        <v>161.2354750851913</v>
      </c>
      <c r="BL36" s="22">
        <f t="shared" si="60"/>
        <v>162.05023040887616</v>
      </c>
      <c r="BM36" s="22">
        <f t="shared" si="61"/>
        <v>284.36768233481013</v>
      </c>
      <c r="BN36" s="22">
        <f t="shared" si="62"/>
        <v>144.64285714285714</v>
      </c>
      <c r="BO36">
        <f t="shared" si="63"/>
        <v>123.50464922406054</v>
      </c>
    </row>
    <row r="37" spans="1:67" x14ac:dyDescent="0.25">
      <c r="A37" s="6" t="s">
        <v>331</v>
      </c>
      <c r="B37" s="4" cm="1">
        <f t="array" ref="B37">AVERAGE(_xlfn._xlws.FILTER($AZ$3:$AZ$82,ISNUMBER($AZ$3:$AZ$82)))</f>
        <v>1.3949374744902442E-2</v>
      </c>
      <c r="C37" s="4">
        <v>1.1405453029375102E-2</v>
      </c>
      <c r="L37" s="1">
        <f t="shared" si="33"/>
        <v>41883</v>
      </c>
      <c r="M37" s="10">
        <f t="shared" si="38"/>
        <v>211292.63093347588</v>
      </c>
      <c r="N37" s="10">
        <f t="shared" si="39"/>
        <v>156995.06986488478</v>
      </c>
      <c r="O37" s="7">
        <f t="shared" si="24"/>
        <v>1.3458551986079652</v>
      </c>
      <c r="P37" s="7">
        <f t="shared" si="40"/>
        <v>0.7962798853526365</v>
      </c>
      <c r="Q37">
        <v>35</v>
      </c>
      <c r="R37">
        <f t="shared" si="41"/>
        <v>92</v>
      </c>
      <c r="S37" s="22"/>
      <c r="T37" s="22">
        <f>IF($B$10="3BR_H",
INDEX('3BR_H-processed'!$E:$F,MATCH($L37,'3BR_H-processed'!$B:$B,0),MATCH(Council_Area,'3BR_H-processed'!$E$1:$F$1,0)),
INDEX('2BR_F-processed'!$E:$F,MATCH($L37,'2BR_F-processed'!$B:$B,0),MATCH(Council_Area,'2BR_F-processed'!$E$1:$F$1,0)))</f>
        <v>330</v>
      </c>
      <c r="U37" s="22">
        <f t="shared" si="25"/>
        <v>330</v>
      </c>
      <c r="V37" s="22">
        <f t="shared" si="34"/>
        <v>4337.1428571428569</v>
      </c>
      <c r="W37" s="22">
        <f>$B$53/4*BH37/_xlfn.XLOOKUP(Q_end,cpi!A:A,cpi!B:B)</f>
        <v>146.92467173462336</v>
      </c>
      <c r="X37" s="22">
        <f t="shared" si="42"/>
        <v>4484.0675288774801</v>
      </c>
      <c r="Y37" s="22">
        <f t="shared" si="43"/>
        <v>1147.2030976456153</v>
      </c>
      <c r="Z37" s="22">
        <f t="shared" si="64"/>
        <v>0</v>
      </c>
      <c r="AA37" s="22" cm="1">
        <f t="array" ref="AA37">(Y37+Z37)*eff_invest</f>
        <v>1147.2030976456153</v>
      </c>
      <c r="AB37" s="22">
        <f>AA37*(_xlfn.XLOOKUP(Q_end,cpi!A:A,cpi!B:B)/BH37)</f>
        <v>1561.620773558989</v>
      </c>
      <c r="AC37" s="22" cm="1">
        <f t="array" ref="AC37">INDEX('msci-indices'!C:C,MATCH($L37,'msci-indices'!$B:$B)-2)</f>
        <v>1282.9430809999999</v>
      </c>
      <c r="AD37" s="22" cm="1">
        <f t="array" ref="AD37">INDEX('msci-indices'!D:D,MATCH($L37,'msci-indices'!$B:$B)-2)</f>
        <v>1158.3053090000001</v>
      </c>
      <c r="AE37" s="22">
        <f t="shared" si="65"/>
        <v>216060.24280899635</v>
      </c>
      <c r="AF37" s="22" cm="1">
        <f t="array" ref="AF37">INDEX('msci-indices'!C:C,MATCH($L37,'msci-indices'!$B:$B)+1)</f>
        <v>1247.292238</v>
      </c>
      <c r="AG37" s="22" cm="1">
        <f t="array" ref="AG37">INDEX('msci-indices'!D:D,MATCH($L37,'msci-indices'!$B:$B)+1)</f>
        <v>1150.6246120000001</v>
      </c>
      <c r="AH37" s="22">
        <f t="shared" si="44"/>
        <v>135.03765175562273</v>
      </c>
      <c r="AI37" s="22">
        <f t="shared" si="45"/>
        <v>211292.63093347588</v>
      </c>
      <c r="AJ37" s="22">
        <f t="shared" si="66"/>
        <v>139436.36238785431</v>
      </c>
      <c r="AK37" s="22">
        <f t="shared" si="46"/>
        <v>71856.26854562157</v>
      </c>
      <c r="AL37" s="22">
        <f>AJ37*(_xlfn.XLOOKUP(Q_end,cpi!A:A,cpi!B:B)/BH37)</f>
        <v>189806.60054113375</v>
      </c>
      <c r="AM37" s="22" cm="1">
        <f t="array" ref="AM37">SUMPRODUCT($AA$3:AA37,_xlfn.SORTBY($BH$3:BH37,_xlfn.SEQUENCE(ROWS($BH$3:BH37)),-1)/$BH$3)</f>
        <v>168091.65209442977</v>
      </c>
      <c r="AN37" s="22">
        <f t="shared" si="30"/>
        <v>43200.978839046118</v>
      </c>
      <c r="AO37" s="22">
        <f t="shared" si="47"/>
        <v>0</v>
      </c>
      <c r="AP37" s="22">
        <f t="shared" si="31"/>
        <v>211292.63093347588</v>
      </c>
      <c r="AQ37" s="22"/>
      <c r="AR37" s="10">
        <f>IF($B$10="3BR_H",
INDEX('ns-combined'!$C:$D,MATCH($L37,'ns-combined'!$B:$B,0),MATCH(Council_Area,'ns-combined'!$C$1:$D$1,0))*1000,
INDEX('s-combined'!$C:$D,MATCH($L37,'s-combined'!$B:$B,0),MATCH(Council_Area,'s-combined'!$C$1:$D$1,0))*1000)</f>
        <v>410000</v>
      </c>
      <c r="AS37" s="22">
        <f t="shared" si="35"/>
        <v>24500</v>
      </c>
      <c r="AT37" s="10">
        <v>0</v>
      </c>
      <c r="AU37" s="22">
        <f t="shared" si="48"/>
        <v>8200</v>
      </c>
      <c r="AV37" s="22">
        <f t="shared" si="49"/>
        <v>1178.75</v>
      </c>
      <c r="AW37" s="22">
        <f>SUM($AV$3:AV37)</f>
        <v>37240.737500000003</v>
      </c>
      <c r="AX37" s="22">
        <f t="shared" si="50"/>
        <v>340059.26250000001</v>
      </c>
      <c r="AY37" s="22">
        <f t="shared" si="51"/>
        <v>1518</v>
      </c>
      <c r="AZ37" s="24">
        <f t="shared" si="52"/>
        <v>1.4809756097560975E-2</v>
      </c>
      <c r="BA37" s="24">
        <f t="shared" si="53"/>
        <v>0.35000000000000003</v>
      </c>
      <c r="BB37" s="25">
        <f>IF(MortgageRate="Discounted",_xlfn.XLOOKUP(L37,'mortgage-rates'!$A:$A,'mortgage-rates'!$E:$E)/100,_xlfn.XLOOKUP(L37,'mortgage-rates'!$A:$A,'mortgage-rates'!$D:$D)/100)</f>
        <v>5.0799999999999998E-2</v>
      </c>
      <c r="BC37" s="10">
        <f t="shared" si="67"/>
        <v>183064.19263511524</v>
      </c>
      <c r="BD37" s="10">
        <f t="shared" si="54"/>
        <v>4113.2706265230954</v>
      </c>
      <c r="BE37" s="10">
        <f t="shared" si="55"/>
        <v>2324.9152464659633</v>
      </c>
      <c r="BF37" s="10">
        <f t="shared" si="36"/>
        <v>1788.3553800571322</v>
      </c>
      <c r="BG37" s="12">
        <f t="shared" si="56"/>
        <v>5631.2706265230954</v>
      </c>
      <c r="BH37" s="22">
        <f>INDEX(cpi!B:B,MATCH($L37,cpi!A:A))</f>
        <v>106.3</v>
      </c>
      <c r="BI37" s="22">
        <f t="shared" si="57"/>
        <v>125.6501182033097</v>
      </c>
      <c r="BJ37" s="22">
        <f t="shared" si="58"/>
        <v>169.95333591014156</v>
      </c>
      <c r="BK37" s="22">
        <f t="shared" si="59"/>
        <v>162.46513216960426</v>
      </c>
      <c r="BL37" s="22">
        <f t="shared" si="60"/>
        <v>167.70687478798038</v>
      </c>
      <c r="BM37" s="22">
        <f t="shared" si="61"/>
        <v>295.66951985042238</v>
      </c>
      <c r="BN37" s="22">
        <f t="shared" si="62"/>
        <v>146.42857142857142</v>
      </c>
      <c r="BO37">
        <f t="shared" si="63"/>
        <v>124.61176001758918</v>
      </c>
    </row>
    <row r="38" spans="1:67" x14ac:dyDescent="0.25">
      <c r="A38" s="6" t="s">
        <v>332</v>
      </c>
      <c r="B38" s="31" cm="1">
        <f t="array" ref="B38">AVERAGE(_xlfn._xlws.FILTER($BA$3:$BA$82,ISNUMBER($BA$3:$BA$82)))</f>
        <v>0.35000000000000048</v>
      </c>
      <c r="C38" s="31">
        <v>0.35000000000000048</v>
      </c>
      <c r="L38" s="1">
        <f t="shared" si="33"/>
        <v>41974</v>
      </c>
      <c r="M38" s="10">
        <f t="shared" si="38"/>
        <v>215843.60614633796</v>
      </c>
      <c r="N38" s="10">
        <f t="shared" si="39"/>
        <v>171561.5502449419</v>
      </c>
      <c r="O38" s="7">
        <f t="shared" si="24"/>
        <v>1.2581117729361484</v>
      </c>
      <c r="P38" s="7">
        <f t="shared" si="40"/>
        <v>0.7963289744516544</v>
      </c>
      <c r="Q38">
        <v>36</v>
      </c>
      <c r="R38">
        <f t="shared" si="41"/>
        <v>92</v>
      </c>
      <c r="S38" s="22"/>
      <c r="T38" s="22">
        <f>IF($B$10="3BR_H",
INDEX('3BR_H-processed'!$E:$F,MATCH($L38,'3BR_H-processed'!$B:$B,0),MATCH(Council_Area,'3BR_H-processed'!$E$1:$F$1,0)),
INDEX('2BR_F-processed'!$E:$F,MATCH($L38,'2BR_F-processed'!$B:$B,0),MATCH(Council_Area,'2BR_F-processed'!$E$1:$F$1,0)))</f>
        <v>330</v>
      </c>
      <c r="U38" s="22">
        <f t="shared" si="25"/>
        <v>330</v>
      </c>
      <c r="V38" s="22">
        <f t="shared" si="34"/>
        <v>4337.1428571428569</v>
      </c>
      <c r="W38" s="22">
        <f>$B$53/4*BH38/_xlfn.XLOOKUP(Q_end,cpi!A:A,cpi!B:B)</f>
        <v>147.20110573600553</v>
      </c>
      <c r="X38" s="22">
        <f t="shared" si="42"/>
        <v>4484.3439628788628</v>
      </c>
      <c r="Y38" s="22">
        <f t="shared" si="43"/>
        <v>1146.9266636442335</v>
      </c>
      <c r="Z38" s="22">
        <f t="shared" si="64"/>
        <v>0</v>
      </c>
      <c r="AA38" s="22" cm="1">
        <f t="array" ref="AA38">(Y38+Z38)*eff_invest</f>
        <v>1146.9266636442335</v>
      </c>
      <c r="AB38" s="22">
        <f>AA38*(_xlfn.XLOOKUP(Q_end,cpi!A:A,cpi!B:B)/BH38)</f>
        <v>1558.3125655335266</v>
      </c>
      <c r="AC38" s="22" cm="1">
        <f t="array" ref="AC38">INDEX('msci-indices'!C:C,MATCH($L38,'msci-indices'!$B:$B)-2)</f>
        <v>1247.292238</v>
      </c>
      <c r="AD38" s="22" cm="1">
        <f t="array" ref="AD38">INDEX('msci-indices'!D:D,MATCH($L38,'msci-indices'!$B:$B)-2)</f>
        <v>1150.6246120000001</v>
      </c>
      <c r="AE38" s="22">
        <f t="shared" si="65"/>
        <v>212439.55759712012</v>
      </c>
      <c r="AF38" s="22" cm="1">
        <f t="array" ref="AF38">INDEX('msci-indices'!C:C,MATCH($L38,'msci-indices'!$B:$B)+1)</f>
        <v>1262.6926370000001</v>
      </c>
      <c r="AG38" s="22" cm="1">
        <f t="array" ref="AG38">INDEX('msci-indices'!D:D,MATCH($L38,'msci-indices'!$B:$B)+1)</f>
        <v>1181.3296580000001</v>
      </c>
      <c r="AH38" s="22">
        <f t="shared" si="44"/>
        <v>132.77472349820007</v>
      </c>
      <c r="AI38" s="22">
        <f t="shared" si="45"/>
        <v>215843.60614633796</v>
      </c>
      <c r="AJ38" s="22">
        <f t="shared" si="66"/>
        <v>140583.28905149855</v>
      </c>
      <c r="AK38" s="22">
        <f t="shared" si="46"/>
        <v>75260.317094839411</v>
      </c>
      <c r="AL38" s="22">
        <f>AJ38*(_xlfn.XLOOKUP(Q_end,cpi!A:A,cpi!B:B)/BH38)</f>
        <v>191008.46878640223</v>
      </c>
      <c r="AM38" s="22" cm="1">
        <f t="array" ref="AM38">SUMPRODUCT($AA$3:AA38,_xlfn.SORTBY($BH$3:BH38,_xlfn.SEQUENCE(ROWS($BH$3:BH38)),-1)/$BH$3)</f>
        <v>169907.22383274577</v>
      </c>
      <c r="AN38" s="22">
        <f t="shared" si="30"/>
        <v>45936.382313592185</v>
      </c>
      <c r="AO38" s="22">
        <f t="shared" si="47"/>
        <v>0</v>
      </c>
      <c r="AP38" s="22">
        <f t="shared" si="31"/>
        <v>215843.60614633796</v>
      </c>
      <c r="AQ38" s="22"/>
      <c r="AR38" s="10">
        <f>IF($B$10="3BR_H",
INDEX('ns-combined'!$C:$D,MATCH($L38,'ns-combined'!$B:$B,0),MATCH(Council_Area,'ns-combined'!$C$1:$D$1,0))*1000,
INDEX('s-combined'!$C:$D,MATCH($L38,'s-combined'!$B:$B,0),MATCH(Council_Area,'s-combined'!$C$1:$D$1,0))*1000)</f>
        <v>425000</v>
      </c>
      <c r="AS38" s="22">
        <f t="shared" si="35"/>
        <v>25200</v>
      </c>
      <c r="AT38" s="10">
        <v>0</v>
      </c>
      <c r="AU38" s="22">
        <f t="shared" si="48"/>
        <v>8500</v>
      </c>
      <c r="AV38" s="22">
        <f t="shared" si="49"/>
        <v>1221.875</v>
      </c>
      <c r="AW38" s="22">
        <f>SUM($AV$3:AV38)</f>
        <v>38462.612500000003</v>
      </c>
      <c r="AX38" s="22">
        <f t="shared" si="50"/>
        <v>352837.38750000001</v>
      </c>
      <c r="AY38" s="22">
        <f t="shared" si="51"/>
        <v>1518</v>
      </c>
      <c r="AZ38" s="24">
        <f t="shared" si="52"/>
        <v>1.4287058823529411E-2</v>
      </c>
      <c r="BA38" s="24">
        <f t="shared" si="53"/>
        <v>0.35000000000000003</v>
      </c>
      <c r="BB38" s="25">
        <f>IF(MortgageRate="Discounted",_xlfn.XLOOKUP(L38,'mortgage-rates'!$A:$A,'mortgage-rates'!$E:$E)/100,_xlfn.XLOOKUP(L38,'mortgage-rates'!$A:$A,'mortgage-rates'!$D:$D)/100)</f>
        <v>5.0799999999999998E-2</v>
      </c>
      <c r="BC38" s="10">
        <f t="shared" si="67"/>
        <v>181275.83725505811</v>
      </c>
      <c r="BD38" s="10">
        <f t="shared" si="54"/>
        <v>4113.2706265230963</v>
      </c>
      <c r="BE38" s="10">
        <f t="shared" si="55"/>
        <v>2302.2031331392377</v>
      </c>
      <c r="BF38" s="10">
        <f t="shared" si="36"/>
        <v>1811.0674933838586</v>
      </c>
      <c r="BG38" s="12">
        <f t="shared" si="56"/>
        <v>5631.2706265230963</v>
      </c>
      <c r="BH38" s="22">
        <f>INDEX(cpi!B:B,MATCH($L38,cpi!A:A))</f>
        <v>106.5</v>
      </c>
      <c r="BI38" s="22">
        <f t="shared" si="57"/>
        <v>125.88652482269504</v>
      </c>
      <c r="BJ38" s="22">
        <f t="shared" si="58"/>
        <v>165.23061688574342</v>
      </c>
      <c r="BK38" s="22">
        <f t="shared" si="59"/>
        <v>161.38782945540277</v>
      </c>
      <c r="BL38" s="22">
        <f t="shared" si="60"/>
        <v>164.07778065664121</v>
      </c>
      <c r="BM38" s="22">
        <f t="shared" si="61"/>
        <v>290.71476165795218</v>
      </c>
      <c r="BN38" s="22">
        <f t="shared" si="62"/>
        <v>151.78571428571428</v>
      </c>
      <c r="BO38">
        <f t="shared" si="63"/>
        <v>129.29419282141484</v>
      </c>
    </row>
    <row r="39" spans="1:67" x14ac:dyDescent="0.25">
      <c r="A39" s="6"/>
      <c r="B39" s="31"/>
      <c r="C39" s="31"/>
      <c r="L39" s="1">
        <f t="shared" si="33"/>
        <v>42064</v>
      </c>
      <c r="M39" s="10">
        <f t="shared" si="38"/>
        <v>227346.40908191504</v>
      </c>
      <c r="N39" s="10">
        <f t="shared" si="39"/>
        <v>162168.05523832576</v>
      </c>
      <c r="O39" s="7">
        <f t="shared" si="24"/>
        <v>1.4019185760586554</v>
      </c>
      <c r="P39" s="7">
        <f t="shared" si="40"/>
        <v>0.81145137499936082</v>
      </c>
      <c r="Q39">
        <v>37</v>
      </c>
      <c r="R39">
        <f t="shared" si="41"/>
        <v>90</v>
      </c>
      <c r="S39" s="22"/>
      <c r="T39" s="22">
        <f>IF($B$10="3BR_H",
INDEX('3BR_H-processed'!$E:$F,MATCH($L39,'3BR_H-processed'!$B:$B,0),MATCH(Council_Area,'3BR_H-processed'!$E$1:$F$1,0)),
INDEX('2BR_F-processed'!$E:$F,MATCH($L39,'2BR_F-processed'!$B:$B,0),MATCH(Council_Area,'2BR_F-processed'!$E$1:$F$1,0)))</f>
        <v>340</v>
      </c>
      <c r="U39" s="22">
        <f t="shared" si="25"/>
        <v>340</v>
      </c>
      <c r="V39" s="22">
        <f t="shared" si="34"/>
        <v>4371.4285714285716</v>
      </c>
      <c r="W39" s="22">
        <f>$B$53/4*BH39/_xlfn.XLOOKUP(Q_end,cpi!A:A,cpi!B:B)</f>
        <v>147.6157567380788</v>
      </c>
      <c r="X39" s="22">
        <f t="shared" si="42"/>
        <v>4519.0443281666503</v>
      </c>
      <c r="Y39" s="22">
        <f t="shared" si="43"/>
        <v>1050.0439344174265</v>
      </c>
      <c r="Z39" s="22">
        <f t="shared" si="64"/>
        <v>0</v>
      </c>
      <c r="AA39" s="22" cm="1">
        <f t="array" ref="AA39">(Y39+Z39)*eff_invest</f>
        <v>1050.0439344174265</v>
      </c>
      <c r="AB39" s="22">
        <f>AA39*(_xlfn.XLOOKUP(Q_end,cpi!A:A,cpi!B:B)/BH39)</f>
        <v>1422.6718849269814</v>
      </c>
      <c r="AC39" s="22" cm="1">
        <f t="array" ref="AC39">INDEX('msci-indices'!C:C,MATCH($L39,'msci-indices'!$B:$B)-2)</f>
        <v>1262.6926370000001</v>
      </c>
      <c r="AD39" s="22" cm="1">
        <f t="array" ref="AD39">INDEX('msci-indices'!D:D,MATCH($L39,'msci-indices'!$B:$B)-2)</f>
        <v>1181.3296580000001</v>
      </c>
      <c r="AE39" s="22">
        <f t="shared" si="65"/>
        <v>216893.65008075538</v>
      </c>
      <c r="AF39" s="22" cm="1">
        <f t="array" ref="AF39">INDEX('msci-indices'!C:C,MATCH($L39,'msci-indices'!$B:$B)+1)</f>
        <v>1295.5072580000001</v>
      </c>
      <c r="AG39" s="22" cm="1">
        <f t="array" ref="AG39">INDEX('msci-indices'!D:D,MATCH($L39,'msci-indices'!$B:$B)+1)</f>
        <v>1301.9298140000001</v>
      </c>
      <c r="AH39" s="22">
        <f t="shared" si="44"/>
        <v>135.55853130047211</v>
      </c>
      <c r="AI39" s="22">
        <f t="shared" si="45"/>
        <v>227346.40908191504</v>
      </c>
      <c r="AJ39" s="22">
        <f t="shared" si="66"/>
        <v>141633.33298591597</v>
      </c>
      <c r="AK39" s="22">
        <f t="shared" si="46"/>
        <v>85713.076095999073</v>
      </c>
      <c r="AL39" s="22">
        <f>AJ39*(_xlfn.XLOOKUP(Q_end,cpi!A:A,cpi!B:B)/BH39)</f>
        <v>191894.6000286708</v>
      </c>
      <c r="AM39" s="22" cm="1">
        <f t="array" ref="AM39">SUMPRODUCT($AA$3:AA39,_xlfn.SORTBY($BH$3:BH39,_xlfn.SEQUENCE(ROWS($BH$3:BH39)),-1)/$BH$3)</f>
        <v>171711.33253776398</v>
      </c>
      <c r="AN39" s="22">
        <f t="shared" si="30"/>
        <v>55635.076544151059</v>
      </c>
      <c r="AO39" s="22">
        <f t="shared" si="47"/>
        <v>0</v>
      </c>
      <c r="AP39" s="22">
        <f t="shared" si="31"/>
        <v>227346.40908191504</v>
      </c>
      <c r="AQ39" s="22"/>
      <c r="AR39" s="10">
        <f>IF($B$10="3BR_H",
INDEX('ns-combined'!$C:$D,MATCH($L39,'ns-combined'!$B:$B,0),MATCH(Council_Area,'ns-combined'!$C$1:$D$1,0))*1000,
INDEX('s-combined'!$C:$D,MATCH($L39,'s-combined'!$B:$B,0),MATCH(Council_Area,'s-combined'!$C$1:$D$1,0))*1000)</f>
        <v>415500</v>
      </c>
      <c r="AS39" s="22">
        <f t="shared" si="35"/>
        <v>25900</v>
      </c>
      <c r="AT39" s="10">
        <v>0</v>
      </c>
      <c r="AU39" s="22">
        <f t="shared" si="48"/>
        <v>8310</v>
      </c>
      <c r="AV39" s="22">
        <f t="shared" si="49"/>
        <v>1194.5625</v>
      </c>
      <c r="AW39" s="22">
        <f>SUM($AV$3:AV39)</f>
        <v>39657.175000000003</v>
      </c>
      <c r="AX39" s="22">
        <f t="shared" si="50"/>
        <v>341632.82500000001</v>
      </c>
      <c r="AY39" s="22">
        <f t="shared" si="51"/>
        <v>1530.0000000000002</v>
      </c>
      <c r="AZ39" s="24">
        <f t="shared" si="52"/>
        <v>1.472924187725632E-2</v>
      </c>
      <c r="BA39" s="24">
        <f t="shared" si="53"/>
        <v>0.35000000000000003</v>
      </c>
      <c r="BB39" s="25">
        <f>IF(MortgageRate="Discounted",_xlfn.XLOOKUP(L39,'mortgage-rates'!$A:$A,'mortgage-rates'!$E:$E)/100,_xlfn.XLOOKUP(L39,'mortgage-rates'!$A:$A,'mortgage-rates'!$D:$D)/100)</f>
        <v>4.82E-2</v>
      </c>
      <c r="BC39" s="10">
        <f t="shared" si="67"/>
        <v>179464.76976167425</v>
      </c>
      <c r="BD39" s="10">
        <f t="shared" si="54"/>
        <v>4039.0882625840763</v>
      </c>
      <c r="BE39" s="10">
        <f t="shared" si="55"/>
        <v>2162.5504756281748</v>
      </c>
      <c r="BF39" s="10">
        <f t="shared" si="36"/>
        <v>1876.5377869559015</v>
      </c>
      <c r="BG39" s="12">
        <f t="shared" si="56"/>
        <v>5569.0882625840768</v>
      </c>
      <c r="BH39" s="22">
        <f>INDEX(cpi!B:B,MATCH($L39,cpi!A:A))</f>
        <v>106.8</v>
      </c>
      <c r="BI39" s="22">
        <f t="shared" si="57"/>
        <v>126.24113475177306</v>
      </c>
      <c r="BJ39" s="22">
        <f t="shared" si="58"/>
        <v>167.2707301403058</v>
      </c>
      <c r="BK39" s="22">
        <f t="shared" si="59"/>
        <v>165.69455180045574</v>
      </c>
      <c r="BL39" s="22">
        <f t="shared" si="60"/>
        <v>166.79787663835077</v>
      </c>
      <c r="BM39" s="22">
        <f t="shared" si="61"/>
        <v>296.81000328539972</v>
      </c>
      <c r="BN39" s="22">
        <f t="shared" si="62"/>
        <v>148.39285714285714</v>
      </c>
      <c r="BO39">
        <f t="shared" si="63"/>
        <v>125.18837831400356</v>
      </c>
    </row>
    <row r="40" spans="1:67" x14ac:dyDescent="0.25">
      <c r="A40" s="5" t="s">
        <v>347</v>
      </c>
      <c r="L40" s="1">
        <f t="shared" si="33"/>
        <v>42156</v>
      </c>
      <c r="M40" s="10">
        <f t="shared" si="38"/>
        <v>224354.43431142054</v>
      </c>
      <c r="N40" s="10">
        <f t="shared" si="39"/>
        <v>166547.09302528168</v>
      </c>
      <c r="O40" s="7">
        <f t="shared" si="24"/>
        <v>1.3470930668082197</v>
      </c>
      <c r="P40" s="7">
        <f t="shared" si="40"/>
        <v>0.82408060687152018</v>
      </c>
      <c r="Q40">
        <v>38</v>
      </c>
      <c r="R40">
        <f t="shared" si="41"/>
        <v>91</v>
      </c>
      <c r="S40" s="22"/>
      <c r="T40" s="22">
        <f>IF($B$10="3BR_H",
INDEX('3BR_H-processed'!$E:$F,MATCH($L40,'3BR_H-processed'!$B:$B,0),MATCH(Council_Area,'3BR_H-processed'!$E$1:$F$1,0)),
INDEX('2BR_F-processed'!$E:$F,MATCH($L40,'2BR_F-processed'!$B:$B,0),MATCH(Council_Area,'2BR_F-processed'!$E$1:$F$1,0)))</f>
        <v>340</v>
      </c>
      <c r="U40" s="22">
        <f t="shared" si="25"/>
        <v>340</v>
      </c>
      <c r="V40" s="22">
        <f t="shared" si="34"/>
        <v>4420</v>
      </c>
      <c r="W40" s="22">
        <f>$B$53/4*BH40/_xlfn.XLOOKUP(Q_end,cpi!A:A,cpi!B:B)</f>
        <v>148.85970974429856</v>
      </c>
      <c r="X40" s="22">
        <f t="shared" si="42"/>
        <v>4568.8597097442989</v>
      </c>
      <c r="Y40" s="22">
        <f t="shared" si="43"/>
        <v>975.33059354312627</v>
      </c>
      <c r="Z40" s="22">
        <f t="shared" si="64"/>
        <v>0</v>
      </c>
      <c r="AA40" s="22" cm="1">
        <f t="array" ref="AA40">(Y40+Z40)*eff_invest</f>
        <v>975.33059354312627</v>
      </c>
      <c r="AB40" s="22">
        <f>AA40*(_xlfn.XLOOKUP(Q_end,cpi!A:A,cpi!B:B)/BH40)</f>
        <v>1310.4023851967536</v>
      </c>
      <c r="AC40" s="22" cm="1">
        <f t="array" ref="AC40">INDEX('msci-indices'!C:C,MATCH($L40,'msci-indices'!$B:$B)-2)</f>
        <v>1295.5072580000001</v>
      </c>
      <c r="AD40" s="22" cm="1">
        <f t="array" ref="AD40">INDEX('msci-indices'!D:D,MATCH($L40,'msci-indices'!$B:$B)-2)</f>
        <v>1301.9298140000001</v>
      </c>
      <c r="AE40" s="22">
        <f t="shared" si="65"/>
        <v>228321.73967545817</v>
      </c>
      <c r="AF40" s="22" cm="1">
        <f t="array" ref="AF40">INDEX('msci-indices'!C:C,MATCH($L40,'msci-indices'!$B:$B)+1)</f>
        <v>1301.506973</v>
      </c>
      <c r="AG40" s="22" cm="1">
        <f t="array" ref="AG40">INDEX('msci-indices'!D:D,MATCH($L40,'msci-indices'!$B:$B)+1)</f>
        <v>1215.1659059999999</v>
      </c>
      <c r="AH40" s="22">
        <f t="shared" si="44"/>
        <v>142.70108729716137</v>
      </c>
      <c r="AI40" s="22">
        <f t="shared" si="45"/>
        <v>224354.43431142054</v>
      </c>
      <c r="AJ40" s="22">
        <f t="shared" si="66"/>
        <v>142608.6635794591</v>
      </c>
      <c r="AK40" s="22">
        <f t="shared" si="46"/>
        <v>81745.770731961442</v>
      </c>
      <c r="AL40" s="22">
        <f>AJ40*(_xlfn.XLOOKUP(Q_end,cpi!A:A,cpi!B:B)/BH40)</f>
        <v>191601.42636905969</v>
      </c>
      <c r="AM40" s="22" cm="1">
        <f t="array" ref="AM40">SUMPRODUCT($AA$3:AA40,_xlfn.SORTBY($BH$3:BH40,_xlfn.SEQUENCE(ROWS($BH$3:BH40)),-1)/$BH$3)</f>
        <v>173951.3176693393</v>
      </c>
      <c r="AN40" s="22">
        <f t="shared" si="30"/>
        <v>50403.116642081237</v>
      </c>
      <c r="AO40" s="22">
        <f t="shared" si="47"/>
        <v>0</v>
      </c>
      <c r="AP40" s="22">
        <f t="shared" si="31"/>
        <v>224354.43431142054</v>
      </c>
      <c r="AQ40" s="22"/>
      <c r="AR40" s="10">
        <f>IF($B$10="3BR_H",
INDEX('ns-combined'!$C:$D,MATCH($L40,'ns-combined'!$B:$B,0),MATCH(Council_Area,'ns-combined'!$C$1:$D$1,0))*1000,
INDEX('s-combined'!$C:$D,MATCH($L40,'s-combined'!$B:$B,0),MATCH(Council_Area,'s-combined'!$C$1:$D$1,0))*1000)</f>
        <v>420000</v>
      </c>
      <c r="AS40" s="22">
        <f t="shared" si="35"/>
        <v>26600</v>
      </c>
      <c r="AT40" s="10">
        <v>0</v>
      </c>
      <c r="AU40" s="22">
        <f t="shared" si="48"/>
        <v>8400</v>
      </c>
      <c r="AV40" s="22">
        <f t="shared" si="49"/>
        <v>1207.5</v>
      </c>
      <c r="AW40" s="22">
        <f>SUM($AV$3:AV40)</f>
        <v>40864.675000000003</v>
      </c>
      <c r="AX40" s="22">
        <f t="shared" si="50"/>
        <v>344135.32500000001</v>
      </c>
      <c r="AY40" s="22">
        <f t="shared" si="51"/>
        <v>1547.0000000000002</v>
      </c>
      <c r="AZ40" s="24">
        <f t="shared" si="52"/>
        <v>1.4733333333333336E-2</v>
      </c>
      <c r="BA40" s="24">
        <f t="shared" si="53"/>
        <v>0.35000000000000003</v>
      </c>
      <c r="BB40" s="25">
        <f>IF(MortgageRate="Discounted",_xlfn.XLOOKUP(L40,'mortgage-rates'!$A:$A,'mortgage-rates'!$E:$E)/100,_xlfn.XLOOKUP(L40,'mortgage-rates'!$A:$A,'mortgage-rates'!$D:$D)/100)</f>
        <v>4.6699999999999998E-2</v>
      </c>
      <c r="BC40" s="10">
        <f t="shared" si="67"/>
        <v>177588.23197471834</v>
      </c>
      <c r="BD40" s="10">
        <f t="shared" si="54"/>
        <v>3997.1903032874247</v>
      </c>
      <c r="BE40" s="10">
        <f t="shared" si="55"/>
        <v>2073.3426083048366</v>
      </c>
      <c r="BF40" s="10">
        <f t="shared" si="36"/>
        <v>1923.8476949825881</v>
      </c>
      <c r="BG40" s="12">
        <f t="shared" si="56"/>
        <v>5544.1903032874252</v>
      </c>
      <c r="BH40" s="22">
        <f>INDEX(cpi!B:B,MATCH($L40,cpi!A:A))</f>
        <v>107.7</v>
      </c>
      <c r="BI40" s="22">
        <f t="shared" si="57"/>
        <v>127.3049645390071</v>
      </c>
      <c r="BJ40" s="22">
        <f t="shared" si="58"/>
        <v>171.61773071123525</v>
      </c>
      <c r="BK40" s="22">
        <f t="shared" si="59"/>
        <v>182.61005769685053</v>
      </c>
      <c r="BL40" s="22">
        <f t="shared" si="60"/>
        <v>174.91542880691983</v>
      </c>
      <c r="BM40" s="22">
        <f t="shared" si="61"/>
        <v>312.44887196083886</v>
      </c>
      <c r="BN40" s="22">
        <f t="shared" si="62"/>
        <v>150</v>
      </c>
      <c r="BO40">
        <f t="shared" si="63"/>
        <v>126.10539768042653</v>
      </c>
    </row>
    <row r="41" spans="1:67" x14ac:dyDescent="0.25">
      <c r="A41" t="s">
        <v>310</v>
      </c>
      <c r="B41" s="8">
        <v>0.7</v>
      </c>
      <c r="C41" s="8">
        <v>0.7</v>
      </c>
      <c r="L41" s="1">
        <f t="shared" si="33"/>
        <v>42248</v>
      </c>
      <c r="M41" s="10">
        <f t="shared" si="38"/>
        <v>206887.81468995943</v>
      </c>
      <c r="N41" s="10">
        <f t="shared" si="39"/>
        <v>173891.87822026428</v>
      </c>
      <c r="O41" s="7">
        <f t="shared" si="24"/>
        <v>1.1897497272868607</v>
      </c>
      <c r="P41" s="7">
        <f t="shared" si="40"/>
        <v>0.83073065747500319</v>
      </c>
      <c r="Q41">
        <v>39</v>
      </c>
      <c r="R41">
        <f t="shared" si="41"/>
        <v>92</v>
      </c>
      <c r="S41" s="22"/>
      <c r="T41" s="22">
        <f>IF($B$10="3BR_H",
INDEX('3BR_H-processed'!$E:$F,MATCH($L41,'3BR_H-processed'!$B:$B,0),MATCH(Council_Area,'3BR_H-processed'!$E$1:$F$1,0)),
INDEX('2BR_F-processed'!$E:$F,MATCH($L41,'2BR_F-processed'!$B:$B,0),MATCH(Council_Area,'2BR_F-processed'!$E$1:$F$1,0)))</f>
        <v>340</v>
      </c>
      <c r="U41" s="22">
        <f t="shared" si="25"/>
        <v>340</v>
      </c>
      <c r="V41" s="22">
        <f t="shared" si="34"/>
        <v>4468.5714285714284</v>
      </c>
      <c r="W41" s="22">
        <f>$B$53/4*BH41/_xlfn.XLOOKUP(Q_end,cpi!A:A,cpi!B:B)</f>
        <v>148.99792674498966</v>
      </c>
      <c r="X41" s="22">
        <f t="shared" si="42"/>
        <v>4617.5693553164183</v>
      </c>
      <c r="Y41" s="22">
        <f t="shared" si="43"/>
        <v>940.87406285653105</v>
      </c>
      <c r="Z41" s="22">
        <f t="shared" si="64"/>
        <v>0</v>
      </c>
      <c r="AA41" s="22" cm="1">
        <f t="array" ref="AA41">(Y41+Z41)*eff_invest</f>
        <v>940.87406285653105</v>
      </c>
      <c r="AB41" s="22">
        <f>AA41*(_xlfn.XLOOKUP(Q_end,cpi!A:A,cpi!B:B)/BH41)</f>
        <v>1262.9357782499076</v>
      </c>
      <c r="AC41" s="22" cm="1">
        <f t="array" ref="AC41">INDEX('msci-indices'!C:C,MATCH($L41,'msci-indices'!$B:$B)-2)</f>
        <v>1301.506973</v>
      </c>
      <c r="AD41" s="22" cm="1">
        <f t="array" ref="AD41">INDEX('msci-indices'!D:D,MATCH($L41,'msci-indices'!$B:$B)-2)</f>
        <v>1215.1659059999999</v>
      </c>
      <c r="AE41" s="22">
        <f t="shared" si="65"/>
        <v>225295.30837427708</v>
      </c>
      <c r="AF41" s="22" cm="1">
        <f t="array" ref="AF41">INDEX('msci-indices'!C:C,MATCH($L41,'msci-indices'!$B:$B)+1)</f>
        <v>1189.2854910000001</v>
      </c>
      <c r="AG41" s="22" cm="1">
        <f t="array" ref="AG41">INDEX('msci-indices'!D:D,MATCH($L41,'msci-indices'!$B:$B)+1)</f>
        <v>1131.230902</v>
      </c>
      <c r="AH41" s="22">
        <f t="shared" si="44"/>
        <v>140.80956773392319</v>
      </c>
      <c r="AI41" s="22">
        <f t="shared" si="45"/>
        <v>206887.81468995943</v>
      </c>
      <c r="AJ41" s="22">
        <f t="shared" si="66"/>
        <v>143549.53764231564</v>
      </c>
      <c r="AK41" s="22">
        <f t="shared" si="46"/>
        <v>63338.277047643787</v>
      </c>
      <c r="AL41" s="22">
        <f>AJ41*(_xlfn.XLOOKUP(Q_end,cpi!A:A,cpi!B:B)/BH41)</f>
        <v>192686.62427498214</v>
      </c>
      <c r="AM41" s="22" cm="1">
        <f t="array" ref="AM41">SUMPRODUCT($AA$3:AA41,_xlfn.SORTBY($BH$3:BH41,_xlfn.SEQUENCE(ROWS($BH$3:BH41)),-1)/$BH$3)</f>
        <v>175480.51602727958</v>
      </c>
      <c r="AN41" s="22">
        <f t="shared" si="30"/>
        <v>31407.298662679852</v>
      </c>
      <c r="AO41" s="22">
        <f t="shared" si="47"/>
        <v>0</v>
      </c>
      <c r="AP41" s="22">
        <f t="shared" si="31"/>
        <v>206887.81468995943</v>
      </c>
      <c r="AQ41" s="22"/>
      <c r="AR41" s="10">
        <f>IF($B$10="3BR_H",
INDEX('ns-combined'!$C:$D,MATCH($L41,'ns-combined'!$B:$B,0),MATCH(Council_Area,'ns-combined'!$C$1:$D$1,0))*1000,
INDEX('s-combined'!$C:$D,MATCH($L41,'s-combined'!$B:$B,0),MATCH(Council_Area,'s-combined'!$C$1:$D$1,0))*1000)</f>
        <v>427500</v>
      </c>
      <c r="AS41" s="22">
        <f t="shared" si="35"/>
        <v>27300</v>
      </c>
      <c r="AT41" s="10">
        <v>0</v>
      </c>
      <c r="AU41" s="22">
        <f t="shared" si="48"/>
        <v>8550</v>
      </c>
      <c r="AV41" s="22">
        <f t="shared" si="49"/>
        <v>1229.0625</v>
      </c>
      <c r="AW41" s="22">
        <f>SUM($AV$3:AV41)</f>
        <v>42093.737500000003</v>
      </c>
      <c r="AX41" s="22">
        <f t="shared" si="50"/>
        <v>349556.26250000001</v>
      </c>
      <c r="AY41" s="22">
        <f t="shared" si="51"/>
        <v>1564</v>
      </c>
      <c r="AZ41" s="24">
        <f t="shared" si="52"/>
        <v>1.4633918128654971E-2</v>
      </c>
      <c r="BA41" s="24">
        <f t="shared" si="53"/>
        <v>0.35000000000000003</v>
      </c>
      <c r="BB41" s="25">
        <f>IF(MortgageRate="Discounted",_xlfn.XLOOKUP(L41,'mortgage-rates'!$A:$A,'mortgage-rates'!$E:$E)/100,_xlfn.XLOOKUP(L41,'mortgage-rates'!$A:$A,'mortgage-rates'!$D:$D)/100)</f>
        <v>4.6600000000000003E-2</v>
      </c>
      <c r="BC41" s="10">
        <f t="shared" si="67"/>
        <v>175664.38427973574</v>
      </c>
      <c r="BD41" s="10">
        <f t="shared" si="54"/>
        <v>3994.4434181729494</v>
      </c>
      <c r="BE41" s="10">
        <f t="shared" si="55"/>
        <v>2046.4900768589214</v>
      </c>
      <c r="BF41" s="10">
        <f t="shared" si="36"/>
        <v>1947.953341314028</v>
      </c>
      <c r="BG41" s="12">
        <f t="shared" si="56"/>
        <v>5558.4434181729494</v>
      </c>
      <c r="BH41" s="22">
        <f>INDEX(cpi!B:B,MATCH($L41,cpi!A:A))</f>
        <v>107.8</v>
      </c>
      <c r="BI41" s="22">
        <f t="shared" si="57"/>
        <v>127.42316784869978</v>
      </c>
      <c r="BJ41" s="22">
        <f t="shared" si="58"/>
        <v>172.41252168354035</v>
      </c>
      <c r="BK41" s="22">
        <f t="shared" si="59"/>
        <v>170.44045986176764</v>
      </c>
      <c r="BL41" s="22">
        <f t="shared" si="60"/>
        <v>171.82090313700854</v>
      </c>
      <c r="BM41" s="22">
        <f t="shared" si="61"/>
        <v>308.30732570481825</v>
      </c>
      <c r="BN41" s="22">
        <f t="shared" si="62"/>
        <v>152.67857142857142</v>
      </c>
      <c r="BO41">
        <f t="shared" si="63"/>
        <v>128.09185309368073</v>
      </c>
    </row>
    <row r="42" spans="1:67" x14ac:dyDescent="0.25">
      <c r="A42" t="s">
        <v>311</v>
      </c>
      <c r="B42" s="8">
        <f>1-GlobalPortfolio</f>
        <v>0.30000000000000004</v>
      </c>
      <c r="C42" s="8">
        <v>0.30000000000000004</v>
      </c>
      <c r="L42" s="1">
        <f t="shared" si="33"/>
        <v>42339</v>
      </c>
      <c r="M42" s="10">
        <f t="shared" si="38"/>
        <v>219517.29871921684</v>
      </c>
      <c r="N42" s="10">
        <f t="shared" si="39"/>
        <v>182216.33156157829</v>
      </c>
      <c r="O42" s="7">
        <f t="shared" si="24"/>
        <v>1.2047070470466201</v>
      </c>
      <c r="P42" s="7">
        <f t="shared" si="40"/>
        <v>0.82400702119270175</v>
      </c>
      <c r="Q42">
        <v>40</v>
      </c>
      <c r="R42">
        <f t="shared" si="41"/>
        <v>92</v>
      </c>
      <c r="S42" s="22"/>
      <c r="T42" s="22">
        <f>IF($B$10="3BR_H",
INDEX('3BR_H-processed'!$E:$F,MATCH($L42,'3BR_H-processed'!$B:$B,0),MATCH(Council_Area,'3BR_H-processed'!$E$1:$F$1,0)),
INDEX('2BR_F-processed'!$E:$F,MATCH($L42,'2BR_F-processed'!$B:$B,0),MATCH(Council_Area,'2BR_F-processed'!$E$1:$F$1,0)))</f>
        <v>330</v>
      </c>
      <c r="U42" s="22">
        <f t="shared" si="25"/>
        <v>340</v>
      </c>
      <c r="V42" s="22">
        <f t="shared" si="34"/>
        <v>4468.5714285714284</v>
      </c>
      <c r="W42" s="22">
        <f>$B$53/4*BH42/_xlfn.XLOOKUP(Q_end,cpi!A:A,cpi!B:B)</f>
        <v>149.68901174844507</v>
      </c>
      <c r="X42" s="22">
        <f t="shared" si="42"/>
        <v>4618.2604403198739</v>
      </c>
      <c r="Y42" s="22">
        <f t="shared" si="43"/>
        <v>986.37680371138867</v>
      </c>
      <c r="Z42" s="22">
        <f t="shared" si="64"/>
        <v>0</v>
      </c>
      <c r="AA42" s="22" cm="1">
        <f t="array" ref="AA42">(Y42+Z42)*eff_invest</f>
        <v>986.37680371138867</v>
      </c>
      <c r="AB42" s="22">
        <f>AA42*(_xlfn.XLOOKUP(Q_end,cpi!A:A,cpi!B:B)/BH42)</f>
        <v>1317.9014173318369</v>
      </c>
      <c r="AC42" s="22" cm="1">
        <f t="array" ref="AC42">INDEX('msci-indices'!C:C,MATCH($L42,'msci-indices'!$B:$B)-2)</f>
        <v>1189.2854910000001</v>
      </c>
      <c r="AD42" s="22" cm="1">
        <f t="array" ref="AD42">INDEX('msci-indices'!D:D,MATCH($L42,'msci-indices'!$B:$B)-2)</f>
        <v>1131.230902</v>
      </c>
      <c r="AE42" s="22">
        <f t="shared" si="65"/>
        <v>207874.19149367081</v>
      </c>
      <c r="AF42" s="22" cm="1">
        <f t="array" ref="AF42">INDEX('msci-indices'!C:C,MATCH($L42,'msci-indices'!$B:$B)+1)</f>
        <v>1252.64913</v>
      </c>
      <c r="AG42" s="22" cm="1">
        <f t="array" ref="AG42">INDEX('msci-indices'!D:D,MATCH($L42,'msci-indices'!$B:$B)+1)</f>
        <v>1204.1584660000001</v>
      </c>
      <c r="AH42" s="22">
        <f t="shared" si="44"/>
        <v>129.92136968354424</v>
      </c>
      <c r="AI42" s="22">
        <f t="shared" si="45"/>
        <v>219517.29871921684</v>
      </c>
      <c r="AJ42" s="22">
        <f t="shared" si="66"/>
        <v>144535.91444602702</v>
      </c>
      <c r="AK42" s="22">
        <f t="shared" si="46"/>
        <v>74981.384273189818</v>
      </c>
      <c r="AL42" s="22">
        <f>AJ42*(_xlfn.XLOOKUP(Q_end,cpi!A:A,cpi!B:B)/BH42)</f>
        <v>193114.92908901299</v>
      </c>
      <c r="AM42" s="22" cm="1">
        <f t="array" ref="AM42">SUMPRODUCT($AA$3:AA42,_xlfn.SORTBY($BH$3:BH42,_xlfn.SEQUENCE(ROWS($BH$3:BH42)),-1)/$BH$3)</f>
        <v>177395.31715598083</v>
      </c>
      <c r="AN42" s="22">
        <f t="shared" si="30"/>
        <v>42121.981563236011</v>
      </c>
      <c r="AO42" s="22">
        <f t="shared" si="47"/>
        <v>0</v>
      </c>
      <c r="AP42" s="22">
        <f t="shared" si="31"/>
        <v>219517.29871921684</v>
      </c>
      <c r="AQ42" s="22"/>
      <c r="AR42" s="10">
        <f>IF($B$10="3BR_H",
INDEX('ns-combined'!$C:$D,MATCH($L42,'ns-combined'!$B:$B,0),MATCH(Council_Area,'ns-combined'!$C$1:$D$1,0))*1000,
INDEX('s-combined'!$C:$D,MATCH($L42,'s-combined'!$B:$B,0),MATCH(Council_Area,'s-combined'!$C$1:$D$1,0))*1000)</f>
        <v>436000</v>
      </c>
      <c r="AS42" s="22">
        <f t="shared" si="35"/>
        <v>28000</v>
      </c>
      <c r="AT42" s="10">
        <v>0</v>
      </c>
      <c r="AU42" s="22">
        <f t="shared" si="48"/>
        <v>8720</v>
      </c>
      <c r="AV42" s="22">
        <f t="shared" si="49"/>
        <v>1253.5</v>
      </c>
      <c r="AW42" s="22">
        <f>SUM($AV$3:AV42)</f>
        <v>43347.237500000003</v>
      </c>
      <c r="AX42" s="22">
        <f t="shared" si="50"/>
        <v>355932.76250000001</v>
      </c>
      <c r="AY42" s="22">
        <f t="shared" si="51"/>
        <v>1564</v>
      </c>
      <c r="AZ42" s="24">
        <f t="shared" si="52"/>
        <v>1.4348623853211008E-2</v>
      </c>
      <c r="BA42" s="24">
        <f t="shared" si="53"/>
        <v>0.35000000000000003</v>
      </c>
      <c r="BB42" s="25">
        <f>IF(MortgageRate="Discounted",_xlfn.XLOOKUP(L42,'mortgage-rates'!$A:$A,'mortgage-rates'!$E:$E)/100,_xlfn.XLOOKUP(L42,'mortgage-rates'!$A:$A,'mortgage-rates'!$D:$D)/100)</f>
        <v>4.8300000000000003E-2</v>
      </c>
      <c r="BC42" s="10">
        <f t="shared" si="67"/>
        <v>173716.43093842172</v>
      </c>
      <c r="BD42" s="10">
        <f t="shared" si="54"/>
        <v>4040.6372440312625</v>
      </c>
      <c r="BE42" s="10">
        <f t="shared" si="55"/>
        <v>2097.6259035814423</v>
      </c>
      <c r="BF42" s="10">
        <f t="shared" si="36"/>
        <v>1943.0113404498202</v>
      </c>
      <c r="BG42" s="12">
        <f t="shared" si="56"/>
        <v>5604.6372440312625</v>
      </c>
      <c r="BH42" s="22">
        <f>INDEX(cpi!B:B,MATCH($L42,cpi!A:A))</f>
        <v>108.3</v>
      </c>
      <c r="BI42" s="22">
        <f t="shared" si="57"/>
        <v>128.01418439716312</v>
      </c>
      <c r="BJ42" s="22">
        <f t="shared" si="58"/>
        <v>157.54637874303378</v>
      </c>
      <c r="BK42" s="22">
        <f t="shared" si="59"/>
        <v>158.66764710457753</v>
      </c>
      <c r="BL42" s="22">
        <f t="shared" si="60"/>
        <v>157.88275925149691</v>
      </c>
      <c r="BM42" s="22">
        <f t="shared" si="61"/>
        <v>284.46724667694963</v>
      </c>
      <c r="BN42" s="22">
        <f t="shared" si="62"/>
        <v>155.71428571428572</v>
      </c>
      <c r="BO42">
        <f t="shared" si="63"/>
        <v>130.42846607669617</v>
      </c>
    </row>
    <row r="43" spans="1:67" x14ac:dyDescent="0.25">
      <c r="A43" t="s">
        <v>330</v>
      </c>
      <c r="B43" s="4">
        <v>2.5000000000000001E-3</v>
      </c>
      <c r="C43" s="4">
        <v>2.5000000000000001E-3</v>
      </c>
      <c r="L43" s="1">
        <f t="shared" si="33"/>
        <v>42430</v>
      </c>
      <c r="M43" s="10">
        <f t="shared" si="38"/>
        <v>218241.14856773638</v>
      </c>
      <c r="N43" s="10">
        <f t="shared" si="39"/>
        <v>182205.84290202812</v>
      </c>
      <c r="O43" s="7">
        <f t="shared" si="24"/>
        <v>1.1977725032949926</v>
      </c>
      <c r="P43" s="7">
        <f t="shared" si="40"/>
        <v>0.81945589351266279</v>
      </c>
      <c r="Q43">
        <v>41</v>
      </c>
      <c r="R43">
        <f t="shared" si="41"/>
        <v>91</v>
      </c>
      <c r="S43" s="22"/>
      <c r="T43" s="22">
        <f>IF($B$10="3BR_H",
INDEX('3BR_H-processed'!$E:$F,MATCH($L43,'3BR_H-processed'!$B:$B,0),MATCH(Council_Area,'3BR_H-processed'!$E$1:$F$1,0)),
INDEX('2BR_F-processed'!$E:$F,MATCH($L43,'2BR_F-processed'!$B:$B,0),MATCH(Council_Area,'2BR_F-processed'!$E$1:$F$1,0)))</f>
        <v>341</v>
      </c>
      <c r="U43" s="22">
        <f t="shared" si="25"/>
        <v>341</v>
      </c>
      <c r="V43" s="22">
        <f t="shared" si="34"/>
        <v>4433</v>
      </c>
      <c r="W43" s="22">
        <f>$B$53/4*BH43/_xlfn.XLOOKUP(Q_end,cpi!A:A,cpi!B:B)</f>
        <v>149.550794747754</v>
      </c>
      <c r="X43" s="22">
        <f t="shared" si="42"/>
        <v>4582.5507947477536</v>
      </c>
      <c r="Y43" s="22">
        <f t="shared" si="43"/>
        <v>1009.6364492835091</v>
      </c>
      <c r="Z43" s="22">
        <f t="shared" si="64"/>
        <v>0</v>
      </c>
      <c r="AA43" s="22" cm="1">
        <f t="array" ref="AA43">(Y43+Z43)*eff_invest</f>
        <v>1009.6364492835091</v>
      </c>
      <c r="AB43" s="22">
        <f>AA43*(_xlfn.XLOOKUP(Q_end,cpi!A:A,cpi!B:B)/BH43)</f>
        <v>1350.2254548181495</v>
      </c>
      <c r="AC43" s="22" cm="1">
        <f t="array" ref="AC43">INDEX('msci-indices'!C:C,MATCH($L43,'msci-indices'!$B:$B)-2)</f>
        <v>1252.64913</v>
      </c>
      <c r="AD43" s="22" cm="1">
        <f t="array" ref="AD43">INDEX('msci-indices'!D:D,MATCH($L43,'msci-indices'!$B:$B)-2)</f>
        <v>1204.1584660000001</v>
      </c>
      <c r="AE43" s="22">
        <f t="shared" si="65"/>
        <v>220526.93516850035</v>
      </c>
      <c r="AF43" s="22" cm="1">
        <f t="array" ref="AF43">INDEX('msci-indices'!C:C,MATCH($L43,'msci-indices'!$B:$B)+1)</f>
        <v>1249.9268750000001</v>
      </c>
      <c r="AG43" s="22" cm="1">
        <f t="array" ref="AG43">INDEX('msci-indices'!D:D,MATCH($L43,'msci-indices'!$B:$B)+1)</f>
        <v>1171.1690430000001</v>
      </c>
      <c r="AH43" s="22">
        <f t="shared" si="44"/>
        <v>137.82933448031272</v>
      </c>
      <c r="AI43" s="22">
        <f t="shared" si="45"/>
        <v>218241.14856773638</v>
      </c>
      <c r="AJ43" s="22">
        <f t="shared" si="66"/>
        <v>145545.55089531053</v>
      </c>
      <c r="AK43" s="22">
        <f t="shared" si="46"/>
        <v>72695.597672425851</v>
      </c>
      <c r="AL43" s="22">
        <f>AJ43*(_xlfn.XLOOKUP(Q_end,cpi!A:A,cpi!B:B)/BH43)</f>
        <v>194643.634145577</v>
      </c>
      <c r="AM43" s="22" cm="1">
        <f t="array" ref="AM43">SUMPRODUCT($AA$3:AA43,_xlfn.SORTBY($BH$3:BH43,_xlfn.SEQUENCE(ROWS($BH$3:BH43)),-1)/$BH$3)</f>
        <v>178822.24366727067</v>
      </c>
      <c r="AN43" s="22">
        <f t="shared" si="30"/>
        <v>39418.904900465714</v>
      </c>
      <c r="AO43" s="22">
        <f t="shared" si="47"/>
        <v>0</v>
      </c>
      <c r="AP43" s="22">
        <f t="shared" si="31"/>
        <v>218241.14856773638</v>
      </c>
      <c r="AQ43" s="22"/>
      <c r="AR43" s="10">
        <f>IF($B$10="3BR_H",
INDEX('ns-combined'!$C:$D,MATCH($L43,'ns-combined'!$B:$B,0),MATCH(Council_Area,'ns-combined'!$C$1:$D$1,0))*1000,
INDEX('s-combined'!$C:$D,MATCH($L43,'s-combined'!$B:$B,0),MATCH(Council_Area,'s-combined'!$C$1:$D$1,0))*1000)</f>
        <v>436000</v>
      </c>
      <c r="AS43" s="22">
        <f t="shared" si="35"/>
        <v>28700</v>
      </c>
      <c r="AT43" s="10">
        <v>0</v>
      </c>
      <c r="AU43" s="22">
        <f t="shared" si="48"/>
        <v>8720</v>
      </c>
      <c r="AV43" s="22">
        <f t="shared" si="49"/>
        <v>1253.5</v>
      </c>
      <c r="AW43" s="22">
        <f>SUM($AV$3:AV43)</f>
        <v>44600.737500000003</v>
      </c>
      <c r="AX43" s="22">
        <f t="shared" si="50"/>
        <v>353979.26250000001</v>
      </c>
      <c r="AY43" s="22">
        <f t="shared" si="51"/>
        <v>1551.5500000000002</v>
      </c>
      <c r="AZ43" s="24">
        <f t="shared" si="52"/>
        <v>1.4234403669724772E-2</v>
      </c>
      <c r="BA43" s="24">
        <f t="shared" si="53"/>
        <v>0.35000000000000003</v>
      </c>
      <c r="BB43" s="25">
        <f>IF(MortgageRate="Discounted",_xlfn.XLOOKUP(L43,'mortgage-rates'!$A:$A,'mortgage-rates'!$E:$E)/100,_xlfn.XLOOKUP(L43,'mortgage-rates'!$A:$A,'mortgage-rates'!$D:$D)/100)</f>
        <v>4.8300000000000003E-2</v>
      </c>
      <c r="BC43" s="10">
        <f t="shared" si="67"/>
        <v>171773.41959797189</v>
      </c>
      <c r="BD43" s="10">
        <f t="shared" si="54"/>
        <v>4040.6372440312625</v>
      </c>
      <c r="BE43" s="10">
        <f t="shared" si="55"/>
        <v>2074.1640416455107</v>
      </c>
      <c r="BF43" s="10">
        <f t="shared" si="36"/>
        <v>1966.4732023857518</v>
      </c>
      <c r="BG43" s="12">
        <f t="shared" si="56"/>
        <v>5592.1872440312627</v>
      </c>
      <c r="BH43" s="22">
        <f>INDEX(cpi!B:B,MATCH($L43,cpi!A:A))</f>
        <v>108.2</v>
      </c>
      <c r="BI43" s="22">
        <f t="shared" si="57"/>
        <v>127.89598108747046</v>
      </c>
      <c r="BJ43" s="22">
        <f t="shared" si="58"/>
        <v>165.94025216028786</v>
      </c>
      <c r="BK43" s="22">
        <f t="shared" si="59"/>
        <v>168.89654464308245</v>
      </c>
      <c r="BL43" s="22">
        <f t="shared" si="60"/>
        <v>166.82713990512624</v>
      </c>
      <c r="BM43" s="22">
        <f t="shared" si="61"/>
        <v>301.78200388767124</v>
      </c>
      <c r="BN43" s="22">
        <f t="shared" si="62"/>
        <v>155.71428571428572</v>
      </c>
      <c r="BO43">
        <f t="shared" si="63"/>
        <v>129.71262298686307</v>
      </c>
    </row>
    <row r="44" spans="1:67" x14ac:dyDescent="0.25">
      <c r="A44" s="6" t="s">
        <v>463</v>
      </c>
      <c r="B44" t="s">
        <v>341</v>
      </c>
      <c r="C44" t="s">
        <v>341</v>
      </c>
      <c r="L44" s="1">
        <f t="shared" si="33"/>
        <v>42522</v>
      </c>
      <c r="M44" s="10">
        <f t="shared" si="38"/>
        <v>223374.45816568949</v>
      </c>
      <c r="N44" s="10">
        <f t="shared" si="39"/>
        <v>186127.31610441388</v>
      </c>
      <c r="O44" s="7">
        <f t="shared" si="24"/>
        <v>1.2001164731800069</v>
      </c>
      <c r="P44" s="7">
        <f t="shared" si="40"/>
        <v>0.82898979414275309</v>
      </c>
      <c r="Q44">
        <v>42</v>
      </c>
      <c r="R44">
        <f t="shared" si="41"/>
        <v>91</v>
      </c>
      <c r="S44" s="22"/>
      <c r="T44" s="22">
        <f>IF($B$10="3BR_H",
INDEX('3BR_H-processed'!$E:$F,MATCH($L44,'3BR_H-processed'!$B:$B,0),MATCH(Council_Area,'3BR_H-processed'!$E$1:$F$1,0)),
INDEX('2BR_F-processed'!$E:$F,MATCH($L44,'2BR_F-processed'!$B:$B,0),MATCH(Council_Area,'2BR_F-processed'!$E$1:$F$1,0)))</f>
        <v>335</v>
      </c>
      <c r="U44" s="22">
        <f t="shared" si="25"/>
        <v>341</v>
      </c>
      <c r="V44" s="22">
        <f t="shared" si="34"/>
        <v>4433</v>
      </c>
      <c r="W44" s="22">
        <f>$B$53/4*BH44/_xlfn.XLOOKUP(Q_end,cpi!A:A,cpi!B:B)</f>
        <v>150.38009675190048</v>
      </c>
      <c r="X44" s="22">
        <f t="shared" si="42"/>
        <v>4583.3800967519001</v>
      </c>
      <c r="Y44" s="22">
        <f t="shared" si="43"/>
        <v>945.49387628839577</v>
      </c>
      <c r="Z44" s="22">
        <f t="shared" si="64"/>
        <v>0</v>
      </c>
      <c r="AA44" s="22" cm="1">
        <f t="array" ref="AA44">(Y44+Z44)*eff_invest</f>
        <v>945.49387628839577</v>
      </c>
      <c r="AB44" s="22">
        <f>AA44*(_xlfn.XLOOKUP(Q_end,cpi!A:A,cpi!B:B)/BH44)</f>
        <v>1257.4720946592909</v>
      </c>
      <c r="AC44" s="22" cm="1">
        <f t="array" ref="AC44">INDEX('msci-indices'!C:C,MATCH($L44,'msci-indices'!$B:$B)-2)</f>
        <v>1249.9268750000001</v>
      </c>
      <c r="AD44" s="22" cm="1">
        <f t="array" ref="AD44">INDEX('msci-indices'!D:D,MATCH($L44,'msci-indices'!$B:$B)-2)</f>
        <v>1171.1690430000001</v>
      </c>
      <c r="AE44" s="22">
        <f t="shared" si="65"/>
        <v>219186.64244402476</v>
      </c>
      <c r="AF44" s="22" cm="1">
        <f t="array" ref="AF44">INDEX('msci-indices'!C:C,MATCH($L44,'msci-indices'!$B:$B)+1)</f>
        <v>1263.5195100000001</v>
      </c>
      <c r="AG44" s="22" cm="1">
        <f t="array" ref="AG44">INDEX('msci-indices'!D:D,MATCH($L44,'msci-indices'!$B:$B)+1)</f>
        <v>1218.479752</v>
      </c>
      <c r="AH44" s="22">
        <f t="shared" si="44"/>
        <v>136.99165152751547</v>
      </c>
      <c r="AI44" s="22">
        <f t="shared" si="45"/>
        <v>223374.45816568949</v>
      </c>
      <c r="AJ44" s="22">
        <f t="shared" si="66"/>
        <v>146491.04477159891</v>
      </c>
      <c r="AK44" s="22">
        <f t="shared" si="46"/>
        <v>76883.413394090574</v>
      </c>
      <c r="AL44" s="22">
        <f>AJ44*(_xlfn.XLOOKUP(Q_end,cpi!A:A,cpi!B:B)/BH44)</f>
        <v>194827.70384605112</v>
      </c>
      <c r="AM44" s="22" cm="1">
        <f t="array" ref="AM44">SUMPRODUCT($AA$3:AA44,_xlfn.SORTBY($BH$3:BH44,_xlfn.SEQUENCE(ROWS($BH$3:BH44)),-1)/$BH$3)</f>
        <v>180771.15485137294</v>
      </c>
      <c r="AN44" s="22">
        <f t="shared" si="30"/>
        <v>42603.303314316552</v>
      </c>
      <c r="AO44" s="22">
        <f t="shared" si="47"/>
        <v>0</v>
      </c>
      <c r="AP44" s="22">
        <f t="shared" si="31"/>
        <v>223374.45816568949</v>
      </c>
      <c r="AQ44" s="22"/>
      <c r="AR44" s="10">
        <f>IF($B$10="3BR_H",
INDEX('ns-combined'!$C:$D,MATCH($L44,'ns-combined'!$B:$B,0),MATCH(Council_Area,'ns-combined'!$C$1:$D$1,0))*1000,
INDEX('s-combined'!$C:$D,MATCH($L44,'s-combined'!$B:$B,0),MATCH(Council_Area,'s-combined'!$C$1:$D$1,0))*1000)</f>
        <v>440000</v>
      </c>
      <c r="AS44" s="22">
        <f t="shared" si="35"/>
        <v>29400</v>
      </c>
      <c r="AT44" s="10">
        <v>0</v>
      </c>
      <c r="AU44" s="22">
        <f t="shared" si="48"/>
        <v>8800</v>
      </c>
      <c r="AV44" s="22">
        <f t="shared" si="49"/>
        <v>1265</v>
      </c>
      <c r="AW44" s="22">
        <f>SUM($AV$3:AV44)</f>
        <v>45865.737500000003</v>
      </c>
      <c r="AX44" s="22">
        <f t="shared" si="50"/>
        <v>355934.26250000001</v>
      </c>
      <c r="AY44" s="22">
        <f t="shared" si="51"/>
        <v>1551.5500000000002</v>
      </c>
      <c r="AZ44" s="24">
        <f t="shared" si="52"/>
        <v>1.4105000000000001E-2</v>
      </c>
      <c r="BA44" s="24">
        <f t="shared" si="53"/>
        <v>0.35000000000000003</v>
      </c>
      <c r="BB44" s="25">
        <f>IF(MortgageRate="Discounted",_xlfn.XLOOKUP(L44,'mortgage-rates'!$A:$A,'mortgage-rates'!$E:$E)/100,_xlfn.XLOOKUP(L44,'mortgage-rates'!$A:$A,'mortgage-rates'!$D:$D)/100)</f>
        <v>4.5899999999999996E-2</v>
      </c>
      <c r="BC44" s="10">
        <f t="shared" si="67"/>
        <v>169806.94639558613</v>
      </c>
      <c r="BD44" s="10">
        <f t="shared" si="54"/>
        <v>3977.3239730402961</v>
      </c>
      <c r="BE44" s="10">
        <f t="shared" si="55"/>
        <v>1948.5347098893508</v>
      </c>
      <c r="BF44" s="10">
        <f t="shared" si="36"/>
        <v>2028.7892631509453</v>
      </c>
      <c r="BG44" s="12">
        <f t="shared" si="56"/>
        <v>5528.8739730402958</v>
      </c>
      <c r="BH44" s="22">
        <f>INDEX(cpi!B:B,MATCH($L44,cpi!A:A))</f>
        <v>108.8</v>
      </c>
      <c r="BI44" s="22">
        <f t="shared" si="57"/>
        <v>128.60520094562648</v>
      </c>
      <c r="BJ44" s="22">
        <f t="shared" si="58"/>
        <v>165.57963108106787</v>
      </c>
      <c r="BK44" s="22">
        <f t="shared" si="59"/>
        <v>164.2694131551666</v>
      </c>
      <c r="BL44" s="22">
        <f t="shared" si="60"/>
        <v>165.1865657032975</v>
      </c>
      <c r="BM44" s="22">
        <f t="shared" si="61"/>
        <v>299.94786864301614</v>
      </c>
      <c r="BN44" s="22">
        <f t="shared" si="62"/>
        <v>157.14285714285714</v>
      </c>
      <c r="BO44">
        <f t="shared" si="63"/>
        <v>130.42901573865407</v>
      </c>
    </row>
    <row r="45" spans="1:67" x14ac:dyDescent="0.25">
      <c r="A45" t="s">
        <v>344</v>
      </c>
      <c r="B45" s="8">
        <v>0.32</v>
      </c>
      <c r="C45" s="8">
        <v>0.32</v>
      </c>
      <c r="L45" s="1">
        <f t="shared" si="33"/>
        <v>42614</v>
      </c>
      <c r="M45" s="10">
        <f t="shared" si="38"/>
        <v>235909.8248123462</v>
      </c>
      <c r="N45" s="10">
        <f t="shared" si="39"/>
        <v>191076.73036756483</v>
      </c>
      <c r="O45" s="7">
        <f t="shared" si="24"/>
        <v>1.2346339837328082</v>
      </c>
      <c r="P45" s="7">
        <f t="shared" si="40"/>
        <v>0.8384751096613563</v>
      </c>
      <c r="Q45">
        <v>43</v>
      </c>
      <c r="R45">
        <f t="shared" si="41"/>
        <v>92</v>
      </c>
      <c r="S45" s="22"/>
      <c r="T45" s="22">
        <f>IF($B$10="3BR_H",
INDEX('3BR_H-processed'!$E:$F,MATCH($L45,'3BR_H-processed'!$B:$B,0),MATCH(Council_Area,'3BR_H-processed'!$E$1:$F$1,0)),
INDEX('2BR_F-processed'!$E:$F,MATCH($L45,'2BR_F-processed'!$B:$B,0),MATCH(Council_Area,'2BR_F-processed'!$E$1:$F$1,0)))</f>
        <v>340</v>
      </c>
      <c r="U45" s="22">
        <f t="shared" si="25"/>
        <v>341</v>
      </c>
      <c r="V45" s="22">
        <f t="shared" si="34"/>
        <v>4481.7142857142853</v>
      </c>
      <c r="W45" s="22">
        <f>$B$53/4*BH45/_xlfn.XLOOKUP(Q_end,cpi!A:A,cpi!B:B)</f>
        <v>151.07118175535592</v>
      </c>
      <c r="X45" s="22">
        <f t="shared" si="42"/>
        <v>4632.7854674696409</v>
      </c>
      <c r="Y45" s="22">
        <f t="shared" si="43"/>
        <v>892.46556752021388</v>
      </c>
      <c r="Z45" s="22">
        <f t="shared" si="64"/>
        <v>0</v>
      </c>
      <c r="AA45" s="22" cm="1">
        <f t="array" ref="AA45">(Y45+Z45)*eff_invest</f>
        <v>892.46556752021388</v>
      </c>
      <c r="AB45" s="22">
        <f>AA45*(_xlfn.XLOOKUP(Q_end,cpi!A:A,cpi!B:B)/BH45)</f>
        <v>1181.5166296447844</v>
      </c>
      <c r="AC45" s="22" cm="1">
        <f t="array" ref="AC45">INDEX('msci-indices'!C:C,MATCH($L45,'msci-indices'!$B:$B)-2)</f>
        <v>1263.5195100000001</v>
      </c>
      <c r="AD45" s="22" cm="1">
        <f t="array" ref="AD45">INDEX('msci-indices'!D:D,MATCH($L45,'msci-indices'!$B:$B)-2)</f>
        <v>1218.479752</v>
      </c>
      <c r="AE45" s="22">
        <f t="shared" si="65"/>
        <v>224266.9237332097</v>
      </c>
      <c r="AF45" s="22" cm="1">
        <f t="array" ref="AF45">INDEX('msci-indices'!C:C,MATCH($L45,'msci-indices'!$B:$B)+1)</f>
        <v>1329.025858</v>
      </c>
      <c r="AG45" s="22" cm="1">
        <f t="array" ref="AG45">INDEX('msci-indices'!D:D,MATCH($L45,'msci-indices'!$B:$B)+1)</f>
        <v>1284.47801</v>
      </c>
      <c r="AH45" s="22">
        <f t="shared" si="44"/>
        <v>140.16682733325607</v>
      </c>
      <c r="AI45" s="22">
        <f t="shared" si="45"/>
        <v>235909.8248123462</v>
      </c>
      <c r="AJ45" s="22">
        <f t="shared" si="66"/>
        <v>147383.51033911912</v>
      </c>
      <c r="AK45" s="22">
        <f t="shared" si="46"/>
        <v>88526.314473227074</v>
      </c>
      <c r="AL45" s="22">
        <f>AJ45*(_xlfn.XLOOKUP(Q_end,cpi!A:A,cpi!B:B)/BH45)</f>
        <v>195117.96839954742</v>
      </c>
      <c r="AM45" s="22" cm="1">
        <f t="array" ref="AM45">SUMPRODUCT($AA$3:AA45,_xlfn.SORTBY($BH$3:BH45,_xlfn.SEQUENCE(ROWS($BH$3:BH45)),-1)/$BH$3)</f>
        <v>182578.46476487775</v>
      </c>
      <c r="AN45" s="22">
        <f t="shared" si="30"/>
        <v>53331.36004746845</v>
      </c>
      <c r="AO45" s="22">
        <f t="shared" si="47"/>
        <v>0</v>
      </c>
      <c r="AP45" s="22">
        <f t="shared" si="31"/>
        <v>235909.8248123462</v>
      </c>
      <c r="AQ45" s="22"/>
      <c r="AR45" s="10">
        <f>IF($B$10="3BR_H",
INDEX('ns-combined'!$C:$D,MATCH($L45,'ns-combined'!$B:$B,0),MATCH(Council_Area,'ns-combined'!$C$1:$D$1,0))*1000,
INDEX('s-combined'!$C:$D,MATCH($L45,'s-combined'!$B:$B,0),MATCH(Council_Area,'s-combined'!$C$1:$D$1,0))*1000)</f>
        <v>445000</v>
      </c>
      <c r="AS45" s="22">
        <f t="shared" si="35"/>
        <v>30100</v>
      </c>
      <c r="AT45" s="10">
        <v>0</v>
      </c>
      <c r="AU45" s="22">
        <f t="shared" si="48"/>
        <v>8900</v>
      </c>
      <c r="AV45" s="22">
        <f t="shared" si="49"/>
        <v>1279.375</v>
      </c>
      <c r="AW45" s="22">
        <f>SUM($AV$3:AV45)</f>
        <v>47145.112500000003</v>
      </c>
      <c r="AX45" s="22">
        <f t="shared" si="50"/>
        <v>358854.88750000001</v>
      </c>
      <c r="AY45" s="22">
        <f t="shared" si="51"/>
        <v>1568.6</v>
      </c>
      <c r="AZ45" s="24">
        <f t="shared" si="52"/>
        <v>1.4099775280898875E-2</v>
      </c>
      <c r="BA45" s="24">
        <f t="shared" si="53"/>
        <v>0.35000000000000003</v>
      </c>
      <c r="BB45" s="25">
        <f>IF(MortgageRate="Discounted",_xlfn.XLOOKUP(L45,'mortgage-rates'!$A:$A,'mortgage-rates'!$E:$E)/100,_xlfn.XLOOKUP(L45,'mortgage-rates'!$A:$A,'mortgage-rates'!$D:$D)/100)</f>
        <v>4.5100000000000001E-2</v>
      </c>
      <c r="BC45" s="10">
        <f t="shared" si="67"/>
        <v>167778.15713243518</v>
      </c>
      <c r="BD45" s="10">
        <f t="shared" si="54"/>
        <v>3956.6510349898554</v>
      </c>
      <c r="BE45" s="10">
        <f t="shared" si="55"/>
        <v>1891.6987216682066</v>
      </c>
      <c r="BF45" s="10">
        <f t="shared" si="36"/>
        <v>2064.9523133216489</v>
      </c>
      <c r="BG45" s="12">
        <f t="shared" si="56"/>
        <v>5525.2510349898548</v>
      </c>
      <c r="BH45" s="22">
        <f>INDEX(cpi!B:B,MATCH($L45,cpi!A:A))</f>
        <v>109.3</v>
      </c>
      <c r="BI45" s="22">
        <f t="shared" si="57"/>
        <v>129.19621749408984</v>
      </c>
      <c r="BJ45" s="22">
        <f t="shared" si="58"/>
        <v>167.38026720925703</v>
      </c>
      <c r="BK45" s="22">
        <f t="shared" si="59"/>
        <v>170.90526341934137</v>
      </c>
      <c r="BL45" s="22">
        <f t="shared" si="60"/>
        <v>168.43776607228233</v>
      </c>
      <c r="BM45" s="22">
        <f t="shared" si="61"/>
        <v>306.90002379173677</v>
      </c>
      <c r="BN45" s="22">
        <f t="shared" si="62"/>
        <v>158.92857142857142</v>
      </c>
      <c r="BO45">
        <f t="shared" si="63"/>
        <v>131.49925337584054</v>
      </c>
    </row>
    <row r="46" spans="1:67" x14ac:dyDescent="0.25">
      <c r="A46" t="s">
        <v>343</v>
      </c>
      <c r="B46" s="8">
        <v>0.15</v>
      </c>
      <c r="C46" s="8">
        <v>0.15</v>
      </c>
      <c r="L46" s="1">
        <f t="shared" si="33"/>
        <v>42705</v>
      </c>
      <c r="M46" s="10">
        <f t="shared" si="38"/>
        <v>243906.20665186387</v>
      </c>
      <c r="N46" s="10">
        <f t="shared" si="39"/>
        <v>193116.55768088647</v>
      </c>
      <c r="O46" s="7">
        <f t="shared" si="24"/>
        <v>1.2629999704888291</v>
      </c>
      <c r="P46" s="7">
        <f t="shared" si="40"/>
        <v>0.83860018723685092</v>
      </c>
      <c r="Q46">
        <v>44</v>
      </c>
      <c r="R46">
        <f t="shared" si="41"/>
        <v>92</v>
      </c>
      <c r="S46" s="22"/>
      <c r="T46" s="22">
        <f>IF($B$10="3BR_H",
INDEX('3BR_H-processed'!$E:$F,MATCH($L46,'3BR_H-processed'!$B:$B,0),MATCH(Council_Area,'3BR_H-processed'!$E$1:$F$1,0)),
INDEX('2BR_F-processed'!$E:$F,MATCH($L46,'2BR_F-processed'!$B:$B,0),MATCH(Council_Area,'2BR_F-processed'!$E$1:$F$1,0)))</f>
        <v>340</v>
      </c>
      <c r="U46" s="22">
        <f t="shared" si="25"/>
        <v>341</v>
      </c>
      <c r="V46" s="22">
        <f t="shared" si="34"/>
        <v>4481.7142857142853</v>
      </c>
      <c r="W46" s="22">
        <f>$B$53/4*BH46/_xlfn.XLOOKUP(Q_end,cpi!A:A,cpi!B:B)</f>
        <v>151.76226675881134</v>
      </c>
      <c r="X46" s="22">
        <f t="shared" si="42"/>
        <v>4633.4765524730965</v>
      </c>
      <c r="Y46" s="22">
        <f t="shared" si="43"/>
        <v>891.77448251675833</v>
      </c>
      <c r="Z46" s="22">
        <f t="shared" si="64"/>
        <v>0</v>
      </c>
      <c r="AA46" s="22" cm="1">
        <f t="array" ref="AA46">(Y46+Z46)*eff_invest</f>
        <v>891.77448251675833</v>
      </c>
      <c r="AB46" s="22">
        <f>AA46*(_xlfn.XLOOKUP(Q_end,cpi!A:A,cpi!B:B)/BH46)</f>
        <v>1175.2255703112469</v>
      </c>
      <c r="AC46" s="22" cm="1">
        <f t="array" ref="AC46">INDEX('msci-indices'!C:C,MATCH($L46,'msci-indices'!$B:$B)-2)</f>
        <v>1329.025858</v>
      </c>
      <c r="AD46" s="22" cm="1">
        <f t="array" ref="AD46">INDEX('msci-indices'!D:D,MATCH($L46,'msci-indices'!$B:$B)-2)</f>
        <v>1284.47801</v>
      </c>
      <c r="AE46" s="22">
        <f t="shared" si="65"/>
        <v>236801.59929486294</v>
      </c>
      <c r="AF46" s="22" cm="1">
        <f t="array" ref="AF46">INDEX('msci-indices'!C:C,MATCH($L46,'msci-indices'!$B:$B)+1)</f>
        <v>1355.3009059999999</v>
      </c>
      <c r="AG46" s="22" cm="1">
        <f t="array" ref="AG46">INDEX('msci-indices'!D:D,MATCH($L46,'msci-indices'!$B:$B)+1)</f>
        <v>1356.3584840000001</v>
      </c>
      <c r="AH46" s="22">
        <f t="shared" si="44"/>
        <v>148.00099955928934</v>
      </c>
      <c r="AI46" s="22">
        <f t="shared" si="45"/>
        <v>243906.20665186387</v>
      </c>
      <c r="AJ46" s="22">
        <f t="shared" si="66"/>
        <v>148275.28482163587</v>
      </c>
      <c r="AK46" s="22">
        <f t="shared" si="46"/>
        <v>95630.921830228006</v>
      </c>
      <c r="AL46" s="22">
        <f>AJ46*(_xlfn.XLOOKUP(Q_end,cpi!A:A,cpi!B:B)/BH46)</f>
        <v>195404.67863106291</v>
      </c>
      <c r="AM46" s="22" cm="1">
        <f t="array" ref="AM46">SUMPRODUCT($AA$3:AA46,_xlfn.SORTBY($BH$3:BH46,_xlfn.SEQUENCE(ROWS($BH$3:BH46)),-1)/$BH$3)</f>
        <v>184379.04269214871</v>
      </c>
      <c r="AN46" s="22">
        <f t="shared" si="30"/>
        <v>59527.163959715166</v>
      </c>
      <c r="AO46" s="22">
        <f t="shared" si="47"/>
        <v>0</v>
      </c>
      <c r="AP46" s="22">
        <f t="shared" si="31"/>
        <v>243906.20665186387</v>
      </c>
      <c r="AQ46" s="22"/>
      <c r="AR46" s="10">
        <f>IF($B$10="3BR_H",
INDEX('ns-combined'!$C:$D,MATCH($L46,'ns-combined'!$B:$B,0),MATCH(Council_Area,'ns-combined'!$C$1:$D$1,0))*1000,
INDEX('s-combined'!$C:$D,MATCH($L46,'s-combined'!$B:$B,0),MATCH(Council_Area,'s-combined'!$C$1:$D$1,0))*1000)</f>
        <v>447000</v>
      </c>
      <c r="AS46" s="22">
        <f t="shared" si="35"/>
        <v>30800</v>
      </c>
      <c r="AT46" s="10">
        <v>0</v>
      </c>
      <c r="AU46" s="22">
        <f t="shared" si="48"/>
        <v>8940</v>
      </c>
      <c r="AV46" s="22">
        <f t="shared" si="49"/>
        <v>1285.125</v>
      </c>
      <c r="AW46" s="22">
        <f>SUM($AV$3:AV46)</f>
        <v>48430.237500000003</v>
      </c>
      <c r="AX46" s="22">
        <f t="shared" si="50"/>
        <v>358829.76250000001</v>
      </c>
      <c r="AY46" s="22">
        <f t="shared" si="51"/>
        <v>1568.6</v>
      </c>
      <c r="AZ46" s="24">
        <f t="shared" si="52"/>
        <v>1.4036689038031319E-2</v>
      </c>
      <c r="BA46" s="24">
        <f t="shared" si="53"/>
        <v>0.35000000000000003</v>
      </c>
      <c r="BB46" s="25">
        <f>IF(MortgageRate="Discounted",_xlfn.XLOOKUP(L46,'mortgage-rates'!$A:$A,'mortgage-rates'!$E:$E)/100,_xlfn.XLOOKUP(L46,'mortgage-rates'!$A:$A,'mortgage-rates'!$D:$D)/100)</f>
        <v>4.5100000000000001E-2</v>
      </c>
      <c r="BC46" s="10">
        <f t="shared" si="67"/>
        <v>165713.20481911354</v>
      </c>
      <c r="BD46" s="10">
        <f t="shared" si="54"/>
        <v>3956.6510349898554</v>
      </c>
      <c r="BE46" s="10">
        <f t="shared" si="55"/>
        <v>1868.4163843355052</v>
      </c>
      <c r="BF46" s="10">
        <f t="shared" si="36"/>
        <v>2088.2346506543499</v>
      </c>
      <c r="BG46" s="12">
        <f t="shared" si="56"/>
        <v>5525.2510349898548</v>
      </c>
      <c r="BH46" s="22">
        <f>INDEX(cpi!B:B,MATCH($L46,cpi!A:A))</f>
        <v>109.8</v>
      </c>
      <c r="BI46" s="22">
        <f t="shared" si="57"/>
        <v>129.78723404255319</v>
      </c>
      <c r="BJ46" s="22">
        <f t="shared" si="58"/>
        <v>176.05798840419337</v>
      </c>
      <c r="BK46" s="22">
        <f t="shared" si="59"/>
        <v>180.16224914289867</v>
      </c>
      <c r="BL46" s="22">
        <f t="shared" si="60"/>
        <v>177.28926662580494</v>
      </c>
      <c r="BM46" s="22">
        <f t="shared" si="61"/>
        <v>324.05320966532275</v>
      </c>
      <c r="BN46" s="22">
        <f t="shared" si="62"/>
        <v>159.64285714285714</v>
      </c>
      <c r="BO46">
        <f t="shared" si="63"/>
        <v>131.49004653804576</v>
      </c>
    </row>
    <row r="47" spans="1:67" x14ac:dyDescent="0.25">
      <c r="A47" t="s">
        <v>471</v>
      </c>
      <c r="B47" s="8">
        <f>IF(B44="Yes",B45-B46,0)</f>
        <v>0</v>
      </c>
      <c r="C47" s="8">
        <v>0</v>
      </c>
      <c r="L47" s="1">
        <f t="shared" si="33"/>
        <v>42795</v>
      </c>
      <c r="M47" s="10">
        <f t="shared" si="38"/>
        <v>258963.51184295624</v>
      </c>
      <c r="N47" s="10">
        <f t="shared" si="39"/>
        <v>197421.30483154082</v>
      </c>
      <c r="O47" s="7">
        <f t="shared" si="24"/>
        <v>1.3117303224387522</v>
      </c>
      <c r="P47" s="7">
        <f t="shared" si="40"/>
        <v>0.84034972188233703</v>
      </c>
      <c r="Q47">
        <v>45</v>
      </c>
      <c r="R47">
        <f t="shared" si="41"/>
        <v>90</v>
      </c>
      <c r="S47" s="22"/>
      <c r="T47" s="22">
        <f>IF($B$10="3BR_H",
INDEX('3BR_H-processed'!$E:$F,MATCH($L47,'3BR_H-processed'!$B:$B,0),MATCH(Council_Area,'3BR_H-processed'!$E$1:$F$1,0)),
INDEX('2BR_F-processed'!$E:$F,MATCH($L47,'2BR_F-processed'!$B:$B,0),MATCH(Council_Area,'2BR_F-processed'!$E$1:$F$1,0)))</f>
        <v>350</v>
      </c>
      <c r="U47" s="22">
        <f t="shared" si="25"/>
        <v>350</v>
      </c>
      <c r="V47" s="22">
        <f t="shared" si="34"/>
        <v>4500</v>
      </c>
      <c r="W47" s="22">
        <f>$B$53/4*BH47/_xlfn.XLOOKUP(Q_end,cpi!A:A,cpi!B:B)</f>
        <v>152.72978576364895</v>
      </c>
      <c r="X47" s="22">
        <f t="shared" si="42"/>
        <v>4652.7297857636486</v>
      </c>
      <c r="Y47" s="22">
        <f t="shared" si="43"/>
        <v>883.92913683561255</v>
      </c>
      <c r="Z47" s="22">
        <f t="shared" si="64"/>
        <v>0</v>
      </c>
      <c r="AA47" s="22" cm="1">
        <f t="array" ref="AA47">(Y47+Z47)*eff_invest</f>
        <v>883.92913683561255</v>
      </c>
      <c r="AB47" s="22">
        <f>AA47*(_xlfn.XLOOKUP(Q_end,cpi!A:A,cpi!B:B)/BH47)</f>
        <v>1157.5072045259105</v>
      </c>
      <c r="AC47" s="22" cm="1">
        <f t="array" ref="AC47">INDEX('msci-indices'!C:C,MATCH($L47,'msci-indices'!$B:$B)-2)</f>
        <v>1355.3009059999999</v>
      </c>
      <c r="AD47" s="22" cm="1">
        <f t="array" ref="AD47">INDEX('msci-indices'!D:D,MATCH($L47,'msci-indices'!$B:$B)-2)</f>
        <v>1356.3584840000001</v>
      </c>
      <c r="AE47" s="22">
        <f t="shared" si="65"/>
        <v>244790.1357886995</v>
      </c>
      <c r="AF47" s="22" cm="1">
        <f t="array" ref="AF47">INDEX('msci-indices'!C:C,MATCH($L47,'msci-indices'!$B:$B)+1)</f>
        <v>1439.6180119999999</v>
      </c>
      <c r="AG47" s="22" cm="1">
        <f t="array" ref="AG47">INDEX('msci-indices'!D:D,MATCH($L47,'msci-indices'!$B:$B)+1)</f>
        <v>1424.068485</v>
      </c>
      <c r="AH47" s="22">
        <f t="shared" si="44"/>
        <v>152.99383486793718</v>
      </c>
      <c r="AI47" s="22">
        <f t="shared" si="45"/>
        <v>258963.51184295624</v>
      </c>
      <c r="AJ47" s="22">
        <f t="shared" si="66"/>
        <v>149159.21395847149</v>
      </c>
      <c r="AK47" s="22">
        <f t="shared" si="46"/>
        <v>109804.29788448475</v>
      </c>
      <c r="AL47" s="22">
        <f>AJ47*(_xlfn.XLOOKUP(Q_end,cpi!A:A,cpi!B:B)/BH47)</f>
        <v>195324.32814290337</v>
      </c>
      <c r="AM47" s="22" cm="1">
        <f t="array" ref="AM47">SUMPRODUCT($AA$3:AA47,_xlfn.SORTBY($BH$3:BH47,_xlfn.SEQUENCE(ROWS($BH$3:BH47)),-1)/$BH$3)</f>
        <v>186343.41529828848</v>
      </c>
      <c r="AN47" s="22">
        <f t="shared" si="30"/>
        <v>72620.096544667758</v>
      </c>
      <c r="AO47" s="22">
        <f t="shared" si="47"/>
        <v>0</v>
      </c>
      <c r="AP47" s="22">
        <f t="shared" si="31"/>
        <v>258963.51184295624</v>
      </c>
      <c r="AQ47" s="22"/>
      <c r="AR47" s="10">
        <f>IF($B$10="3BR_H",
INDEX('ns-combined'!$C:$D,MATCH($L47,'ns-combined'!$B:$B,0),MATCH(Council_Area,'ns-combined'!$C$1:$D$1,0))*1000,
INDEX('s-combined'!$C:$D,MATCH($L47,'s-combined'!$B:$B,0),MATCH(Council_Area,'s-combined'!$C$1:$D$1,0))*1000)</f>
        <v>451300</v>
      </c>
      <c r="AS47" s="22">
        <f t="shared" si="35"/>
        <v>31500</v>
      </c>
      <c r="AT47" s="10">
        <v>0</v>
      </c>
      <c r="AU47" s="22">
        <f t="shared" si="48"/>
        <v>9026</v>
      </c>
      <c r="AV47" s="22">
        <f t="shared" si="49"/>
        <v>1297.4875</v>
      </c>
      <c r="AW47" s="22">
        <f>SUM($AV$3:AV47)</f>
        <v>49727.725000000006</v>
      </c>
      <c r="AX47" s="22">
        <f t="shared" si="50"/>
        <v>361046.27500000002</v>
      </c>
      <c r="AY47" s="22">
        <f t="shared" si="51"/>
        <v>1575.0000000000002</v>
      </c>
      <c r="AZ47" s="24">
        <f t="shared" si="52"/>
        <v>1.3959672058497675E-2</v>
      </c>
      <c r="BA47" s="24">
        <f t="shared" si="53"/>
        <v>0.35000000000000003</v>
      </c>
      <c r="BB47" s="25">
        <f>IF(MortgageRate="Discounted",_xlfn.XLOOKUP(L47,'mortgage-rates'!$A:$A,'mortgage-rates'!$E:$E)/100,_xlfn.XLOOKUP(L47,'mortgage-rates'!$A:$A,'mortgage-rates'!$D:$D)/100)</f>
        <v>4.53E-2</v>
      </c>
      <c r="BC47" s="10">
        <f t="shared" si="67"/>
        <v>163624.9701684592</v>
      </c>
      <c r="BD47" s="10">
        <f t="shared" si="54"/>
        <v>3961.6589225992611</v>
      </c>
      <c r="BE47" s="10">
        <f t="shared" si="55"/>
        <v>1853.0527871578004</v>
      </c>
      <c r="BF47" s="10">
        <f t="shared" si="36"/>
        <v>2108.6061354414605</v>
      </c>
      <c r="BG47" s="12">
        <f t="shared" si="56"/>
        <v>5536.6589225992611</v>
      </c>
      <c r="BH47" s="22">
        <f>INDEX(cpi!B:B,MATCH($L47,cpi!A:A))</f>
        <v>110.5</v>
      </c>
      <c r="BI47" s="22">
        <f t="shared" si="57"/>
        <v>130.6146572104019</v>
      </c>
      <c r="BJ47" s="22">
        <f t="shared" si="58"/>
        <v>179.53868222836397</v>
      </c>
      <c r="BK47" s="22">
        <f t="shared" si="59"/>
        <v>190.24428072652827</v>
      </c>
      <c r="BL47" s="22">
        <f t="shared" si="60"/>
        <v>182.75036177781325</v>
      </c>
      <c r="BM47" s="22">
        <f t="shared" si="61"/>
        <v>334.98519196216893</v>
      </c>
      <c r="BN47" s="22">
        <f t="shared" si="62"/>
        <v>161.17857142857142</v>
      </c>
      <c r="BO47">
        <f t="shared" si="63"/>
        <v>132.30226827167959</v>
      </c>
    </row>
    <row r="48" spans="1:67" x14ac:dyDescent="0.25">
      <c r="A48" t="s">
        <v>478</v>
      </c>
      <c r="B48" s="8">
        <v>0.32</v>
      </c>
      <c r="C48" s="8">
        <v>0.32</v>
      </c>
      <c r="L48" s="1">
        <f t="shared" si="33"/>
        <v>42887</v>
      </c>
      <c r="M48" s="10">
        <f t="shared" si="38"/>
        <v>265524.80836304062</v>
      </c>
      <c r="N48" s="10">
        <f t="shared" si="39"/>
        <v>196262.16096698228</v>
      </c>
      <c r="O48" s="7">
        <f t="shared" si="24"/>
        <v>1.3529088187697607</v>
      </c>
      <c r="P48" s="7">
        <f t="shared" si="40"/>
        <v>0.84868609555365504</v>
      </c>
      <c r="Q48">
        <v>46</v>
      </c>
      <c r="R48">
        <f t="shared" si="41"/>
        <v>91</v>
      </c>
      <c r="S48" s="22"/>
      <c r="T48" s="22">
        <f>IF($B$10="3BR_H",
INDEX('3BR_H-processed'!$E:$F,MATCH($L48,'3BR_H-processed'!$B:$B,0),MATCH(Council_Area,'3BR_H-processed'!$E$1:$F$1,0)),
INDEX('2BR_F-processed'!$E:$F,MATCH($L48,'2BR_F-processed'!$B:$B,0),MATCH(Council_Area,'2BR_F-processed'!$E$1:$F$1,0)))</f>
        <v>340</v>
      </c>
      <c r="U48" s="22">
        <f t="shared" si="25"/>
        <v>350</v>
      </c>
      <c r="V48" s="22">
        <f t="shared" si="34"/>
        <v>4550</v>
      </c>
      <c r="W48" s="22">
        <f>$B$53/4*BH48/_xlfn.XLOOKUP(Q_end,cpi!A:A,cpi!B:B)</f>
        <v>153.28265376641329</v>
      </c>
      <c r="X48" s="22">
        <f t="shared" si="42"/>
        <v>4703.2826537664132</v>
      </c>
      <c r="Y48" s="22">
        <f t="shared" si="43"/>
        <v>838.55746639974222</v>
      </c>
      <c r="Z48" s="22">
        <f t="shared" si="64"/>
        <v>0</v>
      </c>
      <c r="AA48" s="22" cm="1">
        <f t="array" ref="AA48">(Y48+Z48)*eff_invest</f>
        <v>838.55746639974222</v>
      </c>
      <c r="AB48" s="22">
        <f>AA48*(_xlfn.XLOOKUP(Q_end,cpi!A:A,cpi!B:B)/BH48)</f>
        <v>1094.132239747905</v>
      </c>
      <c r="AC48" s="22" cm="1">
        <f t="array" ref="AC48">INDEX('msci-indices'!C:C,MATCH($L48,'msci-indices'!$B:$B)-2)</f>
        <v>1439.6180119999999</v>
      </c>
      <c r="AD48" s="22" cm="1">
        <f t="array" ref="AD48">INDEX('msci-indices'!D:D,MATCH($L48,'msci-indices'!$B:$B)-2)</f>
        <v>1424.068485</v>
      </c>
      <c r="AE48" s="22">
        <f t="shared" si="65"/>
        <v>259802.06930935598</v>
      </c>
      <c r="AF48" s="22" cm="1">
        <f t="array" ref="AF48">INDEX('msci-indices'!C:C,MATCH($L48,'msci-indices'!$B:$B)+1)</f>
        <v>1498.0163219999999</v>
      </c>
      <c r="AG48" s="22" cm="1">
        <f t="array" ref="AG48">INDEX('msci-indices'!D:D,MATCH($L48,'msci-indices'!$B:$B)+1)</f>
        <v>1396.8056610000001</v>
      </c>
      <c r="AH48" s="22">
        <f t="shared" si="44"/>
        <v>162.37629331834748</v>
      </c>
      <c r="AI48" s="22">
        <f t="shared" si="45"/>
        <v>265524.80836304062</v>
      </c>
      <c r="AJ48" s="22">
        <f t="shared" si="66"/>
        <v>149997.77142487123</v>
      </c>
      <c r="AK48" s="22">
        <f t="shared" si="46"/>
        <v>115527.03693816939</v>
      </c>
      <c r="AL48" s="22">
        <f>AJ48*(_xlfn.XLOOKUP(Q_end,cpi!A:A,cpi!B:B)/BH48)</f>
        <v>195713.95423966512</v>
      </c>
      <c r="AM48" s="22" cm="1">
        <f t="array" ref="AM48">SUMPRODUCT($AA$3:AA48,_xlfn.SORTBY($BH$3:BH48,_xlfn.SEQUENCE(ROWS($BH$3:BH48)),-1)/$BH$3)</f>
        <v>188017.4752129894</v>
      </c>
      <c r="AN48" s="22">
        <f t="shared" si="30"/>
        <v>77507.333150051214</v>
      </c>
      <c r="AO48" s="22">
        <f t="shared" si="47"/>
        <v>0</v>
      </c>
      <c r="AP48" s="22">
        <f t="shared" si="31"/>
        <v>265524.80836304062</v>
      </c>
      <c r="AQ48" s="22"/>
      <c r="AR48" s="10">
        <f>IF($B$10="3BR_H",
INDEX('ns-combined'!$C:$D,MATCH($L48,'ns-combined'!$B:$B,0),MATCH(Council_Area,'ns-combined'!$C$1:$D$1,0))*1000,
INDEX('s-combined'!$C:$D,MATCH($L48,'s-combined'!$B:$B,0),MATCH(Council_Area,'s-combined'!$C$1:$D$1,0))*1000)</f>
        <v>450000</v>
      </c>
      <c r="AS48" s="22">
        <f t="shared" si="35"/>
        <v>32200</v>
      </c>
      <c r="AT48" s="10">
        <v>0</v>
      </c>
      <c r="AU48" s="22">
        <f t="shared" si="48"/>
        <v>9000</v>
      </c>
      <c r="AV48" s="22">
        <f t="shared" si="49"/>
        <v>1293.75</v>
      </c>
      <c r="AW48" s="22">
        <f>SUM($AV$3:AV48)</f>
        <v>51021.475000000006</v>
      </c>
      <c r="AX48" s="22">
        <f t="shared" si="50"/>
        <v>357778.52500000002</v>
      </c>
      <c r="AY48" s="22">
        <f t="shared" si="51"/>
        <v>1592.5000000000002</v>
      </c>
      <c r="AZ48" s="24">
        <f t="shared" si="52"/>
        <v>1.4155555555555558E-2</v>
      </c>
      <c r="BA48" s="24">
        <f t="shared" si="53"/>
        <v>0.35000000000000003</v>
      </c>
      <c r="BB48" s="25">
        <f>IF(MortgageRate="Discounted",_xlfn.XLOOKUP(L48,'mortgage-rates'!$A:$A,'mortgage-rates'!$E:$E)/100,_xlfn.XLOOKUP(L48,'mortgage-rates'!$A:$A,'mortgage-rates'!$D:$D)/100)</f>
        <v>4.4800000000000006E-2</v>
      </c>
      <c r="BC48" s="10">
        <f t="shared" si="67"/>
        <v>161516.36403301774</v>
      </c>
      <c r="BD48" s="10">
        <f t="shared" si="54"/>
        <v>3949.340120166155</v>
      </c>
      <c r="BE48" s="10">
        <f t="shared" si="55"/>
        <v>1808.9832771697991</v>
      </c>
      <c r="BF48" s="10">
        <f t="shared" si="36"/>
        <v>2140.3568429963561</v>
      </c>
      <c r="BG48" s="12">
        <f t="shared" si="56"/>
        <v>5541.8401201661554</v>
      </c>
      <c r="BH48" s="22">
        <f>INDEX(cpi!B:B,MATCH($L48,cpi!A:A))</f>
        <v>110.9</v>
      </c>
      <c r="BI48" s="22">
        <f t="shared" si="57"/>
        <v>131.0874704491726</v>
      </c>
      <c r="BJ48" s="22">
        <f t="shared" si="58"/>
        <v>190.70829189477206</v>
      </c>
      <c r="BK48" s="22">
        <f t="shared" si="59"/>
        <v>199.74135734026328</v>
      </c>
      <c r="BL48" s="22">
        <f t="shared" si="60"/>
        <v>193.41821152841945</v>
      </c>
      <c r="BM48" s="22">
        <f t="shared" si="61"/>
        <v>355.52840305169269</v>
      </c>
      <c r="BN48" s="22">
        <f t="shared" si="62"/>
        <v>160.71428571428572</v>
      </c>
      <c r="BO48">
        <f t="shared" si="63"/>
        <v>131.10482969640339</v>
      </c>
    </row>
    <row r="49" spans="1:67" x14ac:dyDescent="0.25">
      <c r="A49" s="6" t="s">
        <v>493</v>
      </c>
      <c r="B49" t="s">
        <v>341</v>
      </c>
      <c r="C49" t="s">
        <v>341</v>
      </c>
      <c r="L49" s="1">
        <f t="shared" si="33"/>
        <v>42979</v>
      </c>
      <c r="M49" s="10">
        <f t="shared" si="38"/>
        <v>276347.0817114411</v>
      </c>
      <c r="N49" s="10">
        <f t="shared" si="39"/>
        <v>197385.89280997863</v>
      </c>
      <c r="O49" s="7">
        <f t="shared" si="24"/>
        <v>1.4000346112752728</v>
      </c>
      <c r="P49" s="7">
        <f t="shared" si="40"/>
        <v>0.85548059022646117</v>
      </c>
      <c r="Q49">
        <v>47</v>
      </c>
      <c r="R49">
        <f t="shared" si="41"/>
        <v>92</v>
      </c>
      <c r="S49" s="22"/>
      <c r="T49" s="22">
        <f>IF($B$10="3BR_H",
INDEX('3BR_H-processed'!$E:$F,MATCH($L49,'3BR_H-processed'!$B:$B,0),MATCH(Council_Area,'3BR_H-processed'!$E$1:$F$1,0)),
INDEX('2BR_F-processed'!$E:$F,MATCH($L49,'2BR_F-processed'!$B:$B,0),MATCH(Council_Area,'2BR_F-processed'!$E$1:$F$1,0)))</f>
        <v>345</v>
      </c>
      <c r="U49" s="22">
        <f t="shared" si="25"/>
        <v>350</v>
      </c>
      <c r="V49" s="22">
        <f t="shared" si="34"/>
        <v>4600</v>
      </c>
      <c r="W49" s="22">
        <f>$B$53/4*BH49/_xlfn.XLOOKUP(Q_end,cpi!A:A,cpi!B:B)</f>
        <v>153.83552176917763</v>
      </c>
      <c r="X49" s="22">
        <f t="shared" si="42"/>
        <v>4753.8355217691778</v>
      </c>
      <c r="Y49" s="22">
        <f t="shared" si="43"/>
        <v>803.08251480573927</v>
      </c>
      <c r="Z49" s="22">
        <f t="shared" si="64"/>
        <v>0</v>
      </c>
      <c r="AA49" s="22" cm="1">
        <f t="array" ref="AA49">(Y49+Z49)*eff_invest</f>
        <v>803.08251480573927</v>
      </c>
      <c r="AB49" s="22">
        <f>AA49*(_xlfn.XLOOKUP(Q_end,cpi!A:A,cpi!B:B)/BH49)</f>
        <v>1044.0794240106959</v>
      </c>
      <c r="AC49" s="22" cm="1">
        <f t="array" ref="AC49">INDEX('msci-indices'!C:C,MATCH($L49,'msci-indices'!$B:$B)-2)</f>
        <v>1498.0163219999999</v>
      </c>
      <c r="AD49" s="22" cm="1">
        <f t="array" ref="AD49">INDEX('msci-indices'!D:D,MATCH($L49,'msci-indices'!$B:$B)-2)</f>
        <v>1396.8056610000001</v>
      </c>
      <c r="AE49" s="22">
        <f t="shared" si="65"/>
        <v>266327.89087784634</v>
      </c>
      <c r="AF49" s="22" cm="1">
        <f t="array" ref="AF49">INDEX('msci-indices'!C:C,MATCH($L49,'msci-indices'!$B:$B)+1)</f>
        <v>1573.3488809999999</v>
      </c>
      <c r="AG49" s="22" cm="1">
        <f t="array" ref="AG49">INDEX('msci-indices'!D:D,MATCH($L49,'msci-indices'!$B:$B)+1)</f>
        <v>1410.9739790000001</v>
      </c>
      <c r="AH49" s="22">
        <f t="shared" si="44"/>
        <v>166.45493179865397</v>
      </c>
      <c r="AI49" s="22">
        <f t="shared" si="45"/>
        <v>276347.0817114411</v>
      </c>
      <c r="AJ49" s="22">
        <f t="shared" si="66"/>
        <v>150800.85393967698</v>
      </c>
      <c r="AK49" s="22">
        <f t="shared" si="46"/>
        <v>125546.22777176413</v>
      </c>
      <c r="AL49" s="22">
        <f>AJ49*(_xlfn.XLOOKUP(Q_end,cpi!A:A,cpi!B:B)/BH49)</f>
        <v>196054.6591650607</v>
      </c>
      <c r="AM49" s="22" cm="1">
        <f t="array" ref="AM49">SUMPRODUCT($AA$3:AA49,_xlfn.SORTBY($BH$3:BH49,_xlfn.SEQUENCE(ROWS($BH$3:BH49)),-1)/$BH$3)</f>
        <v>189660.37375074095</v>
      </c>
      <c r="AN49" s="22">
        <f t="shared" si="30"/>
        <v>86686.707960700151</v>
      </c>
      <c r="AO49" s="22">
        <f t="shared" si="47"/>
        <v>0</v>
      </c>
      <c r="AP49" s="22">
        <f t="shared" si="31"/>
        <v>276347.0817114411</v>
      </c>
      <c r="AQ49" s="22"/>
      <c r="AR49" s="10">
        <f>IF($B$10="3BR_H",
INDEX('ns-combined'!$C:$D,MATCH($L49,'ns-combined'!$B:$B,0),MATCH(Council_Area,'ns-combined'!$C$1:$D$1,0))*1000,
INDEX('s-combined'!$C:$D,MATCH($L49,'s-combined'!$B:$B,0),MATCH(Council_Area,'s-combined'!$C$1:$D$1,0))*1000)</f>
        <v>451000</v>
      </c>
      <c r="AS49" s="22">
        <f t="shared" si="35"/>
        <v>32900</v>
      </c>
      <c r="AT49" s="10">
        <v>0</v>
      </c>
      <c r="AU49" s="22">
        <f t="shared" si="48"/>
        <v>9020</v>
      </c>
      <c r="AV49" s="22">
        <f t="shared" si="49"/>
        <v>1296.625</v>
      </c>
      <c r="AW49" s="22">
        <f>SUM($AV$3:AV49)</f>
        <v>52318.100000000006</v>
      </c>
      <c r="AX49" s="22">
        <f t="shared" si="50"/>
        <v>356761.9</v>
      </c>
      <c r="AY49" s="22">
        <f t="shared" si="51"/>
        <v>1610.0000000000002</v>
      </c>
      <c r="AZ49" s="24">
        <f t="shared" si="52"/>
        <v>1.4279379157427941E-2</v>
      </c>
      <c r="BA49" s="24">
        <f t="shared" si="53"/>
        <v>0.35000000000000003</v>
      </c>
      <c r="BB49" s="25">
        <f>IF(MortgageRate="Discounted",_xlfn.XLOOKUP(L49,'mortgage-rates'!$A:$A,'mortgage-rates'!$E:$E)/100,_xlfn.XLOOKUP(L49,'mortgage-rates'!$A:$A,'mortgage-rates'!$D:$D)/100)</f>
        <v>4.4699999999999997E-2</v>
      </c>
      <c r="BC49" s="10">
        <f t="shared" si="67"/>
        <v>159376.0071900214</v>
      </c>
      <c r="BD49" s="10">
        <f t="shared" si="54"/>
        <v>3946.9180365749171</v>
      </c>
      <c r="BE49" s="10">
        <f t="shared" si="55"/>
        <v>1781.0268803484889</v>
      </c>
      <c r="BF49" s="10">
        <f t="shared" si="36"/>
        <v>2165.8911562264284</v>
      </c>
      <c r="BG49" s="12">
        <f t="shared" si="56"/>
        <v>5556.9180365749171</v>
      </c>
      <c r="BH49" s="22">
        <f>INDEX(cpi!B:B,MATCH($L49,cpi!A:A))</f>
        <v>111.3</v>
      </c>
      <c r="BI49" s="22">
        <f t="shared" si="57"/>
        <v>131.56028368794327</v>
      </c>
      <c r="BJ49" s="22">
        <f t="shared" si="58"/>
        <v>198.44440095759853</v>
      </c>
      <c r="BK49" s="22">
        <f t="shared" si="59"/>
        <v>195.91744470681382</v>
      </c>
      <c r="BL49" s="22">
        <f t="shared" si="60"/>
        <v>197.68631408236314</v>
      </c>
      <c r="BM49" s="22">
        <f t="shared" si="61"/>
        <v>364.45872037754515</v>
      </c>
      <c r="BN49" s="22">
        <f t="shared" si="62"/>
        <v>161.07142857142858</v>
      </c>
      <c r="BO49">
        <f t="shared" si="63"/>
        <v>130.73229630443944</v>
      </c>
    </row>
    <row r="50" spans="1:67" x14ac:dyDescent="0.25">
      <c r="A50" t="s">
        <v>488</v>
      </c>
      <c r="B50" s="8">
        <f>IF(OR(B44="Yes",B49="No"),0,MAX(0.3,B48))</f>
        <v>0</v>
      </c>
      <c r="C50" s="8">
        <v>0</v>
      </c>
      <c r="L50" s="1">
        <f t="shared" si="33"/>
        <v>43070</v>
      </c>
      <c r="M50" s="10">
        <f>AP50</f>
        <v>294105.63129040116</v>
      </c>
      <c r="N50" s="10">
        <f t="shared" si="39"/>
        <v>216120.53396620505</v>
      </c>
      <c r="O50" s="7">
        <f t="shared" si="24"/>
        <v>1.3608407581317132</v>
      </c>
      <c r="P50" s="7">
        <f t="shared" si="40"/>
        <v>0.85421364824181212</v>
      </c>
      <c r="Q50">
        <v>48</v>
      </c>
      <c r="R50">
        <f t="shared" si="41"/>
        <v>92</v>
      </c>
      <c r="S50" s="22"/>
      <c r="T50" s="22">
        <f>IF($B$10="3BR_H",
INDEX('3BR_H-processed'!$E:$F,MATCH($L50,'3BR_H-processed'!$B:$B,0),MATCH(Council_Area,'3BR_H-processed'!$E$1:$F$1,0)),
INDEX('2BR_F-processed'!$E:$F,MATCH($L50,'2BR_F-processed'!$B:$B,0),MATCH(Council_Area,'2BR_F-processed'!$E$1:$F$1,0)))</f>
        <v>345</v>
      </c>
      <c r="U50" s="22">
        <f t="shared" si="25"/>
        <v>350</v>
      </c>
      <c r="V50" s="22">
        <f t="shared" si="34"/>
        <v>4600</v>
      </c>
      <c r="W50" s="22">
        <f>$B$53/4*BH50/_xlfn.XLOOKUP(Q_end,cpi!A:A,cpi!B:B)</f>
        <v>154.94125777470629</v>
      </c>
      <c r="X50" s="22">
        <f t="shared" si="42"/>
        <v>4754.9412577747062</v>
      </c>
      <c r="Y50" s="22">
        <f t="shared" si="43"/>
        <v>811.51306844869123</v>
      </c>
      <c r="Z50" s="22">
        <f t="shared" si="64"/>
        <v>0</v>
      </c>
      <c r="AA50" s="22" cm="1">
        <f t="array" ref="AA50">(Y50+Z50)*eff_invest</f>
        <v>811.51306844869123</v>
      </c>
      <c r="AB50" s="22">
        <f>AA50*(_xlfn.XLOOKUP(Q_end,cpi!A:A,cpi!B:B)/BH50)</f>
        <v>1047.5106244828332</v>
      </c>
      <c r="AC50" s="22" cm="1">
        <f t="array" ref="AC50">INDEX('msci-indices'!C:C,MATCH($L50,'msci-indices'!$B:$B)-2)</f>
        <v>1573.3488809999999</v>
      </c>
      <c r="AD50" s="22" cm="1">
        <f t="array" ref="AD50">INDEX('msci-indices'!D:D,MATCH($L50,'msci-indices'!$B:$B)-2)</f>
        <v>1410.9739790000001</v>
      </c>
      <c r="AE50" s="22">
        <f t="shared" si="65"/>
        <v>277158.5947798898</v>
      </c>
      <c r="AF50" s="22" cm="1">
        <f t="array" ref="AF50">INDEX('msci-indices'!C:C,MATCH($L50,'msci-indices'!$B:$B)+1)</f>
        <v>1659.3666479999999</v>
      </c>
      <c r="AG50" s="22" cm="1">
        <f t="array" ref="AG50">INDEX('msci-indices'!D:D,MATCH($L50,'msci-indices'!$B:$B)+1)</f>
        <v>1521.502109</v>
      </c>
      <c r="AH50" s="22">
        <f t="shared" si="44"/>
        <v>173.22412173743112</v>
      </c>
      <c r="AI50" s="22">
        <f t="shared" si="45"/>
        <v>294105.63129040116</v>
      </c>
      <c r="AJ50" s="22">
        <f t="shared" si="66"/>
        <v>151612.36700812567</v>
      </c>
      <c r="AK50" s="22">
        <f t="shared" si="46"/>
        <v>142493.26428227549</v>
      </c>
      <c r="AL50" s="22">
        <f>AJ50*(_xlfn.XLOOKUP(Q_end,cpi!A:A,cpi!B:B)/BH50)</f>
        <v>195703.02860014079</v>
      </c>
      <c r="AM50" s="22" cm="1">
        <f t="array" ref="AM50">SUMPRODUCT($AA$3:AA50,_xlfn.SORTBY($BH$3:BH50,_xlfn.SEQUENCE(ROWS($BH$3:BH50)),-1)/$BH$3)</f>
        <v>191662.27865690179</v>
      </c>
      <c r="AN50" s="22">
        <f t="shared" si="30"/>
        <v>102443.35263349937</v>
      </c>
      <c r="AO50" s="22">
        <f t="shared" si="47"/>
        <v>0</v>
      </c>
      <c r="AP50" s="22">
        <f t="shared" si="31"/>
        <v>294105.63129040116</v>
      </c>
      <c r="AQ50" s="22"/>
      <c r="AR50" s="10">
        <f>IF($B$10="3BR_H",
INDEX('ns-combined'!$C:$D,MATCH($L50,'ns-combined'!$B:$B,0),MATCH(Council_Area,'ns-combined'!$C$1:$D$1,0))*1000,
INDEX('s-combined'!$C:$D,MATCH($L50,'s-combined'!$B:$B,0),MATCH(Council_Area,'s-combined'!$C$1:$D$1,0))*1000)</f>
        <v>470000</v>
      </c>
      <c r="AS50" s="22">
        <f t="shared" si="35"/>
        <v>33600</v>
      </c>
      <c r="AT50" s="10">
        <v>0</v>
      </c>
      <c r="AU50" s="22">
        <f t="shared" si="48"/>
        <v>9400</v>
      </c>
      <c r="AV50" s="22">
        <f t="shared" si="49"/>
        <v>1351.25</v>
      </c>
      <c r="AW50" s="22">
        <f>SUM($AV$3:AV50)</f>
        <v>53669.350000000006</v>
      </c>
      <c r="AX50" s="22">
        <f t="shared" si="50"/>
        <v>373330.65</v>
      </c>
      <c r="AY50" s="22">
        <f t="shared" si="51"/>
        <v>1610.0000000000002</v>
      </c>
      <c r="AZ50" s="24">
        <f t="shared" si="52"/>
        <v>1.3702127659574469E-2</v>
      </c>
      <c r="BA50" s="24">
        <f t="shared" si="53"/>
        <v>0.35000000000000003</v>
      </c>
      <c r="BB50" s="25">
        <f>IF(MortgageRate="Discounted",_xlfn.XLOOKUP(L50,'mortgage-rates'!$A:$A,'mortgage-rates'!$E:$E)/100,_xlfn.XLOOKUP(L50,'mortgage-rates'!$A:$A,'mortgage-rates'!$D:$D)/100)</f>
        <v>4.5100000000000001E-2</v>
      </c>
      <c r="BC50" s="10">
        <f t="shared" si="67"/>
        <v>157210.11603379497</v>
      </c>
      <c r="BD50" s="10">
        <f t="shared" si="54"/>
        <v>3956.4543262233974</v>
      </c>
      <c r="BE50" s="10">
        <f t="shared" si="55"/>
        <v>1772.5440582810384</v>
      </c>
      <c r="BF50" s="10">
        <f t="shared" si="36"/>
        <v>2183.910267942359</v>
      </c>
      <c r="BG50" s="12">
        <f t="shared" si="56"/>
        <v>5566.4543262233974</v>
      </c>
      <c r="BH50" s="22">
        <f>INDEX(cpi!B:B,MATCH($L50,cpi!A:A))</f>
        <v>112.1</v>
      </c>
      <c r="BI50" s="22">
        <f t="shared" si="57"/>
        <v>132.50591016548464</v>
      </c>
      <c r="BJ50" s="22">
        <f t="shared" si="58"/>
        <v>208.42381461538773</v>
      </c>
      <c r="BK50" s="22">
        <f t="shared" si="59"/>
        <v>197.90470802901882</v>
      </c>
      <c r="BL50" s="22">
        <f t="shared" si="60"/>
        <v>205.26808263947706</v>
      </c>
      <c r="BM50" s="22">
        <f t="shared" si="61"/>
        <v>379.28009140224691</v>
      </c>
      <c r="BN50" s="22">
        <f t="shared" si="62"/>
        <v>167.85714285714286</v>
      </c>
      <c r="BO50">
        <f t="shared" si="63"/>
        <v>136.80377068103115</v>
      </c>
    </row>
    <row r="51" spans="1:67" x14ac:dyDescent="0.25">
      <c r="L51" s="1">
        <f t="shared" si="33"/>
        <v>43160</v>
      </c>
      <c r="M51" s="10">
        <f>AP51</f>
        <v>288752.27313554165</v>
      </c>
      <c r="N51" s="10">
        <f t="shared" si="39"/>
        <v>211367.56923414741</v>
      </c>
      <c r="O51" s="7">
        <f t="shared" si="24"/>
        <v>1.3661143674111591</v>
      </c>
      <c r="P51" s="7">
        <f t="shared" si="40"/>
        <v>0.85795412433520879</v>
      </c>
      <c r="Q51">
        <v>49</v>
      </c>
      <c r="R51">
        <f t="shared" si="41"/>
        <v>90</v>
      </c>
      <c r="S51" s="22"/>
      <c r="T51" s="22">
        <f>IF($B$10="3BR_H",
INDEX('3BR_H-processed'!$E:$F,MATCH($L51,'3BR_H-processed'!$B:$B,0),MATCH(Council_Area,'3BR_H-processed'!$E$1:$F$1,0)),
INDEX('2BR_F-processed'!$E:$F,MATCH($L51,'2BR_F-processed'!$B:$B,0),MATCH(Council_Area,'2BR_F-processed'!$E$1:$F$1,0)))</f>
        <v>360</v>
      </c>
      <c r="U51" s="22">
        <f t="shared" si="25"/>
        <v>360</v>
      </c>
      <c r="V51" s="22">
        <f t="shared" si="34"/>
        <v>4628.5714285714284</v>
      </c>
      <c r="W51" s="22">
        <f>$B$53/4*BH51/_xlfn.XLOOKUP(Q_end,cpi!A:A,cpi!B:B)</f>
        <v>155.7705597788528</v>
      </c>
      <c r="X51" s="22">
        <f t="shared" si="42"/>
        <v>4784.3419883502811</v>
      </c>
      <c r="Y51" s="22">
        <f t="shared" si="43"/>
        <v>792.11233787311539</v>
      </c>
      <c r="Z51" s="22">
        <f t="shared" si="64"/>
        <v>0</v>
      </c>
      <c r="AA51" s="22" cm="1">
        <f t="array" ref="AA51">(Y51+Z51)*eff_invest</f>
        <v>792.11233787311539</v>
      </c>
      <c r="AB51" s="22">
        <f>AA51*(_xlfn.XLOOKUP(Q_end,cpi!A:A,cpi!B:B)/BH51)</f>
        <v>1017.0244480056768</v>
      </c>
      <c r="AC51" s="22" cm="1">
        <f t="array" ref="AC51">INDEX('msci-indices'!C:C,MATCH($L51,'msci-indices'!$B:$B)-2)</f>
        <v>1659.3666479999999</v>
      </c>
      <c r="AD51" s="22" cm="1">
        <f t="array" ref="AD51">INDEX('msci-indices'!D:D,MATCH($L51,'msci-indices'!$B:$B)-2)</f>
        <v>1521.502109</v>
      </c>
      <c r="AE51" s="22">
        <f>AI50+AA51</f>
        <v>294897.7436282743</v>
      </c>
      <c r="AF51" s="22" cm="1">
        <f t="array" ref="AF51">INDEX('msci-indices'!C:C,MATCH($L51,'msci-indices'!$B:$B)+1)</f>
        <v>1639.7568659999999</v>
      </c>
      <c r="AG51" s="22" cm="1">
        <f t="array" ref="AG51">INDEX('msci-indices'!D:D,MATCH($L51,'msci-indices'!$B:$B)+1)</f>
        <v>1460.9362550000001</v>
      </c>
      <c r="AH51" s="22">
        <f t="shared" si="44"/>
        <v>184.31108976767143</v>
      </c>
      <c r="AI51" s="22">
        <f>((AF51/AC51)*GlobalPortfolio+(AG51/AD51)*AusPortfolio)*AE51-AH51</f>
        <v>288752.27313554165</v>
      </c>
      <c r="AJ51" s="22">
        <f t="shared" si="66"/>
        <v>152404.47934599878</v>
      </c>
      <c r="AK51" s="22">
        <f t="shared" si="46"/>
        <v>136347.79378954286</v>
      </c>
      <c r="AL51" s="22">
        <f>AJ51*(_xlfn.XLOOKUP(Q_end,cpi!A:A,cpi!B:B)/BH51)</f>
        <v>195678.15582401084</v>
      </c>
      <c r="AM51" s="22" cm="1">
        <f t="array" ref="AM51">SUMPRODUCT($AA$3:AA51,_xlfn.SORTBY($BH$3:BH51,_xlfn.SEQUENCE(ROWS($BH$3:BH51)),-1)/$BH$3)</f>
        <v>193483.29026461713</v>
      </c>
      <c r="AN51" s="22">
        <f t="shared" si="30"/>
        <v>95268.982870924519</v>
      </c>
      <c r="AO51" s="22">
        <f t="shared" si="47"/>
        <v>0</v>
      </c>
      <c r="AP51" s="22">
        <f>AI51-AO51</f>
        <v>288752.27313554165</v>
      </c>
      <c r="AQ51" s="22"/>
      <c r="AR51" s="10">
        <f>IF($B$10="3BR_H",
INDEX('ns-combined'!$C:$D,MATCH($L51,'ns-combined'!$B:$B,0),MATCH(Council_Area,'ns-combined'!$C$1:$D$1,0))*1000,
INDEX('s-combined'!$C:$D,MATCH($L51,'s-combined'!$B:$B,0),MATCH(Council_Area,'s-combined'!$C$1:$D$1,0))*1000)</f>
        <v>465000</v>
      </c>
      <c r="AS51" s="22">
        <f t="shared" si="35"/>
        <v>34300</v>
      </c>
      <c r="AT51" s="10">
        <v>0</v>
      </c>
      <c r="AU51" s="22">
        <f t="shared" si="48"/>
        <v>9300</v>
      </c>
      <c r="AV51" s="22">
        <f t="shared" si="49"/>
        <v>1336.875</v>
      </c>
      <c r="AW51" s="22">
        <f>SUM($AV$3:AV51)</f>
        <v>55006.225000000006</v>
      </c>
      <c r="AX51" s="22">
        <f t="shared" si="50"/>
        <v>366393.77500000002</v>
      </c>
      <c r="AY51" s="22">
        <f t="shared" si="51"/>
        <v>1620</v>
      </c>
      <c r="AZ51" s="24">
        <f t="shared" si="52"/>
        <v>1.3935483870967743E-2</v>
      </c>
      <c r="BA51" s="24">
        <f t="shared" si="53"/>
        <v>0.35000000000000003</v>
      </c>
      <c r="BB51" s="25">
        <f>IF(MortgageRate="Discounted",_xlfn.XLOOKUP(L51,'mortgage-rates'!$A:$A,'mortgage-rates'!$E:$E)/100,_xlfn.XLOOKUP(L51,'mortgage-rates'!$A:$A,'mortgage-rates'!$D:$D)/100)</f>
        <v>4.5100000000000001E-2</v>
      </c>
      <c r="BC51" s="10">
        <f t="shared" si="67"/>
        <v>155026.20576585262</v>
      </c>
      <c r="BD51" s="10">
        <f t="shared" si="54"/>
        <v>3956.4543262233969</v>
      </c>
      <c r="BE51" s="10">
        <f t="shared" si="55"/>
        <v>1747.9204700099883</v>
      </c>
      <c r="BF51" s="10">
        <f t="shared" si="36"/>
        <v>2208.5338562134084</v>
      </c>
      <c r="BG51" s="12">
        <f t="shared" si="56"/>
        <v>5576.4543262233965</v>
      </c>
      <c r="BH51" s="22">
        <f>INDEX(cpi!B:B,MATCH($L51,cpi!A:A))</f>
        <v>112.7</v>
      </c>
      <c r="BI51" s="22">
        <f t="shared" si="57"/>
        <v>133.21513002364068</v>
      </c>
      <c r="BJ51" s="22">
        <f t="shared" si="58"/>
        <v>219.81871331798365</v>
      </c>
      <c r="BK51" s="22">
        <f t="shared" si="59"/>
        <v>213.4075008673008</v>
      </c>
      <c r="BL51" s="22">
        <f t="shared" si="60"/>
        <v>217.89534958277881</v>
      </c>
      <c r="BM51" s="22">
        <f t="shared" si="61"/>
        <v>403.55538404455729</v>
      </c>
      <c r="BN51" s="22">
        <f t="shared" si="62"/>
        <v>166.07142857142858</v>
      </c>
      <c r="BO51">
        <f t="shared" si="63"/>
        <v>134.26181315157845</v>
      </c>
    </row>
    <row r="52" spans="1:67" x14ac:dyDescent="0.25">
      <c r="A52" s="6" t="s">
        <v>348</v>
      </c>
      <c r="B52" s="8"/>
      <c r="C52" s="8"/>
      <c r="L52" s="1">
        <f t="shared" si="33"/>
        <v>43252</v>
      </c>
      <c r="M52" s="10">
        <f t="shared" si="38"/>
        <v>300984.23288135009</v>
      </c>
      <c r="N52" s="10">
        <f t="shared" si="39"/>
        <v>214470.60309036082</v>
      </c>
      <c r="O52" s="7">
        <f t="shared" si="24"/>
        <v>1.4033822283538753</v>
      </c>
      <c r="P52" s="7">
        <f t="shared" si="40"/>
        <v>0.86450998842048277</v>
      </c>
      <c r="Q52">
        <v>50</v>
      </c>
      <c r="R52">
        <f t="shared" si="41"/>
        <v>91</v>
      </c>
      <c r="S52" s="22"/>
      <c r="T52" s="22">
        <f>IF($B$10="3BR_H",
INDEX('3BR_H-processed'!$E:$F,MATCH($L52,'3BR_H-processed'!$B:$B,0),MATCH(Council_Area,'3BR_H-processed'!$E$1:$F$1,0)),
INDEX('2BR_F-processed'!$E:$F,MATCH($L52,'2BR_F-processed'!$B:$B,0),MATCH(Council_Area,'2BR_F-processed'!$E$1:$F$1,0)))</f>
        <v>350</v>
      </c>
      <c r="U52" s="22">
        <f t="shared" si="25"/>
        <v>360</v>
      </c>
      <c r="V52" s="22">
        <f t="shared" si="34"/>
        <v>4680</v>
      </c>
      <c r="W52" s="22">
        <f>$B$53/4*BH52/_xlfn.XLOOKUP(Q_end,cpi!A:A,cpi!B:B)</f>
        <v>156.46164478230824</v>
      </c>
      <c r="X52" s="22">
        <f t="shared" si="42"/>
        <v>4836.4616447823082</v>
      </c>
      <c r="Y52" s="22">
        <f t="shared" si="43"/>
        <v>757.99268144108828</v>
      </c>
      <c r="Z52" s="22">
        <f t="shared" si="64"/>
        <v>0</v>
      </c>
      <c r="AA52" s="22" cm="1">
        <f t="array" ref="AA52">(Y52+Z52)*eff_invest</f>
        <v>757.99268144108828</v>
      </c>
      <c r="AB52" s="22">
        <f>AA52*(_xlfn.XLOOKUP(Q_end,cpi!A:A,cpi!B:B)/BH52)</f>
        <v>968.91820675375845</v>
      </c>
      <c r="AC52" s="22" cm="1">
        <f t="array" ref="AC52">INDEX('msci-indices'!C:C,MATCH($L52,'msci-indices'!$B:$B)-2)</f>
        <v>1639.7568659999999</v>
      </c>
      <c r="AD52" s="22" cm="1">
        <f t="array" ref="AD52">INDEX('msci-indices'!D:D,MATCH($L52,'msci-indices'!$B:$B)-2)</f>
        <v>1460.9362550000001</v>
      </c>
      <c r="AE52" s="22">
        <f t="shared" si="65"/>
        <v>289510.26581698272</v>
      </c>
      <c r="AF52" s="22" cm="1">
        <f t="array" ref="AF52">INDEX('msci-indices'!C:C,MATCH($L52,'msci-indices'!$B:$B)+1)</f>
        <v>1671.6050210000001</v>
      </c>
      <c r="AG52" s="22" cm="1">
        <f t="array" ref="AG52">INDEX('msci-indices'!D:D,MATCH($L52,'msci-indices'!$B:$B)+1)</f>
        <v>1590.772543</v>
      </c>
      <c r="AH52" s="22">
        <f t="shared" si="44"/>
        <v>180.94391613561422</v>
      </c>
      <c r="AI52" s="22">
        <f t="shared" si="45"/>
        <v>300984.23288135009</v>
      </c>
      <c r="AJ52" s="22">
        <f t="shared" si="66"/>
        <v>153162.47202743989</v>
      </c>
      <c r="AK52" s="22">
        <f t="shared" si="46"/>
        <v>147821.76085391021</v>
      </c>
      <c r="AL52" s="22">
        <f>AJ52*(_xlfn.XLOOKUP(Q_end,cpi!A:A,cpi!B:B)/BH52)</f>
        <v>195782.77122235467</v>
      </c>
      <c r="AM52" s="22" cm="1">
        <f t="array" ref="AM52">SUMPRODUCT($AA$3:AA52,_xlfn.SORTBY($BH$3:BH52,_xlfn.SEQUENCE(ROWS($BH$3:BH52)),-1)/$BH$3)</f>
        <v>195194.08743365062</v>
      </c>
      <c r="AN52" s="22">
        <f t="shared" si="30"/>
        <v>105790.14544769947</v>
      </c>
      <c r="AO52" s="22">
        <f t="shared" si="47"/>
        <v>0</v>
      </c>
      <c r="AP52" s="22">
        <f t="shared" si="31"/>
        <v>300984.23288135009</v>
      </c>
      <c r="AQ52" s="22"/>
      <c r="AR52" s="10">
        <f>IF($B$10="3BR_H",
INDEX('ns-combined'!$C:$D,MATCH($L52,'ns-combined'!$B:$B,0),MATCH(Council_Area,'ns-combined'!$C$1:$D$1,0))*1000,
INDEX('s-combined'!$C:$D,MATCH($L52,'s-combined'!$B:$B,0),MATCH(Council_Area,'s-combined'!$C$1:$D$1,0))*1000)</f>
        <v>468000</v>
      </c>
      <c r="AS52" s="22">
        <f t="shared" si="35"/>
        <v>35000</v>
      </c>
      <c r="AT52" s="10">
        <v>0</v>
      </c>
      <c r="AU52" s="22">
        <f t="shared" si="48"/>
        <v>9360</v>
      </c>
      <c r="AV52" s="22">
        <f t="shared" si="49"/>
        <v>1345.5</v>
      </c>
      <c r="AW52" s="22">
        <f>SUM($AV$3:AV52)</f>
        <v>56351.725000000006</v>
      </c>
      <c r="AX52" s="22">
        <f t="shared" si="50"/>
        <v>367288.27500000002</v>
      </c>
      <c r="AY52" s="22">
        <f t="shared" si="51"/>
        <v>1638.0000000000002</v>
      </c>
      <c r="AZ52" s="24">
        <f t="shared" si="52"/>
        <v>1.4000000000000002E-2</v>
      </c>
      <c r="BA52" s="24">
        <f t="shared" si="53"/>
        <v>0.35000000000000003</v>
      </c>
      <c r="BB52" s="25">
        <f>IF(MortgageRate="Discounted",_xlfn.XLOOKUP(L52,'mortgage-rates'!$A:$A,'mortgage-rates'!$E:$E)/100,_xlfn.XLOOKUP(L52,'mortgage-rates'!$A:$A,'mortgage-rates'!$D:$D)/100)</f>
        <v>4.5100000000000001E-2</v>
      </c>
      <c r="BC52" s="10">
        <f t="shared" si="67"/>
        <v>152817.6719096392</v>
      </c>
      <c r="BD52" s="10">
        <f t="shared" si="54"/>
        <v>3956.454326223396</v>
      </c>
      <c r="BE52" s="10">
        <f t="shared" si="55"/>
        <v>1723.0192507811821</v>
      </c>
      <c r="BF52" s="10">
        <f t="shared" si="36"/>
        <v>2233.4350754422139</v>
      </c>
      <c r="BG52" s="12">
        <f t="shared" si="56"/>
        <v>5594.4543262233965</v>
      </c>
      <c r="BH52" s="22">
        <f>INDEX(cpi!B:B,MATCH($L52,cpi!A:A))</f>
        <v>113.2</v>
      </c>
      <c r="BI52" s="22">
        <f t="shared" si="57"/>
        <v>133.80614657210404</v>
      </c>
      <c r="BJ52" s="22">
        <f t="shared" si="58"/>
        <v>217.22097697509543</v>
      </c>
      <c r="BK52" s="22">
        <f t="shared" si="59"/>
        <v>204.91246989522486</v>
      </c>
      <c r="BL52" s="22">
        <f t="shared" si="60"/>
        <v>213.52842485113428</v>
      </c>
      <c r="BM52" s="22">
        <f t="shared" si="61"/>
        <v>396.18284314133535</v>
      </c>
      <c r="BN52" s="22">
        <f t="shared" si="62"/>
        <v>167.14285714285714</v>
      </c>
      <c r="BO52">
        <f t="shared" si="63"/>
        <v>134.58959489913704</v>
      </c>
    </row>
    <row r="53" spans="1:67" x14ac:dyDescent="0.25">
      <c r="A53" t="s">
        <v>630</v>
      </c>
      <c r="B53" s="23">
        <v>800</v>
      </c>
      <c r="C53" s="23">
        <v>800</v>
      </c>
      <c r="L53" s="1">
        <f t="shared" si="33"/>
        <v>43344</v>
      </c>
      <c r="M53" s="10">
        <f t="shared" si="38"/>
        <v>312285.64069246443</v>
      </c>
      <c r="N53" s="10">
        <f t="shared" si="39"/>
        <v>212997.42566580299</v>
      </c>
      <c r="O53" s="7">
        <f t="shared" si="24"/>
        <v>1.4661474884792576</v>
      </c>
      <c r="P53" s="7">
        <f t="shared" si="40"/>
        <v>0.8671149537063213</v>
      </c>
      <c r="Q53">
        <v>51</v>
      </c>
      <c r="R53">
        <f t="shared" si="41"/>
        <v>92</v>
      </c>
      <c r="S53" s="22"/>
      <c r="T53" s="22">
        <f>IF($B$10="3BR_H",
INDEX('3BR_H-processed'!$E:$F,MATCH($L53,'3BR_H-processed'!$B:$B,0),MATCH(Council_Area,'3BR_H-processed'!$E$1:$F$1,0)),
INDEX('2BR_F-processed'!$E:$F,MATCH($L53,'2BR_F-processed'!$B:$B,0),MATCH(Council_Area,'2BR_F-processed'!$E$1:$F$1,0)))</f>
        <v>350</v>
      </c>
      <c r="U53" s="22">
        <f t="shared" si="25"/>
        <v>360</v>
      </c>
      <c r="V53" s="22">
        <f t="shared" si="34"/>
        <v>4731.4285714285716</v>
      </c>
      <c r="W53" s="22">
        <f>$B$53/4*BH53/_xlfn.XLOOKUP(Q_end,cpi!A:A,cpi!B:B)</f>
        <v>156.87629578438148</v>
      </c>
      <c r="X53" s="22">
        <f t="shared" si="42"/>
        <v>4888.3048672129535</v>
      </c>
      <c r="Y53" s="22">
        <f t="shared" si="43"/>
        <v>749.13091488122609</v>
      </c>
      <c r="Z53" s="22">
        <f t="shared" si="64"/>
        <v>0</v>
      </c>
      <c r="AA53" s="22" cm="1">
        <f t="array" ref="AA53">(Y53+Z53)*eff_invest</f>
        <v>749.13091488122609</v>
      </c>
      <c r="AB53" s="22">
        <f>AA53*(_xlfn.XLOOKUP(Q_end,cpi!A:A,cpi!B:B)/BH53)</f>
        <v>955.05941306884051</v>
      </c>
      <c r="AC53" s="22" cm="1">
        <f t="array" ref="AC53">INDEX('msci-indices'!C:C,MATCH($L53,'msci-indices'!$B:$B)-2)</f>
        <v>1671.6050210000001</v>
      </c>
      <c r="AD53" s="22" cm="1">
        <f t="array" ref="AD53">INDEX('msci-indices'!D:D,MATCH($L53,'msci-indices'!$B:$B)-2)</f>
        <v>1590.772543</v>
      </c>
      <c r="AE53" s="22">
        <f t="shared" si="65"/>
        <v>301733.36379623134</v>
      </c>
      <c r="AF53" s="22" cm="1">
        <f t="array" ref="AF53">INDEX('msci-indices'!C:C,MATCH($L53,'msci-indices'!$B:$B)+1)</f>
        <v>1747.837315</v>
      </c>
      <c r="AG53" s="22" cm="1">
        <f t="array" ref="AG53">INDEX('msci-indices'!D:D,MATCH($L53,'msci-indices'!$B:$B)+1)</f>
        <v>1610.255349</v>
      </c>
      <c r="AH53" s="22">
        <f t="shared" si="44"/>
        <v>188.58335237264458</v>
      </c>
      <c r="AI53" s="22">
        <f t="shared" si="45"/>
        <v>312285.64069246443</v>
      </c>
      <c r="AJ53" s="22">
        <f t="shared" si="66"/>
        <v>153911.6029423211</v>
      </c>
      <c r="AK53" s="22">
        <f t="shared" si="46"/>
        <v>158374.03775014332</v>
      </c>
      <c r="AL53" s="22">
        <f>AJ53*(_xlfn.XLOOKUP(Q_end,cpi!A:A,cpi!B:B)/BH53)</f>
        <v>196220.34313439525</v>
      </c>
      <c r="AM53" s="22" cm="1">
        <f t="array" ref="AM53">SUMPRODUCT($AA$3:AA53,_xlfn.SORTBY($BH$3:BH53,_xlfn.SEQUENCE(ROWS($BH$3:BH53)),-1)/$BH$3)</f>
        <v>196728.25346613667</v>
      </c>
      <c r="AN53" s="22">
        <f t="shared" si="30"/>
        <v>115557.38722632776</v>
      </c>
      <c r="AO53" s="22">
        <f t="shared" si="47"/>
        <v>0</v>
      </c>
      <c r="AP53" s="22">
        <f t="shared" si="31"/>
        <v>312285.64069246443</v>
      </c>
      <c r="AQ53" s="22"/>
      <c r="AR53" s="10">
        <f>IF($B$10="3BR_H",
INDEX('ns-combined'!$C:$D,MATCH($L53,'ns-combined'!$B:$B,0),MATCH(Council_Area,'ns-combined'!$C$1:$D$1,0))*1000,
INDEX('s-combined'!$C:$D,MATCH($L53,'s-combined'!$B:$B,0),MATCH(Council_Area,'s-combined'!$C$1:$D$1,0))*1000)</f>
        <v>466300</v>
      </c>
      <c r="AS53" s="22">
        <f t="shared" si="35"/>
        <v>35700</v>
      </c>
      <c r="AT53" s="10">
        <v>0</v>
      </c>
      <c r="AU53" s="22">
        <f t="shared" si="48"/>
        <v>9326</v>
      </c>
      <c r="AV53" s="22">
        <f t="shared" si="49"/>
        <v>1340.6125</v>
      </c>
      <c r="AW53" s="22">
        <f>SUM($AV$3:AV53)</f>
        <v>57692.337500000009</v>
      </c>
      <c r="AX53" s="22">
        <f t="shared" si="50"/>
        <v>363581.66249999998</v>
      </c>
      <c r="AY53" s="22">
        <f t="shared" si="51"/>
        <v>1656.0000000000002</v>
      </c>
      <c r="AZ53" s="24">
        <f t="shared" si="52"/>
        <v>1.4205447137036245E-2</v>
      </c>
      <c r="BA53" s="24">
        <f t="shared" si="53"/>
        <v>0.35000000000000003</v>
      </c>
      <c r="BB53" s="25">
        <f>IF(MortgageRate="Discounted",_xlfn.XLOOKUP(L53,'mortgage-rates'!$A:$A,'mortgage-rates'!$E:$E)/100,_xlfn.XLOOKUP(L53,'mortgage-rates'!$A:$A,'mortgage-rates'!$D:$D)/100)</f>
        <v>4.6199999999999998E-2</v>
      </c>
      <c r="BC53" s="10">
        <f t="shared" si="67"/>
        <v>150584.23683419699</v>
      </c>
      <c r="BD53" s="10">
        <f t="shared" si="54"/>
        <v>3981.4357820941791</v>
      </c>
      <c r="BE53" s="10">
        <f t="shared" si="55"/>
        <v>1739.247935434975</v>
      </c>
      <c r="BF53" s="10">
        <f t="shared" si="36"/>
        <v>2242.1878466592043</v>
      </c>
      <c r="BG53" s="12">
        <f t="shared" si="56"/>
        <v>5637.4357820941796</v>
      </c>
      <c r="BH53" s="22">
        <f>INDEX(cpi!B:B,MATCH($L53,cpi!A:A))</f>
        <v>113.5</v>
      </c>
      <c r="BI53" s="22">
        <f t="shared" si="57"/>
        <v>134.16075650118205</v>
      </c>
      <c r="BJ53" s="22">
        <f t="shared" si="58"/>
        <v>221.43994838933332</v>
      </c>
      <c r="BK53" s="22">
        <f t="shared" si="59"/>
        <v>223.12344546999952</v>
      </c>
      <c r="BL53" s="22">
        <f t="shared" si="60"/>
        <v>221.94499751353317</v>
      </c>
      <c r="BM53" s="22">
        <f t="shared" si="61"/>
        <v>412.90964796032273</v>
      </c>
      <c r="BN53" s="22">
        <f t="shared" si="62"/>
        <v>166.53571428571428</v>
      </c>
      <c r="BO53">
        <f t="shared" si="63"/>
        <v>133.23133897652943</v>
      </c>
    </row>
    <row r="54" spans="1:67" x14ac:dyDescent="0.25">
      <c r="A54" t="s">
        <v>631</v>
      </c>
      <c r="B54" s="8">
        <v>1</v>
      </c>
      <c r="C54" s="8">
        <v>1</v>
      </c>
      <c r="L54" s="1">
        <f t="shared" si="33"/>
        <v>43435</v>
      </c>
      <c r="M54" s="10">
        <f t="shared" si="38"/>
        <v>274461.06937073951</v>
      </c>
      <c r="N54" s="10">
        <f t="shared" si="39"/>
        <v>226585.61351246221</v>
      </c>
      <c r="O54" s="7">
        <f t="shared" si="24"/>
        <v>1.211290801371395</v>
      </c>
      <c r="P54" s="7">
        <f t="shared" si="40"/>
        <v>0.86620672534266485</v>
      </c>
      <c r="Q54">
        <v>52</v>
      </c>
      <c r="R54">
        <f t="shared" si="41"/>
        <v>92</v>
      </c>
      <c r="S54" s="22"/>
      <c r="T54" s="22">
        <f>IF($B$10="3BR_H",
INDEX('3BR_H-processed'!$E:$F,MATCH($L54,'3BR_H-processed'!$B:$B,0),MATCH(Council_Area,'3BR_H-processed'!$E$1:$F$1,0)),
INDEX('2BR_F-processed'!$E:$F,MATCH($L54,'2BR_F-processed'!$B:$B,0),MATCH(Council_Area,'2BR_F-processed'!$E$1:$F$1,0)))</f>
        <v>355</v>
      </c>
      <c r="U54" s="22">
        <f t="shared" si="25"/>
        <v>360</v>
      </c>
      <c r="V54" s="22">
        <f t="shared" si="34"/>
        <v>4731.4285714285716</v>
      </c>
      <c r="W54" s="22">
        <f>$B$53/4*BH54/_xlfn.XLOOKUP(Q_end,cpi!A:A,cpi!B:B)</f>
        <v>157.56738078783692</v>
      </c>
      <c r="X54" s="22">
        <f t="shared" si="42"/>
        <v>4888.9959522164081</v>
      </c>
      <c r="Y54" s="22">
        <f t="shared" si="43"/>
        <v>755.14857954344188</v>
      </c>
      <c r="Z54" s="22">
        <f t="shared" si="64"/>
        <v>0</v>
      </c>
      <c r="AA54" s="22" cm="1">
        <f t="array" ref="AA54">(Y54+Z54)*eff_invest</f>
        <v>755.14857954344188</v>
      </c>
      <c r="AB54" s="22">
        <f>AA54*(_xlfn.XLOOKUP(Q_end,cpi!A:A,cpi!B:B)/BH54)</f>
        <v>958.50876719242126</v>
      </c>
      <c r="AC54" s="22" cm="1">
        <f t="array" ref="AC54">INDEX('msci-indices'!C:C,MATCH($L54,'msci-indices'!$B:$B)-2)</f>
        <v>1747.837315</v>
      </c>
      <c r="AD54" s="22" cm="1">
        <f t="array" ref="AD54">INDEX('msci-indices'!D:D,MATCH($L54,'msci-indices'!$B:$B)-2)</f>
        <v>1610.255349</v>
      </c>
      <c r="AE54" s="22">
        <f t="shared" si="65"/>
        <v>313040.78927200788</v>
      </c>
      <c r="AF54" s="22" cm="1">
        <f t="array" ref="AF54">INDEX('msci-indices'!C:C,MATCH($L54,'msci-indices'!$B:$B)+1)</f>
        <v>1503.1567950000001</v>
      </c>
      <c r="AG54" s="22" cm="1">
        <f t="array" ref="AG54">INDEX('msci-indices'!D:D,MATCH($L54,'msci-indices'!$B:$B)+1)</f>
        <v>1478.088164</v>
      </c>
      <c r="AH54" s="22">
        <f t="shared" si="44"/>
        <v>195.65049329500494</v>
      </c>
      <c r="AI54" s="22">
        <f t="shared" si="45"/>
        <v>274461.06937073951</v>
      </c>
      <c r="AJ54" s="22">
        <f t="shared" si="66"/>
        <v>154666.75152186456</v>
      </c>
      <c r="AK54" s="22">
        <f t="shared" si="46"/>
        <v>119794.31784887495</v>
      </c>
      <c r="AL54" s="22">
        <f>AJ54*(_xlfn.XLOOKUP(Q_end,cpi!A:A,cpi!B:B)/BH54)</f>
        <v>196318.23636152456</v>
      </c>
      <c r="AM54" s="22" cm="1">
        <f t="array" ref="AM54">SUMPRODUCT($AA$3:AA54,_xlfn.SORTBY($BH$3:BH54,_xlfn.SEQUENCE(ROWS($BH$3:BH54)),-1)/$BH$3)</f>
        <v>198442.2224074222</v>
      </c>
      <c r="AN54" s="22">
        <f t="shared" si="30"/>
        <v>76018.846963317308</v>
      </c>
      <c r="AO54" s="22">
        <f t="shared" si="47"/>
        <v>0</v>
      </c>
      <c r="AP54" s="22">
        <f t="shared" si="31"/>
        <v>274461.06937073951</v>
      </c>
      <c r="AQ54" s="22"/>
      <c r="AR54" s="10">
        <f>IF($B$10="3BR_H",
INDEX('ns-combined'!$C:$D,MATCH($L54,'ns-combined'!$B:$B,0),MATCH(Council_Area,'ns-combined'!$C$1:$D$1,0))*1000,
INDEX('s-combined'!$C:$D,MATCH($L54,'s-combined'!$B:$B,0),MATCH(Council_Area,'s-combined'!$C$1:$D$1,0))*1000)</f>
        <v>480000</v>
      </c>
      <c r="AS54" s="22">
        <f t="shared" si="35"/>
        <v>36400</v>
      </c>
      <c r="AT54" s="10">
        <v>0</v>
      </c>
      <c r="AU54" s="22">
        <f t="shared" si="48"/>
        <v>9600</v>
      </c>
      <c r="AV54" s="22">
        <f t="shared" si="49"/>
        <v>1380</v>
      </c>
      <c r="AW54" s="22">
        <f>SUM($AV$3:AV54)</f>
        <v>59072.337500000009</v>
      </c>
      <c r="AX54" s="22">
        <f t="shared" si="50"/>
        <v>374927.66249999998</v>
      </c>
      <c r="AY54" s="22">
        <f t="shared" si="51"/>
        <v>1656.0000000000002</v>
      </c>
      <c r="AZ54" s="24">
        <f t="shared" si="52"/>
        <v>1.3800000000000002E-2</v>
      </c>
      <c r="BA54" s="24">
        <f t="shared" si="53"/>
        <v>0.35000000000000003</v>
      </c>
      <c r="BB54" s="25">
        <f>IF(MortgageRate="Discounted",_xlfn.XLOOKUP(L54,'mortgage-rates'!$A:$A,'mortgage-rates'!$E:$E)/100,_xlfn.XLOOKUP(L54,'mortgage-rates'!$A:$A,'mortgage-rates'!$D:$D)/100)</f>
        <v>4.6500000000000007E-2</v>
      </c>
      <c r="BC54" s="10">
        <f t="shared" si="67"/>
        <v>148342.04898753777</v>
      </c>
      <c r="BD54" s="10">
        <f t="shared" si="54"/>
        <v>3988.14453175985</v>
      </c>
      <c r="BE54" s="10">
        <f t="shared" si="55"/>
        <v>1724.4763194801269</v>
      </c>
      <c r="BF54" s="10">
        <f t="shared" si="36"/>
        <v>2263.6682122797229</v>
      </c>
      <c r="BG54" s="12">
        <f t="shared" si="56"/>
        <v>5644.14453175985</v>
      </c>
      <c r="BH54" s="22">
        <f>INDEX(cpi!B:B,MATCH($L54,cpi!A:A))</f>
        <v>114</v>
      </c>
      <c r="BI54" s="22">
        <f t="shared" si="57"/>
        <v>134.75177304964541</v>
      </c>
      <c r="BJ54" s="22">
        <f t="shared" si="58"/>
        <v>231.53855125118753</v>
      </c>
      <c r="BK54" s="22">
        <f t="shared" si="59"/>
        <v>225.85612452035926</v>
      </c>
      <c r="BL54" s="22">
        <f t="shared" si="60"/>
        <v>229.83382323193905</v>
      </c>
      <c r="BM54" s="22">
        <f t="shared" si="61"/>
        <v>428.38339277196224</v>
      </c>
      <c r="BN54" s="22">
        <f t="shared" si="62"/>
        <v>171.42857142857142</v>
      </c>
      <c r="BO54">
        <f t="shared" si="63"/>
        <v>137.38898202605398</v>
      </c>
    </row>
    <row r="55" spans="1:67" x14ac:dyDescent="0.25">
      <c r="L55" s="1">
        <f t="shared" si="33"/>
        <v>43525</v>
      </c>
      <c r="M55" s="10">
        <f t="shared" si="38"/>
        <v>308285.40934974706</v>
      </c>
      <c r="N55" s="10">
        <f t="shared" si="39"/>
        <v>221883.65672474194</v>
      </c>
      <c r="O55" s="7">
        <f t="shared" si="24"/>
        <v>1.3894011568963411</v>
      </c>
      <c r="P55" s="7">
        <f t="shared" si="40"/>
        <v>0.86838780372164692</v>
      </c>
      <c r="Q55">
        <v>53</v>
      </c>
      <c r="R55">
        <f t="shared" si="41"/>
        <v>90</v>
      </c>
      <c r="S55" s="22"/>
      <c r="T55" s="22">
        <f>IF($B$10="3BR_H",
INDEX('3BR_H-processed'!$E:$F,MATCH($L55,'3BR_H-processed'!$B:$B,0),MATCH(Council_Area,'3BR_H-processed'!$E$1:$F$1,0)),
INDEX('2BR_F-processed'!$E:$F,MATCH($L55,'2BR_F-processed'!$B:$B,0),MATCH(Council_Area,'2BR_F-processed'!$E$1:$F$1,0)))</f>
        <v>370</v>
      </c>
      <c r="U55" s="22">
        <f t="shared" si="25"/>
        <v>370</v>
      </c>
      <c r="V55" s="22">
        <f t="shared" si="34"/>
        <v>4757.1428571428569</v>
      </c>
      <c r="W55" s="22">
        <f>$B$53/4*BH55/_xlfn.XLOOKUP(Q_end,cpi!A:A,cpi!B:B)</f>
        <v>157.705597788528</v>
      </c>
      <c r="X55" s="22">
        <f t="shared" si="42"/>
        <v>4914.8484549313853</v>
      </c>
      <c r="Y55" s="22">
        <f t="shared" si="43"/>
        <v>744.89070062542305</v>
      </c>
      <c r="Z55" s="22">
        <f t="shared" si="64"/>
        <v>0</v>
      </c>
      <c r="AA55" s="22" cm="1">
        <f t="array" ref="AA55">(Y55+Z55)*eff_invest</f>
        <v>744.89070062542305</v>
      </c>
      <c r="AB55" s="22">
        <f>AA55*(_xlfn.XLOOKUP(Q_end,cpi!A:A,cpi!B:B)/BH55)</f>
        <v>944.65981052146105</v>
      </c>
      <c r="AC55" s="22" cm="1">
        <f t="array" ref="AC55">INDEX('msci-indices'!C:C,MATCH($L55,'msci-indices'!$B:$B)-2)</f>
        <v>1503.1567950000001</v>
      </c>
      <c r="AD55" s="22" cm="1">
        <f t="array" ref="AD55">INDEX('msci-indices'!D:D,MATCH($L55,'msci-indices'!$B:$B)-2)</f>
        <v>1478.088164</v>
      </c>
      <c r="AE55" s="22">
        <f t="shared" si="65"/>
        <v>275205.96007136494</v>
      </c>
      <c r="AF55" s="22" cm="1">
        <f t="array" ref="AF55">INDEX('msci-indices'!C:C,MATCH($L55,'msci-indices'!$B:$B)+1)</f>
        <v>1693.1497079999999</v>
      </c>
      <c r="AG55" s="22" cm="1">
        <f t="array" ref="AG55">INDEX('msci-indices'!D:D,MATCH($L55,'msci-indices'!$B:$B)+1)</f>
        <v>1637.459214</v>
      </c>
      <c r="AH55" s="22">
        <f t="shared" si="44"/>
        <v>172.0037250446031</v>
      </c>
      <c r="AI55" s="22">
        <f t="shared" si="45"/>
        <v>308285.40934974706</v>
      </c>
      <c r="AJ55" s="22">
        <f t="shared" si="66"/>
        <v>155411.64222248999</v>
      </c>
      <c r="AK55" s="22">
        <f t="shared" si="46"/>
        <v>152873.76712725707</v>
      </c>
      <c r="AL55" s="22">
        <f>AJ55*(_xlfn.XLOOKUP(Q_end,cpi!A:A,cpi!B:B)/BH55)</f>
        <v>197090.83812089657</v>
      </c>
      <c r="AM55" s="22" cm="1">
        <f t="array" ref="AM55">SUMPRODUCT($AA$3:AA55,_xlfn.SORTBY($BH$3:BH55,_xlfn.SEQUENCE(ROWS($BH$3:BH55)),-1)/$BH$3)</f>
        <v>199807.94462185679</v>
      </c>
      <c r="AN55" s="22">
        <f t="shared" si="30"/>
        <v>108477.46472789027</v>
      </c>
      <c r="AO55" s="22">
        <f t="shared" si="47"/>
        <v>0</v>
      </c>
      <c r="AP55" s="22">
        <f t="shared" si="31"/>
        <v>308285.40934974706</v>
      </c>
      <c r="AQ55" s="22"/>
      <c r="AR55" s="10">
        <f>IF($B$10="3BR_H",
INDEX('ns-combined'!$C:$D,MATCH($L55,'ns-combined'!$B:$B,0),MATCH(Council_Area,'ns-combined'!$C$1:$D$1,0))*1000,
INDEX('s-combined'!$C:$D,MATCH($L55,'s-combined'!$B:$B,0),MATCH(Council_Area,'s-combined'!$C$1:$D$1,0))*1000)</f>
        <v>475000</v>
      </c>
      <c r="AS55" s="22">
        <f t="shared" si="35"/>
        <v>37100</v>
      </c>
      <c r="AT55" s="10">
        <v>0</v>
      </c>
      <c r="AU55" s="22">
        <f t="shared" si="48"/>
        <v>9500</v>
      </c>
      <c r="AV55" s="22">
        <f t="shared" si="49"/>
        <v>1365.625</v>
      </c>
      <c r="AW55" s="22">
        <f>SUM($AV$3:AV55)</f>
        <v>60437.962500000009</v>
      </c>
      <c r="AX55" s="22">
        <f t="shared" si="50"/>
        <v>367962.03749999998</v>
      </c>
      <c r="AY55" s="22">
        <f t="shared" si="51"/>
        <v>1665</v>
      </c>
      <c r="AZ55" s="24">
        <f t="shared" si="52"/>
        <v>1.4021052631578948E-2</v>
      </c>
      <c r="BA55" s="24">
        <f t="shared" si="53"/>
        <v>0.35000000000000003</v>
      </c>
      <c r="BB55" s="25">
        <f>IF(MortgageRate="Discounted",_xlfn.XLOOKUP(L55,'mortgage-rates'!$A:$A,'mortgage-rates'!$E:$E)/100,_xlfn.XLOOKUP(L55,'mortgage-rates'!$A:$A,'mortgage-rates'!$D:$D)/100)</f>
        <v>4.6799999999999994E-2</v>
      </c>
      <c r="BC55" s="10">
        <f t="shared" si="67"/>
        <v>146078.38077525803</v>
      </c>
      <c r="BD55" s="10">
        <f t="shared" si="54"/>
        <v>3994.7391555568088</v>
      </c>
      <c r="BE55" s="10">
        <f t="shared" si="55"/>
        <v>1709.1170550705187</v>
      </c>
      <c r="BF55" s="10">
        <f t="shared" si="36"/>
        <v>2285.62210048629</v>
      </c>
      <c r="BG55" s="12">
        <f t="shared" si="56"/>
        <v>5659.7391555568083</v>
      </c>
      <c r="BH55" s="22">
        <f>INDEX(cpi!B:B,MATCH($L55,cpi!A:A))</f>
        <v>114.1</v>
      </c>
      <c r="BI55" s="22">
        <f t="shared" si="57"/>
        <v>134.86997635933807</v>
      </c>
      <c r="BJ55" s="22">
        <f t="shared" si="58"/>
        <v>199.12536689244348</v>
      </c>
      <c r="BK55" s="22">
        <f t="shared" si="59"/>
        <v>207.31821485814123</v>
      </c>
      <c r="BL55" s="22">
        <f t="shared" si="60"/>
        <v>201.58322128215281</v>
      </c>
      <c r="BM55" s="22">
        <f t="shared" si="61"/>
        <v>376.60799143972304</v>
      </c>
      <c r="BN55" s="22">
        <f t="shared" si="62"/>
        <v>169.64285714285714</v>
      </c>
      <c r="BO55">
        <f t="shared" si="63"/>
        <v>134.83648930907492</v>
      </c>
    </row>
    <row r="56" spans="1:67" x14ac:dyDescent="0.25">
      <c r="L56" s="1">
        <f t="shared" si="33"/>
        <v>43617</v>
      </c>
      <c r="M56" s="10">
        <f t="shared" si="38"/>
        <v>324286.05842385197</v>
      </c>
      <c r="N56" s="10">
        <f t="shared" si="39"/>
        <v>225523.59132522825</v>
      </c>
      <c r="O56" s="7">
        <f t="shared" si="24"/>
        <v>1.4379252144676877</v>
      </c>
      <c r="P56" s="7">
        <f t="shared" si="40"/>
        <v>0.88241771831310023</v>
      </c>
      <c r="Q56">
        <v>54</v>
      </c>
      <c r="R56">
        <f t="shared" si="41"/>
        <v>91</v>
      </c>
      <c r="S56" s="22"/>
      <c r="T56" s="22">
        <f>IF($B$10="3BR_H",
INDEX('3BR_H-processed'!$E:$F,MATCH($L56,'3BR_H-processed'!$B:$B,0),MATCH(Council_Area,'3BR_H-processed'!$E$1:$F$1,0)),
INDEX('2BR_F-processed'!$E:$F,MATCH($L56,'2BR_F-processed'!$B:$B,0),MATCH(Council_Area,'2BR_F-processed'!$E$1:$F$1,0)))</f>
        <v>360</v>
      </c>
      <c r="U56" s="22">
        <f t="shared" si="25"/>
        <v>370</v>
      </c>
      <c r="V56" s="22">
        <f t="shared" si="34"/>
        <v>4810</v>
      </c>
      <c r="W56" s="22">
        <f>$B$53/4*BH56/_xlfn.XLOOKUP(Q_end,cpi!A:A,cpi!B:B)</f>
        <v>158.81133379405668</v>
      </c>
      <c r="X56" s="22">
        <f t="shared" si="42"/>
        <v>4968.8113337940567</v>
      </c>
      <c r="Y56" s="22">
        <f t="shared" si="43"/>
        <v>662.09479000050032</v>
      </c>
      <c r="Z56" s="22">
        <f t="shared" si="64"/>
        <v>0</v>
      </c>
      <c r="AA56" s="22" cm="1">
        <f t="array" ref="AA56">(Y56+Z56)*eff_invest</f>
        <v>662.09479000050032</v>
      </c>
      <c r="AB56" s="22">
        <f>AA56*(_xlfn.XLOOKUP(Q_end,cpi!A:A,cpi!B:B)/BH56)</f>
        <v>833.81302100150026</v>
      </c>
      <c r="AC56" s="22" cm="1">
        <f t="array" ref="AC56">INDEX('msci-indices'!C:C,MATCH($L56,'msci-indices'!$B:$B)-2)</f>
        <v>1693.1497079999999</v>
      </c>
      <c r="AD56" s="22" cm="1">
        <f t="array" ref="AD56">INDEX('msci-indices'!D:D,MATCH($L56,'msci-indices'!$B:$B)-2)</f>
        <v>1637.459214</v>
      </c>
      <c r="AE56" s="22">
        <f t="shared" si="65"/>
        <v>308947.50413974759</v>
      </c>
      <c r="AF56" s="22" cm="1">
        <f t="array" ref="AF56">INDEX('msci-indices'!C:C,MATCH($L56,'msci-indices'!$B:$B)+1)</f>
        <v>1756.4484090000001</v>
      </c>
      <c r="AG56" s="22" cm="1">
        <f t="array" ref="AG56">INDEX('msci-indices'!D:D,MATCH($L56,'msci-indices'!$B:$B)+1)</f>
        <v>1769.0189379999999</v>
      </c>
      <c r="AH56" s="22">
        <f t="shared" si="44"/>
        <v>193.09219008734226</v>
      </c>
      <c r="AI56" s="22">
        <f t="shared" si="45"/>
        <v>324286.05842385197</v>
      </c>
      <c r="AJ56" s="22">
        <f t="shared" si="66"/>
        <v>156073.73701249048</v>
      </c>
      <c r="AK56" s="22">
        <f t="shared" si="46"/>
        <v>168212.32141136148</v>
      </c>
      <c r="AL56" s="22">
        <f>AJ56*(_xlfn.XLOOKUP(Q_end,cpi!A:A,cpi!B:B)/BH56)</f>
        <v>196552.3911723879</v>
      </c>
      <c r="AM56" s="22" cm="1">
        <f t="array" ref="AM56">SUMPRODUCT($AA$3:AA56,_xlfn.SORTBY($BH$3:BH56,_xlfn.SEQUENCE(ROWS($BH$3:BH56)),-1)/$BH$3)</f>
        <v>201683.63614366049</v>
      </c>
      <c r="AN56" s="22">
        <f t="shared" si="30"/>
        <v>122602.42228019147</v>
      </c>
      <c r="AO56" s="22">
        <f t="shared" si="47"/>
        <v>0</v>
      </c>
      <c r="AP56" s="22">
        <f t="shared" si="31"/>
        <v>324286.05842385197</v>
      </c>
      <c r="AQ56" s="22"/>
      <c r="AR56" s="10">
        <f>IF($B$10="3BR_H",
INDEX('ns-combined'!$C:$D,MATCH($L56,'ns-combined'!$B:$B,0),MATCH(Council_Area,'ns-combined'!$C$1:$D$1,0))*1000,
INDEX('s-combined'!$C:$D,MATCH($L56,'s-combined'!$B:$B,0),MATCH(Council_Area,'s-combined'!$C$1:$D$1,0))*1000)</f>
        <v>478500</v>
      </c>
      <c r="AS56" s="22">
        <f t="shared" si="35"/>
        <v>37800</v>
      </c>
      <c r="AT56" s="10">
        <v>0</v>
      </c>
      <c r="AU56" s="22">
        <f t="shared" si="48"/>
        <v>9570</v>
      </c>
      <c r="AV56" s="22">
        <f t="shared" si="49"/>
        <v>1375.6875</v>
      </c>
      <c r="AW56" s="22">
        <f>SUM($AV$3:AV56)</f>
        <v>61813.650000000009</v>
      </c>
      <c r="AX56" s="22">
        <f t="shared" si="50"/>
        <v>369316.35</v>
      </c>
      <c r="AY56" s="22">
        <f t="shared" si="51"/>
        <v>1683.5000000000002</v>
      </c>
      <c r="AZ56" s="24">
        <f t="shared" si="52"/>
        <v>1.4073145245559041E-2</v>
      </c>
      <c r="BA56" s="24">
        <f t="shared" si="53"/>
        <v>0.35000000000000003</v>
      </c>
      <c r="BB56" s="25">
        <f>IF(MortgageRate="Discounted",_xlfn.XLOOKUP(L56,'mortgage-rates'!$A:$A,'mortgage-rates'!$E:$E)/100,_xlfn.XLOOKUP(L56,'mortgage-rates'!$A:$A,'mortgage-rates'!$D:$D)/100)</f>
        <v>4.4600000000000001E-2</v>
      </c>
      <c r="BC56" s="10">
        <f t="shared" si="67"/>
        <v>143792.75867477173</v>
      </c>
      <c r="BD56" s="10">
        <f t="shared" si="54"/>
        <v>3947.4061237945571</v>
      </c>
      <c r="BE56" s="10">
        <f t="shared" si="55"/>
        <v>1603.2892592237049</v>
      </c>
      <c r="BF56" s="10">
        <f t="shared" si="36"/>
        <v>2344.1168645708522</v>
      </c>
      <c r="BG56" s="12">
        <f t="shared" si="56"/>
        <v>5630.9061237945571</v>
      </c>
      <c r="BH56" s="22">
        <f>INDEX(cpi!B:B,MATCH($L56,cpi!A:A))</f>
        <v>114.9</v>
      </c>
      <c r="BI56" s="22">
        <f t="shared" si="57"/>
        <v>135.81560283687944</v>
      </c>
      <c r="BJ56" s="22">
        <f t="shared" si="58"/>
        <v>224.29400441178427</v>
      </c>
      <c r="BK56" s="22">
        <f t="shared" si="59"/>
        <v>229.67176750188432</v>
      </c>
      <c r="BL56" s="22">
        <f t="shared" si="60"/>
        <v>225.90733333881428</v>
      </c>
      <c r="BM56" s="22">
        <f t="shared" si="61"/>
        <v>422.78190110495444</v>
      </c>
      <c r="BN56" s="22">
        <f t="shared" si="62"/>
        <v>170.89285714285714</v>
      </c>
      <c r="BO56">
        <f t="shared" si="63"/>
        <v>135.33276534931016</v>
      </c>
    </row>
    <row r="57" spans="1:67" x14ac:dyDescent="0.25">
      <c r="L57" s="1">
        <f t="shared" si="33"/>
        <v>43709</v>
      </c>
      <c r="M57" s="10">
        <f t="shared" si="38"/>
        <v>328167.81689702597</v>
      </c>
      <c r="N57" s="10">
        <f t="shared" si="39"/>
        <v>221394.9581897991</v>
      </c>
      <c r="O57" s="7">
        <f t="shared" si="24"/>
        <v>1.4822732169704238</v>
      </c>
      <c r="P57" s="7">
        <f t="shared" si="40"/>
        <v>0.89599017151589333</v>
      </c>
      <c r="Q57">
        <v>55</v>
      </c>
      <c r="R57">
        <f t="shared" si="41"/>
        <v>92</v>
      </c>
      <c r="S57" s="22"/>
      <c r="T57" s="22">
        <f>IF($B$10="3BR_H",
INDEX('3BR_H-processed'!$E:$F,MATCH($L57,'3BR_H-processed'!$B:$B,0),MATCH(Council_Area,'3BR_H-processed'!$E$1:$F$1,0)),
INDEX('2BR_F-processed'!$E:$F,MATCH($L57,'2BR_F-processed'!$B:$B,0),MATCH(Council_Area,'2BR_F-processed'!$E$1:$F$1,0)))</f>
        <v>360</v>
      </c>
      <c r="U57" s="22">
        <f t="shared" si="25"/>
        <v>370</v>
      </c>
      <c r="V57" s="22">
        <f t="shared" si="34"/>
        <v>4862.8571428571431</v>
      </c>
      <c r="W57" s="22">
        <f>$B$53/4*BH57/_xlfn.XLOOKUP(Q_end,cpi!A:A,cpi!B:B)</f>
        <v>159.50241879751209</v>
      </c>
      <c r="X57" s="22">
        <f t="shared" si="42"/>
        <v>5022.3595616546554</v>
      </c>
      <c r="Y57" s="22">
        <f t="shared" si="43"/>
        <v>583.01393608975286</v>
      </c>
      <c r="Z57" s="22">
        <f t="shared" si="64"/>
        <v>0</v>
      </c>
      <c r="AA57" s="22" cm="1">
        <f t="array" ref="AA57">(Y57+Z57)*eff_invest</f>
        <v>583.01393608975286</v>
      </c>
      <c r="AB57" s="22">
        <f>AA57*(_xlfn.XLOOKUP(Q_end,cpi!A:A,cpi!B:B)/BH57)</f>
        <v>731.04087133611119</v>
      </c>
      <c r="AC57" s="22" cm="1">
        <f t="array" ref="AC57">INDEX('msci-indices'!C:C,MATCH($L57,'msci-indices'!$B:$B)-2)</f>
        <v>1756.4484090000001</v>
      </c>
      <c r="AD57" s="22" cm="1">
        <f t="array" ref="AD57">INDEX('msci-indices'!D:D,MATCH($L57,'msci-indices'!$B:$B)-2)</f>
        <v>1769.0189379999999</v>
      </c>
      <c r="AE57" s="22">
        <f t="shared" si="65"/>
        <v>324869.07235994173</v>
      </c>
      <c r="AF57" s="22" cm="1">
        <f t="array" ref="AF57">INDEX('msci-indices'!C:C,MATCH($L57,'msci-indices'!$B:$B)+1)</f>
        <v>1762.7547079999999</v>
      </c>
      <c r="AG57" s="22" cm="1">
        <f t="array" ref="AG57">INDEX('msci-indices'!D:D,MATCH($L57,'msci-indices'!$B:$B)+1)</f>
        <v>1817.7602159999999</v>
      </c>
      <c r="AH57" s="22">
        <f t="shared" si="44"/>
        <v>203.04317022496357</v>
      </c>
      <c r="AI57" s="22">
        <f t="shared" si="45"/>
        <v>328167.81689702597</v>
      </c>
      <c r="AJ57" s="22">
        <f t="shared" si="66"/>
        <v>156656.75094858024</v>
      </c>
      <c r="AK57" s="22">
        <f t="shared" si="46"/>
        <v>171511.06594844573</v>
      </c>
      <c r="AL57" s="22">
        <f>AJ57*(_xlfn.XLOOKUP(Q_end,cpi!A:A,cpi!B:B)/BH57)</f>
        <v>196431.81856377434</v>
      </c>
      <c r="AM57" s="22" cm="1">
        <f t="array" ref="AM57">SUMPRODUCT($AA$3:AA57,_xlfn.SORTBY($BH$3:BH57,_xlfn.SEQUENCE(ROWS($BH$3:BH57)),-1)/$BH$3)</f>
        <v>203233.08484032299</v>
      </c>
      <c r="AN57" s="22">
        <f t="shared" si="30"/>
        <v>124934.73205670298</v>
      </c>
      <c r="AO57" s="22">
        <f t="shared" si="47"/>
        <v>0</v>
      </c>
      <c r="AP57" s="22">
        <f t="shared" si="31"/>
        <v>328167.81689702597</v>
      </c>
      <c r="AQ57" s="22"/>
      <c r="AR57" s="10">
        <f>IF($B$10="3BR_H",
INDEX('ns-combined'!$C:$D,MATCH($L57,'ns-combined'!$B:$B,0),MATCH(Council_Area,'ns-combined'!$C$1:$D$1,0))*1000,
INDEX('s-combined'!$C:$D,MATCH($L57,'s-combined'!$B:$B,0),MATCH(Council_Area,'s-combined'!$C$1:$D$1,0))*1000)</f>
        <v>474000</v>
      </c>
      <c r="AS57" s="22">
        <f t="shared" si="35"/>
        <v>38500</v>
      </c>
      <c r="AT57" s="10">
        <v>0</v>
      </c>
      <c r="AU57" s="22">
        <f t="shared" si="48"/>
        <v>9480</v>
      </c>
      <c r="AV57" s="22">
        <f t="shared" si="49"/>
        <v>1362.75</v>
      </c>
      <c r="AW57" s="22">
        <f>SUM($AV$3:AV57)</f>
        <v>63176.400000000009</v>
      </c>
      <c r="AX57" s="22">
        <f t="shared" si="50"/>
        <v>362843.6</v>
      </c>
      <c r="AY57" s="22">
        <f t="shared" si="51"/>
        <v>1702.0000000000002</v>
      </c>
      <c r="AZ57" s="24">
        <f t="shared" si="52"/>
        <v>1.4362869198312238E-2</v>
      </c>
      <c r="BA57" s="24">
        <f t="shared" si="53"/>
        <v>0.35000000000000003</v>
      </c>
      <c r="BB57" s="25">
        <f>IF(MortgageRate="Discounted",_xlfn.XLOOKUP(L57,'mortgage-rates'!$A:$A,'mortgage-rates'!$E:$E)/100,_xlfn.XLOOKUP(L57,'mortgage-rates'!$A:$A,'mortgage-rates'!$D:$D)/100)</f>
        <v>4.2500000000000003E-2</v>
      </c>
      <c r="BC57" s="10">
        <f t="shared" si="67"/>
        <v>141448.64181020088</v>
      </c>
      <c r="BD57" s="10">
        <f t="shared" si="54"/>
        <v>3903.3734977444078</v>
      </c>
      <c r="BE57" s="10">
        <f t="shared" si="55"/>
        <v>1502.8918192333845</v>
      </c>
      <c r="BF57" s="10">
        <f t="shared" si="36"/>
        <v>2400.4816785110233</v>
      </c>
      <c r="BG57" s="12">
        <f t="shared" si="56"/>
        <v>5605.3734977444083</v>
      </c>
      <c r="BH57" s="22">
        <f>INDEX(cpi!B:B,MATCH($L57,cpi!A:A))</f>
        <v>115.4</v>
      </c>
      <c r="BI57" s="22">
        <f t="shared" si="57"/>
        <v>136.40661938534279</v>
      </c>
      <c r="BJ57" s="22">
        <f t="shared" si="58"/>
        <v>232.67927539772964</v>
      </c>
      <c r="BK57" s="22">
        <f t="shared" si="59"/>
        <v>248.12447403942869</v>
      </c>
      <c r="BL57" s="22">
        <f t="shared" si="60"/>
        <v>237.31283499023937</v>
      </c>
      <c r="BM57" s="22">
        <f t="shared" si="61"/>
        <v>444.56990971647923</v>
      </c>
      <c r="BN57" s="22">
        <f t="shared" si="62"/>
        <v>169.28571428571428</v>
      </c>
      <c r="BO57">
        <f t="shared" si="63"/>
        <v>132.96088239066307</v>
      </c>
    </row>
    <row r="58" spans="1:67" x14ac:dyDescent="0.25">
      <c r="L58" s="1">
        <f t="shared" si="33"/>
        <v>43800</v>
      </c>
      <c r="M58" s="10">
        <f t="shared" si="38"/>
        <v>348656.13324713026</v>
      </c>
      <c r="N58" s="10">
        <f t="shared" si="39"/>
        <v>232481.06486831012</v>
      </c>
      <c r="O58" s="7">
        <f t="shared" si="24"/>
        <v>1.4997184112376121</v>
      </c>
      <c r="P58" s="7">
        <f t="shared" si="40"/>
        <v>0.89944617900859969</v>
      </c>
      <c r="Q58">
        <v>56</v>
      </c>
      <c r="R58">
        <f t="shared" si="41"/>
        <v>92</v>
      </c>
      <c r="S58" s="22"/>
      <c r="T58" s="22">
        <f>IF($B$10="3BR_H",
INDEX('3BR_H-processed'!$E:$F,MATCH($L58,'3BR_H-processed'!$B:$B,0),MATCH(Council_Area,'3BR_H-processed'!$E$1:$F$1,0)),
INDEX('2BR_F-processed'!$E:$F,MATCH($L58,'2BR_F-processed'!$B:$B,0),MATCH(Council_Area,'2BR_F-processed'!$E$1:$F$1,0)))</f>
        <v>370</v>
      </c>
      <c r="U58" s="22">
        <f t="shared" si="25"/>
        <v>370</v>
      </c>
      <c r="V58" s="22">
        <f t="shared" si="34"/>
        <v>4862.8571428571431</v>
      </c>
      <c r="W58" s="22">
        <f>$B$53/4*BH58/_xlfn.XLOOKUP(Q_end,cpi!A:A,cpi!B:B)</f>
        <v>160.4699378023497</v>
      </c>
      <c r="X58" s="22">
        <f t="shared" si="42"/>
        <v>5023.3270806594928</v>
      </c>
      <c r="Y58" s="22">
        <f t="shared" si="43"/>
        <v>561.58416572144779</v>
      </c>
      <c r="Z58" s="22">
        <f t="shared" si="64"/>
        <v>0</v>
      </c>
      <c r="AA58" s="22" cm="1">
        <f t="array" ref="AA58">(Y58+Z58)*eff_invest</f>
        <v>561.58416572144779</v>
      </c>
      <c r="AB58" s="22">
        <f>AA58*(_xlfn.XLOOKUP(Q_end,cpi!A:A,cpi!B:B)/BH58)</f>
        <v>699.92445116187332</v>
      </c>
      <c r="AC58" s="22" cm="1">
        <f t="array" ref="AC58">INDEX('msci-indices'!C:C,MATCH($L58,'msci-indices'!$B:$B)-2)</f>
        <v>1762.7547079999999</v>
      </c>
      <c r="AD58" s="22" cm="1">
        <f t="array" ref="AD58">INDEX('msci-indices'!D:D,MATCH($L58,'msci-indices'!$B:$B)-2)</f>
        <v>1817.7602159999999</v>
      </c>
      <c r="AE58" s="22">
        <f t="shared" si="65"/>
        <v>328729.40106274741</v>
      </c>
      <c r="AF58" s="22" cm="1">
        <f t="array" ref="AF58">INDEX('msci-indices'!C:C,MATCH($L58,'msci-indices'!$B:$B)+1)</f>
        <v>1916.2448380000001</v>
      </c>
      <c r="AG58" s="22" cm="1">
        <f t="array" ref="AG58">INDEX('msci-indices'!D:D,MATCH($L58,'msci-indices'!$B:$B)+1)</f>
        <v>1819.5211509999999</v>
      </c>
      <c r="AH58" s="22">
        <f t="shared" si="44"/>
        <v>205.45587566421713</v>
      </c>
      <c r="AI58" s="22">
        <f t="shared" si="45"/>
        <v>348656.13324713026</v>
      </c>
      <c r="AJ58" s="22">
        <f t="shared" si="66"/>
        <v>157218.33511430171</v>
      </c>
      <c r="AK58" s="22">
        <f t="shared" si="46"/>
        <v>191437.79813282855</v>
      </c>
      <c r="AL58" s="22">
        <f>AJ58*(_xlfn.XLOOKUP(Q_end,cpi!A:A,cpi!B:B)/BH58)</f>
        <v>195947.39957828989</v>
      </c>
      <c r="AM58" s="22" cm="1">
        <f t="array" ref="AM58">SUMPRODUCT($AA$3:AA58,_xlfn.SORTBY($BH$3:BH58,_xlfn.SEQUENCE(ROWS($BH$3:BH58)),-1)/$BH$3)</f>
        <v>204927.87164723041</v>
      </c>
      <c r="AN58" s="22">
        <f t="shared" si="30"/>
        <v>143728.26159989985</v>
      </c>
      <c r="AO58" s="22">
        <f t="shared" si="47"/>
        <v>0</v>
      </c>
      <c r="AP58" s="22">
        <f t="shared" si="31"/>
        <v>348656.13324713026</v>
      </c>
      <c r="AQ58" s="22"/>
      <c r="AR58" s="10">
        <f>IF($B$10="3BR_H",
INDEX('ns-combined'!$C:$D,MATCH($L58,'ns-combined'!$B:$B,0),MATCH(Council_Area,'ns-combined'!$C$1:$D$1,0))*1000,
INDEX('s-combined'!$C:$D,MATCH($L58,'s-combined'!$B:$B,0),MATCH(Council_Area,'s-combined'!$C$1:$D$1,0))*1000)</f>
        <v>485000</v>
      </c>
      <c r="AS58" s="22">
        <f t="shared" si="35"/>
        <v>39200</v>
      </c>
      <c r="AT58" s="10">
        <v>0</v>
      </c>
      <c r="AU58" s="22">
        <f t="shared" si="48"/>
        <v>9700</v>
      </c>
      <c r="AV58" s="22">
        <f t="shared" si="49"/>
        <v>1394.375</v>
      </c>
      <c r="AW58" s="22">
        <f>SUM($AV$3:AV58)</f>
        <v>64570.775000000009</v>
      </c>
      <c r="AX58" s="22">
        <f t="shared" si="50"/>
        <v>371529.22499999998</v>
      </c>
      <c r="AY58" s="22">
        <f t="shared" si="51"/>
        <v>1702.0000000000002</v>
      </c>
      <c r="AZ58" s="24">
        <f t="shared" si="52"/>
        <v>1.4037113402061858E-2</v>
      </c>
      <c r="BA58" s="24">
        <f t="shared" si="53"/>
        <v>0.35000000000000003</v>
      </c>
      <c r="BB58" s="25">
        <f>IF(MortgageRate="Discounted",_xlfn.XLOOKUP(L58,'mortgage-rates'!$A:$A,'mortgage-rates'!$E:$E)/100,_xlfn.XLOOKUP(L58,'mortgage-rates'!$A:$A,'mortgage-rates'!$D:$D)/100)</f>
        <v>4.1500000000000002E-2</v>
      </c>
      <c r="BC58" s="10">
        <f t="shared" si="67"/>
        <v>139048.16013168986</v>
      </c>
      <c r="BD58" s="10">
        <f t="shared" si="54"/>
        <v>3882.9112463809406</v>
      </c>
      <c r="BE58" s="10">
        <f t="shared" si="55"/>
        <v>1442.6246613662825</v>
      </c>
      <c r="BF58" s="10">
        <f t="shared" si="36"/>
        <v>2440.2865850146582</v>
      </c>
      <c r="BG58" s="12">
        <f t="shared" si="56"/>
        <v>5584.9112463809406</v>
      </c>
      <c r="BH58" s="22">
        <f>INDEX(cpi!B:B,MATCH($L58,cpi!A:A))</f>
        <v>116.1</v>
      </c>
      <c r="BI58" s="22">
        <f t="shared" si="57"/>
        <v>137.2340425531915</v>
      </c>
      <c r="BJ58" s="22">
        <f t="shared" si="58"/>
        <v>233.51467999842427</v>
      </c>
      <c r="BK58" s="22">
        <f t="shared" si="59"/>
        <v>254.96097743007783</v>
      </c>
      <c r="BL58" s="22">
        <f t="shared" si="60"/>
        <v>239.94856922792033</v>
      </c>
      <c r="BM58" s="22">
        <f t="shared" si="61"/>
        <v>449.85261012995778</v>
      </c>
      <c r="BN58" s="22">
        <f t="shared" si="62"/>
        <v>173.21428571428572</v>
      </c>
      <c r="BO58">
        <f t="shared" si="63"/>
        <v>136.14365415269609</v>
      </c>
    </row>
    <row r="59" spans="1:67" x14ac:dyDescent="0.25">
      <c r="L59" s="1">
        <f t="shared" si="33"/>
        <v>43891</v>
      </c>
      <c r="M59" s="10">
        <f t="shared" si="38"/>
        <v>269685.28500802745</v>
      </c>
      <c r="N59" s="10">
        <f t="shared" si="39"/>
        <v>220124.35145332478</v>
      </c>
      <c r="O59" s="7">
        <f t="shared" si="24"/>
        <v>1.2251497084601819</v>
      </c>
      <c r="P59" s="7">
        <f t="shared" si="40"/>
        <v>0.9168355194299459</v>
      </c>
      <c r="Q59">
        <v>57</v>
      </c>
      <c r="R59">
        <f t="shared" si="41"/>
        <v>91</v>
      </c>
      <c r="S59" s="22"/>
      <c r="T59" s="22">
        <f>IF($B$10="3BR_H",
INDEX('3BR_H-processed'!$E:$F,MATCH($L59,'3BR_H-processed'!$B:$B,0),MATCH(Council_Area,'3BR_H-processed'!$E$1:$F$1,0)),
INDEX('2BR_F-processed'!$E:$F,MATCH($L59,'2BR_F-processed'!$B:$B,0),MATCH(Council_Area,'2BR_F-processed'!$E$1:$F$1,0)))</f>
        <v>380</v>
      </c>
      <c r="U59" s="22">
        <f t="shared" si="25"/>
        <v>380</v>
      </c>
      <c r="V59" s="22">
        <f t="shared" si="34"/>
        <v>4940</v>
      </c>
      <c r="W59" s="22">
        <f>$B$53/4*BH59/_xlfn.XLOOKUP(Q_end,cpi!A:A,cpi!B:B)</f>
        <v>161.29923980649622</v>
      </c>
      <c r="X59" s="22">
        <f t="shared" si="42"/>
        <v>5101.2992398064962</v>
      </c>
      <c r="Y59" s="22">
        <f t="shared" si="43"/>
        <v>462.72956546742444</v>
      </c>
      <c r="Z59" s="22">
        <f t="shared" si="64"/>
        <v>0</v>
      </c>
      <c r="AA59" s="22" cm="1">
        <f t="array" ref="AA59">(Y59+Z59)*eff_invest</f>
        <v>462.72956546742444</v>
      </c>
      <c r="AB59" s="22">
        <f>AA59*(_xlfn.XLOOKUP(Q_end,cpi!A:A,cpi!B:B)/BH59)</f>
        <v>573.75294021539253</v>
      </c>
      <c r="AC59" s="22" cm="1">
        <f t="array" ref="AC59">INDEX('msci-indices'!C:C,MATCH($L59,'msci-indices'!$B:$B)-2)</f>
        <v>1916.2448380000001</v>
      </c>
      <c r="AD59" s="22" cm="1">
        <f t="array" ref="AD59">INDEX('msci-indices'!D:D,MATCH($L59,'msci-indices'!$B:$B)-2)</f>
        <v>1819.5211509999999</v>
      </c>
      <c r="AE59" s="22">
        <f t="shared" si="65"/>
        <v>349118.86281259771</v>
      </c>
      <c r="AF59" s="22" cm="1">
        <f t="array" ref="AF59">INDEX('msci-indices'!C:C,MATCH($L59,'msci-indices'!$B:$B)+1)</f>
        <v>1491.44822</v>
      </c>
      <c r="AG59" s="22" cm="1">
        <f t="array" ref="AG59">INDEX('msci-indices'!D:D,MATCH($L59,'msci-indices'!$B:$B)+1)</f>
        <v>1384.5123450000001</v>
      </c>
      <c r="AH59" s="22">
        <f t="shared" si="44"/>
        <v>218.19928925787357</v>
      </c>
      <c r="AI59" s="22">
        <f t="shared" si="45"/>
        <v>269685.28500802745</v>
      </c>
      <c r="AJ59" s="22">
        <f t="shared" si="66"/>
        <v>157681.06467976913</v>
      </c>
      <c r="AK59" s="22">
        <f t="shared" si="46"/>
        <v>112004.22032825832</v>
      </c>
      <c r="AL59" s="22">
        <f>AJ59*(_xlfn.XLOOKUP(Q_end,cpi!A:A,cpi!B:B)/BH59)</f>
        <v>195513.71087542921</v>
      </c>
      <c r="AM59" s="22" cm="1">
        <f t="array" ref="AM59">SUMPRODUCT($AA$3:AA59,_xlfn.SORTBY($BH$3:BH59,_xlfn.SEQUENCE(ROWS($BH$3:BH59)),-1)/$BH$3)</f>
        <v>206445.99517372664</v>
      </c>
      <c r="AN59" s="22">
        <f t="shared" si="30"/>
        <v>63239.289834300813</v>
      </c>
      <c r="AO59" s="22">
        <f t="shared" si="47"/>
        <v>0</v>
      </c>
      <c r="AP59" s="22">
        <f t="shared" si="31"/>
        <v>269685.28500802745</v>
      </c>
      <c r="AQ59" s="22"/>
      <c r="AR59" s="10">
        <f>IF($B$10="3BR_H",
INDEX('ns-combined'!$C:$D,MATCH($L59,'ns-combined'!$B:$B,0),MATCH(Council_Area,'ns-combined'!$C$1:$D$1,0))*1000,
INDEX('s-combined'!$C:$D,MATCH($L59,'s-combined'!$B:$B,0),MATCH(Council_Area,'s-combined'!$C$1:$D$1,0))*1000)</f>
        <v>472000</v>
      </c>
      <c r="AS59" s="22">
        <f t="shared" si="35"/>
        <v>39900</v>
      </c>
      <c r="AT59" s="10">
        <v>0</v>
      </c>
      <c r="AU59" s="22">
        <f t="shared" si="48"/>
        <v>9440</v>
      </c>
      <c r="AV59" s="22">
        <f t="shared" si="49"/>
        <v>1357</v>
      </c>
      <c r="AW59" s="22">
        <f>SUM($AV$3:AV59)</f>
        <v>65927.775000000009</v>
      </c>
      <c r="AX59" s="22">
        <f t="shared" si="50"/>
        <v>356732.22499999998</v>
      </c>
      <c r="AY59" s="22">
        <f t="shared" si="51"/>
        <v>1729.0000000000002</v>
      </c>
      <c r="AZ59" s="24">
        <f t="shared" si="52"/>
        <v>1.4652542372881357E-2</v>
      </c>
      <c r="BA59" s="24">
        <f t="shared" si="53"/>
        <v>0.35000000000000003</v>
      </c>
      <c r="BB59" s="25">
        <f>IF(MortgageRate="Discounted",_xlfn.XLOOKUP(L59,'mortgage-rates'!$A:$A,'mortgage-rates'!$E:$E)/100,_xlfn.XLOOKUP(L59,'mortgage-rates'!$A:$A,'mortgage-rates'!$D:$D)/100)</f>
        <v>3.9100000000000003E-2</v>
      </c>
      <c r="BC59" s="10">
        <f t="shared" si="67"/>
        <v>136607.8735466752</v>
      </c>
      <c r="BD59" s="10">
        <f t="shared" si="54"/>
        <v>3835.0288052739206</v>
      </c>
      <c r="BE59" s="10">
        <f t="shared" si="55"/>
        <v>1335.3419639187503</v>
      </c>
      <c r="BF59" s="10">
        <f t="shared" si="36"/>
        <v>2499.6868413551701</v>
      </c>
      <c r="BG59" s="12">
        <f t="shared" si="56"/>
        <v>5564.0288052739206</v>
      </c>
      <c r="BH59" s="22">
        <f>INDEX(cpi!B:B,MATCH($L59,cpi!A:A))</f>
        <v>116.7</v>
      </c>
      <c r="BI59" s="22">
        <f t="shared" si="57"/>
        <v>137.94326241134752</v>
      </c>
      <c r="BJ59" s="22">
        <f t="shared" si="58"/>
        <v>253.84774076246714</v>
      </c>
      <c r="BK59" s="22">
        <f t="shared" si="59"/>
        <v>255.20796804239237</v>
      </c>
      <c r="BL59" s="22">
        <f t="shared" si="60"/>
        <v>254.25580894644472</v>
      </c>
      <c r="BM59" s="22">
        <f t="shared" si="61"/>
        <v>477.75474653048099</v>
      </c>
      <c r="BN59" s="22">
        <f t="shared" si="62"/>
        <v>168.57142857142858</v>
      </c>
      <c r="BO59">
        <f t="shared" si="63"/>
        <v>130.72142215870574</v>
      </c>
    </row>
    <row r="60" spans="1:67" x14ac:dyDescent="0.25">
      <c r="L60" s="1">
        <f t="shared" si="33"/>
        <v>43983</v>
      </c>
      <c r="M60" s="10">
        <f t="shared" si="38"/>
        <v>321503.11624624341</v>
      </c>
      <c r="N60" s="10">
        <f t="shared" si="39"/>
        <v>235712.47579467995</v>
      </c>
      <c r="O60" s="7">
        <f t="shared" si="24"/>
        <v>1.3639630874960238</v>
      </c>
      <c r="P60" s="7">
        <f t="shared" si="40"/>
        <v>0.92466914547823442</v>
      </c>
      <c r="Q60">
        <v>58</v>
      </c>
      <c r="R60">
        <f t="shared" si="41"/>
        <v>91</v>
      </c>
      <c r="S60" s="22"/>
      <c r="T60" s="22">
        <f>IF($B$10="3BR_H",
INDEX('3BR_H-processed'!$E:$F,MATCH($L60,'3BR_H-processed'!$B:$B,0),MATCH(Council_Area,'3BR_H-processed'!$E$1:$F$1,0)),
INDEX('2BR_F-processed'!$E:$F,MATCH($L60,'2BR_F-processed'!$B:$B,0),MATCH(Council_Area,'2BR_F-processed'!$E$1:$F$1,0)))</f>
        <v>360</v>
      </c>
      <c r="U60" s="22">
        <f t="shared" si="25"/>
        <v>380</v>
      </c>
      <c r="V60" s="22">
        <f t="shared" si="34"/>
        <v>4940</v>
      </c>
      <c r="W60" s="22">
        <f>$B$53/4*BH60/_xlfn.XLOOKUP(Q_end,cpi!A:A,cpi!B:B)</f>
        <v>158.25846579129234</v>
      </c>
      <c r="X60" s="22">
        <f t="shared" si="42"/>
        <v>5098.2584657912921</v>
      </c>
      <c r="Y60" s="22">
        <f t="shared" si="43"/>
        <v>415.34441662617792</v>
      </c>
      <c r="Z60" s="22">
        <f t="shared" si="64"/>
        <v>0</v>
      </c>
      <c r="AA60" s="22" cm="1">
        <f t="array" ref="AA60">(Y60+Z60)*eff_invest</f>
        <v>415.34441662617792</v>
      </c>
      <c r="AB60" s="22">
        <f>AA60*(_xlfn.XLOOKUP(Q_end,cpi!A:A,cpi!B:B)/BH60)</f>
        <v>524.89377367517852</v>
      </c>
      <c r="AC60" s="22" cm="1">
        <f t="array" ref="AC60">INDEX('msci-indices'!C:C,MATCH($L60,'msci-indices'!$B:$B)-2)</f>
        <v>1491.44822</v>
      </c>
      <c r="AD60" s="22" cm="1">
        <f t="array" ref="AD60">INDEX('msci-indices'!D:D,MATCH($L60,'msci-indices'!$B:$B)-2)</f>
        <v>1384.5123450000001</v>
      </c>
      <c r="AE60" s="22">
        <f t="shared" si="65"/>
        <v>270100.62942465366</v>
      </c>
      <c r="AF60" s="22" cm="1">
        <f t="array" ref="AF60">INDEX('msci-indices'!C:C,MATCH($L60,'msci-indices'!$B:$B)+1)</f>
        <v>1788.7914370000001</v>
      </c>
      <c r="AG60" s="22" cm="1">
        <f t="array" ref="AG60">INDEX('msci-indices'!D:D,MATCH($L60,'msci-indices'!$B:$B)+1)</f>
        <v>1621.623241</v>
      </c>
      <c r="AH60" s="22">
        <f t="shared" si="44"/>
        <v>168.81289339040853</v>
      </c>
      <c r="AI60" s="22">
        <f t="shared" si="45"/>
        <v>321503.11624624341</v>
      </c>
      <c r="AJ60" s="22">
        <f t="shared" si="66"/>
        <v>158096.40909639531</v>
      </c>
      <c r="AK60" s="22">
        <f t="shared" si="46"/>
        <v>163406.70714984811</v>
      </c>
      <c r="AL60" s="22">
        <f>AJ60*(_xlfn.XLOOKUP(Q_end,cpi!A:A,cpi!B:B)/BH60)</f>
        <v>199795.19996723492</v>
      </c>
      <c r="AM60" s="22" cm="1">
        <f t="array" ref="AM60">SUMPRODUCT($AA$3:AA60,_xlfn.SORTBY($BH$3:BH60,_xlfn.SEQUENCE(ROWS($BH$3:BH60)),-1)/$BH$3)</f>
        <v>205501.82842404404</v>
      </c>
      <c r="AN60" s="22">
        <f t="shared" si="30"/>
        <v>116001.28782219937</v>
      </c>
      <c r="AO60" s="22">
        <f t="shared" si="47"/>
        <v>0</v>
      </c>
      <c r="AP60" s="22">
        <f t="shared" si="31"/>
        <v>321503.11624624341</v>
      </c>
      <c r="AQ60" s="22"/>
      <c r="AR60" s="10">
        <f>IF($B$10="3BR_H",
INDEX('ns-combined'!$C:$D,MATCH($L60,'ns-combined'!$B:$B,0),MATCH(Council_Area,'ns-combined'!$C$1:$D$1,0))*1000,
INDEX('s-combined'!$C:$D,MATCH($L60,'s-combined'!$B:$B,0),MATCH(Council_Area,'s-combined'!$C$1:$D$1,0))*1000)</f>
        <v>487500</v>
      </c>
      <c r="AS60" s="22">
        <f t="shared" si="35"/>
        <v>40600</v>
      </c>
      <c r="AT60" s="10">
        <v>0</v>
      </c>
      <c r="AU60" s="22">
        <f t="shared" si="48"/>
        <v>9750</v>
      </c>
      <c r="AV60" s="22">
        <f t="shared" si="49"/>
        <v>1401.5625</v>
      </c>
      <c r="AW60" s="22">
        <f>SUM($AV$3:AV60)</f>
        <v>67329.337500000009</v>
      </c>
      <c r="AX60" s="22">
        <f t="shared" si="50"/>
        <v>369820.66249999998</v>
      </c>
      <c r="AY60" s="22">
        <f t="shared" si="51"/>
        <v>1729.0000000000002</v>
      </c>
      <c r="AZ60" s="24">
        <f t="shared" si="52"/>
        <v>1.4186666666666669E-2</v>
      </c>
      <c r="BA60" s="24">
        <f t="shared" si="53"/>
        <v>0.35000000000000003</v>
      </c>
      <c r="BB60" s="25">
        <f>IF(MortgageRate="Discounted",_xlfn.XLOOKUP(L60,'mortgage-rates'!$A:$A,'mortgage-rates'!$E:$E)/100,_xlfn.XLOOKUP(L60,'mortgage-rates'!$A:$A,'mortgage-rates'!$D:$D)/100)</f>
        <v>3.6499999999999998E-2</v>
      </c>
      <c r="BC60" s="10">
        <f t="shared" si="67"/>
        <v>134108.18670532003</v>
      </c>
      <c r="BD60" s="10">
        <f t="shared" si="54"/>
        <v>3784.60288241747</v>
      </c>
      <c r="BE60" s="10">
        <f t="shared" si="55"/>
        <v>1223.7372036860452</v>
      </c>
      <c r="BF60" s="10">
        <f t="shared" si="36"/>
        <v>2560.8656787314249</v>
      </c>
      <c r="BG60" s="12">
        <f t="shared" si="56"/>
        <v>5513.60288241747</v>
      </c>
      <c r="BH60" s="22">
        <f>INDEX(cpi!B:B,MATCH($L60,cpi!A:A))</f>
        <v>114.5</v>
      </c>
      <c r="BI60" s="22">
        <f t="shared" si="57"/>
        <v>135.34278959810877</v>
      </c>
      <c r="BJ60" s="22">
        <f t="shared" si="58"/>
        <v>197.57431493271579</v>
      </c>
      <c r="BK60" s="22">
        <f t="shared" si="59"/>
        <v>194.19317115542438</v>
      </c>
      <c r="BL60" s="22">
        <f t="shared" si="60"/>
        <v>196.55997179952837</v>
      </c>
      <c r="BM60" s="22">
        <f t="shared" si="61"/>
        <v>369.621557279667</v>
      </c>
      <c r="BN60" s="22">
        <f t="shared" si="62"/>
        <v>174.10714285714286</v>
      </c>
      <c r="BO60">
        <f t="shared" si="63"/>
        <v>135.51756628007109</v>
      </c>
    </row>
    <row r="61" spans="1:67" x14ac:dyDescent="0.25">
      <c r="L61" s="1">
        <f t="shared" si="33"/>
        <v>44075</v>
      </c>
      <c r="M61" s="10">
        <f t="shared" si="38"/>
        <v>339382.68414770998</v>
      </c>
      <c r="N61" s="10">
        <f t="shared" si="39"/>
        <v>248385.84147341136</v>
      </c>
      <c r="O61" s="7">
        <f t="shared" si="24"/>
        <v>1.3663527765290899</v>
      </c>
      <c r="P61" s="7">
        <f t="shared" si="40"/>
        <v>0.93173032271499756</v>
      </c>
      <c r="Q61">
        <v>59</v>
      </c>
      <c r="R61">
        <f t="shared" si="41"/>
        <v>92</v>
      </c>
      <c r="S61" s="22"/>
      <c r="T61" s="22">
        <f>IF($B$10="3BR_H",
INDEX('3BR_H-processed'!$E:$F,MATCH($L61,'3BR_H-processed'!$B:$B,0),MATCH(Council_Area,'3BR_H-processed'!$E$1:$F$1,0)),
INDEX('2BR_F-processed'!$E:$F,MATCH($L61,'2BR_F-processed'!$B:$B,0),MATCH(Council_Area,'2BR_F-processed'!$E$1:$F$1,0)))</f>
        <v>375</v>
      </c>
      <c r="U61" s="22">
        <f t="shared" si="25"/>
        <v>380</v>
      </c>
      <c r="V61" s="22">
        <f t="shared" si="34"/>
        <v>4994.2857142857147</v>
      </c>
      <c r="W61" s="22">
        <f>$B$53/4*BH61/_xlfn.XLOOKUP(Q_end,cpi!A:A,cpi!B:B)</f>
        <v>160.60815480304078</v>
      </c>
      <c r="X61" s="22">
        <f t="shared" si="42"/>
        <v>5154.8938690887553</v>
      </c>
      <c r="Y61" s="22">
        <f t="shared" si="43"/>
        <v>377.70901332871472</v>
      </c>
      <c r="Z61" s="22">
        <f t="shared" si="64"/>
        <v>0</v>
      </c>
      <c r="AA61" s="22" cm="1">
        <f t="array" ref="AA61">(Y61+Z61)*eff_invest</f>
        <v>377.70901332871472</v>
      </c>
      <c r="AB61" s="22">
        <f>AA61*(_xlfn.XLOOKUP(Q_end,cpi!A:A,cpi!B:B)/BH61)</f>
        <v>470.34848733790892</v>
      </c>
      <c r="AC61" s="22" cm="1">
        <f t="array" ref="AC61">INDEX('msci-indices'!C:C,MATCH($L61,'msci-indices'!$B:$B)-2)</f>
        <v>1788.7914370000001</v>
      </c>
      <c r="AD61" s="22" cm="1">
        <f t="array" ref="AD61">INDEX('msci-indices'!D:D,MATCH($L61,'msci-indices'!$B:$B)-2)</f>
        <v>1621.623241</v>
      </c>
      <c r="AE61" s="22">
        <f t="shared" si="65"/>
        <v>321880.82525957213</v>
      </c>
      <c r="AF61" s="22" cm="1">
        <f t="array" ref="AF61">INDEX('msci-indices'!C:C,MATCH($L61,'msci-indices'!$B:$B)+1)</f>
        <v>1929.6383699999999</v>
      </c>
      <c r="AG61" s="22" cm="1">
        <f t="array" ref="AG61">INDEX('msci-indices'!D:D,MATCH($L61,'msci-indices'!$B:$B)+1)</f>
        <v>1620.9837990000001</v>
      </c>
      <c r="AH61" s="22">
        <f t="shared" si="44"/>
        <v>201.1755157872326</v>
      </c>
      <c r="AI61" s="22">
        <f t="shared" si="45"/>
        <v>339382.68414770998</v>
      </c>
      <c r="AJ61" s="22">
        <f t="shared" si="66"/>
        <v>158474.11810972402</v>
      </c>
      <c r="AK61" s="22">
        <f t="shared" si="46"/>
        <v>180908.56603798596</v>
      </c>
      <c r="AL61" s="22">
        <f>AJ61*(_xlfn.XLOOKUP(Q_end,cpi!A:A,cpi!B:B)/BH61)</f>
        <v>197342.5549954997</v>
      </c>
      <c r="AM61" s="22" cm="1">
        <f t="array" ref="AM61">SUMPRODUCT($AA$3:AA61,_xlfn.SORTBY($BH$3:BH61,_xlfn.SEQUENCE(ROWS($BH$3:BH61)),-1)/$BH$3)</f>
        <v>207803.94278954933</v>
      </c>
      <c r="AN61" s="22">
        <f t="shared" si="30"/>
        <v>131578.74135816065</v>
      </c>
      <c r="AO61" s="22">
        <f t="shared" si="47"/>
        <v>0</v>
      </c>
      <c r="AP61" s="22">
        <f t="shared" si="31"/>
        <v>339382.68414770998</v>
      </c>
      <c r="AQ61" s="22"/>
      <c r="AR61" s="10">
        <f>IF($B$10="3BR_H",
INDEX('ns-combined'!$C:$D,MATCH($L61,'ns-combined'!$B:$B,0),MATCH(Council_Area,'ns-combined'!$C$1:$D$1,0))*1000,
INDEX('s-combined'!$C:$D,MATCH($L61,'s-combined'!$B:$B,0),MATCH(Council_Area,'s-combined'!$C$1:$D$1,0))*1000)</f>
        <v>500000</v>
      </c>
      <c r="AS61" s="22">
        <f t="shared" si="35"/>
        <v>41300</v>
      </c>
      <c r="AT61" s="10">
        <v>0</v>
      </c>
      <c r="AU61" s="22">
        <f t="shared" si="48"/>
        <v>10000</v>
      </c>
      <c r="AV61" s="22">
        <f t="shared" si="49"/>
        <v>1437.5</v>
      </c>
      <c r="AW61" s="22">
        <f>SUM($AV$3:AV61)</f>
        <v>68766.837500000009</v>
      </c>
      <c r="AX61" s="22">
        <f t="shared" si="50"/>
        <v>379933.16249999998</v>
      </c>
      <c r="AY61" s="22">
        <f t="shared" si="51"/>
        <v>1748.0000000000002</v>
      </c>
      <c r="AZ61" s="24">
        <f t="shared" si="52"/>
        <v>1.3984000000000002E-2</v>
      </c>
      <c r="BA61" s="24">
        <f t="shared" si="53"/>
        <v>0.35000000000000003</v>
      </c>
      <c r="BB61" s="25">
        <f>IF(MortgageRate="Discounted",_xlfn.XLOOKUP(L61,'mortgage-rates'!$A:$A,'mortgage-rates'!$E:$E)/100,_xlfn.XLOOKUP(L61,'mortgage-rates'!$A:$A,'mortgage-rates'!$D:$D)/100)</f>
        <v>3.6499999999999998E-2</v>
      </c>
      <c r="BC61" s="10">
        <f t="shared" si="67"/>
        <v>131547.32102658862</v>
      </c>
      <c r="BD61" s="10">
        <f t="shared" si="54"/>
        <v>3784.60288241747</v>
      </c>
      <c r="BE61" s="10">
        <f t="shared" si="55"/>
        <v>1200.369304367621</v>
      </c>
      <c r="BF61" s="10">
        <f t="shared" si="36"/>
        <v>2584.2335780498488</v>
      </c>
      <c r="BG61" s="12">
        <f t="shared" si="56"/>
        <v>5532.60288241747</v>
      </c>
      <c r="BH61" s="22">
        <f>INDEX(cpi!B:B,MATCH($L61,cpi!A:A))</f>
        <v>116.2</v>
      </c>
      <c r="BI61" s="22">
        <f t="shared" si="57"/>
        <v>137.35224586288416</v>
      </c>
      <c r="BJ61" s="22">
        <f t="shared" si="58"/>
        <v>236.96380335804304</v>
      </c>
      <c r="BK61" s="22">
        <f t="shared" si="59"/>
        <v>227.4505971191806</v>
      </c>
      <c r="BL61" s="22">
        <f t="shared" si="60"/>
        <v>234.10984148638431</v>
      </c>
      <c r="BM61" s="22">
        <f t="shared" si="61"/>
        <v>440.48061696241263</v>
      </c>
      <c r="BN61" s="22">
        <f t="shared" si="62"/>
        <v>178.57142857142858</v>
      </c>
      <c r="BO61">
        <f t="shared" si="63"/>
        <v>139.22320397955258</v>
      </c>
    </row>
    <row r="62" spans="1:67" x14ac:dyDescent="0.25">
      <c r="L62" s="1">
        <f t="shared" si="33"/>
        <v>44166</v>
      </c>
      <c r="M62" s="10">
        <f t="shared" si="38"/>
        <v>389821.74986040208</v>
      </c>
      <c r="N62" s="10">
        <f t="shared" si="39"/>
        <v>261046.63755146123</v>
      </c>
      <c r="O62" s="7">
        <f t="shared" si="24"/>
        <v>1.4933030875893005</v>
      </c>
      <c r="P62" s="7">
        <f t="shared" si="40"/>
        <v>0.93198014545418306</v>
      </c>
      <c r="Q62">
        <v>60</v>
      </c>
      <c r="R62">
        <f t="shared" si="41"/>
        <v>92</v>
      </c>
      <c r="S62" s="22"/>
      <c r="T62" s="22">
        <f>IF($B$10="3BR_H",
INDEX('3BR_H-processed'!$E:$F,MATCH($L62,'3BR_H-processed'!$B:$B,0),MATCH(Council_Area,'3BR_H-processed'!$E$1:$F$1,0)),
INDEX('2BR_F-processed'!$E:$F,MATCH($L62,'2BR_F-processed'!$B:$B,0),MATCH(Council_Area,'2BR_F-processed'!$E$1:$F$1,0)))</f>
        <v>390</v>
      </c>
      <c r="U62" s="22">
        <f t="shared" si="25"/>
        <v>380</v>
      </c>
      <c r="V62" s="22">
        <f t="shared" si="34"/>
        <v>4994.2857142857147</v>
      </c>
      <c r="W62" s="22">
        <f>$B$53/4*BH62/_xlfn.XLOOKUP(Q_end,cpi!A:A,cpi!B:B)</f>
        <v>161.99032480995163</v>
      </c>
      <c r="X62" s="22">
        <f t="shared" si="42"/>
        <v>5156.2760390956664</v>
      </c>
      <c r="Y62" s="22">
        <f t="shared" si="43"/>
        <v>376.32684332180361</v>
      </c>
      <c r="Z62" s="22">
        <f t="shared" si="64"/>
        <v>0</v>
      </c>
      <c r="AA62" s="22" cm="1">
        <f t="array" ref="AA62">(Y62+Z62)*eff_invest</f>
        <v>376.32684332180361</v>
      </c>
      <c r="AB62" s="22">
        <f>AA62*(_xlfn.XLOOKUP(Q_end,cpi!A:A,cpi!B:B)/BH62)</f>
        <v>464.62879034697079</v>
      </c>
      <c r="AC62" s="22" cm="1">
        <f t="array" ref="AC62">INDEX('msci-indices'!C:C,MATCH($L62,'msci-indices'!$B:$B)-2)</f>
        <v>1929.6383699999999</v>
      </c>
      <c r="AD62" s="22" cm="1">
        <f t="array" ref="AD62">INDEX('msci-indices'!D:D,MATCH($L62,'msci-indices'!$B:$B)-2)</f>
        <v>1620.9837990000001</v>
      </c>
      <c r="AE62" s="22">
        <f t="shared" si="65"/>
        <v>339759.01099103177</v>
      </c>
      <c r="AF62" s="22" cm="1">
        <f t="array" ref="AF62">INDEX('msci-indices'!C:C,MATCH($L62,'msci-indices'!$B:$B)+1)</f>
        <v>2220.940302</v>
      </c>
      <c r="AG62" s="22" cm="1">
        <f t="array" ref="AG62">INDEX('msci-indices'!D:D,MATCH($L62,'msci-indices'!$B:$B)+1)</f>
        <v>1849.5394759999999</v>
      </c>
      <c r="AH62" s="22">
        <f t="shared" si="44"/>
        <v>212.34938186939485</v>
      </c>
      <c r="AI62" s="22">
        <f t="shared" si="45"/>
        <v>389821.74986040208</v>
      </c>
      <c r="AJ62" s="22">
        <f t="shared" si="66"/>
        <v>158850.44495304581</v>
      </c>
      <c r="AK62" s="22">
        <f t="shared" si="46"/>
        <v>230971.30490735627</v>
      </c>
      <c r="AL62" s="22">
        <f>AJ62*(_xlfn.XLOOKUP(Q_end,cpi!A:A,cpi!B:B)/BH62)</f>
        <v>196123.37358963929</v>
      </c>
      <c r="AM62" s="22" cm="1">
        <f t="array" ref="AM62">SUMPRODUCT($AA$3:AA62,_xlfn.SORTBY($BH$3:BH62,_xlfn.SEQUENCE(ROWS($BH$3:BH62)),-1)/$BH$3)</f>
        <v>209532.01854694658</v>
      </c>
      <c r="AN62" s="22">
        <f t="shared" si="30"/>
        <v>180289.7313134555</v>
      </c>
      <c r="AO62" s="22">
        <f t="shared" si="47"/>
        <v>0</v>
      </c>
      <c r="AP62" s="22">
        <f t="shared" si="31"/>
        <v>389821.74986040208</v>
      </c>
      <c r="AQ62" s="22"/>
      <c r="AR62" s="10">
        <f>IF($B$10="3BR_H",
INDEX('ns-combined'!$C:$D,MATCH($L62,'ns-combined'!$B:$B,0),MATCH(Council_Area,'ns-combined'!$C$1:$D$1,0))*1000,
INDEX('s-combined'!$C:$D,MATCH($L62,'s-combined'!$B:$B,0),MATCH(Council_Area,'s-combined'!$C$1:$D$1,0))*1000)</f>
        <v>512500</v>
      </c>
      <c r="AS62" s="22">
        <f t="shared" si="35"/>
        <v>42000</v>
      </c>
      <c r="AT62" s="10">
        <v>0</v>
      </c>
      <c r="AU62" s="22">
        <f t="shared" si="48"/>
        <v>10250</v>
      </c>
      <c r="AV62" s="22">
        <f t="shared" si="49"/>
        <v>1473.4375</v>
      </c>
      <c r="AW62" s="22">
        <f>SUM($AV$3:AV62)</f>
        <v>70240.275000000009</v>
      </c>
      <c r="AX62" s="22">
        <f t="shared" si="50"/>
        <v>390009.72499999998</v>
      </c>
      <c r="AY62" s="22">
        <f t="shared" si="51"/>
        <v>1748.0000000000002</v>
      </c>
      <c r="AZ62" s="24">
        <f t="shared" si="52"/>
        <v>1.3642926829268294E-2</v>
      </c>
      <c r="BA62" s="24">
        <f t="shared" si="53"/>
        <v>0.35000000000000003</v>
      </c>
      <c r="BB62" s="25">
        <f>IF(MortgageRate="Discounted",_xlfn.XLOOKUP(L62,'mortgage-rates'!$A:$A,'mortgage-rates'!$E:$E)/100,_xlfn.XLOOKUP(L62,'mortgage-rates'!$A:$A,'mortgage-rates'!$D:$D)/100)</f>
        <v>3.6499999999999998E-2</v>
      </c>
      <c r="BC62" s="10">
        <f t="shared" si="67"/>
        <v>128963.08744853876</v>
      </c>
      <c r="BD62" s="10">
        <f t="shared" si="54"/>
        <v>3784.60288241747</v>
      </c>
      <c r="BE62" s="10">
        <f t="shared" si="55"/>
        <v>1176.7881729679161</v>
      </c>
      <c r="BF62" s="10">
        <f t="shared" si="36"/>
        <v>2607.8147094495539</v>
      </c>
      <c r="BG62" s="12">
        <f t="shared" si="56"/>
        <v>5532.60288241747</v>
      </c>
      <c r="BH62" s="22">
        <f>INDEX(cpi!B:B,MATCH($L62,cpi!A:A))</f>
        <v>117.2</v>
      </c>
      <c r="BI62" s="22">
        <f t="shared" si="57"/>
        <v>138.53427895981088</v>
      </c>
      <c r="BJ62" s="22">
        <f t="shared" si="58"/>
        <v>255.62200142666194</v>
      </c>
      <c r="BK62" s="22">
        <f t="shared" si="59"/>
        <v>227.36090830549944</v>
      </c>
      <c r="BL62" s="22">
        <f t="shared" si="60"/>
        <v>247.14367349031318</v>
      </c>
      <c r="BM62" s="22">
        <f t="shared" si="61"/>
        <v>464.94617583753785</v>
      </c>
      <c r="BN62" s="22">
        <f t="shared" si="62"/>
        <v>183.03571428571428</v>
      </c>
      <c r="BO62">
        <f t="shared" si="63"/>
        <v>142.91567269462612</v>
      </c>
    </row>
    <row r="63" spans="1:67" x14ac:dyDescent="0.25">
      <c r="L63" s="1">
        <f t="shared" si="33"/>
        <v>44256</v>
      </c>
      <c r="M63" s="10">
        <f t="shared" si="38"/>
        <v>409959.41258253518</v>
      </c>
      <c r="N63" s="10">
        <f t="shared" si="39"/>
        <v>271740.82726091077</v>
      </c>
      <c r="O63" s="7">
        <f t="shared" si="24"/>
        <v>1.5086412178649713</v>
      </c>
      <c r="P63" s="7">
        <f t="shared" si="40"/>
        <v>0.95005444100163361</v>
      </c>
      <c r="Q63">
        <v>61</v>
      </c>
      <c r="R63">
        <f t="shared" si="41"/>
        <v>90</v>
      </c>
      <c r="S63" s="22"/>
      <c r="T63" s="22">
        <f>IF($B$10="3BR_H",
INDEX('3BR_H-processed'!$E:$F,MATCH($L63,'3BR_H-processed'!$B:$B,0),MATCH(Council_Area,'3BR_H-processed'!$E$1:$F$1,0)),
INDEX('2BR_F-processed'!$E:$F,MATCH($L63,'2BR_F-processed'!$B:$B,0),MATCH(Council_Area,'2BR_F-processed'!$E$1:$F$1,0)))</f>
        <v>400</v>
      </c>
      <c r="U63" s="22">
        <f t="shared" si="25"/>
        <v>400</v>
      </c>
      <c r="V63" s="22">
        <f t="shared" si="34"/>
        <v>5142.8571428571431</v>
      </c>
      <c r="W63" s="22">
        <f>$B$53/4*BH63/_xlfn.XLOOKUP(Q_end,cpi!A:A,cpi!B:B)</f>
        <v>162.81962681409814</v>
      </c>
      <c r="X63" s="22">
        <f t="shared" si="42"/>
        <v>5305.6767696712413</v>
      </c>
      <c r="Y63" s="22">
        <f t="shared" si="43"/>
        <v>278.92611274622868</v>
      </c>
      <c r="Z63" s="22">
        <f t="shared" si="64"/>
        <v>0</v>
      </c>
      <c r="AA63" s="22" cm="1">
        <f t="array" ref="AA63">(Y63+Z63)*eff_invest</f>
        <v>278.92611274622868</v>
      </c>
      <c r="AB63" s="22">
        <f>AA63*(_xlfn.XLOOKUP(Q_end,cpi!A:A,cpi!B:B)/BH63)</f>
        <v>342.61976667554575</v>
      </c>
      <c r="AC63" s="22" cm="1">
        <f t="array" ref="AC63">INDEX('msci-indices'!C:C,MATCH($L63,'msci-indices'!$B:$B)-2)</f>
        <v>2220.940302</v>
      </c>
      <c r="AD63" s="22" cm="1">
        <f t="array" ref="AD63">INDEX('msci-indices'!D:D,MATCH($L63,'msci-indices'!$B:$B)-2)</f>
        <v>1849.5394759999999</v>
      </c>
      <c r="AE63" s="22">
        <f t="shared" si="65"/>
        <v>390100.67597314832</v>
      </c>
      <c r="AF63" s="22" cm="1">
        <f t="array" ref="AF63">INDEX('msci-indices'!C:C,MATCH($L63,'msci-indices'!$B:$B)+1)</f>
        <v>2342.5854599999998</v>
      </c>
      <c r="AG63" s="22" cm="1">
        <f t="array" ref="AG63">INDEX('msci-indices'!D:D,MATCH($L63,'msci-indices'!$B:$B)+1)</f>
        <v>1930.8659110000001</v>
      </c>
      <c r="AH63" s="22">
        <f t="shared" si="44"/>
        <v>243.8129224832177</v>
      </c>
      <c r="AI63" s="22">
        <f t="shared" si="45"/>
        <v>409959.41258253518</v>
      </c>
      <c r="AJ63" s="22">
        <f t="shared" si="66"/>
        <v>159129.37106579205</v>
      </c>
      <c r="AK63" s="22">
        <f t="shared" si="46"/>
        <v>250830.04151674313</v>
      </c>
      <c r="AL63" s="22">
        <f>AJ63*(_xlfn.XLOOKUP(Q_end,cpi!A:A,cpi!B:B)/BH63)</f>
        <v>195467.0627607819</v>
      </c>
      <c r="AM63" s="22" cm="1">
        <f t="array" ref="AM63">SUMPRODUCT($AA$3:AA63,_xlfn.SORTBY($BH$3:BH63,_xlfn.SEQUENCE(ROWS($BH$3:BH63)),-1)/$BH$3)</f>
        <v>210831.34226532106</v>
      </c>
      <c r="AN63" s="22">
        <f t="shared" si="30"/>
        <v>199128.07031721412</v>
      </c>
      <c r="AO63" s="22">
        <f t="shared" si="47"/>
        <v>0</v>
      </c>
      <c r="AP63" s="22">
        <f t="shared" si="31"/>
        <v>409959.41258253518</v>
      </c>
      <c r="AQ63" s="22"/>
      <c r="AR63" s="10">
        <f>IF($B$10="3BR_H",
INDEX('ns-combined'!$C:$D,MATCH($L63,'ns-combined'!$B:$B,0),MATCH(Council_Area,'ns-combined'!$C$1:$D$1,0))*1000,
INDEX('s-combined'!$C:$D,MATCH($L63,'s-combined'!$B:$B,0),MATCH(Council_Area,'s-combined'!$C$1:$D$1,0))*1000)</f>
        <v>523000</v>
      </c>
      <c r="AS63" s="22">
        <f t="shared" si="35"/>
        <v>42700</v>
      </c>
      <c r="AT63" s="10">
        <v>0</v>
      </c>
      <c r="AU63" s="22">
        <f t="shared" si="48"/>
        <v>10460</v>
      </c>
      <c r="AV63" s="22">
        <f t="shared" si="49"/>
        <v>1503.625</v>
      </c>
      <c r="AW63" s="22">
        <f>SUM($AV$3:AV63)</f>
        <v>71743.900000000009</v>
      </c>
      <c r="AX63" s="22">
        <f t="shared" si="50"/>
        <v>398096.1</v>
      </c>
      <c r="AY63" s="22">
        <f t="shared" si="51"/>
        <v>1800.0000000000002</v>
      </c>
      <c r="AZ63" s="24">
        <f t="shared" si="52"/>
        <v>1.3766730401529639E-2</v>
      </c>
      <c r="BA63" s="24">
        <f t="shared" si="53"/>
        <v>0.35000000000000003</v>
      </c>
      <c r="BB63" s="25">
        <f>IF(MortgageRate="Discounted",_xlfn.XLOOKUP(L63,'mortgage-rates'!$A:$A,'mortgage-rates'!$E:$E)/100,_xlfn.XLOOKUP(L63,'mortgage-rates'!$A:$A,'mortgage-rates'!$D:$D)/100)</f>
        <v>3.6499999999999998E-2</v>
      </c>
      <c r="BC63" s="10">
        <f t="shared" si="67"/>
        <v>126355.27273908921</v>
      </c>
      <c r="BD63" s="10">
        <f t="shared" si="54"/>
        <v>3784.60288241747</v>
      </c>
      <c r="BE63" s="10">
        <f t="shared" si="55"/>
        <v>1152.991863744189</v>
      </c>
      <c r="BF63" s="10">
        <f t="shared" si="36"/>
        <v>2631.6110186732813</v>
      </c>
      <c r="BG63" s="12">
        <f t="shared" si="56"/>
        <v>5584.60288241747</v>
      </c>
      <c r="BH63" s="22">
        <f>INDEX(cpi!B:B,MATCH($L63,cpi!A:A))</f>
        <v>117.8</v>
      </c>
      <c r="BI63" s="22">
        <f t="shared" si="57"/>
        <v>139.24349881796692</v>
      </c>
      <c r="BJ63" s="22">
        <f t="shared" si="58"/>
        <v>294.21119204132276</v>
      </c>
      <c r="BK63" s="22">
        <f t="shared" si="59"/>
        <v>259.41837017103796</v>
      </c>
      <c r="BL63" s="22">
        <f t="shared" si="60"/>
        <v>283.77334548023731</v>
      </c>
      <c r="BM63" s="22">
        <f t="shared" si="61"/>
        <v>533.83666545386006</v>
      </c>
      <c r="BN63" s="22">
        <f t="shared" si="62"/>
        <v>186.78571428571428</v>
      </c>
      <c r="BO63">
        <f t="shared" si="63"/>
        <v>145.87885450447973</v>
      </c>
    </row>
    <row r="64" spans="1:67" x14ac:dyDescent="0.25">
      <c r="L64" s="1">
        <f t="shared" si="33"/>
        <v>44348</v>
      </c>
      <c r="M64" s="10">
        <f t="shared" si="38"/>
        <v>441606.32465008949</v>
      </c>
      <c r="N64" s="10">
        <f t="shared" si="39"/>
        <v>298551.18827958405</v>
      </c>
      <c r="O64" s="7">
        <f t="shared" si="24"/>
        <v>1.4791645184695721</v>
      </c>
      <c r="P64" s="7">
        <f t="shared" si="40"/>
        <v>0.95891948333049404</v>
      </c>
      <c r="Q64">
        <v>62</v>
      </c>
      <c r="R64">
        <f t="shared" si="41"/>
        <v>91</v>
      </c>
      <c r="S64" s="22"/>
      <c r="T64" s="22">
        <f>IF($B$10="3BR_H",
INDEX('3BR_H-processed'!$E:$F,MATCH($L64,'3BR_H-processed'!$B:$B,0),MATCH(Council_Area,'3BR_H-processed'!$E$1:$F$1,0)),
INDEX('2BR_F-processed'!$E:$F,MATCH($L64,'2BR_F-processed'!$B:$B,0),MATCH(Council_Area,'2BR_F-processed'!$E$1:$F$1,0)))</f>
        <v>400</v>
      </c>
      <c r="U64" s="22">
        <f t="shared" si="25"/>
        <v>400</v>
      </c>
      <c r="V64" s="22">
        <f t="shared" si="34"/>
        <v>5200</v>
      </c>
      <c r="W64" s="22">
        <f>$B$53/4*BH64/_xlfn.XLOOKUP(Q_end,cpi!A:A,cpi!B:B)</f>
        <v>164.201796821009</v>
      </c>
      <c r="X64" s="22">
        <f t="shared" si="42"/>
        <v>5364.2017968210093</v>
      </c>
      <c r="Y64" s="22">
        <f t="shared" si="43"/>
        <v>229.8046761627329</v>
      </c>
      <c r="Z64" s="22">
        <f t="shared" si="64"/>
        <v>0</v>
      </c>
      <c r="AA64" s="22" cm="1">
        <f t="array" ref="AA64">(Y64+Z64)*eff_invest</f>
        <v>229.8046761627329</v>
      </c>
      <c r="AB64" s="22">
        <f>AA64*(_xlfn.XLOOKUP(Q_end,cpi!A:A,cpi!B:B)/BH64)</f>
        <v>279.90519057868227</v>
      </c>
      <c r="AC64" s="22" cm="1">
        <f t="array" ref="AC64">INDEX('msci-indices'!C:C,MATCH($L64,'msci-indices'!$B:$B)-2)</f>
        <v>2342.5854599999998</v>
      </c>
      <c r="AD64" s="22" cm="1">
        <f t="array" ref="AD64">INDEX('msci-indices'!D:D,MATCH($L64,'msci-indices'!$B:$B)-2)</f>
        <v>1930.8659110000001</v>
      </c>
      <c r="AE64" s="22">
        <f t="shared" si="65"/>
        <v>410189.2172586979</v>
      </c>
      <c r="AF64" s="22" cm="1">
        <f t="array" ref="AF64">INDEX('msci-indices'!C:C,MATCH($L64,'msci-indices'!$B:$B)+1)</f>
        <v>2515.6062010000001</v>
      </c>
      <c r="AG64" s="22" cm="1">
        <f t="array" ref="AG64">INDEX('msci-indices'!D:D,MATCH($L64,'msci-indices'!$B:$B)+1)</f>
        <v>2095.0894480000002</v>
      </c>
      <c r="AH64" s="22">
        <f t="shared" si="44"/>
        <v>256.36826078668616</v>
      </c>
      <c r="AI64" s="22">
        <f t="shared" si="45"/>
        <v>441606.32465008949</v>
      </c>
      <c r="AJ64" s="22">
        <f t="shared" si="66"/>
        <v>159359.17574195476</v>
      </c>
      <c r="AK64" s="22">
        <f t="shared" si="46"/>
        <v>282247.14890813472</v>
      </c>
      <c r="AL64" s="22">
        <f>AJ64*(_xlfn.XLOOKUP(Q_end,cpi!A:A,cpi!B:B)/BH64)</f>
        <v>194101.62230522605</v>
      </c>
      <c r="AM64" s="22" cm="1">
        <f t="array" ref="AM64">SUMPRODUCT($AA$3:AA64,_xlfn.SORTBY($BH$3:BH64,_xlfn.SEQUENCE(ROWS($BH$3:BH64)),-1)/$BH$3)</f>
        <v>212438.97820970137</v>
      </c>
      <c r="AN64" s="22">
        <f t="shared" si="30"/>
        <v>229167.34644038812</v>
      </c>
      <c r="AO64" s="22">
        <f t="shared" si="47"/>
        <v>0</v>
      </c>
      <c r="AP64" s="22">
        <f t="shared" si="31"/>
        <v>441606.32465008949</v>
      </c>
      <c r="AQ64" s="22"/>
      <c r="AR64" s="10">
        <f>IF($B$10="3BR_H",
INDEX('ns-combined'!$C:$D,MATCH($L64,'ns-combined'!$B:$B,0),MATCH(Council_Area,'ns-combined'!$C$1:$D$1,0))*1000,
INDEX('s-combined'!$C:$D,MATCH($L64,'s-combined'!$B:$B,0),MATCH(Council_Area,'s-combined'!$C$1:$D$1,0))*1000)</f>
        <v>550000</v>
      </c>
      <c r="AS64" s="22">
        <f t="shared" si="35"/>
        <v>43400</v>
      </c>
      <c r="AT64" s="10">
        <v>0</v>
      </c>
      <c r="AU64" s="22">
        <f t="shared" si="48"/>
        <v>11000</v>
      </c>
      <c r="AV64" s="22">
        <f t="shared" si="49"/>
        <v>1581.25</v>
      </c>
      <c r="AW64" s="22">
        <f>SUM($AV$3:AV64)</f>
        <v>73325.150000000009</v>
      </c>
      <c r="AX64" s="22">
        <f t="shared" si="50"/>
        <v>422274.85</v>
      </c>
      <c r="AY64" s="22">
        <f t="shared" si="51"/>
        <v>1820.0000000000002</v>
      </c>
      <c r="AZ64" s="24">
        <f t="shared" si="52"/>
        <v>1.3236363636363638E-2</v>
      </c>
      <c r="BA64" s="24">
        <f t="shared" si="53"/>
        <v>0.35000000000000003</v>
      </c>
      <c r="BB64" s="25">
        <f>IF(MortgageRate="Discounted",_xlfn.XLOOKUP(L64,'mortgage-rates'!$A:$A,'mortgage-rates'!$E:$E)/100,_xlfn.XLOOKUP(L64,'mortgage-rates'!$A:$A,'mortgage-rates'!$D:$D)/100)</f>
        <v>3.5900000000000001E-2</v>
      </c>
      <c r="BC64" s="10">
        <f t="shared" si="67"/>
        <v>123723.66172041593</v>
      </c>
      <c r="BD64" s="10">
        <f t="shared" si="54"/>
        <v>3774.0064729837418</v>
      </c>
      <c r="BE64" s="10">
        <f t="shared" si="55"/>
        <v>1110.419863940733</v>
      </c>
      <c r="BF64" s="10">
        <f t="shared" si="36"/>
        <v>2663.586609043009</v>
      </c>
      <c r="BG64" s="12">
        <f t="shared" si="56"/>
        <v>5594.0064729837422</v>
      </c>
      <c r="BH64" s="22">
        <f>INDEX(cpi!B:B,MATCH($L64,cpi!A:A))</f>
        <v>118.8</v>
      </c>
      <c r="BI64" s="22">
        <f t="shared" si="57"/>
        <v>140.42553191489364</v>
      </c>
      <c r="BJ64" s="22">
        <f t="shared" si="58"/>
        <v>310.32570304776715</v>
      </c>
      <c r="BK64" s="22">
        <f t="shared" si="59"/>
        <v>270.82530227131878</v>
      </c>
      <c r="BL64" s="22">
        <f t="shared" si="60"/>
        <v>298.47558281483265</v>
      </c>
      <c r="BM64" s="22">
        <f t="shared" si="61"/>
        <v>561.32700462581306</v>
      </c>
      <c r="BN64" s="22">
        <f t="shared" si="62"/>
        <v>196.42857142857142</v>
      </c>
      <c r="BO64">
        <f t="shared" si="63"/>
        <v>154.73894721412998</v>
      </c>
    </row>
    <row r="65" spans="2:67" x14ac:dyDescent="0.25">
      <c r="L65" s="1">
        <f t="shared" si="33"/>
        <v>44440</v>
      </c>
      <c r="M65" s="10">
        <f t="shared" si="38"/>
        <v>442808.02906692057</v>
      </c>
      <c r="N65" s="10">
        <f t="shared" si="39"/>
        <v>328247.27488862706</v>
      </c>
      <c r="O65" s="7">
        <f t="shared" si="24"/>
        <v>1.3490074798554337</v>
      </c>
      <c r="P65" s="7">
        <f t="shared" si="40"/>
        <v>0.97008890406290194</v>
      </c>
      <c r="Q65">
        <v>63</v>
      </c>
      <c r="R65">
        <f t="shared" si="41"/>
        <v>92</v>
      </c>
      <c r="S65" s="22"/>
      <c r="T65" s="22">
        <f>IF($B$10="3BR_H",
INDEX('3BR_H-processed'!$E:$F,MATCH($L65,'3BR_H-processed'!$B:$B,0),MATCH(Council_Area,'3BR_H-processed'!$E$1:$F$1,0)),
INDEX('2BR_F-processed'!$E:$F,MATCH($L65,'2BR_F-processed'!$B:$B,0),MATCH(Council_Area,'2BR_F-processed'!$E$1:$F$1,0)))</f>
        <v>410</v>
      </c>
      <c r="U65" s="22">
        <f t="shared" si="25"/>
        <v>400</v>
      </c>
      <c r="V65" s="22">
        <f t="shared" si="34"/>
        <v>5257.1428571428569</v>
      </c>
      <c r="W65" s="22">
        <f>$B$53/4*BH65/_xlfn.XLOOKUP(Q_end,cpi!A:A,cpi!B:B)</f>
        <v>165.58396682791985</v>
      </c>
      <c r="X65" s="22">
        <f t="shared" si="42"/>
        <v>5422.7268239707764</v>
      </c>
      <c r="Y65" s="22">
        <f t="shared" si="43"/>
        <v>167.20086333648851</v>
      </c>
      <c r="Z65" s="22">
        <f t="shared" si="64"/>
        <v>0</v>
      </c>
      <c r="AA65" s="22" cm="1">
        <f t="array" ref="AA65">(Y65+Z65)*eff_invest</f>
        <v>167.20086333648851</v>
      </c>
      <c r="AB65" s="22">
        <f>AA65*(_xlfn.XLOOKUP(Q_end,cpi!A:A,cpi!B:B)/BH65)</f>
        <v>201.95296264432289</v>
      </c>
      <c r="AC65" s="22" cm="1">
        <f t="array" ref="AC65">INDEX('msci-indices'!C:C,MATCH($L65,'msci-indices'!$B:$B)-2)</f>
        <v>2515.6062010000001</v>
      </c>
      <c r="AD65" s="22" cm="1">
        <f t="array" ref="AD65">INDEX('msci-indices'!D:D,MATCH($L65,'msci-indices'!$B:$B)-2)</f>
        <v>2095.0894480000002</v>
      </c>
      <c r="AE65" s="22">
        <f t="shared" si="65"/>
        <v>441773.52551342599</v>
      </c>
      <c r="AF65" s="22" cm="1">
        <f t="array" ref="AF65">INDEX('msci-indices'!C:C,MATCH($L65,'msci-indices'!$B:$B)+1)</f>
        <v>2510.8156309999999</v>
      </c>
      <c r="AG65" s="22" cm="1">
        <f t="array" ref="AG65">INDEX('msci-indices'!D:D,MATCH($L65,'msci-indices'!$B:$B)+1)</f>
        <v>2125.1172740000002</v>
      </c>
      <c r="AH65" s="22">
        <f t="shared" si="44"/>
        <v>276.10845344589126</v>
      </c>
      <c r="AI65" s="22">
        <f t="shared" si="45"/>
        <v>442808.02906692057</v>
      </c>
      <c r="AJ65" s="22">
        <f t="shared" si="66"/>
        <v>159526.37660529124</v>
      </c>
      <c r="AK65" s="22">
        <f t="shared" si="46"/>
        <v>283281.65246162936</v>
      </c>
      <c r="AL65" s="22">
        <f>AJ65*(_xlfn.XLOOKUP(Q_end,cpi!A:A,cpi!B:B)/BH65)</f>
        <v>192683.36139220066</v>
      </c>
      <c r="AM65" s="22" cm="1">
        <f t="array" ref="AM65">SUMPRODUCT($AA$3:AA65,_xlfn.SORTBY($BH$3:BH65,_xlfn.SEQUENCE(ROWS($BH$3:BH65)),-1)/$BH$3)</f>
        <v>213999.37324824787</v>
      </c>
      <c r="AN65" s="22">
        <f t="shared" si="30"/>
        <v>228808.65581867271</v>
      </c>
      <c r="AO65" s="22">
        <f t="shared" si="47"/>
        <v>0</v>
      </c>
      <c r="AP65" s="22">
        <f t="shared" si="31"/>
        <v>442808.02906692057</v>
      </c>
      <c r="AQ65" s="22"/>
      <c r="AR65" s="10">
        <f>IF($B$10="3BR_H",
INDEX('ns-combined'!$C:$D,MATCH($L65,'ns-combined'!$B:$B,0),MATCH(Council_Area,'ns-combined'!$C$1:$D$1,0))*1000,
INDEX('s-combined'!$C:$D,MATCH($L65,'s-combined'!$B:$B,0),MATCH(Council_Area,'s-combined'!$C$1:$D$1,0))*1000)</f>
        <v>580000</v>
      </c>
      <c r="AS65" s="22">
        <f t="shared" si="35"/>
        <v>44100</v>
      </c>
      <c r="AT65" s="10">
        <v>0</v>
      </c>
      <c r="AU65" s="22">
        <f t="shared" si="48"/>
        <v>11600</v>
      </c>
      <c r="AV65" s="22">
        <f t="shared" si="49"/>
        <v>1667.5</v>
      </c>
      <c r="AW65" s="22">
        <f>SUM($AV$3:AV65)</f>
        <v>74992.650000000009</v>
      </c>
      <c r="AX65" s="22">
        <f t="shared" si="50"/>
        <v>449307.35</v>
      </c>
      <c r="AY65" s="22">
        <f t="shared" si="51"/>
        <v>1840</v>
      </c>
      <c r="AZ65" s="24">
        <f t="shared" si="52"/>
        <v>1.2689655172413793E-2</v>
      </c>
      <c r="BA65" s="24">
        <f t="shared" si="53"/>
        <v>0.35000000000000003</v>
      </c>
      <c r="BB65" s="25">
        <f>IF(MortgageRate="Discounted",_xlfn.XLOOKUP(L65,'mortgage-rates'!$A:$A,'mortgage-rates'!$E:$E)/100,_xlfn.XLOOKUP(L65,'mortgage-rates'!$A:$A,'mortgage-rates'!$D:$D)/100)</f>
        <v>3.4500000000000003E-2</v>
      </c>
      <c r="BC65" s="10">
        <f t="shared" si="67"/>
        <v>121060.07511137292</v>
      </c>
      <c r="BD65" s="10">
        <f t="shared" si="54"/>
        <v>3749.9276873072645</v>
      </c>
      <c r="BE65" s="10">
        <f t="shared" si="55"/>
        <v>1044.1431478355914</v>
      </c>
      <c r="BF65" s="10">
        <f t="shared" si="36"/>
        <v>2705.7845394716733</v>
      </c>
      <c r="BG65" s="12">
        <f t="shared" si="56"/>
        <v>5589.9276873072649</v>
      </c>
      <c r="BH65" s="22">
        <f>INDEX(cpi!B:B,MATCH($L65,cpi!A:A))</f>
        <v>119.8</v>
      </c>
      <c r="BI65" s="22">
        <f t="shared" si="57"/>
        <v>141.60756501182033</v>
      </c>
      <c r="BJ65" s="22">
        <f t="shared" si="58"/>
        <v>333.24601225717834</v>
      </c>
      <c r="BK65" s="22">
        <f t="shared" si="59"/>
        <v>293.85946989254734</v>
      </c>
      <c r="BL65" s="22">
        <f t="shared" si="60"/>
        <v>321.43004954778905</v>
      </c>
      <c r="BM65" s="22">
        <f t="shared" si="61"/>
        <v>604.54882616536725</v>
      </c>
      <c r="BN65" s="22">
        <f t="shared" si="62"/>
        <v>207.14285714285714</v>
      </c>
      <c r="BO65">
        <f t="shared" si="63"/>
        <v>164.64477179867714</v>
      </c>
    </row>
    <row r="66" spans="2:67" x14ac:dyDescent="0.25">
      <c r="L66" s="1">
        <f t="shared" si="33"/>
        <v>44531</v>
      </c>
      <c r="M66" s="10">
        <f t="shared" si="38"/>
        <v>467598.18580009654</v>
      </c>
      <c r="N66" s="10">
        <f t="shared" si="39"/>
        <v>377441.80942809873</v>
      </c>
      <c r="O66" s="7">
        <f t="shared" si="24"/>
        <v>1.2388616579297431</v>
      </c>
      <c r="P66" s="7">
        <f t="shared" si="40"/>
        <v>0.97048452134719687</v>
      </c>
      <c r="Q66">
        <v>64</v>
      </c>
      <c r="R66">
        <f t="shared" si="41"/>
        <v>92</v>
      </c>
      <c r="S66" s="22"/>
      <c r="T66" s="22">
        <f>IF($B$10="3BR_H",
INDEX('3BR_H-processed'!$E:$F,MATCH($L66,'3BR_H-processed'!$B:$B,0),MATCH(Council_Area,'3BR_H-processed'!$E$1:$F$1,0)),
INDEX('2BR_F-processed'!$E:$F,MATCH($L66,'2BR_F-processed'!$B:$B,0),MATCH(Council_Area,'2BR_F-processed'!$E$1:$F$1,0)))</f>
        <v>420</v>
      </c>
      <c r="U66" s="22">
        <f t="shared" si="25"/>
        <v>400</v>
      </c>
      <c r="V66" s="22">
        <f t="shared" si="34"/>
        <v>5257.1428571428569</v>
      </c>
      <c r="W66" s="22">
        <f>$B$53/4*BH66/_xlfn.XLOOKUP(Q_end,cpi!A:A,cpi!B:B)</f>
        <v>167.79543883897722</v>
      </c>
      <c r="X66" s="22">
        <f t="shared" si="42"/>
        <v>5424.938295981834</v>
      </c>
      <c r="Y66" s="22">
        <f t="shared" si="43"/>
        <v>164.98939132543092</v>
      </c>
      <c r="Z66" s="22">
        <f t="shared" si="64"/>
        <v>0</v>
      </c>
      <c r="AA66" s="22" cm="1">
        <f t="array" ref="AA66">(Y66+Z66)*eff_invest</f>
        <v>164.98939132543092</v>
      </c>
      <c r="AB66" s="22">
        <f>AA66*(_xlfn.XLOOKUP(Q_end,cpi!A:A,cpi!B:B)/BH66)</f>
        <v>196.65539476762646</v>
      </c>
      <c r="AC66" s="22" cm="1">
        <f t="array" ref="AC66">INDEX('msci-indices'!C:C,MATCH($L66,'msci-indices'!$B:$B)-2)</f>
        <v>2510.8156309999999</v>
      </c>
      <c r="AD66" s="22" cm="1">
        <f t="array" ref="AD66">INDEX('msci-indices'!D:D,MATCH($L66,'msci-indices'!$B:$B)-2)</f>
        <v>2125.1172740000002</v>
      </c>
      <c r="AE66" s="22">
        <f t="shared" si="65"/>
        <v>442973.01845824602</v>
      </c>
      <c r="AF66" s="22" cm="1">
        <f t="array" ref="AF66">INDEX('msci-indices'!C:C,MATCH($L66,'msci-indices'!$B:$B)+1)</f>
        <v>2688.1915319999998</v>
      </c>
      <c r="AG66" s="22" cm="1">
        <f t="array" ref="AG66">INDEX('msci-indices'!D:D,MATCH($L66,'msci-indices'!$B:$B)+1)</f>
        <v>2173.034118</v>
      </c>
      <c r="AH66" s="22">
        <f t="shared" si="44"/>
        <v>276.85813653640378</v>
      </c>
      <c r="AI66" s="22">
        <f t="shared" si="45"/>
        <v>467598.18580009654</v>
      </c>
      <c r="AJ66" s="22">
        <f t="shared" si="66"/>
        <v>159691.36599661666</v>
      </c>
      <c r="AK66" s="22">
        <f t="shared" si="46"/>
        <v>307906.81980347988</v>
      </c>
      <c r="AL66" s="22">
        <f>AJ66*(_xlfn.XLOOKUP(Q_end,cpi!A:A,cpi!B:B)/BH66)</f>
        <v>190340.53261705462</v>
      </c>
      <c r="AM66" s="22" cm="1">
        <f t="array" ref="AM66">SUMPRODUCT($AA$3:AA66,_xlfn.SORTBY($BH$3:BH66,_xlfn.SEQUENCE(ROWS($BH$3:BH66)),-1)/$BH$3)</f>
        <v>216093.83923269762</v>
      </c>
      <c r="AN66" s="22">
        <f t="shared" si="30"/>
        <v>251504.34656739893</v>
      </c>
      <c r="AO66" s="22">
        <f t="shared" si="47"/>
        <v>0</v>
      </c>
      <c r="AP66" s="22">
        <f t="shared" si="31"/>
        <v>467598.18580009654</v>
      </c>
      <c r="AQ66" s="22"/>
      <c r="AR66" s="10">
        <f>IF($B$10="3BR_H",
INDEX('ns-combined'!$C:$D,MATCH($L66,'ns-combined'!$B:$B,0),MATCH(Council_Area,'ns-combined'!$C$1:$D$1,0))*1000,
INDEX('s-combined'!$C:$D,MATCH($L66,'s-combined'!$B:$B,0),MATCH(Council_Area,'s-combined'!$C$1:$D$1,0))*1000)</f>
        <v>630000</v>
      </c>
      <c r="AS66" s="22">
        <f t="shared" si="35"/>
        <v>44800</v>
      </c>
      <c r="AT66" s="10">
        <v>0</v>
      </c>
      <c r="AU66" s="22">
        <f t="shared" si="48"/>
        <v>12600</v>
      </c>
      <c r="AV66" s="22">
        <f t="shared" si="49"/>
        <v>1811.25</v>
      </c>
      <c r="AW66" s="22">
        <f>SUM($AV$3:AV66)</f>
        <v>76803.900000000009</v>
      </c>
      <c r="AX66" s="22">
        <f t="shared" si="50"/>
        <v>495796.1</v>
      </c>
      <c r="AY66" s="22">
        <f t="shared" si="51"/>
        <v>1840</v>
      </c>
      <c r="AZ66" s="24">
        <f t="shared" si="52"/>
        <v>1.1682539682539683E-2</v>
      </c>
      <c r="BA66" s="24">
        <f t="shared" si="53"/>
        <v>0.35000000000000003</v>
      </c>
      <c r="BB66" s="25">
        <f>IF(MortgageRate="Discounted",_xlfn.XLOOKUP(L66,'mortgage-rates'!$A:$A,'mortgage-rates'!$E:$E)/100,_xlfn.XLOOKUP(L66,'mortgage-rates'!$A:$A,'mortgage-rates'!$D:$D)/100)</f>
        <v>3.4500000000000003E-2</v>
      </c>
      <c r="BC66" s="10">
        <f t="shared" si="67"/>
        <v>118354.29057190125</v>
      </c>
      <c r="BD66" s="10">
        <f t="shared" si="54"/>
        <v>3749.9276873072654</v>
      </c>
      <c r="BE66" s="10">
        <f t="shared" si="55"/>
        <v>1020.8057561826483</v>
      </c>
      <c r="BF66" s="10">
        <f t="shared" si="36"/>
        <v>2729.1219311246168</v>
      </c>
      <c r="BG66" s="12">
        <f t="shared" si="56"/>
        <v>5589.9276873072649</v>
      </c>
      <c r="BH66" s="22">
        <f>INDEX(cpi!B:B,MATCH($L66,cpi!A:A))</f>
        <v>121.4</v>
      </c>
      <c r="BI66" s="22">
        <f t="shared" si="57"/>
        <v>143.49881796690309</v>
      </c>
      <c r="BJ66" s="22">
        <f t="shared" si="58"/>
        <v>332.61139848165806</v>
      </c>
      <c r="BK66" s="22">
        <f t="shared" si="59"/>
        <v>298.0712046415382</v>
      </c>
      <c r="BL66" s="22">
        <f t="shared" si="60"/>
        <v>322.2493403296221</v>
      </c>
      <c r="BM66" s="22">
        <f t="shared" si="61"/>
        <v>606.19028272603782</v>
      </c>
      <c r="BN66" s="22">
        <f t="shared" si="62"/>
        <v>225</v>
      </c>
      <c r="BO66">
        <f t="shared" si="63"/>
        <v>181.68017002876564</v>
      </c>
    </row>
    <row r="67" spans="2:67" x14ac:dyDescent="0.25">
      <c r="L67" s="1">
        <f t="shared" si="33"/>
        <v>44621</v>
      </c>
      <c r="M67" s="10">
        <f t="shared" ref="M67:M82" si="68">AP67</f>
        <v>453357.53128232568</v>
      </c>
      <c r="N67" s="10">
        <f t="shared" ref="N67:N82" si="69">AX67-BC67</f>
        <v>397202.18135922332</v>
      </c>
      <c r="O67" s="7">
        <f t="shared" si="24"/>
        <v>1.1413772445330967</v>
      </c>
      <c r="P67" s="7">
        <f t="shared" ref="P67:P82" si="70">X67/BG67</f>
        <v>1.0243813143947949</v>
      </c>
      <c r="Q67">
        <v>65</v>
      </c>
      <c r="R67">
        <f t="shared" ref="R67:R82" si="71">EOMONTH(L67,0)-EOMONTH(L67,-3)</f>
        <v>90</v>
      </c>
      <c r="S67" s="22"/>
      <c r="T67" s="22">
        <f>IF($B$10="3BR_H",
INDEX('3BR_H-processed'!$E:$F,MATCH($L67,'3BR_H-processed'!$B:$B,0),MATCH(Council_Area,'3BR_H-processed'!$E$1:$F$1,0)),
INDEX('2BR_F-processed'!$E:$F,MATCH($L67,'2BR_F-processed'!$B:$B,0),MATCH(Council_Area,'2BR_F-processed'!$E$1:$F$1,0)))</f>
        <v>445</v>
      </c>
      <c r="U67" s="22">
        <f t="shared" si="25"/>
        <v>445</v>
      </c>
      <c r="V67" s="22">
        <f t="shared" si="34"/>
        <v>5721.4285714285716</v>
      </c>
      <c r="W67" s="22">
        <f>$B$53/4*BH67/_xlfn.XLOOKUP(Q_end,cpi!A:A,cpi!B:B)</f>
        <v>171.25086385625434</v>
      </c>
      <c r="X67" s="22">
        <f t="shared" ref="X67:X81" si="72">V67+W67</f>
        <v>5892.6794352848256</v>
      </c>
      <c r="Y67" s="22">
        <f t="shared" ref="Y67:Y81" si="73">BG67-X67</f>
        <v>-140.25174797756063</v>
      </c>
      <c r="Z67" s="22">
        <f t="shared" si="64"/>
        <v>0</v>
      </c>
      <c r="AA67" s="22" cm="1">
        <f t="array" ref="AA67">(Y67+Z67)*eff_invest</f>
        <v>-140.25174797756063</v>
      </c>
      <c r="AB67" s="22">
        <f>AA67*(_xlfn.XLOOKUP(Q_end,cpi!A:A,cpi!B:B)/BH67)</f>
        <v>-163.79683561221159</v>
      </c>
      <c r="AC67" s="22" cm="1">
        <f t="array" ref="AC67">INDEX('msci-indices'!C:C,MATCH($L67,'msci-indices'!$B:$B)-2)</f>
        <v>2688.1915319999998</v>
      </c>
      <c r="AD67" s="22" cm="1">
        <f t="array" ref="AD67">INDEX('msci-indices'!D:D,MATCH($L67,'msci-indices'!$B:$B)-2)</f>
        <v>2173.034118</v>
      </c>
      <c r="AE67" s="22">
        <f t="shared" si="65"/>
        <v>467457.93405211897</v>
      </c>
      <c r="AF67" s="22" cm="1">
        <f t="array" ref="AF67">INDEX('msci-indices'!C:C,MATCH($L67,'msci-indices'!$B:$B)+1)</f>
        <v>2545.291346</v>
      </c>
      <c r="AG67" s="22" cm="1">
        <f t="array" ref="AG67">INDEX('msci-indices'!D:D,MATCH($L67,'msci-indices'!$B:$B)+1)</f>
        <v>2228.6053740000002</v>
      </c>
      <c r="AH67" s="22">
        <f t="shared" ref="AH67:AH82" si="74">(InvestFees/4)*AE67</f>
        <v>292.16120878257436</v>
      </c>
      <c r="AI67" s="22">
        <f t="shared" ref="AI67:AI82" si="75">((AF67/AC67)*GlobalPortfolio+(AG67/AD67)*AusPortfolio)*AE67-AH67</f>
        <v>453357.53128232568</v>
      </c>
      <c r="AJ67" s="22">
        <f t="shared" si="66"/>
        <v>159551.11424863909</v>
      </c>
      <c r="AK67" s="22">
        <f t="shared" ref="AK67:AK82" si="76">AI67-AJ67</f>
        <v>293806.41703368659</v>
      </c>
      <c r="AL67" s="22">
        <f>AJ67*(_xlfn.XLOOKUP(Q_end,cpi!A:A,cpi!B:B)/BH67)</f>
        <v>186336.12777867692</v>
      </c>
      <c r="AM67" s="22" cm="1">
        <f t="array" ref="AM67">SUMPRODUCT($AA$3:AA67,_xlfn.SORTBY($BH$3:BH67,_xlfn.SEQUENCE(ROWS($BH$3:BH67)),-1)/$BH$3)</f>
        <v>218692.60945614451</v>
      </c>
      <c r="AN67" s="22">
        <f t="shared" si="30"/>
        <v>234664.92182618118</v>
      </c>
      <c r="AO67" s="22">
        <f t="shared" ref="AO67:AO82" si="77">IF($B$49="Real gains",MAX($B$50*AN67,0),IF($B$49="Discounted nominal gains",MAX($B$50*AK67/2,0),0))</f>
        <v>0</v>
      </c>
      <c r="AP67" s="22">
        <f t="shared" si="31"/>
        <v>453357.53128232568</v>
      </c>
      <c r="AQ67" s="22"/>
      <c r="AR67" s="10">
        <f>IF($B$10="3BR_H",
INDEX('ns-combined'!$C:$D,MATCH($L67,'ns-combined'!$B:$B,0),MATCH(Council_Area,'ns-combined'!$C$1:$D$1,0))*1000,
INDEX('s-combined'!$C:$D,MATCH($L67,'s-combined'!$B:$B,0),MATCH(Council_Area,'s-combined'!$C$1:$D$1,0))*1000)</f>
        <v>650000</v>
      </c>
      <c r="AS67" s="22">
        <f t="shared" si="35"/>
        <v>45500</v>
      </c>
      <c r="AT67" s="10">
        <v>0</v>
      </c>
      <c r="AU67" s="22">
        <f t="shared" ref="AU67:AU82" si="78">SUM($B$28:$B$29)*AR67</f>
        <v>13000</v>
      </c>
      <c r="AV67" s="22">
        <f t="shared" ref="AV67:AV82" si="79">AR67*$B$15/4</f>
        <v>1868.75</v>
      </c>
      <c r="AW67" s="22">
        <f>SUM($AV$3:AV67)</f>
        <v>78672.650000000009</v>
      </c>
      <c r="AX67" s="22">
        <f t="shared" ref="AX67:AX82" si="80">AR67-AS67-AU67-AW67</f>
        <v>512827.35</v>
      </c>
      <c r="AY67" s="22">
        <f t="shared" ref="AY67:AY82" si="81">$B$36*V67</f>
        <v>2002.5000000000002</v>
      </c>
      <c r="AZ67" s="24">
        <f t="shared" ref="AZ67:AZ82" si="82">SUM(AY67:AY67)*4/AR67</f>
        <v>1.2323076923076924E-2</v>
      </c>
      <c r="BA67" s="24">
        <f t="shared" ref="BA67:BA82" si="83">SUM(AY67:AY67)/V67</f>
        <v>0.35000000000000003</v>
      </c>
      <c r="BB67" s="25">
        <f>IF(MortgageRate="Discounted",_xlfn.XLOOKUP(L67,'mortgage-rates'!$A:$A,'mortgage-rates'!$E:$E)/100,_xlfn.XLOOKUP(L67,'mortgage-rates'!$A:$A,'mortgage-rates'!$D:$D)/100)</f>
        <v>3.4500000000000003E-2</v>
      </c>
      <c r="BC67" s="10">
        <f t="shared" si="67"/>
        <v>115625.16864077662</v>
      </c>
      <c r="BD67" s="10">
        <f t="shared" ref="BD67:BD82" si="84">IF($B$16*12/3-Q67+1&gt;0,-PMT($BB67/4,$B$16*12/3-Q67+1,BC67),0)</f>
        <v>3749.9276873072645</v>
      </c>
      <c r="BE67" s="10">
        <f t="shared" si="55"/>
        <v>997.26707952669847</v>
      </c>
      <c r="BF67" s="10">
        <f t="shared" si="36"/>
        <v>2752.6606077805659</v>
      </c>
      <c r="BG67" s="12">
        <f t="shared" ref="BG67:BG82" si="85">AT67+AY67+BD67</f>
        <v>5752.4276873072649</v>
      </c>
      <c r="BH67" s="22">
        <f>INDEX(cpi!B:B,MATCH($L67,cpi!A:A))</f>
        <v>123.9</v>
      </c>
      <c r="BI67" s="22">
        <f t="shared" ref="BI67:BI82" si="86">100*BH67/BH$3</f>
        <v>146.45390070921988</v>
      </c>
      <c r="BJ67" s="22">
        <f t="shared" ref="BJ67:BJ82" si="87">100*AC67/AC$3</f>
        <v>356.10864207060962</v>
      </c>
      <c r="BK67" s="22">
        <f t="shared" ref="BK67:BK82" si="88">100*AD67/AD$3</f>
        <v>304.79207204421903</v>
      </c>
      <c r="BL67" s="22">
        <f t="shared" ref="BL67:BL82" si="89">BJ67*GlobalPortfolio+BK67*AusPortfolio</f>
        <v>340.71367106269247</v>
      </c>
      <c r="BM67" s="22">
        <f t="shared" ref="BM67:BM82" si="90">100*AE67/$AE$3</f>
        <v>639.69687858605641</v>
      </c>
      <c r="BN67" s="22">
        <f t="shared" ref="BN67:BN82" si="91">100*AR67/AR$3</f>
        <v>232.14285714285714</v>
      </c>
      <c r="BO67">
        <f t="shared" ref="BO67:BO82" si="92">100*AX67/AX$3</f>
        <v>187.92112350904193</v>
      </c>
    </row>
    <row r="68" spans="2:67" x14ac:dyDescent="0.25">
      <c r="L68" s="1">
        <f t="shared" si="33"/>
        <v>44713</v>
      </c>
      <c r="M68" s="10">
        <f t="shared" si="68"/>
        <v>384840.58267845091</v>
      </c>
      <c r="N68" s="10">
        <f t="shared" si="69"/>
        <v>410088.71696700389</v>
      </c>
      <c r="O68" s="7">
        <f t="shared" ref="O68:O82" si="93">M68/N68</f>
        <v>0.93843250681148471</v>
      </c>
      <c r="P68" s="7">
        <f t="shared" si="70"/>
        <v>1.010874057580645</v>
      </c>
      <c r="Q68">
        <v>66</v>
      </c>
      <c r="R68">
        <f t="shared" si="71"/>
        <v>91</v>
      </c>
      <c r="S68" s="22"/>
      <c r="T68" s="22">
        <f>IF($B$10="3BR_H",
INDEX('3BR_H-processed'!$E:$F,MATCH($L68,'3BR_H-processed'!$B:$B,0),MATCH(Council_Area,'3BR_H-processed'!$E$1:$F$1,0)),
INDEX('2BR_F-processed'!$E:$F,MATCH($L68,'2BR_F-processed'!$B:$B,0),MATCH(Council_Area,'2BR_F-processed'!$E$1:$F$1,0)))</f>
        <v>450</v>
      </c>
      <c r="U68" s="22">
        <f t="shared" ref="U68:U82" si="94">IF(MOD(Q68,4)=1,T68,U67)</f>
        <v>445</v>
      </c>
      <c r="V68" s="22">
        <f t="shared" ref="V68:V82" si="95">U68*(R68)/7</f>
        <v>5785</v>
      </c>
      <c r="W68" s="22">
        <f>$B$53/4*BH68/_xlfn.XLOOKUP(Q_end,cpi!A:A,cpi!B:B)</f>
        <v>174.29163787145819</v>
      </c>
      <c r="X68" s="22">
        <f t="shared" si="72"/>
        <v>5959.2916378714581</v>
      </c>
      <c r="Y68" s="22">
        <f t="shared" si="73"/>
        <v>-64.10460326300381</v>
      </c>
      <c r="Z68" s="22">
        <f t="shared" ref="Z68:Z82" si="96">Y68*$B$47</f>
        <v>0</v>
      </c>
      <c r="AA68" s="22" cm="1">
        <f t="array" ref="AA68">(Y68+Z68)*eff_invest</f>
        <v>-64.10460326300381</v>
      </c>
      <c r="AB68" s="22">
        <f>AA68*(_xlfn.XLOOKUP(Q_end,cpi!A:A,cpi!B:B)/BH68)</f>
        <v>-73.560159335104288</v>
      </c>
      <c r="AC68" s="22" cm="1">
        <f t="array" ref="AC68">INDEX('msci-indices'!C:C,MATCH($L68,'msci-indices'!$B:$B)-2)</f>
        <v>2545.291346</v>
      </c>
      <c r="AD68" s="22" cm="1">
        <f t="array" ref="AD68">INDEX('msci-indices'!D:D,MATCH($L68,'msci-indices'!$B:$B)-2)</f>
        <v>2228.6053740000002</v>
      </c>
      <c r="AE68" s="22">
        <f t="shared" ref="AE68:AE82" si="97">AI67+AA68</f>
        <v>453293.42667906266</v>
      </c>
      <c r="AF68" s="22" cm="1">
        <f t="array" ref="AF68">INDEX('msci-indices'!C:C,MATCH($L68,'msci-indices'!$B:$B)+1)</f>
        <v>2130.2472859999998</v>
      </c>
      <c r="AG68" s="22" cm="1">
        <f t="array" ref="AG68">INDEX('msci-indices'!D:D,MATCH($L68,'msci-indices'!$B:$B)+1)</f>
        <v>1959.3691980000001</v>
      </c>
      <c r="AH68" s="22">
        <f t="shared" si="74"/>
        <v>283.30839167441417</v>
      </c>
      <c r="AI68" s="22">
        <f t="shared" si="75"/>
        <v>384840.58267845091</v>
      </c>
      <c r="AJ68" s="22">
        <f t="shared" ref="AJ68:AJ82" si="98">AJ67+AA68</f>
        <v>159487.00964537609</v>
      </c>
      <c r="AK68" s="22">
        <f t="shared" si="76"/>
        <v>225353.57303307482</v>
      </c>
      <c r="AL68" s="22">
        <f>AJ68*(_xlfn.XLOOKUP(Q_end,cpi!A:A,cpi!B:B)/BH68)</f>
        <v>183011.65975960286</v>
      </c>
      <c r="AM68" s="22" cm="1">
        <f t="array" ref="AM68">SUMPRODUCT($AA$3:AA68,_xlfn.SORTBY($BH$3:BH68,_xlfn.SEQUENCE(ROWS($BH$3:BH68)),-1)/$BH$3)</f>
        <v>221163.10222796071</v>
      </c>
      <c r="AN68" s="22">
        <f t="shared" ref="AN68:AN81" si="99">AI68-AM68</f>
        <v>163677.4804504902</v>
      </c>
      <c r="AO68" s="22">
        <f t="shared" si="77"/>
        <v>0</v>
      </c>
      <c r="AP68" s="22">
        <f t="shared" ref="AP68:AP81" si="100">AI68-AO68</f>
        <v>384840.58267845091</v>
      </c>
      <c r="AQ68" s="22"/>
      <c r="AR68" s="10">
        <f>IF($B$10="3BR_H",
INDEX('ns-combined'!$C:$D,MATCH($L68,'ns-combined'!$B:$B,0),MATCH(Council_Area,'ns-combined'!$C$1:$D$1,0))*1000,
INDEX('s-combined'!$C:$D,MATCH($L68,'s-combined'!$B:$B,0),MATCH(Council_Area,'s-combined'!$C$1:$D$1,0))*1000)</f>
        <v>663000</v>
      </c>
      <c r="AS68" s="22">
        <f t="shared" si="35"/>
        <v>46200</v>
      </c>
      <c r="AT68" s="10">
        <v>0</v>
      </c>
      <c r="AU68" s="22">
        <f t="shared" si="78"/>
        <v>13260</v>
      </c>
      <c r="AV68" s="22">
        <f t="shared" si="79"/>
        <v>1906.125</v>
      </c>
      <c r="AW68" s="22">
        <f>SUM($AV$3:AV68)</f>
        <v>80578.775000000009</v>
      </c>
      <c r="AX68" s="22">
        <f t="shared" si="80"/>
        <v>522961.22499999998</v>
      </c>
      <c r="AY68" s="22">
        <f t="shared" si="81"/>
        <v>2024.7500000000002</v>
      </c>
      <c r="AZ68" s="24">
        <f t="shared" si="82"/>
        <v>1.2215686274509805E-2</v>
      </c>
      <c r="BA68" s="24">
        <f t="shared" si="83"/>
        <v>0.35000000000000003</v>
      </c>
      <c r="BB68" s="25">
        <f>IF(MortgageRate="Discounted",_xlfn.XLOOKUP(L68,'mortgage-rates'!$A:$A,'mortgage-rates'!$E:$E)/100,_xlfn.XLOOKUP(L68,'mortgage-rates'!$A:$A,'mortgage-rates'!$D:$D)/100)</f>
        <v>4.2000000000000003E-2</v>
      </c>
      <c r="BC68" s="10">
        <f t="shared" ref="BC68:BC82" si="101">BC67-BF67</f>
        <v>112872.50803299606</v>
      </c>
      <c r="BD68" s="10">
        <f t="shared" si="84"/>
        <v>3870.4370346084538</v>
      </c>
      <c r="BE68" s="10">
        <f t="shared" ref="BE68:BE82" si="102">BC68*($BB68/4)</f>
        <v>1185.1613343464587</v>
      </c>
      <c r="BF68" s="10">
        <f t="shared" si="36"/>
        <v>2685.2757002619951</v>
      </c>
      <c r="BG68" s="12">
        <f t="shared" si="85"/>
        <v>5895.1870346084543</v>
      </c>
      <c r="BH68" s="22">
        <f>INDEX(cpi!B:B,MATCH($L68,cpi!A:A))</f>
        <v>126.1</v>
      </c>
      <c r="BI68" s="22">
        <f t="shared" si="86"/>
        <v>149.05437352245863</v>
      </c>
      <c r="BJ68" s="22">
        <f t="shared" si="87"/>
        <v>337.17844659073722</v>
      </c>
      <c r="BK68" s="22">
        <f t="shared" si="88"/>
        <v>312.58655539910018</v>
      </c>
      <c r="BL68" s="22">
        <f t="shared" si="89"/>
        <v>329.80087923324612</v>
      </c>
      <c r="BM68" s="22">
        <f t="shared" si="90"/>
        <v>620.31333518417466</v>
      </c>
      <c r="BN68" s="22">
        <f t="shared" si="91"/>
        <v>236.78571428571428</v>
      </c>
      <c r="BO68">
        <f t="shared" si="92"/>
        <v>191.63459389142344</v>
      </c>
    </row>
    <row r="69" spans="2:67" x14ac:dyDescent="0.25">
      <c r="L69" s="1">
        <f t="shared" ref="L69:L81" si="103">DATE(YEAR(L68),MONTH(L68)+3,1)</f>
        <v>44805</v>
      </c>
      <c r="M69" s="10">
        <f t="shared" si="68"/>
        <v>368868.97005410009</v>
      </c>
      <c r="N69" s="10">
        <f t="shared" si="69"/>
        <v>401373.74266726593</v>
      </c>
      <c r="O69" s="7">
        <f t="shared" si="93"/>
        <v>0.91901619573527527</v>
      </c>
      <c r="P69" s="7">
        <f t="shared" si="70"/>
        <v>0.97847153795840069</v>
      </c>
      <c r="Q69">
        <v>67</v>
      </c>
      <c r="R69">
        <f t="shared" si="71"/>
        <v>92</v>
      </c>
      <c r="S69" s="22"/>
      <c r="T69" s="22">
        <f>IF($B$10="3BR_H",
INDEX('3BR_H-processed'!$E:$F,MATCH($L69,'3BR_H-processed'!$B:$B,0),MATCH(Council_Area,'3BR_H-processed'!$E$1:$F$1,0)),
INDEX('2BR_F-processed'!$E:$F,MATCH($L69,'2BR_F-processed'!$B:$B,0),MATCH(Council_Area,'2BR_F-processed'!$E$1:$F$1,0)))</f>
        <v>460</v>
      </c>
      <c r="U69" s="22">
        <f t="shared" si="94"/>
        <v>445</v>
      </c>
      <c r="V69" s="22">
        <f t="shared" si="95"/>
        <v>5848.5714285714284</v>
      </c>
      <c r="W69" s="22">
        <f>$B$53/4*BH69/_xlfn.XLOOKUP(Q_end,cpi!A:A,cpi!B:B)</f>
        <v>177.47062888735317</v>
      </c>
      <c r="X69" s="22">
        <f t="shared" si="72"/>
        <v>6026.0420574587815</v>
      </c>
      <c r="Y69" s="22">
        <f t="shared" si="73"/>
        <v>132.5857857508754</v>
      </c>
      <c r="Z69" s="22">
        <f t="shared" si="96"/>
        <v>0</v>
      </c>
      <c r="AA69" s="22" cm="1">
        <f t="array" ref="AA69">(Y69+Z69)*eff_invest</f>
        <v>132.5857857508754</v>
      </c>
      <c r="AB69" s="22">
        <f>AA69*(_xlfn.XLOOKUP(Q_end,cpi!A:A,cpi!B:B)/BH69)</f>
        <v>149.41715886410958</v>
      </c>
      <c r="AC69" s="22" cm="1">
        <f t="array" ref="AC69">INDEX('msci-indices'!C:C,MATCH($L69,'msci-indices'!$B:$B)-2)</f>
        <v>2130.2472859999998</v>
      </c>
      <c r="AD69" s="22" cm="1">
        <f t="array" ref="AD69">INDEX('msci-indices'!D:D,MATCH($L69,'msci-indices'!$B:$B)-2)</f>
        <v>1959.3691980000001</v>
      </c>
      <c r="AE69" s="22">
        <f t="shared" si="97"/>
        <v>384973.16846420179</v>
      </c>
      <c r="AF69" s="22" cm="1">
        <f t="array" ref="AF69">INDEX('msci-indices'!C:C,MATCH($L69,'msci-indices'!$B:$B)+1)</f>
        <v>2000.7468469999999</v>
      </c>
      <c r="AG69" s="22" cm="1">
        <f t="array" ref="AG69">INDEX('msci-indices'!D:D,MATCH($L69,'msci-indices'!$B:$B)+1)</f>
        <v>1968.166029</v>
      </c>
      <c r="AH69" s="22">
        <f t="shared" si="74"/>
        <v>240.60823029012613</v>
      </c>
      <c r="AI69" s="22">
        <f t="shared" si="75"/>
        <v>368868.97005410009</v>
      </c>
      <c r="AJ69" s="22">
        <f t="shared" si="98"/>
        <v>159619.59543112697</v>
      </c>
      <c r="AK69" s="22">
        <f t="shared" si="76"/>
        <v>209249.37462297312</v>
      </c>
      <c r="AL69" s="22">
        <f>AJ69*(_xlfn.XLOOKUP(Q_end,cpi!A:A,cpi!B:B)/BH69)</f>
        <v>179882.83067666722</v>
      </c>
      <c r="AM69" s="22" cm="1">
        <f t="array" ref="AM69">SUMPRODUCT($AA$3:AA69,_xlfn.SORTBY($BH$3:BH69,_xlfn.SEQUENCE(ROWS($BH$3:BH69)),-1)/$BH$3)</f>
        <v>223969.20258271965</v>
      </c>
      <c r="AN69" s="22">
        <f t="shared" si="99"/>
        <v>144899.76747138044</v>
      </c>
      <c r="AO69" s="22">
        <f t="shared" si="77"/>
        <v>0</v>
      </c>
      <c r="AP69" s="22">
        <f t="shared" si="100"/>
        <v>368868.97005410009</v>
      </c>
      <c r="AQ69" s="22"/>
      <c r="AR69" s="10">
        <f>IF($B$10="3BR_H",
INDEX('ns-combined'!$C:$D,MATCH($L69,'ns-combined'!$B:$B,0),MATCH(Council_Area,'ns-combined'!$C$1:$D$1,0))*1000,
INDEX('s-combined'!$C:$D,MATCH($L69,'s-combined'!$B:$B,0),MATCH(Council_Area,'s-combined'!$C$1:$D$1,0))*1000)</f>
        <v>654000</v>
      </c>
      <c r="AS69" s="22">
        <f t="shared" ref="AS69:AS81" si="104">AS68+$AS$3</f>
        <v>46900</v>
      </c>
      <c r="AT69" s="10">
        <v>0</v>
      </c>
      <c r="AU69" s="22">
        <f t="shared" si="78"/>
        <v>13080</v>
      </c>
      <c r="AV69" s="22">
        <f t="shared" si="79"/>
        <v>1880.25</v>
      </c>
      <c r="AW69" s="22">
        <f>SUM($AV$3:AV69)</f>
        <v>82459.025000000009</v>
      </c>
      <c r="AX69" s="22">
        <f t="shared" si="80"/>
        <v>511560.97499999998</v>
      </c>
      <c r="AY69" s="22">
        <f t="shared" si="81"/>
        <v>2047.0000000000002</v>
      </c>
      <c r="AZ69" s="24">
        <f t="shared" si="82"/>
        <v>1.2519877675840981E-2</v>
      </c>
      <c r="BA69" s="24">
        <f t="shared" si="83"/>
        <v>0.35000000000000003</v>
      </c>
      <c r="BB69" s="25">
        <f>IF(MortgageRate="Discounted",_xlfn.XLOOKUP(L69,'mortgage-rates'!$A:$A,'mortgage-rates'!$E:$E)/100,_xlfn.XLOOKUP(L69,'mortgage-rates'!$A:$A,'mortgage-rates'!$D:$D)/100)</f>
        <v>5.7000000000000002E-2</v>
      </c>
      <c r="BC69" s="10">
        <f t="shared" si="101"/>
        <v>110187.23233273407</v>
      </c>
      <c r="BD69" s="10">
        <f t="shared" si="84"/>
        <v>4111.6278432096569</v>
      </c>
      <c r="BE69" s="10">
        <f t="shared" si="102"/>
        <v>1570.1680607414605</v>
      </c>
      <c r="BF69" s="10">
        <f t="shared" ref="BF69:BF82" si="105">BD69-BE69</f>
        <v>2541.4597824681964</v>
      </c>
      <c r="BG69" s="12">
        <f t="shared" si="85"/>
        <v>6158.6278432096569</v>
      </c>
      <c r="BH69" s="22">
        <f>INDEX(cpi!B:B,MATCH($L69,cpi!A:A))</f>
        <v>128.4</v>
      </c>
      <c r="BI69" s="22">
        <f t="shared" si="86"/>
        <v>151.77304964539007</v>
      </c>
      <c r="BJ69" s="22">
        <f t="shared" si="87"/>
        <v>282.19695630380454</v>
      </c>
      <c r="BK69" s="22">
        <f t="shared" si="88"/>
        <v>274.82320356188706</v>
      </c>
      <c r="BL69" s="22">
        <f t="shared" si="89"/>
        <v>279.98483048122927</v>
      </c>
      <c r="BM69" s="22">
        <f t="shared" si="90"/>
        <v>526.81988317365176</v>
      </c>
      <c r="BN69" s="22">
        <f t="shared" si="91"/>
        <v>233.57142857142858</v>
      </c>
      <c r="BO69">
        <f t="shared" si="92"/>
        <v>187.45707140108834</v>
      </c>
    </row>
    <row r="70" spans="2:67" x14ac:dyDescent="0.25">
      <c r="L70" s="1">
        <f t="shared" si="103"/>
        <v>44896</v>
      </c>
      <c r="M70" s="10">
        <f t="shared" si="68"/>
        <v>404561.56043573364</v>
      </c>
      <c r="N70" s="10">
        <f t="shared" si="69"/>
        <v>421854.57744973409</v>
      </c>
      <c r="O70" s="7">
        <f t="shared" si="93"/>
        <v>0.9590071604330026</v>
      </c>
      <c r="P70" s="7">
        <f t="shared" si="70"/>
        <v>0.9722432097842052</v>
      </c>
      <c r="Q70">
        <v>68</v>
      </c>
      <c r="R70">
        <f t="shared" si="71"/>
        <v>92</v>
      </c>
      <c r="S70" s="22"/>
      <c r="T70" s="22">
        <f>IF($B$10="3BR_H",
INDEX('3BR_H-processed'!$E:$F,MATCH($L70,'3BR_H-processed'!$B:$B,0),MATCH(Council_Area,'3BR_H-processed'!$E$1:$F$1,0)),
INDEX('2BR_F-processed'!$E:$F,MATCH($L70,'2BR_F-processed'!$B:$B,0),MATCH(Council_Area,'2BR_F-processed'!$E$1:$F$1,0)))</f>
        <v>480</v>
      </c>
      <c r="U70" s="22">
        <f t="shared" si="94"/>
        <v>445</v>
      </c>
      <c r="V70" s="22">
        <f t="shared" si="95"/>
        <v>5848.5714285714284</v>
      </c>
      <c r="W70" s="22">
        <f>$B$53/4*BH70/_xlfn.XLOOKUP(Q_end,cpi!A:A,cpi!B:B)</f>
        <v>181.06427090532137</v>
      </c>
      <c r="X70" s="22">
        <f t="shared" si="72"/>
        <v>6029.6356994767502</v>
      </c>
      <c r="Y70" s="22">
        <f t="shared" si="73"/>
        <v>172.14142665515828</v>
      </c>
      <c r="Z70" s="22">
        <f t="shared" si="96"/>
        <v>0</v>
      </c>
      <c r="AA70" s="22" cm="1">
        <f t="array" ref="AA70">(Y70+Z70)*eff_invest</f>
        <v>172.14142665515828</v>
      </c>
      <c r="AB70" s="22">
        <f>AA70*(_xlfn.XLOOKUP(Q_end,cpi!A:A,cpi!B:B)/BH70)</f>
        <v>190.14400333588856</v>
      </c>
      <c r="AC70" s="22" cm="1">
        <f t="array" ref="AC70">INDEX('msci-indices'!C:C,MATCH($L70,'msci-indices'!$B:$B)-2)</f>
        <v>2000.7468469999999</v>
      </c>
      <c r="AD70" s="22" cm="1">
        <f t="array" ref="AD70">INDEX('msci-indices'!D:D,MATCH($L70,'msci-indices'!$B:$B)-2)</f>
        <v>1968.166029</v>
      </c>
      <c r="AE70" s="22">
        <f t="shared" si="97"/>
        <v>369041.11148075527</v>
      </c>
      <c r="AF70" s="22" cm="1">
        <f t="array" ref="AF70">INDEX('msci-indices'!C:C,MATCH($L70,'msci-indices'!$B:$B)+1)</f>
        <v>2198.4432400000001</v>
      </c>
      <c r="AG70" s="22" cm="1">
        <f t="array" ref="AG70">INDEX('msci-indices'!D:D,MATCH($L70,'msci-indices'!$B:$B)+1)</f>
        <v>2149.944184</v>
      </c>
      <c r="AH70" s="22">
        <f t="shared" si="74"/>
        <v>230.65069467547204</v>
      </c>
      <c r="AI70" s="22">
        <f t="shared" si="75"/>
        <v>404561.56043573364</v>
      </c>
      <c r="AJ70" s="22">
        <f t="shared" si="98"/>
        <v>159791.73685778212</v>
      </c>
      <c r="AK70" s="22">
        <f t="shared" si="76"/>
        <v>244769.82357795152</v>
      </c>
      <c r="AL70" s="22">
        <f>AJ70*(_xlfn.XLOOKUP(Q_end,cpi!A:A,cpi!B:B)/BH70)</f>
        <v>176502.78109405396</v>
      </c>
      <c r="AM70" s="22" cm="1">
        <f t="array" ref="AM70">SUMPRODUCT($AA$3:AA70,_xlfn.SORTBY($BH$3:BH70,_xlfn.SEQUENCE(ROWS($BH$3:BH70)),-1)/$BH$3)</f>
        <v>227134.73508328543</v>
      </c>
      <c r="AN70" s="22">
        <f t="shared" si="99"/>
        <v>177426.82535244821</v>
      </c>
      <c r="AO70" s="22">
        <f t="shared" si="77"/>
        <v>0</v>
      </c>
      <c r="AP70" s="22">
        <f t="shared" si="100"/>
        <v>404561.56043573364</v>
      </c>
      <c r="AQ70" s="22"/>
      <c r="AR70" s="10">
        <f>IF($B$10="3BR_H",
INDEX('ns-combined'!$C:$D,MATCH($L70,'ns-combined'!$B:$B,0),MATCH(Council_Area,'ns-combined'!$C$1:$D$1,0))*1000,
INDEX('s-combined'!$C:$D,MATCH($L70,'s-combined'!$B:$B,0),MATCH(Council_Area,'s-combined'!$C$1:$D$1,0))*1000)</f>
        <v>675000</v>
      </c>
      <c r="AS70" s="22">
        <f t="shared" si="104"/>
        <v>47600</v>
      </c>
      <c r="AT70" s="10">
        <v>0</v>
      </c>
      <c r="AU70" s="22">
        <f t="shared" si="78"/>
        <v>13500</v>
      </c>
      <c r="AV70" s="22">
        <f t="shared" si="79"/>
        <v>1940.625</v>
      </c>
      <c r="AW70" s="22">
        <f>SUM($AV$3:AV70)</f>
        <v>84399.650000000009</v>
      </c>
      <c r="AX70" s="22">
        <f t="shared" si="80"/>
        <v>529500.35</v>
      </c>
      <c r="AY70" s="22">
        <f t="shared" si="81"/>
        <v>2047.0000000000002</v>
      </c>
      <c r="AZ70" s="24">
        <f t="shared" si="82"/>
        <v>1.2130370370370371E-2</v>
      </c>
      <c r="BA70" s="24">
        <f t="shared" si="83"/>
        <v>0.35000000000000003</v>
      </c>
      <c r="BB70" s="25">
        <f>IF(MortgageRate="Discounted",_xlfn.XLOOKUP(L70,'mortgage-rates'!$A:$A,'mortgage-rates'!$E:$E)/100,_xlfn.XLOOKUP(L70,'mortgage-rates'!$A:$A,'mortgage-rates'!$D:$D)/100)</f>
        <v>5.9699999999999996E-2</v>
      </c>
      <c r="BC70" s="10">
        <f t="shared" si="101"/>
        <v>107645.77255026587</v>
      </c>
      <c r="BD70" s="10">
        <f t="shared" si="84"/>
        <v>4154.7771261319085</v>
      </c>
      <c r="BE70" s="10">
        <f t="shared" si="102"/>
        <v>1606.6131553127179</v>
      </c>
      <c r="BF70" s="10">
        <f t="shared" si="105"/>
        <v>2548.1639708191906</v>
      </c>
      <c r="BG70" s="12">
        <f t="shared" si="85"/>
        <v>6201.7771261319085</v>
      </c>
      <c r="BH70" s="22">
        <f>INDEX(cpi!B:B,MATCH($L70,cpi!A:A))</f>
        <v>131</v>
      </c>
      <c r="BI70" s="22">
        <f t="shared" si="86"/>
        <v>154.84633569739952</v>
      </c>
      <c r="BJ70" s="22">
        <f t="shared" si="87"/>
        <v>265.04184479821646</v>
      </c>
      <c r="BK70" s="22">
        <f t="shared" si="88"/>
        <v>276.05705641569335</v>
      </c>
      <c r="BL70" s="22">
        <f t="shared" si="89"/>
        <v>268.34640828345954</v>
      </c>
      <c r="BM70" s="22">
        <f t="shared" si="90"/>
        <v>505.01752112276063</v>
      </c>
      <c r="BN70" s="22">
        <f t="shared" si="91"/>
        <v>241.07142857142858</v>
      </c>
      <c r="BO70">
        <f t="shared" si="92"/>
        <v>194.03079939170743</v>
      </c>
    </row>
    <row r="71" spans="2:67" x14ac:dyDescent="0.25">
      <c r="L71" s="1">
        <f t="shared" si="103"/>
        <v>44986</v>
      </c>
      <c r="M71" s="10">
        <f t="shared" si="68"/>
        <v>428997.4528838516</v>
      </c>
      <c r="N71" s="10">
        <f t="shared" si="69"/>
        <v>426647.7414205533</v>
      </c>
      <c r="O71" s="7">
        <f t="shared" si="93"/>
        <v>1.005507380527727</v>
      </c>
      <c r="P71" s="7">
        <f t="shared" si="70"/>
        <v>1.0208588978949713</v>
      </c>
      <c r="Q71">
        <v>69</v>
      </c>
      <c r="R71">
        <f t="shared" si="71"/>
        <v>90</v>
      </c>
      <c r="S71" s="22"/>
      <c r="T71" s="22">
        <f>IF($B$10="3BR_H",
INDEX('3BR_H-processed'!$E:$F,MATCH($L71,'3BR_H-processed'!$B:$B,0),MATCH(Council_Area,'3BR_H-processed'!$E$1:$F$1,0)),
INDEX('2BR_F-processed'!$E:$F,MATCH($L71,'2BR_F-processed'!$B:$B,0),MATCH(Council_Area,'2BR_F-processed'!$E$1:$F$1,0)))</f>
        <v>500</v>
      </c>
      <c r="U71" s="22">
        <f t="shared" si="94"/>
        <v>500</v>
      </c>
      <c r="V71" s="22">
        <f t="shared" si="95"/>
        <v>6428.5714285714284</v>
      </c>
      <c r="W71" s="22">
        <f>$B$53/4*BH71/_xlfn.XLOOKUP(Q_end,cpi!A:A,cpi!B:B)</f>
        <v>183.41395991706977</v>
      </c>
      <c r="X71" s="22">
        <f t="shared" si="72"/>
        <v>6611.9853884884978</v>
      </c>
      <c r="Y71" s="22">
        <f t="shared" si="73"/>
        <v>-135.10067687700484</v>
      </c>
      <c r="Z71" s="22">
        <f t="shared" si="96"/>
        <v>0</v>
      </c>
      <c r="AA71" s="22" cm="1">
        <f t="array" ref="AA71">(Y71+Z71)*eff_invest</f>
        <v>-135.10067687700484</v>
      </c>
      <c r="AB71" s="22">
        <f>AA71*(_xlfn.XLOOKUP(Q_end,cpi!A:A,cpi!B:B)/BH71)</f>
        <v>-147.31776898344086</v>
      </c>
      <c r="AC71" s="22" cm="1">
        <f t="array" ref="AC71">INDEX('msci-indices'!C:C,MATCH($L71,'msci-indices'!$B:$B)-2)</f>
        <v>2198.4432400000001</v>
      </c>
      <c r="AD71" s="22" cm="1">
        <f t="array" ref="AD71">INDEX('msci-indices'!D:D,MATCH($L71,'msci-indices'!$B:$B)-2)</f>
        <v>2149.944184</v>
      </c>
      <c r="AE71" s="22">
        <f t="shared" si="97"/>
        <v>404426.45975885662</v>
      </c>
      <c r="AF71" s="22" cm="1">
        <f t="array" ref="AF71">INDEX('msci-indices'!C:C,MATCH($L71,'msci-indices'!$B:$B)+1)</f>
        <v>2359.7519419999999</v>
      </c>
      <c r="AG71" s="22" cm="1">
        <f t="array" ref="AG71">INDEX('msci-indices'!D:D,MATCH($L71,'msci-indices'!$B:$B)+1)</f>
        <v>2221.7402550000002</v>
      </c>
      <c r="AH71" s="22">
        <f t="shared" si="74"/>
        <v>252.76653734928539</v>
      </c>
      <c r="AI71" s="22">
        <f t="shared" si="75"/>
        <v>428997.4528838516</v>
      </c>
      <c r="AJ71" s="22">
        <f t="shared" si="98"/>
        <v>159656.6361809051</v>
      </c>
      <c r="AK71" s="22">
        <f t="shared" si="76"/>
        <v>269340.8167029465</v>
      </c>
      <c r="AL71" s="22">
        <f>AJ71*(_xlfn.XLOOKUP(Q_end,cpi!A:A,cpi!B:B)/BH71)</f>
        <v>174094.31239922356</v>
      </c>
      <c r="AM71" s="22" cm="1">
        <f t="array" ref="AM71">SUMPRODUCT($AA$3:AA71,_xlfn.SORTBY($BH$3:BH71,_xlfn.SEQUENCE(ROWS($BH$3:BH71)),-1)/$BH$3)</f>
        <v>229318.24572205098</v>
      </c>
      <c r="AN71" s="22">
        <f t="shared" si="99"/>
        <v>199679.20716180062</v>
      </c>
      <c r="AO71" s="22">
        <f t="shared" si="77"/>
        <v>0</v>
      </c>
      <c r="AP71" s="22">
        <f t="shared" si="100"/>
        <v>428997.4528838516</v>
      </c>
      <c r="AQ71" s="22"/>
      <c r="AR71" s="10">
        <f>IF($B$10="3BR_H",
INDEX('ns-combined'!$C:$D,MATCH($L71,'ns-combined'!$B:$B,0),MATCH(Council_Area,'ns-combined'!$C$1:$D$1,0))*1000,
INDEX('s-combined'!$C:$D,MATCH($L71,'s-combined'!$B:$B,0),MATCH(Council_Area,'s-combined'!$C$1:$D$1,0))*1000)</f>
        <v>680000</v>
      </c>
      <c r="AS71" s="22">
        <f t="shared" si="104"/>
        <v>48300</v>
      </c>
      <c r="AT71" s="10">
        <v>0</v>
      </c>
      <c r="AU71" s="22">
        <f t="shared" si="78"/>
        <v>13600</v>
      </c>
      <c r="AV71" s="22">
        <f t="shared" si="79"/>
        <v>1955</v>
      </c>
      <c r="AW71" s="22">
        <f>SUM($AV$3:AV71)</f>
        <v>86354.650000000009</v>
      </c>
      <c r="AX71" s="22">
        <f t="shared" si="80"/>
        <v>531745.35</v>
      </c>
      <c r="AY71" s="22">
        <f t="shared" si="81"/>
        <v>2250</v>
      </c>
      <c r="AZ71" s="24">
        <f t="shared" si="82"/>
        <v>1.3235294117647059E-2</v>
      </c>
      <c r="BA71" s="24">
        <f t="shared" si="83"/>
        <v>0.35000000000000003</v>
      </c>
      <c r="BB71" s="25">
        <f>IF(MortgageRate="Discounted",_xlfn.XLOOKUP(L71,'mortgage-rates'!$A:$A,'mortgage-rates'!$E:$E)/100,_xlfn.XLOOKUP(L71,'mortgage-rates'!$A:$A,'mortgage-rates'!$D:$D)/100)</f>
        <v>6.4299999999999996E-2</v>
      </c>
      <c r="BC71" s="10">
        <f t="shared" si="101"/>
        <v>105097.60857944668</v>
      </c>
      <c r="BD71" s="10">
        <f t="shared" si="84"/>
        <v>4226.884711611493</v>
      </c>
      <c r="BE71" s="10">
        <f t="shared" si="102"/>
        <v>1689.4440579146053</v>
      </c>
      <c r="BF71" s="10">
        <f t="shared" si="105"/>
        <v>2537.4406536968877</v>
      </c>
      <c r="BG71" s="12">
        <f t="shared" si="85"/>
        <v>6476.884711611493</v>
      </c>
      <c r="BH71" s="22">
        <f>INDEX(cpi!B:B,MATCH($L71,cpi!A:A))</f>
        <v>132.69999999999999</v>
      </c>
      <c r="BI71" s="22">
        <f t="shared" si="86"/>
        <v>156.85579196217492</v>
      </c>
      <c r="BJ71" s="22">
        <f t="shared" si="87"/>
        <v>291.23097351744474</v>
      </c>
      <c r="BK71" s="22">
        <f t="shared" si="88"/>
        <v>301.55345339164973</v>
      </c>
      <c r="BL71" s="22">
        <f t="shared" si="89"/>
        <v>294.32771747970622</v>
      </c>
      <c r="BM71" s="22">
        <f t="shared" si="90"/>
        <v>553.44090896637806</v>
      </c>
      <c r="BN71" s="22">
        <f t="shared" si="91"/>
        <v>242.85714285714286</v>
      </c>
      <c r="BO71">
        <f t="shared" si="92"/>
        <v>194.85346012202496</v>
      </c>
    </row>
    <row r="72" spans="2:67" x14ac:dyDescent="0.25">
      <c r="L72" s="1">
        <f t="shared" si="103"/>
        <v>45078</v>
      </c>
      <c r="M72" s="10">
        <f t="shared" si="68"/>
        <v>449309.64861633739</v>
      </c>
      <c r="N72" s="10">
        <f t="shared" si="69"/>
        <v>448026.93207425019</v>
      </c>
      <c r="O72" s="7">
        <f t="shared" si="93"/>
        <v>1.0028630344523008</v>
      </c>
      <c r="P72" s="7">
        <f t="shared" si="70"/>
        <v>1.0130198533214601</v>
      </c>
      <c r="Q72">
        <v>70</v>
      </c>
      <c r="R72">
        <f t="shared" si="71"/>
        <v>91</v>
      </c>
      <c r="S72" s="22"/>
      <c r="T72" s="22">
        <f>IF($B$10="3BR_H",
INDEX('3BR_H-processed'!$E:$F,MATCH($L72,'3BR_H-processed'!$B:$B,0),MATCH(Council_Area,'3BR_H-processed'!$E$1:$F$1,0)),
INDEX('2BR_F-processed'!$E:$F,MATCH($L72,'2BR_F-processed'!$B:$B,0),MATCH(Council_Area,'2BR_F-processed'!$E$1:$F$1,0)))</f>
        <v>505</v>
      </c>
      <c r="U72" s="22">
        <f t="shared" si="94"/>
        <v>500</v>
      </c>
      <c r="V72" s="22">
        <f t="shared" si="95"/>
        <v>6500</v>
      </c>
      <c r="W72" s="22">
        <f>$B$53/4*BH72/_xlfn.XLOOKUP(Q_end,cpi!A:A,cpi!B:B)</f>
        <v>184.93434692467179</v>
      </c>
      <c r="X72" s="22">
        <f t="shared" si="72"/>
        <v>6684.9343469246714</v>
      </c>
      <c r="Y72" s="22">
        <f t="shared" si="73"/>
        <v>-85.918222012308433</v>
      </c>
      <c r="Z72" s="22">
        <f t="shared" si="96"/>
        <v>0</v>
      </c>
      <c r="AA72" s="22" cm="1">
        <f t="array" ref="AA72">(Y72+Z72)*eff_invest</f>
        <v>-85.918222012308433</v>
      </c>
      <c r="AB72" s="22">
        <f>AA72*(_xlfn.XLOOKUP(Q_end,cpi!A:A,cpi!B:B)/BH72)</f>
        <v>-92.917539052175101</v>
      </c>
      <c r="AC72" s="22" cm="1">
        <f t="array" ref="AC72">INDEX('msci-indices'!C:C,MATCH($L72,'msci-indices'!$B:$B)-2)</f>
        <v>2359.7519419999999</v>
      </c>
      <c r="AD72" s="22" cm="1">
        <f t="array" ref="AD72">INDEX('msci-indices'!D:D,MATCH($L72,'msci-indices'!$B:$B)-2)</f>
        <v>2221.7402550000002</v>
      </c>
      <c r="AE72" s="22">
        <f t="shared" si="97"/>
        <v>428911.53466183931</v>
      </c>
      <c r="AF72" s="22" cm="1">
        <f t="array" ref="AF72">INDEX('msci-indices'!C:C,MATCH($L72,'msci-indices'!$B:$B)+1)</f>
        <v>2511.4075790000002</v>
      </c>
      <c r="AG72" s="22" cm="1">
        <f t="array" ref="AG72">INDEX('msci-indices'!D:D,MATCH($L72,'msci-indices'!$B:$B)+1)</f>
        <v>2245.4056799999998</v>
      </c>
      <c r="AH72" s="22">
        <f t="shared" si="74"/>
        <v>268.06970916364958</v>
      </c>
      <c r="AI72" s="22">
        <f t="shared" si="75"/>
        <v>449309.64861633739</v>
      </c>
      <c r="AJ72" s="22">
        <f t="shared" si="98"/>
        <v>159570.71795889278</v>
      </c>
      <c r="AK72" s="22">
        <f t="shared" si="76"/>
        <v>289738.93065744464</v>
      </c>
      <c r="AL72" s="22">
        <f>AJ72*(_xlfn.XLOOKUP(Q_end,cpi!A:A,cpi!B:B)/BH72)</f>
        <v>172570.12622310748</v>
      </c>
      <c r="AM72" s="22" cm="1">
        <f t="array" ref="AM72">SUMPRODUCT($AA$3:AA72,_xlfn.SORTBY($BH$3:BH72,_xlfn.SEQUENCE(ROWS($BH$3:BH72)),-1)/$BH$3)</f>
        <v>231066.59384200076</v>
      </c>
      <c r="AN72" s="22">
        <f t="shared" si="99"/>
        <v>218243.05477433663</v>
      </c>
      <c r="AO72" s="22">
        <f t="shared" si="77"/>
        <v>0</v>
      </c>
      <c r="AP72" s="22">
        <f t="shared" si="100"/>
        <v>449309.64861633739</v>
      </c>
      <c r="AQ72" s="22"/>
      <c r="AR72" s="10">
        <f>IF($B$10="3BR_H",
INDEX('ns-combined'!$C:$D,MATCH($L72,'ns-combined'!$B:$B,0),MATCH(Council_Area,'ns-combined'!$C$1:$D$1,0))*1000,
INDEX('s-combined'!$C:$D,MATCH($L72,'s-combined'!$B:$B,0),MATCH(Council_Area,'s-combined'!$C$1:$D$1,0))*1000)</f>
        <v>702000</v>
      </c>
      <c r="AS72" s="22">
        <f t="shared" si="104"/>
        <v>49000</v>
      </c>
      <c r="AT72" s="10">
        <v>0</v>
      </c>
      <c r="AU72" s="22">
        <f t="shared" si="78"/>
        <v>14040</v>
      </c>
      <c r="AV72" s="22">
        <f t="shared" si="79"/>
        <v>2018.25</v>
      </c>
      <c r="AW72" s="22">
        <f>SUM($AV$3:AV72)</f>
        <v>88372.900000000009</v>
      </c>
      <c r="AX72" s="22">
        <f t="shared" si="80"/>
        <v>550587.1</v>
      </c>
      <c r="AY72" s="22">
        <f t="shared" si="81"/>
        <v>2275</v>
      </c>
      <c r="AZ72" s="24">
        <f t="shared" si="82"/>
        <v>1.2962962962962963E-2</v>
      </c>
      <c r="BA72" s="24">
        <f t="shared" si="83"/>
        <v>0.35</v>
      </c>
      <c r="BB72" s="25">
        <f>IF(MortgageRate="Discounted",_xlfn.XLOOKUP(L72,'mortgage-rates'!$A:$A,'mortgage-rates'!$E:$E)/100,_xlfn.XLOOKUP(L72,'mortgage-rates'!$A:$A,'mortgage-rates'!$D:$D)/100)</f>
        <v>7.0599999999999996E-2</v>
      </c>
      <c r="BC72" s="10">
        <f t="shared" si="101"/>
        <v>102560.16792574979</v>
      </c>
      <c r="BD72" s="10">
        <f t="shared" si="84"/>
        <v>4324.016124912363</v>
      </c>
      <c r="BE72" s="10">
        <f t="shared" si="102"/>
        <v>1810.1869638894836</v>
      </c>
      <c r="BF72" s="10">
        <f t="shared" si="105"/>
        <v>2513.8291610228794</v>
      </c>
      <c r="BG72" s="12">
        <f t="shared" si="85"/>
        <v>6599.016124912363</v>
      </c>
      <c r="BH72" s="22">
        <f>INDEX(cpi!B:B,MATCH($L72,cpi!A:A))</f>
        <v>133.80000000000001</v>
      </c>
      <c r="BI72" s="22">
        <f t="shared" si="86"/>
        <v>158.15602836879435</v>
      </c>
      <c r="BJ72" s="22">
        <f t="shared" si="87"/>
        <v>312.59977188601005</v>
      </c>
      <c r="BK72" s="22">
        <f t="shared" si="88"/>
        <v>311.62364652090639</v>
      </c>
      <c r="BL72" s="22">
        <f t="shared" si="89"/>
        <v>312.30693427647896</v>
      </c>
      <c r="BM72" s="22">
        <f t="shared" si="90"/>
        <v>586.94772283433463</v>
      </c>
      <c r="BN72" s="22">
        <f t="shared" si="91"/>
        <v>250.71428571428572</v>
      </c>
      <c r="BO72">
        <f t="shared" si="92"/>
        <v>201.75785558548159</v>
      </c>
    </row>
    <row r="73" spans="2:67" x14ac:dyDescent="0.25">
      <c r="L73" s="1">
        <f t="shared" si="103"/>
        <v>45170</v>
      </c>
      <c r="M73" s="10">
        <f t="shared" si="68"/>
        <v>437093.48308326059</v>
      </c>
      <c r="N73" s="10">
        <f t="shared" si="69"/>
        <v>460525.13623527309</v>
      </c>
      <c r="O73" s="7">
        <f t="shared" si="93"/>
        <v>0.94911970854932504</v>
      </c>
      <c r="P73" s="7">
        <f t="shared" si="70"/>
        <v>1.0202719662691537</v>
      </c>
      <c r="Q73">
        <v>71</v>
      </c>
      <c r="R73">
        <f t="shared" si="71"/>
        <v>92</v>
      </c>
      <c r="S73" s="22"/>
      <c r="T73" s="22">
        <f>IF($B$10="3BR_H",
INDEX('3BR_H-processed'!$E:$F,MATCH($L73,'3BR_H-processed'!$B:$B,0),MATCH(Council_Area,'3BR_H-processed'!$E$1:$F$1,0)),
INDEX('2BR_F-processed'!$E:$F,MATCH($L73,'2BR_F-processed'!$B:$B,0),MATCH(Council_Area,'2BR_F-processed'!$E$1:$F$1,0)))</f>
        <v>525</v>
      </c>
      <c r="U73" s="22">
        <f t="shared" si="94"/>
        <v>500</v>
      </c>
      <c r="V73" s="22">
        <f t="shared" si="95"/>
        <v>6571.4285714285716</v>
      </c>
      <c r="W73" s="22">
        <f>$B$53/4*BH73/_xlfn.XLOOKUP(Q_end,cpi!A:A,cpi!B:B)</f>
        <v>186.86938493434693</v>
      </c>
      <c r="X73" s="22">
        <f t="shared" si="72"/>
        <v>6758.2979563629187</v>
      </c>
      <c r="Y73" s="22">
        <f t="shared" si="73"/>
        <v>-134.28183145055391</v>
      </c>
      <c r="Z73" s="22">
        <f t="shared" si="96"/>
        <v>0</v>
      </c>
      <c r="AA73" s="22" cm="1">
        <f t="array" ref="AA73">(Y73+Z73)*eff_invest</f>
        <v>-134.28183145055391</v>
      </c>
      <c r="AB73" s="22">
        <f>AA73*(_xlfn.XLOOKUP(Q_end,cpi!A:A,cpi!B:B)/BH73)</f>
        <v>-143.71731516934284</v>
      </c>
      <c r="AC73" s="22" cm="1">
        <f t="array" ref="AC73">INDEX('msci-indices'!C:C,MATCH($L73,'msci-indices'!$B:$B)-2)</f>
        <v>2511.4075790000002</v>
      </c>
      <c r="AD73" s="22" cm="1">
        <f t="array" ref="AD73">INDEX('msci-indices'!D:D,MATCH($L73,'msci-indices'!$B:$B)-2)</f>
        <v>2245.4056799999998</v>
      </c>
      <c r="AE73" s="22">
        <f t="shared" si="97"/>
        <v>449175.36678488686</v>
      </c>
      <c r="AF73" s="22" cm="1">
        <f t="array" ref="AF73">INDEX('msci-indices'!C:C,MATCH($L73,'msci-indices'!$B:$B)+1)</f>
        <v>2421.9848459999998</v>
      </c>
      <c r="AG73" s="22" cm="1">
        <f t="array" ref="AG73">INDEX('msci-indices'!D:D,MATCH($L73,'msci-indices'!$B:$B)+1)</f>
        <v>2235.3141679999999</v>
      </c>
      <c r="AH73" s="22">
        <f t="shared" si="74"/>
        <v>280.73460424055429</v>
      </c>
      <c r="AI73" s="22">
        <f t="shared" si="75"/>
        <v>437093.48308326059</v>
      </c>
      <c r="AJ73" s="22">
        <f t="shared" si="98"/>
        <v>159436.43612744223</v>
      </c>
      <c r="AK73" s="22">
        <f t="shared" si="76"/>
        <v>277657.04695581837</v>
      </c>
      <c r="AL73" s="22">
        <f>AJ73*(_xlfn.XLOOKUP(Q_end,cpi!A:A,cpi!B:B)/BH73)</f>
        <v>170639.44014527288</v>
      </c>
      <c r="AM73" s="22" cm="1">
        <f t="array" ref="AM73">SUMPRODUCT($AA$3:AA73,_xlfn.SORTBY($BH$3:BH73,_xlfn.SEQUENCE(ROWS($BH$3:BH73)),-1)/$BH$3)</f>
        <v>233036.85453481367</v>
      </c>
      <c r="AN73" s="22">
        <f t="shared" si="99"/>
        <v>204056.62854844693</v>
      </c>
      <c r="AO73" s="22">
        <f t="shared" si="77"/>
        <v>0</v>
      </c>
      <c r="AP73" s="22">
        <f t="shared" si="100"/>
        <v>437093.48308326059</v>
      </c>
      <c r="AQ73" s="22"/>
      <c r="AR73" s="10">
        <f>IF($B$10="3BR_H",
INDEX('ns-combined'!$C:$D,MATCH($L73,'ns-combined'!$B:$B,0),MATCH(Council_Area,'ns-combined'!$C$1:$D$1,0))*1000,
INDEX('s-combined'!$C:$D,MATCH($L73,'s-combined'!$B:$B,0),MATCH(Council_Area,'s-combined'!$C$1:$D$1,0))*1000)</f>
        <v>715000</v>
      </c>
      <c r="AS73" s="22">
        <f t="shared" si="104"/>
        <v>49700</v>
      </c>
      <c r="AT73" s="10">
        <v>0</v>
      </c>
      <c r="AU73" s="22">
        <f t="shared" si="78"/>
        <v>14300</v>
      </c>
      <c r="AV73" s="22">
        <f t="shared" si="79"/>
        <v>2055.625</v>
      </c>
      <c r="AW73" s="22">
        <f>SUM($AV$3:AV73)</f>
        <v>90428.525000000009</v>
      </c>
      <c r="AX73" s="22">
        <f t="shared" si="80"/>
        <v>560571.47499999998</v>
      </c>
      <c r="AY73" s="22">
        <f t="shared" si="81"/>
        <v>2300.0000000000005</v>
      </c>
      <c r="AZ73" s="24">
        <f t="shared" si="82"/>
        <v>1.2867132867132869E-2</v>
      </c>
      <c r="BA73" s="24">
        <f t="shared" si="83"/>
        <v>0.35000000000000009</v>
      </c>
      <c r="BB73" s="25">
        <f>IF(MortgageRate="Discounted",_xlfn.XLOOKUP(L73,'mortgage-rates'!$A:$A,'mortgage-rates'!$E:$E)/100,_xlfn.XLOOKUP(L73,'mortgage-rates'!$A:$A,'mortgage-rates'!$D:$D)/100)</f>
        <v>7.0599999999999996E-2</v>
      </c>
      <c r="BC73" s="10">
        <f t="shared" si="101"/>
        <v>100046.33876472691</v>
      </c>
      <c r="BD73" s="10">
        <f t="shared" si="84"/>
        <v>4324.0161249123639</v>
      </c>
      <c r="BE73" s="10">
        <f t="shared" si="102"/>
        <v>1765.8178791974299</v>
      </c>
      <c r="BF73" s="10">
        <f t="shared" si="105"/>
        <v>2558.1982457149343</v>
      </c>
      <c r="BG73" s="12">
        <f t="shared" si="85"/>
        <v>6624.0161249123648</v>
      </c>
      <c r="BH73" s="22">
        <f>INDEX(cpi!B:B,MATCH($L73,cpi!A:A))</f>
        <v>135.19999999999999</v>
      </c>
      <c r="BI73" s="22">
        <f t="shared" si="86"/>
        <v>159.81087470449171</v>
      </c>
      <c r="BJ73" s="22">
        <f t="shared" si="87"/>
        <v>332.68981469417383</v>
      </c>
      <c r="BK73" s="22">
        <f t="shared" si="88"/>
        <v>314.94298415201342</v>
      </c>
      <c r="BL73" s="22">
        <f t="shared" si="89"/>
        <v>327.36576553152571</v>
      </c>
      <c r="BM73" s="22">
        <f t="shared" si="90"/>
        <v>614.67794027858508</v>
      </c>
      <c r="BN73" s="22">
        <f t="shared" si="91"/>
        <v>255.35714285714286</v>
      </c>
      <c r="BO73">
        <f t="shared" si="92"/>
        <v>205.41654299272614</v>
      </c>
    </row>
    <row r="74" spans="2:67" x14ac:dyDescent="0.25">
      <c r="L74" s="1">
        <f t="shared" si="103"/>
        <v>45261</v>
      </c>
      <c r="M74" s="10">
        <f t="shared" si="68"/>
        <v>483229.86082187988</v>
      </c>
      <c r="N74" s="10">
        <f t="shared" si="69"/>
        <v>494527.08448098798</v>
      </c>
      <c r="O74" s="7">
        <f t="shared" si="93"/>
        <v>0.97715550065176981</v>
      </c>
      <c r="P74" s="7">
        <f t="shared" si="70"/>
        <v>1.0148811689593944</v>
      </c>
      <c r="Q74">
        <v>72</v>
      </c>
      <c r="R74">
        <f t="shared" si="71"/>
        <v>92</v>
      </c>
      <c r="S74" s="22"/>
      <c r="T74" s="22">
        <f>IF($B$10="3BR_H",
INDEX('3BR_H-processed'!$E:$F,MATCH($L74,'3BR_H-processed'!$B:$B,0),MATCH(Council_Area,'3BR_H-processed'!$E$1:$F$1,0)),
INDEX('2BR_F-processed'!$E:$F,MATCH($L74,'2BR_F-processed'!$B:$B,0),MATCH(Council_Area,'2BR_F-processed'!$E$1:$F$1,0)))</f>
        <v>540</v>
      </c>
      <c r="U74" s="22">
        <f t="shared" si="94"/>
        <v>500</v>
      </c>
      <c r="V74" s="22">
        <f t="shared" si="95"/>
        <v>6571.4285714285716</v>
      </c>
      <c r="W74" s="22">
        <f>$B$53/4*BH74/_xlfn.XLOOKUP(Q_end,cpi!A:A,cpi!B:B)</f>
        <v>188.38977194194891</v>
      </c>
      <c r="X74" s="22">
        <f t="shared" si="72"/>
        <v>6759.8183433705208</v>
      </c>
      <c r="Y74" s="22">
        <f t="shared" si="73"/>
        <v>-99.118992429087484</v>
      </c>
      <c r="Z74" s="22">
        <f t="shared" si="96"/>
        <v>0</v>
      </c>
      <c r="AA74" s="22" cm="1">
        <f t="array" ref="AA74">(Y74+Z74)*eff_invest</f>
        <v>-99.118992429087484</v>
      </c>
      <c r="AB74" s="22">
        <f>AA74*(_xlfn.XLOOKUP(Q_end,cpi!A:A,cpi!B:B)/BH74)</f>
        <v>-105.22757303366807</v>
      </c>
      <c r="AC74" s="22" cm="1">
        <f t="array" ref="AC74">INDEX('msci-indices'!C:C,MATCH($L74,'msci-indices'!$B:$B)-2)</f>
        <v>2421.9848459999998</v>
      </c>
      <c r="AD74" s="22" cm="1">
        <f t="array" ref="AD74">INDEX('msci-indices'!D:D,MATCH($L74,'msci-indices'!$B:$B)-2)</f>
        <v>2235.3141679999999</v>
      </c>
      <c r="AE74" s="22">
        <f t="shared" si="97"/>
        <v>436994.36409083148</v>
      </c>
      <c r="AF74" s="22" cm="1">
        <f t="array" ref="AF74">INDEX('msci-indices'!C:C,MATCH($L74,'msci-indices'!$B:$B)+1)</f>
        <v>2701.360248</v>
      </c>
      <c r="AG74" s="22" cm="1">
        <f t="array" ref="AG74">INDEX('msci-indices'!D:D,MATCH($L74,'msci-indices'!$B:$B)+1)</f>
        <v>2426.6837019999998</v>
      </c>
      <c r="AH74" s="22">
        <f t="shared" si="74"/>
        <v>273.12147755676966</v>
      </c>
      <c r="AI74" s="22">
        <f t="shared" si="75"/>
        <v>483229.86082187988</v>
      </c>
      <c r="AJ74" s="22">
        <f t="shared" si="98"/>
        <v>159337.31713501315</v>
      </c>
      <c r="AK74" s="22">
        <f t="shared" si="76"/>
        <v>323892.54368686676</v>
      </c>
      <c r="AL74" s="22">
        <f>AJ74*(_xlfn.XLOOKUP(Q_end,cpi!A:A,cpi!B:B)/BH74)</f>
        <v>169157.07842579897</v>
      </c>
      <c r="AM74" s="22" cm="1">
        <f t="array" ref="AM74">SUMPRODUCT($AA$3:AA74,_xlfn.SORTBY($BH$3:BH74,_xlfn.SEQUENCE(ROWS($BH$3:BH74)),-1)/$BH$3)</f>
        <v>234810.54784422441</v>
      </c>
      <c r="AN74" s="22">
        <f t="shared" si="99"/>
        <v>248419.31297765547</v>
      </c>
      <c r="AO74" s="22">
        <f t="shared" si="77"/>
        <v>0</v>
      </c>
      <c r="AP74" s="22">
        <f t="shared" si="100"/>
        <v>483229.86082187988</v>
      </c>
      <c r="AQ74" s="22"/>
      <c r="AR74" s="10">
        <f>IF($B$10="3BR_H",
INDEX('ns-combined'!$C:$D,MATCH($L74,'ns-combined'!$B:$B,0),MATCH(Council_Area,'ns-combined'!$C$1:$D$1,0))*1000,
INDEX('s-combined'!$C:$D,MATCH($L74,'s-combined'!$B:$B,0),MATCH(Council_Area,'s-combined'!$C$1:$D$1,0))*1000)</f>
        <v>750000</v>
      </c>
      <c r="AS74" s="22">
        <f t="shared" si="104"/>
        <v>50400</v>
      </c>
      <c r="AT74" s="10">
        <v>0</v>
      </c>
      <c r="AU74" s="22">
        <f t="shared" si="78"/>
        <v>15000</v>
      </c>
      <c r="AV74" s="22">
        <f t="shared" si="79"/>
        <v>2156.25</v>
      </c>
      <c r="AW74" s="22">
        <f>SUM($AV$3:AV74)</f>
        <v>92584.775000000009</v>
      </c>
      <c r="AX74" s="22">
        <f t="shared" si="80"/>
        <v>592015.22499999998</v>
      </c>
      <c r="AY74" s="22">
        <f t="shared" si="81"/>
        <v>2300.0000000000005</v>
      </c>
      <c r="AZ74" s="24">
        <f t="shared" si="82"/>
        <v>1.2266666666666669E-2</v>
      </c>
      <c r="BA74" s="24">
        <f t="shared" si="83"/>
        <v>0.35000000000000009</v>
      </c>
      <c r="BB74" s="25">
        <f>IF(MortgageRate="Discounted",_xlfn.XLOOKUP(L74,'mortgage-rates'!$A:$A,'mortgage-rates'!$E:$E)/100,_xlfn.XLOOKUP(L74,'mortgage-rates'!$A:$A,'mortgage-rates'!$D:$D)/100)</f>
        <v>7.3099999999999998E-2</v>
      </c>
      <c r="BC74" s="10">
        <f t="shared" si="101"/>
        <v>97488.140519011984</v>
      </c>
      <c r="BD74" s="10">
        <f t="shared" si="84"/>
        <v>4360.6993509414324</v>
      </c>
      <c r="BE74" s="10">
        <f t="shared" si="102"/>
        <v>1781.5957679849439</v>
      </c>
      <c r="BF74" s="10">
        <f t="shared" si="105"/>
        <v>2579.1035829564885</v>
      </c>
      <c r="BG74" s="12">
        <f t="shared" si="85"/>
        <v>6660.6993509414333</v>
      </c>
      <c r="BH74" s="22">
        <f>INDEX(cpi!B:B,MATCH($L74,cpi!A:A))</f>
        <v>136.30000000000001</v>
      </c>
      <c r="BI74" s="22">
        <f t="shared" si="86"/>
        <v>161.11111111111114</v>
      </c>
      <c r="BJ74" s="22">
        <f t="shared" si="87"/>
        <v>320.84385519322234</v>
      </c>
      <c r="BK74" s="22">
        <f t="shared" si="88"/>
        <v>313.52753796685647</v>
      </c>
      <c r="BL74" s="22">
        <f t="shared" si="89"/>
        <v>318.64896002531259</v>
      </c>
      <c r="BM74" s="22">
        <f t="shared" si="90"/>
        <v>598.00874111901589</v>
      </c>
      <c r="BN74" s="22">
        <f t="shared" si="91"/>
        <v>267.85714285714283</v>
      </c>
      <c r="BO74">
        <f t="shared" si="92"/>
        <v>216.93883178511882</v>
      </c>
    </row>
    <row r="75" spans="2:67" x14ac:dyDescent="0.25">
      <c r="L75" s="1">
        <f t="shared" si="103"/>
        <v>45352</v>
      </c>
      <c r="M75" s="10">
        <f t="shared" si="68"/>
        <v>518974.67540596362</v>
      </c>
      <c r="N75" s="10">
        <f t="shared" si="69"/>
        <v>508906.81306394446</v>
      </c>
      <c r="O75" s="7">
        <f t="shared" si="93"/>
        <v>1.0197833121576898</v>
      </c>
      <c r="P75" s="7">
        <f t="shared" si="70"/>
        <v>1.0694791161710024</v>
      </c>
      <c r="Q75">
        <v>73</v>
      </c>
      <c r="R75">
        <f t="shared" si="71"/>
        <v>91</v>
      </c>
      <c r="S75" s="22"/>
      <c r="T75" s="22">
        <f>IF($B$10="3BR_H",
INDEX('3BR_H-processed'!$E:$F,MATCH($L75,'3BR_H-processed'!$B:$B,0),MATCH(Council_Area,'3BR_H-processed'!$E$1:$F$1,0)),
INDEX('2BR_F-processed'!$E:$F,MATCH($L75,'2BR_F-processed'!$B:$B,0),MATCH(Council_Area,'2BR_F-processed'!$E$1:$F$1,0)))</f>
        <v>550</v>
      </c>
      <c r="U75" s="22">
        <f t="shared" si="94"/>
        <v>550</v>
      </c>
      <c r="V75" s="22">
        <f t="shared" si="95"/>
        <v>7150</v>
      </c>
      <c r="W75" s="22">
        <f>$B$53/4*BH75/_xlfn.XLOOKUP(Q_end,cpi!A:A,cpi!B:B)</f>
        <v>190.0483759502419</v>
      </c>
      <c r="X75" s="22">
        <f t="shared" si="72"/>
        <v>7340.0483759502422</v>
      </c>
      <c r="Y75" s="22">
        <f t="shared" si="73"/>
        <v>-476.84902500880889</v>
      </c>
      <c r="Z75" s="22">
        <f t="shared" si="96"/>
        <v>0</v>
      </c>
      <c r="AA75" s="22" cm="1">
        <f t="array" ref="AA75">(Y75+Z75)*eff_invest</f>
        <v>-476.84902500880889</v>
      </c>
      <c r="AB75" s="22">
        <f>AA75*(_xlfn.XLOOKUP(Q_end,cpi!A:A,cpi!B:B)/BH75)</f>
        <v>-501.81857395472474</v>
      </c>
      <c r="AC75" s="22" cm="1">
        <f t="array" ref="AC75">INDEX('msci-indices'!C:C,MATCH($L75,'msci-indices'!$B:$B)-2)</f>
        <v>2701.360248</v>
      </c>
      <c r="AD75" s="22" cm="1">
        <f t="array" ref="AD75">INDEX('msci-indices'!D:D,MATCH($L75,'msci-indices'!$B:$B)-2)</f>
        <v>2426.6837019999998</v>
      </c>
      <c r="AE75" s="22">
        <f t="shared" si="97"/>
        <v>482753.01179687108</v>
      </c>
      <c r="AF75" s="22" cm="1">
        <f t="array" ref="AF75">INDEX('msci-indices'!C:C,MATCH($L75,'msci-indices'!$B:$B)+1)</f>
        <v>2928.0916900000002</v>
      </c>
      <c r="AG75" s="22" cm="1">
        <f t="array" ref="AG75">INDEX('msci-indices'!D:D,MATCH($L75,'msci-indices'!$B:$B)+1)</f>
        <v>2563.417899</v>
      </c>
      <c r="AH75" s="22">
        <f t="shared" si="74"/>
        <v>301.72063237304445</v>
      </c>
      <c r="AI75" s="22">
        <f t="shared" si="75"/>
        <v>518974.67540596362</v>
      </c>
      <c r="AJ75" s="22">
        <f t="shared" si="98"/>
        <v>158860.46811000432</v>
      </c>
      <c r="AK75" s="22">
        <f t="shared" si="76"/>
        <v>360114.20729595929</v>
      </c>
      <c r="AL75" s="22">
        <f>AJ75*(_xlfn.XLOOKUP(Q_end,cpi!A:A,cpi!B:B)/BH75)</f>
        <v>167178.97989467366</v>
      </c>
      <c r="AM75" s="22" cm="1">
        <f t="array" ref="AM75">SUMPRODUCT($AA$3:AA75,_xlfn.SORTBY($BH$3:BH75,_xlfn.SEQUENCE(ROWS($BH$3:BH75)),-1)/$BH$3)</f>
        <v>236303.38196971116</v>
      </c>
      <c r="AN75" s="22">
        <f t="shared" si="99"/>
        <v>282671.29343625245</v>
      </c>
      <c r="AO75" s="22">
        <f t="shared" si="77"/>
        <v>0</v>
      </c>
      <c r="AP75" s="22">
        <f t="shared" si="100"/>
        <v>518974.67540596362</v>
      </c>
      <c r="AQ75" s="22"/>
      <c r="AR75" s="10">
        <f>IF($B$10="3BR_H",
INDEX('ns-combined'!$C:$D,MATCH($L75,'ns-combined'!$B:$B,0),MATCH(Council_Area,'ns-combined'!$C$1:$D$1,0))*1000,
INDEX('s-combined'!$C:$D,MATCH($L75,'s-combined'!$B:$B,0),MATCH(Council_Area,'s-combined'!$C$1:$D$1,0))*1000)</f>
        <v>765000</v>
      </c>
      <c r="AS75" s="22">
        <f t="shared" si="104"/>
        <v>51100</v>
      </c>
      <c r="AT75" s="10">
        <v>0</v>
      </c>
      <c r="AU75" s="22">
        <f t="shared" si="78"/>
        <v>15300</v>
      </c>
      <c r="AV75" s="22">
        <f t="shared" si="79"/>
        <v>2199.375</v>
      </c>
      <c r="AW75" s="22">
        <f>SUM($AV$3:AV75)</f>
        <v>94784.150000000009</v>
      </c>
      <c r="AX75" s="22">
        <f t="shared" si="80"/>
        <v>603815.85</v>
      </c>
      <c r="AY75" s="22">
        <f t="shared" si="81"/>
        <v>2502.5000000000005</v>
      </c>
      <c r="AZ75" s="24">
        <f t="shared" si="82"/>
        <v>1.308496732026144E-2</v>
      </c>
      <c r="BA75" s="24">
        <f t="shared" si="83"/>
        <v>0.35000000000000009</v>
      </c>
      <c r="BB75" s="25">
        <f>IF(MortgageRate="Discounted",_xlfn.XLOOKUP(L75,'mortgage-rates'!$A:$A,'mortgage-rates'!$E:$E)/100,_xlfn.XLOOKUP(L75,'mortgage-rates'!$A:$A,'mortgage-rates'!$D:$D)/100)</f>
        <v>7.3099999999999998E-2</v>
      </c>
      <c r="BC75" s="10">
        <f t="shared" si="101"/>
        <v>94909.036936055491</v>
      </c>
      <c r="BD75" s="10">
        <f t="shared" si="84"/>
        <v>4360.6993509414324</v>
      </c>
      <c r="BE75" s="10">
        <f t="shared" si="102"/>
        <v>1734.4626500064142</v>
      </c>
      <c r="BF75" s="10">
        <f t="shared" si="105"/>
        <v>2626.2367009350182</v>
      </c>
      <c r="BG75" s="12">
        <f t="shared" si="85"/>
        <v>6863.1993509414333</v>
      </c>
      <c r="BH75" s="22">
        <f>INDEX(cpi!B:B,MATCH($L75,cpi!A:A))</f>
        <v>137.5</v>
      </c>
      <c r="BI75" s="22">
        <f t="shared" si="86"/>
        <v>162.52955082742318</v>
      </c>
      <c r="BJ75" s="22">
        <f t="shared" si="87"/>
        <v>357.853121032302</v>
      </c>
      <c r="BK75" s="22">
        <f t="shared" si="88"/>
        <v>340.36923194250375</v>
      </c>
      <c r="BL75" s="22">
        <f t="shared" si="89"/>
        <v>352.60795430536251</v>
      </c>
      <c r="BM75" s="22">
        <f t="shared" si="90"/>
        <v>660.62756085351816</v>
      </c>
      <c r="BN75" s="22">
        <f t="shared" si="91"/>
        <v>273.21428571428572</v>
      </c>
      <c r="BO75">
        <f t="shared" si="92"/>
        <v>221.26306821304897</v>
      </c>
    </row>
    <row r="76" spans="2:67" x14ac:dyDescent="0.25">
      <c r="B76" s="7"/>
      <c r="L76" s="1">
        <f t="shared" si="103"/>
        <v>45444</v>
      </c>
      <c r="M76" s="10">
        <f t="shared" si="68"/>
        <v>523857.69055883563</v>
      </c>
      <c r="N76" s="10">
        <f t="shared" si="69"/>
        <v>528176.17476487951</v>
      </c>
      <c r="O76" s="7">
        <f t="shared" si="93"/>
        <v>0.99182378075276445</v>
      </c>
      <c r="P76" s="7">
        <f t="shared" si="70"/>
        <v>1.0738616932543923</v>
      </c>
      <c r="Q76">
        <v>74</v>
      </c>
      <c r="R76">
        <f t="shared" si="71"/>
        <v>91</v>
      </c>
      <c r="S76" s="22"/>
      <c r="T76" s="22">
        <f>IF($B$10="3BR_H",
INDEX('3BR_H-processed'!$E:$F,MATCH($L76,'3BR_H-processed'!$B:$B,0),MATCH(Council_Area,'3BR_H-processed'!$E$1:$F$1,0)),
INDEX('2BR_F-processed'!$E:$F,MATCH($L76,'2BR_F-processed'!$B:$B,0),MATCH(Council_Area,'2BR_F-processed'!$E$1:$F$1,0)))</f>
        <v>560</v>
      </c>
      <c r="U76" s="22">
        <f t="shared" si="94"/>
        <v>550</v>
      </c>
      <c r="V76" s="22">
        <f t="shared" si="95"/>
        <v>7150</v>
      </c>
      <c r="W76" s="22">
        <f>$B$53/4*BH76/_xlfn.XLOOKUP(Q_end,cpi!A:A,cpi!B:B)</f>
        <v>191.98341395991707</v>
      </c>
      <c r="X76" s="22">
        <f t="shared" si="72"/>
        <v>7341.983413959917</v>
      </c>
      <c r="Y76" s="22">
        <f t="shared" si="73"/>
        <v>-504.991778929465</v>
      </c>
      <c r="Z76" s="22">
        <f t="shared" si="96"/>
        <v>0</v>
      </c>
      <c r="AA76" s="22" cm="1">
        <f t="array" ref="AA76">(Y76+Z76)*eff_invest</f>
        <v>-504.991778929465</v>
      </c>
      <c r="AB76" s="22">
        <f>AA76*(_xlfn.XLOOKUP(Q_end,cpi!A:A,cpi!B:B)/BH76)</f>
        <v>-526.07854867597962</v>
      </c>
      <c r="AC76" s="22" cm="1">
        <f t="array" ref="AC76">INDEX('msci-indices'!C:C,MATCH($L76,'msci-indices'!$B:$B)-2)</f>
        <v>2928.0916900000002</v>
      </c>
      <c r="AD76" s="22" cm="1">
        <f t="array" ref="AD76">INDEX('msci-indices'!D:D,MATCH($L76,'msci-indices'!$B:$B)-2)</f>
        <v>2563.417899</v>
      </c>
      <c r="AE76" s="22">
        <f t="shared" si="97"/>
        <v>518469.68362703413</v>
      </c>
      <c r="AF76" s="22" cm="1">
        <f t="array" ref="AF76">INDEX('msci-indices'!C:C,MATCH($L76,'msci-indices'!$B:$B)+1)</f>
        <v>2988.3970690000001</v>
      </c>
      <c r="AG76" s="22" cm="1">
        <f t="array" ref="AG76">INDEX('msci-indices'!D:D,MATCH($L76,'msci-indices'!$B:$B)+1)</f>
        <v>2534.3685369999998</v>
      </c>
      <c r="AH76" s="22">
        <f t="shared" si="74"/>
        <v>324.04355226689631</v>
      </c>
      <c r="AI76" s="22">
        <f t="shared" si="75"/>
        <v>523857.69055883563</v>
      </c>
      <c r="AJ76" s="22">
        <f t="shared" si="98"/>
        <v>158355.47633107487</v>
      </c>
      <c r="AK76" s="22">
        <f t="shared" si="76"/>
        <v>365502.21422776079</v>
      </c>
      <c r="AL76" s="22">
        <f>AJ76*(_xlfn.XLOOKUP(Q_end,cpi!A:A,cpi!B:B)/BH76)</f>
        <v>164967.87203100455</v>
      </c>
      <c r="AM76" s="22" cm="1">
        <f t="array" ref="AM76">SUMPRODUCT($AA$3:AA76,_xlfn.SORTBY($BH$3:BH76,_xlfn.SEQUENCE(ROWS($BH$3:BH76)),-1)/$BH$3)</f>
        <v>237958.47019372165</v>
      </c>
      <c r="AN76" s="22">
        <f t="shared" si="99"/>
        <v>285899.22036511399</v>
      </c>
      <c r="AO76" s="22">
        <f t="shared" si="77"/>
        <v>0</v>
      </c>
      <c r="AP76" s="22">
        <f t="shared" si="100"/>
        <v>523857.69055883563</v>
      </c>
      <c r="AQ76" s="22"/>
      <c r="AR76" s="10">
        <f>IF($B$10="3BR_H",
INDEX('ns-combined'!$C:$D,MATCH($L76,'ns-combined'!$B:$B,0),MATCH(Council_Area,'ns-combined'!$C$1:$D$1,0))*1000,
INDEX('s-combined'!$C:$D,MATCH($L76,'s-combined'!$B:$B,0),MATCH(Council_Area,'s-combined'!$C$1:$D$1,0))*1000)</f>
        <v>785000</v>
      </c>
      <c r="AS76" s="22">
        <f t="shared" si="104"/>
        <v>51800</v>
      </c>
      <c r="AT76" s="10">
        <v>0</v>
      </c>
      <c r="AU76" s="22">
        <f t="shared" si="78"/>
        <v>15700</v>
      </c>
      <c r="AV76" s="22">
        <f t="shared" si="79"/>
        <v>2256.875</v>
      </c>
      <c r="AW76" s="22">
        <f>SUM($AV$3:AV76)</f>
        <v>97041.025000000009</v>
      </c>
      <c r="AX76" s="22">
        <f t="shared" si="80"/>
        <v>620458.97499999998</v>
      </c>
      <c r="AY76" s="22">
        <f t="shared" si="81"/>
        <v>2502.5000000000005</v>
      </c>
      <c r="AZ76" s="24">
        <f t="shared" si="82"/>
        <v>1.2751592356687901E-2</v>
      </c>
      <c r="BA76" s="24">
        <f t="shared" si="83"/>
        <v>0.35000000000000009</v>
      </c>
      <c r="BB76" s="25">
        <f>IF(MortgageRate="Discounted",_xlfn.XLOOKUP(L76,'mortgage-rates'!$A:$A,'mortgage-rates'!$E:$E)/100,_xlfn.XLOOKUP(L76,'mortgage-rates'!$A:$A,'mortgage-rates'!$D:$D)/100)</f>
        <v>7.1199999999999999E-2</v>
      </c>
      <c r="BC76" s="10">
        <f t="shared" si="101"/>
        <v>92282.800235120478</v>
      </c>
      <c r="BD76" s="10">
        <f t="shared" si="84"/>
        <v>4334.4916350304511</v>
      </c>
      <c r="BE76" s="10">
        <f t="shared" si="102"/>
        <v>1642.6338441851444</v>
      </c>
      <c r="BF76" s="10">
        <f t="shared" si="105"/>
        <v>2691.8577908453067</v>
      </c>
      <c r="BG76" s="12">
        <f t="shared" si="85"/>
        <v>6836.991635030452</v>
      </c>
      <c r="BH76" s="22">
        <f>INDEX(cpi!B:B,MATCH($L76,cpi!A:A))</f>
        <v>138.9</v>
      </c>
      <c r="BI76" s="22">
        <f t="shared" si="86"/>
        <v>164.18439716312056</v>
      </c>
      <c r="BJ76" s="22">
        <f t="shared" si="87"/>
        <v>387.88856492244037</v>
      </c>
      <c r="BK76" s="22">
        <f t="shared" si="88"/>
        <v>359.54771555567845</v>
      </c>
      <c r="BL76" s="22">
        <f t="shared" si="89"/>
        <v>379.38631011241176</v>
      </c>
      <c r="BM76" s="22">
        <f t="shared" si="90"/>
        <v>709.50435129577954</v>
      </c>
      <c r="BN76" s="22">
        <f t="shared" si="91"/>
        <v>280.35714285714283</v>
      </c>
      <c r="BO76">
        <f t="shared" si="92"/>
        <v>227.36179666171972</v>
      </c>
    </row>
    <row r="77" spans="2:67" x14ac:dyDescent="0.25">
      <c r="B77" s="7"/>
      <c r="L77" s="1">
        <f t="shared" si="103"/>
        <v>45536</v>
      </c>
      <c r="M77" s="10">
        <f t="shared" si="68"/>
        <v>559386.74377080775</v>
      </c>
      <c r="N77" s="10">
        <f t="shared" si="69"/>
        <v>560449.42005572491</v>
      </c>
      <c r="O77" s="7">
        <f t="shared" si="93"/>
        <v>0.99810388547674556</v>
      </c>
      <c r="P77" s="7">
        <f t="shared" si="70"/>
        <v>1.0820954229894548</v>
      </c>
      <c r="Q77">
        <v>75</v>
      </c>
      <c r="R77">
        <f t="shared" si="71"/>
        <v>92</v>
      </c>
      <c r="S77" s="22"/>
      <c r="T77" s="22">
        <f>IF($B$10="3BR_H",
INDEX('3BR_H-processed'!$E:$F,MATCH($L77,'3BR_H-processed'!$B:$B,0),MATCH(Council_Area,'3BR_H-processed'!$E$1:$F$1,0)),
INDEX('2BR_F-processed'!$E:$F,MATCH($L77,'2BR_F-processed'!$B:$B,0),MATCH(Council_Area,'2BR_F-processed'!$E$1:$F$1,0)))</f>
        <v>575</v>
      </c>
      <c r="U77" s="22">
        <f t="shared" si="94"/>
        <v>550</v>
      </c>
      <c r="V77" s="22">
        <f t="shared" si="95"/>
        <v>7228.5714285714284</v>
      </c>
      <c r="W77" s="22">
        <f>$B$53/4*BH77/_xlfn.XLOOKUP(Q_end,cpi!A:A,cpi!B:B)</f>
        <v>192.25984796129924</v>
      </c>
      <c r="X77" s="22">
        <f t="shared" si="72"/>
        <v>7420.8312765327273</v>
      </c>
      <c r="Y77" s="22">
        <f t="shared" si="73"/>
        <v>-562.99682046272483</v>
      </c>
      <c r="Z77" s="22">
        <f t="shared" si="96"/>
        <v>0</v>
      </c>
      <c r="AA77" s="22" cm="1">
        <f t="array" ref="AA77">(Y77+Z77)*eff_invest</f>
        <v>-562.99682046272483</v>
      </c>
      <c r="AB77" s="22">
        <f>AA77*(_xlfn.XLOOKUP(Q_end,cpi!A:A,cpi!B:B)/BH77)</f>
        <v>-585.66240058200049</v>
      </c>
      <c r="AC77" s="22" cm="1">
        <f t="array" ref="AC77">INDEX('msci-indices'!C:C,MATCH($L77,'msci-indices'!$B:$B)-2)</f>
        <v>2988.3970690000001</v>
      </c>
      <c r="AD77" s="22" cm="1">
        <f t="array" ref="AD77">INDEX('msci-indices'!D:D,MATCH($L77,'msci-indices'!$B:$B)-2)</f>
        <v>2534.3685369999998</v>
      </c>
      <c r="AE77" s="22">
        <f t="shared" si="97"/>
        <v>523294.69373837288</v>
      </c>
      <c r="AF77" s="22" cm="1">
        <f t="array" ref="AF77">INDEX('msci-indices'!C:C,MATCH($L77,'msci-indices'!$B:$B)+1)</f>
        <v>3187.708345</v>
      </c>
      <c r="AG77" s="22" cm="1">
        <f t="array" ref="AG77">INDEX('msci-indices'!D:D,MATCH($L77,'msci-indices'!$B:$B)+1)</f>
        <v>2727.9035779999999</v>
      </c>
      <c r="AH77" s="22">
        <f t="shared" si="74"/>
        <v>327.05918358648307</v>
      </c>
      <c r="AI77" s="22">
        <f t="shared" si="75"/>
        <v>559386.74377080775</v>
      </c>
      <c r="AJ77" s="22">
        <f t="shared" si="98"/>
        <v>157792.47951061215</v>
      </c>
      <c r="AK77" s="22">
        <f t="shared" si="76"/>
        <v>401594.2642601956</v>
      </c>
      <c r="AL77" s="22">
        <f>AJ77*(_xlfn.XLOOKUP(Q_end,cpi!A:A,cpi!B:B)/BH77)</f>
        <v>164145.01642836502</v>
      </c>
      <c r="AM77" s="22" cm="1">
        <f t="array" ref="AM77">SUMPRODUCT($AA$3:AA77,_xlfn.SORTBY($BH$3:BH77,_xlfn.SEQUENCE(ROWS($BH$3:BH77)),-1)/$BH$3)</f>
        <v>238529.37370671905</v>
      </c>
      <c r="AN77" s="22">
        <f t="shared" si="99"/>
        <v>320857.37006408873</v>
      </c>
      <c r="AO77" s="22">
        <f t="shared" si="77"/>
        <v>0</v>
      </c>
      <c r="AP77" s="22">
        <f t="shared" si="100"/>
        <v>559386.74377080775</v>
      </c>
      <c r="AQ77" s="22"/>
      <c r="AR77" s="10">
        <f>IF($B$10="3BR_H",
INDEX('ns-combined'!$C:$D,MATCH($L77,'ns-combined'!$B:$B,0),MATCH(Council_Area,'ns-combined'!$C$1:$D$1,0))*1000,
INDEX('s-combined'!$C:$D,MATCH($L77,'s-combined'!$B:$B,0),MATCH(Council_Area,'s-combined'!$C$1:$D$1,0))*1000)</f>
        <v>818300</v>
      </c>
      <c r="AS77" s="22">
        <f t="shared" si="104"/>
        <v>52500</v>
      </c>
      <c r="AT77" s="10">
        <v>0</v>
      </c>
      <c r="AU77" s="22">
        <f t="shared" si="78"/>
        <v>16366</v>
      </c>
      <c r="AV77" s="22">
        <f t="shared" si="79"/>
        <v>2352.6125000000002</v>
      </c>
      <c r="AW77" s="22">
        <f>SUM($AV$3:AV77)</f>
        <v>99393.637500000012</v>
      </c>
      <c r="AX77" s="22">
        <f t="shared" si="80"/>
        <v>650040.36250000005</v>
      </c>
      <c r="AY77" s="22">
        <f t="shared" si="81"/>
        <v>2530</v>
      </c>
      <c r="AZ77" s="24">
        <f t="shared" si="82"/>
        <v>1.2367102529634608E-2</v>
      </c>
      <c r="BA77" s="24">
        <f t="shared" si="83"/>
        <v>0.35000000000000003</v>
      </c>
      <c r="BB77" s="25">
        <f>IF(MortgageRate="Discounted",_xlfn.XLOOKUP(L77,'mortgage-rates'!$A:$A,'mortgage-rates'!$E:$E)/100,_xlfn.XLOOKUP(L77,'mortgage-rates'!$A:$A,'mortgage-rates'!$D:$D)/100)</f>
        <v>7.0699999999999999E-2</v>
      </c>
      <c r="BC77" s="10">
        <f t="shared" si="101"/>
        <v>89590.942444275177</v>
      </c>
      <c r="BD77" s="10">
        <f t="shared" si="84"/>
        <v>4327.8344560700025</v>
      </c>
      <c r="BE77" s="10">
        <f t="shared" si="102"/>
        <v>1583.5199077025638</v>
      </c>
      <c r="BF77" s="10">
        <f t="shared" si="105"/>
        <v>2744.3145483674389</v>
      </c>
      <c r="BG77" s="12">
        <f t="shared" si="85"/>
        <v>6857.8344560700025</v>
      </c>
      <c r="BH77" s="22">
        <f>INDEX(cpi!B:B,MATCH($L77,cpi!A:A))</f>
        <v>139.1</v>
      </c>
      <c r="BI77" s="22">
        <f t="shared" si="86"/>
        <v>164.42080378250591</v>
      </c>
      <c r="BJ77" s="22">
        <f t="shared" si="87"/>
        <v>395.87730618942362</v>
      </c>
      <c r="BK77" s="22">
        <f t="shared" si="88"/>
        <v>355.47322120595709</v>
      </c>
      <c r="BL77" s="22">
        <f t="shared" si="89"/>
        <v>383.75608069438363</v>
      </c>
      <c r="BM77" s="22">
        <f t="shared" si="90"/>
        <v>716.10717837930792</v>
      </c>
      <c r="BN77" s="22">
        <f t="shared" si="91"/>
        <v>292.25</v>
      </c>
      <c r="BO77">
        <f t="shared" si="92"/>
        <v>238.20163890873783</v>
      </c>
    </row>
    <row r="78" spans="2:67" x14ac:dyDescent="0.25">
      <c r="B78" s="7"/>
      <c r="L78" s="1">
        <f t="shared" si="103"/>
        <v>45627</v>
      </c>
      <c r="M78" s="10">
        <f t="shared" si="68"/>
        <v>555008.54133811861</v>
      </c>
      <c r="N78" s="10">
        <f t="shared" si="69"/>
        <v>591115.98460409231</v>
      </c>
      <c r="O78" s="7">
        <f t="shared" si="93"/>
        <v>0.93891648304831898</v>
      </c>
      <c r="P78" s="7">
        <f t="shared" si="70"/>
        <v>1.0821760414421613</v>
      </c>
      <c r="Q78">
        <v>76</v>
      </c>
      <c r="R78">
        <f t="shared" si="71"/>
        <v>92</v>
      </c>
      <c r="S78" s="22"/>
      <c r="T78" s="22">
        <f>IF($B$10="3BR_H",
INDEX('3BR_H-processed'!$E:$F,MATCH($L78,'3BR_H-processed'!$B:$B,0),MATCH(Council_Area,'3BR_H-processed'!$E$1:$F$1,0)),
INDEX('2BR_F-processed'!$E:$F,MATCH($L78,'2BR_F-processed'!$B:$B,0),MATCH(Council_Area,'2BR_F-processed'!$E$1:$F$1,0)))</f>
        <v>580</v>
      </c>
      <c r="U78" s="22">
        <f t="shared" si="94"/>
        <v>550</v>
      </c>
      <c r="V78" s="22">
        <f t="shared" si="95"/>
        <v>7228.5714285714284</v>
      </c>
      <c r="W78" s="22">
        <f>$B$53/4*BH78/_xlfn.XLOOKUP(Q_end,cpi!A:A,cpi!B:B)</f>
        <v>192.81271596406359</v>
      </c>
      <c r="X78" s="22">
        <f t="shared" si="72"/>
        <v>7421.3841445354919</v>
      </c>
      <c r="Y78" s="22">
        <f t="shared" si="73"/>
        <v>-563.54968846548945</v>
      </c>
      <c r="Z78" s="22">
        <f t="shared" si="96"/>
        <v>0</v>
      </c>
      <c r="AA78" s="22" cm="1">
        <f t="array" ref="AA78">(Y78+Z78)*eff_invest</f>
        <v>-563.54968846548945</v>
      </c>
      <c r="AB78" s="22">
        <f>AA78*(_xlfn.XLOOKUP(Q_end,cpi!A:A,cpi!B:B)/BH78)</f>
        <v>-584.55655857316356</v>
      </c>
      <c r="AC78" s="22" cm="1">
        <f t="array" ref="AC78">INDEX('msci-indices'!C:C,MATCH($L78,'msci-indices'!$B:$B)-2)</f>
        <v>3187.708345</v>
      </c>
      <c r="AD78" s="22" cm="1">
        <f t="array" ref="AD78">INDEX('msci-indices'!D:D,MATCH($L78,'msci-indices'!$B:$B)-2)</f>
        <v>2727.9035779999999</v>
      </c>
      <c r="AE78" s="22">
        <f t="shared" si="97"/>
        <v>558823.1940823422</v>
      </c>
      <c r="AF78" s="22" cm="1">
        <f t="array" ref="AF78">INDEX('msci-indices'!C:C,MATCH($L78,'msci-indices'!$B:$B)+1)</f>
        <v>3174.5512990000002</v>
      </c>
      <c r="AG78" s="22" cm="1">
        <f t="array" ref="AG78">INDEX('msci-indices'!D:D,MATCH($L78,'msci-indices'!$B:$B)+1)</f>
        <v>2697.7873119999999</v>
      </c>
      <c r="AH78" s="22">
        <f t="shared" si="74"/>
        <v>349.26449630146391</v>
      </c>
      <c r="AI78" s="22">
        <f t="shared" si="75"/>
        <v>555008.54133811861</v>
      </c>
      <c r="AJ78" s="22">
        <f t="shared" si="98"/>
        <v>157228.92982214666</v>
      </c>
      <c r="AK78" s="22">
        <f t="shared" si="76"/>
        <v>397779.61151597195</v>
      </c>
      <c r="AL78" s="22">
        <f>AJ78*(_xlfn.XLOOKUP(Q_end,cpi!A:A,cpi!B:B)/BH78)</f>
        <v>163089.7931560188</v>
      </c>
      <c r="AM78" s="22" cm="1">
        <f t="array" ref="AM78">SUMPRODUCT($AA$3:AA78,_xlfn.SORTBY($BH$3:BH78,_xlfn.SEQUENCE(ROWS($BH$3:BH78)),-1)/$BH$3)</f>
        <v>239242.54933164263</v>
      </c>
      <c r="AN78" s="22">
        <f t="shared" si="99"/>
        <v>315765.99200647598</v>
      </c>
      <c r="AO78" s="22">
        <f t="shared" si="77"/>
        <v>0</v>
      </c>
      <c r="AP78" s="22">
        <f t="shared" si="100"/>
        <v>555008.54133811861</v>
      </c>
      <c r="AQ78" s="22"/>
      <c r="AR78" s="10">
        <f>IF($B$10="3BR_H",
INDEX('ns-combined'!$C:$D,MATCH($L78,'ns-combined'!$B:$B,0),MATCH(Council_Area,'ns-combined'!$C$1:$D$1,0))*1000,
INDEX('s-combined'!$C:$D,MATCH($L78,'s-combined'!$B:$B,0),MATCH(Council_Area,'s-combined'!$C$1:$D$1,0))*1000)</f>
        <v>850000</v>
      </c>
      <c r="AS78" s="22">
        <f t="shared" si="104"/>
        <v>53200</v>
      </c>
      <c r="AT78" s="10">
        <v>0</v>
      </c>
      <c r="AU78" s="22">
        <f t="shared" si="78"/>
        <v>17000</v>
      </c>
      <c r="AV78" s="22">
        <f t="shared" si="79"/>
        <v>2443.75</v>
      </c>
      <c r="AW78" s="22">
        <f>SUM($AV$3:AV78)</f>
        <v>101837.38750000001</v>
      </c>
      <c r="AX78" s="22">
        <f t="shared" si="80"/>
        <v>677962.61250000005</v>
      </c>
      <c r="AY78" s="22">
        <f t="shared" si="81"/>
        <v>2530</v>
      </c>
      <c r="AZ78" s="24">
        <f t="shared" si="82"/>
        <v>1.1905882352941176E-2</v>
      </c>
      <c r="BA78" s="24">
        <f t="shared" si="83"/>
        <v>0.35000000000000003</v>
      </c>
      <c r="BB78" s="25">
        <f>IF(MortgageRate="Discounted",_xlfn.XLOOKUP(L78,'mortgage-rates'!$A:$A,'mortgage-rates'!$E:$E)/100,_xlfn.XLOOKUP(L78,'mortgage-rates'!$A:$A,'mortgage-rates'!$D:$D)/100)</f>
        <v>7.0699999999999999E-2</v>
      </c>
      <c r="BC78" s="10">
        <f t="shared" si="101"/>
        <v>86846.627895907732</v>
      </c>
      <c r="BD78" s="10">
        <f t="shared" si="84"/>
        <v>4327.8344560700025</v>
      </c>
      <c r="BE78" s="10">
        <f t="shared" si="102"/>
        <v>1535.0141480601692</v>
      </c>
      <c r="BF78" s="10">
        <f t="shared" si="105"/>
        <v>2792.8203080098333</v>
      </c>
      <c r="BG78" s="12">
        <f t="shared" si="85"/>
        <v>6857.8344560700025</v>
      </c>
      <c r="BH78" s="22">
        <f>INDEX(cpi!B:B,MATCH($L78,cpi!A:A))</f>
        <v>139.5</v>
      </c>
      <c r="BI78" s="22">
        <f t="shared" si="86"/>
        <v>164.89361702127661</v>
      </c>
      <c r="BJ78" s="22">
        <f t="shared" si="87"/>
        <v>422.28036080842037</v>
      </c>
      <c r="BK78" s="22">
        <f t="shared" si="88"/>
        <v>382.61865149208802</v>
      </c>
      <c r="BL78" s="22">
        <f t="shared" si="89"/>
        <v>410.38184801352065</v>
      </c>
      <c r="BM78" s="22">
        <f t="shared" si="90"/>
        <v>764.72646391345154</v>
      </c>
      <c r="BN78" s="22">
        <f t="shared" si="91"/>
        <v>303.57142857142856</v>
      </c>
      <c r="BO78">
        <f t="shared" si="92"/>
        <v>248.43350464464353</v>
      </c>
    </row>
    <row r="79" spans="2:67" x14ac:dyDescent="0.25">
      <c r="L79" s="1">
        <f t="shared" si="103"/>
        <v>45717</v>
      </c>
      <c r="M79" s="10">
        <f t="shared" si="68"/>
        <v>541306.40874974965</v>
      </c>
      <c r="N79" s="10">
        <f t="shared" si="69"/>
        <v>593696.42991210218</v>
      </c>
      <c r="O79" s="7">
        <f t="shared" si="93"/>
        <v>0.91175621323828915</v>
      </c>
      <c r="P79" s="7">
        <f t="shared" si="70"/>
        <v>1.1191653999675903</v>
      </c>
      <c r="Q79">
        <v>77</v>
      </c>
      <c r="R79">
        <f t="shared" si="71"/>
        <v>90</v>
      </c>
      <c r="S79" s="22"/>
      <c r="T79" s="22">
        <f>IF($B$10="3BR_H",
INDEX('3BR_H-processed'!$E:$F,MATCH($L79,'3BR_H-processed'!$B:$B,0),MATCH(Council_Area,'3BR_H-processed'!$E$1:$F$1,0)),
INDEX('2BR_F-processed'!$E:$F,MATCH($L79,'2BR_F-processed'!$B:$B,0),MATCH(Council_Area,'2BR_F-processed'!$E$1:$F$1,0)))</f>
        <v>590</v>
      </c>
      <c r="U79" s="22">
        <f t="shared" si="94"/>
        <v>590</v>
      </c>
      <c r="V79" s="22">
        <f t="shared" si="95"/>
        <v>7585.7142857142853</v>
      </c>
      <c r="W79" s="22">
        <f>$B$53/4*BH79/_xlfn.XLOOKUP(Q_end,cpi!A:A,cpi!B:B)</f>
        <v>194.60953697304774</v>
      </c>
      <c r="X79" s="22">
        <f t="shared" si="72"/>
        <v>7780.3238226873327</v>
      </c>
      <c r="Y79" s="22">
        <f t="shared" si="73"/>
        <v>-828.42571815994052</v>
      </c>
      <c r="Z79" s="22">
        <f t="shared" si="96"/>
        <v>0</v>
      </c>
      <c r="AA79" s="22" cm="1">
        <f t="array" ref="AA79">(Y79+Z79)*eff_invest</f>
        <v>-828.42571815994052</v>
      </c>
      <c r="AB79" s="22">
        <f>AA79*(_xlfn.XLOOKUP(Q_end,cpi!A:A,cpi!B:B)/BH79)</f>
        <v>-851.37216916010925</v>
      </c>
      <c r="AC79" s="22" cm="1">
        <f t="array" ref="AC79">INDEX('msci-indices'!C:C,MATCH($L79,'msci-indices'!$B:$B)-2)</f>
        <v>3174.5512990000002</v>
      </c>
      <c r="AD79" s="22" cm="1">
        <f t="array" ref="AD79">INDEX('msci-indices'!D:D,MATCH($L79,'msci-indices'!$B:$B)-2)</f>
        <v>2697.7873119999999</v>
      </c>
      <c r="AE79" s="22">
        <f t="shared" si="97"/>
        <v>554180.11561995861</v>
      </c>
      <c r="AF79" s="22" cm="1">
        <f t="array" ref="AF79">INDEX('msci-indices'!C:C,MATCH($L79,'msci-indices'!$B:$B)+1)</f>
        <v>3111.4241780000002</v>
      </c>
      <c r="AG79" s="22" cm="1">
        <f t="array" ref="AG79">INDEX('msci-indices'!D:D,MATCH($L79,'msci-indices'!$B:$B)+1)</f>
        <v>2619.6825220000001</v>
      </c>
      <c r="AH79" s="22">
        <f t="shared" si="74"/>
        <v>346.36257226247415</v>
      </c>
      <c r="AI79" s="22">
        <f t="shared" si="75"/>
        <v>541306.40874974965</v>
      </c>
      <c r="AJ79" s="22">
        <f t="shared" si="98"/>
        <v>156400.50410398672</v>
      </c>
      <c r="AK79" s="22">
        <f t="shared" si="76"/>
        <v>384905.90464576293</v>
      </c>
      <c r="AL79" s="22">
        <f>AJ79*(_xlfn.XLOOKUP(Q_end,cpi!A:A,cpi!B:B)/BH79)</f>
        <v>160732.62033982156</v>
      </c>
      <c r="AM79" s="22" cm="1">
        <f t="array" ref="AM79">SUMPRODUCT($AA$3:AA79,_xlfn.SORTBY($BH$3:BH79,_xlfn.SEQUENCE(ROWS($BH$3:BH79)),-1)/$BH$3)</f>
        <v>240433.22514134317</v>
      </c>
      <c r="AN79" s="22">
        <f t="shared" si="99"/>
        <v>300873.18360840646</v>
      </c>
      <c r="AO79" s="22">
        <f t="shared" si="77"/>
        <v>0</v>
      </c>
      <c r="AP79" s="22">
        <f t="shared" si="100"/>
        <v>541306.40874974965</v>
      </c>
      <c r="AQ79" s="22"/>
      <c r="AR79" s="10">
        <f>IF($B$10="3BR_H",
INDEX('ns-combined'!$C:$D,MATCH($L79,'ns-combined'!$B:$B,0),MATCH(Council_Area,'ns-combined'!$C$1:$D$1,0))*1000,
INDEX('s-combined'!$C:$D,MATCH($L79,'s-combined'!$B:$B,0),MATCH(Council_Area,'s-combined'!$C$1:$D$1,0))*1000)</f>
        <v>853000</v>
      </c>
      <c r="AS79" s="22">
        <f t="shared" si="104"/>
        <v>53900</v>
      </c>
      <c r="AT79" s="10">
        <v>0</v>
      </c>
      <c r="AU79" s="22">
        <f t="shared" si="78"/>
        <v>17060</v>
      </c>
      <c r="AV79" s="22">
        <f t="shared" si="79"/>
        <v>2452.375</v>
      </c>
      <c r="AW79" s="22">
        <f>SUM($AV$3:AV79)</f>
        <v>104289.76250000001</v>
      </c>
      <c r="AX79" s="22">
        <f t="shared" si="80"/>
        <v>677750.23750000005</v>
      </c>
      <c r="AY79" s="22">
        <f t="shared" si="81"/>
        <v>2655</v>
      </c>
      <c r="AZ79" s="24">
        <f t="shared" si="82"/>
        <v>1.2450175849941384E-2</v>
      </c>
      <c r="BA79" s="24">
        <f t="shared" si="83"/>
        <v>0.35000000000000003</v>
      </c>
      <c r="BB79" s="25">
        <f>IF(MortgageRate="Discounted",_xlfn.XLOOKUP(L79,'mortgage-rates'!$A:$A,'mortgage-rates'!$E:$E)/100,_xlfn.XLOOKUP(L79,'mortgage-rates'!$A:$A,'mortgage-rates'!$D:$D)/100)</f>
        <v>6.8199999999999997E-2</v>
      </c>
      <c r="BC79" s="10">
        <f t="shared" si="101"/>
        <v>84053.8075878979</v>
      </c>
      <c r="BD79" s="10">
        <f t="shared" si="84"/>
        <v>4296.8981045273922</v>
      </c>
      <c r="BE79" s="10">
        <f t="shared" si="102"/>
        <v>1433.1174193736592</v>
      </c>
      <c r="BF79" s="10">
        <f t="shared" si="105"/>
        <v>2863.780685153733</v>
      </c>
      <c r="BG79" s="12">
        <f t="shared" si="85"/>
        <v>6951.8981045273922</v>
      </c>
      <c r="BH79" s="22">
        <f>INDEX(cpi!B:B,MATCH($L79,cpi!A:A))</f>
        <v>140.80000000000001</v>
      </c>
      <c r="BI79" s="22">
        <f t="shared" si="86"/>
        <v>166.43026004728137</v>
      </c>
      <c r="BJ79" s="22">
        <f t="shared" si="87"/>
        <v>420.53742778860141</v>
      </c>
      <c r="BK79" s="22">
        <f t="shared" si="88"/>
        <v>378.39451205481896</v>
      </c>
      <c r="BL79" s="22">
        <f t="shared" si="89"/>
        <v>407.89455306846668</v>
      </c>
      <c r="BM79" s="22">
        <f t="shared" si="90"/>
        <v>758.37260277846053</v>
      </c>
      <c r="BN79" s="22">
        <f t="shared" si="91"/>
        <v>304.64285714285717</v>
      </c>
      <c r="BO79">
        <f t="shared" si="92"/>
        <v>248.35568167243812</v>
      </c>
    </row>
    <row r="80" spans="2:67" x14ac:dyDescent="0.25">
      <c r="B80" s="7"/>
      <c r="L80" s="1">
        <f t="shared" si="103"/>
        <v>45809</v>
      </c>
      <c r="M80" s="10">
        <f t="shared" si="68"/>
        <v>598659.75920218893</v>
      </c>
      <c r="N80" s="10">
        <f t="shared" si="69"/>
        <v>608064.71059725585</v>
      </c>
      <c r="O80" s="7">
        <f t="shared" si="93"/>
        <v>0.98453297612711455</v>
      </c>
      <c r="P80" s="7">
        <f t="shared" si="70"/>
        <v>1.1367339024745242</v>
      </c>
      <c r="Q80">
        <v>78</v>
      </c>
      <c r="R80">
        <f t="shared" si="71"/>
        <v>91</v>
      </c>
      <c r="S80" s="22"/>
      <c r="T80" s="22">
        <f>IF($B$10="3BR_H",
INDEX('3BR_H-processed'!$E:$F,MATCH($L80,'3BR_H-processed'!$B:$B,0),MATCH(Council_Area,'3BR_H-processed'!$E$1:$F$1,0)),
INDEX('2BR_F-processed'!$E:$F,MATCH($L80,'2BR_F-processed'!$B:$B,0),MATCH(Council_Area,'2BR_F-processed'!$E$1:$F$1,0)))</f>
        <v>600</v>
      </c>
      <c r="U80" s="22">
        <f t="shared" si="94"/>
        <v>590</v>
      </c>
      <c r="V80" s="22">
        <f t="shared" si="95"/>
        <v>7670</v>
      </c>
      <c r="W80" s="22">
        <f>$B$53/4*BH80/_xlfn.XLOOKUP(Q_end,cpi!A:A,cpi!B:B)</f>
        <v>195.99170697995856</v>
      </c>
      <c r="X80" s="22">
        <f t="shared" si="72"/>
        <v>7865.9917069799585</v>
      </c>
      <c r="Y80" s="22">
        <f t="shared" si="73"/>
        <v>-946.17371804103368</v>
      </c>
      <c r="Z80" s="22">
        <f t="shared" si="96"/>
        <v>0</v>
      </c>
      <c r="AA80" s="22" cm="1">
        <f t="array" ref="AA80">(Y80+Z80)*eff_invest</f>
        <v>-946.17371804103368</v>
      </c>
      <c r="AB80" s="22">
        <f>AA80*(_xlfn.XLOOKUP(Q_end,cpi!A:A,cpi!B:B)/BH80)</f>
        <v>-965.52423836768378</v>
      </c>
      <c r="AC80" s="22" cm="1">
        <f t="array" ref="AC80">INDEX('msci-indices'!C:C,MATCH($L80,'msci-indices'!$B:$B)-2)</f>
        <v>3111.4241780000002</v>
      </c>
      <c r="AD80" s="22" cm="1">
        <f t="array" ref="AD80">INDEX('msci-indices'!D:D,MATCH($L80,'msci-indices'!$B:$B)-2)</f>
        <v>2619.6825220000001</v>
      </c>
      <c r="AE80" s="22">
        <f t="shared" si="97"/>
        <v>540360.23503170861</v>
      </c>
      <c r="AF80" s="22" cm="1">
        <f t="array" ref="AF80">INDEX('msci-indices'!C:C,MATCH($L80,'msci-indices'!$B:$B)+1)</f>
        <v>3468.7668789999998</v>
      </c>
      <c r="AG80" s="22" cm="1">
        <f t="array" ref="AG80">INDEX('msci-indices'!D:D,MATCH($L80,'msci-indices'!$B:$B)+1)</f>
        <v>2865.243618</v>
      </c>
      <c r="AH80" s="22">
        <f t="shared" si="74"/>
        <v>337.7251468948179</v>
      </c>
      <c r="AI80" s="22">
        <f t="shared" si="75"/>
        <v>598659.75920218893</v>
      </c>
      <c r="AJ80" s="22">
        <f t="shared" si="98"/>
        <v>155454.33038594568</v>
      </c>
      <c r="AK80" s="22">
        <f t="shared" si="76"/>
        <v>443205.42881624325</v>
      </c>
      <c r="AL80" s="22">
        <f>AJ80*(_xlfn.XLOOKUP(Q_end,cpi!A:A,cpi!B:B)/BH80)</f>
        <v>158633.57973798545</v>
      </c>
      <c r="AM80" s="22" cm="1">
        <f t="array" ref="AM80">SUMPRODUCT($AA$3:AA80,_xlfn.SORTBY($BH$3:BH80,_xlfn.SEQUENCE(ROWS($BH$3:BH80)),-1)/$BH$3)</f>
        <v>241231.09020662663</v>
      </c>
      <c r="AN80" s="22">
        <f t="shared" si="99"/>
        <v>357428.6689955623</v>
      </c>
      <c r="AO80" s="22">
        <f t="shared" si="77"/>
        <v>0</v>
      </c>
      <c r="AP80" s="22">
        <f t="shared" si="100"/>
        <v>598659.75920218893</v>
      </c>
      <c r="AQ80" s="22"/>
      <c r="AR80" s="10">
        <f>IF($B$10="3BR_H",
INDEX('ns-combined'!$C:$D,MATCH($L80,'ns-combined'!$B:$B,0),MATCH(Council_Area,'ns-combined'!$C$1:$D$1,0))*1000,
INDEX('s-combined'!$C:$D,MATCH($L80,'s-combined'!$B:$B,0),MATCH(Council_Area,'s-combined'!$C$1:$D$1,0))*1000)</f>
        <v>868000</v>
      </c>
      <c r="AS80" s="22">
        <f t="shared" si="104"/>
        <v>54600</v>
      </c>
      <c r="AT80" s="10">
        <v>0</v>
      </c>
      <c r="AU80" s="22">
        <f t="shared" si="78"/>
        <v>17360</v>
      </c>
      <c r="AV80" s="22">
        <f t="shared" si="79"/>
        <v>2495.5</v>
      </c>
      <c r="AW80" s="22">
        <f>SUM($AV$3:AV80)</f>
        <v>106785.26250000001</v>
      </c>
      <c r="AX80" s="22">
        <f t="shared" si="80"/>
        <v>689254.73750000005</v>
      </c>
      <c r="AY80" s="22">
        <f t="shared" si="81"/>
        <v>2684.5000000000005</v>
      </c>
      <c r="AZ80" s="24">
        <f t="shared" si="82"/>
        <v>1.2370967741935485E-2</v>
      </c>
      <c r="BA80" s="24">
        <f t="shared" si="83"/>
        <v>0.35000000000000003</v>
      </c>
      <c r="BB80" s="25">
        <f>IF(MortgageRate="Discounted",_xlfn.XLOOKUP(L80,'mortgage-rates'!$A:$A,'mortgage-rates'!$E:$E)/100,_xlfn.XLOOKUP(L80,'mortgage-rates'!$A:$A,'mortgage-rates'!$D:$D)/100)</f>
        <v>6.3E-2</v>
      </c>
      <c r="BC80" s="10">
        <f t="shared" si="101"/>
        <v>81190.026902744168</v>
      </c>
      <c r="BD80" s="10">
        <f t="shared" si="84"/>
        <v>4235.3179889389239</v>
      </c>
      <c r="BE80" s="10">
        <f t="shared" si="102"/>
        <v>1278.7429237182207</v>
      </c>
      <c r="BF80" s="10">
        <f t="shared" si="105"/>
        <v>2956.5750652207034</v>
      </c>
      <c r="BG80" s="12">
        <f t="shared" si="85"/>
        <v>6919.8179889389248</v>
      </c>
      <c r="BH80" s="22">
        <f>INDEX(cpi!B:B,MATCH($L80,cpi!A:A))</f>
        <v>141.80000000000001</v>
      </c>
      <c r="BI80" s="22">
        <f t="shared" si="86"/>
        <v>167.61229314420808</v>
      </c>
      <c r="BJ80" s="22">
        <f t="shared" si="87"/>
        <v>412.17488625480973</v>
      </c>
      <c r="BK80" s="22">
        <f t="shared" si="88"/>
        <v>367.43945130198153</v>
      </c>
      <c r="BL80" s="22">
        <f t="shared" si="89"/>
        <v>398.75425576896129</v>
      </c>
      <c r="BM80" s="22">
        <f t="shared" si="90"/>
        <v>739.46066689986253</v>
      </c>
      <c r="BN80" s="22">
        <f t="shared" si="91"/>
        <v>310</v>
      </c>
      <c r="BO80">
        <f t="shared" si="92"/>
        <v>252.57140566884701</v>
      </c>
    </row>
    <row r="81" spans="2:67" x14ac:dyDescent="0.25">
      <c r="B81" s="7"/>
      <c r="L81" s="1">
        <f t="shared" si="103"/>
        <v>45901</v>
      </c>
      <c r="M81" s="10">
        <f>AP81</f>
        <v>636463.52926301141</v>
      </c>
      <c r="N81" s="10">
        <f t="shared" si="69"/>
        <v>639093.78566247656</v>
      </c>
      <c r="O81" s="7">
        <f t="shared" si="93"/>
        <v>0.99588439684679664</v>
      </c>
      <c r="P81" s="7">
        <f t="shared" si="70"/>
        <v>1.1490710802177164</v>
      </c>
      <c r="Q81">
        <v>79</v>
      </c>
      <c r="R81">
        <f t="shared" si="71"/>
        <v>92</v>
      </c>
      <c r="S81" s="22"/>
      <c r="T81" s="22">
        <f>IF($B$10="3BR_H",
INDEX('3BR_H-processed'!$E:$F,MATCH($L81,'3BR_H-processed'!$B:$B,0),MATCH(Council_Area,'3BR_H-processed'!$E$1:$F$1,0)),
INDEX('2BR_F-processed'!$E:$F,MATCH($L81,'2BR_F-processed'!$B:$B,0),MATCH(Council_Area,'2BR_F-processed'!$E$1:$F$1,0)))</f>
        <v>600</v>
      </c>
      <c r="U81" s="22">
        <f t="shared" si="94"/>
        <v>590</v>
      </c>
      <c r="V81" s="22">
        <f t="shared" si="95"/>
        <v>7754.2857142857147</v>
      </c>
      <c r="W81" s="22">
        <f>$B$53/4*BH81/_xlfn.XLOOKUP(Q_end,cpi!A:A,cpi!B:B)</f>
        <v>198.47961299239807</v>
      </c>
      <c r="X81" s="22">
        <f t="shared" si="72"/>
        <v>7952.7653272781126</v>
      </c>
      <c r="Y81" s="22">
        <f t="shared" si="73"/>
        <v>-1031.7267038264736</v>
      </c>
      <c r="Z81" s="22">
        <f t="shared" si="96"/>
        <v>0</v>
      </c>
      <c r="AA81" s="22" cm="1">
        <f t="array" ref="AA81">(Y81+Z81)*eff_invest</f>
        <v>-1031.7267038264736</v>
      </c>
      <c r="AB81" s="22">
        <f>AA81*(_xlfn.XLOOKUP(Q_end,cpi!A:A,cpi!B:B)/BH81)</f>
        <v>-1039.6299028112167</v>
      </c>
      <c r="AC81" s="22" cm="1">
        <f t="array" ref="AC81">INDEX('msci-indices'!C:C,MATCH($L81,'msci-indices'!$B:$B)-2)</f>
        <v>3468.7668789999998</v>
      </c>
      <c r="AD81" s="22" cm="1">
        <f t="array" ref="AD81">INDEX('msci-indices'!D:D,MATCH($L81,'msci-indices'!$B:$B)-2)</f>
        <v>2865.243618</v>
      </c>
      <c r="AE81" s="22">
        <f t="shared" si="97"/>
        <v>597628.03249836247</v>
      </c>
      <c r="AF81" s="22" cm="1">
        <f t="array" ref="AF81">INDEX('msci-indices'!C:C,MATCH($L81,'msci-indices'!$B:$B)+1)</f>
        <v>3725.5302940000001</v>
      </c>
      <c r="AG81" s="22" cm="1">
        <f t="array" ref="AG81">INDEX('msci-indices'!D:D,MATCH($L81,'msci-indices'!$B:$B)+1)</f>
        <v>2996.9746749999999</v>
      </c>
      <c r="AH81" s="22">
        <f t="shared" si="74"/>
        <v>373.51752031147657</v>
      </c>
      <c r="AI81" s="22">
        <f t="shared" si="75"/>
        <v>636463.52926301141</v>
      </c>
      <c r="AJ81" s="22">
        <f t="shared" si="98"/>
        <v>154422.6036821192</v>
      </c>
      <c r="AK81" s="22">
        <f t="shared" si="76"/>
        <v>482040.92558089225</v>
      </c>
      <c r="AL81" s="22">
        <f>AJ81*(_xlfn.XLOOKUP(Q_end,cpi!A:A,cpi!B:B)/BH81)</f>
        <v>155605.50663511592</v>
      </c>
      <c r="AM81" s="22" cm="1">
        <f t="array" ref="AM81">SUMPRODUCT($AA$3:AA81,_xlfn.SORTBY($BH$3:BH81,_xlfn.SEQUENCE(ROWS($BH$3:BH81)),-1)/$BH$3)</f>
        <v>242609.54453511065</v>
      </c>
      <c r="AN81" s="22">
        <f t="shared" si="99"/>
        <v>393853.98472790077</v>
      </c>
      <c r="AO81" s="22">
        <f t="shared" si="77"/>
        <v>0</v>
      </c>
      <c r="AP81" s="22">
        <f t="shared" si="100"/>
        <v>636463.52926301141</v>
      </c>
      <c r="AQ81" s="22"/>
      <c r="AR81" s="10">
        <f>IF($B$10="3BR_H",
INDEX('ns-combined'!$C:$D,MATCH($L81,'ns-combined'!$B:$B,0),MATCH(Council_Area,'ns-combined'!$C$1:$D$1,0))*1000,
INDEX('s-combined'!$C:$D,MATCH($L81,'s-combined'!$B:$B,0),MATCH(Council_Area,'s-combined'!$C$1:$D$1,0))*1000)</f>
        <v>900000</v>
      </c>
      <c r="AS81" s="22">
        <f t="shared" si="104"/>
        <v>55300</v>
      </c>
      <c r="AT81" s="10">
        <v>0</v>
      </c>
      <c r="AU81" s="22">
        <f t="shared" si="78"/>
        <v>18000</v>
      </c>
      <c r="AV81" s="22">
        <f t="shared" si="79"/>
        <v>2587.5</v>
      </c>
      <c r="AW81" s="22">
        <f>SUM($AV$3:AV81)</f>
        <v>109372.76250000001</v>
      </c>
      <c r="AX81" s="22">
        <f t="shared" si="80"/>
        <v>717327.23750000005</v>
      </c>
      <c r="AY81" s="22">
        <f t="shared" si="81"/>
        <v>2714.0000000000005</v>
      </c>
      <c r="AZ81" s="24">
        <f t="shared" si="82"/>
        <v>1.2062222222222224E-2</v>
      </c>
      <c r="BA81" s="24">
        <f t="shared" si="83"/>
        <v>0.35000000000000003</v>
      </c>
      <c r="BB81" s="25">
        <f>IF(MortgageRate="Discounted",_xlfn.XLOOKUP(L81,'mortgage-rates'!$A:$A,'mortgage-rates'!$E:$E)/100,_xlfn.XLOOKUP(L81,'mortgage-rates'!$A:$A,'mortgage-rates'!$D:$D)/100)</f>
        <v>6.0499999999999998E-2</v>
      </c>
      <c r="BC81" s="10">
        <f t="shared" si="101"/>
        <v>78233.451837523462</v>
      </c>
      <c r="BD81" s="10">
        <f t="shared" si="84"/>
        <v>4207.0386234516391</v>
      </c>
      <c r="BE81" s="10">
        <f t="shared" si="102"/>
        <v>1183.2809590425422</v>
      </c>
      <c r="BF81" s="10">
        <f t="shared" si="105"/>
        <v>3023.7576644090968</v>
      </c>
      <c r="BG81" s="12">
        <f t="shared" si="85"/>
        <v>6921.0386234516391</v>
      </c>
      <c r="BH81" s="22">
        <f>INDEX(cpi!B:B,MATCH($L81,cpi!A:A))</f>
        <v>143.6</v>
      </c>
      <c r="BI81" s="22">
        <f t="shared" si="86"/>
        <v>169.73995271867614</v>
      </c>
      <c r="BJ81" s="22">
        <f t="shared" si="87"/>
        <v>459.51259359156273</v>
      </c>
      <c r="BK81" s="22">
        <f t="shared" si="88"/>
        <v>401.88211128753886</v>
      </c>
      <c r="BL81" s="22">
        <f t="shared" si="89"/>
        <v>442.22344890035555</v>
      </c>
      <c r="BM81" s="22">
        <f t="shared" si="90"/>
        <v>817.8292827993896</v>
      </c>
      <c r="BN81" s="22">
        <f t="shared" si="91"/>
        <v>321.42857142857144</v>
      </c>
      <c r="BO81">
        <f t="shared" si="92"/>
        <v>262.85832921086865</v>
      </c>
    </row>
    <row r="82" spans="2:67" x14ac:dyDescent="0.25">
      <c r="B82" s="7"/>
      <c r="L82" s="1">
        <f>DATE(YEAR(L81),MONTH(L81)+3,1)</f>
        <v>45992</v>
      </c>
      <c r="M82" s="10">
        <f t="shared" si="68"/>
        <v>646695.45435496676</v>
      </c>
      <c r="N82" s="10">
        <f t="shared" si="69"/>
        <v>687686.29332688567</v>
      </c>
      <c r="O82" s="7">
        <f t="shared" si="93"/>
        <v>0.94039311329935982</v>
      </c>
      <c r="P82" s="7">
        <f t="shared" si="70"/>
        <v>1.1492907563516495</v>
      </c>
      <c r="Q82">
        <v>80</v>
      </c>
      <c r="R82">
        <f t="shared" si="71"/>
        <v>92</v>
      </c>
      <c r="S82" s="22"/>
      <c r="T82" s="22">
        <f>IF($B$10="3BR_H",
INDEX('3BR_H-processed'!$E:$F,MATCH($L82,'3BR_H-processed'!$B:$B,0),MATCH(Council_Area,'3BR_H-processed'!$E$1:$F$1,0)),
INDEX('2BR_F-processed'!$E:$F,MATCH($L82,'2BR_F-processed'!$B:$B,0),MATCH(Council_Area,'2BR_F-processed'!$E$1:$F$1,0)))</f>
        <v>600</v>
      </c>
      <c r="U82" s="22">
        <f t="shared" si="94"/>
        <v>590</v>
      </c>
      <c r="V82" s="22">
        <f t="shared" si="95"/>
        <v>7754.2857142857147</v>
      </c>
      <c r="W82" s="22">
        <f>$B$53/4*BH82/_xlfn.XLOOKUP(Q_end,cpi!A:A,cpi!B:B)</f>
        <v>200</v>
      </c>
      <c r="X82" s="22">
        <f>V82+W82</f>
        <v>7954.2857142857147</v>
      </c>
      <c r="Y82" s="22">
        <f>BG82-X82</f>
        <v>-1033.2470908340738</v>
      </c>
      <c r="Z82" s="22">
        <f t="shared" si="96"/>
        <v>0</v>
      </c>
      <c r="AA82" s="22" cm="1">
        <f t="array" ref="AA82">(Y82+Z82)*eff_invest</f>
        <v>-1033.2470908340738</v>
      </c>
      <c r="AB82" s="22">
        <f>AA82*(_xlfn.XLOOKUP(Q_end,cpi!A:A,cpi!B:B)/BH82)</f>
        <v>-1033.2470908340738</v>
      </c>
      <c r="AC82" s="22" cm="1">
        <f t="array" ref="AC82">INDEX('msci-indices'!C:C,MATCH($L82,'msci-indices'!$B:$B)-2)</f>
        <v>3725.5302940000001</v>
      </c>
      <c r="AD82" s="22" cm="1">
        <f t="array" ref="AD82">INDEX('msci-indices'!D:D,MATCH($L82,'msci-indices'!$B:$B)-2)</f>
        <v>2996.9746749999999</v>
      </c>
      <c r="AE82" s="22">
        <f t="shared" si="97"/>
        <v>635430.28217217734</v>
      </c>
      <c r="AF82" s="22" cm="1">
        <f t="array" ref="AF82">INDEX('msci-indices'!C:C,MATCH($L82,'msci-indices'!$B:$B)+1)</f>
        <v>3840.531755</v>
      </c>
      <c r="AG82" s="22" cm="1">
        <f t="array" ref="AG82">INDEX('msci-indices'!D:D,MATCH($L82,'msci-indices'!$B:$B)+1)</f>
        <v>2964.4622850000001</v>
      </c>
      <c r="AH82" s="22">
        <f t="shared" si="74"/>
        <v>397.14392635761084</v>
      </c>
      <c r="AI82" s="22">
        <f t="shared" si="75"/>
        <v>646695.45435496676</v>
      </c>
      <c r="AJ82" s="22">
        <f t="shared" si="98"/>
        <v>153389.35659128512</v>
      </c>
      <c r="AK82" s="22">
        <f t="shared" si="76"/>
        <v>493306.09776368167</v>
      </c>
      <c r="AL82" s="22">
        <f>AJ82*(_xlfn.XLOOKUP(Q_end,cpi!A:A,cpi!B:B)/BH82)</f>
        <v>153389.35659128512</v>
      </c>
      <c r="AM82" s="22" cm="1">
        <f t="array" ref="AM82">SUMPRODUCT($AA$3:AA82,_xlfn.SORTBY($BH$3:BH82,_xlfn.SEQUENCE(ROWS($BH$3:BH82)),-1)/$BH$3)</f>
        <v>243397.81758813429</v>
      </c>
      <c r="AN82" s="22">
        <f>AI82-AM82</f>
        <v>403297.63676683244</v>
      </c>
      <c r="AO82" s="22">
        <f t="shared" si="77"/>
        <v>0</v>
      </c>
      <c r="AP82" s="22">
        <f>AI82-AO82</f>
        <v>646695.45435496676</v>
      </c>
      <c r="AQ82" s="22"/>
      <c r="AR82" s="10">
        <f>IF($B$10="3BR_H",
INDEX('ns-combined'!$C:$D,MATCH($L82,'ns-combined'!$B:$B,0),MATCH(Council_Area,'ns-combined'!$C$1:$D$1,0))*1000,
INDEX('s-combined'!$C:$D,MATCH($L82,'s-combined'!$B:$B,0),MATCH(Council_Area,'s-combined'!$C$1:$D$1,0))*1000)</f>
        <v>950000</v>
      </c>
      <c r="AS82" s="22">
        <f>AS81+$AS$3</f>
        <v>56000</v>
      </c>
      <c r="AT82" s="10">
        <v>0</v>
      </c>
      <c r="AU82" s="22">
        <f t="shared" si="78"/>
        <v>19000</v>
      </c>
      <c r="AV82" s="22">
        <f t="shared" si="79"/>
        <v>2731.25</v>
      </c>
      <c r="AW82" s="22">
        <f>SUM($AV$3:AV82)</f>
        <v>112104.01250000001</v>
      </c>
      <c r="AX82" s="22">
        <f t="shared" si="80"/>
        <v>762895.98750000005</v>
      </c>
      <c r="AY82" s="22">
        <f t="shared" si="81"/>
        <v>2714.0000000000005</v>
      </c>
      <c r="AZ82" s="24">
        <f t="shared" si="82"/>
        <v>1.1427368421052634E-2</v>
      </c>
      <c r="BA82" s="24">
        <f t="shared" si="83"/>
        <v>0.35000000000000003</v>
      </c>
      <c r="BB82" s="25">
        <f>IF(MortgageRate="Discounted",_xlfn.XLOOKUP(L82,'mortgage-rates'!$A:$A,'mortgage-rates'!$E:$E)/100,_xlfn.XLOOKUP(L82,'mortgage-rates'!$A:$A,'mortgage-rates'!$D:$D)/100)</f>
        <v>6.0499999999999998E-2</v>
      </c>
      <c r="BC82" s="10">
        <f t="shared" si="101"/>
        <v>75209.69417311436</v>
      </c>
      <c r="BD82" s="10">
        <f t="shared" si="84"/>
        <v>4207.03862345164</v>
      </c>
      <c r="BE82" s="10">
        <f t="shared" si="102"/>
        <v>1137.5466243683547</v>
      </c>
      <c r="BF82" s="10">
        <f t="shared" si="105"/>
        <v>3069.491999083285</v>
      </c>
      <c r="BG82" s="12">
        <f t="shared" si="85"/>
        <v>6921.0386234516409</v>
      </c>
      <c r="BH82" s="22">
        <f>INDEX(cpi!B:B,MATCH($L82,cpi!A:A))</f>
        <v>144.69999999999999</v>
      </c>
      <c r="BI82" s="22">
        <f t="shared" si="86"/>
        <v>171.04018912529551</v>
      </c>
      <c r="BJ82" s="22">
        <f t="shared" si="87"/>
        <v>493.52641662486235</v>
      </c>
      <c r="BK82" s="22">
        <f t="shared" si="88"/>
        <v>420.35884917353138</v>
      </c>
      <c r="BL82" s="22">
        <f t="shared" si="89"/>
        <v>471.57614638946308</v>
      </c>
      <c r="BM82" s="22">
        <f t="shared" si="90"/>
        <v>869.56010039457021</v>
      </c>
      <c r="BN82" s="22">
        <f t="shared" si="91"/>
        <v>339.28571428571428</v>
      </c>
      <c r="BO82">
        <f t="shared" si="92"/>
        <v>279.55660144011432</v>
      </c>
    </row>
    <row r="83" spans="2:67" x14ac:dyDescent="0.25">
      <c r="L83" s="1"/>
      <c r="M83" s="1"/>
      <c r="N83" s="1"/>
      <c r="O83" s="1"/>
      <c r="P83" s="1"/>
      <c r="R83" s="1"/>
      <c r="S83" s="7"/>
      <c r="AD83" s="30"/>
      <c r="AE83" s="30"/>
      <c r="AG83" s="30"/>
      <c r="AH83" s="30"/>
      <c r="AI83" s="30"/>
      <c r="AK83" s="30"/>
      <c r="AL83" s="30"/>
      <c r="AM83" s="30"/>
      <c r="AN83" s="30"/>
      <c r="AO83" s="30"/>
      <c r="AP83" s="7"/>
      <c r="AQ83" s="7"/>
      <c r="AR83" s="30"/>
      <c r="AS83" s="22"/>
      <c r="AT83" s="1"/>
      <c r="AU83" s="1"/>
      <c r="AV83" s="1"/>
      <c r="AW83" s="22"/>
      <c r="AX83" s="22"/>
      <c r="AY83" s="1"/>
      <c r="AZ83" s="22"/>
      <c r="BA83" s="22"/>
      <c r="BB83" s="25"/>
      <c r="BC83" s="22"/>
      <c r="BD83" s="26"/>
      <c r="BE83" s="26"/>
      <c r="BF83" s="26"/>
      <c r="BG83" s="27"/>
      <c r="BH83" s="30"/>
      <c r="BI83" s="30"/>
      <c r="BJ83" s="30"/>
      <c r="BK83" s="30"/>
      <c r="BL83" s="30"/>
      <c r="BM83" s="30"/>
      <c r="BN83" s="30"/>
    </row>
    <row r="84" spans="2:67" x14ac:dyDescent="0.25">
      <c r="L84" s="1"/>
      <c r="M84" s="1"/>
      <c r="N84" s="1"/>
      <c r="O84" s="1"/>
      <c r="P84" s="1"/>
      <c r="R84" s="1"/>
      <c r="AI84" s="11"/>
      <c r="AL84" s="11"/>
      <c r="AM84" s="22"/>
      <c r="AN84" s="22"/>
      <c r="AR84" s="1"/>
      <c r="AS84" s="1"/>
      <c r="AT84" s="1"/>
      <c r="AU84" s="1"/>
      <c r="AV84" s="1"/>
      <c r="AW84" s="1"/>
      <c r="AY84" s="1"/>
      <c r="AZ84" s="1"/>
      <c r="BA84" s="1"/>
      <c r="BB84" s="25"/>
      <c r="BC84" s="22"/>
      <c r="BD84" s="26"/>
      <c r="BE84" s="26"/>
      <c r="BF84" s="26"/>
      <c r="BG84" s="27"/>
    </row>
    <row r="85" spans="2:67" x14ac:dyDescent="0.25">
      <c r="L85" s="1"/>
      <c r="M85" s="1"/>
      <c r="N85" s="1"/>
      <c r="O85" s="1"/>
      <c r="P85" s="1"/>
      <c r="R85" s="1"/>
      <c r="AN85" s="22"/>
      <c r="AR85" s="1"/>
      <c r="AS85" s="1"/>
      <c r="AT85" s="1"/>
      <c r="AU85" s="1"/>
      <c r="AV85" s="1"/>
      <c r="AW85" s="1"/>
      <c r="AY85" s="1"/>
      <c r="AZ85" s="1"/>
      <c r="BA85" s="1"/>
      <c r="BB85" s="25"/>
      <c r="BC85" s="22"/>
      <c r="BD85" s="26"/>
      <c r="BE85" s="26"/>
      <c r="BF85" s="26"/>
      <c r="BG85" s="27"/>
    </row>
    <row r="86" spans="2:67" x14ac:dyDescent="0.25">
      <c r="AN86" s="22"/>
      <c r="BB86" s="25"/>
      <c r="BC86" s="22"/>
      <c r="BD86" s="26"/>
      <c r="BE86" s="26"/>
      <c r="BF86" s="26"/>
      <c r="BG86" s="27"/>
    </row>
    <row r="87" spans="2:67" x14ac:dyDescent="0.25">
      <c r="AN87" s="22"/>
      <c r="BB87" s="25"/>
      <c r="BC87" s="22"/>
      <c r="BD87" s="26"/>
      <c r="BE87" s="26"/>
      <c r="BF87" s="26"/>
      <c r="BG87" s="27"/>
    </row>
    <row r="88" spans="2:67" x14ac:dyDescent="0.25">
      <c r="AN88" s="22"/>
      <c r="BB88" s="25"/>
      <c r="BC88" s="22"/>
      <c r="BD88" s="26"/>
      <c r="BE88" s="26"/>
      <c r="BF88" s="26"/>
      <c r="BG88" s="27"/>
    </row>
    <row r="89" spans="2:67" x14ac:dyDescent="0.25">
      <c r="AN89" s="22"/>
      <c r="BB89" s="25"/>
      <c r="BC89" s="22"/>
      <c r="BD89" s="26"/>
      <c r="BE89" s="26"/>
      <c r="BF89" s="26"/>
      <c r="BG89" s="27"/>
    </row>
    <row r="90" spans="2:67" x14ac:dyDescent="0.25">
      <c r="AN90" s="22"/>
      <c r="BB90" s="25"/>
      <c r="BC90" s="22"/>
      <c r="BD90" s="26"/>
      <c r="BE90" s="26"/>
      <c r="BF90" s="26"/>
      <c r="BG90" s="27"/>
    </row>
    <row r="91" spans="2:67" x14ac:dyDescent="0.25">
      <c r="AN91" s="22"/>
      <c r="BB91" s="25"/>
      <c r="BC91" s="22"/>
      <c r="BD91" s="26"/>
      <c r="BE91" s="26"/>
      <c r="BF91" s="26"/>
      <c r="BG91" s="27"/>
    </row>
    <row r="92" spans="2:67" x14ac:dyDescent="0.25">
      <c r="AN92" s="22"/>
      <c r="BB92" s="25"/>
      <c r="BC92" s="22"/>
      <c r="BD92" s="26"/>
      <c r="BE92" s="26"/>
      <c r="BF92" s="26"/>
      <c r="BG92" s="27"/>
    </row>
    <row r="93" spans="2:67" x14ac:dyDescent="0.25">
      <c r="AN93" s="22"/>
      <c r="BB93" s="25"/>
      <c r="BC93" s="22"/>
      <c r="BD93" s="26"/>
      <c r="BE93" s="26"/>
      <c r="BF93" s="26"/>
      <c r="BG93" s="27"/>
    </row>
    <row r="94" spans="2:67" x14ac:dyDescent="0.25">
      <c r="AN94" s="22"/>
      <c r="BB94" s="25"/>
      <c r="BC94" s="22"/>
      <c r="BD94" s="26"/>
      <c r="BE94" s="26"/>
      <c r="BF94" s="26"/>
      <c r="BG94" s="27"/>
    </row>
    <row r="95" spans="2:67" x14ac:dyDescent="0.25">
      <c r="AN95" s="22"/>
      <c r="BB95" s="25"/>
      <c r="BC95" s="22"/>
      <c r="BD95" s="26"/>
      <c r="BE95" s="26"/>
      <c r="BF95" s="26"/>
      <c r="BG95" s="27"/>
    </row>
    <row r="96" spans="2:67" x14ac:dyDescent="0.25">
      <c r="AN96" s="22"/>
      <c r="BB96" s="25"/>
      <c r="BC96" s="22"/>
      <c r="BD96" s="26"/>
      <c r="BE96" s="26"/>
      <c r="BF96" s="26"/>
      <c r="BG96" s="27"/>
    </row>
    <row r="97" spans="40:59" x14ac:dyDescent="0.25">
      <c r="AN97" s="22"/>
      <c r="BB97" s="25"/>
      <c r="BC97" s="22"/>
      <c r="BD97" s="26"/>
      <c r="BE97" s="26"/>
      <c r="BF97" s="26"/>
      <c r="BG97" s="27"/>
    </row>
    <row r="98" spans="40:59" x14ac:dyDescent="0.25">
      <c r="AN98" s="22"/>
      <c r="BB98" s="25"/>
      <c r="BC98" s="22"/>
      <c r="BD98" s="26"/>
      <c r="BE98" s="26"/>
      <c r="BF98" s="26"/>
      <c r="BG98" s="27"/>
    </row>
    <row r="99" spans="40:59" x14ac:dyDescent="0.25">
      <c r="AN99" s="22"/>
      <c r="BB99" s="25"/>
      <c r="BC99" s="22"/>
      <c r="BD99" s="26"/>
      <c r="BE99" s="26"/>
      <c r="BF99" s="26"/>
      <c r="BG99" s="27"/>
    </row>
    <row r="100" spans="40:59" x14ac:dyDescent="0.25">
      <c r="AN100" s="22"/>
      <c r="BB100" s="25"/>
      <c r="BC100" s="22"/>
      <c r="BD100" s="26"/>
      <c r="BE100" s="26"/>
      <c r="BF100" s="26"/>
      <c r="BG100" s="27"/>
    </row>
    <row r="101" spans="40:59" x14ac:dyDescent="0.25">
      <c r="AN101" s="22"/>
      <c r="BB101" s="25"/>
      <c r="BC101" s="22"/>
      <c r="BD101" s="26"/>
      <c r="BE101" s="26"/>
      <c r="BF101" s="26"/>
      <c r="BG101" s="27"/>
    </row>
    <row r="102" spans="40:59" x14ac:dyDescent="0.25">
      <c r="AN102" s="22"/>
      <c r="BB102" s="25"/>
      <c r="BC102" s="22"/>
      <c r="BD102" s="26"/>
      <c r="BE102" s="26"/>
      <c r="BF102" s="26"/>
      <c r="BG102" s="27"/>
    </row>
    <row r="103" spans="40:59" x14ac:dyDescent="0.25">
      <c r="AN103" s="22"/>
      <c r="BB103" s="25"/>
      <c r="BC103" s="22"/>
      <c r="BD103" s="26"/>
      <c r="BE103" s="26"/>
      <c r="BF103" s="26"/>
      <c r="BG103" s="27"/>
    </row>
    <row r="104" spans="40:59" x14ac:dyDescent="0.25">
      <c r="AN104" s="22"/>
      <c r="BB104" s="25"/>
    </row>
    <row r="105" spans="40:59" x14ac:dyDescent="0.25">
      <c r="AN105" s="22"/>
      <c r="BB105" s="25"/>
    </row>
    <row r="106" spans="40:59" x14ac:dyDescent="0.25">
      <c r="AN106" s="22"/>
      <c r="BB106" s="25"/>
    </row>
    <row r="107" spans="40:59" x14ac:dyDescent="0.25">
      <c r="AN107" s="22"/>
      <c r="BB107" s="25"/>
    </row>
    <row r="108" spans="40:59" x14ac:dyDescent="0.25">
      <c r="AN108" s="22"/>
      <c r="BB108" s="25"/>
    </row>
    <row r="109" spans="40:59" x14ac:dyDescent="0.25">
      <c r="AN109" s="22"/>
      <c r="BB109" s="25"/>
    </row>
    <row r="110" spans="40:59" x14ac:dyDescent="0.25">
      <c r="AN110" s="22"/>
    </row>
    <row r="111" spans="40:59" x14ac:dyDescent="0.25">
      <c r="AN111" s="22"/>
    </row>
    <row r="112" spans="40:59" x14ac:dyDescent="0.25">
      <c r="AN112" s="22"/>
    </row>
    <row r="113" spans="40:40" x14ac:dyDescent="0.25">
      <c r="AN113" s="22"/>
    </row>
    <row r="114" spans="40:40" x14ac:dyDescent="0.25">
      <c r="AN114" s="22"/>
    </row>
    <row r="115" spans="40:40" x14ac:dyDescent="0.25">
      <c r="AN115" s="22"/>
    </row>
    <row r="116" spans="40:40" x14ac:dyDescent="0.25">
      <c r="AN116" s="22"/>
    </row>
    <row r="117" spans="40:40" x14ac:dyDescent="0.25">
      <c r="AN117" s="22"/>
    </row>
    <row r="118" spans="40:40" x14ac:dyDescent="0.25">
      <c r="AN118" s="22"/>
    </row>
    <row r="119" spans="40:40" x14ac:dyDescent="0.25">
      <c r="AN119" s="22"/>
    </row>
    <row r="120" spans="40:40" x14ac:dyDescent="0.25">
      <c r="AN120" s="22"/>
    </row>
    <row r="121" spans="40:40" x14ac:dyDescent="0.25">
      <c r="AN121" s="22"/>
    </row>
    <row r="122" spans="40:40" x14ac:dyDescent="0.25">
      <c r="AN122" s="22"/>
    </row>
    <row r="123" spans="40:40" x14ac:dyDescent="0.25">
      <c r="AN123" s="22"/>
    </row>
    <row r="124" spans="40:40" x14ac:dyDescent="0.25">
      <c r="AN124" s="22"/>
    </row>
    <row r="125" spans="40:40" x14ac:dyDescent="0.25">
      <c r="AN125" s="22"/>
    </row>
    <row r="126" spans="40:40" x14ac:dyDescent="0.25">
      <c r="AN126" s="22"/>
    </row>
    <row r="127" spans="40:40" x14ac:dyDescent="0.25">
      <c r="AN127" s="22"/>
    </row>
    <row r="128" spans="40:40" x14ac:dyDescent="0.25">
      <c r="AN128" s="22"/>
    </row>
    <row r="129" spans="40:40" x14ac:dyDescent="0.25">
      <c r="AN129" s="22"/>
    </row>
    <row r="130" spans="40:40" x14ac:dyDescent="0.25">
      <c r="AN130" s="22"/>
    </row>
    <row r="131" spans="40:40" x14ac:dyDescent="0.25">
      <c r="AN131" s="22"/>
    </row>
    <row r="132" spans="40:40" x14ac:dyDescent="0.25">
      <c r="AN132" s="22"/>
    </row>
    <row r="133" spans="40:40" x14ac:dyDescent="0.25">
      <c r="AN133" s="22"/>
    </row>
    <row r="134" spans="40:40" x14ac:dyDescent="0.25">
      <c r="AN134" s="22"/>
    </row>
    <row r="135" spans="40:40" x14ac:dyDescent="0.25">
      <c r="AN135" s="22"/>
    </row>
    <row r="136" spans="40:40" x14ac:dyDescent="0.25">
      <c r="AN136" s="22"/>
    </row>
    <row r="137" spans="40:40" x14ac:dyDescent="0.25">
      <c r="AN137" s="22"/>
    </row>
    <row r="138" spans="40:40" x14ac:dyDescent="0.25">
      <c r="AN138" s="22"/>
    </row>
    <row r="139" spans="40:40" x14ac:dyDescent="0.25">
      <c r="AN139" s="22"/>
    </row>
    <row r="140" spans="40:40" x14ac:dyDescent="0.25">
      <c r="AN140" s="22"/>
    </row>
    <row r="141" spans="40:40" x14ac:dyDescent="0.25">
      <c r="AN141" s="22"/>
    </row>
    <row r="142" spans="40:40" x14ac:dyDescent="0.25">
      <c r="AN142" s="22"/>
    </row>
    <row r="143" spans="40:40" x14ac:dyDescent="0.25">
      <c r="AN143" s="22"/>
    </row>
    <row r="144" spans="40:40" x14ac:dyDescent="0.25">
      <c r="AN144" s="22"/>
    </row>
    <row r="145" spans="40:40" x14ac:dyDescent="0.25">
      <c r="AN145" s="22"/>
    </row>
    <row r="146" spans="40:40" x14ac:dyDescent="0.25">
      <c r="AN146" s="22"/>
    </row>
    <row r="147" spans="40:40" x14ac:dyDescent="0.25">
      <c r="AN147" s="22"/>
    </row>
    <row r="148" spans="40:40" x14ac:dyDescent="0.25">
      <c r="AN148" s="22"/>
    </row>
    <row r="149" spans="40:40" x14ac:dyDescent="0.25">
      <c r="AN149" s="22"/>
    </row>
    <row r="150" spans="40:40" x14ac:dyDescent="0.25">
      <c r="AN150" s="22"/>
    </row>
    <row r="151" spans="40:40" x14ac:dyDescent="0.25">
      <c r="AN151" s="22"/>
    </row>
    <row r="152" spans="40:40" x14ac:dyDescent="0.25">
      <c r="AN152" s="22"/>
    </row>
    <row r="153" spans="40:40" x14ac:dyDescent="0.25">
      <c r="AN153" s="22"/>
    </row>
    <row r="154" spans="40:40" x14ac:dyDescent="0.25">
      <c r="AN154" s="22"/>
    </row>
    <row r="155" spans="40:40" x14ac:dyDescent="0.25">
      <c r="AN155" s="22"/>
    </row>
    <row r="156" spans="40:40" x14ac:dyDescent="0.25">
      <c r="AN156" s="22"/>
    </row>
    <row r="157" spans="40:40" x14ac:dyDescent="0.25">
      <c r="AN157" s="22"/>
    </row>
    <row r="158" spans="40:40" x14ac:dyDescent="0.25">
      <c r="AN158" s="22"/>
    </row>
    <row r="159" spans="40:40" x14ac:dyDescent="0.25">
      <c r="AN159" s="22"/>
    </row>
    <row r="160" spans="40:40" x14ac:dyDescent="0.25">
      <c r="AN160" s="22"/>
    </row>
    <row r="161" spans="40:40" x14ac:dyDescent="0.25">
      <c r="AN161" s="22"/>
    </row>
    <row r="162" spans="40:40" x14ac:dyDescent="0.25">
      <c r="AN162" s="22"/>
    </row>
    <row r="163" spans="40:40" x14ac:dyDescent="0.25">
      <c r="AN163" s="22"/>
    </row>
  </sheetData>
  <dataValidations count="4">
    <dataValidation type="list" allowBlank="1" showInputMessage="1" showErrorMessage="1" sqref="B10" xr:uid="{C8DA1B0B-B3E0-4E5A-AF49-F4473966E3DB}">
      <formula1>"2BR_F,3BR_H"</formula1>
    </dataValidation>
    <dataValidation type="list" allowBlank="1" showInputMessage="1" showErrorMessage="1" sqref="B19" xr:uid="{4A8AE90F-EFD6-478B-AAE3-AB31839A644B}">
      <formula1>"Standard,Discounted"</formula1>
    </dataValidation>
    <dataValidation type="list" allowBlank="1" showInputMessage="1" showErrorMessage="1" sqref="B44" xr:uid="{20E607E8-5E58-43AD-85F6-01E2C73EFDDA}">
      <formula1>"Yes,No"</formula1>
    </dataValidation>
    <dataValidation type="list" allowBlank="1" showInputMessage="1" showErrorMessage="1" sqref="B49" xr:uid="{1C4C727B-8910-43C7-967A-B20B4FFEE570}">
      <formula1>"Discounted nominal gains,Real gains,No"</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86679F3-8E7F-4E78-A421-D2020E983445}">
          <x14:formula1>
            <xm:f>'2BR_F-processed'!$E$1:$F$1</xm:f>
          </x14:formula1>
          <xm:sqref>B13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4215-66E7-44EB-BB5D-03FE2969BA57}">
  <dimension ref="A1:B158"/>
  <sheetViews>
    <sheetView workbookViewId="0">
      <selection activeCell="B30" sqref="B30"/>
    </sheetView>
  </sheetViews>
  <sheetFormatPr defaultRowHeight="15" x14ac:dyDescent="0.25"/>
  <cols>
    <col min="1" max="1" width="12.5703125" customWidth="1"/>
    <col min="2" max="2" width="59.5703125" bestFit="1" customWidth="1"/>
  </cols>
  <sheetData>
    <row r="1" spans="1:2" x14ac:dyDescent="0.25">
      <c r="B1" t="s">
        <v>466</v>
      </c>
    </row>
    <row r="2" spans="1:2" x14ac:dyDescent="0.25">
      <c r="A2" s="1">
        <v>31747</v>
      </c>
      <c r="B2">
        <v>44.4</v>
      </c>
    </row>
    <row r="3" spans="1:2" x14ac:dyDescent="0.25">
      <c r="A3" s="1">
        <v>31837</v>
      </c>
      <c r="B3">
        <v>45.3</v>
      </c>
    </row>
    <row r="4" spans="1:2" x14ac:dyDescent="0.25">
      <c r="A4" s="1">
        <v>31929</v>
      </c>
      <c r="B4">
        <v>46.1</v>
      </c>
    </row>
    <row r="5" spans="1:2" x14ac:dyDescent="0.25">
      <c r="A5" s="1">
        <v>32021</v>
      </c>
      <c r="B5">
        <v>46.8</v>
      </c>
    </row>
    <row r="6" spans="1:2" x14ac:dyDescent="0.25">
      <c r="A6" s="1">
        <v>32112</v>
      </c>
      <c r="B6">
        <v>47.6</v>
      </c>
    </row>
    <row r="7" spans="1:2" x14ac:dyDescent="0.25">
      <c r="A7" s="1">
        <v>32203</v>
      </c>
      <c r="B7">
        <v>48.4</v>
      </c>
    </row>
    <row r="8" spans="1:2" x14ac:dyDescent="0.25">
      <c r="A8" s="1">
        <v>32295</v>
      </c>
      <c r="B8">
        <v>49.3</v>
      </c>
    </row>
    <row r="9" spans="1:2" x14ac:dyDescent="0.25">
      <c r="A9" s="1">
        <v>32387</v>
      </c>
      <c r="B9">
        <v>50.3</v>
      </c>
    </row>
    <row r="10" spans="1:2" x14ac:dyDescent="0.25">
      <c r="A10" s="1">
        <v>32478</v>
      </c>
      <c r="B10">
        <v>51.2</v>
      </c>
    </row>
    <row r="11" spans="1:2" x14ac:dyDescent="0.25">
      <c r="A11" s="1">
        <v>32568</v>
      </c>
      <c r="B11">
        <v>51.7</v>
      </c>
    </row>
    <row r="12" spans="1:2" x14ac:dyDescent="0.25">
      <c r="A12" s="1">
        <v>32660</v>
      </c>
      <c r="B12">
        <v>53.1</v>
      </c>
    </row>
    <row r="13" spans="1:2" x14ac:dyDescent="0.25">
      <c r="A13" s="1">
        <v>32752</v>
      </c>
      <c r="B13">
        <v>54.3</v>
      </c>
    </row>
    <row r="14" spans="1:2" x14ac:dyDescent="0.25">
      <c r="A14" s="1">
        <v>32843</v>
      </c>
      <c r="B14">
        <v>55.2</v>
      </c>
    </row>
    <row r="15" spans="1:2" x14ac:dyDescent="0.25">
      <c r="A15" s="1">
        <v>32933</v>
      </c>
      <c r="B15">
        <v>56.1</v>
      </c>
    </row>
    <row r="16" spans="1:2" x14ac:dyDescent="0.25">
      <c r="A16" s="1">
        <v>33025</v>
      </c>
      <c r="B16">
        <v>57.1</v>
      </c>
    </row>
    <row r="17" spans="1:2" x14ac:dyDescent="0.25">
      <c r="A17" s="1">
        <v>33117</v>
      </c>
      <c r="B17">
        <v>57.6</v>
      </c>
    </row>
    <row r="18" spans="1:2" x14ac:dyDescent="0.25">
      <c r="A18" s="1">
        <v>33208</v>
      </c>
      <c r="B18">
        <v>59</v>
      </c>
    </row>
    <row r="19" spans="1:2" x14ac:dyDescent="0.25">
      <c r="A19" s="1">
        <v>33298</v>
      </c>
      <c r="B19">
        <v>58.9</v>
      </c>
    </row>
    <row r="20" spans="1:2" x14ac:dyDescent="0.25">
      <c r="A20" s="1">
        <v>33390</v>
      </c>
      <c r="B20">
        <v>59.1</v>
      </c>
    </row>
    <row r="21" spans="1:2" x14ac:dyDescent="0.25">
      <c r="A21" s="1">
        <v>33482</v>
      </c>
      <c r="B21">
        <v>59.5</v>
      </c>
    </row>
    <row r="22" spans="1:2" x14ac:dyDescent="0.25">
      <c r="A22" s="1">
        <v>33573</v>
      </c>
      <c r="B22">
        <v>59.9</v>
      </c>
    </row>
    <row r="23" spans="1:2" x14ac:dyDescent="0.25">
      <c r="A23" s="1">
        <v>33664</v>
      </c>
      <c r="B23">
        <v>59.9</v>
      </c>
    </row>
    <row r="24" spans="1:2" x14ac:dyDescent="0.25">
      <c r="A24" s="1">
        <v>33756</v>
      </c>
      <c r="B24">
        <v>59.8</v>
      </c>
    </row>
    <row r="25" spans="1:2" x14ac:dyDescent="0.25">
      <c r="A25" s="1">
        <v>33848</v>
      </c>
      <c r="B25">
        <v>59.9</v>
      </c>
    </row>
    <row r="26" spans="1:2" x14ac:dyDescent="0.25">
      <c r="A26" s="1">
        <v>33939</v>
      </c>
      <c r="B26">
        <v>60.1</v>
      </c>
    </row>
    <row r="27" spans="1:2" x14ac:dyDescent="0.25">
      <c r="A27" s="1">
        <v>34029</v>
      </c>
      <c r="B27">
        <v>60.6</v>
      </c>
    </row>
    <row r="28" spans="1:2" x14ac:dyDescent="0.25">
      <c r="A28" s="1">
        <v>34121</v>
      </c>
      <c r="B28">
        <v>60.9</v>
      </c>
    </row>
    <row r="29" spans="1:2" x14ac:dyDescent="0.25">
      <c r="A29" s="1">
        <v>34213</v>
      </c>
      <c r="B29">
        <v>61.2</v>
      </c>
    </row>
    <row r="30" spans="1:2" x14ac:dyDescent="0.25">
      <c r="A30" s="1">
        <v>34304</v>
      </c>
      <c r="B30">
        <v>61.2</v>
      </c>
    </row>
    <row r="31" spans="1:2" x14ac:dyDescent="0.25">
      <c r="A31" s="1">
        <v>34394</v>
      </c>
      <c r="B31">
        <v>61.5</v>
      </c>
    </row>
    <row r="32" spans="1:2" x14ac:dyDescent="0.25">
      <c r="A32" s="1">
        <v>34486</v>
      </c>
      <c r="B32">
        <v>61.9</v>
      </c>
    </row>
    <row r="33" spans="1:2" x14ac:dyDescent="0.25">
      <c r="A33" s="1">
        <v>34578</v>
      </c>
      <c r="B33">
        <v>62.3</v>
      </c>
    </row>
    <row r="34" spans="1:2" x14ac:dyDescent="0.25">
      <c r="A34" s="1">
        <v>34669</v>
      </c>
      <c r="B34">
        <v>62.9</v>
      </c>
    </row>
    <row r="35" spans="1:2" x14ac:dyDescent="0.25">
      <c r="A35" s="1">
        <v>34759</v>
      </c>
      <c r="B35">
        <v>63.9</v>
      </c>
    </row>
    <row r="36" spans="1:2" x14ac:dyDescent="0.25">
      <c r="A36" s="1">
        <v>34851</v>
      </c>
      <c r="B36">
        <v>64.7</v>
      </c>
    </row>
    <row r="37" spans="1:2" x14ac:dyDescent="0.25">
      <c r="A37" s="1">
        <v>34943</v>
      </c>
      <c r="B37">
        <v>65.5</v>
      </c>
    </row>
    <row r="38" spans="1:2" x14ac:dyDescent="0.25">
      <c r="A38" s="1">
        <v>35034</v>
      </c>
      <c r="B38">
        <v>66</v>
      </c>
    </row>
    <row r="39" spans="1:2" x14ac:dyDescent="0.25">
      <c r="A39" s="1">
        <v>35125</v>
      </c>
      <c r="B39">
        <v>66.3</v>
      </c>
    </row>
    <row r="40" spans="1:2" x14ac:dyDescent="0.25">
      <c r="A40" s="1">
        <v>35217</v>
      </c>
      <c r="B40">
        <v>66.7</v>
      </c>
    </row>
    <row r="41" spans="1:2" x14ac:dyDescent="0.25">
      <c r="A41" s="1">
        <v>35309</v>
      </c>
      <c r="B41">
        <v>66.900000000000006</v>
      </c>
    </row>
    <row r="42" spans="1:2" x14ac:dyDescent="0.25">
      <c r="A42" s="1">
        <v>35400</v>
      </c>
      <c r="B42">
        <v>67.099999999999994</v>
      </c>
    </row>
    <row r="43" spans="1:2" x14ac:dyDescent="0.25">
      <c r="A43" s="1">
        <v>35490</v>
      </c>
      <c r="B43">
        <v>67.099999999999994</v>
      </c>
    </row>
    <row r="44" spans="1:2" x14ac:dyDescent="0.25">
      <c r="A44" s="1">
        <v>35582</v>
      </c>
      <c r="B44">
        <v>66.900000000000006</v>
      </c>
    </row>
    <row r="45" spans="1:2" x14ac:dyDescent="0.25">
      <c r="A45" s="1">
        <v>35674</v>
      </c>
      <c r="B45">
        <v>66.7</v>
      </c>
    </row>
    <row r="46" spans="1:2" x14ac:dyDescent="0.25">
      <c r="A46" s="1">
        <v>35765</v>
      </c>
      <c r="B46">
        <v>66.900000000000006</v>
      </c>
    </row>
    <row r="47" spans="1:2" x14ac:dyDescent="0.25">
      <c r="A47" s="1">
        <v>35855</v>
      </c>
      <c r="B47">
        <v>67</v>
      </c>
    </row>
    <row r="48" spans="1:2" x14ac:dyDescent="0.25">
      <c r="A48" s="1">
        <v>35947</v>
      </c>
      <c r="B48">
        <v>67.400000000000006</v>
      </c>
    </row>
    <row r="49" spans="1:2" x14ac:dyDescent="0.25">
      <c r="A49" s="1">
        <v>36039</v>
      </c>
      <c r="B49">
        <v>67.599999999999994</v>
      </c>
    </row>
    <row r="50" spans="1:2" x14ac:dyDescent="0.25">
      <c r="A50" s="1">
        <v>36130</v>
      </c>
      <c r="B50">
        <v>67.900000000000006</v>
      </c>
    </row>
    <row r="51" spans="1:2" x14ac:dyDescent="0.25">
      <c r="A51" s="1">
        <v>36220</v>
      </c>
      <c r="B51">
        <v>67.8</v>
      </c>
    </row>
    <row r="52" spans="1:2" x14ac:dyDescent="0.25">
      <c r="A52" s="1">
        <v>36312</v>
      </c>
      <c r="B52">
        <v>68.099999999999994</v>
      </c>
    </row>
    <row r="53" spans="1:2" x14ac:dyDescent="0.25">
      <c r="A53" s="1">
        <v>36404</v>
      </c>
      <c r="B53">
        <v>68.7</v>
      </c>
    </row>
    <row r="54" spans="1:2" x14ac:dyDescent="0.25">
      <c r="A54" s="1">
        <v>36495</v>
      </c>
      <c r="B54">
        <v>69.099999999999994</v>
      </c>
    </row>
    <row r="55" spans="1:2" x14ac:dyDescent="0.25">
      <c r="A55" s="1">
        <v>36586</v>
      </c>
      <c r="B55">
        <v>69.7</v>
      </c>
    </row>
    <row r="56" spans="1:2" x14ac:dyDescent="0.25">
      <c r="A56" s="1">
        <v>36678</v>
      </c>
      <c r="B56">
        <v>70.2</v>
      </c>
    </row>
    <row r="57" spans="1:2" x14ac:dyDescent="0.25">
      <c r="A57" s="1">
        <v>36770</v>
      </c>
      <c r="B57">
        <v>72.900000000000006</v>
      </c>
    </row>
    <row r="58" spans="1:2" x14ac:dyDescent="0.25">
      <c r="A58" s="1">
        <v>36861</v>
      </c>
      <c r="B58">
        <v>73.099999999999994</v>
      </c>
    </row>
    <row r="59" spans="1:2" x14ac:dyDescent="0.25">
      <c r="A59" s="1">
        <v>36951</v>
      </c>
      <c r="B59">
        <v>73.900000000000006</v>
      </c>
    </row>
    <row r="60" spans="1:2" x14ac:dyDescent="0.25">
      <c r="A60" s="1">
        <v>37043</v>
      </c>
      <c r="B60">
        <v>74.5</v>
      </c>
    </row>
    <row r="61" spans="1:2" x14ac:dyDescent="0.25">
      <c r="A61" s="1">
        <v>37135</v>
      </c>
      <c r="B61">
        <v>74.7</v>
      </c>
    </row>
    <row r="62" spans="1:2" x14ac:dyDescent="0.25">
      <c r="A62" s="1">
        <v>37226</v>
      </c>
      <c r="B62">
        <v>75.400000000000006</v>
      </c>
    </row>
    <row r="63" spans="1:2" x14ac:dyDescent="0.25">
      <c r="A63" s="1">
        <v>37316</v>
      </c>
      <c r="B63">
        <v>76.099999999999994</v>
      </c>
    </row>
    <row r="64" spans="1:2" x14ac:dyDescent="0.25">
      <c r="A64" s="1">
        <v>37408</v>
      </c>
      <c r="B64">
        <v>76.599999999999994</v>
      </c>
    </row>
    <row r="65" spans="1:2" x14ac:dyDescent="0.25">
      <c r="A65" s="1">
        <v>37500</v>
      </c>
      <c r="B65">
        <v>77.2</v>
      </c>
    </row>
    <row r="66" spans="1:2" x14ac:dyDescent="0.25">
      <c r="A66" s="1">
        <v>37591</v>
      </c>
      <c r="B66">
        <v>77.7</v>
      </c>
    </row>
    <row r="67" spans="1:2" x14ac:dyDescent="0.25">
      <c r="A67" s="1">
        <v>37681</v>
      </c>
      <c r="B67">
        <v>78.7</v>
      </c>
    </row>
    <row r="68" spans="1:2" x14ac:dyDescent="0.25">
      <c r="A68" s="1">
        <v>37773</v>
      </c>
      <c r="B68">
        <v>78.599999999999994</v>
      </c>
    </row>
    <row r="69" spans="1:2" x14ac:dyDescent="0.25">
      <c r="A69" s="1">
        <v>37865</v>
      </c>
      <c r="B69">
        <v>79.099999999999994</v>
      </c>
    </row>
    <row r="70" spans="1:2" x14ac:dyDescent="0.25">
      <c r="A70" s="1">
        <v>37956</v>
      </c>
      <c r="B70">
        <v>79.599999999999994</v>
      </c>
    </row>
    <row r="71" spans="1:2" x14ac:dyDescent="0.25">
      <c r="A71" s="1">
        <v>38047</v>
      </c>
      <c r="B71">
        <v>80.2</v>
      </c>
    </row>
    <row r="72" spans="1:2" x14ac:dyDescent="0.25">
      <c r="A72" s="1">
        <v>38139</v>
      </c>
      <c r="B72">
        <v>80.599999999999994</v>
      </c>
    </row>
    <row r="73" spans="1:2" x14ac:dyDescent="0.25">
      <c r="A73" s="1">
        <v>38231</v>
      </c>
      <c r="B73">
        <v>80.900000000000006</v>
      </c>
    </row>
    <row r="74" spans="1:2" x14ac:dyDescent="0.25">
      <c r="A74" s="1">
        <v>38322</v>
      </c>
      <c r="B74">
        <v>81.7</v>
      </c>
    </row>
    <row r="75" spans="1:2" x14ac:dyDescent="0.25">
      <c r="A75" s="1">
        <v>38412</v>
      </c>
      <c r="B75">
        <v>82.1</v>
      </c>
    </row>
    <row r="76" spans="1:2" x14ac:dyDescent="0.25">
      <c r="A76" s="1">
        <v>38504</v>
      </c>
      <c r="B76">
        <v>82.6</v>
      </c>
    </row>
    <row r="77" spans="1:2" x14ac:dyDescent="0.25">
      <c r="A77" s="1">
        <v>38596</v>
      </c>
      <c r="B77">
        <v>83.4</v>
      </c>
    </row>
    <row r="78" spans="1:2" x14ac:dyDescent="0.25">
      <c r="A78" s="1">
        <v>38687</v>
      </c>
      <c r="B78">
        <v>83.9</v>
      </c>
    </row>
    <row r="79" spans="1:2" x14ac:dyDescent="0.25">
      <c r="A79" s="1">
        <v>38777</v>
      </c>
      <c r="B79">
        <v>84.6</v>
      </c>
    </row>
    <row r="80" spans="1:2" x14ac:dyDescent="0.25">
      <c r="A80" s="1">
        <v>38869</v>
      </c>
      <c r="B80">
        <v>85.9</v>
      </c>
    </row>
    <row r="81" spans="1:2" x14ac:dyDescent="0.25">
      <c r="A81" s="1">
        <v>38961</v>
      </c>
      <c r="B81">
        <v>86.6</v>
      </c>
    </row>
    <row r="82" spans="1:2" x14ac:dyDescent="0.25">
      <c r="A82" s="1">
        <v>39052</v>
      </c>
      <c r="B82">
        <v>86.7</v>
      </c>
    </row>
    <row r="83" spans="1:2" x14ac:dyDescent="0.25">
      <c r="A83" s="1">
        <v>39142</v>
      </c>
      <c r="B83">
        <v>86.7</v>
      </c>
    </row>
    <row r="84" spans="1:2" x14ac:dyDescent="0.25">
      <c r="A84" s="1">
        <v>39234</v>
      </c>
      <c r="B84">
        <v>87.7</v>
      </c>
    </row>
    <row r="85" spans="1:2" x14ac:dyDescent="0.25">
      <c r="A85" s="1">
        <v>39326</v>
      </c>
      <c r="B85">
        <v>88.2</v>
      </c>
    </row>
    <row r="86" spans="1:2" x14ac:dyDescent="0.25">
      <c r="A86" s="1">
        <v>39417</v>
      </c>
      <c r="B86">
        <v>89.3</v>
      </c>
    </row>
    <row r="87" spans="1:2" x14ac:dyDescent="0.25">
      <c r="A87" s="1">
        <v>39508</v>
      </c>
      <c r="B87">
        <v>90.4</v>
      </c>
    </row>
    <row r="88" spans="1:2" x14ac:dyDescent="0.25">
      <c r="A88" s="1">
        <v>39600</v>
      </c>
      <c r="B88">
        <v>91.6</v>
      </c>
    </row>
    <row r="89" spans="1:2" x14ac:dyDescent="0.25">
      <c r="A89" s="1">
        <v>39692</v>
      </c>
      <c r="B89">
        <v>92.6</v>
      </c>
    </row>
    <row r="90" spans="1:2" x14ac:dyDescent="0.25">
      <c r="A90" s="1">
        <v>39783</v>
      </c>
      <c r="B90">
        <v>92.6</v>
      </c>
    </row>
    <row r="91" spans="1:2" x14ac:dyDescent="0.25">
      <c r="A91" s="1">
        <v>39873</v>
      </c>
      <c r="B91">
        <v>92.5</v>
      </c>
    </row>
    <row r="92" spans="1:2" x14ac:dyDescent="0.25">
      <c r="A92" s="1">
        <v>39965</v>
      </c>
      <c r="B92">
        <v>93</v>
      </c>
    </row>
    <row r="93" spans="1:2" x14ac:dyDescent="0.25">
      <c r="A93" s="1">
        <v>40057</v>
      </c>
      <c r="B93">
        <v>93.7</v>
      </c>
    </row>
    <row r="94" spans="1:2" x14ac:dyDescent="0.25">
      <c r="A94" s="1">
        <v>40148</v>
      </c>
      <c r="B94">
        <v>94.5</v>
      </c>
    </row>
    <row r="95" spans="1:2" x14ac:dyDescent="0.25">
      <c r="A95" s="1">
        <v>40238</v>
      </c>
      <c r="B95">
        <v>95.2</v>
      </c>
    </row>
    <row r="96" spans="1:2" x14ac:dyDescent="0.25">
      <c r="A96" s="1">
        <v>40330</v>
      </c>
      <c r="B96">
        <v>95.8</v>
      </c>
    </row>
    <row r="97" spans="1:2" x14ac:dyDescent="0.25">
      <c r="A97" s="1">
        <v>40422</v>
      </c>
      <c r="B97">
        <v>96.4</v>
      </c>
    </row>
    <row r="98" spans="1:2" x14ac:dyDescent="0.25">
      <c r="A98" s="1">
        <v>40513</v>
      </c>
      <c r="B98">
        <v>97</v>
      </c>
    </row>
    <row r="99" spans="1:2" x14ac:dyDescent="0.25">
      <c r="A99" s="1">
        <v>40603</v>
      </c>
      <c r="B99">
        <v>98.4</v>
      </c>
    </row>
    <row r="100" spans="1:2" x14ac:dyDescent="0.25">
      <c r="A100" s="1">
        <v>40695</v>
      </c>
      <c r="B100">
        <v>99.3</v>
      </c>
    </row>
    <row r="101" spans="1:2" x14ac:dyDescent="0.25">
      <c r="A101" s="1">
        <v>40787</v>
      </c>
      <c r="B101">
        <v>99.7</v>
      </c>
    </row>
    <row r="102" spans="1:2" x14ac:dyDescent="0.25">
      <c r="A102" s="1">
        <v>40878</v>
      </c>
      <c r="B102">
        <v>99.9</v>
      </c>
    </row>
    <row r="103" spans="1:2" x14ac:dyDescent="0.25">
      <c r="A103" s="1">
        <v>40969</v>
      </c>
      <c r="B103">
        <v>99.9</v>
      </c>
    </row>
    <row r="104" spans="1:2" x14ac:dyDescent="0.25">
      <c r="A104" s="1">
        <v>41061</v>
      </c>
      <c r="B104">
        <v>100.5</v>
      </c>
    </row>
    <row r="105" spans="1:2" x14ac:dyDescent="0.25">
      <c r="A105" s="1">
        <v>41153</v>
      </c>
      <c r="B105">
        <v>101.6</v>
      </c>
    </row>
    <row r="106" spans="1:2" x14ac:dyDescent="0.25">
      <c r="A106" s="1">
        <v>41244</v>
      </c>
      <c r="B106">
        <v>102</v>
      </c>
    </row>
    <row r="107" spans="1:2" x14ac:dyDescent="0.25">
      <c r="A107" s="1">
        <v>41334</v>
      </c>
      <c r="B107">
        <v>102.4</v>
      </c>
    </row>
    <row r="108" spans="1:2" x14ac:dyDescent="0.25">
      <c r="A108" s="1">
        <v>41426</v>
      </c>
      <c r="B108">
        <v>102.9</v>
      </c>
    </row>
    <row r="109" spans="1:2" x14ac:dyDescent="0.25">
      <c r="A109" s="1">
        <v>41518</v>
      </c>
      <c r="B109">
        <v>103.9</v>
      </c>
    </row>
    <row r="110" spans="1:2" x14ac:dyDescent="0.25">
      <c r="A110" s="1">
        <v>41609</v>
      </c>
      <c r="B110">
        <v>104.7</v>
      </c>
    </row>
    <row r="111" spans="1:2" x14ac:dyDescent="0.25">
      <c r="A111" s="1">
        <v>41699</v>
      </c>
      <c r="B111">
        <v>105.4</v>
      </c>
    </row>
    <row r="112" spans="1:2" x14ac:dyDescent="0.25">
      <c r="A112" s="1">
        <v>41791</v>
      </c>
      <c r="B112">
        <v>106.1</v>
      </c>
    </row>
    <row r="113" spans="1:2" x14ac:dyDescent="0.25">
      <c r="A113" s="1">
        <v>41883</v>
      </c>
      <c r="B113">
        <v>106.3</v>
      </c>
    </row>
    <row r="114" spans="1:2" x14ac:dyDescent="0.25">
      <c r="A114" s="1">
        <v>41974</v>
      </c>
      <c r="B114">
        <v>106.5</v>
      </c>
    </row>
    <row r="115" spans="1:2" x14ac:dyDescent="0.25">
      <c r="A115" s="1">
        <v>42064</v>
      </c>
      <c r="B115">
        <v>106.8</v>
      </c>
    </row>
    <row r="116" spans="1:2" x14ac:dyDescent="0.25">
      <c r="A116" s="1">
        <v>42156</v>
      </c>
      <c r="B116">
        <v>107.7</v>
      </c>
    </row>
    <row r="117" spans="1:2" x14ac:dyDescent="0.25">
      <c r="A117" s="1">
        <v>42248</v>
      </c>
      <c r="B117">
        <v>107.8</v>
      </c>
    </row>
    <row r="118" spans="1:2" x14ac:dyDescent="0.25">
      <c r="A118" s="1">
        <v>42339</v>
      </c>
      <c r="B118">
        <v>108.3</v>
      </c>
    </row>
    <row r="119" spans="1:2" x14ac:dyDescent="0.25">
      <c r="A119" s="1">
        <v>42430</v>
      </c>
      <c r="B119">
        <v>108.2</v>
      </c>
    </row>
    <row r="120" spans="1:2" x14ac:dyDescent="0.25">
      <c r="A120" s="1">
        <v>42522</v>
      </c>
      <c r="B120">
        <v>108.8</v>
      </c>
    </row>
    <row r="121" spans="1:2" x14ac:dyDescent="0.25">
      <c r="A121" s="1">
        <v>42614</v>
      </c>
      <c r="B121">
        <v>109.3</v>
      </c>
    </row>
    <row r="122" spans="1:2" x14ac:dyDescent="0.25">
      <c r="A122" s="1">
        <v>42705</v>
      </c>
      <c r="B122">
        <v>109.8</v>
      </c>
    </row>
    <row r="123" spans="1:2" x14ac:dyDescent="0.25">
      <c r="A123" s="1">
        <v>42795</v>
      </c>
      <c r="B123">
        <v>110.5</v>
      </c>
    </row>
    <row r="124" spans="1:2" x14ac:dyDescent="0.25">
      <c r="A124" s="1">
        <v>42887</v>
      </c>
      <c r="B124">
        <v>110.9</v>
      </c>
    </row>
    <row r="125" spans="1:2" x14ac:dyDescent="0.25">
      <c r="A125" s="1">
        <v>42979</v>
      </c>
      <c r="B125">
        <v>111.3</v>
      </c>
    </row>
    <row r="126" spans="1:2" x14ac:dyDescent="0.25">
      <c r="A126" s="1">
        <v>43070</v>
      </c>
      <c r="B126">
        <v>112.1</v>
      </c>
    </row>
    <row r="127" spans="1:2" x14ac:dyDescent="0.25">
      <c r="A127" s="1">
        <v>43160</v>
      </c>
      <c r="B127">
        <v>112.7</v>
      </c>
    </row>
    <row r="128" spans="1:2" x14ac:dyDescent="0.25">
      <c r="A128" s="1">
        <v>43252</v>
      </c>
      <c r="B128">
        <v>113.2</v>
      </c>
    </row>
    <row r="129" spans="1:2" x14ac:dyDescent="0.25">
      <c r="A129" s="1">
        <v>43344</v>
      </c>
      <c r="B129">
        <v>113.5</v>
      </c>
    </row>
    <row r="130" spans="1:2" x14ac:dyDescent="0.25">
      <c r="A130" s="1">
        <v>43435</v>
      </c>
      <c r="B130">
        <v>114</v>
      </c>
    </row>
    <row r="131" spans="1:2" x14ac:dyDescent="0.25">
      <c r="A131" s="1">
        <v>43525</v>
      </c>
      <c r="B131">
        <v>114.1</v>
      </c>
    </row>
    <row r="132" spans="1:2" x14ac:dyDescent="0.25">
      <c r="A132" s="1">
        <v>43617</v>
      </c>
      <c r="B132">
        <v>114.9</v>
      </c>
    </row>
    <row r="133" spans="1:2" x14ac:dyDescent="0.25">
      <c r="A133" s="1">
        <v>43709</v>
      </c>
      <c r="B133">
        <v>115.4</v>
      </c>
    </row>
    <row r="134" spans="1:2" x14ac:dyDescent="0.25">
      <c r="A134" s="1">
        <v>43800</v>
      </c>
      <c r="B134">
        <v>116.1</v>
      </c>
    </row>
    <row r="135" spans="1:2" x14ac:dyDescent="0.25">
      <c r="A135" s="1">
        <v>43891</v>
      </c>
      <c r="B135">
        <v>116.7</v>
      </c>
    </row>
    <row r="136" spans="1:2" x14ac:dyDescent="0.25">
      <c r="A136" s="1">
        <v>43983</v>
      </c>
      <c r="B136">
        <v>114.5</v>
      </c>
    </row>
    <row r="137" spans="1:2" x14ac:dyDescent="0.25">
      <c r="A137" s="1">
        <v>44075</v>
      </c>
      <c r="B137">
        <v>116.2</v>
      </c>
    </row>
    <row r="138" spans="1:2" x14ac:dyDescent="0.25">
      <c r="A138" s="1">
        <v>44166</v>
      </c>
      <c r="B138">
        <v>117.2</v>
      </c>
    </row>
    <row r="139" spans="1:2" x14ac:dyDescent="0.25">
      <c r="A139" s="1">
        <v>44256</v>
      </c>
      <c r="B139">
        <v>117.8</v>
      </c>
    </row>
    <row r="140" spans="1:2" x14ac:dyDescent="0.25">
      <c r="A140" s="1">
        <v>44348</v>
      </c>
      <c r="B140">
        <v>118.8</v>
      </c>
    </row>
    <row r="141" spans="1:2" x14ac:dyDescent="0.25">
      <c r="A141" s="1">
        <v>44440</v>
      </c>
      <c r="B141">
        <v>119.8</v>
      </c>
    </row>
    <row r="142" spans="1:2" x14ac:dyDescent="0.25">
      <c r="A142" s="1">
        <v>44531</v>
      </c>
      <c r="B142">
        <v>121.4</v>
      </c>
    </row>
    <row r="143" spans="1:2" x14ac:dyDescent="0.25">
      <c r="A143" s="1">
        <v>44621</v>
      </c>
      <c r="B143">
        <v>123.9</v>
      </c>
    </row>
    <row r="144" spans="1:2" x14ac:dyDescent="0.25">
      <c r="A144" s="1">
        <v>44713</v>
      </c>
      <c r="B144">
        <v>126.1</v>
      </c>
    </row>
    <row r="145" spans="1:2" x14ac:dyDescent="0.25">
      <c r="A145" s="1">
        <v>44805</v>
      </c>
      <c r="B145">
        <v>128.4</v>
      </c>
    </row>
    <row r="146" spans="1:2" x14ac:dyDescent="0.25">
      <c r="A146" s="1">
        <v>44896</v>
      </c>
      <c r="B146">
        <v>131</v>
      </c>
    </row>
    <row r="147" spans="1:2" x14ac:dyDescent="0.25">
      <c r="A147" s="1">
        <v>44986</v>
      </c>
      <c r="B147">
        <v>132.69999999999999</v>
      </c>
    </row>
    <row r="148" spans="1:2" x14ac:dyDescent="0.25">
      <c r="A148" s="1">
        <v>45078</v>
      </c>
      <c r="B148">
        <v>133.80000000000001</v>
      </c>
    </row>
    <row r="149" spans="1:2" x14ac:dyDescent="0.25">
      <c r="A149" s="1">
        <v>45170</v>
      </c>
      <c r="B149">
        <v>135.19999999999999</v>
      </c>
    </row>
    <row r="150" spans="1:2" x14ac:dyDescent="0.25">
      <c r="A150" s="1">
        <v>45261</v>
      </c>
      <c r="B150">
        <v>136.30000000000001</v>
      </c>
    </row>
    <row r="151" spans="1:2" x14ac:dyDescent="0.25">
      <c r="A151" s="1">
        <v>45352</v>
      </c>
      <c r="B151">
        <v>137.5</v>
      </c>
    </row>
    <row r="152" spans="1:2" x14ac:dyDescent="0.25">
      <c r="A152" s="1">
        <v>45444</v>
      </c>
      <c r="B152">
        <v>138.9</v>
      </c>
    </row>
    <row r="153" spans="1:2" x14ac:dyDescent="0.25">
      <c r="A153" s="1">
        <v>45536</v>
      </c>
      <c r="B153">
        <v>139.1</v>
      </c>
    </row>
    <row r="154" spans="1:2" x14ac:dyDescent="0.25">
      <c r="A154" s="1">
        <v>45627</v>
      </c>
      <c r="B154">
        <v>139.5</v>
      </c>
    </row>
    <row r="155" spans="1:2" x14ac:dyDescent="0.25">
      <c r="A155" s="1">
        <v>45717</v>
      </c>
      <c r="B155">
        <v>140.80000000000001</v>
      </c>
    </row>
    <row r="156" spans="1:2" x14ac:dyDescent="0.25">
      <c r="A156" s="1">
        <v>45809</v>
      </c>
      <c r="B156">
        <v>141.80000000000001</v>
      </c>
    </row>
    <row r="157" spans="1:2" x14ac:dyDescent="0.25">
      <c r="A157" s="1">
        <v>45901</v>
      </c>
      <c r="B157">
        <v>143.6</v>
      </c>
    </row>
    <row r="158" spans="1:2" x14ac:dyDescent="0.25">
      <c r="A158" s="1">
        <v>45992</v>
      </c>
      <c r="B158">
        <v>144.69999999999999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801B7-8FB8-446E-8A20-12BF0092375E}">
  <dimension ref="A1:F352"/>
  <sheetViews>
    <sheetView workbookViewId="0">
      <selection activeCell="C32" sqref="C32"/>
    </sheetView>
  </sheetViews>
  <sheetFormatPr defaultRowHeight="15" x14ac:dyDescent="0.25"/>
  <cols>
    <col min="1" max="1" width="10.42578125" bestFit="1" customWidth="1"/>
    <col min="2" max="2" width="10.42578125" customWidth="1"/>
    <col min="3" max="3" width="48.7109375" bestFit="1" customWidth="1"/>
    <col min="4" max="4" width="53" bestFit="1" customWidth="1"/>
    <col min="6" max="6" width="10.42578125" bestFit="1" customWidth="1"/>
  </cols>
  <sheetData>
    <row r="1" spans="1:4" x14ac:dyDescent="0.25">
      <c r="A1" s="28" t="s">
        <v>63</v>
      </c>
      <c r="B1" s="28" t="s">
        <v>304</v>
      </c>
      <c r="C1" s="28" t="s">
        <v>460</v>
      </c>
      <c r="D1" s="28" t="s">
        <v>461</v>
      </c>
    </row>
    <row r="2" spans="1:4" x14ac:dyDescent="0.25">
      <c r="A2" t="s">
        <v>349</v>
      </c>
      <c r="B2" s="3">
        <f>DATE(YEAR(A2),MONTH(A2)+1,1)</f>
        <v>35462</v>
      </c>
      <c r="C2">
        <v>419.26599499999998</v>
      </c>
      <c r="D2">
        <v>245.207708</v>
      </c>
    </row>
    <row r="3" spans="1:4" x14ac:dyDescent="0.25">
      <c r="A3" t="s">
        <v>350</v>
      </c>
      <c r="B3" s="3">
        <f t="shared" ref="B3:B66" si="0">DATE(YEAR(A3),MONTH(A3)+1,1)</f>
        <v>35490</v>
      </c>
      <c r="C3">
        <v>421.97543999999999</v>
      </c>
      <c r="D3">
        <v>249.744114</v>
      </c>
    </row>
    <row r="4" spans="1:4" x14ac:dyDescent="0.25">
      <c r="A4" t="s">
        <v>351</v>
      </c>
      <c r="B4" s="3">
        <f t="shared" si="0"/>
        <v>35521</v>
      </c>
      <c r="C4">
        <v>412.53766899999999</v>
      </c>
      <c r="D4">
        <v>247.58019400000001</v>
      </c>
    </row>
    <row r="5" spans="1:4" x14ac:dyDescent="0.25">
      <c r="A5" t="s">
        <v>352</v>
      </c>
      <c r="B5" s="3">
        <f t="shared" si="0"/>
        <v>35551</v>
      </c>
      <c r="C5">
        <v>421.84386999999998</v>
      </c>
      <c r="D5">
        <v>254.80865900000001</v>
      </c>
    </row>
    <row r="6" spans="1:4" x14ac:dyDescent="0.25">
      <c r="A6" t="s">
        <v>353</v>
      </c>
      <c r="B6" s="3">
        <f t="shared" si="0"/>
        <v>35582</v>
      </c>
      <c r="C6">
        <v>453.076662</v>
      </c>
      <c r="D6">
        <v>267.63286599999998</v>
      </c>
    </row>
    <row r="7" spans="1:4" x14ac:dyDescent="0.25">
      <c r="A7" t="s">
        <v>354</v>
      </c>
      <c r="B7" s="3">
        <f t="shared" si="0"/>
        <v>35612</v>
      </c>
      <c r="C7">
        <v>473.95344</v>
      </c>
      <c r="D7">
        <v>281.16866099999999</v>
      </c>
    </row>
    <row r="8" spans="1:4" x14ac:dyDescent="0.25">
      <c r="A8" t="s">
        <v>355</v>
      </c>
      <c r="B8" s="3">
        <f t="shared" si="0"/>
        <v>35643</v>
      </c>
      <c r="C8">
        <v>493.872681</v>
      </c>
      <c r="D8">
        <v>282.567724</v>
      </c>
    </row>
    <row r="9" spans="1:4" x14ac:dyDescent="0.25">
      <c r="A9" t="s">
        <v>356</v>
      </c>
      <c r="B9" s="3">
        <f t="shared" si="0"/>
        <v>35674</v>
      </c>
      <c r="C9">
        <v>468.06400400000001</v>
      </c>
      <c r="D9">
        <v>268.42931800000002</v>
      </c>
    </row>
    <row r="10" spans="1:4" x14ac:dyDescent="0.25">
      <c r="A10" t="s">
        <v>357</v>
      </c>
      <c r="B10" s="3">
        <f t="shared" si="0"/>
        <v>35704</v>
      </c>
      <c r="C10">
        <v>491.88310899999999</v>
      </c>
      <c r="D10">
        <v>287.58004599999998</v>
      </c>
    </row>
    <row r="11" spans="1:4" x14ac:dyDescent="0.25">
      <c r="A11" t="s">
        <v>358</v>
      </c>
      <c r="B11" s="3">
        <f t="shared" si="0"/>
        <v>35735</v>
      </c>
      <c r="C11">
        <v>467.52385700000002</v>
      </c>
      <c r="D11">
        <v>257.39946700000002</v>
      </c>
    </row>
    <row r="12" spans="1:4" x14ac:dyDescent="0.25">
      <c r="A12" t="s">
        <v>359</v>
      </c>
      <c r="B12" s="3">
        <f t="shared" si="0"/>
        <v>35765</v>
      </c>
      <c r="C12">
        <v>470.88535200000001</v>
      </c>
      <c r="D12">
        <v>258.770014</v>
      </c>
    </row>
    <row r="13" spans="1:4" x14ac:dyDescent="0.25">
      <c r="A13" t="s">
        <v>360</v>
      </c>
      <c r="B13" s="3">
        <f t="shared" si="0"/>
        <v>35796</v>
      </c>
      <c r="C13">
        <v>475.56997200000001</v>
      </c>
      <c r="D13">
        <v>278.75803500000001</v>
      </c>
    </row>
    <row r="14" spans="1:4" x14ac:dyDescent="0.25">
      <c r="A14" t="s">
        <v>361</v>
      </c>
      <c r="B14" s="3">
        <f t="shared" si="0"/>
        <v>35827</v>
      </c>
      <c r="C14">
        <v>487.18107199999997</v>
      </c>
      <c r="D14">
        <v>282.68164000000002</v>
      </c>
    </row>
    <row r="15" spans="1:4" x14ac:dyDescent="0.25">
      <c r="A15" t="s">
        <v>362</v>
      </c>
      <c r="B15" s="3">
        <f t="shared" si="0"/>
        <v>35855</v>
      </c>
      <c r="C15">
        <v>520.56558500000006</v>
      </c>
      <c r="D15">
        <v>292.18862899999999</v>
      </c>
    </row>
    <row r="16" spans="1:4" x14ac:dyDescent="0.25">
      <c r="A16" t="s">
        <v>363</v>
      </c>
      <c r="B16" s="3">
        <f t="shared" si="0"/>
        <v>35886</v>
      </c>
      <c r="C16">
        <v>542.45833400000004</v>
      </c>
      <c r="D16">
        <v>297.69347099999999</v>
      </c>
    </row>
    <row r="17" spans="1:4" x14ac:dyDescent="0.25">
      <c r="A17" t="s">
        <v>364</v>
      </c>
      <c r="B17" s="3">
        <f t="shared" si="0"/>
        <v>35916</v>
      </c>
      <c r="C17">
        <v>547.82319199999995</v>
      </c>
      <c r="D17">
        <v>297.31546800000001</v>
      </c>
    </row>
    <row r="18" spans="1:4" x14ac:dyDescent="0.25">
      <c r="A18" t="s">
        <v>365</v>
      </c>
      <c r="B18" s="3">
        <f t="shared" si="0"/>
        <v>35947</v>
      </c>
      <c r="C18">
        <v>540.83214299999997</v>
      </c>
      <c r="D18">
        <v>294.667507</v>
      </c>
    </row>
    <row r="19" spans="1:4" x14ac:dyDescent="0.25">
      <c r="A19" t="s">
        <v>366</v>
      </c>
      <c r="B19" s="3">
        <f t="shared" si="0"/>
        <v>35977</v>
      </c>
      <c r="C19">
        <v>550.43480499999998</v>
      </c>
      <c r="D19">
        <v>293.24988500000001</v>
      </c>
    </row>
    <row r="20" spans="1:4" x14ac:dyDescent="0.25">
      <c r="A20" t="s">
        <v>367</v>
      </c>
      <c r="B20" s="3">
        <f t="shared" si="0"/>
        <v>36008</v>
      </c>
      <c r="C20">
        <v>545.83012699999995</v>
      </c>
      <c r="D20">
        <v>301.50394299999999</v>
      </c>
    </row>
    <row r="21" spans="1:4" x14ac:dyDescent="0.25">
      <c r="A21" t="s">
        <v>368</v>
      </c>
      <c r="B21" s="3">
        <f t="shared" si="0"/>
        <v>36039</v>
      </c>
      <c r="C21">
        <v>469.555497</v>
      </c>
      <c r="D21">
        <v>279.68454500000001</v>
      </c>
    </row>
    <row r="22" spans="1:4" x14ac:dyDescent="0.25">
      <c r="A22" t="s">
        <v>369</v>
      </c>
      <c r="B22" s="3">
        <f t="shared" si="0"/>
        <v>36069</v>
      </c>
      <c r="C22">
        <v>479.354175</v>
      </c>
      <c r="D22">
        <v>292.49027799999999</v>
      </c>
    </row>
    <row r="23" spans="1:4" x14ac:dyDescent="0.25">
      <c r="A23" t="s">
        <v>370</v>
      </c>
      <c r="B23" s="3">
        <f t="shared" si="0"/>
        <v>36100</v>
      </c>
      <c r="C23">
        <v>520.18450900000005</v>
      </c>
      <c r="D23">
        <v>299.94997000000001</v>
      </c>
    </row>
    <row r="24" spans="1:4" x14ac:dyDescent="0.25">
      <c r="A24" t="s">
        <v>371</v>
      </c>
      <c r="B24" s="3">
        <f t="shared" si="0"/>
        <v>36130</v>
      </c>
      <c r="C24">
        <v>548.94135900000003</v>
      </c>
      <c r="D24">
        <v>317.80167599999999</v>
      </c>
    </row>
    <row r="25" spans="1:4" x14ac:dyDescent="0.25">
      <c r="A25" t="s">
        <v>372</v>
      </c>
      <c r="B25" s="3">
        <f t="shared" si="0"/>
        <v>36161</v>
      </c>
      <c r="C25">
        <v>576.87406099999998</v>
      </c>
      <c r="D25">
        <v>326.69956000000002</v>
      </c>
    </row>
    <row r="26" spans="1:4" x14ac:dyDescent="0.25">
      <c r="A26" t="s">
        <v>373</v>
      </c>
      <c r="B26" s="3">
        <f t="shared" si="0"/>
        <v>36192</v>
      </c>
      <c r="C26">
        <v>589.02460499999995</v>
      </c>
      <c r="D26">
        <v>341.27213999999998</v>
      </c>
    </row>
    <row r="27" spans="1:4" x14ac:dyDescent="0.25">
      <c r="A27" t="s">
        <v>374</v>
      </c>
      <c r="B27" s="3">
        <f t="shared" si="0"/>
        <v>36220</v>
      </c>
      <c r="C27">
        <v>571.30165199999999</v>
      </c>
      <c r="D27">
        <v>338.67590200000001</v>
      </c>
    </row>
    <row r="28" spans="1:4" x14ac:dyDescent="0.25">
      <c r="A28" t="s">
        <v>375</v>
      </c>
      <c r="B28" s="3">
        <f t="shared" si="0"/>
        <v>36251</v>
      </c>
      <c r="C28">
        <v>595.12350400000003</v>
      </c>
      <c r="D28">
        <v>349.72103800000002</v>
      </c>
    </row>
    <row r="29" spans="1:4" x14ac:dyDescent="0.25">
      <c r="A29" t="s">
        <v>376</v>
      </c>
      <c r="B29" s="3">
        <f t="shared" si="0"/>
        <v>36281</v>
      </c>
      <c r="C29">
        <v>623.09263199999998</v>
      </c>
      <c r="D29">
        <v>362.67756600000001</v>
      </c>
    </row>
    <row r="30" spans="1:4" x14ac:dyDescent="0.25">
      <c r="A30" t="s">
        <v>377</v>
      </c>
      <c r="B30" s="3">
        <f t="shared" si="0"/>
        <v>36312</v>
      </c>
      <c r="C30">
        <v>603.66703900000005</v>
      </c>
      <c r="D30">
        <v>341.25879600000002</v>
      </c>
    </row>
    <row r="31" spans="1:4" x14ac:dyDescent="0.25">
      <c r="A31" t="s">
        <v>378</v>
      </c>
      <c r="B31" s="3">
        <f t="shared" si="0"/>
        <v>36342</v>
      </c>
      <c r="C31">
        <v>632.94609400000002</v>
      </c>
      <c r="D31">
        <v>353.43616200000002</v>
      </c>
    </row>
    <row r="32" spans="1:4" x14ac:dyDescent="0.25">
      <c r="A32" t="s">
        <v>379</v>
      </c>
      <c r="B32" s="3">
        <f t="shared" si="0"/>
        <v>36373</v>
      </c>
      <c r="C32">
        <v>632.94434100000001</v>
      </c>
      <c r="D32">
        <v>357.66240900000003</v>
      </c>
    </row>
    <row r="33" spans="1:4" x14ac:dyDescent="0.25">
      <c r="A33" t="s">
        <v>380</v>
      </c>
      <c r="B33" s="3">
        <f t="shared" si="0"/>
        <v>36404</v>
      </c>
      <c r="C33">
        <v>634.60723099999996</v>
      </c>
      <c r="D33">
        <v>349.73998799999998</v>
      </c>
    </row>
    <row r="34" spans="1:4" x14ac:dyDescent="0.25">
      <c r="A34" t="s">
        <v>381</v>
      </c>
      <c r="B34" s="3">
        <f t="shared" si="0"/>
        <v>36434</v>
      </c>
      <c r="C34">
        <v>632.02789399999995</v>
      </c>
      <c r="D34">
        <v>345.53602100000001</v>
      </c>
    </row>
    <row r="35" spans="1:4" x14ac:dyDescent="0.25">
      <c r="A35" t="s">
        <v>382</v>
      </c>
      <c r="B35" s="3">
        <f t="shared" si="0"/>
        <v>36465</v>
      </c>
      <c r="C35">
        <v>663.264994</v>
      </c>
      <c r="D35">
        <v>346.95410600000002</v>
      </c>
    </row>
    <row r="36" spans="1:4" x14ac:dyDescent="0.25">
      <c r="A36" t="s">
        <v>383</v>
      </c>
      <c r="B36" s="3">
        <f t="shared" si="0"/>
        <v>36495</v>
      </c>
      <c r="C36">
        <v>690.32487800000001</v>
      </c>
      <c r="D36">
        <v>370.51854700000001</v>
      </c>
    </row>
    <row r="37" spans="1:4" x14ac:dyDescent="0.25">
      <c r="A37" t="s">
        <v>384</v>
      </c>
      <c r="B37" s="3">
        <f t="shared" si="0"/>
        <v>36526</v>
      </c>
      <c r="C37">
        <v>745.81840699999998</v>
      </c>
      <c r="D37">
        <v>379.19121799999999</v>
      </c>
    </row>
    <row r="38" spans="1:4" x14ac:dyDescent="0.25">
      <c r="A38" t="s">
        <v>385</v>
      </c>
      <c r="B38" s="3">
        <f t="shared" si="0"/>
        <v>36557</v>
      </c>
      <c r="C38">
        <v>709.30854399999998</v>
      </c>
      <c r="D38">
        <v>373.13591100000002</v>
      </c>
    </row>
    <row r="39" spans="1:4" x14ac:dyDescent="0.25">
      <c r="A39" t="s">
        <v>386</v>
      </c>
      <c r="B39" s="3">
        <f t="shared" si="0"/>
        <v>36586</v>
      </c>
      <c r="C39">
        <v>730.75816599999996</v>
      </c>
      <c r="D39">
        <v>378.41239000000002</v>
      </c>
    </row>
    <row r="40" spans="1:4" x14ac:dyDescent="0.25">
      <c r="A40" t="s">
        <v>387</v>
      </c>
      <c r="B40" s="3">
        <f t="shared" si="0"/>
        <v>36617</v>
      </c>
      <c r="C40">
        <v>761.42918399999996</v>
      </c>
      <c r="D40">
        <v>382.68910399999999</v>
      </c>
    </row>
    <row r="41" spans="1:4" x14ac:dyDescent="0.25">
      <c r="A41" t="s">
        <v>388</v>
      </c>
      <c r="B41" s="3">
        <f t="shared" si="0"/>
        <v>36647</v>
      </c>
      <c r="C41">
        <v>716.50829499999998</v>
      </c>
      <c r="D41">
        <v>377.67006900000001</v>
      </c>
    </row>
    <row r="42" spans="1:4" x14ac:dyDescent="0.25">
      <c r="A42" t="s">
        <v>389</v>
      </c>
      <c r="B42" s="3">
        <f t="shared" si="0"/>
        <v>36678</v>
      </c>
      <c r="C42">
        <v>691.711366</v>
      </c>
      <c r="D42">
        <v>371.946934</v>
      </c>
    </row>
    <row r="43" spans="1:4" x14ac:dyDescent="0.25">
      <c r="A43" t="s">
        <v>390</v>
      </c>
      <c r="B43" s="3">
        <f t="shared" si="0"/>
        <v>36708</v>
      </c>
      <c r="C43">
        <v>723.48165300000005</v>
      </c>
      <c r="D43">
        <v>398.62485600000002</v>
      </c>
    </row>
    <row r="44" spans="1:4" x14ac:dyDescent="0.25">
      <c r="A44" t="s">
        <v>391</v>
      </c>
      <c r="B44" s="3">
        <f t="shared" si="0"/>
        <v>36739</v>
      </c>
      <c r="C44">
        <v>700.33131600000002</v>
      </c>
      <c r="D44">
        <v>394.40840900000001</v>
      </c>
    </row>
    <row r="45" spans="1:4" x14ac:dyDescent="0.25">
      <c r="A45" t="s">
        <v>392</v>
      </c>
      <c r="B45" s="3">
        <f t="shared" si="0"/>
        <v>36770</v>
      </c>
      <c r="C45">
        <v>734.25646800000004</v>
      </c>
      <c r="D45">
        <v>397.64990899999998</v>
      </c>
    </row>
    <row r="46" spans="1:4" x14ac:dyDescent="0.25">
      <c r="A46" t="s">
        <v>393</v>
      </c>
      <c r="B46" s="3">
        <f t="shared" si="0"/>
        <v>36800</v>
      </c>
      <c r="C46">
        <v>697.733655</v>
      </c>
      <c r="D46">
        <v>398.73303399999998</v>
      </c>
    </row>
    <row r="47" spans="1:4" x14ac:dyDescent="0.25">
      <c r="A47" t="s">
        <v>394</v>
      </c>
      <c r="B47" s="3">
        <f t="shared" si="0"/>
        <v>36831</v>
      </c>
      <c r="C47">
        <v>676.89342699999997</v>
      </c>
      <c r="D47">
        <v>395.55164400000001</v>
      </c>
    </row>
    <row r="48" spans="1:4" x14ac:dyDescent="0.25">
      <c r="A48" t="s">
        <v>395</v>
      </c>
      <c r="B48" s="3">
        <f t="shared" si="0"/>
        <v>36861</v>
      </c>
      <c r="C48">
        <v>627.38469599999996</v>
      </c>
      <c r="D48">
        <v>399.26271500000001</v>
      </c>
    </row>
    <row r="49" spans="1:4" x14ac:dyDescent="0.25">
      <c r="A49" t="s">
        <v>396</v>
      </c>
      <c r="B49" s="3">
        <f t="shared" si="0"/>
        <v>36892</v>
      </c>
      <c r="C49">
        <v>641.01747399999999</v>
      </c>
      <c r="D49">
        <v>392.21904599999999</v>
      </c>
    </row>
    <row r="50" spans="1:4" x14ac:dyDescent="0.25">
      <c r="A50" t="s">
        <v>397</v>
      </c>
      <c r="B50" s="3">
        <f t="shared" si="0"/>
        <v>36923</v>
      </c>
      <c r="C50">
        <v>655.66203299999995</v>
      </c>
      <c r="D50">
        <v>411.012811</v>
      </c>
    </row>
    <row r="51" spans="1:4" x14ac:dyDescent="0.25">
      <c r="A51" t="s">
        <v>398</v>
      </c>
      <c r="B51" s="3">
        <f t="shared" si="0"/>
        <v>36951</v>
      </c>
      <c r="C51">
        <v>598.73344299999997</v>
      </c>
      <c r="D51">
        <v>407.13708600000001</v>
      </c>
    </row>
    <row r="52" spans="1:4" x14ac:dyDescent="0.25">
      <c r="A52" t="s">
        <v>399</v>
      </c>
      <c r="B52" s="3">
        <f t="shared" si="0"/>
        <v>36982</v>
      </c>
      <c r="C52">
        <v>556.67208900000003</v>
      </c>
      <c r="D52">
        <v>390.11319400000002</v>
      </c>
    </row>
    <row r="53" spans="1:4" x14ac:dyDescent="0.25">
      <c r="A53" t="s">
        <v>400</v>
      </c>
      <c r="B53" s="3">
        <f t="shared" si="0"/>
        <v>37012</v>
      </c>
      <c r="C53">
        <v>599.73245699999995</v>
      </c>
      <c r="D53">
        <v>411.44194099999999</v>
      </c>
    </row>
    <row r="54" spans="1:4" x14ac:dyDescent="0.25">
      <c r="A54" t="s">
        <v>401</v>
      </c>
      <c r="B54" s="3">
        <f t="shared" si="0"/>
        <v>37043</v>
      </c>
      <c r="C54">
        <v>594.57954099999995</v>
      </c>
      <c r="D54">
        <v>416.925454</v>
      </c>
    </row>
    <row r="55" spans="1:4" x14ac:dyDescent="0.25">
      <c r="A55" t="s">
        <v>402</v>
      </c>
      <c r="B55" s="3">
        <f t="shared" si="0"/>
        <v>37073</v>
      </c>
      <c r="C55">
        <v>577.97751400000004</v>
      </c>
      <c r="D55">
        <v>428.45855299999999</v>
      </c>
    </row>
    <row r="56" spans="1:4" x14ac:dyDescent="0.25">
      <c r="A56" t="s">
        <v>403</v>
      </c>
      <c r="B56" s="3">
        <f t="shared" si="0"/>
        <v>37104</v>
      </c>
      <c r="C56">
        <v>565.59589800000003</v>
      </c>
      <c r="D56">
        <v>408.67690199999998</v>
      </c>
    </row>
    <row r="57" spans="1:4" x14ac:dyDescent="0.25">
      <c r="A57" t="s">
        <v>404</v>
      </c>
      <c r="B57" s="3">
        <f t="shared" si="0"/>
        <v>37135</v>
      </c>
      <c r="C57">
        <v>540.64853900000003</v>
      </c>
      <c r="D57">
        <v>402.90077000000002</v>
      </c>
    </row>
    <row r="58" spans="1:4" x14ac:dyDescent="0.25">
      <c r="A58" t="s">
        <v>405</v>
      </c>
      <c r="B58" s="3">
        <f t="shared" si="0"/>
        <v>37165</v>
      </c>
      <c r="C58">
        <v>489.05500599999999</v>
      </c>
      <c r="D58">
        <v>379.40931899999998</v>
      </c>
    </row>
    <row r="59" spans="1:4" x14ac:dyDescent="0.25">
      <c r="A59" t="s">
        <v>406</v>
      </c>
      <c r="B59" s="3">
        <f t="shared" si="0"/>
        <v>37196</v>
      </c>
      <c r="C59">
        <v>502.47792900000002</v>
      </c>
      <c r="D59">
        <v>403.27659899999998</v>
      </c>
    </row>
    <row r="60" spans="1:4" x14ac:dyDescent="0.25">
      <c r="A60" t="s">
        <v>407</v>
      </c>
      <c r="B60" s="3">
        <f t="shared" si="0"/>
        <v>37226</v>
      </c>
      <c r="C60">
        <v>531.14396699999998</v>
      </c>
      <c r="D60">
        <v>418.04074100000003</v>
      </c>
    </row>
    <row r="61" spans="1:4" x14ac:dyDescent="0.25">
      <c r="A61" t="s">
        <v>408</v>
      </c>
      <c r="B61" s="3">
        <f t="shared" si="0"/>
        <v>37257</v>
      </c>
      <c r="C61">
        <v>535.84732699999995</v>
      </c>
      <c r="D61">
        <v>428.29222499999997</v>
      </c>
    </row>
    <row r="62" spans="1:4" x14ac:dyDescent="0.25">
      <c r="A62" t="s">
        <v>409</v>
      </c>
      <c r="B62" s="3">
        <f t="shared" si="0"/>
        <v>37288</v>
      </c>
      <c r="C62">
        <v>519.53382099999999</v>
      </c>
      <c r="D62">
        <v>433.33055400000001</v>
      </c>
    </row>
    <row r="63" spans="1:4" x14ac:dyDescent="0.25">
      <c r="A63" t="s">
        <v>410</v>
      </c>
      <c r="B63" s="3">
        <f t="shared" si="0"/>
        <v>37316</v>
      </c>
      <c r="C63">
        <v>514.53895</v>
      </c>
      <c r="D63">
        <v>427.75501300000002</v>
      </c>
    </row>
    <row r="64" spans="1:4" x14ac:dyDescent="0.25">
      <c r="A64" t="s">
        <v>411</v>
      </c>
      <c r="B64" s="3">
        <f t="shared" si="0"/>
        <v>37347</v>
      </c>
      <c r="C64">
        <v>539.98240899999996</v>
      </c>
      <c r="D64">
        <v>432.43544200000002</v>
      </c>
    </row>
    <row r="65" spans="1:4" x14ac:dyDescent="0.25">
      <c r="A65" t="s">
        <v>412</v>
      </c>
      <c r="B65" s="3">
        <f t="shared" si="0"/>
        <v>37377</v>
      </c>
      <c r="C65">
        <v>527.11614399999996</v>
      </c>
      <c r="D65">
        <v>423.91694799999999</v>
      </c>
    </row>
    <row r="66" spans="1:4" x14ac:dyDescent="0.25">
      <c r="A66" t="s">
        <v>413</v>
      </c>
      <c r="B66" s="3">
        <f t="shared" si="0"/>
        <v>37408</v>
      </c>
      <c r="C66">
        <v>529.05337899999995</v>
      </c>
      <c r="D66">
        <v>426.374011</v>
      </c>
    </row>
    <row r="67" spans="1:4" x14ac:dyDescent="0.25">
      <c r="A67" t="s">
        <v>414</v>
      </c>
      <c r="B67" s="3">
        <f t="shared" ref="B67:B130" si="1">DATE(YEAR(A67),MONTH(A67)+1,1)</f>
        <v>37438</v>
      </c>
      <c r="C67">
        <v>497.15596299999999</v>
      </c>
      <c r="D67">
        <v>409.86811299999999</v>
      </c>
    </row>
    <row r="68" spans="1:4" x14ac:dyDescent="0.25">
      <c r="A68" t="s">
        <v>415</v>
      </c>
      <c r="B68" s="3">
        <f t="shared" si="1"/>
        <v>37469</v>
      </c>
      <c r="C68">
        <v>454.70469500000002</v>
      </c>
      <c r="D68">
        <v>391.43480699999998</v>
      </c>
    </row>
    <row r="69" spans="1:4" x14ac:dyDescent="0.25">
      <c r="A69" t="s">
        <v>416</v>
      </c>
      <c r="B69" s="3">
        <f t="shared" si="1"/>
        <v>37500</v>
      </c>
      <c r="C69">
        <v>455.95183400000002</v>
      </c>
      <c r="D69">
        <v>397.88295799999997</v>
      </c>
    </row>
    <row r="70" spans="1:4" x14ac:dyDescent="0.25">
      <c r="A70" t="s">
        <v>417</v>
      </c>
      <c r="B70" s="3">
        <f t="shared" si="1"/>
        <v>37530</v>
      </c>
      <c r="C70">
        <v>408.70013899999998</v>
      </c>
      <c r="D70">
        <v>381.60909900000001</v>
      </c>
    </row>
    <row r="71" spans="1:4" x14ac:dyDescent="0.25">
      <c r="A71" t="s">
        <v>418</v>
      </c>
      <c r="B71" s="3">
        <f t="shared" si="1"/>
        <v>37561</v>
      </c>
      <c r="C71">
        <v>435.50903099999999</v>
      </c>
      <c r="D71">
        <v>392.030418</v>
      </c>
    </row>
    <row r="72" spans="1:4" x14ac:dyDescent="0.25">
      <c r="A72" t="s">
        <v>419</v>
      </c>
      <c r="B72" s="3">
        <f t="shared" si="1"/>
        <v>37591</v>
      </c>
      <c r="C72">
        <v>458.79289399999999</v>
      </c>
      <c r="D72">
        <v>397.08247299999999</v>
      </c>
    </row>
    <row r="73" spans="1:4" x14ac:dyDescent="0.25">
      <c r="A73" t="s">
        <v>420</v>
      </c>
      <c r="B73" s="3">
        <f t="shared" si="1"/>
        <v>37622</v>
      </c>
      <c r="C73">
        <v>438.05187100000001</v>
      </c>
      <c r="D73">
        <v>389.53384599999998</v>
      </c>
    </row>
    <row r="74" spans="1:4" x14ac:dyDescent="0.25">
      <c r="A74" t="s">
        <v>421</v>
      </c>
      <c r="B74" s="3">
        <f t="shared" si="1"/>
        <v>37653</v>
      </c>
      <c r="C74">
        <v>424.98913299999998</v>
      </c>
      <c r="D74">
        <v>382.469696</v>
      </c>
    </row>
    <row r="75" spans="1:4" x14ac:dyDescent="0.25">
      <c r="A75" t="s">
        <v>422</v>
      </c>
      <c r="B75" s="3">
        <f t="shared" si="1"/>
        <v>37681</v>
      </c>
      <c r="C75">
        <v>417.71146599999997</v>
      </c>
      <c r="D75">
        <v>365.23843799999997</v>
      </c>
    </row>
    <row r="76" spans="1:4" x14ac:dyDescent="0.25">
      <c r="A76" t="s">
        <v>423</v>
      </c>
      <c r="B76" s="3">
        <f t="shared" si="1"/>
        <v>37712</v>
      </c>
      <c r="C76">
        <v>417.12785600000001</v>
      </c>
      <c r="D76">
        <v>379.85224199999999</v>
      </c>
    </row>
    <row r="77" spans="1:4" x14ac:dyDescent="0.25">
      <c r="A77" t="s">
        <v>424</v>
      </c>
      <c r="B77" s="3">
        <f t="shared" si="1"/>
        <v>37742</v>
      </c>
      <c r="C77">
        <v>453.42995200000001</v>
      </c>
      <c r="D77">
        <v>396.40645699999999</v>
      </c>
    </row>
    <row r="78" spans="1:4" x14ac:dyDescent="0.25">
      <c r="A78" t="s">
        <v>425</v>
      </c>
      <c r="B78" s="3">
        <f t="shared" si="1"/>
        <v>37773</v>
      </c>
      <c r="C78">
        <v>481.76416999999998</v>
      </c>
      <c r="D78">
        <v>395.906949</v>
      </c>
    </row>
    <row r="79" spans="1:4" x14ac:dyDescent="0.25">
      <c r="A79" t="s">
        <v>426</v>
      </c>
      <c r="B79" s="3">
        <f t="shared" si="1"/>
        <v>37803</v>
      </c>
      <c r="C79">
        <v>490.56626399999999</v>
      </c>
      <c r="D79">
        <v>401.72944899999999</v>
      </c>
    </row>
    <row r="80" spans="1:4" x14ac:dyDescent="0.25">
      <c r="A80" t="s">
        <v>427</v>
      </c>
      <c r="B80" s="3">
        <f t="shared" si="1"/>
        <v>37834</v>
      </c>
      <c r="C80">
        <v>501.40116999999998</v>
      </c>
      <c r="D80">
        <v>414.16278199999999</v>
      </c>
    </row>
    <row r="81" spans="1:4" x14ac:dyDescent="0.25">
      <c r="A81" t="s">
        <v>428</v>
      </c>
      <c r="B81" s="3">
        <f t="shared" si="1"/>
        <v>37865</v>
      </c>
      <c r="C81">
        <v>513.93189900000004</v>
      </c>
      <c r="D81">
        <v>424.92341699999997</v>
      </c>
    </row>
    <row r="82" spans="1:4" x14ac:dyDescent="0.25">
      <c r="A82" t="s">
        <v>429</v>
      </c>
      <c r="B82" s="3">
        <f t="shared" si="1"/>
        <v>37895</v>
      </c>
      <c r="C82">
        <v>517.59826499999997</v>
      </c>
      <c r="D82">
        <v>423.67713300000003</v>
      </c>
    </row>
    <row r="83" spans="1:4" x14ac:dyDescent="0.25">
      <c r="A83" t="s">
        <v>430</v>
      </c>
      <c r="B83" s="3">
        <f t="shared" si="1"/>
        <v>37926</v>
      </c>
      <c r="C83">
        <v>549.31843200000003</v>
      </c>
      <c r="D83">
        <v>437.952045</v>
      </c>
    </row>
    <row r="84" spans="1:4" x14ac:dyDescent="0.25">
      <c r="A84" t="s">
        <v>431</v>
      </c>
      <c r="B84" s="3">
        <f t="shared" si="1"/>
        <v>37956</v>
      </c>
      <c r="C84">
        <v>558.16411200000005</v>
      </c>
      <c r="D84">
        <v>428.613112</v>
      </c>
    </row>
    <row r="85" spans="1:4" x14ac:dyDescent="0.25">
      <c r="A85" t="s">
        <v>432</v>
      </c>
      <c r="B85" s="3">
        <f t="shared" si="1"/>
        <v>37987</v>
      </c>
      <c r="C85">
        <v>590.551287</v>
      </c>
      <c r="D85">
        <v>445.54745200000002</v>
      </c>
    </row>
    <row r="86" spans="1:4" x14ac:dyDescent="0.25">
      <c r="A86" t="s">
        <v>433</v>
      </c>
      <c r="B86" s="3">
        <f t="shared" si="1"/>
        <v>38018</v>
      </c>
      <c r="C86">
        <v>602.12515800000006</v>
      </c>
      <c r="D86">
        <v>441.16674499999999</v>
      </c>
    </row>
    <row r="87" spans="1:4" x14ac:dyDescent="0.25">
      <c r="A87" t="s">
        <v>434</v>
      </c>
      <c r="B87" s="3">
        <f t="shared" si="1"/>
        <v>38047</v>
      </c>
      <c r="C87">
        <v>613.194253</v>
      </c>
      <c r="D87">
        <v>455.74374999999998</v>
      </c>
    </row>
    <row r="88" spans="1:4" x14ac:dyDescent="0.25">
      <c r="A88" t="s">
        <v>435</v>
      </c>
      <c r="B88" s="3">
        <f t="shared" si="1"/>
        <v>38078</v>
      </c>
      <c r="C88">
        <v>611.92215799999997</v>
      </c>
      <c r="D88">
        <v>467.21541999999999</v>
      </c>
    </row>
    <row r="89" spans="1:4" x14ac:dyDescent="0.25">
      <c r="A89" t="s">
        <v>436</v>
      </c>
      <c r="B89" s="3">
        <f t="shared" si="1"/>
        <v>38108</v>
      </c>
      <c r="C89">
        <v>597.30290600000001</v>
      </c>
      <c r="D89">
        <v>464.64449200000001</v>
      </c>
    </row>
    <row r="90" spans="1:4" x14ac:dyDescent="0.25">
      <c r="A90" t="s">
        <v>437</v>
      </c>
      <c r="B90" s="3">
        <f t="shared" si="1"/>
        <v>38139</v>
      </c>
      <c r="C90">
        <v>602.76812500000005</v>
      </c>
      <c r="D90">
        <v>474.19775099999998</v>
      </c>
    </row>
    <row r="91" spans="1:4" x14ac:dyDescent="0.25">
      <c r="A91" t="s">
        <v>438</v>
      </c>
      <c r="B91" s="3">
        <f t="shared" si="1"/>
        <v>38169</v>
      </c>
      <c r="C91">
        <v>616.60845900000004</v>
      </c>
      <c r="D91">
        <v>485.52058799999998</v>
      </c>
    </row>
    <row r="92" spans="1:4" x14ac:dyDescent="0.25">
      <c r="A92" t="s">
        <v>439</v>
      </c>
      <c r="B92" s="3">
        <f t="shared" si="1"/>
        <v>38200</v>
      </c>
      <c r="C92">
        <v>595.14427599999999</v>
      </c>
      <c r="D92">
        <v>487.06471499999998</v>
      </c>
    </row>
    <row r="93" spans="1:4" x14ac:dyDescent="0.25">
      <c r="A93" t="s">
        <v>440</v>
      </c>
      <c r="B93" s="3">
        <f t="shared" si="1"/>
        <v>38231</v>
      </c>
      <c r="C93">
        <v>597.33135200000004</v>
      </c>
      <c r="D93">
        <v>493.48162400000001</v>
      </c>
    </row>
    <row r="94" spans="1:4" x14ac:dyDescent="0.25">
      <c r="A94" t="s">
        <v>441</v>
      </c>
      <c r="B94" s="3">
        <f t="shared" si="1"/>
        <v>38261</v>
      </c>
      <c r="C94">
        <v>609.98534900000004</v>
      </c>
      <c r="D94">
        <v>512.36401000000001</v>
      </c>
    </row>
    <row r="95" spans="1:4" x14ac:dyDescent="0.25">
      <c r="A95" t="s">
        <v>442</v>
      </c>
      <c r="B95" s="3">
        <f t="shared" si="1"/>
        <v>38292</v>
      </c>
      <c r="C95">
        <v>624.76145299999996</v>
      </c>
      <c r="D95">
        <v>528.98198500000001</v>
      </c>
    </row>
    <row r="96" spans="1:4" x14ac:dyDescent="0.25">
      <c r="A96" t="s">
        <v>443</v>
      </c>
      <c r="B96" s="3">
        <f t="shared" si="1"/>
        <v>38322</v>
      </c>
      <c r="C96">
        <v>658.97651699999994</v>
      </c>
      <c r="D96">
        <v>552.68751299999997</v>
      </c>
    </row>
    <row r="97" spans="1:6" x14ac:dyDescent="0.25">
      <c r="A97" t="s">
        <v>444</v>
      </c>
      <c r="B97" s="3">
        <f t="shared" si="1"/>
        <v>38353</v>
      </c>
      <c r="C97">
        <v>684.59750399999996</v>
      </c>
      <c r="D97">
        <v>569.48878100000002</v>
      </c>
    </row>
    <row r="98" spans="1:6" x14ac:dyDescent="0.25">
      <c r="A98" t="s">
        <v>445</v>
      </c>
      <c r="B98" s="3">
        <f t="shared" si="1"/>
        <v>38384</v>
      </c>
      <c r="C98">
        <v>670.03907500000003</v>
      </c>
      <c r="D98">
        <v>580.95268799999997</v>
      </c>
    </row>
    <row r="99" spans="1:6" x14ac:dyDescent="0.25">
      <c r="A99" t="s">
        <v>446</v>
      </c>
      <c r="B99" s="3">
        <f t="shared" si="1"/>
        <v>38412</v>
      </c>
      <c r="C99">
        <v>691.13903000000005</v>
      </c>
      <c r="D99">
        <v>595.55734399999994</v>
      </c>
    </row>
    <row r="100" spans="1:6" x14ac:dyDescent="0.25">
      <c r="A100" t="s">
        <v>447</v>
      </c>
      <c r="B100" s="3">
        <f t="shared" si="1"/>
        <v>38443</v>
      </c>
      <c r="C100">
        <v>677.689123</v>
      </c>
      <c r="D100">
        <v>588.82971399999997</v>
      </c>
    </row>
    <row r="101" spans="1:6" x14ac:dyDescent="0.25">
      <c r="A101" t="s">
        <v>448</v>
      </c>
      <c r="B101" s="3">
        <f t="shared" si="1"/>
        <v>38473</v>
      </c>
      <c r="C101">
        <v>661.56467899999996</v>
      </c>
      <c r="D101">
        <v>572.65475100000003</v>
      </c>
    </row>
    <row r="102" spans="1:6" x14ac:dyDescent="0.25">
      <c r="A102" t="s">
        <v>449</v>
      </c>
      <c r="B102" s="3">
        <f t="shared" si="1"/>
        <v>38504</v>
      </c>
      <c r="C102">
        <v>675.335868</v>
      </c>
      <c r="D102">
        <v>588.799443</v>
      </c>
    </row>
    <row r="103" spans="1:6" x14ac:dyDescent="0.25">
      <c r="A103" t="s">
        <v>450</v>
      </c>
      <c r="B103" s="3">
        <f t="shared" si="1"/>
        <v>38534</v>
      </c>
      <c r="C103">
        <v>683.308854</v>
      </c>
      <c r="D103">
        <v>619.34059000000002</v>
      </c>
    </row>
    <row r="104" spans="1:6" x14ac:dyDescent="0.25">
      <c r="A104" t="s">
        <v>451</v>
      </c>
      <c r="B104" s="3">
        <f t="shared" si="1"/>
        <v>38565</v>
      </c>
      <c r="C104">
        <v>708.72342200000003</v>
      </c>
      <c r="D104">
        <v>636.22614499999997</v>
      </c>
    </row>
    <row r="105" spans="1:6" x14ac:dyDescent="0.25">
      <c r="A105" t="s">
        <v>452</v>
      </c>
      <c r="B105" s="3">
        <f t="shared" si="1"/>
        <v>38596</v>
      </c>
      <c r="C105">
        <v>713.86385600000006</v>
      </c>
      <c r="D105">
        <v>651.01550699999996</v>
      </c>
    </row>
    <row r="106" spans="1:6" x14ac:dyDescent="0.25">
      <c r="A106" t="s">
        <v>453</v>
      </c>
      <c r="B106" s="3">
        <f t="shared" si="1"/>
        <v>38626</v>
      </c>
      <c r="C106">
        <v>731.66832699999998</v>
      </c>
      <c r="D106">
        <v>686.90116399999999</v>
      </c>
    </row>
    <row r="107" spans="1:6" x14ac:dyDescent="0.25">
      <c r="A107" t="s">
        <v>454</v>
      </c>
      <c r="B107" s="3">
        <f t="shared" si="1"/>
        <v>38657</v>
      </c>
      <c r="C107">
        <v>713.93244600000003</v>
      </c>
      <c r="D107">
        <v>659.29257500000006</v>
      </c>
    </row>
    <row r="108" spans="1:6" x14ac:dyDescent="0.25">
      <c r="A108" t="s">
        <v>455</v>
      </c>
      <c r="B108" s="3">
        <f t="shared" si="1"/>
        <v>38687</v>
      </c>
      <c r="C108">
        <v>737.88902800000005</v>
      </c>
      <c r="D108">
        <v>690.71817999999996</v>
      </c>
    </row>
    <row r="109" spans="1:6" x14ac:dyDescent="0.25">
      <c r="A109" t="s">
        <v>456</v>
      </c>
      <c r="B109" s="3">
        <f t="shared" si="1"/>
        <v>38718</v>
      </c>
      <c r="C109">
        <v>754.87961099999995</v>
      </c>
      <c r="D109">
        <v>712.95624699999996</v>
      </c>
      <c r="F109" s="3"/>
    </row>
    <row r="110" spans="1:6" x14ac:dyDescent="0.25">
      <c r="A110" t="s">
        <v>64</v>
      </c>
      <c r="B110" s="3">
        <f t="shared" si="1"/>
        <v>38749</v>
      </c>
      <c r="C110">
        <v>791.29907400000002</v>
      </c>
      <c r="D110">
        <v>739.35562500000003</v>
      </c>
    </row>
    <row r="111" spans="1:6" x14ac:dyDescent="0.25">
      <c r="A111" t="s">
        <v>65</v>
      </c>
      <c r="B111" s="3">
        <f t="shared" si="1"/>
        <v>38777</v>
      </c>
      <c r="C111">
        <v>789.79312600000003</v>
      </c>
      <c r="D111">
        <v>743.83735200000001</v>
      </c>
    </row>
    <row r="112" spans="1:6" x14ac:dyDescent="0.25">
      <c r="A112" t="s">
        <v>66</v>
      </c>
      <c r="B112" s="3">
        <f t="shared" si="1"/>
        <v>38808</v>
      </c>
      <c r="C112">
        <v>809.32011899999998</v>
      </c>
      <c r="D112">
        <v>780.24346800000001</v>
      </c>
      <c r="F112" s="3"/>
    </row>
    <row r="113" spans="1:6" x14ac:dyDescent="0.25">
      <c r="A113" t="s">
        <v>67</v>
      </c>
      <c r="B113" s="3">
        <f t="shared" si="1"/>
        <v>38838</v>
      </c>
      <c r="C113">
        <v>832.75785599999995</v>
      </c>
      <c r="D113">
        <v>800.31266500000004</v>
      </c>
    </row>
    <row r="114" spans="1:6" x14ac:dyDescent="0.25">
      <c r="A114" t="s">
        <v>68</v>
      </c>
      <c r="B114" s="3">
        <f t="shared" si="1"/>
        <v>38869</v>
      </c>
      <c r="C114">
        <v>803.43851500000005</v>
      </c>
      <c r="D114">
        <v>763.36238100000003</v>
      </c>
    </row>
    <row r="115" spans="1:6" x14ac:dyDescent="0.25">
      <c r="A115" t="s">
        <v>69</v>
      </c>
      <c r="B115" s="3">
        <f t="shared" si="1"/>
        <v>38899</v>
      </c>
      <c r="C115">
        <v>802.64573099999996</v>
      </c>
      <c r="D115">
        <v>780.02674300000001</v>
      </c>
      <c r="F115" s="3"/>
    </row>
    <row r="116" spans="1:6" x14ac:dyDescent="0.25">
      <c r="A116" t="s">
        <v>70</v>
      </c>
      <c r="B116" s="3">
        <f t="shared" si="1"/>
        <v>38930</v>
      </c>
      <c r="C116">
        <v>805.27560300000005</v>
      </c>
      <c r="D116">
        <v>766.24458300000003</v>
      </c>
    </row>
    <row r="117" spans="1:6" x14ac:dyDescent="0.25">
      <c r="A117" t="s">
        <v>71</v>
      </c>
      <c r="B117" s="3">
        <f t="shared" si="1"/>
        <v>38961</v>
      </c>
      <c r="C117">
        <v>826.06136200000003</v>
      </c>
      <c r="D117">
        <v>792.22571000000005</v>
      </c>
    </row>
    <row r="118" spans="1:6" x14ac:dyDescent="0.25">
      <c r="A118" t="s">
        <v>72</v>
      </c>
      <c r="B118" s="3">
        <f t="shared" si="1"/>
        <v>38991</v>
      </c>
      <c r="C118">
        <v>835.13401499999998</v>
      </c>
      <c r="D118">
        <v>801.24066600000003</v>
      </c>
      <c r="F118" s="3"/>
    </row>
    <row r="119" spans="1:6" x14ac:dyDescent="0.25">
      <c r="A119" t="s">
        <v>73</v>
      </c>
      <c r="B119" s="3">
        <f t="shared" si="1"/>
        <v>39022</v>
      </c>
      <c r="C119">
        <v>866.42879000000005</v>
      </c>
      <c r="D119">
        <v>837.47286199999996</v>
      </c>
    </row>
    <row r="120" spans="1:6" x14ac:dyDescent="0.25">
      <c r="A120" t="s">
        <v>74</v>
      </c>
      <c r="B120" s="3">
        <f t="shared" si="1"/>
        <v>39052</v>
      </c>
      <c r="C120">
        <v>889.05699800000002</v>
      </c>
      <c r="D120">
        <v>856.06237399999998</v>
      </c>
    </row>
    <row r="121" spans="1:6" x14ac:dyDescent="0.25">
      <c r="A121" t="s">
        <v>75</v>
      </c>
      <c r="B121" s="3">
        <f t="shared" si="1"/>
        <v>39083</v>
      </c>
      <c r="C121">
        <v>906.58022200000005</v>
      </c>
      <c r="D121">
        <v>885.32149100000004</v>
      </c>
    </row>
    <row r="122" spans="1:6" x14ac:dyDescent="0.25">
      <c r="A122" t="s">
        <v>76</v>
      </c>
      <c r="B122" s="3">
        <f t="shared" si="1"/>
        <v>39114</v>
      </c>
      <c r="C122">
        <v>918.27120000000002</v>
      </c>
      <c r="D122">
        <v>902.41136300000005</v>
      </c>
    </row>
    <row r="123" spans="1:6" x14ac:dyDescent="0.25">
      <c r="A123" t="s">
        <v>77</v>
      </c>
      <c r="B123" s="3">
        <f t="shared" si="1"/>
        <v>39142</v>
      </c>
      <c r="C123">
        <v>914.90818100000001</v>
      </c>
      <c r="D123">
        <v>916.61606400000005</v>
      </c>
    </row>
    <row r="124" spans="1:6" x14ac:dyDescent="0.25">
      <c r="A124" t="s">
        <v>78</v>
      </c>
      <c r="B124" s="3">
        <f t="shared" si="1"/>
        <v>39173</v>
      </c>
      <c r="C124">
        <v>932.09759399999996</v>
      </c>
      <c r="D124">
        <v>946.08734200000004</v>
      </c>
    </row>
    <row r="125" spans="1:6" x14ac:dyDescent="0.25">
      <c r="A125" t="s">
        <v>79</v>
      </c>
      <c r="B125" s="3">
        <f t="shared" si="1"/>
        <v>39203</v>
      </c>
      <c r="C125">
        <v>971.96099900000002</v>
      </c>
      <c r="D125">
        <v>975.14952900000003</v>
      </c>
    </row>
    <row r="126" spans="1:6" x14ac:dyDescent="0.25">
      <c r="A126" t="s">
        <v>80</v>
      </c>
      <c r="B126" s="3">
        <f t="shared" si="1"/>
        <v>39234</v>
      </c>
      <c r="C126">
        <v>1000</v>
      </c>
      <c r="D126">
        <v>1000</v>
      </c>
    </row>
    <row r="127" spans="1:6" x14ac:dyDescent="0.25">
      <c r="A127" t="s">
        <v>81</v>
      </c>
      <c r="B127" s="3">
        <f t="shared" si="1"/>
        <v>39264</v>
      </c>
      <c r="C127">
        <v>991.70582300000001</v>
      </c>
      <c r="D127">
        <v>1000.983113</v>
      </c>
    </row>
    <row r="128" spans="1:6" x14ac:dyDescent="0.25">
      <c r="A128" t="s">
        <v>82</v>
      </c>
      <c r="B128" s="3">
        <f t="shared" si="1"/>
        <v>39295</v>
      </c>
      <c r="C128">
        <v>968.58951500000001</v>
      </c>
      <c r="D128">
        <v>978.68189099999995</v>
      </c>
    </row>
    <row r="129" spans="1:4" x14ac:dyDescent="0.25">
      <c r="A129" t="s">
        <v>83</v>
      </c>
      <c r="B129" s="3">
        <f t="shared" si="1"/>
        <v>39326</v>
      </c>
      <c r="C129">
        <v>966.14903300000003</v>
      </c>
      <c r="D129">
        <v>1004.835473</v>
      </c>
    </row>
    <row r="130" spans="1:4" x14ac:dyDescent="0.25">
      <c r="A130" t="s">
        <v>84</v>
      </c>
      <c r="B130" s="3">
        <f t="shared" si="1"/>
        <v>39356</v>
      </c>
      <c r="C130">
        <v>1009.870131</v>
      </c>
      <c r="D130">
        <v>1061.067018</v>
      </c>
    </row>
    <row r="131" spans="1:4" x14ac:dyDescent="0.25">
      <c r="A131" t="s">
        <v>85</v>
      </c>
      <c r="B131" s="3">
        <f t="shared" ref="B131:B194" si="2">DATE(YEAR(A131),MONTH(A131)+1,1)</f>
        <v>39387</v>
      </c>
      <c r="C131">
        <v>1042.1508899999999</v>
      </c>
      <c r="D131">
        <v>1091.8532560000001</v>
      </c>
    </row>
    <row r="132" spans="1:4" x14ac:dyDescent="0.25">
      <c r="A132" t="s">
        <v>86</v>
      </c>
      <c r="B132" s="3">
        <f t="shared" si="2"/>
        <v>39417</v>
      </c>
      <c r="C132">
        <v>997.11917800000003</v>
      </c>
      <c r="D132">
        <v>1059.551391</v>
      </c>
    </row>
    <row r="133" spans="1:4" x14ac:dyDescent="0.25">
      <c r="A133" t="s">
        <v>87</v>
      </c>
      <c r="B133" s="3">
        <f t="shared" si="2"/>
        <v>39448</v>
      </c>
      <c r="C133">
        <v>983.50383399999998</v>
      </c>
      <c r="D133">
        <v>1030.119647</v>
      </c>
    </row>
    <row r="134" spans="1:4" x14ac:dyDescent="0.25">
      <c r="A134" t="s">
        <v>88</v>
      </c>
      <c r="B134" s="3">
        <f t="shared" si="2"/>
        <v>39479</v>
      </c>
      <c r="C134">
        <v>908.21018000000004</v>
      </c>
      <c r="D134">
        <v>917.29253800000004</v>
      </c>
    </row>
    <row r="135" spans="1:4" x14ac:dyDescent="0.25">
      <c r="A135" t="s">
        <v>89</v>
      </c>
      <c r="B135" s="3">
        <f t="shared" si="2"/>
        <v>39508</v>
      </c>
      <c r="C135">
        <v>904.24873600000001</v>
      </c>
      <c r="D135">
        <v>909.515897</v>
      </c>
    </row>
    <row r="136" spans="1:4" x14ac:dyDescent="0.25">
      <c r="A136" t="s">
        <v>90</v>
      </c>
      <c r="B136" s="3">
        <f t="shared" si="2"/>
        <v>39539</v>
      </c>
      <c r="C136">
        <v>894.99836200000004</v>
      </c>
      <c r="D136">
        <v>881.21372699999995</v>
      </c>
    </row>
    <row r="137" spans="1:4" x14ac:dyDescent="0.25">
      <c r="A137" t="s">
        <v>91</v>
      </c>
      <c r="B137" s="3">
        <f t="shared" si="2"/>
        <v>39569</v>
      </c>
      <c r="C137">
        <v>941.002206</v>
      </c>
      <c r="D137">
        <v>925.23994400000004</v>
      </c>
    </row>
    <row r="138" spans="1:4" x14ac:dyDescent="0.25">
      <c r="A138" t="s">
        <v>92</v>
      </c>
      <c r="B138" s="3">
        <f t="shared" si="2"/>
        <v>39600</v>
      </c>
      <c r="C138">
        <v>958.34058800000003</v>
      </c>
      <c r="D138">
        <v>937.70794799999999</v>
      </c>
    </row>
    <row r="139" spans="1:4" x14ac:dyDescent="0.25">
      <c r="A139" t="s">
        <v>93</v>
      </c>
      <c r="B139" s="3">
        <f t="shared" si="2"/>
        <v>39630</v>
      </c>
      <c r="C139">
        <v>881.79173700000001</v>
      </c>
      <c r="D139">
        <v>867.41146500000002</v>
      </c>
    </row>
    <row r="140" spans="1:4" x14ac:dyDescent="0.25">
      <c r="A140" t="s">
        <v>94</v>
      </c>
      <c r="B140" s="3">
        <f t="shared" si="2"/>
        <v>39661</v>
      </c>
      <c r="C140">
        <v>860.930924</v>
      </c>
      <c r="D140">
        <v>826.17445299999997</v>
      </c>
    </row>
    <row r="141" spans="1:4" x14ac:dyDescent="0.25">
      <c r="A141" t="s">
        <v>95</v>
      </c>
      <c r="B141" s="3">
        <f t="shared" si="2"/>
        <v>39692</v>
      </c>
      <c r="C141">
        <v>850.22364800000003</v>
      </c>
      <c r="D141">
        <v>862.53920200000005</v>
      </c>
    </row>
    <row r="142" spans="1:4" x14ac:dyDescent="0.25">
      <c r="A142" t="s">
        <v>96</v>
      </c>
      <c r="B142" s="3">
        <f t="shared" si="2"/>
        <v>39722</v>
      </c>
      <c r="C142">
        <v>747.65997700000003</v>
      </c>
      <c r="D142">
        <v>775.74397499999998</v>
      </c>
    </row>
    <row r="143" spans="1:4" x14ac:dyDescent="0.25">
      <c r="A143" t="s">
        <v>97</v>
      </c>
      <c r="B143" s="3">
        <f t="shared" si="2"/>
        <v>39753</v>
      </c>
      <c r="C143">
        <v>602.63365599999997</v>
      </c>
      <c r="D143">
        <v>678.90937199999996</v>
      </c>
    </row>
    <row r="144" spans="1:4" x14ac:dyDescent="0.25">
      <c r="A144" t="s">
        <v>98</v>
      </c>
      <c r="B144" s="3">
        <f t="shared" si="2"/>
        <v>39783</v>
      </c>
      <c r="C144">
        <v>562.23226099999999</v>
      </c>
      <c r="D144">
        <v>633.23523599999999</v>
      </c>
    </row>
    <row r="145" spans="1:4" x14ac:dyDescent="0.25">
      <c r="A145" t="s">
        <v>99</v>
      </c>
      <c r="B145" s="3">
        <f t="shared" si="2"/>
        <v>39814</v>
      </c>
      <c r="C145">
        <v>582.01081599999998</v>
      </c>
      <c r="D145">
        <v>630.66129899999999</v>
      </c>
    </row>
    <row r="146" spans="1:4" x14ac:dyDescent="0.25">
      <c r="A146" t="s">
        <v>100</v>
      </c>
      <c r="B146" s="3">
        <f t="shared" si="2"/>
        <v>39845</v>
      </c>
      <c r="C146">
        <v>531.75176799999997</v>
      </c>
      <c r="D146">
        <v>598.43572400000005</v>
      </c>
    </row>
    <row r="147" spans="1:4" x14ac:dyDescent="0.25">
      <c r="A147" t="s">
        <v>101</v>
      </c>
      <c r="B147" s="3">
        <f t="shared" si="2"/>
        <v>39873</v>
      </c>
      <c r="C147">
        <v>477.20596</v>
      </c>
      <c r="D147">
        <v>571.91131800000005</v>
      </c>
    </row>
    <row r="148" spans="1:4" x14ac:dyDescent="0.25">
      <c r="A148" t="s">
        <v>102</v>
      </c>
      <c r="B148" s="3">
        <f t="shared" si="2"/>
        <v>39904</v>
      </c>
      <c r="C148">
        <v>513.55423199999996</v>
      </c>
      <c r="D148">
        <v>621.64895000000001</v>
      </c>
    </row>
    <row r="149" spans="1:4" x14ac:dyDescent="0.25">
      <c r="A149" t="s">
        <v>103</v>
      </c>
      <c r="B149" s="3">
        <f t="shared" si="2"/>
        <v>39934</v>
      </c>
      <c r="C149">
        <v>574.22196699999995</v>
      </c>
      <c r="D149">
        <v>657.99675400000001</v>
      </c>
    </row>
    <row r="150" spans="1:4" x14ac:dyDescent="0.25">
      <c r="A150" t="s">
        <v>104</v>
      </c>
      <c r="B150" s="3">
        <f t="shared" si="2"/>
        <v>39965</v>
      </c>
      <c r="C150">
        <v>626.00798199999997</v>
      </c>
      <c r="D150">
        <v>667.46358999999995</v>
      </c>
    </row>
    <row r="151" spans="1:4" x14ac:dyDescent="0.25">
      <c r="A151" t="s">
        <v>105</v>
      </c>
      <c r="B151" s="3">
        <f t="shared" si="2"/>
        <v>39995</v>
      </c>
      <c r="C151">
        <v>624.35597900000005</v>
      </c>
      <c r="D151">
        <v>694.44244900000001</v>
      </c>
    </row>
    <row r="152" spans="1:4" x14ac:dyDescent="0.25">
      <c r="A152" t="s">
        <v>106</v>
      </c>
      <c r="B152" s="3">
        <f t="shared" si="2"/>
        <v>40026</v>
      </c>
      <c r="C152">
        <v>677.47592099999997</v>
      </c>
      <c r="D152">
        <v>746.74750600000004</v>
      </c>
    </row>
    <row r="153" spans="1:4" x14ac:dyDescent="0.25">
      <c r="A153" t="s">
        <v>107</v>
      </c>
      <c r="B153" s="3">
        <f t="shared" si="2"/>
        <v>40057</v>
      </c>
      <c r="C153">
        <v>707.04081299999996</v>
      </c>
      <c r="D153">
        <v>797.87444200000004</v>
      </c>
    </row>
    <row r="154" spans="1:4" x14ac:dyDescent="0.25">
      <c r="A154" t="s">
        <v>108</v>
      </c>
      <c r="B154" s="3">
        <f t="shared" si="2"/>
        <v>40087</v>
      </c>
      <c r="C154">
        <v>736.86332800000002</v>
      </c>
      <c r="D154">
        <v>849.38296100000002</v>
      </c>
    </row>
    <row r="155" spans="1:4" x14ac:dyDescent="0.25">
      <c r="A155" t="s">
        <v>109</v>
      </c>
      <c r="B155" s="3">
        <f t="shared" si="2"/>
        <v>40118</v>
      </c>
      <c r="C155">
        <v>721.77847399999996</v>
      </c>
      <c r="D155">
        <v>831.73330299999998</v>
      </c>
    </row>
    <row r="156" spans="1:4" x14ac:dyDescent="0.25">
      <c r="A156" t="s">
        <v>110</v>
      </c>
      <c r="B156" s="3">
        <f t="shared" si="2"/>
        <v>40148</v>
      </c>
      <c r="C156">
        <v>749.75539100000003</v>
      </c>
      <c r="D156">
        <v>846.90827100000001</v>
      </c>
    </row>
    <row r="157" spans="1:4" x14ac:dyDescent="0.25">
      <c r="A157" t="s">
        <v>111</v>
      </c>
      <c r="B157" s="3">
        <f t="shared" si="2"/>
        <v>40179</v>
      </c>
      <c r="C157">
        <v>765.74116200000003</v>
      </c>
      <c r="D157">
        <v>878.343298</v>
      </c>
    </row>
    <row r="158" spans="1:4" x14ac:dyDescent="0.25">
      <c r="A158" t="s">
        <v>112</v>
      </c>
      <c r="B158" s="3">
        <f t="shared" si="2"/>
        <v>40210</v>
      </c>
      <c r="C158">
        <v>735.72610499999996</v>
      </c>
      <c r="D158">
        <v>825.12266299999999</v>
      </c>
    </row>
    <row r="159" spans="1:4" x14ac:dyDescent="0.25">
      <c r="A159" t="s">
        <v>113</v>
      </c>
      <c r="B159" s="3">
        <f t="shared" si="2"/>
        <v>40238</v>
      </c>
      <c r="C159">
        <v>746.93843700000002</v>
      </c>
      <c r="D159">
        <v>844.79941899999994</v>
      </c>
    </row>
    <row r="160" spans="1:4" x14ac:dyDescent="0.25">
      <c r="A160" t="s">
        <v>114</v>
      </c>
      <c r="B160" s="3">
        <f t="shared" si="2"/>
        <v>40269</v>
      </c>
      <c r="C160">
        <v>794.63717599999995</v>
      </c>
      <c r="D160">
        <v>893.60148100000004</v>
      </c>
    </row>
    <row r="161" spans="1:4" x14ac:dyDescent="0.25">
      <c r="A161" t="s">
        <v>115</v>
      </c>
      <c r="B161" s="3">
        <f t="shared" si="2"/>
        <v>40299</v>
      </c>
      <c r="C161">
        <v>798.66063399999996</v>
      </c>
      <c r="D161">
        <v>878.31767300000001</v>
      </c>
    </row>
    <row r="162" spans="1:4" x14ac:dyDescent="0.25">
      <c r="A162" t="s">
        <v>116</v>
      </c>
      <c r="B162" s="3">
        <f t="shared" si="2"/>
        <v>40330</v>
      </c>
      <c r="C162">
        <v>722.13463200000001</v>
      </c>
      <c r="D162">
        <v>810.3655</v>
      </c>
    </row>
    <row r="163" spans="1:4" x14ac:dyDescent="0.25">
      <c r="A163" t="s">
        <v>117</v>
      </c>
      <c r="B163" s="3">
        <f t="shared" si="2"/>
        <v>40360</v>
      </c>
      <c r="C163">
        <v>696.18017999999995</v>
      </c>
      <c r="D163">
        <v>786.77036999999996</v>
      </c>
    </row>
    <row r="164" spans="1:4" x14ac:dyDescent="0.25">
      <c r="A164" t="s">
        <v>118</v>
      </c>
      <c r="B164" s="3">
        <f t="shared" si="2"/>
        <v>40391</v>
      </c>
      <c r="C164">
        <v>752.30474800000002</v>
      </c>
      <c r="D164">
        <v>823.47481000000005</v>
      </c>
    </row>
    <row r="165" spans="1:4" x14ac:dyDescent="0.25">
      <c r="A165" t="s">
        <v>119</v>
      </c>
      <c r="B165" s="3">
        <f t="shared" si="2"/>
        <v>40422</v>
      </c>
      <c r="C165">
        <v>723.35562900000002</v>
      </c>
      <c r="D165">
        <v>815.33957699999996</v>
      </c>
    </row>
    <row r="166" spans="1:4" x14ac:dyDescent="0.25">
      <c r="A166" t="s">
        <v>120</v>
      </c>
      <c r="B166" s="3">
        <f t="shared" si="2"/>
        <v>40452</v>
      </c>
      <c r="C166">
        <v>792.86985700000002</v>
      </c>
      <c r="D166">
        <v>855.92990299999997</v>
      </c>
    </row>
    <row r="167" spans="1:4" x14ac:dyDescent="0.25">
      <c r="A167" t="s">
        <v>121</v>
      </c>
      <c r="B167" s="3">
        <f t="shared" si="2"/>
        <v>40483</v>
      </c>
      <c r="C167">
        <v>822.66059399999995</v>
      </c>
      <c r="D167">
        <v>871.68818999999996</v>
      </c>
    </row>
    <row r="168" spans="1:4" x14ac:dyDescent="0.25">
      <c r="A168" t="s">
        <v>122</v>
      </c>
      <c r="B168" s="3">
        <f t="shared" si="2"/>
        <v>40513</v>
      </c>
      <c r="C168">
        <v>807.79310999999996</v>
      </c>
      <c r="D168">
        <v>861.36674900000003</v>
      </c>
    </row>
    <row r="169" spans="1:4" x14ac:dyDescent="0.25">
      <c r="A169" t="s">
        <v>123</v>
      </c>
      <c r="B169" s="3">
        <f t="shared" si="2"/>
        <v>40544</v>
      </c>
      <c r="C169">
        <v>869.423677</v>
      </c>
      <c r="D169">
        <v>894.74693600000001</v>
      </c>
    </row>
    <row r="170" spans="1:4" x14ac:dyDescent="0.25">
      <c r="A170" t="s">
        <v>124</v>
      </c>
      <c r="B170" s="3">
        <f t="shared" si="2"/>
        <v>40575</v>
      </c>
      <c r="C170">
        <v>887.43276300000002</v>
      </c>
      <c r="D170">
        <v>896.15149699999995</v>
      </c>
    </row>
    <row r="171" spans="1:4" x14ac:dyDescent="0.25">
      <c r="A171" t="s">
        <v>125</v>
      </c>
      <c r="B171" s="3">
        <f t="shared" si="2"/>
        <v>40603</v>
      </c>
      <c r="C171">
        <v>919.16656599999999</v>
      </c>
      <c r="D171">
        <v>917.41523800000004</v>
      </c>
    </row>
    <row r="172" spans="1:4" x14ac:dyDescent="0.25">
      <c r="A172" t="s">
        <v>126</v>
      </c>
      <c r="B172" s="3">
        <f t="shared" si="2"/>
        <v>40634</v>
      </c>
      <c r="C172">
        <v>912.83803799999998</v>
      </c>
      <c r="D172">
        <v>924.58628799999997</v>
      </c>
    </row>
    <row r="173" spans="1:4" x14ac:dyDescent="0.25">
      <c r="A173" t="s">
        <v>127</v>
      </c>
      <c r="B173" s="3">
        <f t="shared" si="2"/>
        <v>40664</v>
      </c>
      <c r="C173">
        <v>951.03076599999997</v>
      </c>
      <c r="D173">
        <v>921.430026</v>
      </c>
    </row>
    <row r="174" spans="1:4" x14ac:dyDescent="0.25">
      <c r="A174" t="s">
        <v>128</v>
      </c>
      <c r="B174" s="3">
        <f t="shared" si="2"/>
        <v>40695</v>
      </c>
      <c r="C174">
        <v>931.32413899999995</v>
      </c>
      <c r="D174">
        <v>901.03274399999998</v>
      </c>
    </row>
    <row r="175" spans="1:4" x14ac:dyDescent="0.25">
      <c r="A175" t="s">
        <v>129</v>
      </c>
      <c r="B175" s="3">
        <f t="shared" si="2"/>
        <v>40725</v>
      </c>
      <c r="C175">
        <v>915.80493999999999</v>
      </c>
      <c r="D175">
        <v>884.12823400000002</v>
      </c>
    </row>
    <row r="176" spans="1:4" x14ac:dyDescent="0.25">
      <c r="A176" t="s">
        <v>130</v>
      </c>
      <c r="B176" s="3">
        <f t="shared" si="2"/>
        <v>40756</v>
      </c>
      <c r="C176">
        <v>898.54166099999998</v>
      </c>
      <c r="D176">
        <v>847.32953399999997</v>
      </c>
    </row>
    <row r="177" spans="1:4" x14ac:dyDescent="0.25">
      <c r="A177" t="s">
        <v>131</v>
      </c>
      <c r="B177" s="3">
        <f t="shared" si="2"/>
        <v>40787</v>
      </c>
      <c r="C177">
        <v>833.72213099999999</v>
      </c>
      <c r="D177">
        <v>829.35161300000004</v>
      </c>
    </row>
    <row r="178" spans="1:4" x14ac:dyDescent="0.25">
      <c r="A178" t="s">
        <v>132</v>
      </c>
      <c r="B178" s="3">
        <f t="shared" si="2"/>
        <v>40817</v>
      </c>
      <c r="C178">
        <v>758.748516</v>
      </c>
      <c r="D178">
        <v>776.26675599999999</v>
      </c>
    </row>
    <row r="179" spans="1:4" x14ac:dyDescent="0.25">
      <c r="A179" t="s">
        <v>133</v>
      </c>
      <c r="B179" s="3">
        <f t="shared" si="2"/>
        <v>40848</v>
      </c>
      <c r="C179">
        <v>838.72975299999996</v>
      </c>
      <c r="D179">
        <v>834.08701799999994</v>
      </c>
    </row>
    <row r="180" spans="1:4" x14ac:dyDescent="0.25">
      <c r="A180" t="s">
        <v>134</v>
      </c>
      <c r="B180" s="3">
        <f t="shared" si="2"/>
        <v>40878</v>
      </c>
      <c r="C180">
        <v>818.29438200000004</v>
      </c>
      <c r="D180">
        <v>803.72623199999998</v>
      </c>
    </row>
    <row r="181" spans="1:4" x14ac:dyDescent="0.25">
      <c r="A181" t="s">
        <v>135</v>
      </c>
      <c r="B181" s="3">
        <f t="shared" si="2"/>
        <v>40909</v>
      </c>
      <c r="C181">
        <v>816.97540400000003</v>
      </c>
      <c r="D181">
        <v>790.49635000000001</v>
      </c>
    </row>
    <row r="182" spans="1:4" x14ac:dyDescent="0.25">
      <c r="A182" t="s">
        <v>136</v>
      </c>
      <c r="B182" s="3">
        <f t="shared" si="2"/>
        <v>40940</v>
      </c>
      <c r="C182">
        <v>860.75132900000006</v>
      </c>
      <c r="D182">
        <v>832.33436900000004</v>
      </c>
    </row>
    <row r="183" spans="1:4" x14ac:dyDescent="0.25">
      <c r="A183" t="s">
        <v>137</v>
      </c>
      <c r="B183" s="3">
        <f t="shared" si="2"/>
        <v>40969</v>
      </c>
      <c r="C183">
        <v>902.40033100000005</v>
      </c>
      <c r="D183">
        <v>848.33347300000003</v>
      </c>
    </row>
    <row r="184" spans="1:4" x14ac:dyDescent="0.25">
      <c r="A184" t="s">
        <v>138</v>
      </c>
      <c r="B184" s="3">
        <f t="shared" si="2"/>
        <v>41000</v>
      </c>
      <c r="C184">
        <v>913.58723299999997</v>
      </c>
      <c r="D184">
        <v>858.531702</v>
      </c>
    </row>
    <row r="185" spans="1:4" x14ac:dyDescent="0.25">
      <c r="A185" t="s">
        <v>139</v>
      </c>
      <c r="B185" s="3">
        <f t="shared" si="2"/>
        <v>41030</v>
      </c>
      <c r="C185">
        <v>903.73513700000001</v>
      </c>
      <c r="D185">
        <v>869.04784099999995</v>
      </c>
    </row>
    <row r="186" spans="1:4" x14ac:dyDescent="0.25">
      <c r="A186" t="s">
        <v>140</v>
      </c>
      <c r="B186" s="3">
        <f t="shared" si="2"/>
        <v>41061</v>
      </c>
      <c r="C186">
        <v>825.36333999999999</v>
      </c>
      <c r="D186">
        <v>808.81192899999996</v>
      </c>
    </row>
    <row r="187" spans="1:4" x14ac:dyDescent="0.25">
      <c r="A187" t="s">
        <v>141</v>
      </c>
      <c r="B187" s="3">
        <f t="shared" si="2"/>
        <v>41091</v>
      </c>
      <c r="C187">
        <v>865.80589099999997</v>
      </c>
      <c r="D187">
        <v>813.09506399999998</v>
      </c>
    </row>
    <row r="188" spans="1:4" x14ac:dyDescent="0.25">
      <c r="A188" t="s">
        <v>142</v>
      </c>
      <c r="B188" s="3">
        <f t="shared" si="2"/>
        <v>41122</v>
      </c>
      <c r="C188">
        <v>875.33399299999996</v>
      </c>
      <c r="D188">
        <v>846.55208700000003</v>
      </c>
    </row>
    <row r="189" spans="1:4" x14ac:dyDescent="0.25">
      <c r="A189" t="s">
        <v>143</v>
      </c>
      <c r="B189" s="3">
        <f t="shared" si="2"/>
        <v>41153</v>
      </c>
      <c r="C189">
        <v>898.356583</v>
      </c>
      <c r="D189">
        <v>864.26377200000002</v>
      </c>
    </row>
    <row r="190" spans="1:4" x14ac:dyDescent="0.25">
      <c r="A190" t="s">
        <v>144</v>
      </c>
      <c r="B190" s="3">
        <f t="shared" si="2"/>
        <v>41183</v>
      </c>
      <c r="C190">
        <v>923.89950299999998</v>
      </c>
      <c r="D190">
        <v>883.33647499999995</v>
      </c>
    </row>
    <row r="191" spans="1:4" x14ac:dyDescent="0.25">
      <c r="A191" t="s">
        <v>145</v>
      </c>
      <c r="B191" s="3">
        <f t="shared" si="2"/>
        <v>41214</v>
      </c>
      <c r="C191">
        <v>917.76942299999996</v>
      </c>
      <c r="D191">
        <v>909.15834099999995</v>
      </c>
    </row>
    <row r="192" spans="1:4" x14ac:dyDescent="0.25">
      <c r="A192" t="s">
        <v>146</v>
      </c>
      <c r="B192" s="3">
        <f t="shared" si="2"/>
        <v>41244</v>
      </c>
      <c r="C192">
        <v>929.165569</v>
      </c>
      <c r="D192">
        <v>912.10675700000002</v>
      </c>
    </row>
    <row r="193" spans="1:4" x14ac:dyDescent="0.25">
      <c r="A193" t="s">
        <v>147</v>
      </c>
      <c r="B193" s="3">
        <f t="shared" si="2"/>
        <v>41275</v>
      </c>
      <c r="C193">
        <v>948.15110700000002</v>
      </c>
      <c r="D193">
        <v>943.69728799999996</v>
      </c>
    </row>
    <row r="194" spans="1:4" x14ac:dyDescent="0.25">
      <c r="A194" t="s">
        <v>148</v>
      </c>
      <c r="B194" s="3">
        <f t="shared" si="2"/>
        <v>41306</v>
      </c>
      <c r="C194">
        <v>997.35141499999997</v>
      </c>
      <c r="D194">
        <v>990.70101599999998</v>
      </c>
    </row>
    <row r="195" spans="1:4" x14ac:dyDescent="0.25">
      <c r="A195" t="s">
        <v>149</v>
      </c>
      <c r="B195" s="3">
        <f t="shared" ref="B195:B258" si="3">DATE(YEAR(A195),MONTH(A195)+1,1)</f>
        <v>41334</v>
      </c>
      <c r="C195">
        <v>999.84499500000004</v>
      </c>
      <c r="D195">
        <v>1045.6892989999999</v>
      </c>
    </row>
    <row r="196" spans="1:4" x14ac:dyDescent="0.25">
      <c r="A196" t="s">
        <v>150</v>
      </c>
      <c r="B196" s="3">
        <f t="shared" si="3"/>
        <v>41365</v>
      </c>
      <c r="C196">
        <v>1024.705295</v>
      </c>
      <c r="D196">
        <v>1021.5672520000001</v>
      </c>
    </row>
    <row r="197" spans="1:4" x14ac:dyDescent="0.25">
      <c r="A197" t="s">
        <v>151</v>
      </c>
      <c r="B197" s="3">
        <f t="shared" si="3"/>
        <v>41395</v>
      </c>
      <c r="C197">
        <v>1054.361656</v>
      </c>
      <c r="D197">
        <v>1064.8594909999999</v>
      </c>
    </row>
    <row r="198" spans="1:4" x14ac:dyDescent="0.25">
      <c r="A198" t="s">
        <v>152</v>
      </c>
      <c r="B198" s="3">
        <f t="shared" si="3"/>
        <v>41426</v>
      </c>
      <c r="C198">
        <v>1056.115992</v>
      </c>
      <c r="D198">
        <v>1013.127438</v>
      </c>
    </row>
    <row r="199" spans="1:4" x14ac:dyDescent="0.25">
      <c r="A199" t="s">
        <v>153</v>
      </c>
      <c r="B199" s="3">
        <f t="shared" si="3"/>
        <v>41456</v>
      </c>
      <c r="C199">
        <v>1030.5183939999999</v>
      </c>
      <c r="D199">
        <v>988.35138400000005</v>
      </c>
    </row>
    <row r="200" spans="1:4" x14ac:dyDescent="0.25">
      <c r="A200" t="s">
        <v>154</v>
      </c>
      <c r="B200" s="3">
        <f t="shared" si="3"/>
        <v>41487</v>
      </c>
      <c r="C200">
        <v>1086.3616199999999</v>
      </c>
      <c r="D200">
        <v>1040.0141149999999</v>
      </c>
    </row>
    <row r="201" spans="1:4" x14ac:dyDescent="0.25">
      <c r="A201" t="s">
        <v>155</v>
      </c>
      <c r="B201" s="3">
        <f t="shared" si="3"/>
        <v>41518</v>
      </c>
      <c r="C201">
        <v>1063.5324410000001</v>
      </c>
      <c r="D201">
        <v>1065.3797830000001</v>
      </c>
    </row>
    <row r="202" spans="1:4" x14ac:dyDescent="0.25">
      <c r="A202" t="s">
        <v>156</v>
      </c>
      <c r="B202" s="3">
        <f t="shared" si="3"/>
        <v>41548</v>
      </c>
      <c r="C202">
        <v>1119.437079</v>
      </c>
      <c r="D202">
        <v>1088.458187</v>
      </c>
    </row>
    <row r="203" spans="1:4" x14ac:dyDescent="0.25">
      <c r="A203" t="s">
        <v>157</v>
      </c>
      <c r="B203" s="3">
        <f t="shared" si="3"/>
        <v>41579</v>
      </c>
      <c r="C203">
        <v>1161.9863210000001</v>
      </c>
      <c r="D203">
        <v>1132.4048290000001</v>
      </c>
    </row>
    <row r="204" spans="1:4" x14ac:dyDescent="0.25">
      <c r="A204" t="s">
        <v>158</v>
      </c>
      <c r="B204" s="3">
        <f t="shared" si="3"/>
        <v>41609</v>
      </c>
      <c r="C204">
        <v>1182.692513</v>
      </c>
      <c r="D204">
        <v>1117.8321410000001</v>
      </c>
    </row>
    <row r="205" spans="1:4" x14ac:dyDescent="0.25">
      <c r="A205" t="s">
        <v>159</v>
      </c>
      <c r="B205" s="3">
        <f t="shared" si="3"/>
        <v>41640</v>
      </c>
      <c r="C205">
        <v>1208.107446</v>
      </c>
      <c r="D205">
        <v>1124.7671330000001</v>
      </c>
    </row>
    <row r="206" spans="1:4" x14ac:dyDescent="0.25">
      <c r="A206" t="s">
        <v>160</v>
      </c>
      <c r="B206" s="3">
        <f t="shared" si="3"/>
        <v>41671</v>
      </c>
      <c r="C206">
        <v>1166.364677</v>
      </c>
      <c r="D206">
        <v>1090.6775709999999</v>
      </c>
    </row>
    <row r="207" spans="1:4" x14ac:dyDescent="0.25">
      <c r="A207" t="s">
        <v>161</v>
      </c>
      <c r="B207" s="3">
        <f t="shared" si="3"/>
        <v>41699</v>
      </c>
      <c r="C207">
        <v>1225.1595030000001</v>
      </c>
      <c r="D207">
        <v>1146.1314159999999</v>
      </c>
    </row>
    <row r="208" spans="1:4" x14ac:dyDescent="0.25">
      <c r="A208" t="s">
        <v>162</v>
      </c>
      <c r="B208" s="3">
        <f t="shared" si="3"/>
        <v>41730</v>
      </c>
      <c r="C208">
        <v>1225.920044</v>
      </c>
      <c r="D208">
        <v>1149.5383919999999</v>
      </c>
    </row>
    <row r="209" spans="1:4" x14ac:dyDescent="0.25">
      <c r="A209" t="s">
        <v>163</v>
      </c>
      <c r="B209" s="3">
        <f t="shared" si="3"/>
        <v>41760</v>
      </c>
      <c r="C209">
        <v>1233.94615</v>
      </c>
      <c r="D209">
        <v>1169.1929600000001</v>
      </c>
    </row>
    <row r="210" spans="1:4" x14ac:dyDescent="0.25">
      <c r="A210" t="s">
        <v>164</v>
      </c>
      <c r="B210" s="3">
        <f t="shared" si="3"/>
        <v>41791</v>
      </c>
      <c r="C210">
        <v>1256.811226</v>
      </c>
      <c r="D210">
        <v>1175.800176</v>
      </c>
    </row>
    <row r="211" spans="1:4" x14ac:dyDescent="0.25">
      <c r="A211" t="s">
        <v>165</v>
      </c>
      <c r="B211" s="3">
        <f t="shared" si="3"/>
        <v>41821</v>
      </c>
      <c r="C211">
        <v>1282.9430809999999</v>
      </c>
      <c r="D211">
        <v>1158.3053090000001</v>
      </c>
    </row>
    <row r="212" spans="1:4" x14ac:dyDescent="0.25">
      <c r="A212" t="s">
        <v>166</v>
      </c>
      <c r="B212" s="3">
        <f t="shared" si="3"/>
        <v>41852</v>
      </c>
      <c r="C212">
        <v>1258.1219189999999</v>
      </c>
      <c r="D212">
        <v>1210.442202</v>
      </c>
    </row>
    <row r="213" spans="1:4" x14ac:dyDescent="0.25">
      <c r="A213" t="s">
        <v>167</v>
      </c>
      <c r="B213" s="3">
        <f t="shared" si="3"/>
        <v>41883</v>
      </c>
      <c r="C213">
        <v>1287.3417750000001</v>
      </c>
      <c r="D213">
        <v>1216.533979</v>
      </c>
    </row>
    <row r="214" spans="1:4" x14ac:dyDescent="0.25">
      <c r="A214" t="s">
        <v>168</v>
      </c>
      <c r="B214" s="3">
        <f t="shared" si="3"/>
        <v>41913</v>
      </c>
      <c r="C214">
        <v>1247.292238</v>
      </c>
      <c r="D214">
        <v>1150.6246120000001</v>
      </c>
    </row>
    <row r="215" spans="1:4" x14ac:dyDescent="0.25">
      <c r="A215" t="s">
        <v>169</v>
      </c>
      <c r="B215" s="3">
        <f t="shared" si="3"/>
        <v>41944</v>
      </c>
      <c r="C215">
        <v>1257.1149820000001</v>
      </c>
      <c r="D215">
        <v>1200.80934</v>
      </c>
    </row>
    <row r="216" spans="1:4" x14ac:dyDescent="0.25">
      <c r="A216" t="s">
        <v>170</v>
      </c>
      <c r="B216" s="3">
        <f t="shared" si="3"/>
        <v>41974</v>
      </c>
      <c r="C216">
        <v>1279.6631170000001</v>
      </c>
      <c r="D216">
        <v>1158.7389129999999</v>
      </c>
    </row>
    <row r="217" spans="1:4" x14ac:dyDescent="0.25">
      <c r="A217" t="s">
        <v>171</v>
      </c>
      <c r="B217" s="3">
        <f t="shared" si="3"/>
        <v>42005</v>
      </c>
      <c r="C217">
        <v>1262.6926370000001</v>
      </c>
      <c r="D217">
        <v>1181.3296580000001</v>
      </c>
    </row>
    <row r="218" spans="1:4" x14ac:dyDescent="0.25">
      <c r="A218" t="s">
        <v>172</v>
      </c>
      <c r="B218" s="3">
        <f t="shared" si="3"/>
        <v>42036</v>
      </c>
      <c r="C218">
        <v>1239.8204470000001</v>
      </c>
      <c r="D218">
        <v>1216.3028099999999</v>
      </c>
    </row>
    <row r="219" spans="1:4" x14ac:dyDescent="0.25">
      <c r="A219" t="s">
        <v>173</v>
      </c>
      <c r="B219" s="3">
        <f t="shared" si="3"/>
        <v>42064</v>
      </c>
      <c r="C219">
        <v>1312.9645479999999</v>
      </c>
      <c r="D219">
        <v>1303.8206479999999</v>
      </c>
    </row>
    <row r="220" spans="1:4" x14ac:dyDescent="0.25">
      <c r="A220" t="s">
        <v>174</v>
      </c>
      <c r="B220" s="3">
        <f t="shared" si="3"/>
        <v>42095</v>
      </c>
      <c r="C220">
        <v>1295.5072580000001</v>
      </c>
      <c r="D220">
        <v>1301.9298140000001</v>
      </c>
    </row>
    <row r="221" spans="1:4" x14ac:dyDescent="0.25">
      <c r="A221" t="s">
        <v>175</v>
      </c>
      <c r="B221" s="3">
        <f t="shared" si="3"/>
        <v>42125</v>
      </c>
      <c r="C221">
        <v>1323.3910330000001</v>
      </c>
      <c r="D221">
        <v>1278.5228079999999</v>
      </c>
    </row>
    <row r="222" spans="1:4" x14ac:dyDescent="0.25">
      <c r="A222" t="s">
        <v>176</v>
      </c>
      <c r="B222" s="3">
        <f t="shared" si="3"/>
        <v>42156</v>
      </c>
      <c r="C222">
        <v>1329.9075350000001</v>
      </c>
      <c r="D222">
        <v>1284.440351</v>
      </c>
    </row>
    <row r="223" spans="1:4" x14ac:dyDescent="0.25">
      <c r="A223" t="s">
        <v>177</v>
      </c>
      <c r="B223" s="3">
        <f t="shared" si="3"/>
        <v>42186</v>
      </c>
      <c r="C223">
        <v>1301.506973</v>
      </c>
      <c r="D223">
        <v>1215.1659059999999</v>
      </c>
    </row>
    <row r="224" spans="1:4" x14ac:dyDescent="0.25">
      <c r="A224" t="s">
        <v>178</v>
      </c>
      <c r="B224" s="3">
        <f t="shared" si="3"/>
        <v>42217</v>
      </c>
      <c r="C224">
        <v>1320.921155</v>
      </c>
      <c r="D224">
        <v>1266.3947559999999</v>
      </c>
    </row>
    <row r="225" spans="1:4" x14ac:dyDescent="0.25">
      <c r="A225" t="s">
        <v>179</v>
      </c>
      <c r="B225" s="3">
        <f t="shared" si="3"/>
        <v>42248</v>
      </c>
      <c r="C225">
        <v>1235.829283</v>
      </c>
      <c r="D225">
        <v>1168.419913</v>
      </c>
    </row>
    <row r="226" spans="1:4" x14ac:dyDescent="0.25">
      <c r="A226" t="s">
        <v>180</v>
      </c>
      <c r="B226" s="3">
        <f t="shared" si="3"/>
        <v>42278</v>
      </c>
      <c r="C226">
        <v>1189.2854910000001</v>
      </c>
      <c r="D226">
        <v>1131.230902</v>
      </c>
    </row>
    <row r="227" spans="1:4" x14ac:dyDescent="0.25">
      <c r="A227" t="s">
        <v>181</v>
      </c>
      <c r="B227" s="3">
        <f t="shared" si="3"/>
        <v>42309</v>
      </c>
      <c r="C227">
        <v>1280.0525500000001</v>
      </c>
      <c r="D227">
        <v>1182.3183509999999</v>
      </c>
    </row>
    <row r="228" spans="1:4" x14ac:dyDescent="0.25">
      <c r="A228" t="s">
        <v>182</v>
      </c>
      <c r="B228" s="3">
        <f t="shared" si="3"/>
        <v>42339</v>
      </c>
      <c r="C228">
        <v>1276.396923</v>
      </c>
      <c r="D228">
        <v>1173.1806200000001</v>
      </c>
    </row>
    <row r="229" spans="1:4" x14ac:dyDescent="0.25">
      <c r="A229" t="s">
        <v>183</v>
      </c>
      <c r="B229" s="3">
        <f t="shared" si="3"/>
        <v>42370</v>
      </c>
      <c r="C229">
        <v>1252.64913</v>
      </c>
      <c r="D229">
        <v>1204.1584660000001</v>
      </c>
    </row>
    <row r="230" spans="1:4" x14ac:dyDescent="0.25">
      <c r="A230" t="s">
        <v>184</v>
      </c>
      <c r="B230" s="3">
        <f t="shared" si="3"/>
        <v>42401</v>
      </c>
      <c r="C230">
        <v>1174.7232409999999</v>
      </c>
      <c r="D230">
        <v>1135.118189</v>
      </c>
    </row>
    <row r="231" spans="1:4" x14ac:dyDescent="0.25">
      <c r="A231" t="s">
        <v>185</v>
      </c>
      <c r="B231" s="3">
        <f t="shared" si="3"/>
        <v>42430</v>
      </c>
      <c r="C231">
        <v>1168.1742529999999</v>
      </c>
      <c r="D231">
        <v>1117.995437</v>
      </c>
    </row>
    <row r="232" spans="1:4" x14ac:dyDescent="0.25">
      <c r="A232" t="s">
        <v>186</v>
      </c>
      <c r="B232" s="3">
        <f t="shared" si="3"/>
        <v>42461</v>
      </c>
      <c r="C232">
        <v>1249.9268750000001</v>
      </c>
      <c r="D232">
        <v>1171.1690430000001</v>
      </c>
    </row>
    <row r="233" spans="1:4" x14ac:dyDescent="0.25">
      <c r="A233" t="s">
        <v>187</v>
      </c>
      <c r="B233" s="3">
        <f t="shared" si="3"/>
        <v>42491</v>
      </c>
      <c r="C233">
        <v>1270.9766320000001</v>
      </c>
      <c r="D233">
        <v>1213.2496169999999</v>
      </c>
    </row>
    <row r="234" spans="1:4" x14ac:dyDescent="0.25">
      <c r="A234" t="s">
        <v>188</v>
      </c>
      <c r="B234" s="3">
        <f t="shared" si="3"/>
        <v>42522</v>
      </c>
      <c r="C234">
        <v>1279.197525</v>
      </c>
      <c r="D234">
        <v>1248.5950009999999</v>
      </c>
    </row>
    <row r="235" spans="1:4" x14ac:dyDescent="0.25">
      <c r="A235" t="s">
        <v>189</v>
      </c>
      <c r="B235" s="3">
        <f t="shared" si="3"/>
        <v>42552</v>
      </c>
      <c r="C235">
        <v>1263.5195100000001</v>
      </c>
      <c r="D235">
        <v>1218.479752</v>
      </c>
    </row>
    <row r="236" spans="1:4" x14ac:dyDescent="0.25">
      <c r="A236" t="s">
        <v>190</v>
      </c>
      <c r="B236" s="3">
        <f t="shared" si="3"/>
        <v>42583</v>
      </c>
      <c r="C236">
        <v>1319.082611</v>
      </c>
      <c r="D236">
        <v>1295.1543349999999</v>
      </c>
    </row>
    <row r="237" spans="1:4" x14ac:dyDescent="0.25">
      <c r="A237" t="s">
        <v>191</v>
      </c>
      <c r="B237" s="3">
        <f t="shared" si="3"/>
        <v>42614</v>
      </c>
      <c r="C237">
        <v>1320.2884340000001</v>
      </c>
      <c r="D237">
        <v>1276.4174029999999</v>
      </c>
    </row>
    <row r="238" spans="1:4" x14ac:dyDescent="0.25">
      <c r="A238" t="s">
        <v>192</v>
      </c>
      <c r="B238" s="3">
        <f t="shared" si="3"/>
        <v>42644</v>
      </c>
      <c r="C238">
        <v>1329.025858</v>
      </c>
      <c r="D238">
        <v>1284.47801</v>
      </c>
    </row>
    <row r="239" spans="1:4" x14ac:dyDescent="0.25">
      <c r="A239" t="s">
        <v>193</v>
      </c>
      <c r="B239" s="3">
        <f t="shared" si="3"/>
        <v>42675</v>
      </c>
      <c r="C239">
        <v>1300.128228</v>
      </c>
      <c r="D239">
        <v>1259.1495629999999</v>
      </c>
    </row>
    <row r="240" spans="1:4" x14ac:dyDescent="0.25">
      <c r="A240" t="s">
        <v>194</v>
      </c>
      <c r="B240" s="3">
        <f t="shared" si="3"/>
        <v>42705</v>
      </c>
      <c r="C240">
        <v>1323.644141</v>
      </c>
      <c r="D240">
        <v>1297.1031390000001</v>
      </c>
    </row>
    <row r="241" spans="1:4" x14ac:dyDescent="0.25">
      <c r="A241" t="s">
        <v>195</v>
      </c>
      <c r="B241" s="3">
        <f t="shared" si="3"/>
        <v>42736</v>
      </c>
      <c r="C241">
        <v>1355.3009059999999</v>
      </c>
      <c r="D241">
        <v>1356.3584840000001</v>
      </c>
    </row>
    <row r="242" spans="1:4" x14ac:dyDescent="0.25">
      <c r="A242" t="s">
        <v>196</v>
      </c>
      <c r="B242" s="3">
        <f t="shared" si="3"/>
        <v>42767</v>
      </c>
      <c r="C242">
        <v>1387.801056</v>
      </c>
      <c r="D242">
        <v>1345.6171670000001</v>
      </c>
    </row>
    <row r="243" spans="1:4" x14ac:dyDescent="0.25">
      <c r="A243" t="s">
        <v>197</v>
      </c>
      <c r="B243" s="3">
        <f t="shared" si="3"/>
        <v>42795</v>
      </c>
      <c r="C243">
        <v>1425.076812</v>
      </c>
      <c r="D243">
        <v>1377.4070879999999</v>
      </c>
    </row>
    <row r="244" spans="1:4" x14ac:dyDescent="0.25">
      <c r="A244" t="s">
        <v>198</v>
      </c>
      <c r="B244" s="3">
        <f t="shared" si="3"/>
        <v>42826</v>
      </c>
      <c r="C244">
        <v>1439.6180119999999</v>
      </c>
      <c r="D244">
        <v>1424.068485</v>
      </c>
    </row>
    <row r="245" spans="1:4" x14ac:dyDescent="0.25">
      <c r="A245" t="s">
        <v>199</v>
      </c>
      <c r="B245" s="3">
        <f t="shared" si="3"/>
        <v>42856</v>
      </c>
      <c r="C245">
        <v>1461.967727</v>
      </c>
      <c r="D245">
        <v>1440.8862509999999</v>
      </c>
    </row>
    <row r="246" spans="1:4" x14ac:dyDescent="0.25">
      <c r="A246" t="s">
        <v>200</v>
      </c>
      <c r="B246" s="3">
        <f t="shared" si="3"/>
        <v>42887</v>
      </c>
      <c r="C246">
        <v>1489.951247</v>
      </c>
      <c r="D246">
        <v>1395.588694</v>
      </c>
    </row>
    <row r="247" spans="1:4" x14ac:dyDescent="0.25">
      <c r="A247" t="s">
        <v>201</v>
      </c>
      <c r="B247" s="3">
        <f t="shared" si="3"/>
        <v>42917</v>
      </c>
      <c r="C247">
        <v>1498.0163219999999</v>
      </c>
      <c r="D247">
        <v>1396.8056610000001</v>
      </c>
    </row>
    <row r="248" spans="1:4" x14ac:dyDescent="0.25">
      <c r="A248" t="s">
        <v>202</v>
      </c>
      <c r="B248" s="3">
        <f t="shared" si="3"/>
        <v>42948</v>
      </c>
      <c r="C248">
        <v>1533.6114279999999</v>
      </c>
      <c r="D248">
        <v>1399.659396</v>
      </c>
    </row>
    <row r="249" spans="1:4" x14ac:dyDescent="0.25">
      <c r="A249" t="s">
        <v>203</v>
      </c>
      <c r="B249" s="3">
        <f t="shared" si="3"/>
        <v>42979</v>
      </c>
      <c r="C249">
        <v>1535.357344</v>
      </c>
      <c r="D249">
        <v>1410.4325510000001</v>
      </c>
    </row>
    <row r="250" spans="1:4" x14ac:dyDescent="0.25">
      <c r="A250" t="s">
        <v>204</v>
      </c>
      <c r="B250" s="3">
        <f t="shared" si="3"/>
        <v>43009</v>
      </c>
      <c r="C250">
        <v>1573.3488809999999</v>
      </c>
      <c r="D250">
        <v>1410.9739790000001</v>
      </c>
    </row>
    <row r="251" spans="1:4" x14ac:dyDescent="0.25">
      <c r="A251" t="s">
        <v>205</v>
      </c>
      <c r="B251" s="3">
        <f t="shared" si="3"/>
        <v>43040</v>
      </c>
      <c r="C251">
        <v>1602.1399630000001</v>
      </c>
      <c r="D251">
        <v>1467.7666369999999</v>
      </c>
    </row>
    <row r="252" spans="1:4" x14ac:dyDescent="0.25">
      <c r="A252" t="s">
        <v>206</v>
      </c>
      <c r="B252" s="3">
        <f t="shared" si="3"/>
        <v>43070</v>
      </c>
      <c r="C252">
        <v>1636.8935879999999</v>
      </c>
      <c r="D252">
        <v>1493.748163</v>
      </c>
    </row>
    <row r="253" spans="1:4" x14ac:dyDescent="0.25">
      <c r="A253" t="s">
        <v>207</v>
      </c>
      <c r="B253" s="3">
        <f t="shared" si="3"/>
        <v>43101</v>
      </c>
      <c r="C253">
        <v>1659.3666479999999</v>
      </c>
      <c r="D253">
        <v>1521.502109</v>
      </c>
    </row>
    <row r="254" spans="1:4" x14ac:dyDescent="0.25">
      <c r="A254" t="s">
        <v>208</v>
      </c>
      <c r="B254" s="3">
        <f t="shared" si="3"/>
        <v>43132</v>
      </c>
      <c r="C254">
        <v>1743.0612860000001</v>
      </c>
      <c r="D254">
        <v>1513.237273</v>
      </c>
    </row>
    <row r="255" spans="1:4" x14ac:dyDescent="0.25">
      <c r="A255" t="s">
        <v>209</v>
      </c>
      <c r="B255" s="3">
        <f t="shared" si="3"/>
        <v>43160</v>
      </c>
      <c r="C255">
        <v>1671.1820620000001</v>
      </c>
      <c r="D255">
        <v>1517.925035</v>
      </c>
    </row>
    <row r="256" spans="1:4" x14ac:dyDescent="0.25">
      <c r="A256" t="s">
        <v>210</v>
      </c>
      <c r="B256" s="3">
        <f t="shared" si="3"/>
        <v>43191</v>
      </c>
      <c r="C256">
        <v>1639.7568659999999</v>
      </c>
      <c r="D256">
        <v>1460.9362550000001</v>
      </c>
    </row>
    <row r="257" spans="1:4" x14ac:dyDescent="0.25">
      <c r="A257" t="s">
        <v>211</v>
      </c>
      <c r="B257" s="3">
        <f t="shared" si="3"/>
        <v>43221</v>
      </c>
      <c r="C257">
        <v>1658.085163</v>
      </c>
      <c r="D257">
        <v>1519.358479</v>
      </c>
    </row>
    <row r="258" spans="1:4" x14ac:dyDescent="0.25">
      <c r="A258" t="s">
        <v>212</v>
      </c>
      <c r="B258" s="3">
        <f t="shared" si="3"/>
        <v>43252</v>
      </c>
      <c r="C258">
        <v>1673.063488</v>
      </c>
      <c r="D258">
        <v>1538.849494</v>
      </c>
    </row>
    <row r="259" spans="1:4" x14ac:dyDescent="0.25">
      <c r="A259" t="s">
        <v>213</v>
      </c>
      <c r="B259" s="3">
        <f t="shared" ref="B259:B322" si="4">DATE(YEAR(A259),MONTH(A259)+1,1)</f>
        <v>43282</v>
      </c>
      <c r="C259">
        <v>1671.6050210000001</v>
      </c>
      <c r="D259">
        <v>1590.772543</v>
      </c>
    </row>
    <row r="260" spans="1:4" x14ac:dyDescent="0.25">
      <c r="A260" t="s">
        <v>214</v>
      </c>
      <c r="B260" s="3">
        <f t="shared" si="4"/>
        <v>43313</v>
      </c>
      <c r="C260">
        <v>1719.3895379999999</v>
      </c>
      <c r="D260">
        <v>1610.731295</v>
      </c>
    </row>
    <row r="261" spans="1:4" x14ac:dyDescent="0.25">
      <c r="A261" t="s">
        <v>215</v>
      </c>
      <c r="B261" s="3">
        <f t="shared" si="4"/>
        <v>43344</v>
      </c>
      <c r="C261">
        <v>1742.9115409999999</v>
      </c>
      <c r="D261">
        <v>1629.8424399999999</v>
      </c>
    </row>
    <row r="262" spans="1:4" x14ac:dyDescent="0.25">
      <c r="A262" t="s">
        <v>216</v>
      </c>
      <c r="B262" s="3">
        <f t="shared" si="4"/>
        <v>43374</v>
      </c>
      <c r="C262">
        <v>1747.837315</v>
      </c>
      <c r="D262">
        <v>1610.255349</v>
      </c>
    </row>
    <row r="263" spans="1:4" x14ac:dyDescent="0.25">
      <c r="A263" t="s">
        <v>217</v>
      </c>
      <c r="B263" s="3">
        <f t="shared" si="4"/>
        <v>43405</v>
      </c>
      <c r="C263">
        <v>1613.4191129999999</v>
      </c>
      <c r="D263">
        <v>1513.3143110000001</v>
      </c>
    </row>
    <row r="264" spans="1:4" x14ac:dyDescent="0.25">
      <c r="A264" t="s">
        <v>218</v>
      </c>
      <c r="B264" s="3">
        <f t="shared" si="4"/>
        <v>43435</v>
      </c>
      <c r="C264">
        <v>1630.6994769999999</v>
      </c>
      <c r="D264">
        <v>1480.066239</v>
      </c>
    </row>
    <row r="265" spans="1:4" x14ac:dyDescent="0.25">
      <c r="A265" t="s">
        <v>219</v>
      </c>
      <c r="B265" s="3">
        <f t="shared" si="4"/>
        <v>43466</v>
      </c>
      <c r="C265">
        <v>1503.1567950000001</v>
      </c>
      <c r="D265">
        <v>1478.088164</v>
      </c>
    </row>
    <row r="266" spans="1:4" x14ac:dyDescent="0.25">
      <c r="A266" t="s">
        <v>220</v>
      </c>
      <c r="B266" s="3">
        <f t="shared" si="4"/>
        <v>43497</v>
      </c>
      <c r="C266">
        <v>1625.0044849999999</v>
      </c>
      <c r="D266">
        <v>1535.4617659999999</v>
      </c>
    </row>
    <row r="267" spans="1:4" x14ac:dyDescent="0.25">
      <c r="A267" t="s">
        <v>221</v>
      </c>
      <c r="B267" s="3">
        <f t="shared" si="4"/>
        <v>43525</v>
      </c>
      <c r="C267">
        <v>1675.460779</v>
      </c>
      <c r="D267">
        <v>1627.519552</v>
      </c>
    </row>
    <row r="268" spans="1:4" x14ac:dyDescent="0.25">
      <c r="A268" t="s">
        <v>222</v>
      </c>
      <c r="B268" s="3">
        <f t="shared" si="4"/>
        <v>43556</v>
      </c>
      <c r="C268">
        <v>1693.1497079999999</v>
      </c>
      <c r="D268">
        <v>1637.459214</v>
      </c>
    </row>
    <row r="269" spans="1:4" x14ac:dyDescent="0.25">
      <c r="A269" t="s">
        <v>223</v>
      </c>
      <c r="B269" s="3">
        <f t="shared" si="4"/>
        <v>43586</v>
      </c>
      <c r="C269">
        <v>1752.2525250000001</v>
      </c>
      <c r="D269">
        <v>1675.4307980000001</v>
      </c>
    </row>
    <row r="270" spans="1:4" x14ac:dyDescent="0.25">
      <c r="A270" t="s">
        <v>224</v>
      </c>
      <c r="B270" s="3">
        <f t="shared" si="4"/>
        <v>43617</v>
      </c>
      <c r="C270">
        <v>1649.392507</v>
      </c>
      <c r="D270">
        <v>1705.0608460000001</v>
      </c>
    </row>
    <row r="271" spans="1:4" x14ac:dyDescent="0.25">
      <c r="A271" t="s">
        <v>225</v>
      </c>
      <c r="B271" s="3">
        <f t="shared" si="4"/>
        <v>43647</v>
      </c>
      <c r="C271">
        <v>1756.4484090000001</v>
      </c>
      <c r="D271">
        <v>1769.0189379999999</v>
      </c>
    </row>
    <row r="272" spans="1:4" x14ac:dyDescent="0.25">
      <c r="A272" t="s">
        <v>226</v>
      </c>
      <c r="B272" s="3">
        <f t="shared" si="4"/>
        <v>43678</v>
      </c>
      <c r="C272">
        <v>1765.326112</v>
      </c>
      <c r="D272">
        <v>1819.4707109999999</v>
      </c>
    </row>
    <row r="273" spans="1:4" x14ac:dyDescent="0.25">
      <c r="A273" t="s">
        <v>227</v>
      </c>
      <c r="B273" s="3">
        <f t="shared" si="4"/>
        <v>43709</v>
      </c>
      <c r="C273">
        <v>1726.168711</v>
      </c>
      <c r="D273">
        <v>1779.170615</v>
      </c>
    </row>
    <row r="274" spans="1:4" x14ac:dyDescent="0.25">
      <c r="A274" t="s">
        <v>228</v>
      </c>
      <c r="B274" s="3">
        <f t="shared" si="4"/>
        <v>43739</v>
      </c>
      <c r="C274">
        <v>1762.7547079999999</v>
      </c>
      <c r="D274">
        <v>1817.7602159999999</v>
      </c>
    </row>
    <row r="275" spans="1:4" x14ac:dyDescent="0.25">
      <c r="A275" t="s">
        <v>229</v>
      </c>
      <c r="B275" s="3">
        <f t="shared" si="4"/>
        <v>43770</v>
      </c>
      <c r="C275">
        <v>1808.0896869999999</v>
      </c>
      <c r="D275">
        <v>1808.0477020000001</v>
      </c>
    </row>
    <row r="276" spans="1:4" x14ac:dyDescent="0.25">
      <c r="A276" t="s">
        <v>230</v>
      </c>
      <c r="B276" s="3">
        <f t="shared" si="4"/>
        <v>43800</v>
      </c>
      <c r="C276">
        <v>1859.4654129999999</v>
      </c>
      <c r="D276">
        <v>1857.2461430000001</v>
      </c>
    </row>
    <row r="277" spans="1:4" x14ac:dyDescent="0.25">
      <c r="A277" t="s">
        <v>231</v>
      </c>
      <c r="B277" s="3">
        <f t="shared" si="4"/>
        <v>43831</v>
      </c>
      <c r="C277">
        <v>1916.2448380000001</v>
      </c>
      <c r="D277">
        <v>1819.5211509999999</v>
      </c>
    </row>
    <row r="278" spans="1:4" x14ac:dyDescent="0.25">
      <c r="A278" t="s">
        <v>232</v>
      </c>
      <c r="B278" s="3">
        <f t="shared" si="4"/>
        <v>43862</v>
      </c>
      <c r="C278">
        <v>1899.4351830000001</v>
      </c>
      <c r="D278">
        <v>1910.221679</v>
      </c>
    </row>
    <row r="279" spans="1:4" x14ac:dyDescent="0.25">
      <c r="A279" t="s">
        <v>233</v>
      </c>
      <c r="B279" s="3">
        <f t="shared" si="4"/>
        <v>43891</v>
      </c>
      <c r="C279">
        <v>1737.1784970000001</v>
      </c>
      <c r="D279">
        <v>1760.936571</v>
      </c>
    </row>
    <row r="280" spans="1:4" x14ac:dyDescent="0.25">
      <c r="A280" t="s">
        <v>234</v>
      </c>
      <c r="B280" s="3">
        <f t="shared" si="4"/>
        <v>43922</v>
      </c>
      <c r="C280">
        <v>1491.44822</v>
      </c>
      <c r="D280">
        <v>1384.5123450000001</v>
      </c>
    </row>
    <row r="281" spans="1:4" x14ac:dyDescent="0.25">
      <c r="A281" t="s">
        <v>235</v>
      </c>
      <c r="B281" s="3">
        <f t="shared" si="4"/>
        <v>43952</v>
      </c>
      <c r="C281">
        <v>1658.5180359999999</v>
      </c>
      <c r="D281">
        <v>1510.871146</v>
      </c>
    </row>
    <row r="282" spans="1:4" x14ac:dyDescent="0.25">
      <c r="A282" t="s">
        <v>236</v>
      </c>
      <c r="B282" s="3">
        <f t="shared" si="4"/>
        <v>43983</v>
      </c>
      <c r="C282">
        <v>1742.8376470000001</v>
      </c>
      <c r="D282">
        <v>1579.0282729999999</v>
      </c>
    </row>
    <row r="283" spans="1:4" x14ac:dyDescent="0.25">
      <c r="A283" t="s">
        <v>237</v>
      </c>
      <c r="B283" s="3">
        <f t="shared" si="4"/>
        <v>44013</v>
      </c>
      <c r="C283">
        <v>1788.7914370000001</v>
      </c>
      <c r="D283">
        <v>1621.623241</v>
      </c>
    </row>
    <row r="284" spans="1:4" x14ac:dyDescent="0.25">
      <c r="A284" t="s">
        <v>238</v>
      </c>
      <c r="B284" s="3">
        <f t="shared" si="4"/>
        <v>44044</v>
      </c>
      <c r="C284">
        <v>1872.563124</v>
      </c>
      <c r="D284">
        <v>1629.994559</v>
      </c>
    </row>
    <row r="285" spans="1:4" x14ac:dyDescent="0.25">
      <c r="A285" t="s">
        <v>239</v>
      </c>
      <c r="B285" s="3">
        <f t="shared" si="4"/>
        <v>44075</v>
      </c>
      <c r="C285">
        <v>1995.569788</v>
      </c>
      <c r="D285">
        <v>1682.5170149999999</v>
      </c>
    </row>
    <row r="286" spans="1:4" x14ac:dyDescent="0.25">
      <c r="A286" t="s">
        <v>240</v>
      </c>
      <c r="B286" s="3">
        <f t="shared" si="4"/>
        <v>44105</v>
      </c>
      <c r="C286">
        <v>1929.6383699999999</v>
      </c>
      <c r="D286">
        <v>1620.9837990000001</v>
      </c>
    </row>
    <row r="287" spans="1:4" x14ac:dyDescent="0.25">
      <c r="A287" t="s">
        <v>241</v>
      </c>
      <c r="B287" s="3">
        <f t="shared" si="4"/>
        <v>44136</v>
      </c>
      <c r="C287">
        <v>1877.204829</v>
      </c>
      <c r="D287">
        <v>1652.819984</v>
      </c>
    </row>
    <row r="288" spans="1:4" x14ac:dyDescent="0.25">
      <c r="A288" t="s">
        <v>242</v>
      </c>
      <c r="B288" s="3">
        <f t="shared" si="4"/>
        <v>44166</v>
      </c>
      <c r="C288">
        <v>2122.9344940000001</v>
      </c>
      <c r="D288">
        <v>1820.9634980000001</v>
      </c>
    </row>
    <row r="289" spans="1:4" x14ac:dyDescent="0.25">
      <c r="A289" t="s">
        <v>243</v>
      </c>
      <c r="B289" s="3">
        <f t="shared" si="4"/>
        <v>44197</v>
      </c>
      <c r="C289">
        <v>2220.940302</v>
      </c>
      <c r="D289">
        <v>1849.5394759999999</v>
      </c>
    </row>
    <row r="290" spans="1:4" x14ac:dyDescent="0.25">
      <c r="A290" t="s">
        <v>244</v>
      </c>
      <c r="B290" s="3">
        <f t="shared" si="4"/>
        <v>44228</v>
      </c>
      <c r="C290">
        <v>2207.259403</v>
      </c>
      <c r="D290">
        <v>1856.5680110000001</v>
      </c>
    </row>
    <row r="291" spans="1:4" x14ac:dyDescent="0.25">
      <c r="A291" t="s">
        <v>245</v>
      </c>
      <c r="B291" s="3">
        <f t="shared" si="4"/>
        <v>44256</v>
      </c>
      <c r="C291">
        <v>2270.5984779999999</v>
      </c>
      <c r="D291">
        <v>1887.0733270000001</v>
      </c>
    </row>
    <row r="292" spans="1:4" x14ac:dyDescent="0.25">
      <c r="A292" t="s">
        <v>246</v>
      </c>
      <c r="B292" s="3">
        <f t="shared" si="4"/>
        <v>44287</v>
      </c>
      <c r="C292">
        <v>2342.5854599999998</v>
      </c>
      <c r="D292">
        <v>1930.8659110000001</v>
      </c>
    </row>
    <row r="293" spans="1:4" x14ac:dyDescent="0.25">
      <c r="A293" t="s">
        <v>247</v>
      </c>
      <c r="B293" s="3">
        <f t="shared" si="4"/>
        <v>44317</v>
      </c>
      <c r="C293">
        <v>2449.2988399999999</v>
      </c>
      <c r="D293">
        <v>2002.1391080000001</v>
      </c>
    </row>
    <row r="294" spans="1:4" x14ac:dyDescent="0.25">
      <c r="A294" t="s">
        <v>248</v>
      </c>
      <c r="B294" s="3">
        <f t="shared" si="4"/>
        <v>44348</v>
      </c>
      <c r="C294">
        <v>2482.7468880000001</v>
      </c>
      <c r="D294">
        <v>2052.2309369999998</v>
      </c>
    </row>
    <row r="295" spans="1:4" x14ac:dyDescent="0.25">
      <c r="A295" t="s">
        <v>249</v>
      </c>
      <c r="B295" s="3">
        <f t="shared" si="4"/>
        <v>44378</v>
      </c>
      <c r="C295">
        <v>2515.6062010000001</v>
      </c>
      <c r="D295">
        <v>2095.0894480000002</v>
      </c>
    </row>
    <row r="296" spans="1:4" x14ac:dyDescent="0.25">
      <c r="A296" t="s">
        <v>250</v>
      </c>
      <c r="B296" s="3">
        <f t="shared" si="4"/>
        <v>44409</v>
      </c>
      <c r="C296">
        <v>2552.663677</v>
      </c>
      <c r="D296">
        <v>2115.2801509999999</v>
      </c>
    </row>
    <row r="297" spans="1:4" x14ac:dyDescent="0.25">
      <c r="A297" t="s">
        <v>251</v>
      </c>
      <c r="B297" s="3">
        <f t="shared" si="4"/>
        <v>44440</v>
      </c>
      <c r="C297">
        <v>2616.002708</v>
      </c>
      <c r="D297">
        <v>2165.7231299999999</v>
      </c>
    </row>
    <row r="298" spans="1:4" x14ac:dyDescent="0.25">
      <c r="A298" t="s">
        <v>252</v>
      </c>
      <c r="B298" s="3">
        <f t="shared" si="4"/>
        <v>44470</v>
      </c>
      <c r="C298">
        <v>2510.8156309999999</v>
      </c>
      <c r="D298">
        <v>2125.1172740000002</v>
      </c>
    </row>
    <row r="299" spans="1:4" x14ac:dyDescent="0.25">
      <c r="A299" t="s">
        <v>253</v>
      </c>
      <c r="B299" s="3">
        <f t="shared" si="4"/>
        <v>44501</v>
      </c>
      <c r="C299">
        <v>2646.5039860000002</v>
      </c>
      <c r="D299">
        <v>2128.4635130000001</v>
      </c>
    </row>
    <row r="300" spans="1:4" x14ac:dyDescent="0.25">
      <c r="A300" t="s">
        <v>254</v>
      </c>
      <c r="B300" s="3">
        <f t="shared" si="4"/>
        <v>44531</v>
      </c>
      <c r="C300">
        <v>2579.7578039999999</v>
      </c>
      <c r="D300">
        <v>2112.9145619999999</v>
      </c>
    </row>
    <row r="301" spans="1:4" x14ac:dyDescent="0.25">
      <c r="A301" t="s">
        <v>255</v>
      </c>
      <c r="B301" s="3">
        <f t="shared" si="4"/>
        <v>44562</v>
      </c>
      <c r="C301">
        <v>2688.1915319999998</v>
      </c>
      <c r="D301">
        <v>2173.034118</v>
      </c>
    </row>
    <row r="302" spans="1:4" x14ac:dyDescent="0.25">
      <c r="A302" t="s">
        <v>256</v>
      </c>
      <c r="B302" s="3">
        <f t="shared" si="4"/>
        <v>44593</v>
      </c>
      <c r="C302">
        <v>2538.577534</v>
      </c>
      <c r="D302">
        <v>2033.6410619999999</v>
      </c>
    </row>
    <row r="303" spans="1:4" x14ac:dyDescent="0.25">
      <c r="A303" t="s">
        <v>257</v>
      </c>
      <c r="B303" s="3">
        <f t="shared" si="4"/>
        <v>44621</v>
      </c>
      <c r="C303">
        <v>2482.6334449999999</v>
      </c>
      <c r="D303">
        <v>2081.5239350000002</v>
      </c>
    </row>
    <row r="304" spans="1:4" x14ac:dyDescent="0.25">
      <c r="A304" t="s">
        <v>258</v>
      </c>
      <c r="B304" s="3">
        <f t="shared" si="4"/>
        <v>44652</v>
      </c>
      <c r="C304">
        <v>2545.291346</v>
      </c>
      <c r="D304">
        <v>2228.6053740000002</v>
      </c>
    </row>
    <row r="305" spans="1:4" x14ac:dyDescent="0.25">
      <c r="A305" t="s">
        <v>259</v>
      </c>
      <c r="B305" s="3">
        <f t="shared" si="4"/>
        <v>44682</v>
      </c>
      <c r="C305">
        <v>2335.3613070000001</v>
      </c>
      <c r="D305">
        <v>2213.8342870000001</v>
      </c>
    </row>
    <row r="306" spans="1:4" x14ac:dyDescent="0.25">
      <c r="A306" t="s">
        <v>260</v>
      </c>
      <c r="B306" s="3">
        <f t="shared" si="4"/>
        <v>44713</v>
      </c>
      <c r="C306">
        <v>2336.3385370000001</v>
      </c>
      <c r="D306">
        <v>2155.5054009999999</v>
      </c>
    </row>
    <row r="307" spans="1:4" x14ac:dyDescent="0.25">
      <c r="A307" t="s">
        <v>261</v>
      </c>
      <c r="B307" s="3">
        <f t="shared" si="4"/>
        <v>44743</v>
      </c>
      <c r="C307">
        <v>2130.2472859999998</v>
      </c>
      <c r="D307">
        <v>1959.3691980000001</v>
      </c>
    </row>
    <row r="308" spans="1:4" x14ac:dyDescent="0.25">
      <c r="A308" t="s">
        <v>262</v>
      </c>
      <c r="B308" s="3">
        <f t="shared" si="4"/>
        <v>44774</v>
      </c>
      <c r="C308">
        <v>2302.3344550000002</v>
      </c>
      <c r="D308">
        <v>2073.8365450000001</v>
      </c>
    </row>
    <row r="309" spans="1:4" x14ac:dyDescent="0.25">
      <c r="A309" t="s">
        <v>263</v>
      </c>
      <c r="B309" s="3">
        <f t="shared" si="4"/>
        <v>44805</v>
      </c>
      <c r="C309">
        <v>2208.6026940000002</v>
      </c>
      <c r="D309">
        <v>2098.9149299999999</v>
      </c>
    </row>
    <row r="310" spans="1:4" x14ac:dyDescent="0.25">
      <c r="A310" t="s">
        <v>264</v>
      </c>
      <c r="B310" s="3">
        <f t="shared" si="4"/>
        <v>44835</v>
      </c>
      <c r="C310">
        <v>2000.7468469999999</v>
      </c>
      <c r="D310">
        <v>1968.166029</v>
      </c>
    </row>
    <row r="311" spans="1:4" x14ac:dyDescent="0.25">
      <c r="A311" t="s">
        <v>265</v>
      </c>
      <c r="B311" s="3">
        <f t="shared" si="4"/>
        <v>44866</v>
      </c>
      <c r="C311">
        <v>2146.4540019999999</v>
      </c>
      <c r="D311">
        <v>2085.9372159999998</v>
      </c>
    </row>
    <row r="312" spans="1:4" x14ac:dyDescent="0.25">
      <c r="A312" t="s">
        <v>266</v>
      </c>
      <c r="B312" s="3">
        <f t="shared" si="4"/>
        <v>44896</v>
      </c>
      <c r="C312">
        <v>2293.6830869999999</v>
      </c>
      <c r="D312">
        <v>2225.2999570000002</v>
      </c>
    </row>
    <row r="313" spans="1:4" x14ac:dyDescent="0.25">
      <c r="A313" t="s">
        <v>267</v>
      </c>
      <c r="B313" s="3">
        <f t="shared" si="4"/>
        <v>44927</v>
      </c>
      <c r="C313">
        <v>2198.4432400000001</v>
      </c>
      <c r="D313">
        <v>2149.944184</v>
      </c>
    </row>
    <row r="314" spans="1:4" x14ac:dyDescent="0.25">
      <c r="A314" t="s">
        <v>268</v>
      </c>
      <c r="B314" s="3">
        <f t="shared" si="4"/>
        <v>44958</v>
      </c>
      <c r="C314">
        <v>2359.6117850000001</v>
      </c>
      <c r="D314">
        <v>2288.160558</v>
      </c>
    </row>
    <row r="315" spans="1:4" x14ac:dyDescent="0.25">
      <c r="A315" t="s">
        <v>269</v>
      </c>
      <c r="B315" s="3">
        <f t="shared" si="4"/>
        <v>44986</v>
      </c>
      <c r="C315">
        <v>2303.9123079999999</v>
      </c>
      <c r="D315">
        <v>2228.1537530000001</v>
      </c>
    </row>
    <row r="316" spans="1:4" x14ac:dyDescent="0.25">
      <c r="A316" t="s">
        <v>270</v>
      </c>
      <c r="B316" s="3">
        <f t="shared" si="4"/>
        <v>45017</v>
      </c>
      <c r="C316">
        <v>2359.7519419999999</v>
      </c>
      <c r="D316">
        <v>2221.7402550000002</v>
      </c>
    </row>
    <row r="317" spans="1:4" x14ac:dyDescent="0.25">
      <c r="A317" t="s">
        <v>271</v>
      </c>
      <c r="B317" s="3">
        <f t="shared" si="4"/>
        <v>45047</v>
      </c>
      <c r="C317">
        <v>2396.2274729999999</v>
      </c>
      <c r="D317">
        <v>2262.3389670000001</v>
      </c>
    </row>
    <row r="318" spans="1:4" x14ac:dyDescent="0.25">
      <c r="A318" t="s">
        <v>272</v>
      </c>
      <c r="B318" s="3">
        <f t="shared" si="4"/>
        <v>45078</v>
      </c>
      <c r="C318">
        <v>2367.6177969999999</v>
      </c>
      <c r="D318">
        <v>2204.4066990000001</v>
      </c>
    </row>
    <row r="319" spans="1:4" x14ac:dyDescent="0.25">
      <c r="A319" t="s">
        <v>273</v>
      </c>
      <c r="B319" s="3">
        <f t="shared" si="4"/>
        <v>45108</v>
      </c>
      <c r="C319">
        <v>2511.4075790000002</v>
      </c>
      <c r="D319">
        <v>2245.4056799999998</v>
      </c>
    </row>
    <row r="320" spans="1:4" x14ac:dyDescent="0.25">
      <c r="A320" t="s">
        <v>274</v>
      </c>
      <c r="B320" s="3">
        <f t="shared" si="4"/>
        <v>45139</v>
      </c>
      <c r="C320">
        <v>2599.9754029999999</v>
      </c>
      <c r="D320">
        <v>2310.6147580000002</v>
      </c>
    </row>
    <row r="321" spans="1:4" x14ac:dyDescent="0.25">
      <c r="A321" t="s">
        <v>275</v>
      </c>
      <c r="B321" s="3">
        <f t="shared" si="4"/>
        <v>45170</v>
      </c>
      <c r="C321">
        <v>2533.8352030000001</v>
      </c>
      <c r="D321">
        <v>2299.4458420000001</v>
      </c>
    </row>
    <row r="322" spans="1:4" x14ac:dyDescent="0.25">
      <c r="A322" t="s">
        <v>276</v>
      </c>
      <c r="B322" s="3">
        <f t="shared" si="4"/>
        <v>45200</v>
      </c>
      <c r="C322">
        <v>2421.9848459999998</v>
      </c>
      <c r="D322">
        <v>2235.3141679999999</v>
      </c>
    </row>
    <row r="323" spans="1:4" x14ac:dyDescent="0.25">
      <c r="A323" t="s">
        <v>277</v>
      </c>
      <c r="B323" s="3">
        <f t="shared" ref="B323:B352" si="5">DATE(YEAR(A323),MONTH(A323)+1,1)</f>
        <v>45231</v>
      </c>
      <c r="C323">
        <v>2343.3858879999998</v>
      </c>
      <c r="D323">
        <v>2150.5167080000001</v>
      </c>
    </row>
    <row r="324" spans="1:4" x14ac:dyDescent="0.25">
      <c r="A324" t="s">
        <v>278</v>
      </c>
      <c r="B324" s="3">
        <f t="shared" si="5"/>
        <v>45261</v>
      </c>
      <c r="C324">
        <v>2562.9281489999998</v>
      </c>
      <c r="D324">
        <v>2259.1025599999998</v>
      </c>
    </row>
    <row r="325" spans="1:4" x14ac:dyDescent="0.25">
      <c r="A325" t="s">
        <v>279</v>
      </c>
      <c r="B325" s="3">
        <f t="shared" si="5"/>
        <v>45292</v>
      </c>
      <c r="C325">
        <v>2701.360248</v>
      </c>
      <c r="D325">
        <v>2426.6837019999998</v>
      </c>
    </row>
    <row r="326" spans="1:4" x14ac:dyDescent="0.25">
      <c r="A326" t="s">
        <v>280</v>
      </c>
      <c r="B326" s="3">
        <f t="shared" si="5"/>
        <v>45323</v>
      </c>
      <c r="C326">
        <v>2722.1422080000002</v>
      </c>
      <c r="D326">
        <v>2458.8264300000001</v>
      </c>
    </row>
    <row r="327" spans="1:4" x14ac:dyDescent="0.25">
      <c r="A327" t="s">
        <v>281</v>
      </c>
      <c r="B327" s="3">
        <f t="shared" si="5"/>
        <v>45352</v>
      </c>
      <c r="C327">
        <v>2834.978188</v>
      </c>
      <c r="D327">
        <v>2486.9474879999998</v>
      </c>
    </row>
    <row r="328" spans="1:4" x14ac:dyDescent="0.25">
      <c r="A328" t="s">
        <v>282</v>
      </c>
      <c r="B328" s="3">
        <f t="shared" si="5"/>
        <v>45383</v>
      </c>
      <c r="C328">
        <v>2928.0916900000002</v>
      </c>
      <c r="D328">
        <v>2563.417899</v>
      </c>
    </row>
    <row r="329" spans="1:4" x14ac:dyDescent="0.25">
      <c r="A329" t="s">
        <v>283</v>
      </c>
      <c r="B329" s="3">
        <f t="shared" si="5"/>
        <v>45413</v>
      </c>
      <c r="C329">
        <v>2814.8743220000001</v>
      </c>
      <c r="D329">
        <v>2483.241704</v>
      </c>
    </row>
    <row r="330" spans="1:4" x14ac:dyDescent="0.25">
      <c r="A330" t="s">
        <v>284</v>
      </c>
      <c r="B330" s="3">
        <f t="shared" si="5"/>
        <v>45444</v>
      </c>
      <c r="C330">
        <v>2940.8158749999998</v>
      </c>
      <c r="D330">
        <v>2507.5076979999999</v>
      </c>
    </row>
    <row r="331" spans="1:4" x14ac:dyDescent="0.25">
      <c r="A331" t="s">
        <v>285</v>
      </c>
      <c r="B331" s="3">
        <f t="shared" si="5"/>
        <v>45474</v>
      </c>
      <c r="C331">
        <v>2988.3970690000001</v>
      </c>
      <c r="D331">
        <v>2534.3685369999998</v>
      </c>
    </row>
    <row r="332" spans="1:4" x14ac:dyDescent="0.25">
      <c r="A332" t="s">
        <v>286</v>
      </c>
      <c r="B332" s="3">
        <f t="shared" si="5"/>
        <v>45505</v>
      </c>
      <c r="C332">
        <v>3056.3818259999998</v>
      </c>
      <c r="D332">
        <v>2636.4598879999999</v>
      </c>
    </row>
    <row r="333" spans="1:4" x14ac:dyDescent="0.25">
      <c r="A333" t="s">
        <v>287</v>
      </c>
      <c r="B333" s="3">
        <f t="shared" si="5"/>
        <v>45536</v>
      </c>
      <c r="C333">
        <v>3130.2493469999999</v>
      </c>
      <c r="D333">
        <v>2644.2470440000002</v>
      </c>
    </row>
    <row r="334" spans="1:4" x14ac:dyDescent="0.25">
      <c r="A334" t="s">
        <v>288</v>
      </c>
      <c r="B334" s="3">
        <f t="shared" si="5"/>
        <v>45566</v>
      </c>
      <c r="C334">
        <v>3187.708345</v>
      </c>
      <c r="D334">
        <v>2727.9035779999999</v>
      </c>
    </row>
    <row r="335" spans="1:4" x14ac:dyDescent="0.25">
      <c r="A335" t="s">
        <v>289</v>
      </c>
      <c r="B335" s="3">
        <f t="shared" si="5"/>
        <v>45597</v>
      </c>
      <c r="C335">
        <v>3122.1135049999998</v>
      </c>
      <c r="D335">
        <v>2686.809878</v>
      </c>
    </row>
    <row r="336" spans="1:4" x14ac:dyDescent="0.25">
      <c r="A336" t="s">
        <v>290</v>
      </c>
      <c r="B336" s="3">
        <f t="shared" si="5"/>
        <v>45627</v>
      </c>
      <c r="C336">
        <v>3271.4424450000001</v>
      </c>
      <c r="D336">
        <v>2785.710024</v>
      </c>
    </row>
    <row r="337" spans="1:4" x14ac:dyDescent="0.25">
      <c r="A337" t="s">
        <v>291</v>
      </c>
      <c r="B337" s="3">
        <f t="shared" si="5"/>
        <v>45658</v>
      </c>
      <c r="C337">
        <v>3174.5512990000002</v>
      </c>
      <c r="D337">
        <v>2697.7873119999999</v>
      </c>
    </row>
    <row r="338" spans="1:4" x14ac:dyDescent="0.25">
      <c r="A338" t="s">
        <v>292</v>
      </c>
      <c r="B338" s="3">
        <f t="shared" si="5"/>
        <v>45689</v>
      </c>
      <c r="C338">
        <v>3286.370723</v>
      </c>
      <c r="D338">
        <v>2820.6901130000001</v>
      </c>
    </row>
    <row r="339" spans="1:4" x14ac:dyDescent="0.25">
      <c r="A339" t="s">
        <v>293</v>
      </c>
      <c r="B339" s="3">
        <f t="shared" si="5"/>
        <v>45717</v>
      </c>
      <c r="C339">
        <v>3254.016721</v>
      </c>
      <c r="D339">
        <v>2711.6092140000001</v>
      </c>
    </row>
    <row r="340" spans="1:4" x14ac:dyDescent="0.25">
      <c r="A340" t="s">
        <v>294</v>
      </c>
      <c r="B340" s="3">
        <f t="shared" si="5"/>
        <v>45748</v>
      </c>
      <c r="C340">
        <v>3111.4241780000002</v>
      </c>
      <c r="D340">
        <v>2619.6825220000001</v>
      </c>
    </row>
    <row r="341" spans="1:4" x14ac:dyDescent="0.25">
      <c r="A341" t="s">
        <v>295</v>
      </c>
      <c r="B341" s="3">
        <f t="shared" si="5"/>
        <v>45778</v>
      </c>
      <c r="C341">
        <v>3138.4724179999998</v>
      </c>
      <c r="D341">
        <v>2715.6442059999999</v>
      </c>
    </row>
    <row r="342" spans="1:4" x14ac:dyDescent="0.25">
      <c r="A342" t="s">
        <v>296</v>
      </c>
      <c r="B342" s="3">
        <f t="shared" si="5"/>
        <v>45809</v>
      </c>
      <c r="C342">
        <v>3323.8839370000001</v>
      </c>
      <c r="D342">
        <v>2826.7418990000001</v>
      </c>
    </row>
    <row r="343" spans="1:4" x14ac:dyDescent="0.25">
      <c r="A343" t="s">
        <v>297</v>
      </c>
      <c r="B343" s="3">
        <f t="shared" si="5"/>
        <v>45839</v>
      </c>
      <c r="C343">
        <v>3468.7668789999998</v>
      </c>
      <c r="D343">
        <v>2865.243618</v>
      </c>
    </row>
    <row r="344" spans="1:4" x14ac:dyDescent="0.25">
      <c r="A344" t="s">
        <v>298</v>
      </c>
      <c r="B344" s="3">
        <f t="shared" si="5"/>
        <v>45870</v>
      </c>
      <c r="C344">
        <v>3513.1155220000001</v>
      </c>
      <c r="D344">
        <v>2927.5109849999999</v>
      </c>
    </row>
    <row r="345" spans="1:4" x14ac:dyDescent="0.25">
      <c r="A345" t="s">
        <v>299</v>
      </c>
      <c r="B345" s="3">
        <f t="shared" si="5"/>
        <v>45901</v>
      </c>
      <c r="C345">
        <v>3614.0871950000001</v>
      </c>
      <c r="D345">
        <v>3020.351803</v>
      </c>
    </row>
    <row r="346" spans="1:4" x14ac:dyDescent="0.25">
      <c r="A346" t="s">
        <v>300</v>
      </c>
      <c r="B346" s="3">
        <f t="shared" si="5"/>
        <v>45931</v>
      </c>
      <c r="C346">
        <v>3725.5302940000001</v>
      </c>
      <c r="D346">
        <v>2996.9746749999999</v>
      </c>
    </row>
    <row r="347" spans="1:4" x14ac:dyDescent="0.25">
      <c r="A347" t="s">
        <v>301</v>
      </c>
      <c r="B347" s="3">
        <f t="shared" si="5"/>
        <v>45962</v>
      </c>
      <c r="C347">
        <v>3793.0013990000002</v>
      </c>
      <c r="D347">
        <v>3012.4159549999999</v>
      </c>
    </row>
    <row r="348" spans="1:4" x14ac:dyDescent="0.25">
      <c r="A348" t="s">
        <v>302</v>
      </c>
      <c r="B348" s="3">
        <f t="shared" si="5"/>
        <v>45992</v>
      </c>
      <c r="C348">
        <v>3809.2578579999999</v>
      </c>
      <c r="D348">
        <v>2920.2984430000001</v>
      </c>
    </row>
    <row r="349" spans="1:4" x14ac:dyDescent="0.25">
      <c r="A349" t="s">
        <v>303</v>
      </c>
      <c r="B349" s="3">
        <f t="shared" si="5"/>
        <v>46023</v>
      </c>
      <c r="C349">
        <v>3840.531755</v>
      </c>
      <c r="D349">
        <v>2964.4622850000001</v>
      </c>
    </row>
    <row r="350" spans="1:4" x14ac:dyDescent="0.25">
      <c r="A350" t="s">
        <v>457</v>
      </c>
      <c r="B350" s="3">
        <f t="shared" si="5"/>
        <v>46054</v>
      </c>
      <c r="C350">
        <v>3940.1240859999998</v>
      </c>
      <c r="D350">
        <v>3014.8543559999998</v>
      </c>
    </row>
    <row r="351" spans="1:4" x14ac:dyDescent="0.25">
      <c r="A351" t="s">
        <v>458</v>
      </c>
      <c r="B351" s="3">
        <f t="shared" si="5"/>
        <v>46082</v>
      </c>
      <c r="C351">
        <v>3982.2917170000001</v>
      </c>
      <c r="D351">
        <v>3143.7570700000001</v>
      </c>
    </row>
    <row r="352" spans="1:4" x14ac:dyDescent="0.25">
      <c r="A352" t="s">
        <v>459</v>
      </c>
      <c r="B352" s="3">
        <f t="shared" si="5"/>
        <v>46113</v>
      </c>
      <c r="C352">
        <v>3722.882944</v>
      </c>
      <c r="D352">
        <v>2920.838041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ADDE3-0864-4B49-983D-31BEBC6D5E6C}">
  <dimension ref="A1:H816"/>
  <sheetViews>
    <sheetView workbookViewId="0">
      <selection activeCell="C15" sqref="C15"/>
    </sheetView>
  </sheetViews>
  <sheetFormatPr defaultRowHeight="15" x14ac:dyDescent="0.25"/>
  <cols>
    <col min="2" max="7" width="12.5703125" customWidth="1"/>
    <col min="8" max="8" width="10.42578125" bestFit="1" customWidth="1"/>
  </cols>
  <sheetData>
    <row r="1" spans="1:8" ht="96" x14ac:dyDescent="0.25">
      <c r="A1" s="14" t="s">
        <v>27</v>
      </c>
      <c r="B1" s="14" t="s">
        <v>28</v>
      </c>
      <c r="C1" s="14" t="s">
        <v>29</v>
      </c>
      <c r="D1" s="14" t="s">
        <v>30</v>
      </c>
      <c r="E1" s="14" t="s">
        <v>31</v>
      </c>
      <c r="F1" s="14" t="s">
        <v>32</v>
      </c>
      <c r="G1" s="14" t="s">
        <v>33</v>
      </c>
    </row>
    <row r="2" spans="1:8" x14ac:dyDescent="0.25">
      <c r="A2" s="15" t="s">
        <v>34</v>
      </c>
      <c r="B2" s="15" t="s">
        <v>28</v>
      </c>
      <c r="C2" s="15" t="s">
        <v>29</v>
      </c>
      <c r="D2" s="15" t="s">
        <v>30</v>
      </c>
      <c r="E2" s="15" t="s">
        <v>31</v>
      </c>
      <c r="F2" s="16" t="s">
        <v>32</v>
      </c>
      <c r="G2" s="16" t="s">
        <v>33</v>
      </c>
    </row>
    <row r="3" spans="1:8" x14ac:dyDescent="0.25">
      <c r="A3" s="15" t="s">
        <v>35</v>
      </c>
      <c r="B3" s="17" t="s">
        <v>36</v>
      </c>
      <c r="C3" s="17" t="s">
        <v>36</v>
      </c>
      <c r="D3" s="17" t="s">
        <v>36</v>
      </c>
      <c r="E3" s="17" t="s">
        <v>36</v>
      </c>
      <c r="F3" s="17" t="s">
        <v>36</v>
      </c>
      <c r="G3" s="17" t="s">
        <v>36</v>
      </c>
    </row>
    <row r="4" spans="1:8" x14ac:dyDescent="0.25">
      <c r="A4" s="15" t="s">
        <v>37</v>
      </c>
      <c r="B4" s="17" t="s">
        <v>38</v>
      </c>
      <c r="C4" s="17" t="s">
        <v>38</v>
      </c>
      <c r="D4" s="17" t="s">
        <v>38</v>
      </c>
      <c r="E4" s="17" t="s">
        <v>38</v>
      </c>
      <c r="F4" s="17" t="s">
        <v>38</v>
      </c>
      <c r="G4" s="17" t="s">
        <v>38</v>
      </c>
    </row>
    <row r="5" spans="1:8" ht="24.75" x14ac:dyDescent="0.25">
      <c r="A5" s="15" t="s">
        <v>39</v>
      </c>
      <c r="B5" s="17" t="s">
        <v>40</v>
      </c>
      <c r="C5" s="17" t="s">
        <v>40</v>
      </c>
      <c r="D5" s="17" t="s">
        <v>40</v>
      </c>
      <c r="E5" s="17" t="s">
        <v>40</v>
      </c>
      <c r="F5" s="17" t="s">
        <v>40</v>
      </c>
      <c r="G5" s="17" t="s">
        <v>40</v>
      </c>
    </row>
    <row r="6" spans="1:8" x14ac:dyDescent="0.25">
      <c r="A6" s="15"/>
      <c r="B6" s="15"/>
      <c r="C6" s="15"/>
      <c r="D6" s="15"/>
      <c r="E6" s="15"/>
      <c r="F6" s="15"/>
      <c r="G6" s="15"/>
    </row>
    <row r="7" spans="1:8" x14ac:dyDescent="0.25">
      <c r="A7" s="15"/>
      <c r="B7" s="18"/>
      <c r="C7" s="18"/>
      <c r="D7" s="18"/>
      <c r="E7" s="18"/>
      <c r="F7" s="18"/>
      <c r="G7" s="18"/>
    </row>
    <row r="8" spans="1:8" x14ac:dyDescent="0.25">
      <c r="A8" s="17" t="s">
        <v>41</v>
      </c>
      <c r="B8" s="15" t="s">
        <v>42</v>
      </c>
      <c r="C8" s="15" t="s">
        <v>42</v>
      </c>
      <c r="D8" s="15" t="s">
        <v>42</v>
      </c>
      <c r="E8" s="15" t="s">
        <v>42</v>
      </c>
      <c r="F8" s="15" t="s">
        <v>42</v>
      </c>
      <c r="G8" s="15" t="s">
        <v>42</v>
      </c>
    </row>
    <row r="9" spans="1:8" x14ac:dyDescent="0.25">
      <c r="A9" s="15" t="s">
        <v>43</v>
      </c>
      <c r="B9" s="19">
        <v>46087</v>
      </c>
      <c r="C9" s="19">
        <v>46087</v>
      </c>
      <c r="D9" s="19">
        <v>46087</v>
      </c>
      <c r="E9" s="19">
        <v>46087</v>
      </c>
      <c r="F9" s="19">
        <v>46087</v>
      </c>
      <c r="G9" s="19">
        <v>46087</v>
      </c>
    </row>
    <row r="10" spans="1:8" x14ac:dyDescent="0.25">
      <c r="A10" s="15" t="s">
        <v>44</v>
      </c>
      <c r="B10" s="15" t="s">
        <v>45</v>
      </c>
      <c r="C10" s="15" t="s">
        <v>46</v>
      </c>
      <c r="D10" s="15" t="s">
        <v>47</v>
      </c>
      <c r="E10" s="15" t="s">
        <v>48</v>
      </c>
      <c r="F10" s="15" t="s">
        <v>49</v>
      </c>
      <c r="G10" s="15" t="s">
        <v>50</v>
      </c>
    </row>
    <row r="11" spans="1:8" x14ac:dyDescent="0.25">
      <c r="A11" s="20">
        <v>21551</v>
      </c>
      <c r="B11" s="21"/>
      <c r="C11" s="21"/>
      <c r="D11" s="21">
        <v>5</v>
      </c>
      <c r="E11" s="21"/>
      <c r="F11" s="21"/>
      <c r="G11" s="21"/>
      <c r="H11" s="3"/>
    </row>
    <row r="12" spans="1:8" x14ac:dyDescent="0.25">
      <c r="A12" s="20">
        <v>21582</v>
      </c>
      <c r="B12" s="21"/>
      <c r="C12" s="21"/>
      <c r="D12" s="21">
        <v>5</v>
      </c>
      <c r="E12" s="21"/>
      <c r="F12" s="21"/>
      <c r="G12" s="21"/>
      <c r="H12" s="3"/>
    </row>
    <row r="13" spans="1:8" x14ac:dyDescent="0.25">
      <c r="A13" s="20">
        <v>21610</v>
      </c>
      <c r="B13" s="21"/>
      <c r="C13" s="21"/>
      <c r="D13" s="21">
        <v>5</v>
      </c>
      <c r="E13" s="21"/>
      <c r="F13" s="21"/>
      <c r="G13" s="21"/>
      <c r="H13" s="3"/>
    </row>
    <row r="14" spans="1:8" x14ac:dyDescent="0.25">
      <c r="A14" s="20">
        <v>21641</v>
      </c>
      <c r="B14" s="21"/>
      <c r="C14" s="21"/>
      <c r="D14" s="21">
        <v>5</v>
      </c>
      <c r="E14" s="21"/>
      <c r="F14" s="21"/>
      <c r="G14" s="21"/>
      <c r="H14" s="3"/>
    </row>
    <row r="15" spans="1:8" x14ac:dyDescent="0.25">
      <c r="A15" s="20">
        <v>21671</v>
      </c>
      <c r="B15" s="21"/>
      <c r="C15" s="21"/>
      <c r="D15" s="21">
        <v>5</v>
      </c>
      <c r="E15" s="21"/>
      <c r="F15" s="21"/>
      <c r="G15" s="21"/>
      <c r="H15" s="3"/>
    </row>
    <row r="16" spans="1:8" x14ac:dyDescent="0.25">
      <c r="A16" s="20">
        <v>21702</v>
      </c>
      <c r="B16" s="21"/>
      <c r="C16" s="21"/>
      <c r="D16" s="21">
        <v>5</v>
      </c>
      <c r="E16" s="21"/>
      <c r="F16" s="21"/>
      <c r="G16" s="21"/>
      <c r="H16" s="3"/>
    </row>
    <row r="17" spans="1:8" x14ac:dyDescent="0.25">
      <c r="A17" s="20">
        <v>21732</v>
      </c>
      <c r="B17" s="21"/>
      <c r="C17" s="21"/>
      <c r="D17" s="21">
        <v>5</v>
      </c>
      <c r="E17" s="21"/>
      <c r="F17" s="21"/>
      <c r="G17" s="21"/>
      <c r="H17" s="3"/>
    </row>
    <row r="18" spans="1:8" x14ac:dyDescent="0.25">
      <c r="A18" s="20">
        <v>21763</v>
      </c>
      <c r="B18" s="21"/>
      <c r="C18" s="21"/>
      <c r="D18" s="21">
        <v>5</v>
      </c>
      <c r="E18" s="21"/>
      <c r="F18" s="21"/>
      <c r="G18" s="21"/>
      <c r="H18" s="3"/>
    </row>
    <row r="19" spans="1:8" x14ac:dyDescent="0.25">
      <c r="A19" s="20">
        <v>21794</v>
      </c>
      <c r="B19" s="21"/>
      <c r="C19" s="21"/>
      <c r="D19" s="21">
        <v>5</v>
      </c>
      <c r="E19" s="21"/>
      <c r="F19" s="21"/>
      <c r="G19" s="21"/>
      <c r="H19" s="3"/>
    </row>
    <row r="20" spans="1:8" x14ac:dyDescent="0.25">
      <c r="A20" s="20">
        <v>21824</v>
      </c>
      <c r="B20" s="21"/>
      <c r="C20" s="21"/>
      <c r="D20" s="21">
        <v>5</v>
      </c>
      <c r="E20" s="21"/>
      <c r="F20" s="21"/>
      <c r="G20" s="21"/>
      <c r="H20" s="3"/>
    </row>
    <row r="21" spans="1:8" x14ac:dyDescent="0.25">
      <c r="A21" s="20">
        <v>21855</v>
      </c>
      <c r="B21" s="21"/>
      <c r="C21" s="21"/>
      <c r="D21" s="21">
        <v>5</v>
      </c>
      <c r="E21" s="21"/>
      <c r="F21" s="21"/>
      <c r="G21" s="21"/>
      <c r="H21" s="3"/>
    </row>
    <row r="22" spans="1:8" x14ac:dyDescent="0.25">
      <c r="A22" s="20">
        <v>21885</v>
      </c>
      <c r="B22" s="21"/>
      <c r="C22" s="21"/>
      <c r="D22" s="21">
        <v>5</v>
      </c>
      <c r="E22" s="21"/>
      <c r="F22" s="21"/>
      <c r="G22" s="21"/>
      <c r="H22" s="3"/>
    </row>
    <row r="23" spans="1:8" x14ac:dyDescent="0.25">
      <c r="A23" s="20">
        <v>21916</v>
      </c>
      <c r="B23" s="21"/>
      <c r="C23" s="21"/>
      <c r="D23" s="21">
        <v>5</v>
      </c>
      <c r="E23" s="21"/>
      <c r="F23" s="21"/>
      <c r="G23" s="21"/>
      <c r="H23" s="3"/>
    </row>
    <row r="24" spans="1:8" x14ac:dyDescent="0.25">
      <c r="A24" s="20">
        <v>21947</v>
      </c>
      <c r="B24" s="21"/>
      <c r="C24" s="21"/>
      <c r="D24" s="21">
        <v>5</v>
      </c>
      <c r="E24" s="21"/>
      <c r="F24" s="21"/>
      <c r="G24" s="21"/>
      <c r="H24" s="3"/>
    </row>
    <row r="25" spans="1:8" x14ac:dyDescent="0.25">
      <c r="A25" s="20">
        <v>21976</v>
      </c>
      <c r="B25" s="21"/>
      <c r="C25" s="21"/>
      <c r="D25" s="21">
        <v>5</v>
      </c>
      <c r="E25" s="21"/>
      <c r="F25" s="21"/>
      <c r="G25" s="21"/>
      <c r="H25" s="3"/>
    </row>
    <row r="26" spans="1:8" x14ac:dyDescent="0.25">
      <c r="A26" s="20">
        <v>22007</v>
      </c>
      <c r="B26" s="21"/>
      <c r="C26" s="21"/>
      <c r="D26" s="21">
        <v>5</v>
      </c>
      <c r="E26" s="21"/>
      <c r="F26" s="21"/>
      <c r="G26" s="21"/>
      <c r="H26" s="3"/>
    </row>
    <row r="27" spans="1:8" x14ac:dyDescent="0.25">
      <c r="A27" s="20">
        <v>22037</v>
      </c>
      <c r="B27" s="21"/>
      <c r="C27" s="21"/>
      <c r="D27" s="21">
        <v>5</v>
      </c>
      <c r="E27" s="21"/>
      <c r="F27" s="21"/>
      <c r="G27" s="21"/>
      <c r="H27" s="3"/>
    </row>
    <row r="28" spans="1:8" x14ac:dyDescent="0.25">
      <c r="A28" s="20">
        <v>22068</v>
      </c>
      <c r="B28" s="21"/>
      <c r="C28" s="21"/>
      <c r="D28" s="21">
        <v>5</v>
      </c>
      <c r="E28" s="21"/>
      <c r="F28" s="21"/>
      <c r="G28" s="21"/>
      <c r="H28" s="3"/>
    </row>
    <row r="29" spans="1:8" x14ac:dyDescent="0.25">
      <c r="A29" s="20">
        <v>22098</v>
      </c>
      <c r="B29" s="21"/>
      <c r="C29" s="21"/>
      <c r="D29" s="21">
        <v>5</v>
      </c>
      <c r="E29" s="21"/>
      <c r="F29" s="21"/>
      <c r="G29" s="21"/>
      <c r="H29" s="3"/>
    </row>
    <row r="30" spans="1:8" x14ac:dyDescent="0.25">
      <c r="A30" s="20">
        <v>22129</v>
      </c>
      <c r="B30" s="21"/>
      <c r="C30" s="21"/>
      <c r="D30" s="21">
        <v>5</v>
      </c>
      <c r="E30" s="21"/>
      <c r="F30" s="21"/>
      <c r="G30" s="21"/>
      <c r="H30" s="3"/>
    </row>
    <row r="31" spans="1:8" x14ac:dyDescent="0.25">
      <c r="A31" s="20">
        <v>22160</v>
      </c>
      <c r="B31" s="21"/>
      <c r="C31" s="21"/>
      <c r="D31" s="21">
        <v>5</v>
      </c>
      <c r="E31" s="21"/>
      <c r="F31" s="21"/>
      <c r="G31" s="21"/>
      <c r="H31" s="3"/>
    </row>
    <row r="32" spans="1:8" x14ac:dyDescent="0.25">
      <c r="A32" s="20">
        <v>22190</v>
      </c>
      <c r="B32" s="21"/>
      <c r="C32" s="21"/>
      <c r="D32" s="21">
        <v>5</v>
      </c>
      <c r="E32" s="21"/>
      <c r="F32" s="21"/>
      <c r="G32" s="21"/>
      <c r="H32" s="3"/>
    </row>
    <row r="33" spans="1:8" x14ac:dyDescent="0.25">
      <c r="A33" s="20">
        <v>22221</v>
      </c>
      <c r="B33" s="21"/>
      <c r="C33" s="21"/>
      <c r="D33" s="21">
        <v>5</v>
      </c>
      <c r="E33" s="21"/>
      <c r="F33" s="21"/>
      <c r="G33" s="21"/>
      <c r="H33" s="3"/>
    </row>
    <row r="34" spans="1:8" x14ac:dyDescent="0.25">
      <c r="A34" s="20">
        <v>22251</v>
      </c>
      <c r="B34" s="21"/>
      <c r="C34" s="21"/>
      <c r="D34" s="21">
        <v>5</v>
      </c>
      <c r="E34" s="21"/>
      <c r="F34" s="21"/>
      <c r="G34" s="21"/>
      <c r="H34" s="3"/>
    </row>
    <row r="35" spans="1:8" x14ac:dyDescent="0.25">
      <c r="A35" s="20">
        <v>22282</v>
      </c>
      <c r="B35" s="21"/>
      <c r="C35" s="21"/>
      <c r="D35" s="21">
        <v>5.5</v>
      </c>
      <c r="E35" s="21"/>
      <c r="F35" s="21"/>
      <c r="G35" s="21"/>
      <c r="H35" s="3"/>
    </row>
    <row r="36" spans="1:8" x14ac:dyDescent="0.25">
      <c r="A36" s="20">
        <v>22313</v>
      </c>
      <c r="B36" s="21"/>
      <c r="C36" s="21"/>
      <c r="D36" s="21">
        <v>5.5</v>
      </c>
      <c r="E36" s="21"/>
      <c r="F36" s="21"/>
      <c r="G36" s="21"/>
      <c r="H36" s="3"/>
    </row>
    <row r="37" spans="1:8" x14ac:dyDescent="0.25">
      <c r="A37" s="20">
        <v>22341</v>
      </c>
      <c r="B37" s="21"/>
      <c r="C37" s="21"/>
      <c r="D37" s="21">
        <v>5.5</v>
      </c>
      <c r="E37" s="21"/>
      <c r="F37" s="21"/>
      <c r="G37" s="21"/>
      <c r="H37" s="3"/>
    </row>
    <row r="38" spans="1:8" x14ac:dyDescent="0.25">
      <c r="A38" s="20">
        <v>22372</v>
      </c>
      <c r="B38" s="21"/>
      <c r="C38" s="21"/>
      <c r="D38" s="21">
        <v>5.5</v>
      </c>
      <c r="E38" s="21"/>
      <c r="F38" s="21"/>
      <c r="G38" s="21"/>
      <c r="H38" s="3"/>
    </row>
    <row r="39" spans="1:8" x14ac:dyDescent="0.25">
      <c r="A39" s="20">
        <v>22402</v>
      </c>
      <c r="B39" s="21"/>
      <c r="C39" s="21"/>
      <c r="D39" s="21">
        <v>5.5</v>
      </c>
      <c r="E39" s="21"/>
      <c r="F39" s="21"/>
      <c r="G39" s="21"/>
      <c r="H39" s="3"/>
    </row>
    <row r="40" spans="1:8" x14ac:dyDescent="0.25">
      <c r="A40" s="20">
        <v>22433</v>
      </c>
      <c r="B40" s="21"/>
      <c r="C40" s="21"/>
      <c r="D40" s="21">
        <v>5.5</v>
      </c>
      <c r="E40" s="21"/>
      <c r="F40" s="21"/>
      <c r="G40" s="21"/>
      <c r="H40" s="3"/>
    </row>
    <row r="41" spans="1:8" x14ac:dyDescent="0.25">
      <c r="A41" s="20">
        <v>22463</v>
      </c>
      <c r="B41" s="21"/>
      <c r="C41" s="21"/>
      <c r="D41" s="21">
        <v>5.5</v>
      </c>
      <c r="E41" s="21"/>
      <c r="F41" s="21"/>
      <c r="G41" s="21"/>
      <c r="H41" s="3"/>
    </row>
    <row r="42" spans="1:8" x14ac:dyDescent="0.25">
      <c r="A42" s="20">
        <v>22494</v>
      </c>
      <c r="B42" s="21"/>
      <c r="C42" s="21"/>
      <c r="D42" s="21">
        <v>5.5</v>
      </c>
      <c r="E42" s="21"/>
      <c r="F42" s="21"/>
      <c r="G42" s="21"/>
      <c r="H42" s="3"/>
    </row>
    <row r="43" spans="1:8" x14ac:dyDescent="0.25">
      <c r="A43" s="20">
        <v>22525</v>
      </c>
      <c r="B43" s="21"/>
      <c r="C43" s="21"/>
      <c r="D43" s="21">
        <v>5.5</v>
      </c>
      <c r="E43" s="21"/>
      <c r="F43" s="21"/>
      <c r="G43" s="21"/>
      <c r="H43" s="3"/>
    </row>
    <row r="44" spans="1:8" x14ac:dyDescent="0.25">
      <c r="A44" s="20">
        <v>22555</v>
      </c>
      <c r="B44" s="21"/>
      <c r="C44" s="21"/>
      <c r="D44" s="21">
        <v>5.5</v>
      </c>
      <c r="E44" s="21"/>
      <c r="F44" s="21"/>
      <c r="G44" s="21"/>
      <c r="H44" s="3"/>
    </row>
    <row r="45" spans="1:8" x14ac:dyDescent="0.25">
      <c r="A45" s="20">
        <v>22586</v>
      </c>
      <c r="B45" s="21"/>
      <c r="C45" s="21"/>
      <c r="D45" s="21">
        <v>5.5</v>
      </c>
      <c r="E45" s="21"/>
      <c r="F45" s="21"/>
      <c r="G45" s="21"/>
      <c r="H45" s="3"/>
    </row>
    <row r="46" spans="1:8" x14ac:dyDescent="0.25">
      <c r="A46" s="20">
        <v>22616</v>
      </c>
      <c r="B46" s="21"/>
      <c r="C46" s="21"/>
      <c r="D46" s="21">
        <v>5.5</v>
      </c>
      <c r="E46" s="21"/>
      <c r="F46" s="21"/>
      <c r="G46" s="21"/>
      <c r="H46" s="3"/>
    </row>
    <row r="47" spans="1:8" x14ac:dyDescent="0.25">
      <c r="A47" s="20">
        <v>22647</v>
      </c>
      <c r="B47" s="21"/>
      <c r="C47" s="21"/>
      <c r="D47" s="21">
        <v>5.5</v>
      </c>
      <c r="E47" s="21"/>
      <c r="F47" s="21"/>
      <c r="G47" s="21"/>
      <c r="H47" s="3"/>
    </row>
    <row r="48" spans="1:8" x14ac:dyDescent="0.25">
      <c r="A48" s="20">
        <v>22678</v>
      </c>
      <c r="B48" s="21"/>
      <c r="C48" s="21"/>
      <c r="D48" s="21">
        <v>5.5</v>
      </c>
      <c r="E48" s="21"/>
      <c r="F48" s="21"/>
      <c r="G48" s="21"/>
      <c r="H48" s="3"/>
    </row>
    <row r="49" spans="1:8" x14ac:dyDescent="0.25">
      <c r="A49" s="20">
        <v>22706</v>
      </c>
      <c r="B49" s="21"/>
      <c r="C49" s="21"/>
      <c r="D49" s="21">
        <v>5.5</v>
      </c>
      <c r="E49" s="21"/>
      <c r="F49" s="21"/>
      <c r="G49" s="21"/>
      <c r="H49" s="3"/>
    </row>
    <row r="50" spans="1:8" x14ac:dyDescent="0.25">
      <c r="A50" s="20">
        <v>22737</v>
      </c>
      <c r="B50" s="21"/>
      <c r="C50" s="21"/>
      <c r="D50" s="21">
        <v>5.5</v>
      </c>
      <c r="E50" s="21"/>
      <c r="F50" s="21"/>
      <c r="G50" s="21"/>
      <c r="H50" s="3"/>
    </row>
    <row r="51" spans="1:8" x14ac:dyDescent="0.25">
      <c r="A51" s="20">
        <v>22767</v>
      </c>
      <c r="B51" s="21"/>
      <c r="C51" s="21"/>
      <c r="D51" s="21">
        <v>5.5</v>
      </c>
      <c r="E51" s="21"/>
      <c r="F51" s="21"/>
      <c r="G51" s="21"/>
      <c r="H51" s="3"/>
    </row>
    <row r="52" spans="1:8" x14ac:dyDescent="0.25">
      <c r="A52" s="20">
        <v>22798</v>
      </c>
      <c r="B52" s="21"/>
      <c r="C52" s="21"/>
      <c r="D52" s="21">
        <v>5.5</v>
      </c>
      <c r="E52" s="21"/>
      <c r="F52" s="21"/>
      <c r="G52" s="21"/>
      <c r="H52" s="3"/>
    </row>
    <row r="53" spans="1:8" x14ac:dyDescent="0.25">
      <c r="A53" s="20">
        <v>22828</v>
      </c>
      <c r="B53" s="21"/>
      <c r="C53" s="21"/>
      <c r="D53" s="21">
        <v>5.5</v>
      </c>
      <c r="E53" s="21"/>
      <c r="F53" s="21"/>
      <c r="G53" s="21"/>
      <c r="H53" s="3"/>
    </row>
    <row r="54" spans="1:8" x14ac:dyDescent="0.25">
      <c r="A54" s="20">
        <v>22859</v>
      </c>
      <c r="B54" s="21"/>
      <c r="C54" s="21"/>
      <c r="D54" s="21">
        <v>5.5</v>
      </c>
      <c r="E54" s="21"/>
      <c r="F54" s="21"/>
      <c r="G54" s="21"/>
      <c r="H54" s="3"/>
    </row>
    <row r="55" spans="1:8" x14ac:dyDescent="0.25">
      <c r="A55" s="20">
        <v>22890</v>
      </c>
      <c r="B55" s="21"/>
      <c r="C55" s="21"/>
      <c r="D55" s="21">
        <v>5.5</v>
      </c>
      <c r="E55" s="21"/>
      <c r="F55" s="21"/>
      <c r="G55" s="21"/>
      <c r="H55" s="3"/>
    </row>
    <row r="56" spans="1:8" x14ac:dyDescent="0.25">
      <c r="A56" s="20">
        <v>22920</v>
      </c>
      <c r="B56" s="21"/>
      <c r="C56" s="21"/>
      <c r="D56" s="21">
        <v>5.5</v>
      </c>
      <c r="E56" s="21"/>
      <c r="F56" s="21"/>
      <c r="G56" s="21"/>
      <c r="H56" s="3"/>
    </row>
    <row r="57" spans="1:8" x14ac:dyDescent="0.25">
      <c r="A57" s="20">
        <v>22951</v>
      </c>
      <c r="B57" s="21"/>
      <c r="C57" s="21"/>
      <c r="D57" s="21">
        <v>5.5</v>
      </c>
      <c r="E57" s="21"/>
      <c r="F57" s="21"/>
      <c r="G57" s="21"/>
      <c r="H57" s="3"/>
    </row>
    <row r="58" spans="1:8" x14ac:dyDescent="0.25">
      <c r="A58" s="20">
        <v>22981</v>
      </c>
      <c r="B58" s="21"/>
      <c r="C58" s="21"/>
      <c r="D58" s="21">
        <v>5.5</v>
      </c>
      <c r="E58" s="21"/>
      <c r="F58" s="21"/>
      <c r="G58" s="21"/>
      <c r="H58" s="3"/>
    </row>
    <row r="59" spans="1:8" x14ac:dyDescent="0.25">
      <c r="A59" s="20">
        <v>23012</v>
      </c>
      <c r="B59" s="21"/>
      <c r="C59" s="21"/>
      <c r="D59" s="21">
        <v>5.5</v>
      </c>
      <c r="E59" s="21"/>
      <c r="F59" s="21"/>
      <c r="G59" s="21"/>
      <c r="H59" s="3"/>
    </row>
    <row r="60" spans="1:8" x14ac:dyDescent="0.25">
      <c r="A60" s="20">
        <v>23043</v>
      </c>
      <c r="B60" s="21"/>
      <c r="C60" s="21"/>
      <c r="D60" s="21">
        <v>5.5</v>
      </c>
      <c r="E60" s="21"/>
      <c r="F60" s="21"/>
      <c r="G60" s="21"/>
      <c r="H60" s="3"/>
    </row>
    <row r="61" spans="1:8" x14ac:dyDescent="0.25">
      <c r="A61" s="20">
        <v>23071</v>
      </c>
      <c r="B61" s="21"/>
      <c r="C61" s="21"/>
      <c r="D61" s="21">
        <v>5.5</v>
      </c>
      <c r="E61" s="21"/>
      <c r="F61" s="21"/>
      <c r="G61" s="21"/>
      <c r="H61" s="3"/>
    </row>
    <row r="62" spans="1:8" x14ac:dyDescent="0.25">
      <c r="A62" s="20">
        <v>23102</v>
      </c>
      <c r="B62" s="21"/>
      <c r="C62" s="21"/>
      <c r="D62" s="21">
        <v>5</v>
      </c>
      <c r="E62" s="21"/>
      <c r="F62" s="21"/>
      <c r="G62" s="21"/>
      <c r="H62" s="3"/>
    </row>
    <row r="63" spans="1:8" x14ac:dyDescent="0.25">
      <c r="A63" s="20">
        <v>23132</v>
      </c>
      <c r="B63" s="21"/>
      <c r="C63" s="21"/>
      <c r="D63" s="21">
        <v>5</v>
      </c>
      <c r="E63" s="21"/>
      <c r="F63" s="21"/>
      <c r="G63" s="21"/>
      <c r="H63" s="3"/>
    </row>
    <row r="64" spans="1:8" x14ac:dyDescent="0.25">
      <c r="A64" s="20">
        <v>23163</v>
      </c>
      <c r="B64" s="21"/>
      <c r="C64" s="21"/>
      <c r="D64" s="21">
        <v>5</v>
      </c>
      <c r="E64" s="21"/>
      <c r="F64" s="21"/>
      <c r="G64" s="21"/>
      <c r="H64" s="3"/>
    </row>
    <row r="65" spans="1:8" x14ac:dyDescent="0.25">
      <c r="A65" s="20">
        <v>23193</v>
      </c>
      <c r="B65" s="21"/>
      <c r="C65" s="21"/>
      <c r="D65" s="21">
        <v>5</v>
      </c>
      <c r="E65" s="21"/>
      <c r="F65" s="21"/>
      <c r="G65" s="21"/>
      <c r="H65" s="3"/>
    </row>
    <row r="66" spans="1:8" x14ac:dyDescent="0.25">
      <c r="A66" s="20">
        <v>23224</v>
      </c>
      <c r="B66" s="21"/>
      <c r="C66" s="21"/>
      <c r="D66" s="21">
        <v>5</v>
      </c>
      <c r="E66" s="21"/>
      <c r="F66" s="21"/>
      <c r="G66" s="21"/>
      <c r="H66" s="3"/>
    </row>
    <row r="67" spans="1:8" x14ac:dyDescent="0.25">
      <c r="A67" s="20">
        <v>23255</v>
      </c>
      <c r="B67" s="21"/>
      <c r="C67" s="21"/>
      <c r="D67" s="21">
        <v>5</v>
      </c>
      <c r="E67" s="21"/>
      <c r="F67" s="21"/>
      <c r="G67" s="21"/>
      <c r="H67" s="3"/>
    </row>
    <row r="68" spans="1:8" x14ac:dyDescent="0.25">
      <c r="A68" s="20">
        <v>23285</v>
      </c>
      <c r="B68" s="21"/>
      <c r="C68" s="21"/>
      <c r="D68" s="21">
        <v>5</v>
      </c>
      <c r="E68" s="21"/>
      <c r="F68" s="21"/>
      <c r="G68" s="21"/>
      <c r="H68" s="3"/>
    </row>
    <row r="69" spans="1:8" x14ac:dyDescent="0.25">
      <c r="A69" s="20">
        <v>23316</v>
      </c>
      <c r="B69" s="21"/>
      <c r="C69" s="21"/>
      <c r="D69" s="21">
        <v>5</v>
      </c>
      <c r="E69" s="21"/>
      <c r="F69" s="21"/>
      <c r="G69" s="21"/>
      <c r="H69" s="3"/>
    </row>
    <row r="70" spans="1:8" x14ac:dyDescent="0.25">
      <c r="A70" s="20">
        <v>23346</v>
      </c>
      <c r="B70" s="21"/>
      <c r="C70" s="21"/>
      <c r="D70" s="21">
        <v>5</v>
      </c>
      <c r="E70" s="21"/>
      <c r="F70" s="21"/>
      <c r="G70" s="21"/>
      <c r="H70" s="3"/>
    </row>
    <row r="71" spans="1:8" x14ac:dyDescent="0.25">
      <c r="A71" s="20">
        <v>23377</v>
      </c>
      <c r="B71" s="21"/>
      <c r="C71" s="21"/>
      <c r="D71" s="21">
        <v>5</v>
      </c>
      <c r="E71" s="21"/>
      <c r="F71" s="21"/>
      <c r="G71" s="21"/>
      <c r="H71" s="3"/>
    </row>
    <row r="72" spans="1:8" x14ac:dyDescent="0.25">
      <c r="A72" s="20">
        <v>23408</v>
      </c>
      <c r="B72" s="21"/>
      <c r="C72" s="21"/>
      <c r="D72" s="21">
        <v>5</v>
      </c>
      <c r="E72" s="21"/>
      <c r="F72" s="21"/>
      <c r="G72" s="21"/>
      <c r="H72" s="3"/>
    </row>
    <row r="73" spans="1:8" x14ac:dyDescent="0.25">
      <c r="A73" s="20">
        <v>23437</v>
      </c>
      <c r="B73" s="21"/>
      <c r="C73" s="21"/>
      <c r="D73" s="21">
        <v>5</v>
      </c>
      <c r="E73" s="21"/>
      <c r="F73" s="21"/>
      <c r="G73" s="21"/>
      <c r="H73" s="3"/>
    </row>
    <row r="74" spans="1:8" x14ac:dyDescent="0.25">
      <c r="A74" s="20">
        <v>23468</v>
      </c>
      <c r="B74" s="21"/>
      <c r="C74" s="21"/>
      <c r="D74" s="21">
        <v>5</v>
      </c>
      <c r="E74" s="21"/>
      <c r="F74" s="21"/>
      <c r="G74" s="21"/>
      <c r="H74" s="3"/>
    </row>
    <row r="75" spans="1:8" x14ac:dyDescent="0.25">
      <c r="A75" s="20">
        <v>23498</v>
      </c>
      <c r="B75" s="21"/>
      <c r="C75" s="21"/>
      <c r="D75" s="21">
        <v>5</v>
      </c>
      <c r="E75" s="21"/>
      <c r="F75" s="21"/>
      <c r="G75" s="21"/>
      <c r="H75" s="3"/>
    </row>
    <row r="76" spans="1:8" x14ac:dyDescent="0.25">
      <c r="A76" s="20">
        <v>23529</v>
      </c>
      <c r="B76" s="21"/>
      <c r="C76" s="21"/>
      <c r="D76" s="21">
        <v>5.13</v>
      </c>
      <c r="E76" s="21"/>
      <c r="F76" s="21"/>
      <c r="G76" s="21"/>
      <c r="H76" s="3"/>
    </row>
    <row r="77" spans="1:8" x14ac:dyDescent="0.25">
      <c r="A77" s="20">
        <v>23559</v>
      </c>
      <c r="B77" s="21"/>
      <c r="C77" s="21"/>
      <c r="D77" s="21">
        <v>5.13</v>
      </c>
      <c r="E77" s="21"/>
      <c r="F77" s="21"/>
      <c r="G77" s="21"/>
      <c r="H77" s="3"/>
    </row>
    <row r="78" spans="1:8" x14ac:dyDescent="0.25">
      <c r="A78" s="20">
        <v>23590</v>
      </c>
      <c r="B78" s="21"/>
      <c r="C78" s="21"/>
      <c r="D78" s="21">
        <v>5.13</v>
      </c>
      <c r="E78" s="21"/>
      <c r="F78" s="21"/>
      <c r="G78" s="21"/>
      <c r="H78" s="3"/>
    </row>
    <row r="79" spans="1:8" x14ac:dyDescent="0.25">
      <c r="A79" s="20">
        <v>23621</v>
      </c>
      <c r="B79" s="21"/>
      <c r="C79" s="21"/>
      <c r="D79" s="21">
        <v>5.13</v>
      </c>
      <c r="E79" s="21"/>
      <c r="F79" s="21"/>
      <c r="G79" s="21"/>
      <c r="H79" s="3"/>
    </row>
    <row r="80" spans="1:8" x14ac:dyDescent="0.25">
      <c r="A80" s="20">
        <v>23651</v>
      </c>
      <c r="B80" s="21"/>
      <c r="C80" s="21"/>
      <c r="D80" s="21">
        <v>5.13</v>
      </c>
      <c r="E80" s="21"/>
      <c r="F80" s="21"/>
      <c r="G80" s="21"/>
      <c r="H80" s="3"/>
    </row>
    <row r="81" spans="1:8" x14ac:dyDescent="0.25">
      <c r="A81" s="20">
        <v>23682</v>
      </c>
      <c r="B81" s="21"/>
      <c r="C81" s="21"/>
      <c r="D81" s="21">
        <v>5.13</v>
      </c>
      <c r="E81" s="21"/>
      <c r="F81" s="21"/>
      <c r="G81" s="21"/>
      <c r="H81" s="3"/>
    </row>
    <row r="82" spans="1:8" x14ac:dyDescent="0.25">
      <c r="A82" s="20">
        <v>23712</v>
      </c>
      <c r="B82" s="21"/>
      <c r="C82" s="21"/>
      <c r="D82" s="21">
        <v>5.13</v>
      </c>
      <c r="E82" s="21"/>
      <c r="F82" s="21"/>
      <c r="G82" s="21"/>
      <c r="H82" s="3"/>
    </row>
    <row r="83" spans="1:8" x14ac:dyDescent="0.25">
      <c r="A83" s="20">
        <v>23743</v>
      </c>
      <c r="B83" s="21"/>
      <c r="C83" s="21"/>
      <c r="D83" s="21">
        <v>5.13</v>
      </c>
      <c r="E83" s="21"/>
      <c r="F83" s="21"/>
      <c r="G83" s="21"/>
      <c r="H83" s="3"/>
    </row>
    <row r="84" spans="1:8" x14ac:dyDescent="0.25">
      <c r="A84" s="20">
        <v>23774</v>
      </c>
      <c r="B84" s="21"/>
      <c r="C84" s="21"/>
      <c r="D84" s="21">
        <v>5.13</v>
      </c>
      <c r="E84" s="21"/>
      <c r="F84" s="21"/>
      <c r="G84" s="21"/>
      <c r="H84" s="3"/>
    </row>
    <row r="85" spans="1:8" x14ac:dyDescent="0.25">
      <c r="A85" s="20">
        <v>23802</v>
      </c>
      <c r="B85" s="21"/>
      <c r="C85" s="21"/>
      <c r="D85" s="21">
        <v>5.13</v>
      </c>
      <c r="E85" s="21"/>
      <c r="F85" s="21"/>
      <c r="G85" s="21"/>
      <c r="H85" s="3"/>
    </row>
    <row r="86" spans="1:8" x14ac:dyDescent="0.25">
      <c r="A86" s="20">
        <v>23833</v>
      </c>
      <c r="B86" s="21"/>
      <c r="C86" s="21"/>
      <c r="D86" s="21">
        <v>5.38</v>
      </c>
      <c r="E86" s="21"/>
      <c r="F86" s="21"/>
      <c r="G86" s="21"/>
      <c r="H86" s="3"/>
    </row>
    <row r="87" spans="1:8" x14ac:dyDescent="0.25">
      <c r="A87" s="20">
        <v>23863</v>
      </c>
      <c r="B87" s="21"/>
      <c r="C87" s="21"/>
      <c r="D87" s="21">
        <v>5.38</v>
      </c>
      <c r="E87" s="21"/>
      <c r="F87" s="21"/>
      <c r="G87" s="21"/>
      <c r="H87" s="3"/>
    </row>
    <row r="88" spans="1:8" x14ac:dyDescent="0.25">
      <c r="A88" s="20">
        <v>23894</v>
      </c>
      <c r="B88" s="21"/>
      <c r="C88" s="21"/>
      <c r="D88" s="21">
        <v>5.38</v>
      </c>
      <c r="E88" s="21"/>
      <c r="F88" s="21"/>
      <c r="G88" s="21"/>
      <c r="H88" s="3"/>
    </row>
    <row r="89" spans="1:8" x14ac:dyDescent="0.25">
      <c r="A89" s="20">
        <v>23924</v>
      </c>
      <c r="B89" s="21"/>
      <c r="C89" s="21"/>
      <c r="D89" s="21">
        <v>5.38</v>
      </c>
      <c r="E89" s="21"/>
      <c r="F89" s="21"/>
      <c r="G89" s="21"/>
      <c r="H89" s="3"/>
    </row>
    <row r="90" spans="1:8" x14ac:dyDescent="0.25">
      <c r="A90" s="20">
        <v>23955</v>
      </c>
      <c r="B90" s="21"/>
      <c r="C90" s="21"/>
      <c r="D90" s="21">
        <v>5.38</v>
      </c>
      <c r="E90" s="21"/>
      <c r="F90" s="21"/>
      <c r="G90" s="21"/>
      <c r="H90" s="3"/>
    </row>
    <row r="91" spans="1:8" x14ac:dyDescent="0.25">
      <c r="A91" s="20">
        <v>23986</v>
      </c>
      <c r="B91" s="21"/>
      <c r="C91" s="21"/>
      <c r="D91" s="21">
        <v>5.38</v>
      </c>
      <c r="E91" s="21"/>
      <c r="F91" s="21"/>
      <c r="G91" s="21"/>
      <c r="H91" s="3"/>
    </row>
    <row r="92" spans="1:8" x14ac:dyDescent="0.25">
      <c r="A92" s="20">
        <v>24016</v>
      </c>
      <c r="B92" s="21"/>
      <c r="C92" s="21"/>
      <c r="D92" s="21">
        <v>5.38</v>
      </c>
      <c r="E92" s="21"/>
      <c r="F92" s="21"/>
      <c r="G92" s="21"/>
      <c r="H92" s="3"/>
    </row>
    <row r="93" spans="1:8" x14ac:dyDescent="0.25">
      <c r="A93" s="20">
        <v>24047</v>
      </c>
      <c r="B93" s="21"/>
      <c r="C93" s="21"/>
      <c r="D93" s="21">
        <v>5.38</v>
      </c>
      <c r="E93" s="21"/>
      <c r="F93" s="21"/>
      <c r="G93" s="21"/>
      <c r="H93" s="3"/>
    </row>
    <row r="94" spans="1:8" x14ac:dyDescent="0.25">
      <c r="A94" s="20">
        <v>24077</v>
      </c>
      <c r="B94" s="21"/>
      <c r="C94" s="21"/>
      <c r="D94" s="21">
        <v>5.38</v>
      </c>
      <c r="E94" s="21"/>
      <c r="F94" s="21"/>
      <c r="G94" s="21"/>
      <c r="H94" s="3"/>
    </row>
    <row r="95" spans="1:8" x14ac:dyDescent="0.25">
      <c r="A95" s="20">
        <v>24108</v>
      </c>
      <c r="B95" s="21"/>
      <c r="C95" s="21"/>
      <c r="D95" s="21">
        <v>5.38</v>
      </c>
      <c r="E95" s="21"/>
      <c r="F95" s="21"/>
      <c r="G95" s="21"/>
      <c r="H95" s="3"/>
    </row>
    <row r="96" spans="1:8" x14ac:dyDescent="0.25">
      <c r="A96" s="20">
        <v>24139</v>
      </c>
      <c r="B96" s="21"/>
      <c r="C96" s="21"/>
      <c r="D96" s="21">
        <v>5.38</v>
      </c>
      <c r="E96" s="21"/>
      <c r="F96" s="21"/>
      <c r="G96" s="21"/>
      <c r="H96" s="3"/>
    </row>
    <row r="97" spans="1:8" x14ac:dyDescent="0.25">
      <c r="A97" s="20">
        <v>24167</v>
      </c>
      <c r="B97" s="21"/>
      <c r="C97" s="21"/>
      <c r="D97" s="21">
        <v>5.38</v>
      </c>
      <c r="E97" s="21"/>
      <c r="F97" s="21"/>
      <c r="G97" s="21"/>
      <c r="H97" s="3"/>
    </row>
    <row r="98" spans="1:8" x14ac:dyDescent="0.25">
      <c r="A98" s="20">
        <v>24198</v>
      </c>
      <c r="B98" s="21"/>
      <c r="C98" s="21"/>
      <c r="D98" s="21">
        <v>5.38</v>
      </c>
      <c r="E98" s="21"/>
      <c r="F98" s="21"/>
      <c r="G98" s="21"/>
      <c r="H98" s="3"/>
    </row>
    <row r="99" spans="1:8" x14ac:dyDescent="0.25">
      <c r="A99" s="20">
        <v>24228</v>
      </c>
      <c r="B99" s="21"/>
      <c r="C99" s="21"/>
      <c r="D99" s="21">
        <v>5.38</v>
      </c>
      <c r="E99" s="21"/>
      <c r="F99" s="21"/>
      <c r="G99" s="21"/>
      <c r="H99" s="3"/>
    </row>
    <row r="100" spans="1:8" x14ac:dyDescent="0.25">
      <c r="A100" s="20">
        <v>24259</v>
      </c>
      <c r="B100" s="21"/>
      <c r="C100" s="21"/>
      <c r="D100" s="21">
        <v>5.38</v>
      </c>
      <c r="E100" s="21"/>
      <c r="F100" s="21"/>
      <c r="G100" s="21"/>
      <c r="H100" s="3"/>
    </row>
    <row r="101" spans="1:8" x14ac:dyDescent="0.25">
      <c r="A101" s="20">
        <v>24289</v>
      </c>
      <c r="B101" s="21"/>
      <c r="C101" s="21"/>
      <c r="D101" s="21">
        <v>5.38</v>
      </c>
      <c r="E101" s="21"/>
      <c r="F101" s="21"/>
      <c r="G101" s="21"/>
      <c r="H101" s="3"/>
    </row>
    <row r="102" spans="1:8" x14ac:dyDescent="0.25">
      <c r="A102" s="20">
        <v>24320</v>
      </c>
      <c r="B102" s="21"/>
      <c r="C102" s="21"/>
      <c r="D102" s="21">
        <v>5.38</v>
      </c>
      <c r="E102" s="21"/>
      <c r="F102" s="21"/>
      <c r="G102" s="21"/>
      <c r="H102" s="3"/>
    </row>
    <row r="103" spans="1:8" x14ac:dyDescent="0.25">
      <c r="A103" s="20">
        <v>24351</v>
      </c>
      <c r="B103" s="21"/>
      <c r="C103" s="21"/>
      <c r="D103" s="21">
        <v>5.38</v>
      </c>
      <c r="E103" s="21"/>
      <c r="F103" s="21"/>
      <c r="G103" s="21"/>
      <c r="H103" s="3"/>
    </row>
    <row r="104" spans="1:8" x14ac:dyDescent="0.25">
      <c r="A104" s="20">
        <v>24381</v>
      </c>
      <c r="B104" s="21"/>
      <c r="C104" s="21"/>
      <c r="D104" s="21">
        <v>5.38</v>
      </c>
      <c r="E104" s="21"/>
      <c r="F104" s="21"/>
      <c r="G104" s="21"/>
      <c r="H104" s="3"/>
    </row>
    <row r="105" spans="1:8" x14ac:dyDescent="0.25">
      <c r="A105" s="20">
        <v>24412</v>
      </c>
      <c r="B105" s="21"/>
      <c r="C105" s="21"/>
      <c r="D105" s="21">
        <v>5.38</v>
      </c>
      <c r="E105" s="21"/>
      <c r="F105" s="21"/>
      <c r="G105" s="21"/>
      <c r="H105" s="3"/>
    </row>
    <row r="106" spans="1:8" x14ac:dyDescent="0.25">
      <c r="A106" s="20">
        <v>24442</v>
      </c>
      <c r="B106" s="21"/>
      <c r="C106" s="21"/>
      <c r="D106" s="21">
        <v>5.38</v>
      </c>
      <c r="E106" s="21"/>
      <c r="F106" s="21"/>
      <c r="G106" s="21"/>
      <c r="H106" s="3"/>
    </row>
    <row r="107" spans="1:8" x14ac:dyDescent="0.25">
      <c r="A107" s="20">
        <v>24473</v>
      </c>
      <c r="B107" s="21"/>
      <c r="C107" s="21"/>
      <c r="D107" s="21">
        <v>5.38</v>
      </c>
      <c r="E107" s="21"/>
      <c r="F107" s="21"/>
      <c r="G107" s="21"/>
      <c r="H107" s="3"/>
    </row>
    <row r="108" spans="1:8" x14ac:dyDescent="0.25">
      <c r="A108" s="20">
        <v>24504</v>
      </c>
      <c r="B108" s="21"/>
      <c r="C108" s="21"/>
      <c r="D108" s="21">
        <v>5.38</v>
      </c>
      <c r="E108" s="21"/>
      <c r="F108" s="21"/>
      <c r="G108" s="21"/>
      <c r="H108" s="3"/>
    </row>
    <row r="109" spans="1:8" x14ac:dyDescent="0.25">
      <c r="A109" s="20">
        <v>24532</v>
      </c>
      <c r="B109" s="21"/>
      <c r="C109" s="21"/>
      <c r="D109" s="21">
        <v>5.38</v>
      </c>
      <c r="E109" s="21"/>
      <c r="F109" s="21"/>
      <c r="G109" s="21"/>
      <c r="H109" s="3"/>
    </row>
    <row r="110" spans="1:8" x14ac:dyDescent="0.25">
      <c r="A110" s="20">
        <v>24563</v>
      </c>
      <c r="B110" s="21"/>
      <c r="C110" s="21"/>
      <c r="D110" s="21">
        <v>5.38</v>
      </c>
      <c r="E110" s="21"/>
      <c r="F110" s="21"/>
      <c r="G110" s="21"/>
      <c r="H110" s="3"/>
    </row>
    <row r="111" spans="1:8" x14ac:dyDescent="0.25">
      <c r="A111" s="20">
        <v>24593</v>
      </c>
      <c r="B111" s="21"/>
      <c r="C111" s="21"/>
      <c r="D111" s="21">
        <v>5.38</v>
      </c>
      <c r="E111" s="21"/>
      <c r="F111" s="21"/>
      <c r="G111" s="21"/>
      <c r="H111" s="3"/>
    </row>
    <row r="112" spans="1:8" x14ac:dyDescent="0.25">
      <c r="A112" s="20">
        <v>24624</v>
      </c>
      <c r="B112" s="21"/>
      <c r="C112" s="21"/>
      <c r="D112" s="21">
        <v>5.38</v>
      </c>
      <c r="E112" s="21"/>
      <c r="F112" s="21"/>
      <c r="G112" s="21"/>
      <c r="H112" s="3"/>
    </row>
    <row r="113" spans="1:8" x14ac:dyDescent="0.25">
      <c r="A113" s="20">
        <v>24654</v>
      </c>
      <c r="B113" s="21"/>
      <c r="C113" s="21"/>
      <c r="D113" s="21">
        <v>5.38</v>
      </c>
      <c r="E113" s="21"/>
      <c r="F113" s="21"/>
      <c r="G113" s="21"/>
      <c r="H113" s="3"/>
    </row>
    <row r="114" spans="1:8" x14ac:dyDescent="0.25">
      <c r="A114" s="20">
        <v>24685</v>
      </c>
      <c r="B114" s="21"/>
      <c r="C114" s="21"/>
      <c r="D114" s="21">
        <v>5.38</v>
      </c>
      <c r="E114" s="21"/>
      <c r="F114" s="21"/>
      <c r="G114" s="21"/>
      <c r="H114" s="3"/>
    </row>
    <row r="115" spans="1:8" x14ac:dyDescent="0.25">
      <c r="A115" s="20">
        <v>24716</v>
      </c>
      <c r="B115" s="21"/>
      <c r="C115" s="21"/>
      <c r="D115" s="21">
        <v>5.38</v>
      </c>
      <c r="E115" s="21"/>
      <c r="F115" s="21"/>
      <c r="G115" s="21"/>
      <c r="H115" s="3"/>
    </row>
    <row r="116" spans="1:8" x14ac:dyDescent="0.25">
      <c r="A116" s="20">
        <v>24746</v>
      </c>
      <c r="B116" s="21"/>
      <c r="C116" s="21"/>
      <c r="D116" s="21">
        <v>5.38</v>
      </c>
      <c r="E116" s="21"/>
      <c r="F116" s="21"/>
      <c r="G116" s="21"/>
      <c r="H116" s="3"/>
    </row>
    <row r="117" spans="1:8" x14ac:dyDescent="0.25">
      <c r="A117" s="20">
        <v>24777</v>
      </c>
      <c r="B117" s="21"/>
      <c r="C117" s="21"/>
      <c r="D117" s="21">
        <v>5.38</v>
      </c>
      <c r="E117" s="21"/>
      <c r="F117" s="21"/>
      <c r="G117" s="21"/>
      <c r="H117" s="3"/>
    </row>
    <row r="118" spans="1:8" x14ac:dyDescent="0.25">
      <c r="A118" s="20">
        <v>24807</v>
      </c>
      <c r="B118" s="21"/>
      <c r="C118" s="21"/>
      <c r="D118" s="21">
        <v>5.38</v>
      </c>
      <c r="E118" s="21"/>
      <c r="F118" s="21"/>
      <c r="G118" s="21"/>
      <c r="H118" s="3"/>
    </row>
    <row r="119" spans="1:8" x14ac:dyDescent="0.25">
      <c r="A119" s="20">
        <v>24838</v>
      </c>
      <c r="B119" s="21"/>
      <c r="C119" s="21"/>
      <c r="D119" s="21">
        <v>5.38</v>
      </c>
      <c r="E119" s="21"/>
      <c r="F119" s="21"/>
      <c r="G119" s="21"/>
      <c r="H119" s="3"/>
    </row>
    <row r="120" spans="1:8" x14ac:dyDescent="0.25">
      <c r="A120" s="20">
        <v>24869</v>
      </c>
      <c r="B120" s="21"/>
      <c r="C120" s="21"/>
      <c r="D120" s="21">
        <v>5.38</v>
      </c>
      <c r="E120" s="21"/>
      <c r="F120" s="21"/>
      <c r="G120" s="21"/>
      <c r="H120" s="3"/>
    </row>
    <row r="121" spans="1:8" x14ac:dyDescent="0.25">
      <c r="A121" s="20">
        <v>24898</v>
      </c>
      <c r="B121" s="21"/>
      <c r="C121" s="21"/>
      <c r="D121" s="21">
        <v>5.38</v>
      </c>
      <c r="E121" s="21"/>
      <c r="F121" s="21"/>
      <c r="G121" s="21"/>
      <c r="H121" s="3"/>
    </row>
    <row r="122" spans="1:8" x14ac:dyDescent="0.25">
      <c r="A122" s="20">
        <v>24929</v>
      </c>
      <c r="B122" s="21"/>
      <c r="C122" s="21"/>
      <c r="D122" s="21">
        <v>5.38</v>
      </c>
      <c r="E122" s="21"/>
      <c r="F122" s="21"/>
      <c r="G122" s="21"/>
      <c r="H122" s="3"/>
    </row>
    <row r="123" spans="1:8" x14ac:dyDescent="0.25">
      <c r="A123" s="20">
        <v>24959</v>
      </c>
      <c r="B123" s="21"/>
      <c r="C123" s="21"/>
      <c r="D123" s="21">
        <v>5.38</v>
      </c>
      <c r="E123" s="21"/>
      <c r="F123" s="21"/>
      <c r="G123" s="21"/>
      <c r="H123" s="3"/>
    </row>
    <row r="124" spans="1:8" x14ac:dyDescent="0.25">
      <c r="A124" s="20">
        <v>24990</v>
      </c>
      <c r="B124" s="21"/>
      <c r="C124" s="21"/>
      <c r="D124" s="21">
        <v>5.38</v>
      </c>
      <c r="E124" s="21"/>
      <c r="F124" s="21"/>
      <c r="G124" s="21"/>
      <c r="H124" s="3"/>
    </row>
    <row r="125" spans="1:8" x14ac:dyDescent="0.25">
      <c r="A125" s="20">
        <v>25020</v>
      </c>
      <c r="B125" s="21"/>
      <c r="C125" s="21"/>
      <c r="D125" s="21">
        <v>5.38</v>
      </c>
      <c r="E125" s="21"/>
      <c r="F125" s="21"/>
      <c r="G125" s="21"/>
      <c r="H125" s="3"/>
    </row>
    <row r="126" spans="1:8" x14ac:dyDescent="0.25">
      <c r="A126" s="20">
        <v>25051</v>
      </c>
      <c r="B126" s="21"/>
      <c r="C126" s="21"/>
      <c r="D126" s="21">
        <v>5.88</v>
      </c>
      <c r="E126" s="21"/>
      <c r="F126" s="21"/>
      <c r="G126" s="21"/>
      <c r="H126" s="3"/>
    </row>
    <row r="127" spans="1:8" x14ac:dyDescent="0.25">
      <c r="A127" s="20">
        <v>25082</v>
      </c>
      <c r="B127" s="21"/>
      <c r="C127" s="21"/>
      <c r="D127" s="21">
        <v>5.88</v>
      </c>
      <c r="E127" s="21"/>
      <c r="F127" s="21"/>
      <c r="G127" s="21"/>
      <c r="H127" s="3"/>
    </row>
    <row r="128" spans="1:8" x14ac:dyDescent="0.25">
      <c r="A128" s="20">
        <v>25112</v>
      </c>
      <c r="B128" s="21"/>
      <c r="C128" s="21"/>
      <c r="D128" s="21">
        <v>5.88</v>
      </c>
      <c r="E128" s="21"/>
      <c r="F128" s="21"/>
      <c r="G128" s="21"/>
      <c r="H128" s="3"/>
    </row>
    <row r="129" spans="1:8" x14ac:dyDescent="0.25">
      <c r="A129" s="20">
        <v>25143</v>
      </c>
      <c r="B129" s="21"/>
      <c r="C129" s="21"/>
      <c r="D129" s="21">
        <v>5.88</v>
      </c>
      <c r="E129" s="21"/>
      <c r="F129" s="21"/>
      <c r="G129" s="21"/>
      <c r="H129" s="3"/>
    </row>
    <row r="130" spans="1:8" x14ac:dyDescent="0.25">
      <c r="A130" s="20">
        <v>25173</v>
      </c>
      <c r="B130" s="21"/>
      <c r="C130" s="21"/>
      <c r="D130" s="21">
        <v>5.88</v>
      </c>
      <c r="E130" s="21"/>
      <c r="F130" s="21"/>
      <c r="G130" s="21"/>
      <c r="H130" s="3"/>
    </row>
    <row r="131" spans="1:8" x14ac:dyDescent="0.25">
      <c r="A131" s="20">
        <v>25204</v>
      </c>
      <c r="B131" s="21"/>
      <c r="C131" s="21"/>
      <c r="D131" s="21">
        <v>5.88</v>
      </c>
      <c r="E131" s="21"/>
      <c r="F131" s="21"/>
      <c r="G131" s="21"/>
      <c r="H131" s="3"/>
    </row>
    <row r="132" spans="1:8" x14ac:dyDescent="0.25">
      <c r="A132" s="20">
        <v>25235</v>
      </c>
      <c r="B132" s="21"/>
      <c r="C132" s="21"/>
      <c r="D132" s="21">
        <v>5.88</v>
      </c>
      <c r="E132" s="21"/>
      <c r="F132" s="21"/>
      <c r="G132" s="21"/>
      <c r="H132" s="3"/>
    </row>
    <row r="133" spans="1:8" x14ac:dyDescent="0.25">
      <c r="A133" s="20">
        <v>25263</v>
      </c>
      <c r="B133" s="21"/>
      <c r="C133" s="21"/>
      <c r="D133" s="21">
        <v>5.88</v>
      </c>
      <c r="E133" s="21"/>
      <c r="F133" s="21"/>
      <c r="G133" s="21"/>
      <c r="H133" s="3"/>
    </row>
    <row r="134" spans="1:8" x14ac:dyDescent="0.25">
      <c r="A134" s="20">
        <v>25294</v>
      </c>
      <c r="B134" s="21"/>
      <c r="C134" s="21"/>
      <c r="D134" s="21">
        <v>5.88</v>
      </c>
      <c r="E134" s="21"/>
      <c r="F134" s="21"/>
      <c r="G134" s="21"/>
      <c r="H134" s="3"/>
    </row>
    <row r="135" spans="1:8" x14ac:dyDescent="0.25">
      <c r="A135" s="20">
        <v>25324</v>
      </c>
      <c r="B135" s="21"/>
      <c r="C135" s="21"/>
      <c r="D135" s="21">
        <v>5.88</v>
      </c>
      <c r="E135" s="21"/>
      <c r="F135" s="21"/>
      <c r="G135" s="21"/>
      <c r="H135" s="3"/>
    </row>
    <row r="136" spans="1:8" x14ac:dyDescent="0.25">
      <c r="A136" s="20">
        <v>25355</v>
      </c>
      <c r="B136" s="21"/>
      <c r="C136" s="21"/>
      <c r="D136" s="21">
        <v>5.88</v>
      </c>
      <c r="E136" s="21"/>
      <c r="F136" s="21"/>
      <c r="G136" s="21"/>
      <c r="H136" s="3"/>
    </row>
    <row r="137" spans="1:8" x14ac:dyDescent="0.25">
      <c r="A137" s="20">
        <v>25385</v>
      </c>
      <c r="B137" s="21"/>
      <c r="C137" s="21"/>
      <c r="D137" s="21">
        <v>5.88</v>
      </c>
      <c r="E137" s="21"/>
      <c r="F137" s="21"/>
      <c r="G137" s="21"/>
      <c r="H137" s="3"/>
    </row>
    <row r="138" spans="1:8" x14ac:dyDescent="0.25">
      <c r="A138" s="20">
        <v>25416</v>
      </c>
      <c r="B138" s="21"/>
      <c r="C138" s="21"/>
      <c r="D138" s="21">
        <v>5.88</v>
      </c>
      <c r="E138" s="21"/>
      <c r="F138" s="21"/>
      <c r="G138" s="21"/>
      <c r="H138" s="3"/>
    </row>
    <row r="139" spans="1:8" x14ac:dyDescent="0.25">
      <c r="A139" s="20">
        <v>25447</v>
      </c>
      <c r="B139" s="21"/>
      <c r="C139" s="21"/>
      <c r="D139" s="21">
        <v>5.88</v>
      </c>
      <c r="E139" s="21"/>
      <c r="F139" s="21"/>
      <c r="G139" s="21"/>
      <c r="H139" s="3"/>
    </row>
    <row r="140" spans="1:8" x14ac:dyDescent="0.25">
      <c r="A140" s="20">
        <v>25477</v>
      </c>
      <c r="B140" s="21"/>
      <c r="C140" s="21"/>
      <c r="D140" s="21">
        <v>5.88</v>
      </c>
      <c r="E140" s="21"/>
      <c r="F140" s="21"/>
      <c r="G140" s="21"/>
      <c r="H140" s="3"/>
    </row>
    <row r="141" spans="1:8" x14ac:dyDescent="0.25">
      <c r="A141" s="20">
        <v>25508</v>
      </c>
      <c r="B141" s="21"/>
      <c r="C141" s="21"/>
      <c r="D141" s="21">
        <v>5.88</v>
      </c>
      <c r="E141" s="21"/>
      <c r="F141" s="21"/>
      <c r="G141" s="21"/>
      <c r="H141" s="3"/>
    </row>
    <row r="142" spans="1:8" x14ac:dyDescent="0.25">
      <c r="A142" s="20">
        <v>25538</v>
      </c>
      <c r="B142" s="21"/>
      <c r="C142" s="21"/>
      <c r="D142" s="21">
        <v>5.88</v>
      </c>
      <c r="E142" s="21"/>
      <c r="F142" s="21"/>
      <c r="G142" s="21"/>
      <c r="H142" s="3"/>
    </row>
    <row r="143" spans="1:8" x14ac:dyDescent="0.25">
      <c r="A143" s="20">
        <v>25569</v>
      </c>
      <c r="B143" s="21"/>
      <c r="C143" s="21"/>
      <c r="D143" s="21">
        <v>5.88</v>
      </c>
      <c r="E143" s="21"/>
      <c r="F143" s="21"/>
      <c r="G143" s="21"/>
      <c r="H143" s="3"/>
    </row>
    <row r="144" spans="1:8" x14ac:dyDescent="0.25">
      <c r="A144" s="20">
        <v>25600</v>
      </c>
      <c r="B144" s="21"/>
      <c r="C144" s="21"/>
      <c r="D144" s="21">
        <v>5.88</v>
      </c>
      <c r="E144" s="21"/>
      <c r="F144" s="21"/>
      <c r="G144" s="21"/>
      <c r="H144" s="3"/>
    </row>
    <row r="145" spans="1:8" x14ac:dyDescent="0.25">
      <c r="A145" s="20">
        <v>25628</v>
      </c>
      <c r="B145" s="21"/>
      <c r="C145" s="21"/>
      <c r="D145" s="21">
        <v>5.88</v>
      </c>
      <c r="E145" s="21"/>
      <c r="F145" s="21"/>
      <c r="G145" s="21"/>
      <c r="H145" s="3"/>
    </row>
    <row r="146" spans="1:8" x14ac:dyDescent="0.25">
      <c r="A146" s="20">
        <v>25659</v>
      </c>
      <c r="B146" s="21"/>
      <c r="C146" s="21"/>
      <c r="D146" s="21">
        <v>7.25</v>
      </c>
      <c r="E146" s="21"/>
      <c r="F146" s="21"/>
      <c r="G146" s="21"/>
      <c r="H146" s="3"/>
    </row>
    <row r="147" spans="1:8" x14ac:dyDescent="0.25">
      <c r="A147" s="20">
        <v>25689</v>
      </c>
      <c r="B147" s="21"/>
      <c r="C147" s="21"/>
      <c r="D147" s="21">
        <v>7.25</v>
      </c>
      <c r="E147" s="21"/>
      <c r="F147" s="21"/>
      <c r="G147" s="21"/>
      <c r="H147" s="3"/>
    </row>
    <row r="148" spans="1:8" x14ac:dyDescent="0.25">
      <c r="A148" s="20">
        <v>25720</v>
      </c>
      <c r="B148" s="21"/>
      <c r="C148" s="21"/>
      <c r="D148" s="21">
        <v>7.25</v>
      </c>
      <c r="E148" s="21"/>
      <c r="F148" s="21"/>
      <c r="G148" s="21"/>
      <c r="H148" s="3"/>
    </row>
    <row r="149" spans="1:8" x14ac:dyDescent="0.25">
      <c r="A149" s="20">
        <v>25750</v>
      </c>
      <c r="B149" s="21"/>
      <c r="C149" s="21"/>
      <c r="D149" s="21">
        <v>7.25</v>
      </c>
      <c r="E149" s="21"/>
      <c r="F149" s="21"/>
      <c r="G149" s="21"/>
      <c r="H149" s="3"/>
    </row>
    <row r="150" spans="1:8" x14ac:dyDescent="0.25">
      <c r="A150" s="20">
        <v>25781</v>
      </c>
      <c r="B150" s="21"/>
      <c r="C150" s="21"/>
      <c r="D150" s="21">
        <v>7.25</v>
      </c>
      <c r="E150" s="21"/>
      <c r="F150" s="21"/>
      <c r="G150" s="21"/>
      <c r="H150" s="3"/>
    </row>
    <row r="151" spans="1:8" x14ac:dyDescent="0.25">
      <c r="A151" s="20">
        <v>25812</v>
      </c>
      <c r="B151" s="21"/>
      <c r="C151" s="21"/>
      <c r="D151" s="21">
        <v>7.25</v>
      </c>
      <c r="E151" s="21"/>
      <c r="F151" s="21"/>
      <c r="G151" s="21"/>
      <c r="H151" s="3"/>
    </row>
    <row r="152" spans="1:8" x14ac:dyDescent="0.25">
      <c r="A152" s="20">
        <v>25842</v>
      </c>
      <c r="B152" s="21"/>
      <c r="C152" s="21"/>
      <c r="D152" s="21">
        <v>7.25</v>
      </c>
      <c r="E152" s="21"/>
      <c r="F152" s="21"/>
      <c r="G152" s="21"/>
      <c r="H152" s="3"/>
    </row>
    <row r="153" spans="1:8" x14ac:dyDescent="0.25">
      <c r="A153" s="20">
        <v>25873</v>
      </c>
      <c r="B153" s="21"/>
      <c r="C153" s="21"/>
      <c r="D153" s="21">
        <v>7.25</v>
      </c>
      <c r="E153" s="21"/>
      <c r="F153" s="21"/>
      <c r="G153" s="21"/>
      <c r="H153" s="3"/>
    </row>
    <row r="154" spans="1:8" x14ac:dyDescent="0.25">
      <c r="A154" s="20">
        <v>25903</v>
      </c>
      <c r="B154" s="21"/>
      <c r="C154" s="21"/>
      <c r="D154" s="21">
        <v>7.25</v>
      </c>
      <c r="E154" s="21"/>
      <c r="F154" s="21"/>
      <c r="G154" s="21"/>
      <c r="H154" s="3"/>
    </row>
    <row r="155" spans="1:8" x14ac:dyDescent="0.25">
      <c r="A155" s="20">
        <v>25934</v>
      </c>
      <c r="B155" s="21"/>
      <c r="C155" s="21"/>
      <c r="D155" s="21">
        <v>7.25</v>
      </c>
      <c r="E155" s="21"/>
      <c r="F155" s="21"/>
      <c r="G155" s="21"/>
      <c r="H155" s="3"/>
    </row>
    <row r="156" spans="1:8" x14ac:dyDescent="0.25">
      <c r="A156" s="20">
        <v>25965</v>
      </c>
      <c r="B156" s="21"/>
      <c r="C156" s="21"/>
      <c r="D156" s="21">
        <v>7.25</v>
      </c>
      <c r="E156" s="21"/>
      <c r="F156" s="21"/>
      <c r="G156" s="21"/>
      <c r="H156" s="3"/>
    </row>
    <row r="157" spans="1:8" x14ac:dyDescent="0.25">
      <c r="A157" s="20">
        <v>25993</v>
      </c>
      <c r="B157" s="21"/>
      <c r="C157" s="21"/>
      <c r="D157" s="21">
        <v>7.25</v>
      </c>
      <c r="E157" s="21"/>
      <c r="F157" s="21"/>
      <c r="G157" s="21"/>
      <c r="H157" s="3"/>
    </row>
    <row r="158" spans="1:8" x14ac:dyDescent="0.25">
      <c r="A158" s="20">
        <v>26024</v>
      </c>
      <c r="B158" s="21"/>
      <c r="C158" s="21"/>
      <c r="D158" s="21">
        <v>7.25</v>
      </c>
      <c r="E158" s="21"/>
      <c r="F158" s="21"/>
      <c r="G158" s="21"/>
      <c r="H158" s="3"/>
    </row>
    <row r="159" spans="1:8" x14ac:dyDescent="0.25">
      <c r="A159" s="20">
        <v>26054</v>
      </c>
      <c r="B159" s="21"/>
      <c r="C159" s="21"/>
      <c r="D159" s="21">
        <v>7.25</v>
      </c>
      <c r="E159" s="21"/>
      <c r="F159" s="21"/>
      <c r="G159" s="21"/>
      <c r="H159" s="3"/>
    </row>
    <row r="160" spans="1:8" x14ac:dyDescent="0.25">
      <c r="A160" s="20">
        <v>26085</v>
      </c>
      <c r="B160" s="21"/>
      <c r="C160" s="21"/>
      <c r="D160" s="21">
        <v>7.25</v>
      </c>
      <c r="E160" s="21"/>
      <c r="F160" s="21"/>
      <c r="G160" s="21"/>
      <c r="H160" s="3"/>
    </row>
    <row r="161" spans="1:8" x14ac:dyDescent="0.25">
      <c r="A161" s="20">
        <v>26115</v>
      </c>
      <c r="B161" s="21"/>
      <c r="C161" s="21"/>
      <c r="D161" s="21">
        <v>7.25</v>
      </c>
      <c r="E161" s="21"/>
      <c r="F161" s="21"/>
      <c r="G161" s="21"/>
      <c r="H161" s="3"/>
    </row>
    <row r="162" spans="1:8" x14ac:dyDescent="0.25">
      <c r="A162" s="20">
        <v>26146</v>
      </c>
      <c r="B162" s="21"/>
      <c r="C162" s="21"/>
      <c r="D162" s="21">
        <v>7.25</v>
      </c>
      <c r="E162" s="21"/>
      <c r="F162" s="21"/>
      <c r="G162" s="21"/>
      <c r="H162" s="3"/>
    </row>
    <row r="163" spans="1:8" x14ac:dyDescent="0.25">
      <c r="A163" s="20">
        <v>26177</v>
      </c>
      <c r="B163" s="21"/>
      <c r="C163" s="21"/>
      <c r="D163" s="21">
        <v>7.25</v>
      </c>
      <c r="E163" s="21"/>
      <c r="F163" s="21"/>
      <c r="G163" s="21"/>
      <c r="H163" s="3"/>
    </row>
    <row r="164" spans="1:8" x14ac:dyDescent="0.25">
      <c r="A164" s="20">
        <v>26207</v>
      </c>
      <c r="B164" s="21"/>
      <c r="C164" s="21"/>
      <c r="D164" s="21">
        <v>7.25</v>
      </c>
      <c r="E164" s="21"/>
      <c r="F164" s="21"/>
      <c r="G164" s="21"/>
      <c r="H164" s="3"/>
    </row>
    <row r="165" spans="1:8" x14ac:dyDescent="0.25">
      <c r="A165" s="20">
        <v>26238</v>
      </c>
      <c r="B165" s="21"/>
      <c r="C165" s="21"/>
      <c r="D165" s="21">
        <v>7.25</v>
      </c>
      <c r="E165" s="21"/>
      <c r="F165" s="21"/>
      <c r="G165" s="21"/>
      <c r="H165" s="3"/>
    </row>
    <row r="166" spans="1:8" x14ac:dyDescent="0.25">
      <c r="A166" s="20">
        <v>26268</v>
      </c>
      <c r="B166" s="21"/>
      <c r="C166" s="21"/>
      <c r="D166" s="21">
        <v>7.25</v>
      </c>
      <c r="E166" s="21"/>
      <c r="F166" s="21"/>
      <c r="G166" s="21"/>
      <c r="H166" s="3"/>
    </row>
    <row r="167" spans="1:8" x14ac:dyDescent="0.25">
      <c r="A167" s="20">
        <v>26299</v>
      </c>
      <c r="B167" s="21"/>
      <c r="C167" s="21"/>
      <c r="D167" s="21">
        <v>7.25</v>
      </c>
      <c r="E167" s="21"/>
      <c r="F167" s="21"/>
      <c r="G167" s="21"/>
      <c r="H167" s="3"/>
    </row>
    <row r="168" spans="1:8" x14ac:dyDescent="0.25">
      <c r="A168" s="20">
        <v>26330</v>
      </c>
      <c r="B168" s="21"/>
      <c r="C168" s="21"/>
      <c r="D168" s="21">
        <v>7</v>
      </c>
      <c r="E168" s="21"/>
      <c r="F168" s="21"/>
      <c r="G168" s="21"/>
      <c r="H168" s="3"/>
    </row>
    <row r="169" spans="1:8" x14ac:dyDescent="0.25">
      <c r="A169" s="20">
        <v>26359</v>
      </c>
      <c r="B169" s="21"/>
      <c r="C169" s="21"/>
      <c r="D169" s="21">
        <v>7</v>
      </c>
      <c r="E169" s="21"/>
      <c r="F169" s="21"/>
      <c r="G169" s="21"/>
      <c r="H169" s="3"/>
    </row>
    <row r="170" spans="1:8" x14ac:dyDescent="0.25">
      <c r="A170" s="20">
        <v>26390</v>
      </c>
      <c r="B170" s="21"/>
      <c r="C170" s="21"/>
      <c r="D170" s="21">
        <v>7</v>
      </c>
      <c r="E170" s="21"/>
      <c r="F170" s="21"/>
      <c r="G170" s="21"/>
      <c r="H170" s="3"/>
    </row>
    <row r="171" spans="1:8" x14ac:dyDescent="0.25">
      <c r="A171" s="20">
        <v>26420</v>
      </c>
      <c r="B171" s="21"/>
      <c r="C171" s="21"/>
      <c r="D171" s="21">
        <v>7</v>
      </c>
      <c r="E171" s="21"/>
      <c r="F171" s="21"/>
      <c r="G171" s="21"/>
      <c r="H171" s="3"/>
    </row>
    <row r="172" spans="1:8" x14ac:dyDescent="0.25">
      <c r="A172" s="20">
        <v>26451</v>
      </c>
      <c r="B172" s="21"/>
      <c r="C172" s="21"/>
      <c r="D172" s="21">
        <v>7</v>
      </c>
      <c r="E172" s="21"/>
      <c r="F172" s="21"/>
      <c r="G172" s="21"/>
      <c r="H172" s="3"/>
    </row>
    <row r="173" spans="1:8" x14ac:dyDescent="0.25">
      <c r="A173" s="20">
        <v>26481</v>
      </c>
      <c r="B173" s="21"/>
      <c r="C173" s="21"/>
      <c r="D173" s="21">
        <v>7</v>
      </c>
      <c r="E173" s="21"/>
      <c r="F173" s="21"/>
      <c r="G173" s="21"/>
      <c r="H173" s="3"/>
    </row>
    <row r="174" spans="1:8" x14ac:dyDescent="0.25">
      <c r="A174" s="20">
        <v>26512</v>
      </c>
      <c r="B174" s="21"/>
      <c r="C174" s="21"/>
      <c r="D174" s="21">
        <v>7</v>
      </c>
      <c r="E174" s="21"/>
      <c r="F174" s="21"/>
      <c r="G174" s="21"/>
      <c r="H174" s="3"/>
    </row>
    <row r="175" spans="1:8" x14ac:dyDescent="0.25">
      <c r="A175" s="20">
        <v>26543</v>
      </c>
      <c r="B175" s="21"/>
      <c r="C175" s="21"/>
      <c r="D175" s="21">
        <v>7</v>
      </c>
      <c r="E175" s="21"/>
      <c r="F175" s="21"/>
      <c r="G175" s="21"/>
      <c r="H175" s="3"/>
    </row>
    <row r="176" spans="1:8" x14ac:dyDescent="0.25">
      <c r="A176" s="20">
        <v>26573</v>
      </c>
      <c r="B176" s="21"/>
      <c r="C176" s="21"/>
      <c r="D176" s="21">
        <v>7</v>
      </c>
      <c r="E176" s="21"/>
      <c r="F176" s="21"/>
      <c r="G176" s="21"/>
      <c r="H176" s="3"/>
    </row>
    <row r="177" spans="1:8" x14ac:dyDescent="0.25">
      <c r="A177" s="20">
        <v>26604</v>
      </c>
      <c r="B177" s="21"/>
      <c r="C177" s="21"/>
      <c r="D177" s="21">
        <v>7</v>
      </c>
      <c r="E177" s="21"/>
      <c r="F177" s="21"/>
      <c r="G177" s="21"/>
      <c r="H177" s="3"/>
    </row>
    <row r="178" spans="1:8" x14ac:dyDescent="0.25">
      <c r="A178" s="20">
        <v>26634</v>
      </c>
      <c r="B178" s="21"/>
      <c r="C178" s="21"/>
      <c r="D178" s="21">
        <v>7</v>
      </c>
      <c r="E178" s="21"/>
      <c r="F178" s="21"/>
      <c r="G178" s="21"/>
      <c r="H178" s="3"/>
    </row>
    <row r="179" spans="1:8" x14ac:dyDescent="0.25">
      <c r="A179" s="20">
        <v>26665</v>
      </c>
      <c r="B179" s="21"/>
      <c r="C179" s="21"/>
      <c r="D179" s="21">
        <v>7</v>
      </c>
      <c r="E179" s="21"/>
      <c r="F179" s="21"/>
      <c r="G179" s="21"/>
      <c r="H179" s="3"/>
    </row>
    <row r="180" spans="1:8" x14ac:dyDescent="0.25">
      <c r="A180" s="20">
        <v>26696</v>
      </c>
      <c r="B180" s="21"/>
      <c r="C180" s="21"/>
      <c r="D180" s="21">
        <v>7</v>
      </c>
      <c r="E180" s="21"/>
      <c r="F180" s="21"/>
      <c r="G180" s="21"/>
      <c r="H180" s="3"/>
    </row>
    <row r="181" spans="1:8" x14ac:dyDescent="0.25">
      <c r="A181" s="20">
        <v>26724</v>
      </c>
      <c r="B181" s="21"/>
      <c r="C181" s="21"/>
      <c r="D181" s="21">
        <v>7</v>
      </c>
      <c r="E181" s="21"/>
      <c r="F181" s="21"/>
      <c r="G181" s="21"/>
      <c r="H181" s="3"/>
    </row>
    <row r="182" spans="1:8" x14ac:dyDescent="0.25">
      <c r="A182" s="20">
        <v>26755</v>
      </c>
      <c r="B182" s="21"/>
      <c r="C182" s="21"/>
      <c r="D182" s="21">
        <v>7</v>
      </c>
      <c r="E182" s="21"/>
      <c r="F182" s="21"/>
      <c r="G182" s="21"/>
      <c r="H182" s="3"/>
    </row>
    <row r="183" spans="1:8" x14ac:dyDescent="0.25">
      <c r="A183" s="20">
        <v>26785</v>
      </c>
      <c r="B183" s="21"/>
      <c r="C183" s="21"/>
      <c r="D183" s="21">
        <v>7</v>
      </c>
      <c r="E183" s="21"/>
      <c r="F183" s="21"/>
      <c r="G183" s="21"/>
      <c r="H183" s="3"/>
    </row>
    <row r="184" spans="1:8" x14ac:dyDescent="0.25">
      <c r="A184" s="20">
        <v>26816</v>
      </c>
      <c r="B184" s="21"/>
      <c r="C184" s="21"/>
      <c r="D184" s="21">
        <v>7</v>
      </c>
      <c r="E184" s="21"/>
      <c r="F184" s="21"/>
      <c r="G184" s="21"/>
      <c r="H184" s="3"/>
    </row>
    <row r="185" spans="1:8" x14ac:dyDescent="0.25">
      <c r="A185" s="20">
        <v>26846</v>
      </c>
      <c r="B185" s="21"/>
      <c r="C185" s="21"/>
      <c r="D185" s="21">
        <v>7</v>
      </c>
      <c r="E185" s="21"/>
      <c r="F185" s="21"/>
      <c r="G185" s="21"/>
      <c r="H185" s="3"/>
    </row>
    <row r="186" spans="1:8" x14ac:dyDescent="0.25">
      <c r="A186" s="20">
        <v>26877</v>
      </c>
      <c r="B186" s="21"/>
      <c r="C186" s="21"/>
      <c r="D186" s="21">
        <v>7</v>
      </c>
      <c r="E186" s="21"/>
      <c r="F186" s="21"/>
      <c r="G186" s="21"/>
      <c r="H186" s="3"/>
    </row>
    <row r="187" spans="1:8" x14ac:dyDescent="0.25">
      <c r="A187" s="20">
        <v>26908</v>
      </c>
      <c r="B187" s="21"/>
      <c r="C187" s="21"/>
      <c r="D187" s="21">
        <v>7</v>
      </c>
      <c r="E187" s="21"/>
      <c r="F187" s="21"/>
      <c r="G187" s="21"/>
      <c r="H187" s="3"/>
    </row>
    <row r="188" spans="1:8" x14ac:dyDescent="0.25">
      <c r="A188" s="20">
        <v>26938</v>
      </c>
      <c r="B188" s="21"/>
      <c r="C188" s="21"/>
      <c r="D188" s="21">
        <v>8.3800000000000008</v>
      </c>
      <c r="E188" s="21"/>
      <c r="F188" s="21"/>
      <c r="G188" s="21"/>
      <c r="H188" s="3"/>
    </row>
    <row r="189" spans="1:8" x14ac:dyDescent="0.25">
      <c r="A189" s="20">
        <v>26969</v>
      </c>
      <c r="B189" s="21"/>
      <c r="C189" s="21"/>
      <c r="D189" s="21">
        <v>8.3800000000000008</v>
      </c>
      <c r="E189" s="21"/>
      <c r="F189" s="21"/>
      <c r="G189" s="21"/>
      <c r="H189" s="3"/>
    </row>
    <row r="190" spans="1:8" x14ac:dyDescent="0.25">
      <c r="A190" s="20">
        <v>26999</v>
      </c>
      <c r="B190" s="21"/>
      <c r="C190" s="21"/>
      <c r="D190" s="21">
        <v>8.3800000000000008</v>
      </c>
      <c r="E190" s="21"/>
      <c r="F190" s="21"/>
      <c r="G190" s="21"/>
      <c r="H190" s="3"/>
    </row>
    <row r="191" spans="1:8" x14ac:dyDescent="0.25">
      <c r="A191" s="20">
        <v>27030</v>
      </c>
      <c r="B191" s="21"/>
      <c r="C191" s="21"/>
      <c r="D191" s="21">
        <v>8.3800000000000008</v>
      </c>
      <c r="E191" s="21"/>
      <c r="F191" s="21"/>
      <c r="G191" s="21"/>
      <c r="H191" s="3"/>
    </row>
    <row r="192" spans="1:8" x14ac:dyDescent="0.25">
      <c r="A192" s="20">
        <v>27061</v>
      </c>
      <c r="B192" s="21"/>
      <c r="C192" s="21"/>
      <c r="D192" s="21">
        <v>8.3800000000000008</v>
      </c>
      <c r="E192" s="21"/>
      <c r="F192" s="21"/>
      <c r="G192" s="21"/>
      <c r="H192" s="3"/>
    </row>
    <row r="193" spans="1:8" x14ac:dyDescent="0.25">
      <c r="A193" s="20">
        <v>27089</v>
      </c>
      <c r="B193" s="21"/>
      <c r="C193" s="21"/>
      <c r="D193" s="21">
        <v>8.3800000000000008</v>
      </c>
      <c r="E193" s="21"/>
      <c r="F193" s="21"/>
      <c r="G193" s="21"/>
      <c r="H193" s="3"/>
    </row>
    <row r="194" spans="1:8" x14ac:dyDescent="0.25">
      <c r="A194" s="20">
        <v>27120</v>
      </c>
      <c r="B194" s="21"/>
      <c r="C194" s="21"/>
      <c r="D194" s="21">
        <v>8.3800000000000008</v>
      </c>
      <c r="E194" s="21"/>
      <c r="F194" s="21"/>
      <c r="G194" s="21"/>
      <c r="H194" s="3"/>
    </row>
    <row r="195" spans="1:8" x14ac:dyDescent="0.25">
      <c r="A195" s="20">
        <v>27150</v>
      </c>
      <c r="B195" s="21"/>
      <c r="C195" s="21"/>
      <c r="D195" s="21">
        <v>8.3800000000000008</v>
      </c>
      <c r="E195" s="21"/>
      <c r="F195" s="21"/>
      <c r="G195" s="21"/>
      <c r="H195" s="3"/>
    </row>
    <row r="196" spans="1:8" x14ac:dyDescent="0.25">
      <c r="A196" s="20">
        <v>27181</v>
      </c>
      <c r="B196" s="21"/>
      <c r="C196" s="21"/>
      <c r="D196" s="21">
        <v>8.3800000000000008</v>
      </c>
      <c r="E196" s="21"/>
      <c r="F196" s="21"/>
      <c r="G196" s="21"/>
      <c r="H196" s="3"/>
    </row>
    <row r="197" spans="1:8" x14ac:dyDescent="0.25">
      <c r="A197" s="20">
        <v>27211</v>
      </c>
      <c r="B197" s="21"/>
      <c r="C197" s="21"/>
      <c r="D197" s="21">
        <v>10.38</v>
      </c>
      <c r="E197" s="21"/>
      <c r="F197" s="21"/>
      <c r="G197" s="21"/>
      <c r="H197" s="3"/>
    </row>
    <row r="198" spans="1:8" x14ac:dyDescent="0.25">
      <c r="A198" s="20">
        <v>27242</v>
      </c>
      <c r="B198" s="21"/>
      <c r="C198" s="21"/>
      <c r="D198" s="21">
        <v>10.38</v>
      </c>
      <c r="E198" s="21"/>
      <c r="F198" s="21"/>
      <c r="G198" s="21"/>
      <c r="H198" s="3"/>
    </row>
    <row r="199" spans="1:8" x14ac:dyDescent="0.25">
      <c r="A199" s="20">
        <v>27273</v>
      </c>
      <c r="B199" s="21"/>
      <c r="C199" s="21"/>
      <c r="D199" s="21">
        <v>10.38</v>
      </c>
      <c r="E199" s="21"/>
      <c r="F199" s="21"/>
      <c r="G199" s="21"/>
      <c r="H199" s="3"/>
    </row>
    <row r="200" spans="1:8" x14ac:dyDescent="0.25">
      <c r="A200" s="20">
        <v>27303</v>
      </c>
      <c r="B200" s="21"/>
      <c r="C200" s="21"/>
      <c r="D200" s="21">
        <v>10.38</v>
      </c>
      <c r="E200" s="21"/>
      <c r="F200" s="21"/>
      <c r="G200" s="21"/>
      <c r="H200" s="3"/>
    </row>
    <row r="201" spans="1:8" x14ac:dyDescent="0.25">
      <c r="A201" s="20">
        <v>27334</v>
      </c>
      <c r="B201" s="21"/>
      <c r="C201" s="21"/>
      <c r="D201" s="21">
        <v>10.38</v>
      </c>
      <c r="E201" s="21"/>
      <c r="F201" s="21"/>
      <c r="G201" s="21"/>
      <c r="H201" s="3"/>
    </row>
    <row r="202" spans="1:8" x14ac:dyDescent="0.25">
      <c r="A202" s="20">
        <v>27364</v>
      </c>
      <c r="B202" s="21"/>
      <c r="C202" s="21"/>
      <c r="D202" s="21">
        <v>10.38</v>
      </c>
      <c r="E202" s="21"/>
      <c r="F202" s="21"/>
      <c r="G202" s="21"/>
      <c r="H202" s="3"/>
    </row>
    <row r="203" spans="1:8" x14ac:dyDescent="0.25">
      <c r="A203" s="20">
        <v>27395</v>
      </c>
      <c r="B203" s="21"/>
      <c r="C203" s="21"/>
      <c r="D203" s="21">
        <v>10.38</v>
      </c>
      <c r="E203" s="21"/>
      <c r="F203" s="21"/>
      <c r="G203" s="21"/>
      <c r="H203" s="3"/>
    </row>
    <row r="204" spans="1:8" x14ac:dyDescent="0.25">
      <c r="A204" s="20">
        <v>27426</v>
      </c>
      <c r="B204" s="21"/>
      <c r="C204" s="21"/>
      <c r="D204" s="21">
        <v>10.38</v>
      </c>
      <c r="E204" s="21"/>
      <c r="F204" s="21"/>
      <c r="G204" s="21"/>
      <c r="H204" s="3"/>
    </row>
    <row r="205" spans="1:8" x14ac:dyDescent="0.25">
      <c r="A205" s="20">
        <v>27454</v>
      </c>
      <c r="B205" s="21"/>
      <c r="C205" s="21"/>
      <c r="D205" s="21">
        <v>10.38</v>
      </c>
      <c r="E205" s="21"/>
      <c r="F205" s="21"/>
      <c r="G205" s="21"/>
      <c r="H205" s="3"/>
    </row>
    <row r="206" spans="1:8" x14ac:dyDescent="0.25">
      <c r="A206" s="20">
        <v>27485</v>
      </c>
      <c r="B206" s="21"/>
      <c r="C206" s="21"/>
      <c r="D206" s="21">
        <v>10.130000000000001</v>
      </c>
      <c r="E206" s="21"/>
      <c r="F206" s="21"/>
      <c r="G206" s="21"/>
      <c r="H206" s="3"/>
    </row>
    <row r="207" spans="1:8" x14ac:dyDescent="0.25">
      <c r="A207" s="20">
        <v>27515</v>
      </c>
      <c r="B207" s="21"/>
      <c r="C207" s="21"/>
      <c r="D207" s="21">
        <v>10.130000000000001</v>
      </c>
      <c r="E207" s="21"/>
      <c r="F207" s="21"/>
      <c r="G207" s="21"/>
      <c r="H207" s="3"/>
    </row>
    <row r="208" spans="1:8" x14ac:dyDescent="0.25">
      <c r="A208" s="20">
        <v>27546</v>
      </c>
      <c r="B208" s="21"/>
      <c r="C208" s="21"/>
      <c r="D208" s="21">
        <v>10.130000000000001</v>
      </c>
      <c r="E208" s="21"/>
      <c r="F208" s="21"/>
      <c r="G208" s="21"/>
      <c r="H208" s="3"/>
    </row>
    <row r="209" spans="1:8" x14ac:dyDescent="0.25">
      <c r="A209" s="20">
        <v>27576</v>
      </c>
      <c r="B209" s="21"/>
      <c r="C209" s="21"/>
      <c r="D209" s="21">
        <v>10.130000000000001</v>
      </c>
      <c r="E209" s="21"/>
      <c r="F209" s="21"/>
      <c r="G209" s="21"/>
      <c r="H209" s="3"/>
    </row>
    <row r="210" spans="1:8" x14ac:dyDescent="0.25">
      <c r="A210" s="20">
        <v>27607</v>
      </c>
      <c r="B210" s="21"/>
      <c r="C210" s="21"/>
      <c r="D210" s="21">
        <v>10.130000000000001</v>
      </c>
      <c r="E210" s="21"/>
      <c r="F210" s="21"/>
      <c r="G210" s="21"/>
      <c r="H210" s="3"/>
    </row>
    <row r="211" spans="1:8" x14ac:dyDescent="0.25">
      <c r="A211" s="20">
        <v>27638</v>
      </c>
      <c r="B211" s="21"/>
      <c r="C211" s="21"/>
      <c r="D211" s="21">
        <v>10.38</v>
      </c>
      <c r="E211" s="21"/>
      <c r="F211" s="21"/>
      <c r="G211" s="21"/>
      <c r="H211" s="3"/>
    </row>
    <row r="212" spans="1:8" x14ac:dyDescent="0.25">
      <c r="A212" s="20">
        <v>27668</v>
      </c>
      <c r="B212" s="21"/>
      <c r="C212" s="21"/>
      <c r="D212" s="21">
        <v>10.38</v>
      </c>
      <c r="E212" s="21"/>
      <c r="F212" s="21"/>
      <c r="G212" s="21"/>
      <c r="H212" s="3"/>
    </row>
    <row r="213" spans="1:8" x14ac:dyDescent="0.25">
      <c r="A213" s="20">
        <v>27699</v>
      </c>
      <c r="B213" s="21"/>
      <c r="C213" s="21"/>
      <c r="D213" s="21">
        <v>10.38</v>
      </c>
      <c r="E213" s="21"/>
      <c r="F213" s="21"/>
      <c r="G213" s="21"/>
      <c r="H213" s="3"/>
    </row>
    <row r="214" spans="1:8" x14ac:dyDescent="0.25">
      <c r="A214" s="20">
        <v>27729</v>
      </c>
      <c r="B214" s="21"/>
      <c r="C214" s="21"/>
      <c r="D214" s="21">
        <v>10.38</v>
      </c>
      <c r="E214" s="21"/>
      <c r="F214" s="21"/>
      <c r="G214" s="21"/>
      <c r="H214" s="3"/>
    </row>
    <row r="215" spans="1:8" x14ac:dyDescent="0.25">
      <c r="A215" s="20">
        <v>27760</v>
      </c>
      <c r="B215" s="21"/>
      <c r="C215" s="21"/>
      <c r="D215" s="21">
        <v>10.38</v>
      </c>
      <c r="E215" s="21"/>
      <c r="F215" s="21"/>
      <c r="G215" s="21"/>
      <c r="H215" s="3"/>
    </row>
    <row r="216" spans="1:8" x14ac:dyDescent="0.25">
      <c r="A216" s="20">
        <v>27791</v>
      </c>
      <c r="B216" s="21"/>
      <c r="C216" s="21">
        <v>10.46</v>
      </c>
      <c r="D216" s="21">
        <v>9.8800000000000008</v>
      </c>
      <c r="E216" s="21"/>
      <c r="F216" s="21"/>
      <c r="G216" s="21"/>
      <c r="H216" s="3"/>
    </row>
    <row r="217" spans="1:8" x14ac:dyDescent="0.25">
      <c r="A217" s="20">
        <v>27820</v>
      </c>
      <c r="B217" s="21"/>
      <c r="C217" s="21">
        <v>10.46</v>
      </c>
      <c r="D217" s="21">
        <v>9.8800000000000008</v>
      </c>
      <c r="E217" s="21"/>
      <c r="F217" s="21"/>
      <c r="G217" s="21"/>
      <c r="H217" s="3"/>
    </row>
    <row r="218" spans="1:8" x14ac:dyDescent="0.25">
      <c r="A218" s="20">
        <v>27851</v>
      </c>
      <c r="B218" s="21"/>
      <c r="C218" s="21">
        <v>10.46</v>
      </c>
      <c r="D218" s="21">
        <v>9.8800000000000008</v>
      </c>
      <c r="E218" s="21"/>
      <c r="F218" s="21"/>
      <c r="G218" s="21"/>
      <c r="H218" s="3"/>
    </row>
    <row r="219" spans="1:8" x14ac:dyDescent="0.25">
      <c r="A219" s="20">
        <v>27881</v>
      </c>
      <c r="B219" s="21"/>
      <c r="C219" s="21">
        <v>10.46</v>
      </c>
      <c r="D219" s="21">
        <v>9.8800000000000008</v>
      </c>
      <c r="E219" s="21"/>
      <c r="F219" s="21"/>
      <c r="G219" s="21"/>
      <c r="H219" s="3"/>
    </row>
    <row r="220" spans="1:8" x14ac:dyDescent="0.25">
      <c r="A220" s="20">
        <v>27912</v>
      </c>
      <c r="B220" s="21"/>
      <c r="C220" s="21">
        <v>10.46</v>
      </c>
      <c r="D220" s="21">
        <v>9.8800000000000008</v>
      </c>
      <c r="E220" s="21"/>
      <c r="F220" s="21"/>
      <c r="G220" s="21"/>
      <c r="H220" s="3"/>
    </row>
    <row r="221" spans="1:8" x14ac:dyDescent="0.25">
      <c r="A221" s="20">
        <v>27942</v>
      </c>
      <c r="B221" s="21"/>
      <c r="C221" s="21">
        <v>10.46</v>
      </c>
      <c r="D221" s="21">
        <v>9.8800000000000008</v>
      </c>
      <c r="E221" s="21"/>
      <c r="F221" s="21"/>
      <c r="G221" s="21"/>
      <c r="H221" s="3"/>
    </row>
    <row r="222" spans="1:8" x14ac:dyDescent="0.25">
      <c r="A222" s="20">
        <v>27973</v>
      </c>
      <c r="B222" s="21"/>
      <c r="C222" s="21">
        <v>10.46</v>
      </c>
      <c r="D222" s="21">
        <v>9.8800000000000008</v>
      </c>
      <c r="E222" s="21"/>
      <c r="F222" s="21"/>
      <c r="G222" s="21"/>
      <c r="H222" s="3"/>
    </row>
    <row r="223" spans="1:8" x14ac:dyDescent="0.25">
      <c r="A223" s="20">
        <v>28004</v>
      </c>
      <c r="B223" s="21"/>
      <c r="C223" s="21">
        <v>10.46</v>
      </c>
      <c r="D223" s="21">
        <v>9.8800000000000008</v>
      </c>
      <c r="E223" s="21"/>
      <c r="F223" s="21"/>
      <c r="G223" s="21"/>
      <c r="H223" s="3"/>
    </row>
    <row r="224" spans="1:8" x14ac:dyDescent="0.25">
      <c r="A224" s="20">
        <v>28034</v>
      </c>
      <c r="B224" s="21"/>
      <c r="C224" s="21">
        <v>10.46</v>
      </c>
      <c r="D224" s="21">
        <v>9.8800000000000008</v>
      </c>
      <c r="E224" s="21"/>
      <c r="F224" s="21"/>
      <c r="G224" s="21"/>
      <c r="H224" s="3"/>
    </row>
    <row r="225" spans="1:8" x14ac:dyDescent="0.25">
      <c r="A225" s="20">
        <v>28065</v>
      </c>
      <c r="B225" s="21"/>
      <c r="C225" s="21">
        <v>10.46</v>
      </c>
      <c r="D225" s="21">
        <v>9.8800000000000008</v>
      </c>
      <c r="E225" s="21"/>
      <c r="F225" s="21"/>
      <c r="G225" s="21"/>
      <c r="H225" s="3"/>
    </row>
    <row r="226" spans="1:8" x14ac:dyDescent="0.25">
      <c r="A226" s="20">
        <v>28095</v>
      </c>
      <c r="B226" s="21"/>
      <c r="C226" s="21">
        <v>10.46</v>
      </c>
      <c r="D226" s="21">
        <v>9.8800000000000008</v>
      </c>
      <c r="E226" s="21"/>
      <c r="F226" s="21"/>
      <c r="G226" s="21"/>
      <c r="H226" s="3"/>
    </row>
    <row r="227" spans="1:8" x14ac:dyDescent="0.25">
      <c r="A227" s="20">
        <v>28126</v>
      </c>
      <c r="B227" s="21"/>
      <c r="C227" s="21">
        <v>10.46</v>
      </c>
      <c r="D227" s="21">
        <v>9.8800000000000008</v>
      </c>
      <c r="E227" s="21"/>
      <c r="F227" s="21"/>
      <c r="G227" s="21"/>
      <c r="H227" s="3"/>
    </row>
    <row r="228" spans="1:8" x14ac:dyDescent="0.25">
      <c r="A228" s="20">
        <v>28157</v>
      </c>
      <c r="B228" s="21"/>
      <c r="C228" s="21">
        <v>10.46</v>
      </c>
      <c r="D228" s="21">
        <v>9.8800000000000008</v>
      </c>
      <c r="E228" s="21"/>
      <c r="F228" s="21"/>
      <c r="G228" s="21"/>
      <c r="H228" s="3"/>
    </row>
    <row r="229" spans="1:8" x14ac:dyDescent="0.25">
      <c r="A229" s="20">
        <v>28185</v>
      </c>
      <c r="B229" s="21"/>
      <c r="C229" s="21">
        <v>10.46</v>
      </c>
      <c r="D229" s="21">
        <v>9.8800000000000008</v>
      </c>
      <c r="E229" s="21"/>
      <c r="F229" s="21"/>
      <c r="G229" s="21"/>
      <c r="H229" s="3"/>
    </row>
    <row r="230" spans="1:8" x14ac:dyDescent="0.25">
      <c r="A230" s="20">
        <v>28216</v>
      </c>
      <c r="B230" s="21"/>
      <c r="C230" s="21">
        <v>10.46</v>
      </c>
      <c r="D230" s="21">
        <v>9.8800000000000008</v>
      </c>
      <c r="E230" s="21"/>
      <c r="F230" s="21"/>
      <c r="G230" s="21"/>
      <c r="H230" s="3"/>
    </row>
    <row r="231" spans="1:8" x14ac:dyDescent="0.25">
      <c r="A231" s="20">
        <v>28246</v>
      </c>
      <c r="B231" s="21"/>
      <c r="C231" s="21">
        <v>10.46</v>
      </c>
      <c r="D231" s="21">
        <v>9.8800000000000008</v>
      </c>
      <c r="E231" s="21"/>
      <c r="F231" s="21"/>
      <c r="G231" s="21"/>
      <c r="H231" s="3"/>
    </row>
    <row r="232" spans="1:8" x14ac:dyDescent="0.25">
      <c r="A232" s="20">
        <v>28277</v>
      </c>
      <c r="B232" s="21"/>
      <c r="C232" s="21">
        <v>10.46</v>
      </c>
      <c r="D232" s="21">
        <v>9.8800000000000008</v>
      </c>
      <c r="E232" s="21"/>
      <c r="F232" s="21"/>
      <c r="G232" s="21"/>
      <c r="H232" s="3"/>
    </row>
    <row r="233" spans="1:8" x14ac:dyDescent="0.25">
      <c r="A233" s="20">
        <v>28307</v>
      </c>
      <c r="B233" s="21"/>
      <c r="C233" s="21">
        <v>10.46</v>
      </c>
      <c r="D233" s="21">
        <v>9.8800000000000008</v>
      </c>
      <c r="E233" s="21"/>
      <c r="F233" s="21"/>
      <c r="G233" s="21"/>
      <c r="H233" s="3"/>
    </row>
    <row r="234" spans="1:8" x14ac:dyDescent="0.25">
      <c r="A234" s="20">
        <v>28338</v>
      </c>
      <c r="B234" s="21"/>
      <c r="C234" s="21">
        <v>10.46</v>
      </c>
      <c r="D234" s="21">
        <v>9.8800000000000008</v>
      </c>
      <c r="E234" s="21"/>
      <c r="F234" s="21"/>
      <c r="G234" s="21"/>
      <c r="H234" s="3"/>
    </row>
    <row r="235" spans="1:8" x14ac:dyDescent="0.25">
      <c r="A235" s="20">
        <v>28369</v>
      </c>
      <c r="B235" s="21"/>
      <c r="C235" s="21">
        <v>10.46</v>
      </c>
      <c r="D235" s="21">
        <v>9.8800000000000008</v>
      </c>
      <c r="E235" s="21"/>
      <c r="F235" s="21"/>
      <c r="G235" s="21"/>
      <c r="H235" s="3"/>
    </row>
    <row r="236" spans="1:8" x14ac:dyDescent="0.25">
      <c r="A236" s="20">
        <v>28399</v>
      </c>
      <c r="B236" s="21"/>
      <c r="C236" s="21">
        <v>10.46</v>
      </c>
      <c r="D236" s="21">
        <v>9.8800000000000008</v>
      </c>
      <c r="E236" s="21"/>
      <c r="F236" s="21"/>
      <c r="G236" s="21"/>
      <c r="H236" s="3"/>
    </row>
    <row r="237" spans="1:8" x14ac:dyDescent="0.25">
      <c r="A237" s="20">
        <v>28430</v>
      </c>
      <c r="B237" s="21"/>
      <c r="C237" s="21">
        <v>10.46</v>
      </c>
      <c r="D237" s="21">
        <v>9.8800000000000008</v>
      </c>
      <c r="E237" s="21"/>
      <c r="F237" s="21"/>
      <c r="G237" s="21"/>
      <c r="H237" s="3"/>
    </row>
    <row r="238" spans="1:8" x14ac:dyDescent="0.25">
      <c r="A238" s="20">
        <v>28460</v>
      </c>
      <c r="B238" s="21"/>
      <c r="C238" s="21">
        <v>10.46</v>
      </c>
      <c r="D238" s="21">
        <v>9.8800000000000008</v>
      </c>
      <c r="E238" s="21"/>
      <c r="F238" s="21"/>
      <c r="G238" s="21"/>
      <c r="H238" s="3"/>
    </row>
    <row r="239" spans="1:8" x14ac:dyDescent="0.25">
      <c r="A239" s="20">
        <v>28491</v>
      </c>
      <c r="B239" s="21"/>
      <c r="C239" s="21">
        <v>10.46</v>
      </c>
      <c r="D239" s="21">
        <v>9.6300000000000008</v>
      </c>
      <c r="E239" s="21"/>
      <c r="F239" s="21"/>
      <c r="G239" s="21"/>
      <c r="H239" s="3"/>
    </row>
    <row r="240" spans="1:8" x14ac:dyDescent="0.25">
      <c r="A240" s="20">
        <v>28522</v>
      </c>
      <c r="B240" s="21"/>
      <c r="C240" s="21">
        <v>10.46</v>
      </c>
      <c r="D240" s="21">
        <v>9.3800000000000008</v>
      </c>
      <c r="E240" s="21"/>
      <c r="F240" s="21"/>
      <c r="G240" s="21"/>
      <c r="H240" s="3"/>
    </row>
    <row r="241" spans="1:8" x14ac:dyDescent="0.25">
      <c r="A241" s="20">
        <v>28550</v>
      </c>
      <c r="B241" s="21"/>
      <c r="C241" s="21">
        <v>10.46</v>
      </c>
      <c r="D241" s="21">
        <v>9.3800000000000008</v>
      </c>
      <c r="E241" s="21"/>
      <c r="F241" s="21"/>
      <c r="G241" s="21"/>
      <c r="H241" s="3"/>
    </row>
    <row r="242" spans="1:8" x14ac:dyDescent="0.25">
      <c r="A242" s="20">
        <v>28581</v>
      </c>
      <c r="B242" s="21"/>
      <c r="C242" s="21">
        <v>10.46</v>
      </c>
      <c r="D242" s="21">
        <v>9.3800000000000008</v>
      </c>
      <c r="E242" s="21"/>
      <c r="F242" s="21"/>
      <c r="G242" s="21"/>
      <c r="H242" s="3"/>
    </row>
    <row r="243" spans="1:8" x14ac:dyDescent="0.25">
      <c r="A243" s="20">
        <v>28611</v>
      </c>
      <c r="B243" s="21"/>
      <c r="C243" s="21">
        <v>10.46</v>
      </c>
      <c r="D243" s="21">
        <v>9.3800000000000008</v>
      </c>
      <c r="E243" s="21"/>
      <c r="F243" s="21"/>
      <c r="G243" s="21"/>
      <c r="H243" s="3"/>
    </row>
    <row r="244" spans="1:8" x14ac:dyDescent="0.25">
      <c r="A244" s="20">
        <v>28642</v>
      </c>
      <c r="B244" s="21"/>
      <c r="C244" s="21">
        <v>10.46</v>
      </c>
      <c r="D244" s="21">
        <v>9.3800000000000008</v>
      </c>
      <c r="E244" s="21"/>
      <c r="F244" s="21"/>
      <c r="G244" s="21"/>
      <c r="H244" s="3"/>
    </row>
    <row r="245" spans="1:8" x14ac:dyDescent="0.25">
      <c r="A245" s="20">
        <v>28672</v>
      </c>
      <c r="B245" s="21"/>
      <c r="C245" s="21">
        <v>10.46</v>
      </c>
      <c r="D245" s="21">
        <v>9.3800000000000008</v>
      </c>
      <c r="E245" s="21"/>
      <c r="F245" s="21"/>
      <c r="G245" s="21"/>
      <c r="H245" s="3"/>
    </row>
    <row r="246" spans="1:8" x14ac:dyDescent="0.25">
      <c r="A246" s="20">
        <v>28703</v>
      </c>
      <c r="B246" s="21"/>
      <c r="C246" s="21">
        <v>10.46</v>
      </c>
      <c r="D246" s="21">
        <v>9.3800000000000008</v>
      </c>
      <c r="E246" s="21"/>
      <c r="F246" s="21"/>
      <c r="G246" s="21"/>
      <c r="H246" s="3"/>
    </row>
    <row r="247" spans="1:8" x14ac:dyDescent="0.25">
      <c r="A247" s="20">
        <v>28734</v>
      </c>
      <c r="B247" s="21"/>
      <c r="C247" s="21">
        <v>10.46</v>
      </c>
      <c r="D247" s="21">
        <v>9.3800000000000008</v>
      </c>
      <c r="E247" s="21"/>
      <c r="F247" s="21"/>
      <c r="G247" s="21"/>
      <c r="H247" s="3"/>
    </row>
    <row r="248" spans="1:8" x14ac:dyDescent="0.25">
      <c r="A248" s="20">
        <v>28764</v>
      </c>
      <c r="B248" s="21"/>
      <c r="C248" s="21">
        <v>10.46</v>
      </c>
      <c r="D248" s="21">
        <v>9.3800000000000008</v>
      </c>
      <c r="E248" s="21"/>
      <c r="F248" s="21"/>
      <c r="G248" s="21"/>
      <c r="H248" s="3"/>
    </row>
    <row r="249" spans="1:8" x14ac:dyDescent="0.25">
      <c r="A249" s="20">
        <v>28795</v>
      </c>
      <c r="B249" s="21"/>
      <c r="C249" s="21">
        <v>10.34</v>
      </c>
      <c r="D249" s="21">
        <v>9.3800000000000008</v>
      </c>
      <c r="E249" s="21"/>
      <c r="F249" s="21"/>
      <c r="G249" s="21"/>
      <c r="H249" s="3"/>
    </row>
    <row r="250" spans="1:8" x14ac:dyDescent="0.25">
      <c r="A250" s="20">
        <v>28825</v>
      </c>
      <c r="B250" s="21"/>
      <c r="C250" s="21">
        <v>9.9600000000000009</v>
      </c>
      <c r="D250" s="21">
        <v>9.1300000000000008</v>
      </c>
      <c r="E250" s="21"/>
      <c r="F250" s="21"/>
      <c r="G250" s="21"/>
      <c r="H250" s="3"/>
    </row>
    <row r="251" spans="1:8" x14ac:dyDescent="0.25">
      <c r="A251" s="20">
        <v>28856</v>
      </c>
      <c r="B251" s="21"/>
      <c r="C251" s="21">
        <v>9.9600000000000009</v>
      </c>
      <c r="D251" s="21">
        <v>9.1300000000000008</v>
      </c>
      <c r="E251" s="21"/>
      <c r="F251" s="21"/>
      <c r="G251" s="21"/>
      <c r="H251" s="3"/>
    </row>
    <row r="252" spans="1:8" x14ac:dyDescent="0.25">
      <c r="A252" s="20">
        <v>28887</v>
      </c>
      <c r="B252" s="21"/>
      <c r="C252" s="21">
        <v>9.9600000000000009</v>
      </c>
      <c r="D252" s="21">
        <v>9.1300000000000008</v>
      </c>
      <c r="E252" s="21"/>
      <c r="F252" s="21"/>
      <c r="G252" s="21"/>
      <c r="H252" s="3"/>
    </row>
    <row r="253" spans="1:8" x14ac:dyDescent="0.25">
      <c r="A253" s="20">
        <v>28915</v>
      </c>
      <c r="B253" s="21"/>
      <c r="C253" s="21">
        <v>9.9600000000000009</v>
      </c>
      <c r="D253" s="21">
        <v>9.1300000000000008</v>
      </c>
      <c r="E253" s="21"/>
      <c r="F253" s="21"/>
      <c r="G253" s="21"/>
      <c r="H253" s="3"/>
    </row>
    <row r="254" spans="1:8" x14ac:dyDescent="0.25">
      <c r="A254" s="20">
        <v>28946</v>
      </c>
      <c r="B254" s="21"/>
      <c r="C254" s="21">
        <v>9.9600000000000009</v>
      </c>
      <c r="D254" s="21">
        <v>9.1300000000000008</v>
      </c>
      <c r="E254" s="21"/>
      <c r="F254" s="21"/>
      <c r="G254" s="21"/>
      <c r="H254" s="3"/>
    </row>
    <row r="255" spans="1:8" x14ac:dyDescent="0.25">
      <c r="A255" s="20">
        <v>28976</v>
      </c>
      <c r="B255" s="21"/>
      <c r="C255" s="21">
        <v>9.9600000000000009</v>
      </c>
      <c r="D255" s="21">
        <v>9.1300000000000008</v>
      </c>
      <c r="E255" s="21"/>
      <c r="F255" s="21"/>
      <c r="G255" s="21"/>
      <c r="H255" s="3"/>
    </row>
    <row r="256" spans="1:8" x14ac:dyDescent="0.25">
      <c r="A256" s="20">
        <v>29007</v>
      </c>
      <c r="B256" s="21"/>
      <c r="C256" s="21">
        <v>9.9600000000000009</v>
      </c>
      <c r="D256" s="21">
        <v>9.1300000000000008</v>
      </c>
      <c r="E256" s="21"/>
      <c r="F256" s="21"/>
      <c r="G256" s="21"/>
      <c r="H256" s="3"/>
    </row>
    <row r="257" spans="1:8" x14ac:dyDescent="0.25">
      <c r="A257" s="20">
        <v>29037</v>
      </c>
      <c r="B257" s="21"/>
      <c r="C257" s="21">
        <v>9.9600000000000009</v>
      </c>
      <c r="D257" s="21">
        <v>9.1300000000000008</v>
      </c>
      <c r="E257" s="21"/>
      <c r="F257" s="21"/>
      <c r="G257" s="21"/>
      <c r="H257" s="3"/>
    </row>
    <row r="258" spans="1:8" x14ac:dyDescent="0.25">
      <c r="A258" s="20">
        <v>29068</v>
      </c>
      <c r="B258" s="21"/>
      <c r="C258" s="21">
        <v>9.9600000000000009</v>
      </c>
      <c r="D258" s="21">
        <v>9.1300000000000008</v>
      </c>
      <c r="E258" s="21"/>
      <c r="F258" s="21"/>
      <c r="G258" s="21"/>
      <c r="H258" s="3"/>
    </row>
    <row r="259" spans="1:8" x14ac:dyDescent="0.25">
      <c r="A259" s="20">
        <v>29099</v>
      </c>
      <c r="B259" s="21"/>
      <c r="C259" s="21">
        <v>9.9600000000000009</v>
      </c>
      <c r="D259" s="21">
        <v>9.1300000000000008</v>
      </c>
      <c r="E259" s="21"/>
      <c r="F259" s="21"/>
      <c r="G259" s="21"/>
      <c r="H259" s="3"/>
    </row>
    <row r="260" spans="1:8" x14ac:dyDescent="0.25">
      <c r="A260" s="20">
        <v>29129</v>
      </c>
      <c r="B260" s="21"/>
      <c r="C260" s="21">
        <v>9.9600000000000009</v>
      </c>
      <c r="D260" s="21">
        <v>9.1300000000000008</v>
      </c>
      <c r="E260" s="21"/>
      <c r="F260" s="21"/>
      <c r="G260" s="21"/>
      <c r="H260" s="3"/>
    </row>
    <row r="261" spans="1:8" x14ac:dyDescent="0.25">
      <c r="A261" s="20">
        <v>29160</v>
      </c>
      <c r="B261" s="21"/>
      <c r="C261" s="21">
        <v>9.9600000000000009</v>
      </c>
      <c r="D261" s="21">
        <v>9.1300000000000008</v>
      </c>
      <c r="E261" s="21"/>
      <c r="F261" s="21"/>
      <c r="G261" s="21"/>
      <c r="H261" s="3"/>
    </row>
    <row r="262" spans="1:8" x14ac:dyDescent="0.25">
      <c r="A262" s="20">
        <v>29190</v>
      </c>
      <c r="B262" s="21"/>
      <c r="C262" s="21">
        <v>9.9600000000000009</v>
      </c>
      <c r="D262" s="21">
        <v>9.1300000000000008</v>
      </c>
      <c r="E262" s="21"/>
      <c r="F262" s="21"/>
      <c r="G262" s="21"/>
      <c r="H262" s="3"/>
    </row>
    <row r="263" spans="1:8" x14ac:dyDescent="0.25">
      <c r="A263" s="20">
        <v>29221</v>
      </c>
      <c r="B263" s="21"/>
      <c r="C263" s="21">
        <v>9.9600000000000009</v>
      </c>
      <c r="D263" s="21">
        <v>9.1300000000000008</v>
      </c>
      <c r="E263" s="21"/>
      <c r="F263" s="21"/>
      <c r="G263" s="21"/>
      <c r="H263" s="3"/>
    </row>
    <row r="264" spans="1:8" x14ac:dyDescent="0.25">
      <c r="A264" s="20">
        <v>29252</v>
      </c>
      <c r="B264" s="21"/>
      <c r="C264" s="21">
        <v>9.9600000000000009</v>
      </c>
      <c r="D264" s="21">
        <v>9.1300000000000008</v>
      </c>
      <c r="E264" s="21"/>
      <c r="F264" s="21"/>
      <c r="G264" s="21"/>
      <c r="H264" s="3"/>
    </row>
    <row r="265" spans="1:8" x14ac:dyDescent="0.25">
      <c r="A265" s="20">
        <v>29281</v>
      </c>
      <c r="B265" s="21"/>
      <c r="C265" s="21">
        <v>10.34</v>
      </c>
      <c r="D265" s="21">
        <v>9.6300000000000008</v>
      </c>
      <c r="E265" s="21"/>
      <c r="F265" s="21"/>
      <c r="G265" s="21"/>
      <c r="H265" s="3"/>
    </row>
    <row r="266" spans="1:8" x14ac:dyDescent="0.25">
      <c r="A266" s="20">
        <v>29312</v>
      </c>
      <c r="B266" s="21"/>
      <c r="C266" s="21">
        <v>10.46</v>
      </c>
      <c r="D266" s="21">
        <v>9.8800000000000008</v>
      </c>
      <c r="E266" s="21"/>
      <c r="F266" s="21"/>
      <c r="G266" s="21"/>
      <c r="H266" s="3"/>
    </row>
    <row r="267" spans="1:8" x14ac:dyDescent="0.25">
      <c r="A267" s="20">
        <v>29342</v>
      </c>
      <c r="B267" s="21"/>
      <c r="C267" s="21">
        <v>10.46</v>
      </c>
      <c r="D267" s="21">
        <v>9.8800000000000008</v>
      </c>
      <c r="E267" s="21"/>
      <c r="F267" s="21"/>
      <c r="G267" s="21"/>
      <c r="H267" s="3"/>
    </row>
    <row r="268" spans="1:8" x14ac:dyDescent="0.25">
      <c r="A268" s="20">
        <v>29373</v>
      </c>
      <c r="B268" s="21"/>
      <c r="C268" s="21">
        <v>10.46</v>
      </c>
      <c r="D268" s="21">
        <v>9.8800000000000008</v>
      </c>
      <c r="E268" s="21"/>
      <c r="F268" s="21"/>
      <c r="G268" s="21"/>
      <c r="H268" s="3"/>
    </row>
    <row r="269" spans="1:8" x14ac:dyDescent="0.25">
      <c r="A269" s="20">
        <v>29403</v>
      </c>
      <c r="B269" s="21"/>
      <c r="C269" s="21">
        <v>10.46</v>
      </c>
      <c r="D269" s="21">
        <v>10.25</v>
      </c>
      <c r="E269" s="21"/>
      <c r="F269" s="21"/>
      <c r="G269" s="21"/>
      <c r="H269" s="3"/>
    </row>
    <row r="270" spans="1:8" x14ac:dyDescent="0.25">
      <c r="A270" s="20">
        <v>29434</v>
      </c>
      <c r="B270" s="21"/>
      <c r="C270" s="21">
        <v>10.46</v>
      </c>
      <c r="D270" s="21">
        <v>10.25</v>
      </c>
      <c r="E270" s="21"/>
      <c r="F270" s="21"/>
      <c r="G270" s="21"/>
      <c r="H270" s="3"/>
    </row>
    <row r="271" spans="1:8" x14ac:dyDescent="0.25">
      <c r="A271" s="20">
        <v>29465</v>
      </c>
      <c r="B271" s="21"/>
      <c r="C271" s="21">
        <v>10.46</v>
      </c>
      <c r="D271" s="21">
        <v>10.25</v>
      </c>
      <c r="E271" s="21"/>
      <c r="F271" s="21"/>
      <c r="G271" s="21"/>
      <c r="H271" s="3"/>
    </row>
    <row r="272" spans="1:8" x14ac:dyDescent="0.25">
      <c r="A272" s="20">
        <v>29495</v>
      </c>
      <c r="B272" s="21"/>
      <c r="C272" s="21">
        <v>10.46</v>
      </c>
      <c r="D272" s="21">
        <v>10.25</v>
      </c>
      <c r="E272" s="21"/>
      <c r="F272" s="21"/>
      <c r="G272" s="21"/>
      <c r="H272" s="3"/>
    </row>
    <row r="273" spans="1:8" x14ac:dyDescent="0.25">
      <c r="A273" s="20">
        <v>29526</v>
      </c>
      <c r="B273" s="21"/>
      <c r="C273" s="21">
        <v>10.46</v>
      </c>
      <c r="D273" s="21">
        <v>10.25</v>
      </c>
      <c r="E273" s="21"/>
      <c r="F273" s="21"/>
      <c r="G273" s="21"/>
      <c r="H273" s="3"/>
    </row>
    <row r="274" spans="1:8" x14ac:dyDescent="0.25">
      <c r="A274" s="20">
        <v>29556</v>
      </c>
      <c r="B274" s="21"/>
      <c r="C274" s="21">
        <v>11.95</v>
      </c>
      <c r="D274" s="21">
        <v>11</v>
      </c>
      <c r="E274" s="21"/>
      <c r="F274" s="21"/>
      <c r="G274" s="21"/>
      <c r="H274" s="3"/>
    </row>
    <row r="275" spans="1:8" x14ac:dyDescent="0.25">
      <c r="A275" s="20">
        <v>29587</v>
      </c>
      <c r="B275" s="21"/>
      <c r="C275" s="21">
        <v>11.95</v>
      </c>
      <c r="D275" s="21">
        <v>11.5</v>
      </c>
      <c r="E275" s="21"/>
      <c r="F275" s="21"/>
      <c r="G275" s="21"/>
      <c r="H275" s="3"/>
    </row>
    <row r="276" spans="1:8" x14ac:dyDescent="0.25">
      <c r="A276" s="20">
        <v>29618</v>
      </c>
      <c r="B276" s="21"/>
      <c r="C276" s="21">
        <v>11.95</v>
      </c>
      <c r="D276" s="21">
        <v>11.5</v>
      </c>
      <c r="E276" s="21"/>
      <c r="F276" s="21"/>
      <c r="G276" s="21"/>
      <c r="H276" s="3"/>
    </row>
    <row r="277" spans="1:8" x14ac:dyDescent="0.25">
      <c r="A277" s="20">
        <v>29646</v>
      </c>
      <c r="B277" s="21"/>
      <c r="C277" s="21">
        <v>12.2</v>
      </c>
      <c r="D277" s="21">
        <v>11.5</v>
      </c>
      <c r="E277" s="21"/>
      <c r="F277" s="21"/>
      <c r="G277" s="21"/>
      <c r="H277" s="3"/>
    </row>
    <row r="278" spans="1:8" x14ac:dyDescent="0.25">
      <c r="A278" s="20">
        <v>29677</v>
      </c>
      <c r="B278" s="21"/>
      <c r="C278" s="21">
        <v>12.38</v>
      </c>
      <c r="D278" s="21">
        <v>11.5</v>
      </c>
      <c r="E278" s="21"/>
      <c r="F278" s="21"/>
      <c r="G278" s="21"/>
      <c r="H278" s="3"/>
    </row>
    <row r="279" spans="1:8" x14ac:dyDescent="0.25">
      <c r="A279" s="20">
        <v>29707</v>
      </c>
      <c r="B279" s="21"/>
      <c r="C279" s="21">
        <v>12.38</v>
      </c>
      <c r="D279" s="21">
        <v>11.5</v>
      </c>
      <c r="E279" s="21"/>
      <c r="F279" s="21"/>
      <c r="G279" s="21"/>
      <c r="H279" s="3"/>
    </row>
    <row r="280" spans="1:8" x14ac:dyDescent="0.25">
      <c r="A280" s="20">
        <v>29738</v>
      </c>
      <c r="B280" s="21"/>
      <c r="C280" s="21">
        <v>12.38</v>
      </c>
      <c r="D280" s="21">
        <v>11.5</v>
      </c>
      <c r="E280" s="21"/>
      <c r="F280" s="21"/>
      <c r="G280" s="21"/>
      <c r="H280" s="3"/>
    </row>
    <row r="281" spans="1:8" x14ac:dyDescent="0.25">
      <c r="A281" s="20">
        <v>29768</v>
      </c>
      <c r="B281" s="21"/>
      <c r="C281" s="21">
        <v>12.46</v>
      </c>
      <c r="D281" s="21">
        <v>11.5</v>
      </c>
      <c r="E281" s="21"/>
      <c r="F281" s="21"/>
      <c r="G281" s="21"/>
      <c r="H281" s="3"/>
    </row>
    <row r="282" spans="1:8" x14ac:dyDescent="0.25">
      <c r="A282" s="20">
        <v>29799</v>
      </c>
      <c r="B282" s="21"/>
      <c r="C282" s="21">
        <v>13.46</v>
      </c>
      <c r="D282" s="21">
        <v>12</v>
      </c>
      <c r="E282" s="21"/>
      <c r="F282" s="21"/>
      <c r="G282" s="21"/>
      <c r="H282" s="3"/>
    </row>
    <row r="283" spans="1:8" x14ac:dyDescent="0.25">
      <c r="A283" s="20">
        <v>29830</v>
      </c>
      <c r="B283" s="21"/>
      <c r="C283" s="21">
        <v>13.46</v>
      </c>
      <c r="D283" s="21">
        <v>12</v>
      </c>
      <c r="E283" s="21"/>
      <c r="F283" s="21"/>
      <c r="G283" s="21"/>
      <c r="H283" s="3"/>
    </row>
    <row r="284" spans="1:8" x14ac:dyDescent="0.25">
      <c r="A284" s="20">
        <v>29860</v>
      </c>
      <c r="B284" s="21"/>
      <c r="C284" s="21">
        <v>13.46</v>
      </c>
      <c r="D284" s="21">
        <v>12.5</v>
      </c>
      <c r="E284" s="21"/>
      <c r="F284" s="21"/>
      <c r="G284" s="21"/>
      <c r="H284" s="3"/>
    </row>
    <row r="285" spans="1:8" x14ac:dyDescent="0.25">
      <c r="A285" s="20">
        <v>29891</v>
      </c>
      <c r="B285" s="21"/>
      <c r="C285" s="21">
        <v>13.46</v>
      </c>
      <c r="D285" s="21">
        <v>12.5</v>
      </c>
      <c r="E285" s="21"/>
      <c r="F285" s="21"/>
      <c r="G285" s="21"/>
      <c r="H285" s="3"/>
    </row>
    <row r="286" spans="1:8" x14ac:dyDescent="0.25">
      <c r="A286" s="20">
        <v>29921</v>
      </c>
      <c r="B286" s="21"/>
      <c r="C286" s="21">
        <v>13.46</v>
      </c>
      <c r="D286" s="21">
        <v>12.5</v>
      </c>
      <c r="E286" s="21"/>
      <c r="F286" s="21"/>
      <c r="G286" s="21"/>
      <c r="H286" s="3"/>
    </row>
    <row r="287" spans="1:8" x14ac:dyDescent="0.25">
      <c r="A287" s="20">
        <v>29952</v>
      </c>
      <c r="B287" s="21"/>
      <c r="C287" s="21">
        <v>13.46</v>
      </c>
      <c r="D287" s="21">
        <v>12.5</v>
      </c>
      <c r="E287" s="21"/>
      <c r="F287" s="21"/>
      <c r="G287" s="21"/>
      <c r="H287" s="3"/>
    </row>
    <row r="288" spans="1:8" x14ac:dyDescent="0.25">
      <c r="A288" s="20">
        <v>29983</v>
      </c>
      <c r="B288" s="21"/>
      <c r="C288" s="21">
        <v>13.46</v>
      </c>
      <c r="D288" s="21">
        <v>12.5</v>
      </c>
      <c r="E288" s="21"/>
      <c r="F288" s="21"/>
      <c r="G288" s="21"/>
      <c r="H288" s="3"/>
    </row>
    <row r="289" spans="1:8" x14ac:dyDescent="0.25">
      <c r="A289" s="20">
        <v>30011</v>
      </c>
      <c r="B289" s="21"/>
      <c r="C289" s="21">
        <v>14.21</v>
      </c>
      <c r="D289" s="21">
        <v>13</v>
      </c>
      <c r="E289" s="21"/>
      <c r="F289" s="21"/>
      <c r="G289" s="21"/>
      <c r="H289" s="3"/>
    </row>
    <row r="290" spans="1:8" x14ac:dyDescent="0.25">
      <c r="A290" s="20">
        <v>30042</v>
      </c>
      <c r="B290" s="21"/>
      <c r="C290" s="21">
        <v>14.46</v>
      </c>
      <c r="D290" s="21">
        <v>13.5</v>
      </c>
      <c r="E290" s="21"/>
      <c r="F290" s="21"/>
      <c r="G290" s="21"/>
      <c r="H290" s="3"/>
    </row>
    <row r="291" spans="1:8" x14ac:dyDescent="0.25">
      <c r="A291" s="20">
        <v>30072</v>
      </c>
      <c r="B291" s="21"/>
      <c r="C291" s="21">
        <v>14.46</v>
      </c>
      <c r="D291" s="21">
        <v>13.5</v>
      </c>
      <c r="E291" s="21"/>
      <c r="F291" s="21"/>
      <c r="G291" s="21"/>
      <c r="H291" s="3"/>
    </row>
    <row r="292" spans="1:8" x14ac:dyDescent="0.25">
      <c r="A292" s="20">
        <v>30103</v>
      </c>
      <c r="B292" s="21"/>
      <c r="C292" s="21">
        <v>14.46</v>
      </c>
      <c r="D292" s="21">
        <v>13.5</v>
      </c>
      <c r="E292" s="21"/>
      <c r="F292" s="21"/>
      <c r="G292" s="21"/>
      <c r="H292" s="3"/>
    </row>
    <row r="293" spans="1:8" x14ac:dyDescent="0.25">
      <c r="A293" s="20">
        <v>30133</v>
      </c>
      <c r="B293" s="21"/>
      <c r="C293" s="21">
        <v>14.46</v>
      </c>
      <c r="D293" s="21">
        <v>13.5</v>
      </c>
      <c r="E293" s="21"/>
      <c r="F293" s="21"/>
      <c r="G293" s="21"/>
      <c r="H293" s="3"/>
    </row>
    <row r="294" spans="1:8" x14ac:dyDescent="0.25">
      <c r="A294" s="20">
        <v>30164</v>
      </c>
      <c r="B294" s="21"/>
      <c r="C294" s="21">
        <v>14.46</v>
      </c>
      <c r="D294" s="21">
        <v>13.5</v>
      </c>
      <c r="E294" s="21"/>
      <c r="F294" s="21"/>
      <c r="G294" s="21"/>
      <c r="H294" s="3"/>
    </row>
    <row r="295" spans="1:8" x14ac:dyDescent="0.25">
      <c r="A295" s="20">
        <v>30195</v>
      </c>
      <c r="B295" s="21"/>
      <c r="C295" s="21">
        <v>14.46</v>
      </c>
      <c r="D295" s="21">
        <v>13.5</v>
      </c>
      <c r="E295" s="21"/>
      <c r="F295" s="21"/>
      <c r="G295" s="21"/>
      <c r="H295" s="3"/>
    </row>
    <row r="296" spans="1:8" x14ac:dyDescent="0.25">
      <c r="A296" s="20">
        <v>30225</v>
      </c>
      <c r="B296" s="21"/>
      <c r="C296" s="21">
        <v>14.46</v>
      </c>
      <c r="D296" s="21">
        <v>13.5</v>
      </c>
      <c r="E296" s="21"/>
      <c r="F296" s="21"/>
      <c r="G296" s="21"/>
      <c r="H296" s="3"/>
    </row>
    <row r="297" spans="1:8" x14ac:dyDescent="0.25">
      <c r="A297" s="20">
        <v>30256</v>
      </c>
      <c r="B297" s="21"/>
      <c r="C297" s="21">
        <v>14.46</v>
      </c>
      <c r="D297" s="21">
        <v>13.5</v>
      </c>
      <c r="E297" s="21"/>
      <c r="F297" s="21"/>
      <c r="G297" s="21"/>
      <c r="H297" s="3"/>
    </row>
    <row r="298" spans="1:8" x14ac:dyDescent="0.25">
      <c r="A298" s="20">
        <v>30286</v>
      </c>
      <c r="B298" s="21"/>
      <c r="C298" s="21">
        <v>14.46</v>
      </c>
      <c r="D298" s="21">
        <v>13.5</v>
      </c>
      <c r="E298" s="21"/>
      <c r="F298" s="21"/>
      <c r="G298" s="21"/>
      <c r="H298" s="3"/>
    </row>
    <row r="299" spans="1:8" x14ac:dyDescent="0.25">
      <c r="A299" s="20">
        <v>30317</v>
      </c>
      <c r="B299" s="21"/>
      <c r="C299" s="21">
        <v>13.96</v>
      </c>
      <c r="D299" s="21">
        <v>13.5</v>
      </c>
      <c r="E299" s="21"/>
      <c r="F299" s="21"/>
      <c r="G299" s="21"/>
      <c r="H299" s="3"/>
    </row>
    <row r="300" spans="1:8" x14ac:dyDescent="0.25">
      <c r="A300" s="20">
        <v>30348</v>
      </c>
      <c r="B300" s="21"/>
      <c r="C300" s="21">
        <v>13.82</v>
      </c>
      <c r="D300" s="21">
        <v>12.5</v>
      </c>
      <c r="E300" s="21"/>
      <c r="F300" s="21"/>
      <c r="G300" s="21"/>
      <c r="H300" s="3"/>
    </row>
    <row r="301" spans="1:8" x14ac:dyDescent="0.25">
      <c r="A301" s="20">
        <v>30376</v>
      </c>
      <c r="B301" s="21"/>
      <c r="C301" s="21">
        <v>13.82</v>
      </c>
      <c r="D301" s="21">
        <v>12.5</v>
      </c>
      <c r="E301" s="21"/>
      <c r="F301" s="21"/>
      <c r="G301" s="21"/>
      <c r="H301" s="3"/>
    </row>
    <row r="302" spans="1:8" x14ac:dyDescent="0.25">
      <c r="A302" s="20">
        <v>30407</v>
      </c>
      <c r="B302" s="21"/>
      <c r="C302" s="21">
        <v>13.82</v>
      </c>
      <c r="D302" s="21">
        <v>12.5</v>
      </c>
      <c r="E302" s="21"/>
      <c r="F302" s="21"/>
      <c r="G302" s="21"/>
      <c r="H302" s="3"/>
    </row>
    <row r="303" spans="1:8" x14ac:dyDescent="0.25">
      <c r="A303" s="20">
        <v>30437</v>
      </c>
      <c r="B303" s="21"/>
      <c r="C303" s="21">
        <v>13.82</v>
      </c>
      <c r="D303" s="21">
        <v>12.5</v>
      </c>
      <c r="E303" s="21"/>
      <c r="F303" s="21"/>
      <c r="G303" s="21"/>
      <c r="H303" s="3"/>
    </row>
    <row r="304" spans="1:8" x14ac:dyDescent="0.25">
      <c r="A304" s="20">
        <v>30468</v>
      </c>
      <c r="B304" s="21"/>
      <c r="C304" s="21">
        <v>13.82</v>
      </c>
      <c r="D304" s="21">
        <v>12.5</v>
      </c>
      <c r="E304" s="21"/>
      <c r="F304" s="21"/>
      <c r="G304" s="21"/>
      <c r="H304" s="3"/>
    </row>
    <row r="305" spans="1:8" x14ac:dyDescent="0.25">
      <c r="A305" s="20">
        <v>30498</v>
      </c>
      <c r="B305" s="21"/>
      <c r="C305" s="21">
        <v>13.82</v>
      </c>
      <c r="D305" s="21">
        <v>12.5</v>
      </c>
      <c r="E305" s="21"/>
      <c r="F305" s="21"/>
      <c r="G305" s="21"/>
      <c r="H305" s="3"/>
    </row>
    <row r="306" spans="1:8" x14ac:dyDescent="0.25">
      <c r="A306" s="20">
        <v>30529</v>
      </c>
      <c r="B306" s="21"/>
      <c r="C306" s="21">
        <v>13.82</v>
      </c>
      <c r="D306" s="21">
        <v>12.5</v>
      </c>
      <c r="E306" s="21"/>
      <c r="F306" s="21"/>
      <c r="G306" s="21"/>
      <c r="H306" s="3"/>
    </row>
    <row r="307" spans="1:8" x14ac:dyDescent="0.25">
      <c r="A307" s="20">
        <v>30560</v>
      </c>
      <c r="B307" s="21"/>
      <c r="C307" s="21">
        <v>13.82</v>
      </c>
      <c r="D307" s="21">
        <v>12</v>
      </c>
      <c r="E307" s="21"/>
      <c r="F307" s="21"/>
      <c r="G307" s="21"/>
      <c r="H307" s="3"/>
    </row>
    <row r="308" spans="1:8" x14ac:dyDescent="0.25">
      <c r="A308" s="20">
        <v>30590</v>
      </c>
      <c r="B308" s="21"/>
      <c r="C308" s="21">
        <v>13.82</v>
      </c>
      <c r="D308" s="21">
        <v>12</v>
      </c>
      <c r="E308" s="21"/>
      <c r="F308" s="21"/>
      <c r="G308" s="21"/>
      <c r="H308" s="3"/>
    </row>
    <row r="309" spans="1:8" x14ac:dyDescent="0.25">
      <c r="A309" s="20">
        <v>30621</v>
      </c>
      <c r="B309" s="21"/>
      <c r="C309" s="21">
        <v>13.82</v>
      </c>
      <c r="D309" s="21">
        <v>12</v>
      </c>
      <c r="E309" s="21"/>
      <c r="F309" s="21"/>
      <c r="G309" s="21"/>
      <c r="H309" s="3"/>
    </row>
    <row r="310" spans="1:8" x14ac:dyDescent="0.25">
      <c r="A310" s="20">
        <v>30651</v>
      </c>
      <c r="B310" s="21"/>
      <c r="C310" s="21">
        <v>13.82</v>
      </c>
      <c r="D310" s="21">
        <v>12</v>
      </c>
      <c r="E310" s="21"/>
      <c r="F310" s="21"/>
      <c r="G310" s="21"/>
      <c r="H310" s="3"/>
    </row>
    <row r="311" spans="1:8" x14ac:dyDescent="0.25">
      <c r="A311" s="20">
        <v>30682</v>
      </c>
      <c r="B311" s="21"/>
      <c r="C311" s="21">
        <v>13.7</v>
      </c>
      <c r="D311" s="21">
        <v>11.5</v>
      </c>
      <c r="E311" s="21"/>
      <c r="F311" s="21"/>
      <c r="G311" s="21"/>
      <c r="H311" s="3"/>
    </row>
    <row r="312" spans="1:8" x14ac:dyDescent="0.25">
      <c r="A312" s="20">
        <v>30713</v>
      </c>
      <c r="B312" s="21"/>
      <c r="C312" s="21">
        <v>13.7</v>
      </c>
      <c r="D312" s="21">
        <v>11.5</v>
      </c>
      <c r="E312" s="21"/>
      <c r="F312" s="21"/>
      <c r="G312" s="21"/>
      <c r="H312" s="3"/>
    </row>
    <row r="313" spans="1:8" x14ac:dyDescent="0.25">
      <c r="A313" s="20">
        <v>30742</v>
      </c>
      <c r="B313" s="21"/>
      <c r="C313" s="21">
        <v>13.82</v>
      </c>
      <c r="D313" s="21">
        <v>11.5</v>
      </c>
      <c r="E313" s="21"/>
      <c r="F313" s="21"/>
      <c r="G313" s="21"/>
      <c r="H313" s="3"/>
    </row>
    <row r="314" spans="1:8" x14ac:dyDescent="0.25">
      <c r="A314" s="20">
        <v>30773</v>
      </c>
      <c r="B314" s="21"/>
      <c r="C314" s="21">
        <v>13.82</v>
      </c>
      <c r="D314" s="21">
        <v>11.5</v>
      </c>
      <c r="E314" s="21"/>
      <c r="F314" s="21"/>
      <c r="G314" s="21"/>
      <c r="H314" s="3"/>
    </row>
    <row r="315" spans="1:8" x14ac:dyDescent="0.25">
      <c r="A315" s="20">
        <v>30803</v>
      </c>
      <c r="B315" s="21"/>
      <c r="C315" s="21">
        <v>13.82</v>
      </c>
      <c r="D315" s="21">
        <v>11.5</v>
      </c>
      <c r="E315" s="21"/>
      <c r="F315" s="21"/>
      <c r="G315" s="21"/>
      <c r="H315" s="3"/>
    </row>
    <row r="316" spans="1:8" x14ac:dyDescent="0.25">
      <c r="A316" s="20">
        <v>30834</v>
      </c>
      <c r="B316" s="21"/>
      <c r="C316" s="21">
        <v>13.82</v>
      </c>
      <c r="D316" s="21">
        <v>11.5</v>
      </c>
      <c r="E316" s="21"/>
      <c r="F316" s="21"/>
      <c r="G316" s="21"/>
      <c r="H316" s="3"/>
    </row>
    <row r="317" spans="1:8" x14ac:dyDescent="0.25">
      <c r="A317" s="20">
        <v>30864</v>
      </c>
      <c r="B317" s="21"/>
      <c r="C317" s="21">
        <v>13.82</v>
      </c>
      <c r="D317" s="21">
        <v>11.5</v>
      </c>
      <c r="E317" s="21"/>
      <c r="F317" s="21"/>
      <c r="G317" s="21"/>
      <c r="H317" s="3"/>
    </row>
    <row r="318" spans="1:8" x14ac:dyDescent="0.25">
      <c r="A318" s="20">
        <v>30895</v>
      </c>
      <c r="B318" s="21"/>
      <c r="C318" s="21">
        <v>13.82</v>
      </c>
      <c r="D318" s="21">
        <v>11.5</v>
      </c>
      <c r="E318" s="21"/>
      <c r="F318" s="21"/>
      <c r="G318" s="21"/>
      <c r="H318" s="3"/>
    </row>
    <row r="319" spans="1:8" x14ac:dyDescent="0.25">
      <c r="A319" s="20">
        <v>30926</v>
      </c>
      <c r="B319" s="21"/>
      <c r="C319" s="21">
        <v>13.82</v>
      </c>
      <c r="D319" s="21">
        <v>11.5</v>
      </c>
      <c r="E319" s="21"/>
      <c r="F319" s="21"/>
      <c r="G319" s="21"/>
      <c r="H319" s="3"/>
    </row>
    <row r="320" spans="1:8" x14ac:dyDescent="0.25">
      <c r="A320" s="20">
        <v>30956</v>
      </c>
      <c r="B320" s="21"/>
      <c r="C320" s="21">
        <v>13.82</v>
      </c>
      <c r="D320" s="21">
        <v>11.5</v>
      </c>
      <c r="E320" s="21"/>
      <c r="F320" s="21"/>
      <c r="G320" s="21"/>
      <c r="H320" s="3"/>
    </row>
    <row r="321" spans="1:8" x14ac:dyDescent="0.25">
      <c r="A321" s="20">
        <v>30987</v>
      </c>
      <c r="B321" s="21"/>
      <c r="C321" s="21">
        <v>13.82</v>
      </c>
      <c r="D321" s="21">
        <v>11.5</v>
      </c>
      <c r="E321" s="21"/>
      <c r="F321" s="21"/>
      <c r="G321" s="21"/>
      <c r="H321" s="3"/>
    </row>
    <row r="322" spans="1:8" x14ac:dyDescent="0.25">
      <c r="A322" s="20">
        <v>31017</v>
      </c>
      <c r="B322" s="21"/>
      <c r="C322" s="21">
        <v>13.82</v>
      </c>
      <c r="D322" s="21">
        <v>11.5</v>
      </c>
      <c r="E322" s="21"/>
      <c r="F322" s="21"/>
      <c r="G322" s="21"/>
      <c r="H322" s="3"/>
    </row>
    <row r="323" spans="1:8" x14ac:dyDescent="0.25">
      <c r="A323" s="20">
        <v>31048</v>
      </c>
      <c r="B323" s="21"/>
      <c r="C323" s="21">
        <v>13.98</v>
      </c>
      <c r="D323" s="21">
        <v>11.5</v>
      </c>
      <c r="E323" s="21"/>
      <c r="F323" s="21"/>
      <c r="G323" s="21"/>
      <c r="H323" s="3"/>
    </row>
    <row r="324" spans="1:8" x14ac:dyDescent="0.25">
      <c r="A324" s="20">
        <v>31079</v>
      </c>
      <c r="B324" s="21"/>
      <c r="C324" s="21">
        <v>13.98</v>
      </c>
      <c r="D324" s="21">
        <v>11.5</v>
      </c>
      <c r="E324" s="21"/>
      <c r="F324" s="21"/>
      <c r="G324" s="21"/>
      <c r="H324" s="3"/>
    </row>
    <row r="325" spans="1:8" x14ac:dyDescent="0.25">
      <c r="A325" s="20">
        <v>31107</v>
      </c>
      <c r="B325" s="21"/>
      <c r="C325" s="21">
        <v>14.05</v>
      </c>
      <c r="D325" s="21">
        <v>11.5</v>
      </c>
      <c r="E325" s="21"/>
      <c r="F325" s="21"/>
      <c r="G325" s="21"/>
      <c r="H325" s="3"/>
    </row>
    <row r="326" spans="1:8" x14ac:dyDescent="0.25">
      <c r="A326" s="20">
        <v>31138</v>
      </c>
      <c r="B326" s="21"/>
      <c r="C326" s="21">
        <v>14.42</v>
      </c>
      <c r="D326" s="21">
        <v>12</v>
      </c>
      <c r="E326" s="21"/>
      <c r="F326" s="21"/>
      <c r="G326" s="21"/>
      <c r="H326" s="3"/>
    </row>
    <row r="327" spans="1:8" x14ac:dyDescent="0.25">
      <c r="A327" s="20">
        <v>31168</v>
      </c>
      <c r="B327" s="21"/>
      <c r="C327" s="21">
        <v>14.48</v>
      </c>
      <c r="D327" s="21">
        <v>12</v>
      </c>
      <c r="E327" s="21"/>
      <c r="F327" s="21"/>
      <c r="G327" s="21"/>
      <c r="H327" s="3"/>
    </row>
    <row r="328" spans="1:8" x14ac:dyDescent="0.25">
      <c r="A328" s="20">
        <v>31199</v>
      </c>
      <c r="B328" s="21"/>
      <c r="C328" s="21">
        <v>15.17</v>
      </c>
      <c r="D328" s="21">
        <v>12.13</v>
      </c>
      <c r="E328" s="21"/>
      <c r="F328" s="21"/>
      <c r="G328" s="21"/>
      <c r="H328" s="3"/>
    </row>
    <row r="329" spans="1:8" x14ac:dyDescent="0.25">
      <c r="A329" s="20">
        <v>31229</v>
      </c>
      <c r="B329" s="21"/>
      <c r="C329" s="21">
        <v>15.48</v>
      </c>
      <c r="D329" s="21">
        <v>12.5</v>
      </c>
      <c r="E329" s="21"/>
      <c r="F329" s="21"/>
      <c r="G329" s="21"/>
      <c r="H329" s="3"/>
    </row>
    <row r="330" spans="1:8" x14ac:dyDescent="0.25">
      <c r="A330" s="20">
        <v>31260</v>
      </c>
      <c r="B330" s="21"/>
      <c r="C330" s="21">
        <v>15.8</v>
      </c>
      <c r="D330" s="21">
        <v>12.5</v>
      </c>
      <c r="E330" s="21"/>
      <c r="F330" s="21"/>
      <c r="G330" s="21"/>
      <c r="H330" s="3"/>
    </row>
    <row r="331" spans="1:8" x14ac:dyDescent="0.25">
      <c r="A331" s="20">
        <v>31291</v>
      </c>
      <c r="B331" s="21"/>
      <c r="C331" s="21">
        <v>16.3</v>
      </c>
      <c r="D331" s="21">
        <v>12.88</v>
      </c>
      <c r="E331" s="21"/>
      <c r="F331" s="21"/>
      <c r="G331" s="21"/>
      <c r="H331" s="3"/>
    </row>
    <row r="332" spans="1:8" x14ac:dyDescent="0.25">
      <c r="A332" s="20">
        <v>31321</v>
      </c>
      <c r="B332" s="21"/>
      <c r="C332" s="21">
        <v>16.3</v>
      </c>
      <c r="D332" s="21">
        <v>13.5</v>
      </c>
      <c r="E332" s="21"/>
      <c r="F332" s="21"/>
      <c r="G332" s="21"/>
      <c r="H332" s="3"/>
    </row>
    <row r="333" spans="1:8" x14ac:dyDescent="0.25">
      <c r="A333" s="20">
        <v>31352</v>
      </c>
      <c r="B333" s="21"/>
      <c r="C333" s="21">
        <v>16.8</v>
      </c>
      <c r="D333" s="21">
        <v>13.5</v>
      </c>
      <c r="E333" s="21"/>
      <c r="F333" s="21"/>
      <c r="G333" s="21"/>
      <c r="H333" s="3"/>
    </row>
    <row r="334" spans="1:8" x14ac:dyDescent="0.25">
      <c r="A334" s="20">
        <v>31382</v>
      </c>
      <c r="B334" s="21"/>
      <c r="C334" s="21">
        <v>18.05</v>
      </c>
      <c r="D334" s="21">
        <v>13.5</v>
      </c>
      <c r="E334" s="21"/>
      <c r="F334" s="21"/>
      <c r="G334" s="21"/>
      <c r="H334" s="3"/>
    </row>
    <row r="335" spans="1:8" x14ac:dyDescent="0.25">
      <c r="A335" s="20">
        <v>31413</v>
      </c>
      <c r="B335" s="21"/>
      <c r="C335" s="21">
        <v>18.05</v>
      </c>
      <c r="D335" s="21">
        <v>13.5</v>
      </c>
      <c r="E335" s="21"/>
      <c r="F335" s="21"/>
      <c r="G335" s="21"/>
      <c r="H335" s="3"/>
    </row>
    <row r="336" spans="1:8" x14ac:dyDescent="0.25">
      <c r="A336" s="20">
        <v>31444</v>
      </c>
      <c r="B336" s="21"/>
      <c r="C336" s="21">
        <v>18.36</v>
      </c>
      <c r="D336" s="21">
        <v>13.5</v>
      </c>
      <c r="E336" s="21"/>
      <c r="F336" s="21"/>
      <c r="G336" s="21"/>
      <c r="H336" s="3"/>
    </row>
    <row r="337" spans="1:8" x14ac:dyDescent="0.25">
      <c r="A337" s="20">
        <v>31472</v>
      </c>
      <c r="B337" s="21"/>
      <c r="C337" s="21">
        <v>18.36</v>
      </c>
      <c r="D337" s="21">
        <v>13.5</v>
      </c>
      <c r="E337" s="21"/>
      <c r="F337" s="21"/>
      <c r="G337" s="21"/>
      <c r="H337" s="3"/>
    </row>
    <row r="338" spans="1:8" x14ac:dyDescent="0.25">
      <c r="A338" s="20">
        <v>31503</v>
      </c>
      <c r="B338" s="21"/>
      <c r="C338" s="21">
        <v>18.36</v>
      </c>
      <c r="D338" s="21">
        <v>15.5</v>
      </c>
      <c r="E338" s="21"/>
      <c r="F338" s="21"/>
      <c r="G338" s="21"/>
      <c r="H338" s="3"/>
    </row>
    <row r="339" spans="1:8" x14ac:dyDescent="0.25">
      <c r="A339" s="20">
        <v>31533</v>
      </c>
      <c r="B339" s="21"/>
      <c r="C339" s="21">
        <v>17.98</v>
      </c>
      <c r="D339" s="21">
        <v>15.5</v>
      </c>
      <c r="E339" s="21"/>
      <c r="F339" s="21"/>
      <c r="G339" s="21"/>
      <c r="H339" s="3"/>
    </row>
    <row r="340" spans="1:8" x14ac:dyDescent="0.25">
      <c r="A340" s="20">
        <v>31564</v>
      </c>
      <c r="B340" s="21"/>
      <c r="C340" s="21">
        <v>17.670000000000002</v>
      </c>
      <c r="D340" s="21">
        <v>15.5</v>
      </c>
      <c r="E340" s="21"/>
      <c r="F340" s="21"/>
      <c r="G340" s="21"/>
      <c r="H340" s="3"/>
    </row>
    <row r="341" spans="1:8" x14ac:dyDescent="0.25">
      <c r="A341" s="20">
        <v>31594</v>
      </c>
      <c r="B341" s="21"/>
      <c r="C341" s="21">
        <v>17.48</v>
      </c>
      <c r="D341" s="21">
        <v>15.5</v>
      </c>
      <c r="E341" s="21"/>
      <c r="F341" s="21"/>
      <c r="G341" s="21"/>
      <c r="H341" s="3"/>
    </row>
    <row r="342" spans="1:8" x14ac:dyDescent="0.25">
      <c r="A342" s="20">
        <v>31625</v>
      </c>
      <c r="B342" s="21"/>
      <c r="C342" s="21">
        <v>18.3</v>
      </c>
      <c r="D342" s="21">
        <v>15.5</v>
      </c>
      <c r="E342" s="21"/>
      <c r="F342" s="21"/>
      <c r="G342" s="21"/>
      <c r="H342" s="3"/>
    </row>
    <row r="343" spans="1:8" x14ac:dyDescent="0.25">
      <c r="A343" s="20">
        <v>31656</v>
      </c>
      <c r="B343" s="21"/>
      <c r="C343" s="21">
        <v>18.98</v>
      </c>
      <c r="D343" s="21">
        <v>15.5</v>
      </c>
      <c r="E343" s="21"/>
      <c r="F343" s="21"/>
      <c r="G343" s="21"/>
      <c r="H343" s="3"/>
    </row>
    <row r="344" spans="1:8" x14ac:dyDescent="0.25">
      <c r="A344" s="20">
        <v>31686</v>
      </c>
      <c r="B344" s="21"/>
      <c r="C344" s="21">
        <v>18.98</v>
      </c>
      <c r="D344" s="21">
        <v>15.5</v>
      </c>
      <c r="E344" s="21"/>
      <c r="F344" s="21"/>
      <c r="G344" s="21"/>
      <c r="H344" s="3"/>
    </row>
    <row r="345" spans="1:8" x14ac:dyDescent="0.25">
      <c r="A345" s="20">
        <v>31717</v>
      </c>
      <c r="B345" s="21"/>
      <c r="C345" s="21">
        <v>18.86</v>
      </c>
      <c r="D345" s="21">
        <v>15.5</v>
      </c>
      <c r="E345" s="21"/>
      <c r="F345" s="21"/>
      <c r="G345" s="21"/>
      <c r="H345" s="3"/>
    </row>
    <row r="346" spans="1:8" x14ac:dyDescent="0.25">
      <c r="A346" s="20">
        <v>31747</v>
      </c>
      <c r="B346" s="21"/>
      <c r="C346" s="21">
        <v>18.55</v>
      </c>
      <c r="D346" s="21">
        <v>15.5</v>
      </c>
      <c r="E346" s="21"/>
      <c r="F346" s="21"/>
      <c r="G346" s="21"/>
      <c r="H346" s="3"/>
    </row>
    <row r="347" spans="1:8" x14ac:dyDescent="0.25">
      <c r="A347" s="20">
        <v>31778</v>
      </c>
      <c r="B347" s="21"/>
      <c r="C347" s="21">
        <v>18.23</v>
      </c>
      <c r="D347" s="21">
        <v>15.5</v>
      </c>
      <c r="E347" s="21"/>
      <c r="F347" s="21"/>
      <c r="G347" s="21"/>
      <c r="H347" s="3"/>
    </row>
    <row r="348" spans="1:8" x14ac:dyDescent="0.25">
      <c r="A348" s="20">
        <v>31809</v>
      </c>
      <c r="B348" s="21"/>
      <c r="C348" s="21">
        <v>18.670000000000002</v>
      </c>
      <c r="D348" s="21">
        <v>15.5</v>
      </c>
      <c r="E348" s="21"/>
      <c r="F348" s="21"/>
      <c r="G348" s="21"/>
      <c r="H348" s="3"/>
    </row>
    <row r="349" spans="1:8" x14ac:dyDescent="0.25">
      <c r="A349" s="20">
        <v>31837</v>
      </c>
      <c r="B349" s="21"/>
      <c r="C349" s="21">
        <v>18.8</v>
      </c>
      <c r="D349" s="21">
        <v>15.5</v>
      </c>
      <c r="E349" s="21"/>
      <c r="F349" s="21"/>
      <c r="G349" s="21"/>
      <c r="H349" s="3"/>
    </row>
    <row r="350" spans="1:8" x14ac:dyDescent="0.25">
      <c r="A350" s="20">
        <v>31868</v>
      </c>
      <c r="B350" s="21"/>
      <c r="C350" s="21">
        <v>18.3</v>
      </c>
      <c r="D350" s="21">
        <v>15.5</v>
      </c>
      <c r="E350" s="21"/>
      <c r="F350" s="21"/>
      <c r="G350" s="21"/>
      <c r="H350" s="3"/>
    </row>
    <row r="351" spans="1:8" x14ac:dyDescent="0.25">
      <c r="A351" s="20">
        <v>31898</v>
      </c>
      <c r="B351" s="21"/>
      <c r="C351" s="21">
        <v>17.55</v>
      </c>
      <c r="D351" s="21">
        <v>15.5</v>
      </c>
      <c r="E351" s="21"/>
      <c r="F351" s="21"/>
      <c r="G351" s="21"/>
      <c r="H351" s="3"/>
    </row>
    <row r="352" spans="1:8" x14ac:dyDescent="0.25">
      <c r="A352" s="20">
        <v>31929</v>
      </c>
      <c r="B352" s="21"/>
      <c r="C352" s="21">
        <v>17.11</v>
      </c>
      <c r="D352" s="21">
        <v>15.5</v>
      </c>
      <c r="E352" s="21"/>
      <c r="F352" s="21"/>
      <c r="G352" s="21"/>
      <c r="H352" s="3"/>
    </row>
    <row r="353" spans="1:8" x14ac:dyDescent="0.25">
      <c r="A353" s="20">
        <v>31959</v>
      </c>
      <c r="B353" s="21"/>
      <c r="C353" s="21">
        <v>16.73</v>
      </c>
      <c r="D353" s="21">
        <v>15.5</v>
      </c>
      <c r="E353" s="21"/>
      <c r="F353" s="21"/>
      <c r="G353" s="21"/>
      <c r="H353" s="3"/>
    </row>
    <row r="354" spans="1:8" x14ac:dyDescent="0.25">
      <c r="A354" s="20">
        <v>31990</v>
      </c>
      <c r="B354" s="21"/>
      <c r="C354" s="21">
        <v>16.05</v>
      </c>
      <c r="D354" s="21">
        <v>15.06</v>
      </c>
      <c r="E354" s="21"/>
      <c r="F354" s="21"/>
      <c r="G354" s="21"/>
      <c r="H354" s="3"/>
    </row>
    <row r="355" spans="1:8" x14ac:dyDescent="0.25">
      <c r="A355" s="20">
        <v>32021</v>
      </c>
      <c r="B355" s="21"/>
      <c r="C355" s="21">
        <v>15.55</v>
      </c>
      <c r="D355" s="21">
        <v>14.75</v>
      </c>
      <c r="E355" s="21"/>
      <c r="F355" s="21"/>
      <c r="G355" s="21"/>
      <c r="H355" s="3"/>
    </row>
    <row r="356" spans="1:8" x14ac:dyDescent="0.25">
      <c r="A356" s="20">
        <v>32051</v>
      </c>
      <c r="B356" s="21"/>
      <c r="C356" s="21">
        <v>14.92</v>
      </c>
      <c r="D356" s="21">
        <v>14.5</v>
      </c>
      <c r="E356" s="21"/>
      <c r="F356" s="21"/>
      <c r="G356" s="21"/>
      <c r="H356" s="3"/>
    </row>
    <row r="357" spans="1:8" x14ac:dyDescent="0.25">
      <c r="A357" s="20">
        <v>32082</v>
      </c>
      <c r="B357" s="21"/>
      <c r="C357" s="21">
        <v>14.92</v>
      </c>
      <c r="D357" s="21">
        <v>14.13</v>
      </c>
      <c r="E357" s="21"/>
      <c r="F357" s="21"/>
      <c r="G357" s="21"/>
      <c r="H357" s="3"/>
    </row>
    <row r="358" spans="1:8" x14ac:dyDescent="0.25">
      <c r="A358" s="20">
        <v>32112</v>
      </c>
      <c r="B358" s="21"/>
      <c r="C358" s="21">
        <v>14.92</v>
      </c>
      <c r="D358" s="21">
        <v>14</v>
      </c>
      <c r="E358" s="21"/>
      <c r="F358" s="21"/>
      <c r="G358" s="21"/>
      <c r="H358" s="3"/>
    </row>
    <row r="359" spans="1:8" x14ac:dyDescent="0.25">
      <c r="A359" s="20">
        <v>32143</v>
      </c>
      <c r="B359" s="21"/>
      <c r="C359" s="21">
        <v>14.55</v>
      </c>
      <c r="D359" s="21">
        <v>14</v>
      </c>
      <c r="E359" s="21"/>
      <c r="F359" s="21"/>
      <c r="G359" s="21"/>
      <c r="H359" s="3"/>
    </row>
    <row r="360" spans="1:8" x14ac:dyDescent="0.25">
      <c r="A360" s="20">
        <v>32174</v>
      </c>
      <c r="B360" s="21"/>
      <c r="C360" s="21">
        <v>14.55</v>
      </c>
      <c r="D360" s="21">
        <v>13.5</v>
      </c>
      <c r="E360" s="21"/>
      <c r="F360" s="21"/>
      <c r="G360" s="21"/>
      <c r="H360" s="3"/>
    </row>
    <row r="361" spans="1:8" x14ac:dyDescent="0.25">
      <c r="A361" s="20">
        <v>32203</v>
      </c>
      <c r="B361" s="21"/>
      <c r="C361" s="21">
        <v>14.42</v>
      </c>
      <c r="D361" s="21">
        <v>13.5</v>
      </c>
      <c r="E361" s="21"/>
      <c r="F361" s="21"/>
      <c r="G361" s="21"/>
      <c r="H361" s="3"/>
    </row>
    <row r="362" spans="1:8" x14ac:dyDescent="0.25">
      <c r="A362" s="20">
        <v>32234</v>
      </c>
      <c r="B362" s="21"/>
      <c r="C362" s="21">
        <v>14.48</v>
      </c>
      <c r="D362" s="21">
        <v>13.5</v>
      </c>
      <c r="E362" s="21"/>
      <c r="F362" s="21"/>
      <c r="G362" s="21"/>
      <c r="H362" s="3"/>
    </row>
    <row r="363" spans="1:8" x14ac:dyDescent="0.25">
      <c r="A363" s="20">
        <v>32264</v>
      </c>
      <c r="B363" s="21"/>
      <c r="C363" s="21">
        <v>14.73</v>
      </c>
      <c r="D363" s="21">
        <v>13.5</v>
      </c>
      <c r="E363" s="21"/>
      <c r="F363" s="21"/>
      <c r="G363" s="21"/>
      <c r="H363" s="3"/>
    </row>
    <row r="364" spans="1:8" x14ac:dyDescent="0.25">
      <c r="A364" s="20">
        <v>32295</v>
      </c>
      <c r="B364" s="21"/>
      <c r="C364" s="21">
        <v>15.48</v>
      </c>
      <c r="D364" s="21">
        <v>13.75</v>
      </c>
      <c r="E364" s="21"/>
      <c r="F364" s="21"/>
      <c r="G364" s="21"/>
      <c r="H364" s="3"/>
    </row>
    <row r="365" spans="1:8" x14ac:dyDescent="0.25">
      <c r="A365" s="20">
        <v>32325</v>
      </c>
      <c r="B365" s="21"/>
      <c r="C365" s="21">
        <v>15.67</v>
      </c>
      <c r="D365" s="21">
        <v>14.5</v>
      </c>
      <c r="E365" s="21"/>
      <c r="F365" s="21"/>
      <c r="G365" s="21"/>
      <c r="H365" s="3"/>
    </row>
    <row r="366" spans="1:8" x14ac:dyDescent="0.25">
      <c r="A366" s="20">
        <v>32356</v>
      </c>
      <c r="B366" s="21"/>
      <c r="C366" s="21">
        <v>15.67</v>
      </c>
      <c r="D366" s="21">
        <v>14.5</v>
      </c>
      <c r="E366" s="21"/>
      <c r="F366" s="21"/>
      <c r="G366" s="21"/>
      <c r="H366" s="3"/>
    </row>
    <row r="367" spans="1:8" x14ac:dyDescent="0.25">
      <c r="A367" s="20">
        <v>32387</v>
      </c>
      <c r="B367" s="21"/>
      <c r="C367" s="21">
        <v>16.23</v>
      </c>
      <c r="D367" s="21">
        <v>14.5</v>
      </c>
      <c r="E367" s="21"/>
      <c r="F367" s="21"/>
      <c r="G367" s="21"/>
      <c r="H367" s="3"/>
    </row>
    <row r="368" spans="1:8" x14ac:dyDescent="0.25">
      <c r="A368" s="20">
        <v>32417</v>
      </c>
      <c r="B368" s="21"/>
      <c r="C368" s="21">
        <v>16.420000000000002</v>
      </c>
      <c r="D368" s="21">
        <v>14.5</v>
      </c>
      <c r="E368" s="21"/>
      <c r="F368" s="21"/>
      <c r="G368" s="21"/>
      <c r="H368" s="3"/>
    </row>
    <row r="369" spans="1:8" x14ac:dyDescent="0.25">
      <c r="A369" s="20">
        <v>32448</v>
      </c>
      <c r="B369" s="21"/>
      <c r="C369" s="21">
        <v>16.8</v>
      </c>
      <c r="D369" s="21">
        <v>14.75</v>
      </c>
      <c r="E369" s="21"/>
      <c r="F369" s="21"/>
      <c r="G369" s="21"/>
      <c r="H369" s="3"/>
    </row>
    <row r="370" spans="1:8" x14ac:dyDescent="0.25">
      <c r="A370" s="20">
        <v>32478</v>
      </c>
      <c r="B370" s="21"/>
      <c r="C370" s="21">
        <v>16.920000000000002</v>
      </c>
      <c r="D370" s="21">
        <v>14.98</v>
      </c>
      <c r="E370" s="21"/>
      <c r="F370" s="21"/>
      <c r="G370" s="21"/>
      <c r="H370" s="3"/>
    </row>
    <row r="371" spans="1:8" x14ac:dyDescent="0.25">
      <c r="A371" s="20">
        <v>32509</v>
      </c>
      <c r="B371" s="21"/>
      <c r="C371" s="21">
        <v>17.420000000000002</v>
      </c>
      <c r="D371" s="21">
        <v>14.98</v>
      </c>
      <c r="E371" s="21"/>
      <c r="F371" s="21"/>
      <c r="G371" s="21"/>
      <c r="H371" s="3"/>
    </row>
    <row r="372" spans="1:8" x14ac:dyDescent="0.25">
      <c r="A372" s="20">
        <v>32540</v>
      </c>
      <c r="B372" s="21"/>
      <c r="C372" s="21">
        <v>18.55</v>
      </c>
      <c r="D372" s="21">
        <v>15.5</v>
      </c>
      <c r="E372" s="21"/>
      <c r="F372" s="21"/>
      <c r="G372" s="21"/>
      <c r="H372" s="3"/>
    </row>
    <row r="373" spans="1:8" x14ac:dyDescent="0.25">
      <c r="A373" s="20">
        <v>32568</v>
      </c>
      <c r="B373" s="21"/>
      <c r="C373" s="21">
        <v>19.11</v>
      </c>
      <c r="D373" s="21">
        <v>16</v>
      </c>
      <c r="E373" s="21"/>
      <c r="F373" s="21"/>
      <c r="G373" s="21"/>
      <c r="H373" s="3"/>
    </row>
    <row r="374" spans="1:8" x14ac:dyDescent="0.25">
      <c r="A374" s="20">
        <v>32599</v>
      </c>
      <c r="B374" s="21"/>
      <c r="C374" s="21">
        <v>19.3</v>
      </c>
      <c r="D374" s="21">
        <v>16</v>
      </c>
      <c r="E374" s="21"/>
      <c r="F374" s="21"/>
      <c r="G374" s="21"/>
      <c r="H374" s="3"/>
    </row>
    <row r="375" spans="1:8" x14ac:dyDescent="0.25">
      <c r="A375" s="20">
        <v>32629</v>
      </c>
      <c r="B375" s="21"/>
      <c r="C375" s="21">
        <v>19.920000000000002</v>
      </c>
      <c r="D375" s="21">
        <v>16</v>
      </c>
      <c r="E375" s="21"/>
      <c r="F375" s="21"/>
      <c r="G375" s="21"/>
      <c r="H375" s="3"/>
    </row>
    <row r="376" spans="1:8" x14ac:dyDescent="0.25">
      <c r="A376" s="20">
        <v>32660</v>
      </c>
      <c r="B376" s="21"/>
      <c r="C376" s="21">
        <v>20.3</v>
      </c>
      <c r="D376" s="21">
        <v>17</v>
      </c>
      <c r="E376" s="21"/>
      <c r="F376" s="21"/>
      <c r="G376" s="21"/>
      <c r="H376" s="3"/>
    </row>
    <row r="377" spans="1:8" x14ac:dyDescent="0.25">
      <c r="A377" s="20">
        <v>32690</v>
      </c>
      <c r="B377" s="21"/>
      <c r="C377" s="21">
        <v>20.67</v>
      </c>
      <c r="D377" s="21">
        <v>17</v>
      </c>
      <c r="E377" s="21"/>
      <c r="F377" s="21"/>
      <c r="G377" s="21"/>
      <c r="H377" s="3"/>
    </row>
    <row r="378" spans="1:8" x14ac:dyDescent="0.25">
      <c r="A378" s="20">
        <v>32721</v>
      </c>
      <c r="B378" s="21"/>
      <c r="C378" s="21">
        <v>20.67</v>
      </c>
      <c r="D378" s="21">
        <v>17</v>
      </c>
      <c r="E378" s="21"/>
      <c r="F378" s="21"/>
      <c r="G378" s="21"/>
      <c r="H378" s="3"/>
    </row>
    <row r="379" spans="1:8" x14ac:dyDescent="0.25">
      <c r="A379" s="20">
        <v>32752</v>
      </c>
      <c r="B379" s="21"/>
      <c r="C379" s="21">
        <v>20.98</v>
      </c>
      <c r="D379" s="21">
        <v>17</v>
      </c>
      <c r="E379" s="21"/>
      <c r="F379" s="21"/>
      <c r="G379" s="21"/>
      <c r="H379" s="3"/>
    </row>
    <row r="380" spans="1:8" x14ac:dyDescent="0.25">
      <c r="A380" s="20">
        <v>32782</v>
      </c>
      <c r="B380" s="21"/>
      <c r="C380" s="21">
        <v>21.05</v>
      </c>
      <c r="D380" s="21">
        <v>17</v>
      </c>
      <c r="E380" s="21"/>
      <c r="F380" s="21"/>
      <c r="G380" s="21"/>
      <c r="H380" s="3"/>
    </row>
    <row r="381" spans="1:8" x14ac:dyDescent="0.25">
      <c r="A381" s="20">
        <v>32813</v>
      </c>
      <c r="B381" s="21"/>
      <c r="C381" s="21">
        <v>21.05</v>
      </c>
      <c r="D381" s="21">
        <v>17</v>
      </c>
      <c r="E381" s="21"/>
      <c r="F381" s="21"/>
      <c r="G381" s="21"/>
      <c r="H381" s="3"/>
    </row>
    <row r="382" spans="1:8" x14ac:dyDescent="0.25">
      <c r="A382" s="20">
        <v>32843</v>
      </c>
      <c r="B382" s="21"/>
      <c r="C382" s="21">
        <v>21.05</v>
      </c>
      <c r="D382" s="21">
        <v>17</v>
      </c>
      <c r="E382" s="21"/>
      <c r="F382" s="21"/>
      <c r="G382" s="21"/>
      <c r="H382" s="3"/>
    </row>
    <row r="383" spans="1:8" x14ac:dyDescent="0.25">
      <c r="A383" s="20">
        <v>32874</v>
      </c>
      <c r="B383" s="21"/>
      <c r="C383" s="21">
        <v>20.92</v>
      </c>
      <c r="D383" s="21">
        <v>17</v>
      </c>
      <c r="E383" s="21"/>
      <c r="F383" s="21"/>
      <c r="G383" s="21"/>
      <c r="H383" s="3"/>
    </row>
    <row r="384" spans="1:8" x14ac:dyDescent="0.25">
      <c r="A384" s="20">
        <v>32905</v>
      </c>
      <c r="B384" s="21"/>
      <c r="C384" s="21">
        <v>20.36</v>
      </c>
      <c r="D384" s="21">
        <v>17</v>
      </c>
      <c r="E384" s="21"/>
      <c r="F384" s="21"/>
      <c r="G384" s="21"/>
      <c r="H384" s="3"/>
    </row>
    <row r="385" spans="1:8" x14ac:dyDescent="0.25">
      <c r="A385" s="20">
        <v>32933</v>
      </c>
      <c r="B385" s="21"/>
      <c r="C385" s="21">
        <v>20.3</v>
      </c>
      <c r="D385" s="21">
        <v>17</v>
      </c>
      <c r="E385" s="21"/>
      <c r="F385" s="21"/>
      <c r="G385" s="21"/>
      <c r="H385" s="3"/>
    </row>
    <row r="386" spans="1:8" x14ac:dyDescent="0.25">
      <c r="A386" s="20">
        <v>32964</v>
      </c>
      <c r="B386" s="21"/>
      <c r="C386" s="21">
        <v>19.3</v>
      </c>
      <c r="D386" s="21">
        <v>16.690000000000001</v>
      </c>
      <c r="E386" s="21"/>
      <c r="F386" s="21"/>
      <c r="G386" s="21"/>
      <c r="H386" s="3"/>
    </row>
    <row r="387" spans="1:8" x14ac:dyDescent="0.25">
      <c r="A387" s="20">
        <v>32994</v>
      </c>
      <c r="B387" s="21"/>
      <c r="C387" s="21">
        <v>18.920000000000002</v>
      </c>
      <c r="D387" s="21">
        <v>16.440000000000001</v>
      </c>
      <c r="E387" s="21"/>
      <c r="F387" s="21"/>
      <c r="G387" s="21"/>
      <c r="H387" s="3"/>
    </row>
    <row r="388" spans="1:8" x14ac:dyDescent="0.25">
      <c r="A388" s="20">
        <v>33025</v>
      </c>
      <c r="B388" s="21"/>
      <c r="C388" s="21">
        <v>18.920000000000002</v>
      </c>
      <c r="D388" s="21">
        <v>16.440000000000001</v>
      </c>
      <c r="E388" s="21"/>
      <c r="F388" s="21"/>
      <c r="G388" s="21"/>
      <c r="H388" s="3"/>
    </row>
    <row r="389" spans="1:8" x14ac:dyDescent="0.25">
      <c r="A389" s="20">
        <v>33055</v>
      </c>
      <c r="B389" s="21"/>
      <c r="C389" s="21">
        <v>18.670000000000002</v>
      </c>
      <c r="D389" s="21">
        <v>16.440000000000001</v>
      </c>
      <c r="E389" s="21"/>
      <c r="F389" s="21"/>
      <c r="G389" s="21"/>
      <c r="H389" s="3"/>
    </row>
    <row r="390" spans="1:8" x14ac:dyDescent="0.25">
      <c r="A390" s="20">
        <v>33086</v>
      </c>
      <c r="B390" s="21"/>
      <c r="C390" s="21">
        <v>17.86</v>
      </c>
      <c r="D390" s="21">
        <v>16.38</v>
      </c>
      <c r="E390" s="21"/>
      <c r="F390" s="21"/>
      <c r="G390" s="21"/>
      <c r="H390" s="3"/>
    </row>
    <row r="391" spans="1:8" x14ac:dyDescent="0.25">
      <c r="A391" s="20">
        <v>33117</v>
      </c>
      <c r="B391" s="21"/>
      <c r="C391" s="21">
        <v>17.23</v>
      </c>
      <c r="D391" s="21">
        <v>16.190000000000001</v>
      </c>
      <c r="E391" s="21"/>
      <c r="F391" s="21"/>
      <c r="G391" s="21">
        <v>15.5</v>
      </c>
      <c r="H391" s="3"/>
    </row>
    <row r="392" spans="1:8" x14ac:dyDescent="0.25">
      <c r="A392" s="20">
        <v>33147</v>
      </c>
      <c r="B392" s="21"/>
      <c r="C392" s="21">
        <v>16.36</v>
      </c>
      <c r="D392" s="21">
        <v>16</v>
      </c>
      <c r="E392" s="21"/>
      <c r="F392" s="21"/>
      <c r="G392" s="21">
        <v>15.13</v>
      </c>
      <c r="H392" s="3"/>
    </row>
    <row r="393" spans="1:8" x14ac:dyDescent="0.25">
      <c r="A393" s="20">
        <v>33178</v>
      </c>
      <c r="B393" s="21"/>
      <c r="C393" s="21">
        <v>16.11</v>
      </c>
      <c r="D393" s="21">
        <v>15.5</v>
      </c>
      <c r="E393" s="21"/>
      <c r="F393" s="21"/>
      <c r="G393" s="21">
        <v>14.58</v>
      </c>
      <c r="H393" s="3"/>
    </row>
    <row r="394" spans="1:8" x14ac:dyDescent="0.25">
      <c r="A394" s="20">
        <v>33208</v>
      </c>
      <c r="B394" s="21"/>
      <c r="C394" s="21">
        <v>16.11</v>
      </c>
      <c r="D394" s="21">
        <v>15.13</v>
      </c>
      <c r="E394" s="21"/>
      <c r="F394" s="21"/>
      <c r="G394" s="21">
        <v>14.52</v>
      </c>
      <c r="H394" s="3"/>
    </row>
    <row r="395" spans="1:8" x14ac:dyDescent="0.25">
      <c r="A395" s="20">
        <v>33239</v>
      </c>
      <c r="B395" s="21"/>
      <c r="C395" s="21">
        <v>15.8</v>
      </c>
      <c r="D395" s="21">
        <v>14.5</v>
      </c>
      <c r="E395" s="21"/>
      <c r="F395" s="21"/>
      <c r="G395" s="21">
        <v>14.25</v>
      </c>
      <c r="H395" s="3"/>
    </row>
    <row r="396" spans="1:8" x14ac:dyDescent="0.25">
      <c r="A396" s="20">
        <v>33270</v>
      </c>
      <c r="B396" s="21"/>
      <c r="C396" s="21">
        <v>15.61</v>
      </c>
      <c r="D396" s="21">
        <v>14.5</v>
      </c>
      <c r="E396" s="21"/>
      <c r="F396" s="21"/>
      <c r="G396" s="21">
        <v>14.33</v>
      </c>
      <c r="H396" s="3"/>
    </row>
    <row r="397" spans="1:8" x14ac:dyDescent="0.25">
      <c r="A397" s="20">
        <v>33298</v>
      </c>
      <c r="B397" s="21"/>
      <c r="C397" s="21">
        <v>15.61</v>
      </c>
      <c r="D397" s="21">
        <v>14.5</v>
      </c>
      <c r="E397" s="21"/>
      <c r="F397" s="21"/>
      <c r="G397" s="21">
        <v>14.33</v>
      </c>
      <c r="H397" s="3"/>
    </row>
    <row r="398" spans="1:8" x14ac:dyDescent="0.25">
      <c r="A398" s="20">
        <v>33329</v>
      </c>
      <c r="B398" s="21"/>
      <c r="C398" s="21">
        <v>15.3</v>
      </c>
      <c r="D398" s="21">
        <v>14.38</v>
      </c>
      <c r="E398" s="21"/>
      <c r="F398" s="21"/>
      <c r="G398" s="21">
        <v>14.17</v>
      </c>
      <c r="H398" s="3"/>
    </row>
    <row r="399" spans="1:8" x14ac:dyDescent="0.25">
      <c r="A399" s="20">
        <v>33359</v>
      </c>
      <c r="B399" s="21"/>
      <c r="C399" s="21">
        <v>14.86</v>
      </c>
      <c r="D399" s="21">
        <v>13.88</v>
      </c>
      <c r="E399" s="21"/>
      <c r="F399" s="21"/>
      <c r="G399" s="21">
        <v>14.08</v>
      </c>
      <c r="H399" s="3"/>
    </row>
    <row r="400" spans="1:8" x14ac:dyDescent="0.25">
      <c r="A400" s="20">
        <v>33390</v>
      </c>
      <c r="B400" s="21"/>
      <c r="C400" s="21">
        <v>14.61</v>
      </c>
      <c r="D400" s="21">
        <v>13.19</v>
      </c>
      <c r="E400" s="21"/>
      <c r="F400" s="21"/>
      <c r="G400" s="21">
        <v>13.67</v>
      </c>
      <c r="H400" s="3"/>
    </row>
    <row r="401" spans="1:8" x14ac:dyDescent="0.25">
      <c r="A401" s="20">
        <v>33420</v>
      </c>
      <c r="B401" s="21"/>
      <c r="C401" s="21">
        <v>14.61</v>
      </c>
      <c r="D401" s="21">
        <v>13</v>
      </c>
      <c r="E401" s="21"/>
      <c r="F401" s="21"/>
      <c r="G401" s="21">
        <v>13.5</v>
      </c>
      <c r="H401" s="3"/>
    </row>
    <row r="402" spans="1:8" x14ac:dyDescent="0.25">
      <c r="A402" s="20">
        <v>33451</v>
      </c>
      <c r="B402" s="21"/>
      <c r="C402" s="21">
        <v>14.61</v>
      </c>
      <c r="D402" s="21">
        <v>13</v>
      </c>
      <c r="E402" s="21"/>
      <c r="F402" s="21"/>
      <c r="G402" s="21">
        <v>13.5</v>
      </c>
      <c r="H402" s="3"/>
    </row>
    <row r="403" spans="1:8" x14ac:dyDescent="0.25">
      <c r="A403" s="20">
        <v>33482</v>
      </c>
      <c r="B403" s="21"/>
      <c r="C403" s="21">
        <v>13.67</v>
      </c>
      <c r="D403" s="21">
        <v>13</v>
      </c>
      <c r="E403" s="21"/>
      <c r="F403" s="21"/>
      <c r="G403" s="21">
        <v>13.5</v>
      </c>
      <c r="H403" s="3"/>
    </row>
    <row r="404" spans="1:8" x14ac:dyDescent="0.25">
      <c r="A404" s="20">
        <v>33512</v>
      </c>
      <c r="B404" s="21"/>
      <c r="C404" s="21">
        <v>13.67</v>
      </c>
      <c r="D404" s="21">
        <v>12.5</v>
      </c>
      <c r="E404" s="21"/>
      <c r="F404" s="21"/>
      <c r="G404" s="21">
        <v>13.08</v>
      </c>
      <c r="H404" s="3"/>
    </row>
    <row r="405" spans="1:8" x14ac:dyDescent="0.25">
      <c r="A405" s="20">
        <v>33543</v>
      </c>
      <c r="B405" s="21"/>
      <c r="C405" s="21">
        <v>12.92</v>
      </c>
      <c r="D405" s="21">
        <v>12.5</v>
      </c>
      <c r="E405" s="21"/>
      <c r="F405" s="21"/>
      <c r="G405" s="21">
        <v>13.08</v>
      </c>
      <c r="H405" s="3"/>
    </row>
    <row r="406" spans="1:8" x14ac:dyDescent="0.25">
      <c r="A406" s="20">
        <v>33573</v>
      </c>
      <c r="B406" s="21"/>
      <c r="C406" s="21">
        <v>12.8</v>
      </c>
      <c r="D406" s="21">
        <v>12</v>
      </c>
      <c r="E406" s="21"/>
      <c r="F406" s="21"/>
      <c r="G406" s="21">
        <v>12.75</v>
      </c>
      <c r="H406" s="3"/>
    </row>
    <row r="407" spans="1:8" x14ac:dyDescent="0.25">
      <c r="A407" s="20">
        <v>33604</v>
      </c>
      <c r="B407" s="21"/>
      <c r="C407" s="21">
        <v>12.42</v>
      </c>
      <c r="D407" s="21">
        <v>11.75</v>
      </c>
      <c r="E407" s="21"/>
      <c r="F407" s="21"/>
      <c r="G407" s="21">
        <v>12.33</v>
      </c>
      <c r="H407" s="3"/>
    </row>
    <row r="408" spans="1:8" x14ac:dyDescent="0.25">
      <c r="A408" s="20">
        <v>33635</v>
      </c>
      <c r="B408" s="21"/>
      <c r="C408" s="21">
        <v>11.98</v>
      </c>
      <c r="D408" s="21">
        <v>11</v>
      </c>
      <c r="E408" s="21"/>
      <c r="F408" s="21"/>
      <c r="G408" s="21">
        <v>12.33</v>
      </c>
      <c r="H408" s="3"/>
    </row>
    <row r="409" spans="1:8" x14ac:dyDescent="0.25">
      <c r="A409" s="20">
        <v>33664</v>
      </c>
      <c r="B409" s="21"/>
      <c r="C409" s="21">
        <v>12.17</v>
      </c>
      <c r="D409" s="21">
        <v>11</v>
      </c>
      <c r="E409" s="21"/>
      <c r="F409" s="21"/>
      <c r="G409" s="21">
        <v>12.17</v>
      </c>
      <c r="H409" s="3"/>
    </row>
    <row r="410" spans="1:8" x14ac:dyDescent="0.25">
      <c r="A410" s="20">
        <v>33695</v>
      </c>
      <c r="B410" s="21"/>
      <c r="C410" s="21">
        <v>12.17</v>
      </c>
      <c r="D410" s="21">
        <v>11</v>
      </c>
      <c r="E410" s="21"/>
      <c r="F410" s="21"/>
      <c r="G410" s="21">
        <v>12.17</v>
      </c>
      <c r="H410" s="3"/>
    </row>
    <row r="411" spans="1:8" x14ac:dyDescent="0.25">
      <c r="A411" s="20">
        <v>33725</v>
      </c>
      <c r="B411" s="21"/>
      <c r="C411" s="21">
        <v>11.86</v>
      </c>
      <c r="D411" s="21">
        <v>11</v>
      </c>
      <c r="E411" s="21"/>
      <c r="F411" s="21"/>
      <c r="G411" s="21">
        <v>11.58</v>
      </c>
      <c r="H411" s="3"/>
    </row>
    <row r="412" spans="1:8" x14ac:dyDescent="0.25">
      <c r="A412" s="20">
        <v>33756</v>
      </c>
      <c r="B412" s="21"/>
      <c r="C412" s="21">
        <v>11.17</v>
      </c>
      <c r="D412" s="21">
        <v>10.38</v>
      </c>
      <c r="E412" s="21"/>
      <c r="F412" s="21"/>
      <c r="G412" s="21">
        <v>11.58</v>
      </c>
      <c r="H412" s="3"/>
    </row>
    <row r="413" spans="1:8" x14ac:dyDescent="0.25">
      <c r="A413" s="20">
        <v>33786</v>
      </c>
      <c r="B413" s="21"/>
      <c r="C413" s="21">
        <v>11.17</v>
      </c>
      <c r="D413" s="21">
        <v>10.3</v>
      </c>
      <c r="E413" s="21"/>
      <c r="F413" s="21"/>
      <c r="G413" s="21">
        <v>10.45</v>
      </c>
      <c r="H413" s="3"/>
    </row>
    <row r="414" spans="1:8" x14ac:dyDescent="0.25">
      <c r="A414" s="20">
        <v>33817</v>
      </c>
      <c r="B414" s="21"/>
      <c r="C414" s="21">
        <v>10.48</v>
      </c>
      <c r="D414" s="21">
        <v>9.98</v>
      </c>
      <c r="E414" s="21"/>
      <c r="F414" s="21"/>
      <c r="G414" s="21">
        <v>10.38</v>
      </c>
      <c r="H414" s="3"/>
    </row>
    <row r="415" spans="1:8" x14ac:dyDescent="0.25">
      <c r="A415" s="20">
        <v>33848</v>
      </c>
      <c r="B415" s="21"/>
      <c r="C415" s="21">
        <v>10.53</v>
      </c>
      <c r="D415" s="21">
        <v>9.92</v>
      </c>
      <c r="E415" s="21"/>
      <c r="F415" s="21"/>
      <c r="G415" s="21">
        <v>10.5</v>
      </c>
      <c r="H415" s="3"/>
    </row>
    <row r="416" spans="1:8" x14ac:dyDescent="0.25">
      <c r="A416" s="20">
        <v>33878</v>
      </c>
      <c r="B416" s="21"/>
      <c r="C416" s="21">
        <v>10.53</v>
      </c>
      <c r="D416" s="21">
        <v>9.92</v>
      </c>
      <c r="E416" s="21"/>
      <c r="F416" s="21"/>
      <c r="G416" s="21">
        <v>10.5</v>
      </c>
      <c r="H416" s="3"/>
    </row>
    <row r="417" spans="1:8" x14ac:dyDescent="0.25">
      <c r="A417" s="20">
        <v>33909</v>
      </c>
      <c r="B417" s="21"/>
      <c r="C417" s="21">
        <v>10.53</v>
      </c>
      <c r="D417" s="21">
        <v>9.92</v>
      </c>
      <c r="E417" s="21"/>
      <c r="F417" s="21"/>
      <c r="G417" s="21">
        <v>10.5</v>
      </c>
      <c r="H417" s="3"/>
    </row>
    <row r="418" spans="1:8" x14ac:dyDescent="0.25">
      <c r="A418" s="20">
        <v>33939</v>
      </c>
      <c r="B418" s="21"/>
      <c r="C418" s="21">
        <v>10.53</v>
      </c>
      <c r="D418" s="21">
        <v>9.92</v>
      </c>
      <c r="E418" s="21"/>
      <c r="F418" s="21"/>
      <c r="G418" s="21">
        <v>10.5</v>
      </c>
      <c r="H418" s="3"/>
    </row>
    <row r="419" spans="1:8" x14ac:dyDescent="0.25">
      <c r="A419" s="20">
        <v>33970</v>
      </c>
      <c r="B419" s="21"/>
      <c r="C419" s="21">
        <v>10.53</v>
      </c>
      <c r="D419" s="21">
        <v>9.92</v>
      </c>
      <c r="E419" s="21"/>
      <c r="F419" s="21"/>
      <c r="G419" s="21">
        <v>10.5</v>
      </c>
      <c r="H419" s="3"/>
    </row>
    <row r="420" spans="1:8" x14ac:dyDescent="0.25">
      <c r="A420" s="20">
        <v>34001</v>
      </c>
      <c r="B420" s="21"/>
      <c r="C420" s="21">
        <v>10.53</v>
      </c>
      <c r="D420" s="21">
        <v>9.92</v>
      </c>
      <c r="E420" s="21"/>
      <c r="F420" s="21"/>
      <c r="G420" s="21">
        <v>10.49</v>
      </c>
      <c r="H420" s="3"/>
    </row>
    <row r="421" spans="1:8" x14ac:dyDescent="0.25">
      <c r="A421" s="20">
        <v>34029</v>
      </c>
      <c r="B421" s="21"/>
      <c r="C421" s="21">
        <v>10.53</v>
      </c>
      <c r="D421" s="21">
        <v>9.92</v>
      </c>
      <c r="E421" s="21"/>
      <c r="F421" s="21"/>
      <c r="G421" s="21">
        <v>10.53</v>
      </c>
      <c r="H421" s="3"/>
    </row>
    <row r="422" spans="1:8" x14ac:dyDescent="0.25">
      <c r="A422" s="20">
        <v>34060</v>
      </c>
      <c r="B422" s="21"/>
      <c r="C422" s="21">
        <v>10.16</v>
      </c>
      <c r="D422" s="21">
        <v>9.7200000000000006</v>
      </c>
      <c r="E422" s="21"/>
      <c r="F422" s="21"/>
      <c r="G422" s="21">
        <v>10.220000000000001</v>
      </c>
      <c r="H422" s="3"/>
    </row>
    <row r="423" spans="1:8" x14ac:dyDescent="0.25">
      <c r="A423" s="20">
        <v>34090</v>
      </c>
      <c r="B423" s="21"/>
      <c r="C423" s="21">
        <v>10.029999999999999</v>
      </c>
      <c r="D423" s="21">
        <v>9.5</v>
      </c>
      <c r="E423" s="21"/>
      <c r="F423" s="21"/>
      <c r="G423" s="21">
        <v>9.84</v>
      </c>
      <c r="H423" s="3"/>
    </row>
    <row r="424" spans="1:8" x14ac:dyDescent="0.25">
      <c r="A424" s="20">
        <v>34121</v>
      </c>
      <c r="B424" s="21"/>
      <c r="C424" s="21">
        <v>10.01</v>
      </c>
      <c r="D424" s="21">
        <v>9.5</v>
      </c>
      <c r="E424" s="21"/>
      <c r="F424" s="21"/>
      <c r="G424" s="21">
        <v>9.7100000000000009</v>
      </c>
      <c r="H424" s="3"/>
    </row>
    <row r="425" spans="1:8" x14ac:dyDescent="0.25">
      <c r="A425" s="20">
        <v>34151</v>
      </c>
      <c r="B425" s="21"/>
      <c r="C425" s="21">
        <v>10.01</v>
      </c>
      <c r="D425" s="21">
        <v>9.5</v>
      </c>
      <c r="E425" s="21"/>
      <c r="F425" s="21"/>
      <c r="G425" s="21">
        <v>9.51</v>
      </c>
      <c r="H425" s="3"/>
    </row>
    <row r="426" spans="1:8" x14ac:dyDescent="0.25">
      <c r="A426" s="20">
        <v>34182</v>
      </c>
      <c r="B426" s="21"/>
      <c r="C426" s="21">
        <v>9.5299999999999994</v>
      </c>
      <c r="D426" s="21">
        <v>9.5</v>
      </c>
      <c r="E426" s="21"/>
      <c r="F426" s="21"/>
      <c r="G426" s="21">
        <v>9.1</v>
      </c>
      <c r="H426" s="3"/>
    </row>
    <row r="427" spans="1:8" x14ac:dyDescent="0.25">
      <c r="A427" s="20">
        <v>34213</v>
      </c>
      <c r="B427" s="21"/>
      <c r="C427" s="21">
        <v>9.5299999999999994</v>
      </c>
      <c r="D427" s="21">
        <v>8.9</v>
      </c>
      <c r="E427" s="21"/>
      <c r="F427" s="21"/>
      <c r="G427" s="21">
        <v>8.94</v>
      </c>
      <c r="H427" s="3"/>
    </row>
    <row r="428" spans="1:8" x14ac:dyDescent="0.25">
      <c r="A428" s="20">
        <v>34243</v>
      </c>
      <c r="B428" s="21"/>
      <c r="C428" s="21">
        <v>9.5299999999999994</v>
      </c>
      <c r="D428" s="21">
        <v>8.75</v>
      </c>
      <c r="E428" s="21"/>
      <c r="F428" s="21"/>
      <c r="G428" s="21">
        <v>8.92</v>
      </c>
      <c r="H428" s="3"/>
    </row>
    <row r="429" spans="1:8" x14ac:dyDescent="0.25">
      <c r="A429" s="20">
        <v>34274</v>
      </c>
      <c r="B429" s="21"/>
      <c r="C429" s="21">
        <v>9.5299999999999994</v>
      </c>
      <c r="D429" s="21">
        <v>8.75</v>
      </c>
      <c r="E429" s="21"/>
      <c r="F429" s="21"/>
      <c r="G429" s="21">
        <v>8.91</v>
      </c>
      <c r="H429" s="3"/>
    </row>
    <row r="430" spans="1:8" x14ac:dyDescent="0.25">
      <c r="A430" s="20">
        <v>34304</v>
      </c>
      <c r="B430" s="21"/>
      <c r="C430" s="21">
        <v>9.5299999999999994</v>
      </c>
      <c r="D430" s="21">
        <v>8.75</v>
      </c>
      <c r="E430" s="21"/>
      <c r="F430" s="21"/>
      <c r="G430" s="21">
        <v>8.9</v>
      </c>
      <c r="H430" s="3"/>
    </row>
    <row r="431" spans="1:8" x14ac:dyDescent="0.25">
      <c r="A431" s="20">
        <v>34335</v>
      </c>
      <c r="B431" s="21"/>
      <c r="C431" s="21">
        <v>9.5299999999999994</v>
      </c>
      <c r="D431" s="21">
        <v>8.75</v>
      </c>
      <c r="E431" s="21"/>
      <c r="F431" s="21"/>
      <c r="G431" s="21">
        <v>8.82</v>
      </c>
      <c r="H431" s="3"/>
    </row>
    <row r="432" spans="1:8" x14ac:dyDescent="0.25">
      <c r="A432" s="20">
        <v>34366</v>
      </c>
      <c r="B432" s="21"/>
      <c r="C432" s="21">
        <v>9.5299999999999994</v>
      </c>
      <c r="D432" s="21">
        <v>8.75</v>
      </c>
      <c r="E432" s="21"/>
      <c r="F432" s="21"/>
      <c r="G432" s="21">
        <v>8.75</v>
      </c>
      <c r="H432" s="3"/>
    </row>
    <row r="433" spans="1:8" x14ac:dyDescent="0.25">
      <c r="A433" s="20">
        <v>34394</v>
      </c>
      <c r="B433" s="21"/>
      <c r="C433" s="21">
        <v>9.5299999999999994</v>
      </c>
      <c r="D433" s="21">
        <v>8.75</v>
      </c>
      <c r="E433" s="21"/>
      <c r="F433" s="21"/>
      <c r="G433" s="21">
        <v>8.74</v>
      </c>
      <c r="H433" s="3"/>
    </row>
    <row r="434" spans="1:8" x14ac:dyDescent="0.25">
      <c r="A434" s="20">
        <v>34425</v>
      </c>
      <c r="B434" s="21"/>
      <c r="C434" s="21">
        <v>9.5299999999999994</v>
      </c>
      <c r="D434" s="21">
        <v>8.75</v>
      </c>
      <c r="E434" s="21"/>
      <c r="F434" s="21"/>
      <c r="G434" s="21">
        <v>9.1300000000000008</v>
      </c>
      <c r="H434" s="3"/>
    </row>
    <row r="435" spans="1:8" x14ac:dyDescent="0.25">
      <c r="A435" s="20">
        <v>34455</v>
      </c>
      <c r="B435" s="21"/>
      <c r="C435" s="21">
        <v>9.5299999999999994</v>
      </c>
      <c r="D435" s="21">
        <v>8.75</v>
      </c>
      <c r="E435" s="21"/>
      <c r="F435" s="21"/>
      <c r="G435" s="21">
        <v>9.26</v>
      </c>
      <c r="H435" s="3"/>
    </row>
    <row r="436" spans="1:8" x14ac:dyDescent="0.25">
      <c r="A436" s="20">
        <v>34486</v>
      </c>
      <c r="B436" s="21"/>
      <c r="C436" s="21">
        <v>9.5299999999999994</v>
      </c>
      <c r="D436" s="21">
        <v>8.75</v>
      </c>
      <c r="E436" s="21"/>
      <c r="F436" s="21"/>
      <c r="G436" s="21">
        <v>9.52</v>
      </c>
      <c r="H436" s="3"/>
    </row>
    <row r="437" spans="1:8" x14ac:dyDescent="0.25">
      <c r="A437" s="20">
        <v>34516</v>
      </c>
      <c r="B437" s="21"/>
      <c r="C437" s="21">
        <v>9.5299999999999994</v>
      </c>
      <c r="D437" s="21">
        <v>8.75</v>
      </c>
      <c r="E437" s="21"/>
      <c r="F437" s="21"/>
      <c r="G437" s="21">
        <v>10.17</v>
      </c>
      <c r="H437" s="3"/>
    </row>
    <row r="438" spans="1:8" x14ac:dyDescent="0.25">
      <c r="A438" s="20">
        <v>34547</v>
      </c>
      <c r="B438" s="21"/>
      <c r="C438" s="21">
        <v>9.5299999999999994</v>
      </c>
      <c r="D438" s="21">
        <v>8.75</v>
      </c>
      <c r="E438" s="21"/>
      <c r="F438" s="21"/>
      <c r="G438" s="21">
        <v>10.24</v>
      </c>
      <c r="H438" s="3"/>
    </row>
    <row r="439" spans="1:8" x14ac:dyDescent="0.25">
      <c r="A439" s="20">
        <v>34578</v>
      </c>
      <c r="B439" s="21"/>
      <c r="C439" s="21">
        <v>9.85</v>
      </c>
      <c r="D439" s="21">
        <v>9.0500000000000007</v>
      </c>
      <c r="E439" s="21"/>
      <c r="F439" s="21"/>
      <c r="G439" s="21">
        <v>10.46</v>
      </c>
      <c r="H439" s="3"/>
    </row>
    <row r="440" spans="1:8" x14ac:dyDescent="0.25">
      <c r="A440" s="20">
        <v>34608</v>
      </c>
      <c r="B440" s="21"/>
      <c r="C440" s="21">
        <v>10.02</v>
      </c>
      <c r="D440" s="21">
        <v>9.36</v>
      </c>
      <c r="E440" s="21"/>
      <c r="F440" s="21"/>
      <c r="G440" s="21">
        <v>10.53</v>
      </c>
      <c r="H440" s="3"/>
    </row>
    <row r="441" spans="1:8" x14ac:dyDescent="0.25">
      <c r="A441" s="20">
        <v>34639</v>
      </c>
      <c r="B441" s="21"/>
      <c r="C441" s="21">
        <v>10.41</v>
      </c>
      <c r="D441" s="21">
        <v>9.57</v>
      </c>
      <c r="E441" s="21"/>
      <c r="F441" s="21"/>
      <c r="G441" s="21">
        <v>10.71</v>
      </c>
      <c r="H441" s="3"/>
    </row>
    <row r="442" spans="1:8" x14ac:dyDescent="0.25">
      <c r="A442" s="20">
        <v>34669</v>
      </c>
      <c r="B442" s="21"/>
      <c r="C442" s="21">
        <v>10.91</v>
      </c>
      <c r="D442" s="21">
        <v>9.9700000000000006</v>
      </c>
      <c r="E442" s="21"/>
      <c r="F442" s="21"/>
      <c r="G442" s="21">
        <v>11.47</v>
      </c>
      <c r="H442" s="3"/>
    </row>
    <row r="443" spans="1:8" x14ac:dyDescent="0.25">
      <c r="A443" s="20">
        <v>34700</v>
      </c>
      <c r="B443" s="21"/>
      <c r="C443" s="21">
        <v>11.4</v>
      </c>
      <c r="D443" s="21">
        <v>10.56</v>
      </c>
      <c r="E443" s="21"/>
      <c r="F443" s="21"/>
      <c r="G443" s="21">
        <v>11.69</v>
      </c>
      <c r="H443" s="3"/>
    </row>
    <row r="444" spans="1:8" x14ac:dyDescent="0.25">
      <c r="A444" s="20">
        <v>34731</v>
      </c>
      <c r="B444" s="21"/>
      <c r="C444" s="21">
        <v>11.4</v>
      </c>
      <c r="D444" s="21">
        <v>10.56</v>
      </c>
      <c r="E444" s="21"/>
      <c r="F444" s="21"/>
      <c r="G444" s="21">
        <v>11.54</v>
      </c>
      <c r="H444" s="3"/>
    </row>
    <row r="445" spans="1:8" x14ac:dyDescent="0.25">
      <c r="A445" s="20">
        <v>34759</v>
      </c>
      <c r="B445" s="21"/>
      <c r="C445" s="21">
        <v>11.33</v>
      </c>
      <c r="D445" s="21">
        <v>10.56</v>
      </c>
      <c r="E445" s="21"/>
      <c r="F445" s="21"/>
      <c r="G445" s="21">
        <v>11.31</v>
      </c>
      <c r="H445" s="3"/>
    </row>
    <row r="446" spans="1:8" x14ac:dyDescent="0.25">
      <c r="A446" s="20">
        <v>34790</v>
      </c>
      <c r="B446" s="21"/>
      <c r="C446" s="21">
        <v>11.33</v>
      </c>
      <c r="D446" s="21">
        <v>10.56</v>
      </c>
      <c r="E446" s="21"/>
      <c r="F446" s="21"/>
      <c r="G446" s="21">
        <v>11</v>
      </c>
      <c r="H446" s="3"/>
    </row>
    <row r="447" spans="1:8" x14ac:dyDescent="0.25">
      <c r="A447" s="20">
        <v>34820</v>
      </c>
      <c r="B447" s="21"/>
      <c r="C447" s="21">
        <v>11.33</v>
      </c>
      <c r="D447" s="21">
        <v>10.56</v>
      </c>
      <c r="E447" s="21"/>
      <c r="F447" s="21"/>
      <c r="G447" s="21">
        <v>10.23</v>
      </c>
      <c r="H447" s="3"/>
    </row>
    <row r="448" spans="1:8" x14ac:dyDescent="0.25">
      <c r="A448" s="20">
        <v>34851</v>
      </c>
      <c r="B448" s="21"/>
      <c r="C448" s="21">
        <v>11.33</v>
      </c>
      <c r="D448" s="21">
        <v>10.49</v>
      </c>
      <c r="E448" s="21"/>
      <c r="F448" s="21"/>
      <c r="G448" s="21">
        <v>9.74</v>
      </c>
      <c r="H448" s="3"/>
    </row>
    <row r="449" spans="1:8" x14ac:dyDescent="0.25">
      <c r="A449" s="20">
        <v>34881</v>
      </c>
      <c r="B449" s="21"/>
      <c r="C449" s="21">
        <v>11.33</v>
      </c>
      <c r="D449" s="21">
        <v>10.49</v>
      </c>
      <c r="E449" s="21"/>
      <c r="F449" s="21"/>
      <c r="G449" s="21">
        <v>9.7899999999999991</v>
      </c>
      <c r="H449" s="3"/>
    </row>
    <row r="450" spans="1:8" x14ac:dyDescent="0.25">
      <c r="A450" s="20">
        <v>34912</v>
      </c>
      <c r="B450" s="21"/>
      <c r="C450" s="21">
        <v>11.33</v>
      </c>
      <c r="D450" s="21">
        <v>10.49</v>
      </c>
      <c r="E450" s="21"/>
      <c r="F450" s="21"/>
      <c r="G450" s="21">
        <v>9.82</v>
      </c>
      <c r="H450" s="3"/>
    </row>
    <row r="451" spans="1:8" x14ac:dyDescent="0.25">
      <c r="A451" s="20">
        <v>34943</v>
      </c>
      <c r="B451" s="21"/>
      <c r="C451" s="21">
        <v>11.33</v>
      </c>
      <c r="D451" s="21">
        <v>10.49</v>
      </c>
      <c r="E451" s="21"/>
      <c r="F451" s="21"/>
      <c r="G451" s="21">
        <v>9.56</v>
      </c>
      <c r="H451" s="3"/>
    </row>
    <row r="452" spans="1:8" x14ac:dyDescent="0.25">
      <c r="A452" s="20">
        <v>34973</v>
      </c>
      <c r="B452" s="21"/>
      <c r="C452" s="21">
        <v>11.33</v>
      </c>
      <c r="D452" s="21">
        <v>10.49</v>
      </c>
      <c r="E452" s="21"/>
      <c r="F452" s="21"/>
      <c r="G452" s="21">
        <v>9.43</v>
      </c>
      <c r="H452" s="3"/>
    </row>
    <row r="453" spans="1:8" x14ac:dyDescent="0.25">
      <c r="A453" s="20">
        <v>35004</v>
      </c>
      <c r="B453" s="21"/>
      <c r="C453" s="21">
        <v>11.33</v>
      </c>
      <c r="D453" s="21">
        <v>10.48</v>
      </c>
      <c r="E453" s="21"/>
      <c r="F453" s="21"/>
      <c r="G453" s="21">
        <v>9.56</v>
      </c>
      <c r="H453" s="3"/>
    </row>
    <row r="454" spans="1:8" x14ac:dyDescent="0.25">
      <c r="A454" s="20">
        <v>35034</v>
      </c>
      <c r="B454" s="21"/>
      <c r="C454" s="21">
        <v>11.4</v>
      </c>
      <c r="D454" s="21">
        <v>10.48</v>
      </c>
      <c r="E454" s="21"/>
      <c r="F454" s="21"/>
      <c r="G454" s="21">
        <v>9.5</v>
      </c>
      <c r="H454" s="3"/>
    </row>
    <row r="455" spans="1:8" x14ac:dyDescent="0.25">
      <c r="A455" s="20">
        <v>35065</v>
      </c>
      <c r="B455" s="21"/>
      <c r="C455" s="21">
        <v>11.43</v>
      </c>
      <c r="D455" s="21">
        <v>10.48</v>
      </c>
      <c r="E455" s="21"/>
      <c r="F455" s="21"/>
      <c r="G455" s="21">
        <v>9.5</v>
      </c>
      <c r="H455" s="3"/>
    </row>
    <row r="456" spans="1:8" x14ac:dyDescent="0.25">
      <c r="A456" s="20">
        <v>35096</v>
      </c>
      <c r="B456" s="21"/>
      <c r="C456" s="21">
        <v>11.48</v>
      </c>
      <c r="D456" s="21">
        <v>10.48</v>
      </c>
      <c r="E456" s="21"/>
      <c r="F456" s="21"/>
      <c r="G456" s="21">
        <v>9.3800000000000008</v>
      </c>
      <c r="H456" s="3"/>
    </row>
    <row r="457" spans="1:8" x14ac:dyDescent="0.25">
      <c r="A457" s="20">
        <v>35125</v>
      </c>
      <c r="B457" s="21"/>
      <c r="C457" s="21">
        <v>11.48</v>
      </c>
      <c r="D457" s="21">
        <v>10.48</v>
      </c>
      <c r="E457" s="21"/>
      <c r="F457" s="21"/>
      <c r="G457" s="21">
        <v>9.39</v>
      </c>
      <c r="H457" s="3"/>
    </row>
    <row r="458" spans="1:8" x14ac:dyDescent="0.25">
      <c r="A458" s="20">
        <v>35156</v>
      </c>
      <c r="B458" s="21">
        <v>10.5</v>
      </c>
      <c r="C458" s="21">
        <v>11.48</v>
      </c>
      <c r="D458" s="21">
        <v>10.48</v>
      </c>
      <c r="E458" s="21"/>
      <c r="F458" s="21"/>
      <c r="G458" s="21">
        <v>9.57</v>
      </c>
      <c r="H458" s="3"/>
    </row>
    <row r="459" spans="1:8" x14ac:dyDescent="0.25">
      <c r="A459" s="20">
        <v>35186</v>
      </c>
      <c r="B459" s="21">
        <v>10.5</v>
      </c>
      <c r="C459" s="21">
        <v>11.48</v>
      </c>
      <c r="D459" s="21">
        <v>10.48</v>
      </c>
      <c r="E459" s="21"/>
      <c r="F459" s="21"/>
      <c r="G459" s="21">
        <v>9.56</v>
      </c>
      <c r="H459" s="3"/>
    </row>
    <row r="460" spans="1:8" x14ac:dyDescent="0.25">
      <c r="A460" s="20">
        <v>35217</v>
      </c>
      <c r="B460" s="21">
        <v>10.5</v>
      </c>
      <c r="C460" s="21">
        <v>11.48</v>
      </c>
      <c r="D460" s="21">
        <v>9.91</v>
      </c>
      <c r="E460" s="21"/>
      <c r="F460" s="21"/>
      <c r="G460" s="21">
        <v>9.59</v>
      </c>
      <c r="H460" s="3"/>
    </row>
    <row r="461" spans="1:8" x14ac:dyDescent="0.25">
      <c r="A461" s="20">
        <v>35247</v>
      </c>
      <c r="B461" s="21">
        <v>10.5</v>
      </c>
      <c r="C461" s="21">
        <v>11.48</v>
      </c>
      <c r="D461" s="21">
        <v>9.91</v>
      </c>
      <c r="E461" s="21"/>
      <c r="F461" s="21"/>
      <c r="G461" s="21">
        <v>9.59</v>
      </c>
      <c r="H461" s="3"/>
    </row>
    <row r="462" spans="1:8" x14ac:dyDescent="0.25">
      <c r="A462" s="20">
        <v>35278</v>
      </c>
      <c r="B462" s="21">
        <v>9.4</v>
      </c>
      <c r="C462" s="21">
        <v>11.11</v>
      </c>
      <c r="D462" s="21">
        <v>9.61</v>
      </c>
      <c r="E462" s="21"/>
      <c r="F462" s="21"/>
      <c r="G462" s="21">
        <v>9.11</v>
      </c>
      <c r="H462" s="3"/>
    </row>
    <row r="463" spans="1:8" x14ac:dyDescent="0.25">
      <c r="A463" s="20">
        <v>35309</v>
      </c>
      <c r="B463" s="21">
        <v>9.4</v>
      </c>
      <c r="C463" s="21">
        <v>10.98</v>
      </c>
      <c r="D463" s="21">
        <v>9.2899999999999991</v>
      </c>
      <c r="E463" s="21"/>
      <c r="F463" s="21"/>
      <c r="G463" s="21">
        <v>8.76</v>
      </c>
      <c r="H463" s="3"/>
    </row>
    <row r="464" spans="1:8" x14ac:dyDescent="0.25">
      <c r="A464" s="20">
        <v>35339</v>
      </c>
      <c r="B464" s="21">
        <v>9.4</v>
      </c>
      <c r="C464" s="21">
        <v>10.98</v>
      </c>
      <c r="D464" s="21">
        <v>9.2899999999999991</v>
      </c>
      <c r="E464" s="21"/>
      <c r="F464" s="21"/>
      <c r="G464" s="21">
        <v>8.6199999999999992</v>
      </c>
      <c r="H464" s="3"/>
    </row>
    <row r="465" spans="1:8" x14ac:dyDescent="0.25">
      <c r="A465" s="20">
        <v>35370</v>
      </c>
      <c r="B465" s="21">
        <v>9.4</v>
      </c>
      <c r="C465" s="21">
        <v>10.98</v>
      </c>
      <c r="D465" s="21">
        <v>8.8800000000000008</v>
      </c>
      <c r="E465" s="21"/>
      <c r="F465" s="21"/>
      <c r="G465" s="21">
        <v>8.4700000000000006</v>
      </c>
      <c r="H465" s="3"/>
    </row>
    <row r="466" spans="1:8" x14ac:dyDescent="0.25">
      <c r="A466" s="20">
        <v>35400</v>
      </c>
      <c r="B466" s="21">
        <v>8.9499999999999993</v>
      </c>
      <c r="C466" s="21">
        <v>10.48</v>
      </c>
      <c r="D466" s="21">
        <v>8.48</v>
      </c>
      <c r="E466" s="21"/>
      <c r="F466" s="21"/>
      <c r="G466" s="21">
        <v>8.4</v>
      </c>
      <c r="H466" s="3"/>
    </row>
    <row r="467" spans="1:8" x14ac:dyDescent="0.25">
      <c r="A467" s="20">
        <v>35431</v>
      </c>
      <c r="B467" s="21">
        <v>8.4499999999999993</v>
      </c>
      <c r="C467" s="21">
        <v>9.98</v>
      </c>
      <c r="D467" s="21">
        <v>8.25</v>
      </c>
      <c r="E467" s="21"/>
      <c r="F467" s="21"/>
      <c r="G467" s="21">
        <v>8.24</v>
      </c>
      <c r="H467" s="3"/>
    </row>
    <row r="468" spans="1:8" x14ac:dyDescent="0.25">
      <c r="A468" s="20">
        <v>35462</v>
      </c>
      <c r="B468" s="21">
        <v>7.95</v>
      </c>
      <c r="C468" s="21">
        <v>9.5</v>
      </c>
      <c r="D468" s="21">
        <v>7.55</v>
      </c>
      <c r="E468" s="21"/>
      <c r="F468" s="21"/>
      <c r="G468" s="21">
        <v>8.14</v>
      </c>
      <c r="H468" s="3"/>
    </row>
    <row r="469" spans="1:8" x14ac:dyDescent="0.25">
      <c r="A469" s="20">
        <v>35490</v>
      </c>
      <c r="B469" s="21">
        <v>7.9</v>
      </c>
      <c r="C469" s="21">
        <v>9.5</v>
      </c>
      <c r="D469" s="21">
        <v>7.55</v>
      </c>
      <c r="E469" s="21"/>
      <c r="F469" s="21"/>
      <c r="G469" s="21">
        <v>8.2100000000000009</v>
      </c>
      <c r="H469" s="3"/>
    </row>
    <row r="470" spans="1:8" x14ac:dyDescent="0.25">
      <c r="A470" s="20">
        <v>35521</v>
      </c>
      <c r="B470" s="21">
        <v>7.8</v>
      </c>
      <c r="C470" s="21">
        <v>9.5</v>
      </c>
      <c r="D470" s="21">
        <v>7.55</v>
      </c>
      <c r="E470" s="21"/>
      <c r="F470" s="21"/>
      <c r="G470" s="21">
        <v>8.2899999999999991</v>
      </c>
      <c r="H470" s="3"/>
    </row>
    <row r="471" spans="1:8" x14ac:dyDescent="0.25">
      <c r="A471" s="20">
        <v>35551</v>
      </c>
      <c r="B471" s="21">
        <v>7.55</v>
      </c>
      <c r="C471" s="21">
        <v>9.36</v>
      </c>
      <c r="D471" s="21">
        <v>7.13</v>
      </c>
      <c r="E471" s="21"/>
      <c r="F471" s="21"/>
      <c r="G471" s="21">
        <v>8.31</v>
      </c>
      <c r="H471" s="3"/>
    </row>
    <row r="472" spans="1:8" x14ac:dyDescent="0.25">
      <c r="A472" s="20">
        <v>35582</v>
      </c>
      <c r="B472" s="21">
        <v>7.5</v>
      </c>
      <c r="C472" s="21">
        <v>9.23</v>
      </c>
      <c r="D472" s="21">
        <v>7.13</v>
      </c>
      <c r="E472" s="21"/>
      <c r="F472" s="21"/>
      <c r="G472" s="21">
        <v>7.68</v>
      </c>
      <c r="H472" s="3"/>
    </row>
    <row r="473" spans="1:8" x14ac:dyDescent="0.25">
      <c r="A473" s="20">
        <v>35612</v>
      </c>
      <c r="B473" s="21">
        <v>7.4</v>
      </c>
      <c r="C473" s="21">
        <v>9.0299999999999994</v>
      </c>
      <c r="D473" s="21">
        <v>7.05</v>
      </c>
      <c r="E473" s="21"/>
      <c r="F473" s="21"/>
      <c r="G473" s="21">
        <v>7.31</v>
      </c>
      <c r="H473" s="3"/>
    </row>
    <row r="474" spans="1:8" x14ac:dyDescent="0.25">
      <c r="A474" s="20">
        <v>35643</v>
      </c>
      <c r="B474" s="21">
        <v>7.3</v>
      </c>
      <c r="C474" s="21">
        <v>8.91</v>
      </c>
      <c r="D474" s="21">
        <v>6.74</v>
      </c>
      <c r="E474" s="21"/>
      <c r="F474" s="21"/>
      <c r="G474" s="21">
        <v>7.22</v>
      </c>
      <c r="H474" s="3"/>
    </row>
    <row r="475" spans="1:8" x14ac:dyDescent="0.25">
      <c r="A475" s="20">
        <v>35674</v>
      </c>
      <c r="B475" s="21">
        <v>7</v>
      </c>
      <c r="C475" s="21">
        <v>8.58</v>
      </c>
      <c r="D475" s="21">
        <v>6.74</v>
      </c>
      <c r="E475" s="21"/>
      <c r="F475" s="21"/>
      <c r="G475" s="21">
        <v>7.07</v>
      </c>
      <c r="H475" s="3"/>
    </row>
    <row r="476" spans="1:8" x14ac:dyDescent="0.25">
      <c r="A476" s="20">
        <v>35704</v>
      </c>
      <c r="B476" s="21">
        <v>7</v>
      </c>
      <c r="C476" s="21">
        <v>8.58</v>
      </c>
      <c r="D476" s="21">
        <v>6.74</v>
      </c>
      <c r="E476" s="21"/>
      <c r="F476" s="21"/>
      <c r="G476" s="21">
        <v>6.98</v>
      </c>
      <c r="H476" s="3"/>
    </row>
    <row r="477" spans="1:8" x14ac:dyDescent="0.25">
      <c r="A477" s="20">
        <v>35735</v>
      </c>
      <c r="B477" s="21">
        <v>7</v>
      </c>
      <c r="C477" s="21">
        <v>8.58</v>
      </c>
      <c r="D477" s="21">
        <v>6.74</v>
      </c>
      <c r="E477" s="21"/>
      <c r="F477" s="21"/>
      <c r="G477" s="21">
        <v>6.98</v>
      </c>
      <c r="H477" s="3"/>
    </row>
    <row r="478" spans="1:8" x14ac:dyDescent="0.25">
      <c r="A478" s="20">
        <v>35765</v>
      </c>
      <c r="B478" s="21">
        <v>7</v>
      </c>
      <c r="C478" s="21">
        <v>8.58</v>
      </c>
      <c r="D478" s="21">
        <v>6.74</v>
      </c>
      <c r="E478" s="21"/>
      <c r="F478" s="21"/>
      <c r="G478" s="21">
        <v>6.98</v>
      </c>
      <c r="H478" s="3"/>
    </row>
    <row r="479" spans="1:8" x14ac:dyDescent="0.25">
      <c r="A479" s="20">
        <v>35796</v>
      </c>
      <c r="B479" s="21">
        <v>7</v>
      </c>
      <c r="C479" s="21">
        <v>8.58</v>
      </c>
      <c r="D479" s="21">
        <v>6.74</v>
      </c>
      <c r="E479" s="21"/>
      <c r="F479" s="21"/>
      <c r="G479" s="21">
        <v>6.66</v>
      </c>
      <c r="H479" s="3"/>
    </row>
    <row r="480" spans="1:8" x14ac:dyDescent="0.25">
      <c r="A480" s="20">
        <v>35827</v>
      </c>
      <c r="B480" s="21">
        <v>7</v>
      </c>
      <c r="C480" s="21">
        <v>8.58</v>
      </c>
      <c r="D480" s="21">
        <v>6.74</v>
      </c>
      <c r="E480" s="21"/>
      <c r="F480" s="21"/>
      <c r="G480" s="21">
        <v>6.78</v>
      </c>
      <c r="H480" s="3"/>
    </row>
    <row r="481" spans="1:8" x14ac:dyDescent="0.25">
      <c r="A481" s="20">
        <v>35855</v>
      </c>
      <c r="B481" s="21">
        <v>7</v>
      </c>
      <c r="C481" s="21">
        <v>8.1999999999999993</v>
      </c>
      <c r="D481" s="21">
        <v>6.74</v>
      </c>
      <c r="E481" s="21"/>
      <c r="F481" s="21"/>
      <c r="G481" s="21">
        <v>6.81</v>
      </c>
      <c r="H481" s="3"/>
    </row>
    <row r="482" spans="1:8" x14ac:dyDescent="0.25">
      <c r="A482" s="20">
        <v>35886</v>
      </c>
      <c r="B482" s="21">
        <v>7</v>
      </c>
      <c r="C482" s="21">
        <v>7.95</v>
      </c>
      <c r="D482" s="21">
        <v>6.74</v>
      </c>
      <c r="E482" s="21"/>
      <c r="F482" s="21"/>
      <c r="G482" s="21">
        <v>6.77</v>
      </c>
      <c r="H482" s="3"/>
    </row>
    <row r="483" spans="1:8" x14ac:dyDescent="0.25">
      <c r="A483" s="20">
        <v>35916</v>
      </c>
      <c r="B483" s="21">
        <v>6.89</v>
      </c>
      <c r="C483" s="21">
        <v>7.95</v>
      </c>
      <c r="D483" s="21">
        <v>6.74</v>
      </c>
      <c r="E483" s="21"/>
      <c r="F483" s="21"/>
      <c r="G483" s="21">
        <v>6.73</v>
      </c>
      <c r="H483" s="3"/>
    </row>
    <row r="484" spans="1:8" x14ac:dyDescent="0.25">
      <c r="A484" s="20">
        <v>35947</v>
      </c>
      <c r="B484" s="21">
        <v>6.89</v>
      </c>
      <c r="C484" s="21">
        <v>7.95</v>
      </c>
      <c r="D484" s="21">
        <v>6.74</v>
      </c>
      <c r="E484" s="21"/>
      <c r="F484" s="21"/>
      <c r="G484" s="21">
        <v>6.85</v>
      </c>
      <c r="H484" s="3"/>
    </row>
    <row r="485" spans="1:8" x14ac:dyDescent="0.25">
      <c r="A485" s="20">
        <v>35977</v>
      </c>
      <c r="B485" s="21">
        <v>6.89</v>
      </c>
      <c r="C485" s="21">
        <v>7.95</v>
      </c>
      <c r="D485" s="21">
        <v>6.74</v>
      </c>
      <c r="E485" s="21"/>
      <c r="F485" s="21"/>
      <c r="G485" s="21">
        <v>6.85</v>
      </c>
      <c r="H485" s="3"/>
    </row>
    <row r="486" spans="1:8" x14ac:dyDescent="0.25">
      <c r="A486" s="20">
        <v>36008</v>
      </c>
      <c r="B486" s="21">
        <v>6.89</v>
      </c>
      <c r="C486" s="21">
        <v>7.95</v>
      </c>
      <c r="D486" s="21">
        <v>6.74</v>
      </c>
      <c r="E486" s="21"/>
      <c r="F486" s="21"/>
      <c r="G486" s="21">
        <v>6.83</v>
      </c>
      <c r="H486" s="3"/>
    </row>
    <row r="487" spans="1:8" x14ac:dyDescent="0.25">
      <c r="A487" s="20">
        <v>36039</v>
      </c>
      <c r="B487" s="21">
        <v>6.89</v>
      </c>
      <c r="C487" s="21">
        <v>7.95</v>
      </c>
      <c r="D487" s="21">
        <v>6.74</v>
      </c>
      <c r="E487" s="21"/>
      <c r="F487" s="21"/>
      <c r="G487" s="21">
        <v>6.64</v>
      </c>
      <c r="H487" s="3"/>
    </row>
    <row r="488" spans="1:8" x14ac:dyDescent="0.25">
      <c r="A488" s="20">
        <v>36069</v>
      </c>
      <c r="B488" s="21">
        <v>6.89</v>
      </c>
      <c r="C488" s="21">
        <v>7.95</v>
      </c>
      <c r="D488" s="21">
        <v>6.74</v>
      </c>
      <c r="E488" s="21"/>
      <c r="F488" s="21"/>
      <c r="G488" s="21">
        <v>6.48</v>
      </c>
      <c r="H488" s="3"/>
    </row>
    <row r="489" spans="1:8" x14ac:dyDescent="0.25">
      <c r="A489" s="20">
        <v>36100</v>
      </c>
      <c r="B489" s="21">
        <v>6.89</v>
      </c>
      <c r="C489" s="21">
        <v>7.95</v>
      </c>
      <c r="D489" s="21">
        <v>6.74</v>
      </c>
      <c r="E489" s="21"/>
      <c r="F489" s="21"/>
      <c r="G489" s="21">
        <v>6.48</v>
      </c>
      <c r="H489" s="3"/>
    </row>
    <row r="490" spans="1:8" x14ac:dyDescent="0.25">
      <c r="A490" s="20">
        <v>36130</v>
      </c>
      <c r="B490" s="21">
        <v>6.71</v>
      </c>
      <c r="C490" s="21">
        <v>7.77</v>
      </c>
      <c r="D490" s="21">
        <v>6.52</v>
      </c>
      <c r="E490" s="21"/>
      <c r="F490" s="21"/>
      <c r="G490" s="21">
        <v>6.44</v>
      </c>
      <c r="H490" s="3"/>
    </row>
    <row r="491" spans="1:8" x14ac:dyDescent="0.25">
      <c r="A491" s="20">
        <v>36161</v>
      </c>
      <c r="B491" s="21">
        <v>6.63</v>
      </c>
      <c r="C491" s="21">
        <v>7.77</v>
      </c>
      <c r="D491" s="21">
        <v>6.52</v>
      </c>
      <c r="E491" s="21"/>
      <c r="F491" s="21"/>
      <c r="G491" s="21">
        <v>6.44</v>
      </c>
      <c r="H491" s="3"/>
    </row>
    <row r="492" spans="1:8" x14ac:dyDescent="0.25">
      <c r="A492" s="20">
        <v>36192</v>
      </c>
      <c r="B492" s="21">
        <v>6.63</v>
      </c>
      <c r="C492" s="21">
        <v>7.77</v>
      </c>
      <c r="D492" s="21">
        <v>6.52</v>
      </c>
      <c r="E492" s="21"/>
      <c r="F492" s="21"/>
      <c r="G492" s="21">
        <v>6.4</v>
      </c>
      <c r="H492" s="3"/>
    </row>
    <row r="493" spans="1:8" x14ac:dyDescent="0.25">
      <c r="A493" s="20">
        <v>36220</v>
      </c>
      <c r="B493" s="21">
        <v>6.63</v>
      </c>
      <c r="C493" s="21">
        <v>7.77</v>
      </c>
      <c r="D493" s="21">
        <v>6.52</v>
      </c>
      <c r="E493" s="21"/>
      <c r="F493" s="21"/>
      <c r="G493" s="21">
        <v>6.63</v>
      </c>
      <c r="H493" s="3"/>
    </row>
    <row r="494" spans="1:8" x14ac:dyDescent="0.25">
      <c r="A494" s="20">
        <v>36251</v>
      </c>
      <c r="B494" s="21">
        <v>6.63</v>
      </c>
      <c r="C494" s="21">
        <v>7.7</v>
      </c>
      <c r="D494" s="21">
        <v>6.52</v>
      </c>
      <c r="E494" s="21"/>
      <c r="F494" s="21"/>
      <c r="G494" s="21">
        <v>6.64</v>
      </c>
      <c r="H494" s="3"/>
    </row>
    <row r="495" spans="1:8" x14ac:dyDescent="0.25">
      <c r="A495" s="20">
        <v>36281</v>
      </c>
      <c r="B495" s="21">
        <v>6.63</v>
      </c>
      <c r="C495" s="21">
        <v>7.7</v>
      </c>
      <c r="D495" s="21">
        <v>6.52</v>
      </c>
      <c r="E495" s="21"/>
      <c r="F495" s="21"/>
      <c r="G495" s="21">
        <v>6.76</v>
      </c>
      <c r="H495" s="3"/>
    </row>
    <row r="496" spans="1:8" x14ac:dyDescent="0.25">
      <c r="A496" s="20">
        <v>36312</v>
      </c>
      <c r="B496" s="21">
        <v>6.63</v>
      </c>
      <c r="C496" s="21">
        <v>7.7</v>
      </c>
      <c r="D496" s="21">
        <v>6.52</v>
      </c>
      <c r="E496" s="21"/>
      <c r="F496" s="21"/>
      <c r="G496" s="21">
        <v>6.98</v>
      </c>
      <c r="H496" s="3"/>
    </row>
    <row r="497" spans="1:8" x14ac:dyDescent="0.25">
      <c r="A497" s="20">
        <v>36342</v>
      </c>
      <c r="B497" s="21">
        <v>6.63</v>
      </c>
      <c r="C497" s="21">
        <v>7.7</v>
      </c>
      <c r="D497" s="21">
        <v>6.55</v>
      </c>
      <c r="E497" s="21"/>
      <c r="F497" s="21"/>
      <c r="G497" s="21">
        <v>6.94</v>
      </c>
      <c r="H497" s="3"/>
    </row>
    <row r="498" spans="1:8" x14ac:dyDescent="0.25">
      <c r="A498" s="20">
        <v>36373</v>
      </c>
      <c r="B498" s="21">
        <v>6.63</v>
      </c>
      <c r="C498" s="21">
        <v>7.7</v>
      </c>
      <c r="D498" s="21">
        <v>6.55</v>
      </c>
      <c r="E498" s="21"/>
      <c r="F498" s="21"/>
      <c r="G498" s="21">
        <v>7.15</v>
      </c>
      <c r="H498" s="3"/>
    </row>
    <row r="499" spans="1:8" x14ac:dyDescent="0.25">
      <c r="A499" s="20">
        <v>36404</v>
      </c>
      <c r="B499" s="21">
        <v>6.63</v>
      </c>
      <c r="C499" s="21">
        <v>7.7</v>
      </c>
      <c r="D499" s="21">
        <v>6.55</v>
      </c>
      <c r="E499" s="21"/>
      <c r="F499" s="21"/>
      <c r="G499" s="21">
        <v>7.3</v>
      </c>
      <c r="H499" s="3"/>
    </row>
    <row r="500" spans="1:8" x14ac:dyDescent="0.25">
      <c r="A500" s="20">
        <v>36434</v>
      </c>
      <c r="B500" s="21">
        <v>6.63</v>
      </c>
      <c r="C500" s="21">
        <v>7.7</v>
      </c>
      <c r="D500" s="21">
        <v>6.55</v>
      </c>
      <c r="E500" s="21"/>
      <c r="F500" s="21"/>
      <c r="G500" s="21">
        <v>7.5</v>
      </c>
      <c r="H500" s="3"/>
    </row>
    <row r="501" spans="1:8" x14ac:dyDescent="0.25">
      <c r="A501" s="20">
        <v>36465</v>
      </c>
      <c r="B501" s="21">
        <v>6.81</v>
      </c>
      <c r="C501" s="21">
        <v>7.89</v>
      </c>
      <c r="D501" s="21">
        <v>6.75</v>
      </c>
      <c r="E501" s="21"/>
      <c r="F501" s="21"/>
      <c r="G501" s="21">
        <v>7.53</v>
      </c>
      <c r="H501" s="3"/>
    </row>
    <row r="502" spans="1:8" x14ac:dyDescent="0.25">
      <c r="A502" s="20">
        <v>36495</v>
      </c>
      <c r="B502" s="21">
        <v>6.87</v>
      </c>
      <c r="C502" s="21">
        <v>7.95</v>
      </c>
      <c r="D502" s="21">
        <v>6.8</v>
      </c>
      <c r="E502" s="21"/>
      <c r="F502" s="21"/>
      <c r="G502" s="21">
        <v>7.44</v>
      </c>
      <c r="H502" s="3"/>
    </row>
    <row r="503" spans="1:8" x14ac:dyDescent="0.25">
      <c r="A503" s="20">
        <v>36526</v>
      </c>
      <c r="B503" s="21">
        <v>6.87</v>
      </c>
      <c r="C503" s="21">
        <v>8.01</v>
      </c>
      <c r="D503" s="21">
        <v>6.8</v>
      </c>
      <c r="E503" s="21"/>
      <c r="F503" s="21"/>
      <c r="G503" s="21">
        <v>7.72</v>
      </c>
      <c r="H503" s="3"/>
    </row>
    <row r="504" spans="1:8" x14ac:dyDescent="0.25">
      <c r="A504" s="20">
        <v>36557</v>
      </c>
      <c r="B504" s="21">
        <v>7.38</v>
      </c>
      <c r="C504" s="21">
        <v>8.51</v>
      </c>
      <c r="D504" s="21">
        <v>7.3</v>
      </c>
      <c r="E504" s="21"/>
      <c r="F504" s="21"/>
      <c r="G504" s="21">
        <v>7.96</v>
      </c>
      <c r="H504" s="3"/>
    </row>
    <row r="505" spans="1:8" x14ac:dyDescent="0.25">
      <c r="A505" s="20">
        <v>36586</v>
      </c>
      <c r="B505" s="21">
        <v>7.4</v>
      </c>
      <c r="C505" s="21">
        <v>8.5299999999999994</v>
      </c>
      <c r="D505" s="21">
        <v>7.3</v>
      </c>
      <c r="E505" s="21"/>
      <c r="F505" s="21"/>
      <c r="G505" s="21">
        <v>7.88</v>
      </c>
      <c r="H505" s="3"/>
    </row>
    <row r="506" spans="1:8" x14ac:dyDescent="0.25">
      <c r="A506" s="20">
        <v>36617</v>
      </c>
      <c r="B506" s="21">
        <v>7.65</v>
      </c>
      <c r="C506" s="21">
        <v>8.7799999999999994</v>
      </c>
      <c r="D506" s="21">
        <v>7.55</v>
      </c>
      <c r="E506" s="21"/>
      <c r="F506" s="21"/>
      <c r="G506" s="21">
        <v>7.86</v>
      </c>
      <c r="H506" s="3"/>
    </row>
    <row r="507" spans="1:8" x14ac:dyDescent="0.25">
      <c r="A507" s="20">
        <v>36647</v>
      </c>
      <c r="B507" s="21">
        <v>7.9</v>
      </c>
      <c r="C507" s="21">
        <v>9.09</v>
      </c>
      <c r="D507" s="21">
        <v>7.8</v>
      </c>
      <c r="E507" s="21"/>
      <c r="F507" s="21"/>
      <c r="G507" s="21">
        <v>7.9</v>
      </c>
      <c r="H507" s="3"/>
    </row>
    <row r="508" spans="1:8" x14ac:dyDescent="0.25">
      <c r="A508" s="20">
        <v>36678</v>
      </c>
      <c r="B508" s="21">
        <v>7.9</v>
      </c>
      <c r="C508" s="21">
        <v>9.09</v>
      </c>
      <c r="D508" s="21">
        <v>7.8</v>
      </c>
      <c r="E508" s="21"/>
      <c r="F508" s="21"/>
      <c r="G508" s="21">
        <v>7.75</v>
      </c>
      <c r="H508" s="3"/>
    </row>
    <row r="509" spans="1:8" x14ac:dyDescent="0.25">
      <c r="A509" s="20">
        <v>36708</v>
      </c>
      <c r="B509" s="21">
        <v>7.93</v>
      </c>
      <c r="C509" s="21">
        <v>9.14</v>
      </c>
      <c r="D509" s="21">
        <v>7.81</v>
      </c>
      <c r="E509" s="21"/>
      <c r="F509" s="21"/>
      <c r="G509" s="21">
        <v>7.62</v>
      </c>
      <c r="H509" s="3"/>
    </row>
    <row r="510" spans="1:8" x14ac:dyDescent="0.25">
      <c r="A510" s="20">
        <v>36739</v>
      </c>
      <c r="B510" s="21">
        <v>8.1999999999999993</v>
      </c>
      <c r="C510" s="21">
        <v>9.41</v>
      </c>
      <c r="D510" s="21">
        <v>8.07</v>
      </c>
      <c r="E510" s="21"/>
      <c r="F510" s="21"/>
      <c r="G510" s="21">
        <v>7.71</v>
      </c>
      <c r="H510" s="3"/>
    </row>
    <row r="511" spans="1:8" x14ac:dyDescent="0.25">
      <c r="A511" s="20">
        <v>36770</v>
      </c>
      <c r="B511" s="21">
        <v>8.1999999999999993</v>
      </c>
      <c r="C511" s="21">
        <v>9.43</v>
      </c>
      <c r="D511" s="21">
        <v>8.07</v>
      </c>
      <c r="E511" s="21"/>
      <c r="F511" s="21"/>
      <c r="G511" s="21">
        <v>7.72</v>
      </c>
      <c r="H511" s="3"/>
    </row>
    <row r="512" spans="1:8" x14ac:dyDescent="0.25">
      <c r="A512" s="20">
        <v>36800</v>
      </c>
      <c r="B512" s="21">
        <v>8.1999999999999993</v>
      </c>
      <c r="C512" s="21">
        <v>9.43</v>
      </c>
      <c r="D512" s="21">
        <v>8.07</v>
      </c>
      <c r="E512" s="21"/>
      <c r="F512" s="21"/>
      <c r="G512" s="21">
        <v>7.7</v>
      </c>
      <c r="H512" s="3"/>
    </row>
    <row r="513" spans="1:8" x14ac:dyDescent="0.25">
      <c r="A513" s="20">
        <v>36831</v>
      </c>
      <c r="B513" s="21">
        <v>8.1999999999999993</v>
      </c>
      <c r="C513" s="21">
        <v>9.43</v>
      </c>
      <c r="D513" s="21">
        <v>8.07</v>
      </c>
      <c r="E513" s="21"/>
      <c r="F513" s="21"/>
      <c r="G513" s="21">
        <v>7.65</v>
      </c>
      <c r="H513" s="3"/>
    </row>
    <row r="514" spans="1:8" x14ac:dyDescent="0.25">
      <c r="A514" s="20">
        <v>36861</v>
      </c>
      <c r="B514" s="21">
        <v>8.1999999999999993</v>
      </c>
      <c r="C514" s="21">
        <v>9.43</v>
      </c>
      <c r="D514" s="21">
        <v>8.07</v>
      </c>
      <c r="E514" s="21"/>
      <c r="F514" s="21"/>
      <c r="G514" s="21">
        <v>7.25</v>
      </c>
      <c r="H514" s="3"/>
    </row>
    <row r="515" spans="1:8" x14ac:dyDescent="0.25">
      <c r="A515" s="20">
        <v>36892</v>
      </c>
      <c r="B515" s="21">
        <v>8.1999999999999993</v>
      </c>
      <c r="C515" s="21">
        <v>9.43</v>
      </c>
      <c r="D515" s="21">
        <v>8.07</v>
      </c>
      <c r="E515" s="21"/>
      <c r="F515" s="21"/>
      <c r="G515" s="21">
        <v>6.93</v>
      </c>
      <c r="H515" s="3"/>
    </row>
    <row r="516" spans="1:8" x14ac:dyDescent="0.25">
      <c r="A516" s="20">
        <v>36923</v>
      </c>
      <c r="B516" s="21">
        <v>7.85</v>
      </c>
      <c r="C516" s="21">
        <v>9.18</v>
      </c>
      <c r="D516" s="21">
        <v>7.57</v>
      </c>
      <c r="E516" s="21"/>
      <c r="F516" s="21"/>
      <c r="G516" s="21">
        <v>6.7</v>
      </c>
      <c r="H516" s="3"/>
    </row>
    <row r="517" spans="1:8" x14ac:dyDescent="0.25">
      <c r="A517" s="20">
        <v>36951</v>
      </c>
      <c r="B517" s="21">
        <v>7.51</v>
      </c>
      <c r="C517" s="21">
        <v>8.7200000000000006</v>
      </c>
      <c r="D517" s="21">
        <v>7.32</v>
      </c>
      <c r="E517" s="21"/>
      <c r="F517" s="21"/>
      <c r="G517" s="21">
        <v>6.39</v>
      </c>
      <c r="H517" s="3"/>
    </row>
    <row r="518" spans="1:8" x14ac:dyDescent="0.25">
      <c r="A518" s="20">
        <v>36982</v>
      </c>
      <c r="B518" s="21">
        <v>7.14</v>
      </c>
      <c r="C518" s="21">
        <v>8.4700000000000006</v>
      </c>
      <c r="D518" s="21">
        <v>6.82</v>
      </c>
      <c r="E518" s="21"/>
      <c r="F518" s="21"/>
      <c r="G518" s="21">
        <v>6.37</v>
      </c>
      <c r="H518" s="3"/>
    </row>
    <row r="519" spans="1:8" x14ac:dyDescent="0.25">
      <c r="A519" s="20">
        <v>37012</v>
      </c>
      <c r="B519" s="21">
        <v>7.01</v>
      </c>
      <c r="C519" s="21">
        <v>8.2200000000000006</v>
      </c>
      <c r="D519" s="21">
        <v>6.82</v>
      </c>
      <c r="E519" s="21"/>
      <c r="F519" s="21"/>
      <c r="G519" s="21">
        <v>6.49</v>
      </c>
      <c r="H519" s="3"/>
    </row>
    <row r="520" spans="1:8" x14ac:dyDescent="0.25">
      <c r="A520" s="20">
        <v>37043</v>
      </c>
      <c r="B520" s="21">
        <v>7.01</v>
      </c>
      <c r="C520" s="21">
        <v>8.2200000000000006</v>
      </c>
      <c r="D520" s="21">
        <v>6.82</v>
      </c>
      <c r="E520" s="21"/>
      <c r="F520" s="21"/>
      <c r="G520" s="21">
        <v>6.57</v>
      </c>
      <c r="H520" s="3"/>
    </row>
    <row r="521" spans="1:8" x14ac:dyDescent="0.25">
      <c r="A521" s="20">
        <v>37073</v>
      </c>
      <c r="B521" s="21">
        <v>7.01</v>
      </c>
      <c r="C521" s="21">
        <v>8.2200000000000006</v>
      </c>
      <c r="D521" s="21">
        <v>6.82</v>
      </c>
      <c r="E521" s="21"/>
      <c r="F521" s="21"/>
      <c r="G521" s="21">
        <v>6.8</v>
      </c>
      <c r="H521" s="3"/>
    </row>
    <row r="522" spans="1:8" x14ac:dyDescent="0.25">
      <c r="A522" s="20">
        <v>37104</v>
      </c>
      <c r="B522" s="21">
        <v>7.01</v>
      </c>
      <c r="C522" s="21">
        <v>8.2200000000000006</v>
      </c>
      <c r="D522" s="21">
        <v>6.82</v>
      </c>
      <c r="E522" s="21"/>
      <c r="F522" s="21"/>
      <c r="G522" s="21">
        <v>6.78</v>
      </c>
      <c r="H522" s="3"/>
    </row>
    <row r="523" spans="1:8" x14ac:dyDescent="0.25">
      <c r="A523" s="20">
        <v>37135</v>
      </c>
      <c r="B523" s="21">
        <v>6.72</v>
      </c>
      <c r="C523" s="21">
        <v>8.0299999999999994</v>
      </c>
      <c r="D523" s="21">
        <v>6.57</v>
      </c>
      <c r="E523" s="21"/>
      <c r="F523" s="21"/>
      <c r="G523" s="21">
        <v>6.65</v>
      </c>
      <c r="H523" s="3"/>
    </row>
    <row r="524" spans="1:8" x14ac:dyDescent="0.25">
      <c r="A524" s="20">
        <v>37165</v>
      </c>
      <c r="B524" s="21">
        <v>6.47</v>
      </c>
      <c r="C524" s="21">
        <v>7.91</v>
      </c>
      <c r="D524" s="21">
        <v>6.32</v>
      </c>
      <c r="E524" s="21"/>
      <c r="F524" s="21"/>
      <c r="G524" s="21">
        <v>6.31</v>
      </c>
      <c r="H524" s="3"/>
    </row>
    <row r="525" spans="1:8" x14ac:dyDescent="0.25">
      <c r="A525" s="20">
        <v>37196</v>
      </c>
      <c r="B525" s="21">
        <v>6.47</v>
      </c>
      <c r="C525" s="21">
        <v>7.84</v>
      </c>
      <c r="D525" s="21">
        <v>6.32</v>
      </c>
      <c r="E525" s="21"/>
      <c r="F525" s="21"/>
      <c r="G525" s="21">
        <v>5.94</v>
      </c>
      <c r="H525" s="3"/>
    </row>
    <row r="526" spans="1:8" x14ac:dyDescent="0.25">
      <c r="A526" s="20">
        <v>37226</v>
      </c>
      <c r="B526" s="21">
        <v>6.29</v>
      </c>
      <c r="C526" s="21">
        <v>7.78</v>
      </c>
      <c r="D526" s="21">
        <v>6.07</v>
      </c>
      <c r="E526" s="21"/>
      <c r="F526" s="21"/>
      <c r="G526" s="21">
        <v>5.98</v>
      </c>
      <c r="H526" s="3"/>
    </row>
    <row r="527" spans="1:8" x14ac:dyDescent="0.25">
      <c r="A527" s="20">
        <v>37257</v>
      </c>
      <c r="B527" s="21">
        <v>6.29</v>
      </c>
      <c r="C527" s="21">
        <v>7.72</v>
      </c>
      <c r="D527" s="21">
        <v>6.07</v>
      </c>
      <c r="E527" s="21"/>
      <c r="F527" s="21"/>
      <c r="G527" s="21">
        <v>6.31</v>
      </c>
      <c r="H527" s="3"/>
    </row>
    <row r="528" spans="1:8" x14ac:dyDescent="0.25">
      <c r="A528" s="20">
        <v>37288</v>
      </c>
      <c r="B528" s="21">
        <v>6.24</v>
      </c>
      <c r="C528" s="21">
        <v>7.72</v>
      </c>
      <c r="D528" s="21">
        <v>6.07</v>
      </c>
      <c r="E528" s="21"/>
      <c r="F528" s="21"/>
      <c r="G528" s="21">
        <v>6.38</v>
      </c>
      <c r="H528" s="3"/>
    </row>
    <row r="529" spans="1:8" x14ac:dyDescent="0.25">
      <c r="A529" s="20">
        <v>37316</v>
      </c>
      <c r="B529" s="21">
        <v>6.24</v>
      </c>
      <c r="C529" s="21">
        <v>7.72</v>
      </c>
      <c r="D529" s="21">
        <v>6.07</v>
      </c>
      <c r="E529" s="21"/>
      <c r="F529" s="21"/>
      <c r="G529" s="21">
        <v>6.62</v>
      </c>
      <c r="H529" s="3"/>
    </row>
    <row r="530" spans="1:8" x14ac:dyDescent="0.25">
      <c r="A530" s="20">
        <v>37347</v>
      </c>
      <c r="B530" s="21">
        <v>6.24</v>
      </c>
      <c r="C530" s="21">
        <v>7.72</v>
      </c>
      <c r="D530" s="21">
        <v>6.07</v>
      </c>
      <c r="E530" s="21"/>
      <c r="F530" s="21"/>
      <c r="G530" s="21">
        <v>6.85</v>
      </c>
      <c r="H530" s="3"/>
    </row>
    <row r="531" spans="1:8" x14ac:dyDescent="0.25">
      <c r="A531" s="20">
        <v>37377</v>
      </c>
      <c r="B531" s="21">
        <v>6.49</v>
      </c>
      <c r="C531" s="21">
        <v>7.97</v>
      </c>
      <c r="D531" s="21">
        <v>6.32</v>
      </c>
      <c r="E531" s="21"/>
      <c r="F531" s="21"/>
      <c r="G531" s="21">
        <v>6.79</v>
      </c>
      <c r="H531" s="3"/>
    </row>
    <row r="532" spans="1:8" x14ac:dyDescent="0.25">
      <c r="A532" s="20">
        <v>37408</v>
      </c>
      <c r="B532" s="21">
        <v>6.74</v>
      </c>
      <c r="C532" s="21">
        <v>8.2200000000000006</v>
      </c>
      <c r="D532" s="21">
        <v>6.57</v>
      </c>
      <c r="E532" s="21"/>
      <c r="F532" s="21"/>
      <c r="G532" s="21">
        <v>6.91</v>
      </c>
      <c r="H532" s="3"/>
    </row>
    <row r="533" spans="1:8" x14ac:dyDescent="0.25">
      <c r="A533" s="20">
        <v>37438</v>
      </c>
      <c r="B533" s="21">
        <v>6.74</v>
      </c>
      <c r="C533" s="21">
        <v>8.2200000000000006</v>
      </c>
      <c r="D533" s="21">
        <v>6.57</v>
      </c>
      <c r="E533" s="21"/>
      <c r="F533" s="21"/>
      <c r="G533" s="21">
        <v>6.75</v>
      </c>
      <c r="H533" s="3"/>
    </row>
    <row r="534" spans="1:8" x14ac:dyDescent="0.25">
      <c r="A534" s="20">
        <v>37469</v>
      </c>
      <c r="B534" s="21">
        <v>6.74</v>
      </c>
      <c r="C534" s="21">
        <v>8.2200000000000006</v>
      </c>
      <c r="D534" s="21">
        <v>6.57</v>
      </c>
      <c r="E534" s="21"/>
      <c r="F534" s="21"/>
      <c r="G534" s="21">
        <v>6.57</v>
      </c>
      <c r="H534" s="3"/>
    </row>
    <row r="535" spans="1:8" x14ac:dyDescent="0.25">
      <c r="A535" s="20">
        <v>37500</v>
      </c>
      <c r="B535" s="21">
        <v>6.74</v>
      </c>
      <c r="C535" s="21">
        <v>8.2200000000000006</v>
      </c>
      <c r="D535" s="21">
        <v>6.57</v>
      </c>
      <c r="E535" s="21"/>
      <c r="F535" s="21"/>
      <c r="G535" s="21">
        <v>6.41</v>
      </c>
      <c r="H535" s="3"/>
    </row>
    <row r="536" spans="1:8" x14ac:dyDescent="0.25">
      <c r="A536" s="20">
        <v>37530</v>
      </c>
      <c r="B536" s="21">
        <v>6.74</v>
      </c>
      <c r="C536" s="21">
        <v>8.2200000000000006</v>
      </c>
      <c r="D536" s="21">
        <v>6.57</v>
      </c>
      <c r="E536" s="21"/>
      <c r="F536" s="21"/>
      <c r="G536" s="21">
        <v>6.39</v>
      </c>
      <c r="H536" s="3"/>
    </row>
    <row r="537" spans="1:8" x14ac:dyDescent="0.25">
      <c r="A537" s="20">
        <v>37561</v>
      </c>
      <c r="B537" s="21">
        <v>6.74</v>
      </c>
      <c r="C537" s="21">
        <v>8.2200000000000006</v>
      </c>
      <c r="D537" s="21">
        <v>6.57</v>
      </c>
      <c r="E537" s="21"/>
      <c r="F537" s="21"/>
      <c r="G537" s="21">
        <v>6.39</v>
      </c>
      <c r="H537" s="3"/>
    </row>
    <row r="538" spans="1:8" x14ac:dyDescent="0.25">
      <c r="A538" s="20">
        <v>37591</v>
      </c>
      <c r="B538" s="21">
        <v>6.74</v>
      </c>
      <c r="C538" s="21">
        <v>8.2200000000000006</v>
      </c>
      <c r="D538" s="21">
        <v>6.57</v>
      </c>
      <c r="E538" s="21"/>
      <c r="F538" s="21"/>
      <c r="G538" s="21">
        <v>6.39</v>
      </c>
      <c r="H538" s="3"/>
    </row>
    <row r="539" spans="1:8" x14ac:dyDescent="0.25">
      <c r="A539" s="20">
        <v>37622</v>
      </c>
      <c r="B539" s="21">
        <v>6.74</v>
      </c>
      <c r="C539" s="21">
        <v>8.2200000000000006</v>
      </c>
      <c r="D539" s="21">
        <v>6.57</v>
      </c>
      <c r="E539" s="21"/>
      <c r="F539" s="21"/>
      <c r="G539" s="21">
        <v>6.37</v>
      </c>
      <c r="H539" s="3"/>
    </row>
    <row r="540" spans="1:8" x14ac:dyDescent="0.25">
      <c r="A540" s="20">
        <v>37653</v>
      </c>
      <c r="B540" s="21">
        <v>6.74</v>
      </c>
      <c r="C540" s="21">
        <v>8.2200000000000006</v>
      </c>
      <c r="D540" s="21">
        <v>6.57</v>
      </c>
      <c r="E540" s="21"/>
      <c r="F540" s="21"/>
      <c r="G540" s="21">
        <v>6.17</v>
      </c>
      <c r="H540" s="3"/>
    </row>
    <row r="541" spans="1:8" x14ac:dyDescent="0.25">
      <c r="A541" s="20">
        <v>37681</v>
      </c>
      <c r="B541" s="21">
        <v>6.74</v>
      </c>
      <c r="C541" s="21">
        <v>8.2200000000000006</v>
      </c>
      <c r="D541" s="21">
        <v>6.57</v>
      </c>
      <c r="E541" s="21"/>
      <c r="F541" s="21"/>
      <c r="G541" s="21">
        <v>6.09</v>
      </c>
      <c r="H541" s="3"/>
    </row>
    <row r="542" spans="1:8" x14ac:dyDescent="0.25">
      <c r="A542" s="20">
        <v>37712</v>
      </c>
      <c r="B542" s="21">
        <v>6.74</v>
      </c>
      <c r="C542" s="21">
        <v>8.2200000000000006</v>
      </c>
      <c r="D542" s="21">
        <v>6.57</v>
      </c>
      <c r="E542" s="21"/>
      <c r="F542" s="21"/>
      <c r="G542" s="21">
        <v>6.09</v>
      </c>
      <c r="H542" s="3"/>
    </row>
    <row r="543" spans="1:8" x14ac:dyDescent="0.25">
      <c r="A543" s="20">
        <v>37742</v>
      </c>
      <c r="B543" s="21">
        <v>6.77</v>
      </c>
      <c r="C543" s="21">
        <v>8.2200000000000006</v>
      </c>
      <c r="D543" s="21">
        <v>6.57</v>
      </c>
      <c r="E543" s="21"/>
      <c r="F543" s="21"/>
      <c r="G543" s="21">
        <v>6.09</v>
      </c>
      <c r="H543" s="3"/>
    </row>
    <row r="544" spans="1:8" x14ac:dyDescent="0.25">
      <c r="A544" s="20">
        <v>37773</v>
      </c>
      <c r="B544" s="21">
        <v>6.77</v>
      </c>
      <c r="C544" s="21">
        <v>8.2200000000000006</v>
      </c>
      <c r="D544" s="21">
        <v>6.57</v>
      </c>
      <c r="E544" s="21"/>
      <c r="F544" s="21"/>
      <c r="G544" s="21">
        <v>5.9</v>
      </c>
      <c r="H544" s="3"/>
    </row>
    <row r="545" spans="1:8" x14ac:dyDescent="0.25">
      <c r="A545" s="20">
        <v>37803</v>
      </c>
      <c r="B545" s="21">
        <v>6.77</v>
      </c>
      <c r="C545" s="21">
        <v>8.2200000000000006</v>
      </c>
      <c r="D545" s="21">
        <v>6.57</v>
      </c>
      <c r="E545" s="21"/>
      <c r="F545" s="21"/>
      <c r="G545" s="21">
        <v>5.94</v>
      </c>
      <c r="H545" s="3"/>
    </row>
    <row r="546" spans="1:8" x14ac:dyDescent="0.25">
      <c r="A546" s="20">
        <v>37834</v>
      </c>
      <c r="B546" s="21">
        <v>6.77</v>
      </c>
      <c r="C546" s="21">
        <v>8.2200000000000006</v>
      </c>
      <c r="D546" s="21">
        <v>6.57</v>
      </c>
      <c r="E546" s="21"/>
      <c r="F546" s="21"/>
      <c r="G546" s="21">
        <v>6.15</v>
      </c>
      <c r="H546" s="3"/>
    </row>
    <row r="547" spans="1:8" x14ac:dyDescent="0.25">
      <c r="A547" s="20">
        <v>37865</v>
      </c>
      <c r="B547" s="21">
        <v>6.77</v>
      </c>
      <c r="C547" s="21">
        <v>8.2200000000000006</v>
      </c>
      <c r="D547" s="21">
        <v>6.57</v>
      </c>
      <c r="E547" s="21"/>
      <c r="F547" s="21"/>
      <c r="G547" s="21">
        <v>6.39</v>
      </c>
      <c r="H547" s="3"/>
    </row>
    <row r="548" spans="1:8" x14ac:dyDescent="0.25">
      <c r="A548" s="20">
        <v>37895</v>
      </c>
      <c r="B548" s="21">
        <v>6.77</v>
      </c>
      <c r="C548" s="21">
        <v>8.2200000000000006</v>
      </c>
      <c r="D548" s="21">
        <v>6.57</v>
      </c>
      <c r="E548" s="21"/>
      <c r="F548" s="21"/>
      <c r="G548" s="21">
        <v>6.55</v>
      </c>
      <c r="H548" s="3"/>
    </row>
    <row r="549" spans="1:8" x14ac:dyDescent="0.25">
      <c r="A549" s="20">
        <v>37926</v>
      </c>
      <c r="B549" s="21">
        <v>7.02</v>
      </c>
      <c r="C549" s="21">
        <v>8.41</v>
      </c>
      <c r="D549" s="21">
        <v>6.82</v>
      </c>
      <c r="E549" s="21"/>
      <c r="F549" s="21"/>
      <c r="G549" s="21">
        <v>6.98</v>
      </c>
      <c r="H549" s="3"/>
    </row>
    <row r="550" spans="1:8" x14ac:dyDescent="0.25">
      <c r="A550" s="20">
        <v>37956</v>
      </c>
      <c r="B550" s="21">
        <v>7.27</v>
      </c>
      <c r="C550" s="21">
        <v>8.7200000000000006</v>
      </c>
      <c r="D550" s="21">
        <v>7.07</v>
      </c>
      <c r="E550" s="21"/>
      <c r="F550" s="21"/>
      <c r="G550" s="21">
        <v>7.15</v>
      </c>
      <c r="H550" s="3"/>
    </row>
    <row r="551" spans="1:8" x14ac:dyDescent="0.25">
      <c r="A551" s="20">
        <v>37987</v>
      </c>
      <c r="B551" s="21">
        <v>7.27</v>
      </c>
      <c r="C551" s="21">
        <v>8.7200000000000006</v>
      </c>
      <c r="D551" s="21">
        <v>7.07</v>
      </c>
      <c r="E551" s="21"/>
      <c r="F551" s="21"/>
      <c r="G551" s="21">
        <v>7.06</v>
      </c>
      <c r="H551" s="3"/>
    </row>
    <row r="552" spans="1:8" x14ac:dyDescent="0.25">
      <c r="A552" s="20">
        <v>38018</v>
      </c>
      <c r="B552" s="21">
        <v>7.27</v>
      </c>
      <c r="C552" s="21">
        <v>8.7200000000000006</v>
      </c>
      <c r="D552" s="21">
        <v>7.07</v>
      </c>
      <c r="E552" s="21"/>
      <c r="F552" s="21"/>
      <c r="G552" s="21">
        <v>6.98</v>
      </c>
      <c r="H552" s="3"/>
    </row>
    <row r="553" spans="1:8" x14ac:dyDescent="0.25">
      <c r="A553" s="20">
        <v>38047</v>
      </c>
      <c r="B553" s="21">
        <v>7.27</v>
      </c>
      <c r="C553" s="21">
        <v>8.7200000000000006</v>
      </c>
      <c r="D553" s="21">
        <v>7.07</v>
      </c>
      <c r="E553" s="21"/>
      <c r="F553" s="21"/>
      <c r="G553" s="21">
        <v>6.97</v>
      </c>
      <c r="H553" s="3"/>
    </row>
    <row r="554" spans="1:8" x14ac:dyDescent="0.25">
      <c r="A554" s="20">
        <v>38078</v>
      </c>
      <c r="B554" s="21">
        <v>7.27</v>
      </c>
      <c r="C554" s="21">
        <v>8.7200000000000006</v>
      </c>
      <c r="D554" s="21">
        <v>7.07</v>
      </c>
      <c r="E554" s="21"/>
      <c r="F554" s="21"/>
      <c r="G554" s="21">
        <v>6.97</v>
      </c>
      <c r="H554" s="3"/>
    </row>
    <row r="555" spans="1:8" x14ac:dyDescent="0.25">
      <c r="A555" s="20">
        <v>38108</v>
      </c>
      <c r="B555" s="21">
        <v>7.27</v>
      </c>
      <c r="C555" s="21">
        <v>8.7200000000000006</v>
      </c>
      <c r="D555" s="21">
        <v>7.07</v>
      </c>
      <c r="E555" s="21"/>
      <c r="F555" s="21"/>
      <c r="G555" s="21">
        <v>6.97</v>
      </c>
      <c r="H555" s="3"/>
    </row>
    <row r="556" spans="1:8" x14ac:dyDescent="0.25">
      <c r="A556" s="20">
        <v>38139</v>
      </c>
      <c r="B556" s="21">
        <v>7.27</v>
      </c>
      <c r="C556" s="21">
        <v>8.7200000000000006</v>
      </c>
      <c r="D556" s="21">
        <v>7.07</v>
      </c>
      <c r="E556" s="21">
        <v>6.59</v>
      </c>
      <c r="F556" s="21"/>
      <c r="G556" s="21">
        <v>6.95</v>
      </c>
      <c r="H556" s="3"/>
    </row>
    <row r="557" spans="1:8" x14ac:dyDescent="0.25">
      <c r="A557" s="20">
        <v>38169</v>
      </c>
      <c r="B557" s="21">
        <v>7.27</v>
      </c>
      <c r="C557" s="21">
        <v>8.7200000000000006</v>
      </c>
      <c r="D557" s="21">
        <v>7.07</v>
      </c>
      <c r="E557" s="21">
        <v>6.59</v>
      </c>
      <c r="F557" s="21"/>
      <c r="G557" s="21">
        <v>6.95</v>
      </c>
      <c r="H557" s="3"/>
    </row>
    <row r="558" spans="1:8" x14ac:dyDescent="0.25">
      <c r="A558" s="20">
        <v>38200</v>
      </c>
      <c r="B558" s="21">
        <v>7.27</v>
      </c>
      <c r="C558" s="21">
        <v>8.7200000000000006</v>
      </c>
      <c r="D558" s="21">
        <v>7.07</v>
      </c>
      <c r="E558" s="21">
        <v>6.59</v>
      </c>
      <c r="F558" s="21"/>
      <c r="G558" s="21">
        <v>6.95</v>
      </c>
      <c r="H558" s="3"/>
    </row>
    <row r="559" spans="1:8" x14ac:dyDescent="0.25">
      <c r="A559" s="20">
        <v>38231</v>
      </c>
      <c r="B559" s="21">
        <v>7.27</v>
      </c>
      <c r="C559" s="21">
        <v>8.7200000000000006</v>
      </c>
      <c r="D559" s="21">
        <v>7.07</v>
      </c>
      <c r="E559" s="21">
        <v>6.59</v>
      </c>
      <c r="F559" s="21"/>
      <c r="G559" s="21">
        <v>6.84</v>
      </c>
      <c r="H559" s="3"/>
    </row>
    <row r="560" spans="1:8" x14ac:dyDescent="0.25">
      <c r="A560" s="20">
        <v>38261</v>
      </c>
      <c r="B560" s="21">
        <v>7.27</v>
      </c>
      <c r="C560" s="21">
        <v>8.7200000000000006</v>
      </c>
      <c r="D560" s="21">
        <v>7.07</v>
      </c>
      <c r="E560" s="21">
        <v>6.59</v>
      </c>
      <c r="F560" s="21"/>
      <c r="G560" s="21">
        <v>6.68</v>
      </c>
      <c r="H560" s="3"/>
    </row>
    <row r="561" spans="1:8" x14ac:dyDescent="0.25">
      <c r="A561" s="20">
        <v>38292</v>
      </c>
      <c r="B561" s="21">
        <v>7.27</v>
      </c>
      <c r="C561" s="21">
        <v>8.7200000000000006</v>
      </c>
      <c r="D561" s="21">
        <v>7.07</v>
      </c>
      <c r="E561" s="21">
        <v>6.59</v>
      </c>
      <c r="F561" s="21"/>
      <c r="G561" s="21">
        <v>6.66</v>
      </c>
      <c r="H561" s="3"/>
    </row>
    <row r="562" spans="1:8" x14ac:dyDescent="0.25">
      <c r="A562" s="20">
        <v>38322</v>
      </c>
      <c r="B562" s="21">
        <v>7.27</v>
      </c>
      <c r="C562" s="21">
        <v>8.7200000000000006</v>
      </c>
      <c r="D562" s="21">
        <v>7.07</v>
      </c>
      <c r="E562" s="21">
        <v>6.59</v>
      </c>
      <c r="F562" s="21"/>
      <c r="G562" s="21">
        <v>6.6</v>
      </c>
      <c r="H562" s="3"/>
    </row>
    <row r="563" spans="1:8" x14ac:dyDescent="0.25">
      <c r="A563" s="20">
        <v>38353</v>
      </c>
      <c r="B563" s="21">
        <v>7.27</v>
      </c>
      <c r="C563" s="21">
        <v>8.7200000000000006</v>
      </c>
      <c r="D563" s="21">
        <v>7.07</v>
      </c>
      <c r="E563" s="21">
        <v>6.59</v>
      </c>
      <c r="F563" s="21"/>
      <c r="G563" s="21">
        <v>6.6</v>
      </c>
      <c r="H563" s="3"/>
    </row>
    <row r="564" spans="1:8" x14ac:dyDescent="0.25">
      <c r="A564" s="20">
        <v>38384</v>
      </c>
      <c r="B564" s="21">
        <v>7.27</v>
      </c>
      <c r="C564" s="21">
        <v>8.7200000000000006</v>
      </c>
      <c r="D564" s="21">
        <v>7.07</v>
      </c>
      <c r="E564" s="21">
        <v>6.59</v>
      </c>
      <c r="F564" s="21"/>
      <c r="G564" s="21">
        <v>6.75</v>
      </c>
      <c r="H564" s="3"/>
    </row>
    <row r="565" spans="1:8" x14ac:dyDescent="0.25">
      <c r="A565" s="20">
        <v>38412</v>
      </c>
      <c r="B565" s="21">
        <v>7.52</v>
      </c>
      <c r="C565" s="21">
        <v>8.9700000000000006</v>
      </c>
      <c r="D565" s="21">
        <v>7.32</v>
      </c>
      <c r="E565" s="21">
        <v>6.82</v>
      </c>
      <c r="F565" s="21"/>
      <c r="G565" s="21">
        <v>6.92</v>
      </c>
      <c r="H565" s="3"/>
    </row>
    <row r="566" spans="1:8" x14ac:dyDescent="0.25">
      <c r="A566" s="20">
        <v>38443</v>
      </c>
      <c r="B566" s="21">
        <v>7.52</v>
      </c>
      <c r="C566" s="21">
        <v>8.9700000000000006</v>
      </c>
      <c r="D566" s="21">
        <v>7.32</v>
      </c>
      <c r="E566" s="21">
        <v>6.82</v>
      </c>
      <c r="F566" s="21"/>
      <c r="G566" s="21">
        <v>6.92</v>
      </c>
      <c r="H566" s="3"/>
    </row>
    <row r="567" spans="1:8" x14ac:dyDescent="0.25">
      <c r="A567" s="20">
        <v>38473</v>
      </c>
      <c r="B567" s="21">
        <v>7.52</v>
      </c>
      <c r="C567" s="21">
        <v>8.9700000000000006</v>
      </c>
      <c r="D567" s="21">
        <v>7.32</v>
      </c>
      <c r="E567" s="21">
        <v>6.78</v>
      </c>
      <c r="F567" s="21"/>
      <c r="G567" s="21">
        <v>6.86</v>
      </c>
      <c r="H567" s="3"/>
    </row>
    <row r="568" spans="1:8" x14ac:dyDescent="0.25">
      <c r="A568" s="20">
        <v>38504</v>
      </c>
      <c r="B568" s="21">
        <v>7.52</v>
      </c>
      <c r="C568" s="21">
        <v>8.9700000000000006</v>
      </c>
      <c r="D568" s="21">
        <v>7.32</v>
      </c>
      <c r="E568" s="21">
        <v>6.78</v>
      </c>
      <c r="F568" s="21"/>
      <c r="G568" s="21">
        <v>6.86</v>
      </c>
      <c r="H568" s="3"/>
    </row>
    <row r="569" spans="1:8" x14ac:dyDescent="0.25">
      <c r="A569" s="20">
        <v>38534</v>
      </c>
      <c r="B569" s="21">
        <v>7.52</v>
      </c>
      <c r="C569" s="21">
        <v>8.9700000000000006</v>
      </c>
      <c r="D569" s="21">
        <v>7.32</v>
      </c>
      <c r="E569" s="21">
        <v>6.7</v>
      </c>
      <c r="F569" s="21"/>
      <c r="G569" s="21">
        <v>6.86</v>
      </c>
      <c r="H569" s="3"/>
    </row>
    <row r="570" spans="1:8" x14ac:dyDescent="0.25">
      <c r="A570" s="20">
        <v>38565</v>
      </c>
      <c r="B570" s="21">
        <v>7.52</v>
      </c>
      <c r="C570" s="21">
        <v>8.9700000000000006</v>
      </c>
      <c r="D570" s="21">
        <v>7.32</v>
      </c>
      <c r="E570" s="21">
        <v>6.7</v>
      </c>
      <c r="F570" s="21"/>
      <c r="G570" s="21">
        <v>6.86</v>
      </c>
      <c r="H570" s="3"/>
    </row>
    <row r="571" spans="1:8" x14ac:dyDescent="0.25">
      <c r="A571" s="20">
        <v>38596</v>
      </c>
      <c r="B571" s="21">
        <v>7.52</v>
      </c>
      <c r="C571" s="21">
        <v>8.9700000000000006</v>
      </c>
      <c r="D571" s="21">
        <v>7.32</v>
      </c>
      <c r="E571" s="21">
        <v>6.68</v>
      </c>
      <c r="F571" s="21"/>
      <c r="G571" s="21">
        <v>6.56</v>
      </c>
      <c r="H571" s="3"/>
    </row>
    <row r="572" spans="1:8" x14ac:dyDescent="0.25">
      <c r="A572" s="20">
        <v>38626</v>
      </c>
      <c r="B572" s="21">
        <v>7.52</v>
      </c>
      <c r="C572" s="21">
        <v>8.9700000000000006</v>
      </c>
      <c r="D572" s="21">
        <v>7.32</v>
      </c>
      <c r="E572" s="21">
        <v>6.72</v>
      </c>
      <c r="F572" s="21"/>
      <c r="G572" s="21">
        <v>6.56</v>
      </c>
      <c r="H572" s="3"/>
    </row>
    <row r="573" spans="1:8" x14ac:dyDescent="0.25">
      <c r="A573" s="20">
        <v>38657</v>
      </c>
      <c r="B573" s="21">
        <v>7.52</v>
      </c>
      <c r="C573" s="21">
        <v>8.9700000000000006</v>
      </c>
      <c r="D573" s="21">
        <v>7.32</v>
      </c>
      <c r="E573" s="21">
        <v>6.72</v>
      </c>
      <c r="F573" s="21"/>
      <c r="G573" s="21">
        <v>6.66</v>
      </c>
      <c r="H573" s="3"/>
    </row>
    <row r="574" spans="1:8" x14ac:dyDescent="0.25">
      <c r="A574" s="20">
        <v>38687</v>
      </c>
      <c r="B574" s="21">
        <v>7.52</v>
      </c>
      <c r="C574" s="21">
        <v>8.9700000000000006</v>
      </c>
      <c r="D574" s="21">
        <v>7.32</v>
      </c>
      <c r="E574" s="21">
        <v>6.72</v>
      </c>
      <c r="F574" s="21"/>
      <c r="G574" s="21">
        <v>6.72</v>
      </c>
      <c r="H574" s="3"/>
    </row>
    <row r="575" spans="1:8" x14ac:dyDescent="0.25">
      <c r="A575" s="20">
        <v>38718</v>
      </c>
      <c r="B575" s="21">
        <v>7.55</v>
      </c>
      <c r="C575" s="21">
        <v>8.9700000000000006</v>
      </c>
      <c r="D575" s="21">
        <v>7.32</v>
      </c>
      <c r="E575" s="21">
        <v>6.72</v>
      </c>
      <c r="F575" s="21"/>
      <c r="G575" s="21">
        <v>6.69</v>
      </c>
      <c r="H575" s="3"/>
    </row>
    <row r="576" spans="1:8" x14ac:dyDescent="0.25">
      <c r="A576" s="20">
        <v>38749</v>
      </c>
      <c r="B576" s="21">
        <v>7.55</v>
      </c>
      <c r="C576" s="21">
        <v>8.9700000000000006</v>
      </c>
      <c r="D576" s="21">
        <v>7.32</v>
      </c>
      <c r="E576" s="21">
        <v>6.64</v>
      </c>
      <c r="F576" s="21"/>
      <c r="G576" s="21">
        <v>6.69</v>
      </c>
      <c r="H576" s="3"/>
    </row>
    <row r="577" spans="1:8" x14ac:dyDescent="0.25">
      <c r="A577" s="20">
        <v>38777</v>
      </c>
      <c r="B577" s="21">
        <v>7.55</v>
      </c>
      <c r="C577" s="21">
        <v>8.9700000000000006</v>
      </c>
      <c r="D577" s="21">
        <v>7.32</v>
      </c>
      <c r="E577" s="21">
        <v>6.64</v>
      </c>
      <c r="F577" s="21"/>
      <c r="G577" s="21">
        <v>6.65</v>
      </c>
      <c r="H577" s="3"/>
    </row>
    <row r="578" spans="1:8" x14ac:dyDescent="0.25">
      <c r="A578" s="20">
        <v>38808</v>
      </c>
      <c r="B578" s="21">
        <v>7.55</v>
      </c>
      <c r="C578" s="21">
        <v>8.9700000000000006</v>
      </c>
      <c r="D578" s="21">
        <v>7.32</v>
      </c>
      <c r="E578" s="21">
        <v>6.68</v>
      </c>
      <c r="F578" s="21"/>
      <c r="G578" s="21">
        <v>6.83</v>
      </c>
      <c r="H578" s="3"/>
    </row>
    <row r="579" spans="1:8" x14ac:dyDescent="0.25">
      <c r="A579" s="20">
        <v>38838</v>
      </c>
      <c r="B579" s="21">
        <v>7.8</v>
      </c>
      <c r="C579" s="21">
        <v>9.2200000000000006</v>
      </c>
      <c r="D579" s="21">
        <v>7.57</v>
      </c>
      <c r="E579" s="21">
        <v>6.93</v>
      </c>
      <c r="F579" s="21"/>
      <c r="G579" s="21">
        <v>7.01</v>
      </c>
      <c r="H579" s="3"/>
    </row>
    <row r="580" spans="1:8" x14ac:dyDescent="0.25">
      <c r="A580" s="20">
        <v>38869</v>
      </c>
      <c r="B580" s="21">
        <v>7.8</v>
      </c>
      <c r="C580" s="21">
        <v>9.2200000000000006</v>
      </c>
      <c r="D580" s="21">
        <v>7.57</v>
      </c>
      <c r="E580" s="21">
        <v>6.93</v>
      </c>
      <c r="F580" s="21"/>
      <c r="G580" s="21">
        <v>7.05</v>
      </c>
      <c r="H580" s="3"/>
    </row>
    <row r="581" spans="1:8" x14ac:dyDescent="0.25">
      <c r="A581" s="20">
        <v>38899</v>
      </c>
      <c r="B581" s="21">
        <v>7.8</v>
      </c>
      <c r="C581" s="21">
        <v>9.2200000000000006</v>
      </c>
      <c r="D581" s="21">
        <v>7.57</v>
      </c>
      <c r="E581" s="21">
        <v>6.97</v>
      </c>
      <c r="F581" s="21"/>
      <c r="G581" s="21">
        <v>7.2</v>
      </c>
      <c r="H581" s="3"/>
    </row>
    <row r="582" spans="1:8" x14ac:dyDescent="0.25">
      <c r="A582" s="20">
        <v>38930</v>
      </c>
      <c r="B582" s="21">
        <v>8.0500000000000007</v>
      </c>
      <c r="C582" s="21">
        <v>9.4700000000000006</v>
      </c>
      <c r="D582" s="21">
        <v>7.82</v>
      </c>
      <c r="E582" s="21">
        <v>7.22</v>
      </c>
      <c r="F582" s="21"/>
      <c r="G582" s="21">
        <v>7.32</v>
      </c>
      <c r="H582" s="3"/>
    </row>
    <row r="583" spans="1:8" x14ac:dyDescent="0.25">
      <c r="A583" s="20">
        <v>38961</v>
      </c>
      <c r="B583" s="21">
        <v>8.0500000000000007</v>
      </c>
      <c r="C583" s="21">
        <v>9.4700000000000006</v>
      </c>
      <c r="D583" s="21">
        <v>7.82</v>
      </c>
      <c r="E583" s="21">
        <v>7.22</v>
      </c>
      <c r="F583" s="21"/>
      <c r="G583" s="21">
        <v>7.27</v>
      </c>
      <c r="H583" s="3"/>
    </row>
    <row r="584" spans="1:8" x14ac:dyDescent="0.25">
      <c r="A584" s="20">
        <v>38991</v>
      </c>
      <c r="B584" s="21">
        <v>8.0500000000000007</v>
      </c>
      <c r="C584" s="21">
        <v>9.4700000000000006</v>
      </c>
      <c r="D584" s="21">
        <v>7.82</v>
      </c>
      <c r="E584" s="21">
        <v>7.22</v>
      </c>
      <c r="F584" s="21"/>
      <c r="G584" s="21">
        <v>7.24</v>
      </c>
      <c r="H584" s="3"/>
    </row>
    <row r="585" spans="1:8" x14ac:dyDescent="0.25">
      <c r="A585" s="20">
        <v>39022</v>
      </c>
      <c r="B585" s="21">
        <v>8.3000000000000007</v>
      </c>
      <c r="C585" s="21">
        <v>9.7200000000000006</v>
      </c>
      <c r="D585" s="21">
        <v>8.07</v>
      </c>
      <c r="E585" s="21">
        <v>7.43</v>
      </c>
      <c r="F585" s="21"/>
      <c r="G585" s="21">
        <v>7.23</v>
      </c>
      <c r="H585" s="3"/>
    </row>
    <row r="586" spans="1:8" x14ac:dyDescent="0.25">
      <c r="A586" s="20">
        <v>39052</v>
      </c>
      <c r="B586" s="21">
        <v>8.3000000000000007</v>
      </c>
      <c r="C586" s="21">
        <v>9.7200000000000006</v>
      </c>
      <c r="D586" s="21">
        <v>8.07</v>
      </c>
      <c r="E586" s="21">
        <v>7.47</v>
      </c>
      <c r="F586" s="21"/>
      <c r="G586" s="21">
        <v>7.26</v>
      </c>
      <c r="H586" s="3"/>
    </row>
    <row r="587" spans="1:8" x14ac:dyDescent="0.25">
      <c r="A587" s="20">
        <v>39083</v>
      </c>
      <c r="B587" s="21">
        <v>8.3000000000000007</v>
      </c>
      <c r="C587" s="21">
        <v>9.7200000000000006</v>
      </c>
      <c r="D587" s="21">
        <v>8.07</v>
      </c>
      <c r="E587" s="21">
        <v>7.47</v>
      </c>
      <c r="F587" s="21"/>
      <c r="G587" s="21">
        <v>7.3</v>
      </c>
      <c r="H587" s="3"/>
    </row>
    <row r="588" spans="1:8" x14ac:dyDescent="0.25">
      <c r="A588" s="20">
        <v>39114</v>
      </c>
      <c r="B588" s="21">
        <v>8.3000000000000007</v>
      </c>
      <c r="C588" s="21">
        <v>9.7200000000000006</v>
      </c>
      <c r="D588" s="21">
        <v>8.07</v>
      </c>
      <c r="E588" s="21">
        <v>7.47</v>
      </c>
      <c r="F588" s="21"/>
      <c r="G588" s="21">
        <v>7.3</v>
      </c>
      <c r="H588" s="3"/>
    </row>
    <row r="589" spans="1:8" x14ac:dyDescent="0.25">
      <c r="A589" s="20">
        <v>39142</v>
      </c>
      <c r="B589" s="21">
        <v>8.3000000000000007</v>
      </c>
      <c r="C589" s="21">
        <v>9.7200000000000006</v>
      </c>
      <c r="D589" s="21">
        <v>8.07</v>
      </c>
      <c r="E589" s="21">
        <v>7.47</v>
      </c>
      <c r="F589" s="21"/>
      <c r="G589" s="21">
        <v>7.3</v>
      </c>
      <c r="H589" s="3"/>
    </row>
    <row r="590" spans="1:8" x14ac:dyDescent="0.25">
      <c r="A590" s="20">
        <v>39173</v>
      </c>
      <c r="B590" s="21">
        <v>8.3000000000000007</v>
      </c>
      <c r="C590" s="21">
        <v>9.7200000000000006</v>
      </c>
      <c r="D590" s="21">
        <v>8.07</v>
      </c>
      <c r="E590" s="21">
        <v>7.47</v>
      </c>
      <c r="F590" s="21"/>
      <c r="G590" s="21">
        <v>7.45</v>
      </c>
      <c r="H590" s="3"/>
    </row>
    <row r="591" spans="1:8" x14ac:dyDescent="0.25">
      <c r="A591" s="20">
        <v>39203</v>
      </c>
      <c r="B591" s="21">
        <v>8.3000000000000007</v>
      </c>
      <c r="C591" s="21">
        <v>9.7200000000000006</v>
      </c>
      <c r="D591" s="21">
        <v>8.07</v>
      </c>
      <c r="E591" s="21">
        <v>7.47</v>
      </c>
      <c r="F591" s="21"/>
      <c r="G591" s="21">
        <v>7.44</v>
      </c>
      <c r="H591" s="3"/>
    </row>
    <row r="592" spans="1:8" x14ac:dyDescent="0.25">
      <c r="A592" s="20">
        <v>39234</v>
      </c>
      <c r="B592" s="21">
        <v>8.3000000000000007</v>
      </c>
      <c r="C592" s="21">
        <v>9.7200000000000006</v>
      </c>
      <c r="D592" s="21">
        <v>8.07</v>
      </c>
      <c r="E592" s="21">
        <v>7.47</v>
      </c>
      <c r="F592" s="21"/>
      <c r="G592" s="21">
        <v>7.51</v>
      </c>
      <c r="H592" s="3"/>
    </row>
    <row r="593" spans="1:8" x14ac:dyDescent="0.25">
      <c r="A593" s="20">
        <v>39264</v>
      </c>
      <c r="B593" s="21">
        <v>8.3000000000000007</v>
      </c>
      <c r="C593" s="21">
        <v>9.7200000000000006</v>
      </c>
      <c r="D593" s="21">
        <v>8.07</v>
      </c>
      <c r="E593" s="21">
        <v>7.47</v>
      </c>
      <c r="F593" s="21"/>
      <c r="G593" s="21">
        <v>7.69</v>
      </c>
      <c r="H593" s="3"/>
    </row>
    <row r="594" spans="1:8" x14ac:dyDescent="0.25">
      <c r="A594" s="20">
        <v>39295</v>
      </c>
      <c r="B594" s="21">
        <v>8.5500000000000007</v>
      </c>
      <c r="C594" s="21">
        <v>9.9700000000000006</v>
      </c>
      <c r="D594" s="21">
        <v>8.32</v>
      </c>
      <c r="E594" s="21">
        <v>7.72</v>
      </c>
      <c r="F594" s="21"/>
      <c r="G594" s="21">
        <v>7.81</v>
      </c>
      <c r="H594" s="3"/>
    </row>
    <row r="595" spans="1:8" x14ac:dyDescent="0.25">
      <c r="A595" s="20">
        <v>39326</v>
      </c>
      <c r="B595" s="21">
        <v>8.5500000000000007</v>
      </c>
      <c r="C595" s="21">
        <v>9.9700000000000006</v>
      </c>
      <c r="D595" s="21">
        <v>8.32</v>
      </c>
      <c r="E595" s="21">
        <v>7.72</v>
      </c>
      <c r="F595" s="21"/>
      <c r="G595" s="21">
        <v>7.76</v>
      </c>
      <c r="H595" s="3"/>
    </row>
    <row r="596" spans="1:8" x14ac:dyDescent="0.25">
      <c r="A596" s="20">
        <v>39356</v>
      </c>
      <c r="B596" s="21">
        <v>8.57</v>
      </c>
      <c r="C596" s="21">
        <v>9.99</v>
      </c>
      <c r="D596" s="21">
        <v>8.32</v>
      </c>
      <c r="E596" s="21">
        <v>7.72</v>
      </c>
      <c r="F596" s="21"/>
      <c r="G596" s="21">
        <v>7.83</v>
      </c>
      <c r="H596" s="3"/>
    </row>
    <row r="597" spans="1:8" x14ac:dyDescent="0.25">
      <c r="A597" s="20">
        <v>39387</v>
      </c>
      <c r="B597" s="21">
        <v>8.82</v>
      </c>
      <c r="C597" s="21">
        <v>10.28</v>
      </c>
      <c r="D597" s="21">
        <v>8.57</v>
      </c>
      <c r="E597" s="21">
        <v>7.97</v>
      </c>
      <c r="F597" s="21"/>
      <c r="G597" s="21">
        <v>8.19</v>
      </c>
      <c r="H597" s="3"/>
    </row>
    <row r="598" spans="1:8" x14ac:dyDescent="0.25">
      <c r="A598" s="20">
        <v>39417</v>
      </c>
      <c r="B598" s="21">
        <v>8.9700000000000006</v>
      </c>
      <c r="C598" s="21">
        <v>10.43</v>
      </c>
      <c r="D598" s="21">
        <v>8.57</v>
      </c>
      <c r="E598" s="21">
        <v>7.97</v>
      </c>
      <c r="F598" s="21"/>
      <c r="G598" s="21">
        <v>8.35</v>
      </c>
      <c r="H598" s="3"/>
    </row>
    <row r="599" spans="1:8" x14ac:dyDescent="0.25">
      <c r="A599" s="20">
        <v>39448</v>
      </c>
      <c r="B599" s="21">
        <v>9.07</v>
      </c>
      <c r="C599" s="21">
        <v>10.53</v>
      </c>
      <c r="D599" s="21">
        <v>8.7200000000000006</v>
      </c>
      <c r="E599" s="21">
        <v>8.1</v>
      </c>
      <c r="F599" s="21"/>
      <c r="G599" s="21">
        <v>8.4700000000000006</v>
      </c>
      <c r="H599" s="3"/>
    </row>
    <row r="600" spans="1:8" x14ac:dyDescent="0.25">
      <c r="A600" s="20">
        <v>39479</v>
      </c>
      <c r="B600" s="21">
        <v>9.36</v>
      </c>
      <c r="C600" s="21">
        <v>10.85</v>
      </c>
      <c r="D600" s="21">
        <v>8.99</v>
      </c>
      <c r="E600" s="21">
        <v>8.33</v>
      </c>
      <c r="F600" s="21"/>
      <c r="G600" s="21">
        <v>8.7200000000000006</v>
      </c>
      <c r="H600" s="3"/>
    </row>
    <row r="601" spans="1:8" x14ac:dyDescent="0.25">
      <c r="A601" s="20">
        <v>39508</v>
      </c>
      <c r="B601" s="21">
        <v>9.7200000000000006</v>
      </c>
      <c r="C601" s="21">
        <v>11.21</v>
      </c>
      <c r="D601" s="21">
        <v>9.34</v>
      </c>
      <c r="E601" s="21">
        <v>8.6999999999999993</v>
      </c>
      <c r="F601" s="21"/>
      <c r="G601" s="21">
        <v>8.9499999999999993</v>
      </c>
      <c r="H601" s="3"/>
    </row>
    <row r="602" spans="1:8" x14ac:dyDescent="0.25">
      <c r="A602" s="20">
        <v>39539</v>
      </c>
      <c r="B602" s="21">
        <v>9.86</v>
      </c>
      <c r="C602" s="21">
        <v>11.35</v>
      </c>
      <c r="D602" s="21">
        <v>9.44</v>
      </c>
      <c r="E602" s="21">
        <v>8.82</v>
      </c>
      <c r="F602" s="21"/>
      <c r="G602" s="21">
        <v>8.9700000000000006</v>
      </c>
      <c r="H602" s="3"/>
    </row>
    <row r="603" spans="1:8" x14ac:dyDescent="0.25">
      <c r="A603" s="20">
        <v>39569</v>
      </c>
      <c r="B603" s="21">
        <v>9.89</v>
      </c>
      <c r="C603" s="21">
        <v>11.37</v>
      </c>
      <c r="D603" s="21">
        <v>9.4600000000000009</v>
      </c>
      <c r="E603" s="21">
        <v>8.84</v>
      </c>
      <c r="F603" s="21"/>
      <c r="G603" s="21">
        <v>8.9700000000000006</v>
      </c>
      <c r="H603" s="3"/>
    </row>
    <row r="604" spans="1:8" x14ac:dyDescent="0.25">
      <c r="A604" s="20">
        <v>39600</v>
      </c>
      <c r="B604" s="21">
        <v>9.99</v>
      </c>
      <c r="C604" s="21">
        <v>11.47</v>
      </c>
      <c r="D604" s="21">
        <v>9.4600000000000009</v>
      </c>
      <c r="E604" s="21">
        <v>8.84</v>
      </c>
      <c r="F604" s="21"/>
      <c r="G604" s="21">
        <v>9.3000000000000007</v>
      </c>
      <c r="H604" s="3"/>
    </row>
    <row r="605" spans="1:8" x14ac:dyDescent="0.25">
      <c r="A605" s="20">
        <v>39630</v>
      </c>
      <c r="B605" s="21">
        <v>10.1</v>
      </c>
      <c r="C605" s="21">
        <v>11.58</v>
      </c>
      <c r="D605" s="21">
        <v>9.6199999999999992</v>
      </c>
      <c r="E605" s="21">
        <v>8.9600000000000009</v>
      </c>
      <c r="F605" s="21"/>
      <c r="G605" s="21">
        <v>9.42</v>
      </c>
      <c r="H605" s="3"/>
    </row>
    <row r="606" spans="1:8" x14ac:dyDescent="0.25">
      <c r="A606" s="20">
        <v>39661</v>
      </c>
      <c r="B606" s="21">
        <v>10.1</v>
      </c>
      <c r="C606" s="21">
        <v>11.58</v>
      </c>
      <c r="D606" s="21">
        <v>9.6199999999999992</v>
      </c>
      <c r="E606" s="21">
        <v>8.9600000000000009</v>
      </c>
      <c r="F606" s="21"/>
      <c r="G606" s="21">
        <v>8.89</v>
      </c>
      <c r="H606" s="3"/>
    </row>
    <row r="607" spans="1:8" x14ac:dyDescent="0.25">
      <c r="A607" s="20">
        <v>39692</v>
      </c>
      <c r="B607" s="21">
        <v>9.9700000000000006</v>
      </c>
      <c r="C607" s="21">
        <v>11.46</v>
      </c>
      <c r="D607" s="21">
        <v>9.36</v>
      </c>
      <c r="E607" s="21">
        <v>8.76</v>
      </c>
      <c r="F607" s="21"/>
      <c r="G607" s="21">
        <v>8.48</v>
      </c>
      <c r="H607" s="3"/>
    </row>
    <row r="608" spans="1:8" x14ac:dyDescent="0.25">
      <c r="A608" s="20">
        <v>39722</v>
      </c>
      <c r="B608" s="21">
        <v>9.41</v>
      </c>
      <c r="C608" s="21">
        <v>10.93</v>
      </c>
      <c r="D608" s="21">
        <v>8.34</v>
      </c>
      <c r="E608" s="21">
        <v>7.7</v>
      </c>
      <c r="F608" s="21"/>
      <c r="G608" s="21">
        <v>7.29</v>
      </c>
      <c r="H608" s="3"/>
    </row>
    <row r="609" spans="1:8" x14ac:dyDescent="0.25">
      <c r="A609" s="20">
        <v>39753</v>
      </c>
      <c r="B609" s="21">
        <v>9.2100000000000009</v>
      </c>
      <c r="C609" s="21">
        <v>10.73</v>
      </c>
      <c r="D609" s="21">
        <v>7.73</v>
      </c>
      <c r="E609" s="21">
        <v>7.09</v>
      </c>
      <c r="F609" s="21"/>
      <c r="G609" s="21">
        <v>6.91</v>
      </c>
      <c r="H609" s="3"/>
    </row>
    <row r="610" spans="1:8" x14ac:dyDescent="0.25">
      <c r="A610" s="20">
        <v>39783</v>
      </c>
      <c r="B610" s="21">
        <v>8.35</v>
      </c>
      <c r="C610" s="21">
        <v>9.93</v>
      </c>
      <c r="D610" s="21">
        <v>6.84</v>
      </c>
      <c r="E610" s="21">
        <v>6.2</v>
      </c>
      <c r="F610" s="21"/>
      <c r="G610" s="21">
        <v>6.25</v>
      </c>
      <c r="H610" s="3"/>
    </row>
    <row r="611" spans="1:8" x14ac:dyDescent="0.25">
      <c r="A611" s="20">
        <v>39814</v>
      </c>
      <c r="B611" s="21">
        <v>8.2799999999999994</v>
      </c>
      <c r="C611" s="21">
        <v>9.93</v>
      </c>
      <c r="D611" s="21">
        <v>6.84</v>
      </c>
      <c r="E611" s="21">
        <v>6.2</v>
      </c>
      <c r="F611" s="21"/>
      <c r="G611" s="21">
        <v>5.83</v>
      </c>
      <c r="H611" s="3"/>
    </row>
    <row r="612" spans="1:8" x14ac:dyDescent="0.25">
      <c r="A612" s="20">
        <v>39845</v>
      </c>
      <c r="B612" s="21">
        <v>7.28</v>
      </c>
      <c r="C612" s="21">
        <v>8.93</v>
      </c>
      <c r="D612" s="21">
        <v>5.84</v>
      </c>
      <c r="E612" s="21">
        <v>5.18</v>
      </c>
      <c r="F612" s="21"/>
      <c r="G612" s="21">
        <v>5.67</v>
      </c>
      <c r="H612" s="3"/>
    </row>
    <row r="613" spans="1:8" x14ac:dyDescent="0.25">
      <c r="A613" s="20">
        <v>39873</v>
      </c>
      <c r="B613" s="21">
        <v>7.22</v>
      </c>
      <c r="C613" s="21">
        <v>8.93</v>
      </c>
      <c r="D613" s="21">
        <v>5.84</v>
      </c>
      <c r="E613" s="21">
        <v>5.18</v>
      </c>
      <c r="F613" s="21"/>
      <c r="G613" s="21">
        <v>5.59</v>
      </c>
      <c r="H613" s="3"/>
    </row>
    <row r="614" spans="1:8" x14ac:dyDescent="0.25">
      <c r="A614" s="20">
        <v>39904</v>
      </c>
      <c r="B614" s="21">
        <v>7.08</v>
      </c>
      <c r="C614" s="21">
        <v>8.81</v>
      </c>
      <c r="D614" s="21">
        <v>5.76</v>
      </c>
      <c r="E614" s="21">
        <v>5.12</v>
      </c>
      <c r="F614" s="21"/>
      <c r="G614" s="21">
        <v>5.87</v>
      </c>
      <c r="H614" s="3"/>
    </row>
    <row r="615" spans="1:8" x14ac:dyDescent="0.25">
      <c r="A615" s="20">
        <v>39934</v>
      </c>
      <c r="B615" s="21">
        <v>7.08</v>
      </c>
      <c r="C615" s="21">
        <v>8.81</v>
      </c>
      <c r="D615" s="21">
        <v>5.76</v>
      </c>
      <c r="E615" s="21">
        <v>5.12</v>
      </c>
      <c r="F615" s="21"/>
      <c r="G615" s="21">
        <v>6.06</v>
      </c>
      <c r="H615" s="3"/>
    </row>
    <row r="616" spans="1:8" x14ac:dyDescent="0.25">
      <c r="A616" s="20">
        <v>39965</v>
      </c>
      <c r="B616" s="21">
        <v>7.11</v>
      </c>
      <c r="C616" s="21">
        <v>8.81</v>
      </c>
      <c r="D616" s="21">
        <v>5.78</v>
      </c>
      <c r="E616" s="21">
        <v>5.14</v>
      </c>
      <c r="F616" s="21"/>
      <c r="G616" s="21">
        <v>6.52</v>
      </c>
      <c r="H616" s="3"/>
    </row>
    <row r="617" spans="1:8" x14ac:dyDescent="0.25">
      <c r="A617" s="20">
        <v>39995</v>
      </c>
      <c r="B617" s="21">
        <v>7.11</v>
      </c>
      <c r="C617" s="21">
        <v>8.81</v>
      </c>
      <c r="D617" s="21">
        <v>5.78</v>
      </c>
      <c r="E617" s="21">
        <v>5.14</v>
      </c>
      <c r="F617" s="21"/>
      <c r="G617" s="21">
        <v>6.52</v>
      </c>
      <c r="H617" s="3"/>
    </row>
    <row r="618" spans="1:8" x14ac:dyDescent="0.25">
      <c r="A618" s="20">
        <v>40026</v>
      </c>
      <c r="B618" s="21">
        <v>7.11</v>
      </c>
      <c r="C618" s="21">
        <v>8.81</v>
      </c>
      <c r="D618" s="21">
        <v>5.78</v>
      </c>
      <c r="E618" s="21">
        <v>5.14</v>
      </c>
      <c r="F618" s="21"/>
      <c r="G618" s="21">
        <v>7.01</v>
      </c>
      <c r="H618" s="3"/>
    </row>
    <row r="619" spans="1:8" x14ac:dyDescent="0.25">
      <c r="A619" s="20">
        <v>40057</v>
      </c>
      <c r="B619" s="21">
        <v>7.11</v>
      </c>
      <c r="C619" s="21">
        <v>8.81</v>
      </c>
      <c r="D619" s="21">
        <v>5.78</v>
      </c>
      <c r="E619" s="21">
        <v>5.14</v>
      </c>
      <c r="F619" s="21"/>
      <c r="G619" s="21">
        <v>7.14</v>
      </c>
      <c r="H619" s="3"/>
    </row>
    <row r="620" spans="1:8" x14ac:dyDescent="0.25">
      <c r="A620" s="20">
        <v>40087</v>
      </c>
      <c r="B620" s="21">
        <v>7.36</v>
      </c>
      <c r="C620" s="21">
        <v>9.06</v>
      </c>
      <c r="D620" s="21">
        <v>6.03</v>
      </c>
      <c r="E620" s="21">
        <v>5.39</v>
      </c>
      <c r="F620" s="21"/>
      <c r="G620" s="21">
        <v>7.62</v>
      </c>
      <c r="H620" s="3"/>
    </row>
    <row r="621" spans="1:8" x14ac:dyDescent="0.25">
      <c r="A621" s="20">
        <v>40118</v>
      </c>
      <c r="B621" s="21">
        <v>7.55</v>
      </c>
      <c r="C621" s="21">
        <v>9.25</v>
      </c>
      <c r="D621" s="21">
        <v>6.28</v>
      </c>
      <c r="E621" s="21">
        <v>5.64</v>
      </c>
      <c r="F621" s="21"/>
      <c r="G621" s="21">
        <v>7.62</v>
      </c>
      <c r="H621" s="3"/>
    </row>
    <row r="622" spans="1:8" x14ac:dyDescent="0.25">
      <c r="A622" s="20">
        <v>40148</v>
      </c>
      <c r="B622" s="21">
        <v>7.84</v>
      </c>
      <c r="C622" s="21">
        <v>9.56</v>
      </c>
      <c r="D622" s="21">
        <v>6.64</v>
      </c>
      <c r="E622" s="21">
        <v>6</v>
      </c>
      <c r="F622" s="21"/>
      <c r="G622" s="21">
        <v>7.62</v>
      </c>
      <c r="H622" s="3"/>
    </row>
    <row r="623" spans="1:8" x14ac:dyDescent="0.25">
      <c r="A623" s="20">
        <v>40179</v>
      </c>
      <c r="B623" s="21">
        <v>7.84</v>
      </c>
      <c r="C623" s="21">
        <v>9.56</v>
      </c>
      <c r="D623" s="21">
        <v>6.64</v>
      </c>
      <c r="E623" s="21">
        <v>6</v>
      </c>
      <c r="F623" s="21"/>
      <c r="G623" s="21">
        <v>7.7</v>
      </c>
      <c r="H623" s="3"/>
    </row>
    <row r="624" spans="1:8" x14ac:dyDescent="0.25">
      <c r="A624" s="20">
        <v>40210</v>
      </c>
      <c r="B624" s="21">
        <v>7.84</v>
      </c>
      <c r="C624" s="21">
        <v>9.56</v>
      </c>
      <c r="D624" s="21">
        <v>6.64</v>
      </c>
      <c r="E624" s="21">
        <v>6</v>
      </c>
      <c r="F624" s="21"/>
      <c r="G624" s="21">
        <v>7.7</v>
      </c>
      <c r="H624" s="3"/>
    </row>
    <row r="625" spans="1:8" x14ac:dyDescent="0.25">
      <c r="A625" s="20">
        <v>40238</v>
      </c>
      <c r="B625" s="21">
        <v>8.09</v>
      </c>
      <c r="C625" s="21">
        <v>9.81</v>
      </c>
      <c r="D625" s="21">
        <v>6.89</v>
      </c>
      <c r="E625" s="21">
        <v>6.25</v>
      </c>
      <c r="F625" s="21"/>
      <c r="G625" s="21">
        <v>7.73</v>
      </c>
      <c r="H625" s="3"/>
    </row>
    <row r="626" spans="1:8" x14ac:dyDescent="0.25">
      <c r="A626" s="20">
        <v>40269</v>
      </c>
      <c r="B626" s="21">
        <v>8.34</v>
      </c>
      <c r="C626" s="21">
        <v>10.06</v>
      </c>
      <c r="D626" s="21">
        <v>7.14</v>
      </c>
      <c r="E626" s="21">
        <v>6.5</v>
      </c>
      <c r="F626" s="21"/>
      <c r="G626" s="21">
        <v>7.78</v>
      </c>
      <c r="H626" s="3"/>
    </row>
    <row r="627" spans="1:8" x14ac:dyDescent="0.25">
      <c r="A627" s="20">
        <v>40299</v>
      </c>
      <c r="B627" s="21">
        <v>8.59</v>
      </c>
      <c r="C627" s="21">
        <v>10.31</v>
      </c>
      <c r="D627" s="21">
        <v>7.39</v>
      </c>
      <c r="E627" s="21">
        <v>6.75</v>
      </c>
      <c r="F627" s="21"/>
      <c r="G627" s="21">
        <v>7.77</v>
      </c>
      <c r="H627" s="3"/>
    </row>
    <row r="628" spans="1:8" x14ac:dyDescent="0.25">
      <c r="A628" s="20">
        <v>40330</v>
      </c>
      <c r="B628" s="21">
        <v>8.59</v>
      </c>
      <c r="C628" s="21">
        <v>10.31</v>
      </c>
      <c r="D628" s="21">
        <v>7.39</v>
      </c>
      <c r="E628" s="21">
        <v>6.75</v>
      </c>
      <c r="F628" s="21"/>
      <c r="G628" s="21">
        <v>7.54</v>
      </c>
      <c r="H628" s="3"/>
    </row>
    <row r="629" spans="1:8" x14ac:dyDescent="0.25">
      <c r="A629" s="20">
        <v>40360</v>
      </c>
      <c r="B629" s="21">
        <v>8.59</v>
      </c>
      <c r="C629" s="21">
        <v>10.31</v>
      </c>
      <c r="D629" s="21">
        <v>7.39</v>
      </c>
      <c r="E629" s="21">
        <v>6.75</v>
      </c>
      <c r="F629" s="21"/>
      <c r="G629" s="21">
        <v>7.48</v>
      </c>
      <c r="H629" s="3"/>
    </row>
    <row r="630" spans="1:8" x14ac:dyDescent="0.25">
      <c r="A630" s="20">
        <v>40391</v>
      </c>
      <c r="B630" s="21">
        <v>8.59</v>
      </c>
      <c r="C630" s="21">
        <v>10.31</v>
      </c>
      <c r="D630" s="21">
        <v>7.39</v>
      </c>
      <c r="E630" s="21">
        <v>6.75</v>
      </c>
      <c r="F630" s="21"/>
      <c r="G630" s="21">
        <v>7.14</v>
      </c>
      <c r="H630" s="3"/>
    </row>
    <row r="631" spans="1:8" x14ac:dyDescent="0.25">
      <c r="A631" s="20">
        <v>40422</v>
      </c>
      <c r="B631" s="21">
        <v>8.59</v>
      </c>
      <c r="C631" s="21">
        <v>10.31</v>
      </c>
      <c r="D631" s="21">
        <v>7.39</v>
      </c>
      <c r="E631" s="21">
        <v>6.75</v>
      </c>
      <c r="F631" s="21"/>
      <c r="G631" s="21">
        <v>7.47</v>
      </c>
      <c r="H631" s="3"/>
    </row>
    <row r="632" spans="1:8" x14ac:dyDescent="0.25">
      <c r="A632" s="20">
        <v>40452</v>
      </c>
      <c r="B632" s="21">
        <v>8.59</v>
      </c>
      <c r="C632" s="21">
        <v>10.31</v>
      </c>
      <c r="D632" s="21">
        <v>7.39</v>
      </c>
      <c r="E632" s="21">
        <v>6.75</v>
      </c>
      <c r="F632" s="21"/>
      <c r="G632" s="21">
        <v>7.44</v>
      </c>
      <c r="H632" s="3"/>
    </row>
    <row r="633" spans="1:8" x14ac:dyDescent="0.25">
      <c r="A633" s="20">
        <v>40483</v>
      </c>
      <c r="B633" s="21">
        <v>8.99</v>
      </c>
      <c r="C633" s="21">
        <v>10.67</v>
      </c>
      <c r="D633" s="21">
        <v>7.79</v>
      </c>
      <c r="E633" s="21">
        <v>7.15</v>
      </c>
      <c r="F633" s="21"/>
      <c r="G633" s="21">
        <v>7.34</v>
      </c>
      <c r="H633" s="3"/>
    </row>
    <row r="634" spans="1:8" x14ac:dyDescent="0.25">
      <c r="A634" s="20">
        <v>40513</v>
      </c>
      <c r="B634" s="21">
        <v>8.99</v>
      </c>
      <c r="C634" s="21">
        <v>10.67</v>
      </c>
      <c r="D634" s="21">
        <v>7.79</v>
      </c>
      <c r="E634" s="21">
        <v>7.15</v>
      </c>
      <c r="F634" s="21"/>
      <c r="G634" s="21">
        <v>7.34</v>
      </c>
      <c r="H634" s="3"/>
    </row>
    <row r="635" spans="1:8" x14ac:dyDescent="0.25">
      <c r="A635" s="20">
        <v>40544</v>
      </c>
      <c r="B635" s="21">
        <v>8.99</v>
      </c>
      <c r="C635" s="21">
        <v>10.67</v>
      </c>
      <c r="D635" s="21">
        <v>7.79</v>
      </c>
      <c r="E635" s="21">
        <v>7.15</v>
      </c>
      <c r="F635" s="21"/>
      <c r="G635" s="21">
        <v>7.42</v>
      </c>
      <c r="H635" s="3"/>
    </row>
    <row r="636" spans="1:8" x14ac:dyDescent="0.25">
      <c r="A636" s="20">
        <v>40575</v>
      </c>
      <c r="B636" s="21">
        <v>8.99</v>
      </c>
      <c r="C636" s="21">
        <v>10.67</v>
      </c>
      <c r="D636" s="21">
        <v>7.79</v>
      </c>
      <c r="E636" s="21">
        <v>7.11</v>
      </c>
      <c r="F636" s="21"/>
      <c r="G636" s="21">
        <v>7.52</v>
      </c>
      <c r="H636" s="3"/>
    </row>
    <row r="637" spans="1:8" x14ac:dyDescent="0.25">
      <c r="A637" s="20">
        <v>40603</v>
      </c>
      <c r="B637" s="21">
        <v>8.99</v>
      </c>
      <c r="C637" s="21">
        <v>10.67</v>
      </c>
      <c r="D637" s="21">
        <v>7.79</v>
      </c>
      <c r="E637" s="21">
        <v>7.11</v>
      </c>
      <c r="F637" s="21"/>
      <c r="G637" s="21">
        <v>7.41</v>
      </c>
      <c r="H637" s="3"/>
    </row>
    <row r="638" spans="1:8" x14ac:dyDescent="0.25">
      <c r="A638" s="20">
        <v>40634</v>
      </c>
      <c r="B638" s="21">
        <v>8.99</v>
      </c>
      <c r="C638" s="21">
        <v>10.67</v>
      </c>
      <c r="D638" s="21">
        <v>7.79</v>
      </c>
      <c r="E638" s="21">
        <v>7.09</v>
      </c>
      <c r="F638" s="21"/>
      <c r="G638" s="21">
        <v>7.41</v>
      </c>
      <c r="H638" s="3"/>
    </row>
    <row r="639" spans="1:8" x14ac:dyDescent="0.25">
      <c r="A639" s="20">
        <v>40664</v>
      </c>
      <c r="B639" s="21">
        <v>8.99</v>
      </c>
      <c r="C639" s="21">
        <v>10.67</v>
      </c>
      <c r="D639" s="21">
        <v>7.79</v>
      </c>
      <c r="E639" s="21">
        <v>7.08</v>
      </c>
      <c r="F639" s="21"/>
      <c r="G639" s="21">
        <v>7.41</v>
      </c>
      <c r="H639" s="3"/>
    </row>
    <row r="640" spans="1:8" x14ac:dyDescent="0.25">
      <c r="A640" s="20">
        <v>40695</v>
      </c>
      <c r="B640" s="21">
        <v>8.99</v>
      </c>
      <c r="C640" s="21">
        <v>10.67</v>
      </c>
      <c r="D640" s="21">
        <v>7.79</v>
      </c>
      <c r="E640" s="21">
        <v>7.04</v>
      </c>
      <c r="F640" s="21"/>
      <c r="G640" s="21">
        <v>7.37</v>
      </c>
      <c r="H640" s="3"/>
    </row>
    <row r="641" spans="1:8" x14ac:dyDescent="0.25">
      <c r="A641" s="20">
        <v>40725</v>
      </c>
      <c r="B641" s="21">
        <v>8.99</v>
      </c>
      <c r="C641" s="21">
        <v>10.67</v>
      </c>
      <c r="D641" s="21">
        <v>7.79</v>
      </c>
      <c r="E641" s="21">
        <v>7.04</v>
      </c>
      <c r="F641" s="21"/>
      <c r="G641" s="21">
        <v>7.12</v>
      </c>
      <c r="H641" s="3"/>
    </row>
    <row r="642" spans="1:8" x14ac:dyDescent="0.25">
      <c r="A642" s="20">
        <v>40756</v>
      </c>
      <c r="B642" s="21">
        <v>8.99</v>
      </c>
      <c r="C642" s="21">
        <v>10.67</v>
      </c>
      <c r="D642" s="21">
        <v>7.79</v>
      </c>
      <c r="E642" s="21">
        <v>7.03</v>
      </c>
      <c r="F642" s="21"/>
      <c r="G642" s="21">
        <v>6.71</v>
      </c>
      <c r="H642" s="3"/>
    </row>
    <row r="643" spans="1:8" x14ac:dyDescent="0.25">
      <c r="A643" s="20">
        <v>40787</v>
      </c>
      <c r="B643" s="21">
        <v>8.99</v>
      </c>
      <c r="C643" s="21">
        <v>10.67</v>
      </c>
      <c r="D643" s="21">
        <v>7.79</v>
      </c>
      <c r="E643" s="21">
        <v>7.03</v>
      </c>
      <c r="F643" s="21"/>
      <c r="G643" s="21">
        <v>6.61</v>
      </c>
      <c r="H643" s="3"/>
    </row>
    <row r="644" spans="1:8" x14ac:dyDescent="0.25">
      <c r="A644" s="20">
        <v>40817</v>
      </c>
      <c r="B644" s="21">
        <v>8.99</v>
      </c>
      <c r="C644" s="21">
        <v>10.67</v>
      </c>
      <c r="D644" s="21">
        <v>7.79</v>
      </c>
      <c r="E644" s="21">
        <v>7.03</v>
      </c>
      <c r="F644" s="21"/>
      <c r="G644" s="21">
        <v>6.52</v>
      </c>
      <c r="H644" s="3"/>
    </row>
    <row r="645" spans="1:8" x14ac:dyDescent="0.25">
      <c r="A645" s="20">
        <v>40848</v>
      </c>
      <c r="B645" s="21">
        <v>8.77</v>
      </c>
      <c r="C645" s="21">
        <v>10.44</v>
      </c>
      <c r="D645" s="21">
        <v>7.55</v>
      </c>
      <c r="E645" s="21">
        <v>6.79</v>
      </c>
      <c r="F645" s="21"/>
      <c r="G645" s="21">
        <v>6.39</v>
      </c>
      <c r="H645" s="3"/>
    </row>
    <row r="646" spans="1:8" x14ac:dyDescent="0.25">
      <c r="A646" s="20">
        <v>40878</v>
      </c>
      <c r="B646" s="21">
        <v>8.52</v>
      </c>
      <c r="C646" s="21">
        <v>10.26</v>
      </c>
      <c r="D646" s="21">
        <v>7.3</v>
      </c>
      <c r="E646" s="21">
        <v>6.54</v>
      </c>
      <c r="F646" s="21"/>
      <c r="G646" s="21">
        <v>6.35</v>
      </c>
      <c r="H646" s="3"/>
    </row>
    <row r="647" spans="1:8" x14ac:dyDescent="0.25">
      <c r="A647" s="20">
        <v>40909</v>
      </c>
      <c r="B647" s="21">
        <v>8.52</v>
      </c>
      <c r="C647" s="21">
        <v>10.26</v>
      </c>
      <c r="D647" s="21">
        <v>7.3</v>
      </c>
      <c r="E647" s="21">
        <v>6.59</v>
      </c>
      <c r="F647" s="21"/>
      <c r="G647" s="21">
        <v>6.35</v>
      </c>
      <c r="H647" s="3"/>
    </row>
    <row r="648" spans="1:8" x14ac:dyDescent="0.25">
      <c r="A648" s="20">
        <v>40940</v>
      </c>
      <c r="B648" s="21">
        <v>8.61</v>
      </c>
      <c r="C648" s="21">
        <v>10.34</v>
      </c>
      <c r="D648" s="21">
        <v>7.39</v>
      </c>
      <c r="E648" s="21">
        <v>6.71</v>
      </c>
      <c r="F648" s="21"/>
      <c r="G648" s="21">
        <v>6.32</v>
      </c>
      <c r="H648" s="3"/>
    </row>
    <row r="649" spans="1:8" x14ac:dyDescent="0.25">
      <c r="A649" s="20">
        <v>40969</v>
      </c>
      <c r="B649" s="21">
        <v>8.61</v>
      </c>
      <c r="C649" s="21">
        <v>10.34</v>
      </c>
      <c r="D649" s="21">
        <v>7.39</v>
      </c>
      <c r="E649" s="21">
        <v>6.71</v>
      </c>
      <c r="F649" s="21"/>
      <c r="G649" s="21">
        <v>6.47</v>
      </c>
      <c r="H649" s="3"/>
    </row>
    <row r="650" spans="1:8" x14ac:dyDescent="0.25">
      <c r="A650" s="20">
        <v>41000</v>
      </c>
      <c r="B650" s="21">
        <v>8.6199999999999992</v>
      </c>
      <c r="C650" s="21">
        <v>10.36</v>
      </c>
      <c r="D650" s="21">
        <v>7.4</v>
      </c>
      <c r="E650" s="21">
        <v>6.72</v>
      </c>
      <c r="F650" s="21"/>
      <c r="G650" s="21">
        <v>6.41</v>
      </c>
      <c r="H650" s="3"/>
    </row>
    <row r="651" spans="1:8" x14ac:dyDescent="0.25">
      <c r="A651" s="20">
        <v>41030</v>
      </c>
      <c r="B651" s="21">
        <v>8.2200000000000006</v>
      </c>
      <c r="C651" s="21">
        <v>9.99</v>
      </c>
      <c r="D651" s="21">
        <v>7.04</v>
      </c>
      <c r="E651" s="21">
        <v>6.36</v>
      </c>
      <c r="F651" s="21"/>
      <c r="G651" s="21">
        <v>6.14</v>
      </c>
      <c r="H651" s="3"/>
    </row>
    <row r="652" spans="1:8" x14ac:dyDescent="0.25">
      <c r="A652" s="20">
        <v>41061</v>
      </c>
      <c r="B652" s="21">
        <v>7.99</v>
      </c>
      <c r="C652" s="21">
        <v>9.77</v>
      </c>
      <c r="D652" s="21">
        <v>6.83</v>
      </c>
      <c r="E652" s="21">
        <v>6.13</v>
      </c>
      <c r="F652" s="21"/>
      <c r="G652" s="21">
        <v>6.08</v>
      </c>
      <c r="H652" s="3"/>
    </row>
    <row r="653" spans="1:8" x14ac:dyDescent="0.25">
      <c r="A653" s="20">
        <v>41091</v>
      </c>
      <c r="B653" s="21">
        <v>7.99</v>
      </c>
      <c r="C653" s="21">
        <v>9.77</v>
      </c>
      <c r="D653" s="21">
        <v>6.83</v>
      </c>
      <c r="E653" s="21">
        <v>6.13</v>
      </c>
      <c r="F653" s="21"/>
      <c r="G653" s="21">
        <v>5.9</v>
      </c>
      <c r="H653" s="3"/>
    </row>
    <row r="654" spans="1:8" x14ac:dyDescent="0.25">
      <c r="A654" s="20">
        <v>41122</v>
      </c>
      <c r="B654" s="21">
        <v>7.99</v>
      </c>
      <c r="C654" s="21">
        <v>9.77</v>
      </c>
      <c r="D654" s="21">
        <v>6.83</v>
      </c>
      <c r="E654" s="21">
        <v>6.1</v>
      </c>
      <c r="F654" s="21"/>
      <c r="G654" s="21">
        <v>5.88</v>
      </c>
      <c r="H654" s="3"/>
    </row>
    <row r="655" spans="1:8" x14ac:dyDescent="0.25">
      <c r="A655" s="20">
        <v>41153</v>
      </c>
      <c r="B655" s="21">
        <v>7.99</v>
      </c>
      <c r="C655" s="21">
        <v>9.77</v>
      </c>
      <c r="D655" s="21">
        <v>6.83</v>
      </c>
      <c r="E655" s="21">
        <v>6.08</v>
      </c>
      <c r="F655" s="21"/>
      <c r="G655" s="21">
        <v>5.71</v>
      </c>
      <c r="H655" s="3"/>
    </row>
    <row r="656" spans="1:8" x14ac:dyDescent="0.25">
      <c r="A656" s="20">
        <v>41183</v>
      </c>
      <c r="B656" s="21">
        <v>7.8</v>
      </c>
      <c r="C656" s="21">
        <v>9.6199999999999992</v>
      </c>
      <c r="D656" s="21">
        <v>6.64</v>
      </c>
      <c r="E656" s="21">
        <v>5.89</v>
      </c>
      <c r="F656" s="21"/>
      <c r="G656" s="21">
        <v>5.54</v>
      </c>
      <c r="H656" s="3"/>
    </row>
    <row r="657" spans="1:8" x14ac:dyDescent="0.25">
      <c r="A657" s="20">
        <v>41214</v>
      </c>
      <c r="B657" s="21">
        <v>7.8</v>
      </c>
      <c r="C657" s="21">
        <v>9.6199999999999992</v>
      </c>
      <c r="D657" s="21">
        <v>6.64</v>
      </c>
      <c r="E657" s="21">
        <v>5.84</v>
      </c>
      <c r="F657" s="21"/>
      <c r="G657" s="21">
        <v>5.54</v>
      </c>
      <c r="H657" s="3"/>
    </row>
    <row r="658" spans="1:8" x14ac:dyDescent="0.25">
      <c r="A658" s="20">
        <v>41244</v>
      </c>
      <c r="B658" s="21">
        <v>7.6</v>
      </c>
      <c r="C658" s="21">
        <v>9.44</v>
      </c>
      <c r="D658" s="21">
        <v>6.44</v>
      </c>
      <c r="E658" s="21">
        <v>5.68</v>
      </c>
      <c r="F658" s="21"/>
      <c r="G658" s="21">
        <v>5.54</v>
      </c>
      <c r="H658" s="3"/>
    </row>
    <row r="659" spans="1:8" x14ac:dyDescent="0.25">
      <c r="A659" s="20">
        <v>41275</v>
      </c>
      <c r="B659" s="21">
        <v>7.6</v>
      </c>
      <c r="C659" s="21">
        <v>9.44</v>
      </c>
      <c r="D659" s="21">
        <v>6.44</v>
      </c>
      <c r="E659" s="21">
        <v>5.68</v>
      </c>
      <c r="F659" s="21"/>
      <c r="G659" s="21">
        <v>5.52</v>
      </c>
      <c r="H659" s="3"/>
    </row>
    <row r="660" spans="1:8" x14ac:dyDescent="0.25">
      <c r="A660" s="20">
        <v>41306</v>
      </c>
      <c r="B660" s="21">
        <v>7.6</v>
      </c>
      <c r="C660" s="21">
        <v>9.44</v>
      </c>
      <c r="D660" s="21">
        <v>6.44</v>
      </c>
      <c r="E660" s="21">
        <v>5.66</v>
      </c>
      <c r="F660" s="21"/>
      <c r="G660" s="21">
        <v>5.44</v>
      </c>
      <c r="H660" s="3"/>
    </row>
    <row r="661" spans="1:8" x14ac:dyDescent="0.25">
      <c r="A661" s="20">
        <v>41334</v>
      </c>
      <c r="B661" s="21">
        <v>7.6</v>
      </c>
      <c r="C661" s="21">
        <v>9.44</v>
      </c>
      <c r="D661" s="21">
        <v>6.44</v>
      </c>
      <c r="E661" s="21">
        <v>5.62</v>
      </c>
      <c r="F661" s="21"/>
      <c r="G661" s="21">
        <v>5.44</v>
      </c>
      <c r="H661" s="3"/>
    </row>
    <row r="662" spans="1:8" x14ac:dyDescent="0.25">
      <c r="A662" s="20">
        <v>41365</v>
      </c>
      <c r="B662" s="21">
        <v>7.6</v>
      </c>
      <c r="C662" s="21">
        <v>9.44</v>
      </c>
      <c r="D662" s="21">
        <v>6.44</v>
      </c>
      <c r="E662" s="21">
        <v>5.62</v>
      </c>
      <c r="F662" s="21"/>
      <c r="G662" s="21">
        <v>5.44</v>
      </c>
      <c r="H662" s="3"/>
    </row>
    <row r="663" spans="1:8" x14ac:dyDescent="0.25">
      <c r="A663" s="20">
        <v>41395</v>
      </c>
      <c r="B663" s="21">
        <v>7.35</v>
      </c>
      <c r="C663" s="21">
        <v>9.1999999999999993</v>
      </c>
      <c r="D663" s="21">
        <v>6.18</v>
      </c>
      <c r="E663" s="21">
        <v>5.36</v>
      </c>
      <c r="F663" s="21"/>
      <c r="G663" s="21">
        <v>5.27</v>
      </c>
      <c r="H663" s="3"/>
    </row>
    <row r="664" spans="1:8" x14ac:dyDescent="0.25">
      <c r="A664" s="20">
        <v>41426</v>
      </c>
      <c r="B664" s="21">
        <v>7.35</v>
      </c>
      <c r="C664" s="21">
        <v>9.1999999999999993</v>
      </c>
      <c r="D664" s="21">
        <v>6.18</v>
      </c>
      <c r="E664" s="21">
        <v>5.36</v>
      </c>
      <c r="F664" s="21"/>
      <c r="G664" s="21">
        <v>5.13</v>
      </c>
      <c r="H664" s="3"/>
    </row>
    <row r="665" spans="1:8" x14ac:dyDescent="0.25">
      <c r="A665" s="20">
        <v>41456</v>
      </c>
      <c r="B665" s="21">
        <v>7.35</v>
      </c>
      <c r="C665" s="21">
        <v>9.1999999999999993</v>
      </c>
      <c r="D665" s="21">
        <v>6.18</v>
      </c>
      <c r="E665" s="21">
        <v>5.35</v>
      </c>
      <c r="F665" s="21"/>
      <c r="G665" s="21">
        <v>5.17</v>
      </c>
      <c r="H665" s="3"/>
    </row>
    <row r="666" spans="1:8" x14ac:dyDescent="0.25">
      <c r="A666" s="20">
        <v>41487</v>
      </c>
      <c r="B666" s="21">
        <v>7.1</v>
      </c>
      <c r="C666" s="21">
        <v>8.9499999999999993</v>
      </c>
      <c r="D666" s="21">
        <v>5.93</v>
      </c>
      <c r="E666" s="21">
        <v>5.0999999999999996</v>
      </c>
      <c r="F666" s="21"/>
      <c r="G666" s="21">
        <v>5.1100000000000003</v>
      </c>
      <c r="H666" s="3"/>
    </row>
    <row r="667" spans="1:8" x14ac:dyDescent="0.25">
      <c r="A667" s="20">
        <v>41518</v>
      </c>
      <c r="B667" s="21">
        <v>7.1</v>
      </c>
      <c r="C667" s="21">
        <v>8.9499999999999993</v>
      </c>
      <c r="D667" s="21">
        <v>5.93</v>
      </c>
      <c r="E667" s="21">
        <v>5.08</v>
      </c>
      <c r="F667" s="21"/>
      <c r="G667" s="21">
        <v>5.12</v>
      </c>
      <c r="H667" s="3"/>
    </row>
    <row r="668" spans="1:8" x14ac:dyDescent="0.25">
      <c r="A668" s="20">
        <v>41548</v>
      </c>
      <c r="B668" s="21">
        <v>7.1</v>
      </c>
      <c r="C668" s="21">
        <v>8.9499999999999993</v>
      </c>
      <c r="D668" s="21">
        <v>5.93</v>
      </c>
      <c r="E668" s="21">
        <v>5.08</v>
      </c>
      <c r="F668" s="21"/>
      <c r="G668" s="21">
        <v>5.24</v>
      </c>
      <c r="H668" s="3"/>
    </row>
    <row r="669" spans="1:8" x14ac:dyDescent="0.25">
      <c r="A669" s="20">
        <v>41579</v>
      </c>
      <c r="B669" s="21">
        <v>7.1</v>
      </c>
      <c r="C669" s="21">
        <v>8.9499999999999993</v>
      </c>
      <c r="D669" s="21">
        <v>5.93</v>
      </c>
      <c r="E669" s="21">
        <v>5.08</v>
      </c>
      <c r="F669" s="21"/>
      <c r="G669" s="21">
        <v>5.28</v>
      </c>
      <c r="H669" s="3"/>
    </row>
    <row r="670" spans="1:8" x14ac:dyDescent="0.25">
      <c r="A670" s="20">
        <v>41609</v>
      </c>
      <c r="B670" s="21">
        <v>7.1</v>
      </c>
      <c r="C670" s="21">
        <v>8.9499999999999993</v>
      </c>
      <c r="D670" s="21">
        <v>5.93</v>
      </c>
      <c r="E670" s="21">
        <v>5.0999999999999996</v>
      </c>
      <c r="F670" s="21"/>
      <c r="G670" s="21">
        <v>5.28</v>
      </c>
      <c r="H670" s="3"/>
    </row>
    <row r="671" spans="1:8" x14ac:dyDescent="0.25">
      <c r="A671" s="20">
        <v>41640</v>
      </c>
      <c r="B671" s="21">
        <v>7.1</v>
      </c>
      <c r="C671" s="21">
        <v>8.9499999999999993</v>
      </c>
      <c r="D671" s="21">
        <v>5.93</v>
      </c>
      <c r="E671" s="21">
        <v>5.08</v>
      </c>
      <c r="F671" s="21"/>
      <c r="G671" s="21">
        <v>5.29</v>
      </c>
      <c r="H671" s="3"/>
    </row>
    <row r="672" spans="1:8" x14ac:dyDescent="0.25">
      <c r="A672" s="20">
        <v>41671</v>
      </c>
      <c r="B672" s="21">
        <v>7.1</v>
      </c>
      <c r="C672" s="21">
        <v>8.9499999999999993</v>
      </c>
      <c r="D672" s="21">
        <v>5.93</v>
      </c>
      <c r="E672" s="21">
        <v>5.08</v>
      </c>
      <c r="F672" s="21"/>
      <c r="G672" s="21">
        <v>5.26</v>
      </c>
      <c r="H672" s="3"/>
    </row>
    <row r="673" spans="1:8" x14ac:dyDescent="0.25">
      <c r="A673" s="20">
        <v>41699</v>
      </c>
      <c r="B673" s="21">
        <v>7.1</v>
      </c>
      <c r="C673" s="21">
        <v>8.9499999999999993</v>
      </c>
      <c r="D673" s="21">
        <v>5.93</v>
      </c>
      <c r="E673" s="21">
        <v>5.08</v>
      </c>
      <c r="F673" s="21"/>
      <c r="G673" s="21">
        <v>5.2</v>
      </c>
      <c r="H673" s="3"/>
    </row>
    <row r="674" spans="1:8" x14ac:dyDescent="0.25">
      <c r="A674" s="20">
        <v>41730</v>
      </c>
      <c r="B674" s="21">
        <v>7.1</v>
      </c>
      <c r="C674" s="21">
        <v>8.9499999999999993</v>
      </c>
      <c r="D674" s="21">
        <v>5.93</v>
      </c>
      <c r="E674" s="21">
        <v>5.08</v>
      </c>
      <c r="F674" s="21"/>
      <c r="G674" s="21">
        <v>5.2</v>
      </c>
      <c r="H674" s="3"/>
    </row>
    <row r="675" spans="1:8" x14ac:dyDescent="0.25">
      <c r="A675" s="20">
        <v>41760</v>
      </c>
      <c r="B675" s="21">
        <v>7.1</v>
      </c>
      <c r="C675" s="21">
        <v>8.9499999999999993</v>
      </c>
      <c r="D675" s="21">
        <v>5.93</v>
      </c>
      <c r="E675" s="21">
        <v>5.08</v>
      </c>
      <c r="F675" s="21"/>
      <c r="G675" s="21">
        <v>5.2</v>
      </c>
      <c r="H675" s="3"/>
    </row>
    <row r="676" spans="1:8" x14ac:dyDescent="0.25">
      <c r="A676" s="20">
        <v>41791</v>
      </c>
      <c r="B676" s="21">
        <v>7.1</v>
      </c>
      <c r="C676" s="21">
        <v>8.9499999999999993</v>
      </c>
      <c r="D676" s="21">
        <v>5.93</v>
      </c>
      <c r="E676" s="21">
        <v>5.08</v>
      </c>
      <c r="F676" s="21"/>
      <c r="G676" s="21">
        <v>5.2</v>
      </c>
      <c r="H676" s="3"/>
    </row>
    <row r="677" spans="1:8" x14ac:dyDescent="0.25">
      <c r="A677" s="20">
        <v>41821</v>
      </c>
      <c r="B677" s="21">
        <v>7.1</v>
      </c>
      <c r="C677" s="21">
        <v>8.9499999999999993</v>
      </c>
      <c r="D677" s="21">
        <v>5.93</v>
      </c>
      <c r="E677" s="21">
        <v>5.08</v>
      </c>
      <c r="F677" s="21"/>
      <c r="G677" s="21">
        <v>5.12</v>
      </c>
      <c r="H677" s="3"/>
    </row>
    <row r="678" spans="1:8" x14ac:dyDescent="0.25">
      <c r="A678" s="20">
        <v>41852</v>
      </c>
      <c r="B678" s="21">
        <v>7.1</v>
      </c>
      <c r="C678" s="21">
        <v>8.9499999999999993</v>
      </c>
      <c r="D678" s="21">
        <v>5.93</v>
      </c>
      <c r="E678" s="21">
        <v>5.08</v>
      </c>
      <c r="F678" s="21"/>
      <c r="G678" s="21">
        <v>5.08</v>
      </c>
      <c r="H678" s="3"/>
    </row>
    <row r="679" spans="1:8" x14ac:dyDescent="0.25">
      <c r="A679" s="20">
        <v>41883</v>
      </c>
      <c r="B679" s="21">
        <v>7.1</v>
      </c>
      <c r="C679" s="21">
        <v>8.9499999999999993</v>
      </c>
      <c r="D679" s="21">
        <v>5.93</v>
      </c>
      <c r="E679" s="21">
        <v>5.08</v>
      </c>
      <c r="F679" s="21"/>
      <c r="G679" s="21">
        <v>5.08</v>
      </c>
      <c r="H679" s="3"/>
    </row>
    <row r="680" spans="1:8" x14ac:dyDescent="0.25">
      <c r="A680" s="20">
        <v>41913</v>
      </c>
      <c r="B680" s="21">
        <v>7.1</v>
      </c>
      <c r="C680" s="21">
        <v>8.9499999999999993</v>
      </c>
      <c r="D680" s="21">
        <v>5.93</v>
      </c>
      <c r="E680" s="21">
        <v>5.08</v>
      </c>
      <c r="F680" s="21"/>
      <c r="G680" s="21">
        <v>5.08</v>
      </c>
      <c r="H680" s="3"/>
    </row>
    <row r="681" spans="1:8" x14ac:dyDescent="0.25">
      <c r="A681" s="20">
        <v>41944</v>
      </c>
      <c r="B681" s="21">
        <v>7.1</v>
      </c>
      <c r="C681" s="21">
        <v>8.9499999999999993</v>
      </c>
      <c r="D681" s="21">
        <v>5.93</v>
      </c>
      <c r="E681" s="21">
        <v>5.08</v>
      </c>
      <c r="F681" s="21"/>
      <c r="G681" s="21">
        <v>5.08</v>
      </c>
      <c r="H681" s="3"/>
    </row>
    <row r="682" spans="1:8" x14ac:dyDescent="0.25">
      <c r="A682" s="20">
        <v>41974</v>
      </c>
      <c r="B682" s="21">
        <v>7.1</v>
      </c>
      <c r="C682" s="21">
        <v>8.9499999999999993</v>
      </c>
      <c r="D682" s="21">
        <v>5.93</v>
      </c>
      <c r="E682" s="21">
        <v>5.08</v>
      </c>
      <c r="F682" s="21"/>
      <c r="G682" s="21">
        <v>5.08</v>
      </c>
      <c r="H682" s="3"/>
    </row>
    <row r="683" spans="1:8" x14ac:dyDescent="0.25">
      <c r="A683" s="20">
        <v>42005</v>
      </c>
      <c r="B683" s="21">
        <v>7.1</v>
      </c>
      <c r="C683" s="21">
        <v>8.9499999999999993</v>
      </c>
      <c r="D683" s="21">
        <v>5.93</v>
      </c>
      <c r="E683" s="21">
        <v>5.08</v>
      </c>
      <c r="F683" s="21"/>
      <c r="G683" s="21">
        <v>5.08</v>
      </c>
      <c r="H683" s="3"/>
    </row>
    <row r="684" spans="1:8" x14ac:dyDescent="0.25">
      <c r="A684" s="20">
        <v>42036</v>
      </c>
      <c r="B684" s="21">
        <v>6.85</v>
      </c>
      <c r="C684" s="21">
        <v>8.76</v>
      </c>
      <c r="D684" s="21">
        <v>5.67</v>
      </c>
      <c r="E684" s="21">
        <v>4.82</v>
      </c>
      <c r="F684" s="21"/>
      <c r="G684" s="21">
        <v>4.8</v>
      </c>
      <c r="H684" s="3"/>
    </row>
    <row r="685" spans="1:8" x14ac:dyDescent="0.25">
      <c r="A685" s="20">
        <v>42064</v>
      </c>
      <c r="B685" s="21">
        <v>6.85</v>
      </c>
      <c r="C685" s="21">
        <v>8.6999999999999993</v>
      </c>
      <c r="D685" s="21">
        <v>5.67</v>
      </c>
      <c r="E685" s="21">
        <v>4.82</v>
      </c>
      <c r="F685" s="21"/>
      <c r="G685" s="21">
        <v>4.8</v>
      </c>
      <c r="H685" s="3"/>
    </row>
    <row r="686" spans="1:8" x14ac:dyDescent="0.25">
      <c r="A686" s="20">
        <v>42095</v>
      </c>
      <c r="B686" s="21">
        <v>6.85</v>
      </c>
      <c r="C686" s="21">
        <v>8.6999999999999993</v>
      </c>
      <c r="D686" s="21">
        <v>5.67</v>
      </c>
      <c r="E686" s="21">
        <v>4.82</v>
      </c>
      <c r="F686" s="21"/>
      <c r="G686" s="21">
        <v>4.8</v>
      </c>
      <c r="H686" s="3"/>
    </row>
    <row r="687" spans="1:8" x14ac:dyDescent="0.25">
      <c r="A687" s="20">
        <v>42125</v>
      </c>
      <c r="B687" s="21">
        <v>6.6</v>
      </c>
      <c r="C687" s="21">
        <v>8.4499999999999993</v>
      </c>
      <c r="D687" s="21">
        <v>5.46</v>
      </c>
      <c r="E687" s="21">
        <v>4.6100000000000003</v>
      </c>
      <c r="F687" s="21"/>
      <c r="G687" s="21">
        <v>4.8</v>
      </c>
      <c r="H687" s="3"/>
    </row>
    <row r="688" spans="1:8" x14ac:dyDescent="0.25">
      <c r="A688" s="20">
        <v>42156</v>
      </c>
      <c r="B688" s="21">
        <v>6.6</v>
      </c>
      <c r="C688" s="21">
        <v>8.4499999999999993</v>
      </c>
      <c r="D688" s="21">
        <v>5.46</v>
      </c>
      <c r="E688" s="21">
        <v>4.67</v>
      </c>
      <c r="F688" s="21"/>
      <c r="G688" s="21">
        <v>4.8</v>
      </c>
      <c r="H688" s="3"/>
    </row>
    <row r="689" spans="1:8" x14ac:dyDescent="0.25">
      <c r="A689" s="20">
        <v>42186</v>
      </c>
      <c r="B689" s="21">
        <v>6.6</v>
      </c>
      <c r="C689" s="21">
        <v>8.4499999999999993</v>
      </c>
      <c r="D689" s="21">
        <v>5.45</v>
      </c>
      <c r="E689" s="21">
        <v>4.67</v>
      </c>
      <c r="F689" s="21"/>
      <c r="G689" s="21">
        <v>4.66</v>
      </c>
      <c r="H689" s="3"/>
    </row>
    <row r="690" spans="1:8" x14ac:dyDescent="0.25">
      <c r="A690" s="20">
        <v>42217</v>
      </c>
      <c r="B690" s="21">
        <v>6.6</v>
      </c>
      <c r="C690" s="21">
        <v>8.4499999999999993</v>
      </c>
      <c r="D690" s="21">
        <v>5.46</v>
      </c>
      <c r="E690" s="21">
        <v>4.66</v>
      </c>
      <c r="F690" s="21">
        <v>5.72</v>
      </c>
      <c r="G690" s="21">
        <v>4.5199999999999996</v>
      </c>
      <c r="H690" s="3"/>
    </row>
    <row r="691" spans="1:8" x14ac:dyDescent="0.25">
      <c r="A691" s="20">
        <v>42248</v>
      </c>
      <c r="B691" s="21">
        <v>6.6</v>
      </c>
      <c r="C691" s="21">
        <v>8.4499999999999993</v>
      </c>
      <c r="D691" s="21">
        <v>5.46</v>
      </c>
      <c r="E691" s="21">
        <v>4.66</v>
      </c>
      <c r="F691" s="21">
        <v>5.72</v>
      </c>
      <c r="G691" s="21">
        <v>4.5199999999999996</v>
      </c>
      <c r="H691" s="3"/>
    </row>
    <row r="692" spans="1:8" x14ac:dyDescent="0.25">
      <c r="A692" s="20">
        <v>42278</v>
      </c>
      <c r="B692" s="21">
        <v>6.6</v>
      </c>
      <c r="C692" s="21">
        <v>8.4499999999999993</v>
      </c>
      <c r="D692" s="21">
        <v>5.46</v>
      </c>
      <c r="E692" s="21">
        <v>4.66</v>
      </c>
      <c r="F692" s="21">
        <v>5.72</v>
      </c>
      <c r="G692" s="21">
        <v>4.5</v>
      </c>
      <c r="H692" s="3"/>
    </row>
    <row r="693" spans="1:8" x14ac:dyDescent="0.25">
      <c r="A693" s="20">
        <v>42309</v>
      </c>
      <c r="B693" s="21">
        <v>6.6</v>
      </c>
      <c r="C693" s="21">
        <v>8.4499999999999993</v>
      </c>
      <c r="D693" s="21">
        <v>5.63</v>
      </c>
      <c r="E693" s="21">
        <v>4.83</v>
      </c>
      <c r="F693" s="21">
        <v>5.89</v>
      </c>
      <c r="G693" s="21">
        <v>4.43</v>
      </c>
      <c r="H693" s="3"/>
    </row>
    <row r="694" spans="1:8" x14ac:dyDescent="0.25">
      <c r="A694" s="20">
        <v>42339</v>
      </c>
      <c r="B694" s="21">
        <v>6.6</v>
      </c>
      <c r="C694" s="21">
        <v>8.4499999999999993</v>
      </c>
      <c r="D694" s="21">
        <v>5.63</v>
      </c>
      <c r="E694" s="21">
        <v>4.83</v>
      </c>
      <c r="F694" s="21">
        <v>5.89</v>
      </c>
      <c r="G694" s="21">
        <v>4.43</v>
      </c>
      <c r="H694" s="3"/>
    </row>
    <row r="695" spans="1:8" x14ac:dyDescent="0.25">
      <c r="A695" s="20">
        <v>42370</v>
      </c>
      <c r="B695" s="21">
        <v>6.6</v>
      </c>
      <c r="C695" s="21">
        <v>8.4499999999999993</v>
      </c>
      <c r="D695" s="21">
        <v>5.63</v>
      </c>
      <c r="E695" s="21">
        <v>4.83</v>
      </c>
      <c r="F695" s="21">
        <v>5.89</v>
      </c>
      <c r="G695" s="21">
        <v>4.43</v>
      </c>
      <c r="H695" s="3"/>
    </row>
    <row r="696" spans="1:8" x14ac:dyDescent="0.25">
      <c r="A696" s="20">
        <v>42401</v>
      </c>
      <c r="B696" s="21">
        <v>6.7</v>
      </c>
      <c r="C696" s="21">
        <v>8.5500000000000007</v>
      </c>
      <c r="D696" s="21">
        <v>5.63</v>
      </c>
      <c r="E696" s="21">
        <v>4.83</v>
      </c>
      <c r="F696" s="21">
        <v>5.89</v>
      </c>
      <c r="G696" s="21">
        <v>4.43</v>
      </c>
      <c r="H696" s="3"/>
    </row>
    <row r="697" spans="1:8" x14ac:dyDescent="0.25">
      <c r="A697" s="20">
        <v>42430</v>
      </c>
      <c r="B697" s="21">
        <v>6.75</v>
      </c>
      <c r="C697" s="21">
        <v>8.6</v>
      </c>
      <c r="D697" s="21">
        <v>5.63</v>
      </c>
      <c r="E697" s="21">
        <v>4.83</v>
      </c>
      <c r="F697" s="21">
        <v>5.89</v>
      </c>
      <c r="G697" s="21">
        <v>4.43</v>
      </c>
      <c r="H697" s="3"/>
    </row>
    <row r="698" spans="1:8" x14ac:dyDescent="0.25">
      <c r="A698" s="20">
        <v>42461</v>
      </c>
      <c r="B698" s="21">
        <v>6.75</v>
      </c>
      <c r="C698" s="21">
        <v>8.6</v>
      </c>
      <c r="D698" s="21">
        <v>5.63</v>
      </c>
      <c r="E698" s="21">
        <v>4.83</v>
      </c>
      <c r="F698" s="21">
        <v>5.7</v>
      </c>
      <c r="G698" s="21">
        <v>4.43</v>
      </c>
      <c r="H698" s="3"/>
    </row>
    <row r="699" spans="1:8" x14ac:dyDescent="0.25">
      <c r="A699" s="20">
        <v>42491</v>
      </c>
      <c r="B699" s="21">
        <v>6.5</v>
      </c>
      <c r="C699" s="21">
        <v>8.35</v>
      </c>
      <c r="D699" s="21">
        <v>5.39</v>
      </c>
      <c r="E699" s="21">
        <v>4.59</v>
      </c>
      <c r="F699" s="21">
        <v>5.45</v>
      </c>
      <c r="G699" s="21">
        <v>4.38</v>
      </c>
      <c r="H699" s="3"/>
    </row>
    <row r="700" spans="1:8" x14ac:dyDescent="0.25">
      <c r="A700" s="20">
        <v>42522</v>
      </c>
      <c r="B700" s="21">
        <v>6.5</v>
      </c>
      <c r="C700" s="21">
        <v>8.35</v>
      </c>
      <c r="D700" s="21">
        <v>5.39</v>
      </c>
      <c r="E700" s="21">
        <v>4.59</v>
      </c>
      <c r="F700" s="21">
        <v>5.45</v>
      </c>
      <c r="G700" s="21">
        <v>4.38</v>
      </c>
      <c r="H700" s="3"/>
    </row>
    <row r="701" spans="1:8" x14ac:dyDescent="0.25">
      <c r="A701" s="20">
        <v>42552</v>
      </c>
      <c r="B701" s="21">
        <v>6.5</v>
      </c>
      <c r="C701" s="21">
        <v>8.35</v>
      </c>
      <c r="D701" s="21">
        <v>5.39</v>
      </c>
      <c r="E701" s="21">
        <v>4.59</v>
      </c>
      <c r="F701" s="21">
        <v>5.45</v>
      </c>
      <c r="G701" s="21">
        <v>4.2699999999999996</v>
      </c>
      <c r="H701" s="3"/>
    </row>
    <row r="702" spans="1:8" x14ac:dyDescent="0.25">
      <c r="A702" s="20">
        <v>42583</v>
      </c>
      <c r="B702" s="21">
        <v>6.39</v>
      </c>
      <c r="C702" s="21">
        <v>8.24</v>
      </c>
      <c r="D702" s="21">
        <v>5.26</v>
      </c>
      <c r="E702" s="21">
        <v>4.46</v>
      </c>
      <c r="F702" s="21">
        <v>5.34</v>
      </c>
      <c r="G702" s="21">
        <v>4.0999999999999996</v>
      </c>
      <c r="H702" s="3"/>
    </row>
    <row r="703" spans="1:8" x14ac:dyDescent="0.25">
      <c r="A703" s="20">
        <v>42614</v>
      </c>
      <c r="B703" s="21">
        <v>6.39</v>
      </c>
      <c r="C703" s="21">
        <v>8.24</v>
      </c>
      <c r="D703" s="21">
        <v>5.26</v>
      </c>
      <c r="E703" s="21">
        <v>4.51</v>
      </c>
      <c r="F703" s="21">
        <v>5.34</v>
      </c>
      <c r="G703" s="21">
        <v>4.0199999999999996</v>
      </c>
      <c r="H703" s="3"/>
    </row>
    <row r="704" spans="1:8" x14ac:dyDescent="0.25">
      <c r="A704" s="20">
        <v>42644</v>
      </c>
      <c r="B704" s="21">
        <v>6.39</v>
      </c>
      <c r="C704" s="21">
        <v>8.24</v>
      </c>
      <c r="D704" s="21">
        <v>5.26</v>
      </c>
      <c r="E704" s="21">
        <v>4.51</v>
      </c>
      <c r="F704" s="21">
        <v>5.34</v>
      </c>
      <c r="G704" s="21">
        <v>4.0199999999999996</v>
      </c>
      <c r="H704" s="3"/>
    </row>
    <row r="705" spans="1:8" x14ac:dyDescent="0.25">
      <c r="A705" s="20">
        <v>42675</v>
      </c>
      <c r="B705" s="21">
        <v>6.39</v>
      </c>
      <c r="C705" s="21">
        <v>8.24</v>
      </c>
      <c r="D705" s="21">
        <v>5.26</v>
      </c>
      <c r="E705" s="21">
        <v>4.51</v>
      </c>
      <c r="F705" s="21">
        <v>5.34</v>
      </c>
      <c r="G705" s="21">
        <v>4.1100000000000003</v>
      </c>
      <c r="H705" s="3"/>
    </row>
    <row r="706" spans="1:8" x14ac:dyDescent="0.25">
      <c r="A706" s="20">
        <v>42705</v>
      </c>
      <c r="B706" s="21">
        <v>6.39</v>
      </c>
      <c r="C706" s="21">
        <v>8.24</v>
      </c>
      <c r="D706" s="21">
        <v>5.26</v>
      </c>
      <c r="E706" s="21">
        <v>4.51</v>
      </c>
      <c r="F706" s="21">
        <v>5.38</v>
      </c>
      <c r="G706" s="21">
        <v>4.1500000000000004</v>
      </c>
      <c r="H706" s="3"/>
    </row>
    <row r="707" spans="1:8" x14ac:dyDescent="0.25">
      <c r="A707" s="20">
        <v>42736</v>
      </c>
      <c r="B707" s="21">
        <v>6.39</v>
      </c>
      <c r="C707" s="21">
        <v>8.24</v>
      </c>
      <c r="D707" s="21">
        <v>5.26</v>
      </c>
      <c r="E707" s="21">
        <v>4.51</v>
      </c>
      <c r="F707" s="21">
        <v>5.38</v>
      </c>
      <c r="G707" s="21">
        <v>4.26</v>
      </c>
      <c r="H707" s="3"/>
    </row>
    <row r="708" spans="1:8" x14ac:dyDescent="0.25">
      <c r="A708" s="20">
        <v>42767</v>
      </c>
      <c r="B708" s="21">
        <v>6.39</v>
      </c>
      <c r="C708" s="21">
        <v>8.24</v>
      </c>
      <c r="D708" s="21">
        <v>5.26</v>
      </c>
      <c r="E708" s="21">
        <v>4.51</v>
      </c>
      <c r="F708" s="21">
        <v>5.38</v>
      </c>
      <c r="G708" s="21">
        <v>4.26</v>
      </c>
      <c r="H708" s="3"/>
    </row>
    <row r="709" spans="1:8" x14ac:dyDescent="0.25">
      <c r="A709" s="20">
        <v>42795</v>
      </c>
      <c r="B709" s="21">
        <v>6.39</v>
      </c>
      <c r="C709" s="21">
        <v>8.26</v>
      </c>
      <c r="D709" s="21">
        <v>5.28</v>
      </c>
      <c r="E709" s="21">
        <v>4.53</v>
      </c>
      <c r="F709" s="21">
        <v>5.46</v>
      </c>
      <c r="G709" s="21">
        <v>4.26</v>
      </c>
      <c r="H709" s="3"/>
    </row>
    <row r="710" spans="1:8" x14ac:dyDescent="0.25">
      <c r="A710" s="20">
        <v>42826</v>
      </c>
      <c r="B710" s="21">
        <v>6.43</v>
      </c>
      <c r="C710" s="21">
        <v>8.2799999999999994</v>
      </c>
      <c r="D710" s="21">
        <v>5.28</v>
      </c>
      <c r="E710" s="21">
        <v>4.53</v>
      </c>
      <c r="F710" s="21">
        <v>5.45</v>
      </c>
      <c r="G710" s="21">
        <v>4.22</v>
      </c>
      <c r="H710" s="3"/>
    </row>
    <row r="711" spans="1:8" x14ac:dyDescent="0.25">
      <c r="A711" s="20">
        <v>42856</v>
      </c>
      <c r="B711" s="21">
        <v>6.43</v>
      </c>
      <c r="C711" s="21">
        <v>8.2799999999999994</v>
      </c>
      <c r="D711" s="21">
        <v>5.29</v>
      </c>
      <c r="E711" s="21">
        <v>4.54</v>
      </c>
      <c r="F711" s="21">
        <v>5.46</v>
      </c>
      <c r="G711" s="21">
        <v>4.22</v>
      </c>
      <c r="H711" s="3"/>
    </row>
    <row r="712" spans="1:8" x14ac:dyDescent="0.25">
      <c r="A712" s="20">
        <v>42887</v>
      </c>
      <c r="B712" s="21">
        <v>6.43</v>
      </c>
      <c r="C712" s="21">
        <v>8.2799999999999994</v>
      </c>
      <c r="D712" s="21">
        <v>5.23</v>
      </c>
      <c r="E712" s="21">
        <v>4.4800000000000004</v>
      </c>
      <c r="F712" s="21">
        <v>5.71</v>
      </c>
      <c r="G712" s="21">
        <v>4.1500000000000004</v>
      </c>
      <c r="H712" s="3"/>
    </row>
    <row r="713" spans="1:8" x14ac:dyDescent="0.25">
      <c r="A713" s="20">
        <v>42917</v>
      </c>
      <c r="B713" s="21">
        <v>6.43</v>
      </c>
      <c r="C713" s="21">
        <v>8.2799999999999994</v>
      </c>
      <c r="D713" s="21">
        <v>5.22</v>
      </c>
      <c r="E713" s="21">
        <v>4.47</v>
      </c>
      <c r="F713" s="21">
        <v>5.78</v>
      </c>
      <c r="G713" s="21">
        <v>4.1500000000000004</v>
      </c>
      <c r="H713" s="3"/>
    </row>
    <row r="714" spans="1:8" x14ac:dyDescent="0.25">
      <c r="A714" s="20">
        <v>42948</v>
      </c>
      <c r="B714" s="21">
        <v>6.43</v>
      </c>
      <c r="C714" s="21">
        <v>8.2799999999999994</v>
      </c>
      <c r="D714" s="21">
        <v>5.22</v>
      </c>
      <c r="E714" s="21">
        <v>4.47</v>
      </c>
      <c r="F714" s="21">
        <v>5.78</v>
      </c>
      <c r="G714" s="21">
        <v>4.1399999999999997</v>
      </c>
      <c r="H714" s="3"/>
    </row>
    <row r="715" spans="1:8" x14ac:dyDescent="0.25">
      <c r="A715" s="20">
        <v>42979</v>
      </c>
      <c r="B715" s="21">
        <v>6.43</v>
      </c>
      <c r="C715" s="21">
        <v>8.2799999999999994</v>
      </c>
      <c r="D715" s="21">
        <v>5.22</v>
      </c>
      <c r="E715" s="21">
        <v>4.47</v>
      </c>
      <c r="F715" s="21">
        <v>5.78</v>
      </c>
      <c r="G715" s="21">
        <v>4.12</v>
      </c>
      <c r="H715" s="3"/>
    </row>
    <row r="716" spans="1:8" x14ac:dyDescent="0.25">
      <c r="A716" s="20">
        <v>43009</v>
      </c>
      <c r="B716" s="21">
        <v>6.43</v>
      </c>
      <c r="C716" s="21">
        <v>8.2799999999999994</v>
      </c>
      <c r="D716" s="21">
        <v>5.22</v>
      </c>
      <c r="E716" s="21">
        <v>4.47</v>
      </c>
      <c r="F716" s="21">
        <v>5.78</v>
      </c>
      <c r="G716" s="21">
        <v>4.12</v>
      </c>
      <c r="H716" s="3"/>
    </row>
    <row r="717" spans="1:8" x14ac:dyDescent="0.25">
      <c r="A717" s="20">
        <v>43040</v>
      </c>
      <c r="B717" s="21">
        <v>6.43</v>
      </c>
      <c r="C717" s="21">
        <v>8.2799999999999994</v>
      </c>
      <c r="D717" s="21">
        <v>5.22</v>
      </c>
      <c r="E717" s="21">
        <v>4.47</v>
      </c>
      <c r="F717" s="21">
        <v>5.78</v>
      </c>
      <c r="G717" s="21">
        <v>4.12</v>
      </c>
      <c r="H717" s="3"/>
    </row>
    <row r="718" spans="1:8" x14ac:dyDescent="0.25">
      <c r="A718" s="20">
        <v>43070</v>
      </c>
      <c r="B718" s="21">
        <v>6.43</v>
      </c>
      <c r="C718" s="21">
        <v>8.2799999999999994</v>
      </c>
      <c r="D718" s="21">
        <v>5.22</v>
      </c>
      <c r="E718" s="21">
        <v>4.51</v>
      </c>
      <c r="F718" s="21">
        <v>5.78</v>
      </c>
      <c r="G718" s="21">
        <v>4.12</v>
      </c>
      <c r="H718" s="3"/>
    </row>
    <row r="719" spans="1:8" x14ac:dyDescent="0.25">
      <c r="A719" s="20">
        <v>43101</v>
      </c>
      <c r="B719" s="21">
        <v>6.43</v>
      </c>
      <c r="C719" s="21">
        <v>8.2799999999999994</v>
      </c>
      <c r="D719" s="21">
        <v>5.22</v>
      </c>
      <c r="E719" s="21">
        <v>4.51</v>
      </c>
      <c r="F719" s="21">
        <v>5.78</v>
      </c>
      <c r="G719" s="21">
        <v>4.1399999999999997</v>
      </c>
      <c r="H719" s="3"/>
    </row>
    <row r="720" spans="1:8" x14ac:dyDescent="0.25">
      <c r="A720" s="20">
        <v>43132</v>
      </c>
      <c r="B720" s="21">
        <v>6.43</v>
      </c>
      <c r="C720" s="21">
        <v>8.2799999999999994</v>
      </c>
      <c r="D720" s="21">
        <v>5.22</v>
      </c>
      <c r="E720" s="21">
        <v>4.51</v>
      </c>
      <c r="F720" s="21">
        <v>5.78</v>
      </c>
      <c r="G720" s="21">
        <v>4.1399999999999997</v>
      </c>
      <c r="H720" s="3"/>
    </row>
    <row r="721" spans="1:8" x14ac:dyDescent="0.25">
      <c r="A721" s="20">
        <v>43160</v>
      </c>
      <c r="B721" s="21">
        <v>6.43</v>
      </c>
      <c r="C721" s="21">
        <v>8.2799999999999994</v>
      </c>
      <c r="D721" s="21">
        <v>5.22</v>
      </c>
      <c r="E721" s="21">
        <v>4.51</v>
      </c>
      <c r="F721" s="21">
        <v>5.78</v>
      </c>
      <c r="G721" s="21">
        <v>4.13</v>
      </c>
      <c r="H721" s="3"/>
    </row>
    <row r="722" spans="1:8" x14ac:dyDescent="0.25">
      <c r="A722" s="20">
        <v>43191</v>
      </c>
      <c r="B722" s="21">
        <v>6.43</v>
      </c>
      <c r="C722" s="21">
        <v>8.2799999999999994</v>
      </c>
      <c r="D722" s="21">
        <v>5.22</v>
      </c>
      <c r="E722" s="21">
        <v>4.51</v>
      </c>
      <c r="F722" s="21">
        <v>5.78</v>
      </c>
      <c r="G722" s="21">
        <v>4.13</v>
      </c>
      <c r="H722" s="3"/>
    </row>
    <row r="723" spans="1:8" x14ac:dyDescent="0.25">
      <c r="A723" s="20">
        <v>43221</v>
      </c>
      <c r="B723" s="21">
        <v>6.43</v>
      </c>
      <c r="C723" s="21">
        <v>8.2799999999999994</v>
      </c>
      <c r="D723" s="21">
        <v>5.22</v>
      </c>
      <c r="E723" s="21">
        <v>4.51</v>
      </c>
      <c r="F723" s="21">
        <v>5.78</v>
      </c>
      <c r="G723" s="21">
        <v>4.13</v>
      </c>
      <c r="H723" s="3"/>
    </row>
    <row r="724" spans="1:8" x14ac:dyDescent="0.25">
      <c r="A724" s="20">
        <v>43252</v>
      </c>
      <c r="B724" s="21">
        <v>6.43</v>
      </c>
      <c r="C724" s="21">
        <v>8.2799999999999994</v>
      </c>
      <c r="D724" s="21">
        <v>5.22</v>
      </c>
      <c r="E724" s="21">
        <v>4.51</v>
      </c>
      <c r="F724" s="21">
        <v>5.78</v>
      </c>
      <c r="G724" s="21">
        <v>4.13</v>
      </c>
      <c r="H724" s="3"/>
    </row>
    <row r="725" spans="1:8" x14ac:dyDescent="0.25">
      <c r="A725" s="20">
        <v>43282</v>
      </c>
      <c r="B725" s="21">
        <v>6.43</v>
      </c>
      <c r="C725" s="21">
        <v>8.2799999999999994</v>
      </c>
      <c r="D725" s="21">
        <v>5.22</v>
      </c>
      <c r="E725" s="21">
        <v>4.51</v>
      </c>
      <c r="F725" s="21">
        <v>5.78</v>
      </c>
      <c r="G725" s="21">
        <v>4.1100000000000003</v>
      </c>
      <c r="H725" s="3"/>
    </row>
    <row r="726" spans="1:8" x14ac:dyDescent="0.25">
      <c r="A726" s="20">
        <v>43313</v>
      </c>
      <c r="B726" s="21">
        <v>6.43</v>
      </c>
      <c r="C726" s="21">
        <v>8.2799999999999994</v>
      </c>
      <c r="D726" s="21">
        <v>5.22</v>
      </c>
      <c r="E726" s="21">
        <v>4.51</v>
      </c>
      <c r="F726" s="21">
        <v>5.78</v>
      </c>
      <c r="G726" s="21">
        <v>4.1100000000000003</v>
      </c>
      <c r="H726" s="3"/>
    </row>
    <row r="727" spans="1:8" x14ac:dyDescent="0.25">
      <c r="A727" s="20">
        <v>43344</v>
      </c>
      <c r="B727" s="21">
        <v>6.47</v>
      </c>
      <c r="C727" s="21">
        <v>8.32</v>
      </c>
      <c r="D727" s="21">
        <v>5.31</v>
      </c>
      <c r="E727" s="21">
        <v>4.62</v>
      </c>
      <c r="F727" s="21">
        <v>5.86</v>
      </c>
      <c r="G727" s="21">
        <v>4.1100000000000003</v>
      </c>
      <c r="H727" s="3"/>
    </row>
    <row r="728" spans="1:8" x14ac:dyDescent="0.25">
      <c r="A728" s="20">
        <v>43374</v>
      </c>
      <c r="B728" s="21">
        <v>6.47</v>
      </c>
      <c r="C728" s="21">
        <v>8.32</v>
      </c>
      <c r="D728" s="21">
        <v>5.34</v>
      </c>
      <c r="E728" s="21">
        <v>4.6500000000000004</v>
      </c>
      <c r="F728" s="21">
        <v>5.89</v>
      </c>
      <c r="G728" s="21">
        <v>4.1100000000000003</v>
      </c>
      <c r="H728" s="3"/>
    </row>
    <row r="729" spans="1:8" x14ac:dyDescent="0.25">
      <c r="A729" s="20">
        <v>43405</v>
      </c>
      <c r="B729" s="21">
        <v>6.47</v>
      </c>
      <c r="C729" s="21">
        <v>8.32</v>
      </c>
      <c r="D729" s="21">
        <v>5.34</v>
      </c>
      <c r="E729" s="21">
        <v>4.6500000000000004</v>
      </c>
      <c r="F729" s="21">
        <v>5.89</v>
      </c>
      <c r="G729" s="21">
        <v>4.07</v>
      </c>
      <c r="H729" s="3"/>
    </row>
    <row r="730" spans="1:8" x14ac:dyDescent="0.25">
      <c r="A730" s="20">
        <v>43435</v>
      </c>
      <c r="B730" s="21">
        <v>6.47</v>
      </c>
      <c r="C730" s="21">
        <v>8.32</v>
      </c>
      <c r="D730" s="21">
        <v>5.34</v>
      </c>
      <c r="E730" s="21">
        <v>4.6500000000000004</v>
      </c>
      <c r="F730" s="21">
        <v>5.89</v>
      </c>
      <c r="G730" s="21">
        <v>4.07</v>
      </c>
      <c r="H730" s="3"/>
    </row>
    <row r="731" spans="1:8" x14ac:dyDescent="0.25">
      <c r="A731" s="20">
        <v>43466</v>
      </c>
      <c r="B731" s="21">
        <v>6.47</v>
      </c>
      <c r="C731" s="21">
        <v>8.32</v>
      </c>
      <c r="D731" s="21">
        <v>5.37</v>
      </c>
      <c r="E731" s="21">
        <v>4.68</v>
      </c>
      <c r="F731" s="21">
        <v>5.93</v>
      </c>
      <c r="G731" s="21">
        <v>4.07</v>
      </c>
      <c r="H731" s="3"/>
    </row>
    <row r="732" spans="1:8" x14ac:dyDescent="0.25">
      <c r="A732" s="20">
        <v>43497</v>
      </c>
      <c r="B732" s="21">
        <v>6.47</v>
      </c>
      <c r="C732" s="21">
        <v>8.32</v>
      </c>
      <c r="D732" s="21">
        <v>5.37</v>
      </c>
      <c r="E732" s="21">
        <v>4.68</v>
      </c>
      <c r="F732" s="21">
        <v>5.93</v>
      </c>
      <c r="G732" s="21">
        <v>4.07</v>
      </c>
      <c r="H732" s="3"/>
    </row>
    <row r="733" spans="1:8" x14ac:dyDescent="0.25">
      <c r="A733" s="20">
        <v>43525</v>
      </c>
      <c r="B733" s="21">
        <v>6.47</v>
      </c>
      <c r="C733" s="21">
        <v>8.32</v>
      </c>
      <c r="D733" s="21">
        <v>5.37</v>
      </c>
      <c r="E733" s="21">
        <v>4.68</v>
      </c>
      <c r="F733" s="21">
        <v>5.93</v>
      </c>
      <c r="G733" s="21">
        <v>4.05</v>
      </c>
      <c r="H733" s="3"/>
    </row>
    <row r="734" spans="1:8" x14ac:dyDescent="0.25">
      <c r="A734" s="20">
        <v>43556</v>
      </c>
      <c r="B734" s="21">
        <v>6.47</v>
      </c>
      <c r="C734" s="21">
        <v>8.32</v>
      </c>
      <c r="D734" s="21">
        <v>5.37</v>
      </c>
      <c r="E734" s="21">
        <v>4.68</v>
      </c>
      <c r="F734" s="21">
        <v>5.93</v>
      </c>
      <c r="G734" s="21">
        <v>3.99</v>
      </c>
      <c r="H734" s="3"/>
    </row>
    <row r="735" spans="1:8" x14ac:dyDescent="0.25">
      <c r="A735" s="20">
        <v>43586</v>
      </c>
      <c r="B735" s="21">
        <v>6.47</v>
      </c>
      <c r="C735" s="21">
        <v>8.32</v>
      </c>
      <c r="D735" s="21">
        <v>5.37</v>
      </c>
      <c r="E735" s="21">
        <v>4.68</v>
      </c>
      <c r="F735" s="21">
        <v>5.93</v>
      </c>
      <c r="G735" s="21">
        <v>3.89</v>
      </c>
      <c r="H735" s="3"/>
    </row>
    <row r="736" spans="1:8" x14ac:dyDescent="0.25">
      <c r="A736" s="20">
        <v>43617</v>
      </c>
      <c r="B736" s="21">
        <v>6.36</v>
      </c>
      <c r="C736" s="21">
        <v>8.2100000000000009</v>
      </c>
      <c r="D736" s="21">
        <v>5.15</v>
      </c>
      <c r="E736" s="21">
        <v>4.46</v>
      </c>
      <c r="F736" s="21">
        <v>5.71</v>
      </c>
      <c r="G736" s="21">
        <v>3.88</v>
      </c>
      <c r="H736" s="3"/>
    </row>
    <row r="737" spans="1:8" x14ac:dyDescent="0.25">
      <c r="A737" s="20">
        <v>43647</v>
      </c>
      <c r="B737" s="21">
        <v>6.2</v>
      </c>
      <c r="C737" s="21">
        <v>7.74</v>
      </c>
      <c r="D737" s="21">
        <v>4.9400000000000004</v>
      </c>
      <c r="E737" s="21">
        <v>4.25</v>
      </c>
      <c r="F737" s="21">
        <v>5.49</v>
      </c>
      <c r="G737" s="21">
        <v>3.41</v>
      </c>
      <c r="H737" s="3"/>
    </row>
    <row r="738" spans="1:8" x14ac:dyDescent="0.25">
      <c r="A738" s="20">
        <v>43678</v>
      </c>
      <c r="B738" s="21">
        <v>6.2</v>
      </c>
      <c r="C738" s="21">
        <v>7.74</v>
      </c>
      <c r="D738" s="21">
        <v>4.9400000000000004</v>
      </c>
      <c r="E738" s="21">
        <v>4.25</v>
      </c>
      <c r="F738" s="21">
        <v>5.49</v>
      </c>
      <c r="G738" s="21">
        <v>3.41</v>
      </c>
      <c r="H738" s="3"/>
    </row>
    <row r="739" spans="1:8" x14ac:dyDescent="0.25">
      <c r="A739" s="20">
        <v>43709</v>
      </c>
      <c r="B739" s="21">
        <v>6.2</v>
      </c>
      <c r="C739" s="21">
        <v>7.74</v>
      </c>
      <c r="D739" s="21">
        <v>4.9400000000000004</v>
      </c>
      <c r="E739" s="21">
        <v>4.25</v>
      </c>
      <c r="F739" s="21">
        <v>5.49</v>
      </c>
      <c r="G739" s="21">
        <v>3.36</v>
      </c>
      <c r="H739" s="3"/>
    </row>
    <row r="740" spans="1:8" x14ac:dyDescent="0.25">
      <c r="A740" s="20">
        <v>43739</v>
      </c>
      <c r="B740" s="21">
        <v>6.09</v>
      </c>
      <c r="C740" s="21">
        <v>7.63</v>
      </c>
      <c r="D740" s="21">
        <v>4.8</v>
      </c>
      <c r="E740" s="21">
        <v>4.1500000000000004</v>
      </c>
      <c r="F740" s="21">
        <v>5.35</v>
      </c>
      <c r="G740" s="21">
        <v>3.1</v>
      </c>
      <c r="H740" s="3"/>
    </row>
    <row r="741" spans="1:8" x14ac:dyDescent="0.25">
      <c r="A741" s="20">
        <v>43770</v>
      </c>
      <c r="B741" s="21">
        <v>6.09</v>
      </c>
      <c r="C741" s="21">
        <v>7.63</v>
      </c>
      <c r="D741" s="21">
        <v>4.8</v>
      </c>
      <c r="E741" s="21">
        <v>4.1500000000000004</v>
      </c>
      <c r="F741" s="21">
        <v>5.35</v>
      </c>
      <c r="G741" s="21">
        <v>3.1</v>
      </c>
      <c r="H741" s="3"/>
    </row>
    <row r="742" spans="1:8" x14ac:dyDescent="0.25">
      <c r="A742" s="20">
        <v>43800</v>
      </c>
      <c r="B742" s="21">
        <v>6.09</v>
      </c>
      <c r="C742" s="21">
        <v>7.63</v>
      </c>
      <c r="D742" s="21">
        <v>4.8</v>
      </c>
      <c r="E742" s="21">
        <v>4.1500000000000004</v>
      </c>
      <c r="F742" s="21">
        <v>5.35</v>
      </c>
      <c r="G742" s="21">
        <v>3.1</v>
      </c>
      <c r="H742" s="3"/>
    </row>
    <row r="743" spans="1:8" x14ac:dyDescent="0.25">
      <c r="A743" s="20">
        <v>43831</v>
      </c>
      <c r="B743" s="21">
        <v>6.09</v>
      </c>
      <c r="C743" s="21">
        <v>7.63</v>
      </c>
      <c r="D743" s="21">
        <v>4.8</v>
      </c>
      <c r="E743" s="21">
        <v>4.1500000000000004</v>
      </c>
      <c r="F743" s="21">
        <v>5.35</v>
      </c>
      <c r="G743" s="21">
        <v>3.1</v>
      </c>
      <c r="H743" s="3"/>
    </row>
    <row r="744" spans="1:8" x14ac:dyDescent="0.25">
      <c r="A744" s="20">
        <v>43862</v>
      </c>
      <c r="B744" s="21">
        <v>6.09</v>
      </c>
      <c r="C744" s="21">
        <v>7.63</v>
      </c>
      <c r="D744" s="21">
        <v>4.8</v>
      </c>
      <c r="E744" s="21">
        <v>4.1500000000000004</v>
      </c>
      <c r="F744" s="21">
        <v>5.35</v>
      </c>
      <c r="G744" s="21">
        <v>3.08</v>
      </c>
      <c r="H744" s="3"/>
    </row>
    <row r="745" spans="1:8" x14ac:dyDescent="0.25">
      <c r="A745" s="20">
        <v>43891</v>
      </c>
      <c r="B745" s="21">
        <v>5.53</v>
      </c>
      <c r="C745" s="21">
        <v>7.32</v>
      </c>
      <c r="D745" s="21">
        <v>4.5199999999999996</v>
      </c>
      <c r="E745" s="21">
        <v>3.91</v>
      </c>
      <c r="F745" s="21">
        <v>5.0599999999999996</v>
      </c>
      <c r="G745" s="21">
        <v>2.54</v>
      </c>
      <c r="H745" s="3"/>
    </row>
    <row r="746" spans="1:8" x14ac:dyDescent="0.25">
      <c r="A746" s="20">
        <v>43922</v>
      </c>
      <c r="B746" s="21">
        <v>5.03</v>
      </c>
      <c r="C746" s="21">
        <v>6.57</v>
      </c>
      <c r="D746" s="21">
        <v>4.5199999999999996</v>
      </c>
      <c r="E746" s="21">
        <v>3.91</v>
      </c>
      <c r="F746" s="21">
        <v>5.0599999999999996</v>
      </c>
      <c r="G746" s="21">
        <v>2.54</v>
      </c>
      <c r="H746" s="3"/>
    </row>
    <row r="747" spans="1:8" x14ac:dyDescent="0.25">
      <c r="A747" s="20">
        <v>43952</v>
      </c>
      <c r="B747" s="21">
        <v>5.03</v>
      </c>
      <c r="C747" s="21">
        <v>6.57</v>
      </c>
      <c r="D747" s="21">
        <v>4.5199999999999996</v>
      </c>
      <c r="E747" s="21">
        <v>3.87</v>
      </c>
      <c r="F747" s="21">
        <v>5.0599999999999996</v>
      </c>
      <c r="G747" s="21">
        <v>2.54</v>
      </c>
      <c r="H747" s="3"/>
    </row>
    <row r="748" spans="1:8" x14ac:dyDescent="0.25">
      <c r="A748" s="20">
        <v>43983</v>
      </c>
      <c r="B748" s="21">
        <v>5.03</v>
      </c>
      <c r="C748" s="21">
        <v>6.57</v>
      </c>
      <c r="D748" s="21">
        <v>4.5199999999999996</v>
      </c>
      <c r="E748" s="21">
        <v>3.65</v>
      </c>
      <c r="F748" s="21">
        <v>5.0599999999999996</v>
      </c>
      <c r="G748" s="21">
        <v>2.39</v>
      </c>
      <c r="H748" s="3"/>
    </row>
    <row r="749" spans="1:8" x14ac:dyDescent="0.25">
      <c r="A749" s="20">
        <v>44013</v>
      </c>
      <c r="B749" s="21">
        <v>5.03</v>
      </c>
      <c r="C749" s="21">
        <v>6.51</v>
      </c>
      <c r="D749" s="21">
        <v>4.5199999999999996</v>
      </c>
      <c r="E749" s="21">
        <v>3.65</v>
      </c>
      <c r="F749" s="21">
        <v>5.0599999999999996</v>
      </c>
      <c r="G749" s="21">
        <v>2.39</v>
      </c>
      <c r="H749" s="3"/>
    </row>
    <row r="750" spans="1:8" x14ac:dyDescent="0.25">
      <c r="A750" s="20">
        <v>44044</v>
      </c>
      <c r="B750" s="21">
        <v>5.03</v>
      </c>
      <c r="C750" s="21">
        <v>6.51</v>
      </c>
      <c r="D750" s="21">
        <v>4.5199999999999996</v>
      </c>
      <c r="E750" s="21">
        <v>3.65</v>
      </c>
      <c r="F750" s="21">
        <v>5.0599999999999996</v>
      </c>
      <c r="G750" s="21">
        <v>2.39</v>
      </c>
      <c r="H750" s="3"/>
    </row>
    <row r="751" spans="1:8" x14ac:dyDescent="0.25">
      <c r="A751" s="20">
        <v>44075</v>
      </c>
      <c r="B751" s="21">
        <v>5.03</v>
      </c>
      <c r="C751" s="21">
        <v>6.51</v>
      </c>
      <c r="D751" s="21">
        <v>4.5199999999999996</v>
      </c>
      <c r="E751" s="21">
        <v>3.65</v>
      </c>
      <c r="F751" s="21">
        <v>5.0599999999999996</v>
      </c>
      <c r="G751" s="21">
        <v>2.39</v>
      </c>
      <c r="H751" s="3"/>
    </row>
    <row r="752" spans="1:8" x14ac:dyDescent="0.25">
      <c r="A752" s="20">
        <v>44105</v>
      </c>
      <c r="B752" s="21">
        <v>5.03</v>
      </c>
      <c r="C752" s="21">
        <v>6.51</v>
      </c>
      <c r="D752" s="21">
        <v>4.5199999999999996</v>
      </c>
      <c r="E752" s="21">
        <v>3.65</v>
      </c>
      <c r="F752" s="21">
        <v>5.0599999999999996</v>
      </c>
      <c r="G752" s="21">
        <v>2.39</v>
      </c>
      <c r="H752" s="3"/>
    </row>
    <row r="753" spans="1:8" x14ac:dyDescent="0.25">
      <c r="A753" s="20">
        <v>44136</v>
      </c>
      <c r="B753" s="21">
        <v>5.03</v>
      </c>
      <c r="C753" s="21">
        <v>6.51</v>
      </c>
      <c r="D753" s="21">
        <v>4.5199999999999996</v>
      </c>
      <c r="E753" s="21">
        <v>3.65</v>
      </c>
      <c r="F753" s="21">
        <v>5.0599999999999996</v>
      </c>
      <c r="G753" s="21">
        <v>2.2000000000000002</v>
      </c>
      <c r="H753" s="3"/>
    </row>
    <row r="754" spans="1:8" x14ac:dyDescent="0.25">
      <c r="A754" s="20">
        <v>44166</v>
      </c>
      <c r="B754" s="21">
        <v>5.03</v>
      </c>
      <c r="C754" s="21">
        <v>6.51</v>
      </c>
      <c r="D754" s="21">
        <v>4.5199999999999996</v>
      </c>
      <c r="E754" s="21">
        <v>3.65</v>
      </c>
      <c r="F754" s="21">
        <v>5.0599999999999996</v>
      </c>
      <c r="G754" s="21">
        <v>2.2000000000000002</v>
      </c>
      <c r="H754" s="3"/>
    </row>
    <row r="755" spans="1:8" x14ac:dyDescent="0.25">
      <c r="A755" s="20">
        <v>44197</v>
      </c>
      <c r="B755" s="21">
        <v>5.03</v>
      </c>
      <c r="C755" s="21">
        <v>6.51</v>
      </c>
      <c r="D755" s="21">
        <v>4.5199999999999996</v>
      </c>
      <c r="E755" s="21">
        <v>3.65</v>
      </c>
      <c r="F755" s="21">
        <v>5.0599999999999996</v>
      </c>
      <c r="G755" s="21">
        <v>2.2000000000000002</v>
      </c>
      <c r="H755" s="3"/>
    </row>
    <row r="756" spans="1:8" x14ac:dyDescent="0.25">
      <c r="A756" s="20">
        <v>44228</v>
      </c>
      <c r="B756" s="21">
        <v>5.03</v>
      </c>
      <c r="C756" s="21">
        <v>6.51</v>
      </c>
      <c r="D756" s="21">
        <v>4.5199999999999996</v>
      </c>
      <c r="E756" s="21">
        <v>3.65</v>
      </c>
      <c r="F756" s="21">
        <v>5.0599999999999996</v>
      </c>
      <c r="G756" s="21">
        <v>2.19</v>
      </c>
      <c r="H756" s="3"/>
    </row>
    <row r="757" spans="1:8" x14ac:dyDescent="0.25">
      <c r="A757" s="20">
        <v>44256</v>
      </c>
      <c r="B757" s="21">
        <v>5.03</v>
      </c>
      <c r="C757" s="21">
        <v>6.51</v>
      </c>
      <c r="D757" s="21">
        <v>4.5199999999999996</v>
      </c>
      <c r="E757" s="21">
        <v>3.65</v>
      </c>
      <c r="F757" s="21">
        <v>5.0599999999999996</v>
      </c>
      <c r="G757" s="21">
        <v>2.14</v>
      </c>
      <c r="H757" s="3"/>
    </row>
    <row r="758" spans="1:8" x14ac:dyDescent="0.25">
      <c r="A758" s="20">
        <v>44287</v>
      </c>
      <c r="B758" s="21">
        <v>5.03</v>
      </c>
      <c r="C758" s="21">
        <v>6.51</v>
      </c>
      <c r="D758" s="21">
        <v>4.5199999999999996</v>
      </c>
      <c r="E758" s="21">
        <v>3.59</v>
      </c>
      <c r="F758" s="21">
        <v>5.0599999999999996</v>
      </c>
      <c r="G758" s="21">
        <v>2.14</v>
      </c>
      <c r="H758" s="3"/>
    </row>
    <row r="759" spans="1:8" x14ac:dyDescent="0.25">
      <c r="A759" s="20">
        <v>44317</v>
      </c>
      <c r="B759" s="21">
        <v>5.03</v>
      </c>
      <c r="C759" s="21">
        <v>6.51</v>
      </c>
      <c r="D759" s="21">
        <v>4.5199999999999996</v>
      </c>
      <c r="E759" s="21">
        <v>3.59</v>
      </c>
      <c r="F759" s="21">
        <v>5.0599999999999996</v>
      </c>
      <c r="G759" s="21">
        <v>2.15</v>
      </c>
      <c r="H759" s="3"/>
    </row>
    <row r="760" spans="1:8" x14ac:dyDescent="0.25">
      <c r="A760" s="20">
        <v>44348</v>
      </c>
      <c r="B760" s="21">
        <v>5.03</v>
      </c>
      <c r="C760" s="21">
        <v>6.51</v>
      </c>
      <c r="D760" s="21">
        <v>4.5199999999999996</v>
      </c>
      <c r="E760" s="21">
        <v>3.59</v>
      </c>
      <c r="F760" s="21">
        <v>5.0599999999999996</v>
      </c>
      <c r="G760" s="21">
        <v>2.19</v>
      </c>
      <c r="H760" s="3"/>
    </row>
    <row r="761" spans="1:8" x14ac:dyDescent="0.25">
      <c r="A761" s="20">
        <v>44378</v>
      </c>
      <c r="B761" s="21">
        <v>5.03</v>
      </c>
      <c r="C761" s="21">
        <v>6.51</v>
      </c>
      <c r="D761" s="21">
        <v>4.5199999999999996</v>
      </c>
      <c r="E761" s="21">
        <v>3.6</v>
      </c>
      <c r="F761" s="21">
        <v>5.0599999999999996</v>
      </c>
      <c r="G761" s="21">
        <v>2.19</v>
      </c>
      <c r="H761" s="3"/>
    </row>
    <row r="762" spans="1:8" x14ac:dyDescent="0.25">
      <c r="A762" s="20">
        <v>44409</v>
      </c>
      <c r="B762" s="21">
        <v>5.03</v>
      </c>
      <c r="C762" s="21">
        <v>6.51</v>
      </c>
      <c r="D762" s="21">
        <v>4.5199999999999996</v>
      </c>
      <c r="E762" s="21">
        <v>3.45</v>
      </c>
      <c r="F762" s="21">
        <v>5.0599999999999996</v>
      </c>
      <c r="G762" s="21">
        <v>2.19</v>
      </c>
      <c r="H762" s="3"/>
    </row>
    <row r="763" spans="1:8" x14ac:dyDescent="0.25">
      <c r="A763" s="20">
        <v>44440</v>
      </c>
      <c r="B763" s="21">
        <v>4.75</v>
      </c>
      <c r="C763" s="21">
        <v>6.51</v>
      </c>
      <c r="D763" s="21">
        <v>4.5199999999999996</v>
      </c>
      <c r="E763" s="21">
        <v>3.45</v>
      </c>
      <c r="F763" s="21">
        <v>5.0599999999999996</v>
      </c>
      <c r="G763" s="21">
        <v>2.25</v>
      </c>
      <c r="H763" s="3"/>
    </row>
    <row r="764" spans="1:8" x14ac:dyDescent="0.25">
      <c r="A764" s="20">
        <v>44470</v>
      </c>
      <c r="B764" s="21">
        <v>4.75</v>
      </c>
      <c r="C764" s="21">
        <v>6.51</v>
      </c>
      <c r="D764" s="21">
        <v>4.5199999999999996</v>
      </c>
      <c r="E764" s="21">
        <v>3.45</v>
      </c>
      <c r="F764" s="21">
        <v>5.0599999999999996</v>
      </c>
      <c r="G764" s="21">
        <v>2.4700000000000002</v>
      </c>
      <c r="H764" s="3"/>
    </row>
    <row r="765" spans="1:8" x14ac:dyDescent="0.25">
      <c r="A765" s="20">
        <v>44501</v>
      </c>
      <c r="B765" s="21">
        <v>4.75</v>
      </c>
      <c r="C765" s="21">
        <v>6.51</v>
      </c>
      <c r="D765" s="21">
        <v>4.5199999999999996</v>
      </c>
      <c r="E765" s="21">
        <v>3.45</v>
      </c>
      <c r="F765" s="21">
        <v>5.0599999999999996</v>
      </c>
      <c r="G765" s="21">
        <v>2.93</v>
      </c>
      <c r="H765" s="3"/>
    </row>
    <row r="766" spans="1:8" x14ac:dyDescent="0.25">
      <c r="A766" s="20">
        <v>44531</v>
      </c>
      <c r="B766" s="21">
        <v>4.75</v>
      </c>
      <c r="C766" s="21">
        <v>6.51</v>
      </c>
      <c r="D766" s="21">
        <v>4.5199999999999996</v>
      </c>
      <c r="E766" s="21">
        <v>3.45</v>
      </c>
      <c r="F766" s="21">
        <v>5.0599999999999996</v>
      </c>
      <c r="G766" s="21">
        <v>3.17</v>
      </c>
      <c r="H766" s="3"/>
    </row>
    <row r="767" spans="1:8" x14ac:dyDescent="0.25">
      <c r="A767" s="20">
        <v>44562</v>
      </c>
      <c r="B767" s="21">
        <v>4.75</v>
      </c>
      <c r="C767" s="21">
        <v>6.51</v>
      </c>
      <c r="D767" s="21">
        <v>4.5199999999999996</v>
      </c>
      <c r="E767" s="21">
        <v>3.45</v>
      </c>
      <c r="F767" s="21">
        <v>5.0599999999999996</v>
      </c>
      <c r="G767" s="21">
        <v>3.23</v>
      </c>
      <c r="H767" s="3"/>
    </row>
    <row r="768" spans="1:8" x14ac:dyDescent="0.25">
      <c r="A768" s="20">
        <v>44593</v>
      </c>
      <c r="B768" s="21">
        <v>4.75</v>
      </c>
      <c r="C768" s="21">
        <v>6.51</v>
      </c>
      <c r="D768" s="21">
        <v>4.5199999999999996</v>
      </c>
      <c r="E768" s="21">
        <v>3.45</v>
      </c>
      <c r="F768" s="21">
        <v>5.0599999999999996</v>
      </c>
      <c r="G768" s="21">
        <v>3.48</v>
      </c>
      <c r="H768" s="3"/>
    </row>
    <row r="769" spans="1:8" x14ac:dyDescent="0.25">
      <c r="A769" s="20">
        <v>44621</v>
      </c>
      <c r="B769" s="21">
        <v>4.75</v>
      </c>
      <c r="C769" s="21">
        <v>6.51</v>
      </c>
      <c r="D769" s="21">
        <v>4.5199999999999996</v>
      </c>
      <c r="E769" s="21">
        <v>3.45</v>
      </c>
      <c r="F769" s="21">
        <v>5.0599999999999996</v>
      </c>
      <c r="G769" s="21">
        <v>3.83</v>
      </c>
      <c r="H769" s="3"/>
    </row>
    <row r="770" spans="1:8" x14ac:dyDescent="0.25">
      <c r="A770" s="20">
        <v>44652</v>
      </c>
      <c r="B770" s="21">
        <v>4.75</v>
      </c>
      <c r="C770" s="21">
        <v>6.51</v>
      </c>
      <c r="D770" s="21">
        <v>4.5199999999999996</v>
      </c>
      <c r="E770" s="21">
        <v>3.45</v>
      </c>
      <c r="F770" s="21">
        <v>5.0599999999999996</v>
      </c>
      <c r="G770" s="21">
        <v>4.34</v>
      </c>
      <c r="H770" s="3"/>
    </row>
    <row r="771" spans="1:8" x14ac:dyDescent="0.25">
      <c r="A771" s="20">
        <v>44682</v>
      </c>
      <c r="B771" s="21">
        <v>5</v>
      </c>
      <c r="C771" s="21">
        <v>6.79</v>
      </c>
      <c r="D771" s="21">
        <v>4.7699999999999996</v>
      </c>
      <c r="E771" s="21">
        <v>3.7</v>
      </c>
      <c r="F771" s="21">
        <v>5.31</v>
      </c>
      <c r="G771" s="21">
        <v>4.72</v>
      </c>
      <c r="H771" s="3"/>
    </row>
    <row r="772" spans="1:8" x14ac:dyDescent="0.25">
      <c r="A772" s="20">
        <v>44713</v>
      </c>
      <c r="B772" s="21">
        <v>5.5</v>
      </c>
      <c r="C772" s="21">
        <v>7.26</v>
      </c>
      <c r="D772" s="21">
        <v>5.27</v>
      </c>
      <c r="E772" s="21">
        <v>4.2</v>
      </c>
      <c r="F772" s="21">
        <v>5.81</v>
      </c>
      <c r="G772" s="21">
        <v>5.66</v>
      </c>
      <c r="H772" s="3"/>
    </row>
    <row r="773" spans="1:8" x14ac:dyDescent="0.25">
      <c r="A773" s="20">
        <v>44743</v>
      </c>
      <c r="B773" s="21">
        <v>6</v>
      </c>
      <c r="C773" s="21">
        <v>7.76</v>
      </c>
      <c r="D773" s="21">
        <v>5.77</v>
      </c>
      <c r="E773" s="21">
        <v>4.7</v>
      </c>
      <c r="F773" s="21">
        <v>6.31</v>
      </c>
      <c r="G773" s="21">
        <v>6.14</v>
      </c>
      <c r="H773" s="3"/>
    </row>
    <row r="774" spans="1:8" x14ac:dyDescent="0.25">
      <c r="A774" s="20">
        <v>44774</v>
      </c>
      <c r="B774" s="21">
        <v>6.5</v>
      </c>
      <c r="C774" s="21">
        <v>8.2899999999999991</v>
      </c>
      <c r="D774" s="21">
        <v>6.27</v>
      </c>
      <c r="E774" s="21">
        <v>5.2</v>
      </c>
      <c r="F774" s="21">
        <v>6.81</v>
      </c>
      <c r="G774" s="21">
        <v>6.06</v>
      </c>
      <c r="H774" s="3"/>
    </row>
    <row r="775" spans="1:8" x14ac:dyDescent="0.25">
      <c r="A775" s="20">
        <v>44805</v>
      </c>
      <c r="B775" s="21">
        <v>7</v>
      </c>
      <c r="C775" s="21">
        <v>8.7899999999999991</v>
      </c>
      <c r="D775" s="21">
        <v>6.77</v>
      </c>
      <c r="E775" s="21">
        <v>5.7</v>
      </c>
      <c r="F775" s="21">
        <v>7.31</v>
      </c>
      <c r="G775" s="21">
        <v>6.05</v>
      </c>
      <c r="H775" s="3"/>
    </row>
    <row r="776" spans="1:8" x14ac:dyDescent="0.25">
      <c r="A776" s="20">
        <v>44835</v>
      </c>
      <c r="B776" s="21">
        <v>7.25</v>
      </c>
      <c r="C776" s="21">
        <v>9.0399999999999991</v>
      </c>
      <c r="D776" s="21">
        <v>7.02</v>
      </c>
      <c r="E776" s="21">
        <v>5.95</v>
      </c>
      <c r="F776" s="21">
        <v>7.56</v>
      </c>
      <c r="G776" s="21">
        <v>6.24</v>
      </c>
      <c r="H776" s="3"/>
    </row>
    <row r="777" spans="1:8" x14ac:dyDescent="0.25">
      <c r="A777" s="20">
        <v>44866</v>
      </c>
      <c r="B777" s="21">
        <v>7.5</v>
      </c>
      <c r="C777" s="21">
        <v>9.2899999999999991</v>
      </c>
      <c r="D777" s="21">
        <v>7.27</v>
      </c>
      <c r="E777" s="21">
        <v>5.72</v>
      </c>
      <c r="F777" s="21">
        <v>7.81</v>
      </c>
      <c r="G777" s="21">
        <v>6.3</v>
      </c>
      <c r="H777" s="3"/>
    </row>
    <row r="778" spans="1:8" x14ac:dyDescent="0.25">
      <c r="A778" s="20">
        <v>44896</v>
      </c>
      <c r="B778" s="21">
        <v>7.75</v>
      </c>
      <c r="C778" s="21">
        <v>9.51</v>
      </c>
      <c r="D778" s="21">
        <v>7.52</v>
      </c>
      <c r="E778" s="21">
        <v>5.97</v>
      </c>
      <c r="F778" s="21">
        <v>8.06</v>
      </c>
      <c r="G778" s="21">
        <v>6.24</v>
      </c>
      <c r="H778" s="3"/>
    </row>
    <row r="779" spans="1:8" x14ac:dyDescent="0.25">
      <c r="A779" s="20">
        <v>44927</v>
      </c>
      <c r="B779" s="21">
        <v>7.75</v>
      </c>
      <c r="C779" s="21">
        <v>9.51</v>
      </c>
      <c r="D779" s="21">
        <v>7.52</v>
      </c>
      <c r="E779" s="21">
        <v>5.97</v>
      </c>
      <c r="F779" s="21">
        <v>8.06</v>
      </c>
      <c r="G779" s="21">
        <v>6.24</v>
      </c>
      <c r="H779" s="3"/>
    </row>
    <row r="780" spans="1:8" x14ac:dyDescent="0.25">
      <c r="A780" s="20">
        <v>44958</v>
      </c>
      <c r="B780" s="21">
        <v>8</v>
      </c>
      <c r="C780" s="21">
        <v>9.76</v>
      </c>
      <c r="D780" s="21">
        <v>7.77</v>
      </c>
      <c r="E780" s="21">
        <v>6.22</v>
      </c>
      <c r="F780" s="21">
        <v>8.31</v>
      </c>
      <c r="G780" s="21">
        <v>6.26</v>
      </c>
      <c r="H780" s="3"/>
    </row>
    <row r="781" spans="1:8" x14ac:dyDescent="0.25">
      <c r="A781" s="20">
        <v>44986</v>
      </c>
      <c r="B781" s="21">
        <v>8.25</v>
      </c>
      <c r="C781" s="21">
        <v>10.01</v>
      </c>
      <c r="D781" s="21">
        <v>8.02</v>
      </c>
      <c r="E781" s="21">
        <v>6.43</v>
      </c>
      <c r="F781" s="21">
        <v>8.56</v>
      </c>
      <c r="G781" s="21">
        <v>6.27</v>
      </c>
      <c r="H781" s="3"/>
    </row>
    <row r="782" spans="1:8" x14ac:dyDescent="0.25">
      <c r="A782" s="20">
        <v>45017</v>
      </c>
      <c r="B782" s="21">
        <v>8.44</v>
      </c>
      <c r="C782" s="21">
        <v>10.01</v>
      </c>
      <c r="D782" s="21">
        <v>8.02</v>
      </c>
      <c r="E782" s="21">
        <v>6.49</v>
      </c>
      <c r="F782" s="21">
        <v>8.56</v>
      </c>
      <c r="G782" s="21">
        <v>5.97</v>
      </c>
      <c r="H782" s="3"/>
    </row>
    <row r="783" spans="1:8" x14ac:dyDescent="0.25">
      <c r="A783" s="20">
        <v>45047</v>
      </c>
      <c r="B783" s="21">
        <v>8.5</v>
      </c>
      <c r="C783" s="21">
        <v>10.26</v>
      </c>
      <c r="D783" s="21">
        <v>8.27</v>
      </c>
      <c r="E783" s="21">
        <v>6.79</v>
      </c>
      <c r="F783" s="21">
        <v>8.7899999999999991</v>
      </c>
      <c r="G783" s="21">
        <v>5.97</v>
      </c>
      <c r="H783" s="3"/>
    </row>
    <row r="784" spans="1:8" x14ac:dyDescent="0.25">
      <c r="A784" s="20">
        <v>45078</v>
      </c>
      <c r="B784" s="21">
        <v>8.75</v>
      </c>
      <c r="C784" s="21">
        <v>10.51</v>
      </c>
      <c r="D784" s="21">
        <v>8.52</v>
      </c>
      <c r="E784" s="21">
        <v>7.06</v>
      </c>
      <c r="F784" s="21">
        <v>9.0399999999999991</v>
      </c>
      <c r="G784" s="21">
        <v>6.38</v>
      </c>
      <c r="H784" s="3"/>
    </row>
    <row r="785" spans="1:8" x14ac:dyDescent="0.25">
      <c r="A785" s="20">
        <v>45108</v>
      </c>
      <c r="B785" s="21">
        <v>8.75</v>
      </c>
      <c r="C785" s="21">
        <v>10.51</v>
      </c>
      <c r="D785" s="21">
        <v>8.52</v>
      </c>
      <c r="E785" s="21">
        <v>7.06</v>
      </c>
      <c r="F785" s="21">
        <v>9.0399999999999991</v>
      </c>
      <c r="G785" s="21">
        <v>6.65</v>
      </c>
      <c r="H785" s="3"/>
    </row>
    <row r="786" spans="1:8" x14ac:dyDescent="0.25">
      <c r="A786" s="20">
        <v>45139</v>
      </c>
      <c r="B786" s="21">
        <v>8.75</v>
      </c>
      <c r="C786" s="21">
        <v>10.51</v>
      </c>
      <c r="D786" s="21">
        <v>8.52</v>
      </c>
      <c r="E786" s="21">
        <v>7.06</v>
      </c>
      <c r="F786" s="21">
        <v>9.0399999999999991</v>
      </c>
      <c r="G786" s="21">
        <v>6.58</v>
      </c>
      <c r="H786" s="3"/>
    </row>
    <row r="787" spans="1:8" x14ac:dyDescent="0.25">
      <c r="A787" s="20">
        <v>45170</v>
      </c>
      <c r="B787" s="21">
        <v>8.75</v>
      </c>
      <c r="C787" s="21">
        <v>10.51</v>
      </c>
      <c r="D787" s="21">
        <v>8.52</v>
      </c>
      <c r="E787" s="21">
        <v>7.06</v>
      </c>
      <c r="F787" s="21">
        <v>9.0399999999999991</v>
      </c>
      <c r="G787" s="21">
        <v>6.56</v>
      </c>
      <c r="H787" s="3"/>
    </row>
    <row r="788" spans="1:8" x14ac:dyDescent="0.25">
      <c r="A788" s="20">
        <v>45200</v>
      </c>
      <c r="B788" s="21">
        <v>8.75</v>
      </c>
      <c r="C788" s="21">
        <v>10.51</v>
      </c>
      <c r="D788" s="21">
        <v>8.52</v>
      </c>
      <c r="E788" s="21">
        <v>7.06</v>
      </c>
      <c r="F788" s="21">
        <v>9.0399999999999991</v>
      </c>
      <c r="G788" s="21">
        <v>6.56</v>
      </c>
      <c r="H788" s="3"/>
    </row>
    <row r="789" spans="1:8" x14ac:dyDescent="0.25">
      <c r="A789" s="20">
        <v>45231</v>
      </c>
      <c r="B789" s="21">
        <v>9</v>
      </c>
      <c r="C789" s="21">
        <v>10.79</v>
      </c>
      <c r="D789" s="21">
        <v>8.77</v>
      </c>
      <c r="E789" s="21">
        <v>7.31</v>
      </c>
      <c r="F789" s="21">
        <v>9.2899999999999991</v>
      </c>
      <c r="G789" s="21">
        <v>6.8</v>
      </c>
      <c r="H789" s="3"/>
    </row>
    <row r="790" spans="1:8" x14ac:dyDescent="0.25">
      <c r="A790" s="20">
        <v>45261</v>
      </c>
      <c r="B790" s="21">
        <v>9</v>
      </c>
      <c r="C790" s="21">
        <v>10.79</v>
      </c>
      <c r="D790" s="21">
        <v>8.77</v>
      </c>
      <c r="E790" s="21">
        <v>7.31</v>
      </c>
      <c r="F790" s="21">
        <v>9.2899999999999991</v>
      </c>
      <c r="G790" s="21">
        <v>6.8</v>
      </c>
      <c r="H790" s="3"/>
    </row>
    <row r="791" spans="1:8" x14ac:dyDescent="0.25">
      <c r="A791" s="20">
        <v>45292</v>
      </c>
      <c r="B791" s="21">
        <v>9</v>
      </c>
      <c r="C791" s="21">
        <v>10.79</v>
      </c>
      <c r="D791" s="21">
        <v>8.77</v>
      </c>
      <c r="E791" s="21">
        <v>7.31</v>
      </c>
      <c r="F791" s="21">
        <v>9.2899999999999991</v>
      </c>
      <c r="G791" s="21">
        <v>6.8</v>
      </c>
      <c r="H791" s="3"/>
    </row>
    <row r="792" spans="1:8" x14ac:dyDescent="0.25">
      <c r="A792" s="20">
        <v>45323</v>
      </c>
      <c r="B792" s="21">
        <v>9</v>
      </c>
      <c r="C792" s="21">
        <v>10.79</v>
      </c>
      <c r="D792" s="21">
        <v>8.77</v>
      </c>
      <c r="E792" s="21">
        <v>7.31</v>
      </c>
      <c r="F792" s="21">
        <v>9.2899999999999991</v>
      </c>
      <c r="G792" s="21">
        <v>6.8</v>
      </c>
      <c r="H792" s="3"/>
    </row>
    <row r="793" spans="1:8" x14ac:dyDescent="0.25">
      <c r="A793" s="20">
        <v>45352</v>
      </c>
      <c r="B793" s="21">
        <v>9</v>
      </c>
      <c r="C793" s="21">
        <v>10.79</v>
      </c>
      <c r="D793" s="21">
        <v>8.77</v>
      </c>
      <c r="E793" s="21">
        <v>7.31</v>
      </c>
      <c r="F793" s="21">
        <v>9.2899999999999991</v>
      </c>
      <c r="G793" s="21">
        <v>6.8</v>
      </c>
      <c r="H793" s="3"/>
    </row>
    <row r="794" spans="1:8" x14ac:dyDescent="0.25">
      <c r="A794" s="20">
        <v>45383</v>
      </c>
      <c r="B794" s="21">
        <v>9</v>
      </c>
      <c r="C794" s="21">
        <v>10.79</v>
      </c>
      <c r="D794" s="21">
        <v>8.77</v>
      </c>
      <c r="E794" s="21">
        <v>7.12</v>
      </c>
      <c r="F794" s="21">
        <v>9.2899999999999991</v>
      </c>
      <c r="G794" s="21">
        <v>6.8</v>
      </c>
      <c r="H794" s="3"/>
    </row>
    <row r="795" spans="1:8" x14ac:dyDescent="0.25">
      <c r="A795" s="20">
        <v>45413</v>
      </c>
      <c r="B795" s="21">
        <v>9</v>
      </c>
      <c r="C795" s="21">
        <v>10.79</v>
      </c>
      <c r="D795" s="21">
        <v>8.77</v>
      </c>
      <c r="E795" s="21">
        <v>7.12</v>
      </c>
      <c r="F795" s="21">
        <v>9.2899999999999991</v>
      </c>
      <c r="G795" s="21">
        <v>6.8</v>
      </c>
      <c r="H795" s="3"/>
    </row>
    <row r="796" spans="1:8" x14ac:dyDescent="0.25">
      <c r="A796" s="20">
        <v>45444</v>
      </c>
      <c r="B796" s="21">
        <v>9</v>
      </c>
      <c r="C796" s="21">
        <v>10.79</v>
      </c>
      <c r="D796" s="21">
        <v>8.77</v>
      </c>
      <c r="E796" s="21">
        <v>7.12</v>
      </c>
      <c r="F796" s="21">
        <v>9.2899999999999991</v>
      </c>
      <c r="G796" s="21">
        <v>6.8</v>
      </c>
      <c r="H796" s="3"/>
    </row>
    <row r="797" spans="1:8" x14ac:dyDescent="0.25">
      <c r="A797" s="20">
        <v>45474</v>
      </c>
      <c r="B797" s="21">
        <v>9</v>
      </c>
      <c r="C797" s="21">
        <v>10.79</v>
      </c>
      <c r="D797" s="21">
        <v>8.77</v>
      </c>
      <c r="E797" s="21">
        <v>7.12</v>
      </c>
      <c r="F797" s="21">
        <v>9.2899999999999991</v>
      </c>
      <c r="G797" s="21">
        <v>6.68</v>
      </c>
      <c r="H797" s="3"/>
    </row>
    <row r="798" spans="1:8" x14ac:dyDescent="0.25">
      <c r="A798" s="20">
        <v>45505</v>
      </c>
      <c r="B798" s="21">
        <v>9</v>
      </c>
      <c r="C798" s="21">
        <v>10.79</v>
      </c>
      <c r="D798" s="21">
        <v>8.77</v>
      </c>
      <c r="E798" s="21">
        <v>7.07</v>
      </c>
      <c r="F798" s="21">
        <v>9.2899999999999991</v>
      </c>
      <c r="G798" s="21">
        <v>6.27</v>
      </c>
      <c r="H798" s="3"/>
    </row>
    <row r="799" spans="1:8" x14ac:dyDescent="0.25">
      <c r="A799" s="20">
        <v>45536</v>
      </c>
      <c r="B799" s="21">
        <v>9</v>
      </c>
      <c r="C799" s="21">
        <v>10.79</v>
      </c>
      <c r="D799" s="21">
        <v>8.77</v>
      </c>
      <c r="E799" s="21">
        <v>7.07</v>
      </c>
      <c r="F799" s="21">
        <v>9.2899999999999991</v>
      </c>
      <c r="G799" s="21">
        <v>6.27</v>
      </c>
      <c r="H799" s="3"/>
    </row>
    <row r="800" spans="1:8" x14ac:dyDescent="0.25">
      <c r="A800" s="20">
        <v>45566</v>
      </c>
      <c r="B800" s="21">
        <v>9</v>
      </c>
      <c r="C800" s="21">
        <v>10.79</v>
      </c>
      <c r="D800" s="21">
        <v>8.77</v>
      </c>
      <c r="E800" s="21">
        <v>7.07</v>
      </c>
      <c r="F800" s="21">
        <v>9.2899999999999991</v>
      </c>
      <c r="G800" s="21">
        <v>6.08</v>
      </c>
      <c r="H800" s="3"/>
    </row>
    <row r="801" spans="1:8" x14ac:dyDescent="0.25">
      <c r="A801" s="20">
        <v>45597</v>
      </c>
      <c r="B801" s="21">
        <v>9</v>
      </c>
      <c r="C801" s="21">
        <v>10.79</v>
      </c>
      <c r="D801" s="21">
        <v>8.77</v>
      </c>
      <c r="E801" s="21">
        <v>7.07</v>
      </c>
      <c r="F801" s="21">
        <v>9.2899999999999991</v>
      </c>
      <c r="G801" s="21">
        <v>6.08</v>
      </c>
      <c r="H801" s="3"/>
    </row>
    <row r="802" spans="1:8" x14ac:dyDescent="0.25">
      <c r="A802" s="20">
        <v>45627</v>
      </c>
      <c r="B802" s="21">
        <v>9</v>
      </c>
      <c r="C802" s="21">
        <v>10.79</v>
      </c>
      <c r="D802" s="21">
        <v>8.77</v>
      </c>
      <c r="E802" s="21">
        <v>7.07</v>
      </c>
      <c r="F802" s="21">
        <v>9.2899999999999991</v>
      </c>
      <c r="G802" s="21">
        <v>6.08</v>
      </c>
      <c r="H802" s="3"/>
    </row>
    <row r="803" spans="1:8" x14ac:dyDescent="0.25">
      <c r="A803" s="20">
        <v>45658</v>
      </c>
      <c r="B803" s="21">
        <v>9</v>
      </c>
      <c r="C803" s="21">
        <v>10.79</v>
      </c>
      <c r="D803" s="21">
        <v>8.77</v>
      </c>
      <c r="E803" s="21">
        <v>7.07</v>
      </c>
      <c r="F803" s="21">
        <v>9.2899999999999991</v>
      </c>
      <c r="G803" s="21">
        <v>6.08</v>
      </c>
      <c r="H803" s="3"/>
    </row>
    <row r="804" spans="1:8" x14ac:dyDescent="0.25">
      <c r="A804" s="20">
        <v>45689</v>
      </c>
      <c r="B804" s="21">
        <v>8.8699999999999992</v>
      </c>
      <c r="C804" s="21">
        <v>10.63</v>
      </c>
      <c r="D804" s="21">
        <v>8.6199999999999992</v>
      </c>
      <c r="E804" s="21">
        <v>6.88</v>
      </c>
      <c r="F804" s="21">
        <v>9.1</v>
      </c>
      <c r="G804" s="21">
        <v>6.03</v>
      </c>
      <c r="H804" s="3"/>
    </row>
    <row r="805" spans="1:8" x14ac:dyDescent="0.25">
      <c r="A805" s="20">
        <v>45717</v>
      </c>
      <c r="B805" s="21">
        <v>8.75</v>
      </c>
      <c r="C805" s="21">
        <v>10.51</v>
      </c>
      <c r="D805" s="21">
        <v>8.52</v>
      </c>
      <c r="E805" s="21">
        <v>6.82</v>
      </c>
      <c r="F805" s="21">
        <v>9.0399999999999991</v>
      </c>
      <c r="G805" s="21">
        <v>6.03</v>
      </c>
      <c r="H805" s="3"/>
    </row>
    <row r="806" spans="1:8" x14ac:dyDescent="0.25">
      <c r="A806" s="20">
        <v>45748</v>
      </c>
      <c r="B806" s="21">
        <v>8.75</v>
      </c>
      <c r="C806" s="21">
        <v>10.51</v>
      </c>
      <c r="D806" s="21">
        <v>8.52</v>
      </c>
      <c r="E806" s="21">
        <v>6.55</v>
      </c>
      <c r="F806" s="21">
        <v>9.0399999999999991</v>
      </c>
      <c r="G806" s="21">
        <v>5.94</v>
      </c>
      <c r="H806" s="3"/>
    </row>
    <row r="807" spans="1:8" x14ac:dyDescent="0.25">
      <c r="A807" s="20">
        <v>45778</v>
      </c>
      <c r="B807" s="21">
        <v>8.6199999999999992</v>
      </c>
      <c r="C807" s="21">
        <v>10.38</v>
      </c>
      <c r="D807" s="21">
        <v>8.3699999999999992</v>
      </c>
      <c r="E807" s="21">
        <v>6.37</v>
      </c>
      <c r="F807" s="21">
        <v>8.85</v>
      </c>
      <c r="G807" s="21">
        <v>5.88</v>
      </c>
      <c r="H807" s="3"/>
    </row>
    <row r="808" spans="1:8" x14ac:dyDescent="0.25">
      <c r="A808" s="20">
        <v>45809</v>
      </c>
      <c r="B808" s="21">
        <v>8.5</v>
      </c>
      <c r="C808" s="21">
        <v>10.26</v>
      </c>
      <c r="D808" s="21">
        <v>8.27</v>
      </c>
      <c r="E808" s="21">
        <v>6.3</v>
      </c>
      <c r="F808" s="21">
        <v>8.7899999999999991</v>
      </c>
      <c r="G808" s="21">
        <v>5.88</v>
      </c>
      <c r="H808" s="3"/>
    </row>
    <row r="809" spans="1:8" x14ac:dyDescent="0.25">
      <c r="A809" s="20">
        <v>45839</v>
      </c>
      <c r="B809" s="21">
        <v>8.5</v>
      </c>
      <c r="C809" s="21">
        <v>10.26</v>
      </c>
      <c r="D809" s="21">
        <v>8.27</v>
      </c>
      <c r="E809" s="21">
        <v>6.3</v>
      </c>
      <c r="F809" s="21">
        <v>8.7899999999999991</v>
      </c>
      <c r="G809" s="21">
        <v>5.81</v>
      </c>
      <c r="H809" s="3"/>
    </row>
    <row r="810" spans="1:8" x14ac:dyDescent="0.25">
      <c r="A810" s="20">
        <v>45870</v>
      </c>
      <c r="B810" s="21">
        <v>8.25</v>
      </c>
      <c r="C810" s="21">
        <v>10.01</v>
      </c>
      <c r="D810" s="21">
        <v>8.02</v>
      </c>
      <c r="E810" s="21">
        <v>6.05</v>
      </c>
      <c r="F810" s="21">
        <v>8.5399999999999991</v>
      </c>
      <c r="G810" s="21">
        <v>5.52</v>
      </c>
      <c r="H810" s="3"/>
    </row>
    <row r="811" spans="1:8" x14ac:dyDescent="0.25">
      <c r="A811" s="20">
        <v>45901</v>
      </c>
      <c r="B811" s="21">
        <v>8.25</v>
      </c>
      <c r="C811" s="21">
        <v>10.01</v>
      </c>
      <c r="D811" s="21">
        <v>8.02</v>
      </c>
      <c r="E811" s="21">
        <v>6.05</v>
      </c>
      <c r="F811" s="21">
        <v>8.5399999999999991</v>
      </c>
      <c r="G811" s="21">
        <v>5.52</v>
      </c>
      <c r="H811" s="3"/>
    </row>
    <row r="812" spans="1:8" x14ac:dyDescent="0.25">
      <c r="A812" s="20">
        <v>45931</v>
      </c>
      <c r="B812" s="21">
        <v>8.25</v>
      </c>
      <c r="C812" s="21">
        <v>10.01</v>
      </c>
      <c r="D812" s="21">
        <v>8.02</v>
      </c>
      <c r="E812" s="21">
        <v>6.05</v>
      </c>
      <c r="F812" s="21">
        <v>8.5399999999999991</v>
      </c>
      <c r="G812" s="21">
        <v>5.52</v>
      </c>
      <c r="H812" s="3"/>
    </row>
    <row r="813" spans="1:8" x14ac:dyDescent="0.25">
      <c r="A813" s="20">
        <v>45962</v>
      </c>
      <c r="B813" s="21">
        <v>8.25</v>
      </c>
      <c r="C813" s="21">
        <v>10.01</v>
      </c>
      <c r="D813" s="21">
        <v>8.02</v>
      </c>
      <c r="E813" s="21">
        <v>6.05</v>
      </c>
      <c r="F813" s="21">
        <v>8.5399999999999991</v>
      </c>
      <c r="G813" s="21">
        <v>5.56</v>
      </c>
      <c r="H813" s="3"/>
    </row>
    <row r="814" spans="1:8" x14ac:dyDescent="0.25">
      <c r="A814" s="20">
        <v>45992</v>
      </c>
      <c r="B814" s="21">
        <v>8.25</v>
      </c>
      <c r="C814" s="21">
        <v>10.01</v>
      </c>
      <c r="D814" s="21">
        <v>8.02</v>
      </c>
      <c r="E814" s="21">
        <v>6.05</v>
      </c>
      <c r="F814" s="21">
        <v>8.5399999999999991</v>
      </c>
      <c r="G814" s="21">
        <v>5.77</v>
      </c>
      <c r="H814" s="3"/>
    </row>
    <row r="815" spans="1:8" x14ac:dyDescent="0.25">
      <c r="A815" s="20">
        <v>46023</v>
      </c>
      <c r="B815" s="21">
        <v>8.25</v>
      </c>
      <c r="C815" s="21">
        <v>10.01</v>
      </c>
      <c r="D815" s="21">
        <v>8.02</v>
      </c>
      <c r="E815" s="21">
        <v>6.05</v>
      </c>
      <c r="F815" s="21">
        <v>8.5399999999999991</v>
      </c>
      <c r="G815" s="21">
        <v>5.99</v>
      </c>
      <c r="H815" s="3"/>
    </row>
    <row r="816" spans="1:8" x14ac:dyDescent="0.25">
      <c r="A816" s="20">
        <v>46054</v>
      </c>
      <c r="B816" s="21">
        <v>8.5</v>
      </c>
      <c r="C816" s="21">
        <v>10.26</v>
      </c>
      <c r="D816" s="21">
        <v>8.27</v>
      </c>
      <c r="E816" s="21">
        <v>6.3</v>
      </c>
      <c r="F816" s="21">
        <v>8.7899999999999991</v>
      </c>
      <c r="G816" s="21">
        <v>6.24</v>
      </c>
      <c r="H816" s="3"/>
    </row>
  </sheetData>
  <conditionalFormatting sqref="B12:D452">
    <cfRule type="cellIs" dxfId="1" priority="1" stopIfTrue="1" operator="equal">
      <formula>NA()</formula>
    </cfRule>
  </conditionalFormatting>
  <conditionalFormatting sqref="E11:G452">
    <cfRule type="cellIs" dxfId="0" priority="2" stopIfTrue="1" operator="equal">
      <formula>NA()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78298-5A72-44D8-963A-B61D8EADF055}">
  <sheetPr>
    <tabColor rgb="FFFF0000"/>
  </sheetPr>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E714D-9622-4B88-A9D4-0CB33AC9C54D}">
  <sheetPr>
    <tabColor rgb="FFFF0000"/>
  </sheetPr>
  <dimension ref="A1:BW1055"/>
  <sheetViews>
    <sheetView workbookViewId="0">
      <selection activeCell="U1" sqref="U1"/>
    </sheetView>
  </sheetViews>
  <sheetFormatPr defaultRowHeight="15" x14ac:dyDescent="0.25"/>
  <sheetData>
    <row r="1" spans="1:75" x14ac:dyDescent="0.25">
      <c r="A1" t="s">
        <v>636</v>
      </c>
      <c r="B1" t="s">
        <v>637</v>
      </c>
      <c r="C1" t="s">
        <v>638</v>
      </c>
      <c r="D1" t="s">
        <v>639</v>
      </c>
      <c r="E1" t="s">
        <v>640</v>
      </c>
      <c r="F1" t="s">
        <v>641</v>
      </c>
      <c r="G1" t="s">
        <v>642</v>
      </c>
      <c r="H1" t="s">
        <v>643</v>
      </c>
      <c r="I1" t="s">
        <v>644</v>
      </c>
      <c r="J1" t="s">
        <v>645</v>
      </c>
      <c r="K1" t="s">
        <v>646</v>
      </c>
      <c r="L1" t="s">
        <v>647</v>
      </c>
      <c r="M1" t="s">
        <v>648</v>
      </c>
      <c r="N1" t="s">
        <v>649</v>
      </c>
      <c r="O1" t="s">
        <v>650</v>
      </c>
      <c r="P1" t="s">
        <v>651</v>
      </c>
      <c r="Q1" t="s">
        <v>652</v>
      </c>
      <c r="R1" t="s">
        <v>653</v>
      </c>
      <c r="S1" t="s">
        <v>654</v>
      </c>
      <c r="T1" t="s">
        <v>655</v>
      </c>
      <c r="U1" t="s">
        <v>656</v>
      </c>
      <c r="V1" t="s">
        <v>657</v>
      </c>
      <c r="W1" t="s">
        <v>658</v>
      </c>
      <c r="X1" t="s">
        <v>659</v>
      </c>
      <c r="Y1" t="s">
        <v>660</v>
      </c>
      <c r="Z1" t="s">
        <v>661</v>
      </c>
      <c r="AA1" t="s">
        <v>662</v>
      </c>
      <c r="AB1" t="s">
        <v>663</v>
      </c>
      <c r="AC1" t="s">
        <v>664</v>
      </c>
      <c r="AD1" t="s">
        <v>665</v>
      </c>
      <c r="AE1" t="s">
        <v>666</v>
      </c>
      <c r="AF1" t="s">
        <v>667</v>
      </c>
      <c r="AG1" t="s">
        <v>668</v>
      </c>
      <c r="AH1" t="s">
        <v>669</v>
      </c>
      <c r="AI1" t="s">
        <v>670</v>
      </c>
      <c r="AJ1" t="s">
        <v>671</v>
      </c>
      <c r="AK1" t="s">
        <v>672</v>
      </c>
      <c r="AL1" t="s">
        <v>673</v>
      </c>
      <c r="AM1" t="s">
        <v>674</v>
      </c>
      <c r="AN1" t="s">
        <v>675</v>
      </c>
      <c r="AO1" t="s">
        <v>676</v>
      </c>
      <c r="AP1" t="s">
        <v>677</v>
      </c>
      <c r="AQ1" t="s">
        <v>678</v>
      </c>
      <c r="AR1" t="s">
        <v>679</v>
      </c>
      <c r="AS1" t="s">
        <v>680</v>
      </c>
      <c r="AT1" t="s">
        <v>681</v>
      </c>
      <c r="AU1" t="s">
        <v>682</v>
      </c>
      <c r="AV1" t="s">
        <v>683</v>
      </c>
      <c r="AW1" t="s">
        <v>684</v>
      </c>
      <c r="AX1" t="s">
        <v>685</v>
      </c>
      <c r="AY1" t="s">
        <v>686</v>
      </c>
      <c r="AZ1" t="s">
        <v>687</v>
      </c>
      <c r="BA1" t="s">
        <v>688</v>
      </c>
      <c r="BB1" t="s">
        <v>689</v>
      </c>
      <c r="BC1" t="s">
        <v>690</v>
      </c>
      <c r="BD1" t="s">
        <v>691</v>
      </c>
      <c r="BE1" t="s">
        <v>692</v>
      </c>
      <c r="BF1" t="s">
        <v>693</v>
      </c>
      <c r="BG1" t="s">
        <v>694</v>
      </c>
      <c r="BH1" t="s">
        <v>695</v>
      </c>
      <c r="BI1" t="s">
        <v>696</v>
      </c>
      <c r="BJ1" t="s">
        <v>697</v>
      </c>
      <c r="BK1" t="s">
        <v>698</v>
      </c>
      <c r="BL1" t="s">
        <v>699</v>
      </c>
      <c r="BM1" t="s">
        <v>700</v>
      </c>
      <c r="BN1" t="s">
        <v>701</v>
      </c>
      <c r="BO1" t="s">
        <v>702</v>
      </c>
      <c r="BP1" t="s">
        <v>703</v>
      </c>
      <c r="BQ1" t="s">
        <v>704</v>
      </c>
      <c r="BR1" t="s">
        <v>705</v>
      </c>
      <c r="BS1" t="s">
        <v>706</v>
      </c>
      <c r="BT1" t="s">
        <v>707</v>
      </c>
      <c r="BU1" t="s">
        <v>708</v>
      </c>
      <c r="BV1" t="s">
        <v>709</v>
      </c>
      <c r="BW1" t="s">
        <v>710</v>
      </c>
    </row>
    <row r="2" spans="1:75" x14ac:dyDescent="0.25">
      <c r="A2" t="s">
        <v>711</v>
      </c>
      <c r="B2">
        <v>2008</v>
      </c>
      <c r="C2">
        <v>6</v>
      </c>
      <c r="E2">
        <v>155</v>
      </c>
      <c r="F2">
        <v>20</v>
      </c>
      <c r="G2">
        <v>215</v>
      </c>
      <c r="H2">
        <v>27</v>
      </c>
      <c r="I2">
        <v>270</v>
      </c>
      <c r="K2">
        <v>365</v>
      </c>
      <c r="L2">
        <v>20</v>
      </c>
      <c r="M2">
        <v>235</v>
      </c>
      <c r="N2">
        <v>75</v>
      </c>
      <c r="O2">
        <v>250</v>
      </c>
      <c r="P2">
        <v>6</v>
      </c>
      <c r="Q2">
        <v>187.5</v>
      </c>
      <c r="R2">
        <v>18</v>
      </c>
      <c r="S2">
        <v>240</v>
      </c>
      <c r="T2">
        <v>139</v>
      </c>
      <c r="U2">
        <v>280</v>
      </c>
      <c r="V2">
        <v>50</v>
      </c>
      <c r="W2">
        <v>350</v>
      </c>
      <c r="X2">
        <v>67</v>
      </c>
      <c r="Y2">
        <v>260</v>
      </c>
      <c r="Z2">
        <v>280</v>
      </c>
      <c r="AA2">
        <v>280</v>
      </c>
      <c r="AB2">
        <v>0</v>
      </c>
      <c r="AD2">
        <v>355</v>
      </c>
      <c r="AE2">
        <v>275</v>
      </c>
    </row>
    <row r="3" spans="1:75" x14ac:dyDescent="0.25">
      <c r="A3" t="s">
        <v>712</v>
      </c>
      <c r="B3">
        <v>2008</v>
      </c>
      <c r="C3">
        <v>6</v>
      </c>
      <c r="D3">
        <v>8</v>
      </c>
      <c r="E3">
        <v>125</v>
      </c>
      <c r="F3">
        <v>26</v>
      </c>
      <c r="G3">
        <v>185</v>
      </c>
      <c r="H3">
        <v>15</v>
      </c>
      <c r="I3">
        <v>245</v>
      </c>
      <c r="J3">
        <v>0</v>
      </c>
      <c r="L3">
        <v>32</v>
      </c>
      <c r="M3">
        <v>161.25</v>
      </c>
      <c r="N3">
        <v>80</v>
      </c>
      <c r="O3">
        <v>185</v>
      </c>
      <c r="Q3">
        <v>120</v>
      </c>
      <c r="R3">
        <v>29</v>
      </c>
      <c r="S3">
        <v>200</v>
      </c>
      <c r="T3">
        <v>156</v>
      </c>
      <c r="U3">
        <v>240</v>
      </c>
      <c r="V3">
        <v>39</v>
      </c>
      <c r="W3">
        <v>290</v>
      </c>
      <c r="X3">
        <v>80</v>
      </c>
      <c r="Y3">
        <v>227.5</v>
      </c>
      <c r="Z3">
        <v>305</v>
      </c>
      <c r="AA3">
        <v>240</v>
      </c>
      <c r="AB3">
        <v>0</v>
      </c>
      <c r="AD3">
        <v>390</v>
      </c>
      <c r="AE3">
        <v>227.5</v>
      </c>
    </row>
    <row r="4" spans="1:75" x14ac:dyDescent="0.25">
      <c r="A4" t="s">
        <v>713</v>
      </c>
      <c r="B4">
        <v>2008</v>
      </c>
      <c r="C4">
        <v>6</v>
      </c>
      <c r="D4">
        <v>188</v>
      </c>
      <c r="E4">
        <v>195</v>
      </c>
      <c r="F4">
        <v>741</v>
      </c>
      <c r="G4">
        <v>250</v>
      </c>
      <c r="H4">
        <v>141</v>
      </c>
      <c r="I4">
        <v>350</v>
      </c>
      <c r="J4">
        <v>19</v>
      </c>
      <c r="K4">
        <v>165</v>
      </c>
      <c r="L4">
        <v>363</v>
      </c>
      <c r="M4">
        <v>240</v>
      </c>
      <c r="N4">
        <v>1450</v>
      </c>
      <c r="O4">
        <v>250</v>
      </c>
      <c r="P4">
        <v>21</v>
      </c>
      <c r="Q4">
        <v>200</v>
      </c>
      <c r="R4">
        <v>235</v>
      </c>
      <c r="S4">
        <v>295</v>
      </c>
      <c r="T4">
        <v>459</v>
      </c>
      <c r="U4">
        <v>330</v>
      </c>
      <c r="V4">
        <v>97</v>
      </c>
      <c r="W4">
        <v>440</v>
      </c>
      <c r="X4">
        <v>335</v>
      </c>
      <c r="Y4">
        <v>325</v>
      </c>
      <c r="Z4">
        <v>1145</v>
      </c>
      <c r="AA4">
        <v>320</v>
      </c>
      <c r="AB4">
        <v>37</v>
      </c>
      <c r="AC4">
        <v>160</v>
      </c>
      <c r="AD4">
        <v>2635</v>
      </c>
      <c r="AE4">
        <v>280</v>
      </c>
    </row>
    <row r="5" spans="1:75" x14ac:dyDescent="0.25">
      <c r="A5" t="s">
        <v>714</v>
      </c>
      <c r="B5">
        <v>2008</v>
      </c>
      <c r="C5">
        <v>6</v>
      </c>
      <c r="D5">
        <v>19</v>
      </c>
      <c r="E5">
        <v>130</v>
      </c>
      <c r="F5">
        <v>72</v>
      </c>
      <c r="G5">
        <v>165</v>
      </c>
      <c r="H5">
        <v>18</v>
      </c>
      <c r="I5">
        <v>265</v>
      </c>
      <c r="K5">
        <v>350</v>
      </c>
      <c r="L5">
        <v>42</v>
      </c>
      <c r="M5">
        <v>150</v>
      </c>
      <c r="N5">
        <v>155</v>
      </c>
      <c r="O5">
        <v>160</v>
      </c>
      <c r="Q5">
        <v>90</v>
      </c>
      <c r="R5">
        <v>22</v>
      </c>
      <c r="S5">
        <v>180</v>
      </c>
      <c r="T5">
        <v>188</v>
      </c>
      <c r="U5">
        <v>200</v>
      </c>
      <c r="V5">
        <v>30</v>
      </c>
      <c r="W5">
        <v>300</v>
      </c>
      <c r="X5">
        <v>86</v>
      </c>
      <c r="Y5">
        <v>170</v>
      </c>
      <c r="Z5">
        <v>330</v>
      </c>
      <c r="AA5">
        <v>200</v>
      </c>
      <c r="AC5">
        <v>100</v>
      </c>
      <c r="AD5">
        <v>485</v>
      </c>
      <c r="AE5">
        <v>185</v>
      </c>
    </row>
    <row r="6" spans="1:75" x14ac:dyDescent="0.25">
      <c r="A6" t="s">
        <v>715</v>
      </c>
      <c r="B6">
        <v>2008</v>
      </c>
      <c r="C6">
        <v>6</v>
      </c>
      <c r="D6">
        <v>16</v>
      </c>
      <c r="E6">
        <v>130</v>
      </c>
      <c r="F6">
        <v>30</v>
      </c>
      <c r="G6">
        <v>142.5</v>
      </c>
      <c r="I6">
        <v>350</v>
      </c>
      <c r="K6">
        <v>420</v>
      </c>
      <c r="L6">
        <v>11</v>
      </c>
      <c r="M6">
        <v>100</v>
      </c>
      <c r="N6">
        <v>65</v>
      </c>
      <c r="O6">
        <v>140</v>
      </c>
      <c r="P6">
        <v>9</v>
      </c>
      <c r="Q6">
        <v>175</v>
      </c>
      <c r="R6">
        <v>17</v>
      </c>
      <c r="S6">
        <v>200</v>
      </c>
      <c r="T6">
        <v>114</v>
      </c>
      <c r="U6">
        <v>250</v>
      </c>
      <c r="V6">
        <v>28</v>
      </c>
      <c r="W6">
        <v>445</v>
      </c>
      <c r="X6">
        <v>56</v>
      </c>
      <c r="Y6">
        <v>152.5</v>
      </c>
      <c r="Z6">
        <v>225</v>
      </c>
      <c r="AA6">
        <v>220</v>
      </c>
      <c r="AB6">
        <v>9</v>
      </c>
      <c r="AC6">
        <v>330</v>
      </c>
      <c r="AD6">
        <v>300</v>
      </c>
      <c r="AE6">
        <v>200</v>
      </c>
    </row>
    <row r="7" spans="1:75" x14ac:dyDescent="0.25">
      <c r="A7" t="s">
        <v>716</v>
      </c>
      <c r="B7">
        <v>2008</v>
      </c>
      <c r="C7">
        <v>6</v>
      </c>
      <c r="E7">
        <v>132.5</v>
      </c>
      <c r="F7">
        <v>33</v>
      </c>
      <c r="G7">
        <v>180</v>
      </c>
      <c r="H7">
        <v>14</v>
      </c>
      <c r="I7">
        <v>222.5</v>
      </c>
      <c r="K7">
        <v>200</v>
      </c>
      <c r="L7">
        <v>17</v>
      </c>
      <c r="M7">
        <v>160</v>
      </c>
      <c r="N7">
        <v>70</v>
      </c>
      <c r="O7">
        <v>180</v>
      </c>
      <c r="Q7">
        <v>150</v>
      </c>
      <c r="R7">
        <v>44</v>
      </c>
      <c r="S7">
        <v>192.5</v>
      </c>
      <c r="T7">
        <v>177</v>
      </c>
      <c r="U7">
        <v>220</v>
      </c>
      <c r="V7">
        <v>64</v>
      </c>
      <c r="W7">
        <v>260</v>
      </c>
      <c r="X7">
        <v>75</v>
      </c>
      <c r="Y7">
        <v>200</v>
      </c>
      <c r="Z7">
        <v>365</v>
      </c>
      <c r="AA7">
        <v>220</v>
      </c>
      <c r="AB7">
        <v>0</v>
      </c>
      <c r="AD7">
        <v>435</v>
      </c>
      <c r="AE7">
        <v>210</v>
      </c>
    </row>
    <row r="8" spans="1:75" x14ac:dyDescent="0.25">
      <c r="A8" t="s">
        <v>717</v>
      </c>
      <c r="B8">
        <v>2008</v>
      </c>
      <c r="C8">
        <v>6</v>
      </c>
      <c r="D8">
        <v>13</v>
      </c>
      <c r="E8">
        <v>110</v>
      </c>
      <c r="F8">
        <v>83</v>
      </c>
      <c r="G8">
        <v>120</v>
      </c>
      <c r="H8">
        <v>20</v>
      </c>
      <c r="I8">
        <v>210</v>
      </c>
      <c r="J8">
        <v>0</v>
      </c>
      <c r="L8">
        <v>59</v>
      </c>
      <c r="M8">
        <v>115</v>
      </c>
      <c r="N8">
        <v>175</v>
      </c>
      <c r="O8">
        <v>120</v>
      </c>
      <c r="Q8">
        <v>130</v>
      </c>
      <c r="R8">
        <v>43</v>
      </c>
      <c r="S8">
        <v>140</v>
      </c>
      <c r="T8">
        <v>178</v>
      </c>
      <c r="U8">
        <v>175</v>
      </c>
      <c r="V8">
        <v>35</v>
      </c>
      <c r="W8">
        <v>220</v>
      </c>
      <c r="X8">
        <v>97</v>
      </c>
      <c r="Y8">
        <v>150</v>
      </c>
      <c r="Z8">
        <v>360</v>
      </c>
      <c r="AA8">
        <v>170</v>
      </c>
      <c r="AB8">
        <v>0</v>
      </c>
      <c r="AD8">
        <v>535</v>
      </c>
      <c r="AE8">
        <v>160</v>
      </c>
    </row>
    <row r="9" spans="1:75" x14ac:dyDescent="0.25">
      <c r="A9" t="s">
        <v>628</v>
      </c>
      <c r="B9">
        <v>2008</v>
      </c>
      <c r="C9">
        <v>6</v>
      </c>
      <c r="D9">
        <v>446</v>
      </c>
      <c r="E9">
        <v>175</v>
      </c>
      <c r="F9">
        <v>2090</v>
      </c>
      <c r="G9">
        <v>230</v>
      </c>
      <c r="H9">
        <v>458</v>
      </c>
      <c r="I9">
        <v>290</v>
      </c>
      <c r="J9">
        <v>25</v>
      </c>
      <c r="K9">
        <v>165</v>
      </c>
      <c r="L9">
        <v>999</v>
      </c>
      <c r="M9">
        <v>205</v>
      </c>
      <c r="N9">
        <v>4018</v>
      </c>
      <c r="O9">
        <v>225</v>
      </c>
      <c r="P9">
        <v>93</v>
      </c>
      <c r="Q9">
        <v>180</v>
      </c>
      <c r="R9">
        <v>686</v>
      </c>
      <c r="S9">
        <v>260</v>
      </c>
      <c r="T9">
        <v>3263</v>
      </c>
      <c r="U9">
        <v>270</v>
      </c>
      <c r="V9">
        <v>641</v>
      </c>
      <c r="W9">
        <v>320</v>
      </c>
      <c r="X9">
        <v>1789</v>
      </c>
      <c r="Y9">
        <v>250</v>
      </c>
      <c r="Z9">
        <v>6472</v>
      </c>
      <c r="AA9">
        <v>270</v>
      </c>
      <c r="AB9">
        <v>100</v>
      </c>
      <c r="AC9">
        <v>150</v>
      </c>
      <c r="AD9">
        <v>10590</v>
      </c>
      <c r="AE9">
        <v>250</v>
      </c>
    </row>
    <row r="10" spans="1:75" x14ac:dyDescent="0.25">
      <c r="A10" t="s">
        <v>718</v>
      </c>
      <c r="B10">
        <v>2008</v>
      </c>
      <c r="C10">
        <v>6</v>
      </c>
      <c r="D10">
        <v>13</v>
      </c>
      <c r="E10">
        <v>90</v>
      </c>
      <c r="F10">
        <v>49</v>
      </c>
      <c r="G10">
        <v>130</v>
      </c>
      <c r="H10">
        <v>9</v>
      </c>
      <c r="I10">
        <v>195</v>
      </c>
      <c r="J10">
        <v>0</v>
      </c>
      <c r="L10">
        <v>51</v>
      </c>
      <c r="M10">
        <v>120</v>
      </c>
      <c r="N10">
        <v>120</v>
      </c>
      <c r="O10">
        <v>125</v>
      </c>
      <c r="Q10">
        <v>115</v>
      </c>
      <c r="R10">
        <v>34</v>
      </c>
      <c r="S10">
        <v>152.5</v>
      </c>
      <c r="T10">
        <v>163</v>
      </c>
      <c r="U10">
        <v>185</v>
      </c>
      <c r="V10">
        <v>42</v>
      </c>
      <c r="W10">
        <v>235</v>
      </c>
      <c r="X10">
        <v>173</v>
      </c>
      <c r="Y10">
        <v>160</v>
      </c>
      <c r="Z10">
        <v>415</v>
      </c>
      <c r="AA10">
        <v>175</v>
      </c>
      <c r="AB10">
        <v>0</v>
      </c>
      <c r="AD10">
        <v>540</v>
      </c>
      <c r="AE10">
        <v>160</v>
      </c>
    </row>
    <row r="11" spans="1:75" x14ac:dyDescent="0.25">
      <c r="A11" t="s">
        <v>719</v>
      </c>
      <c r="B11">
        <v>2008</v>
      </c>
      <c r="C11">
        <v>6</v>
      </c>
      <c r="D11">
        <v>50</v>
      </c>
      <c r="E11">
        <v>140</v>
      </c>
      <c r="F11">
        <v>295</v>
      </c>
      <c r="G11">
        <v>200</v>
      </c>
      <c r="H11">
        <v>86</v>
      </c>
      <c r="I11">
        <v>257.5</v>
      </c>
      <c r="K11">
        <v>265</v>
      </c>
      <c r="L11">
        <v>173</v>
      </c>
      <c r="M11">
        <v>160</v>
      </c>
      <c r="N11">
        <v>605</v>
      </c>
      <c r="O11">
        <v>195</v>
      </c>
      <c r="P11">
        <v>11</v>
      </c>
      <c r="Q11">
        <v>165</v>
      </c>
      <c r="R11">
        <v>104</v>
      </c>
      <c r="S11">
        <v>220</v>
      </c>
      <c r="T11">
        <v>1230</v>
      </c>
      <c r="U11">
        <v>250</v>
      </c>
      <c r="V11">
        <v>208</v>
      </c>
      <c r="W11">
        <v>290</v>
      </c>
      <c r="X11">
        <v>632</v>
      </c>
      <c r="Y11">
        <v>230</v>
      </c>
      <c r="Z11">
        <v>2185</v>
      </c>
      <c r="AA11">
        <v>250</v>
      </c>
      <c r="AB11">
        <v>24</v>
      </c>
      <c r="AC11">
        <v>148</v>
      </c>
      <c r="AD11">
        <v>2815</v>
      </c>
      <c r="AE11">
        <v>240</v>
      </c>
    </row>
    <row r="12" spans="1:75" x14ac:dyDescent="0.25">
      <c r="A12" t="s">
        <v>720</v>
      </c>
      <c r="B12">
        <v>2008</v>
      </c>
      <c r="C12">
        <v>6</v>
      </c>
      <c r="D12">
        <v>75</v>
      </c>
      <c r="E12">
        <v>110</v>
      </c>
      <c r="F12">
        <v>317</v>
      </c>
      <c r="G12">
        <v>150</v>
      </c>
      <c r="H12">
        <v>101</v>
      </c>
      <c r="I12">
        <v>235</v>
      </c>
      <c r="J12">
        <v>12</v>
      </c>
      <c r="K12">
        <v>330</v>
      </c>
      <c r="L12">
        <v>233</v>
      </c>
      <c r="M12">
        <v>130</v>
      </c>
      <c r="N12">
        <v>738</v>
      </c>
      <c r="O12">
        <v>150</v>
      </c>
      <c r="P12">
        <v>35</v>
      </c>
      <c r="Q12">
        <v>140</v>
      </c>
      <c r="R12">
        <v>240</v>
      </c>
      <c r="S12">
        <v>170</v>
      </c>
      <c r="T12">
        <v>1177</v>
      </c>
      <c r="U12">
        <v>200</v>
      </c>
      <c r="V12">
        <v>297</v>
      </c>
      <c r="W12">
        <v>270</v>
      </c>
      <c r="X12">
        <v>740</v>
      </c>
      <c r="Y12">
        <v>170</v>
      </c>
      <c r="Z12">
        <v>2489</v>
      </c>
      <c r="AA12">
        <v>195</v>
      </c>
      <c r="AB12">
        <v>13</v>
      </c>
      <c r="AC12">
        <v>300</v>
      </c>
      <c r="AD12">
        <v>3240</v>
      </c>
      <c r="AE12">
        <v>185</v>
      </c>
    </row>
    <row r="13" spans="1:75" x14ac:dyDescent="0.25">
      <c r="A13" t="s">
        <v>721</v>
      </c>
      <c r="B13">
        <v>2008</v>
      </c>
      <c r="C13">
        <v>6</v>
      </c>
      <c r="D13">
        <v>95</v>
      </c>
      <c r="E13">
        <v>180</v>
      </c>
      <c r="F13">
        <v>516</v>
      </c>
      <c r="G13">
        <v>225</v>
      </c>
      <c r="H13">
        <v>111</v>
      </c>
      <c r="I13">
        <v>280</v>
      </c>
      <c r="K13">
        <v>260</v>
      </c>
      <c r="L13">
        <v>216</v>
      </c>
      <c r="M13">
        <v>200</v>
      </c>
      <c r="N13">
        <v>940</v>
      </c>
      <c r="O13">
        <v>220</v>
      </c>
      <c r="P13">
        <v>36</v>
      </c>
      <c r="Q13">
        <v>165</v>
      </c>
      <c r="R13">
        <v>137</v>
      </c>
      <c r="S13">
        <v>250</v>
      </c>
      <c r="T13">
        <v>907</v>
      </c>
      <c r="U13">
        <v>275</v>
      </c>
      <c r="V13">
        <v>208</v>
      </c>
      <c r="W13">
        <v>320</v>
      </c>
      <c r="X13">
        <v>461</v>
      </c>
      <c r="Y13">
        <v>250</v>
      </c>
      <c r="Z13">
        <v>1750</v>
      </c>
      <c r="AA13">
        <v>270</v>
      </c>
      <c r="AB13">
        <v>24</v>
      </c>
      <c r="AC13">
        <v>163</v>
      </c>
      <c r="AD13">
        <v>2715</v>
      </c>
      <c r="AE13">
        <v>255</v>
      </c>
    </row>
    <row r="14" spans="1:75" x14ac:dyDescent="0.25">
      <c r="A14" t="s">
        <v>722</v>
      </c>
      <c r="B14">
        <v>2008</v>
      </c>
      <c r="C14">
        <v>6</v>
      </c>
      <c r="D14">
        <v>108</v>
      </c>
      <c r="E14">
        <v>162.5</v>
      </c>
      <c r="F14">
        <v>517</v>
      </c>
      <c r="G14">
        <v>220</v>
      </c>
      <c r="H14">
        <v>107</v>
      </c>
      <c r="I14">
        <v>290</v>
      </c>
      <c r="K14">
        <v>390</v>
      </c>
      <c r="L14">
        <v>233</v>
      </c>
      <c r="M14">
        <v>195</v>
      </c>
      <c r="N14">
        <v>965</v>
      </c>
      <c r="O14">
        <v>220</v>
      </c>
      <c r="P14">
        <v>22</v>
      </c>
      <c r="Q14">
        <v>180</v>
      </c>
      <c r="R14">
        <v>191</v>
      </c>
      <c r="S14">
        <v>250</v>
      </c>
      <c r="T14">
        <v>551</v>
      </c>
      <c r="U14">
        <v>300</v>
      </c>
      <c r="V14">
        <v>90</v>
      </c>
      <c r="W14">
        <v>355</v>
      </c>
      <c r="X14">
        <v>318</v>
      </c>
      <c r="Y14">
        <v>260</v>
      </c>
      <c r="Z14">
        <v>1170</v>
      </c>
      <c r="AA14">
        <v>280</v>
      </c>
      <c r="AB14">
        <v>15</v>
      </c>
      <c r="AC14">
        <v>140</v>
      </c>
      <c r="AD14">
        <v>2155</v>
      </c>
      <c r="AE14">
        <v>250</v>
      </c>
    </row>
    <row r="15" spans="1:75" x14ac:dyDescent="0.25">
      <c r="A15" t="s">
        <v>723</v>
      </c>
      <c r="B15">
        <v>2008</v>
      </c>
      <c r="C15">
        <v>6</v>
      </c>
      <c r="E15">
        <v>81.7</v>
      </c>
      <c r="F15">
        <v>25</v>
      </c>
      <c r="G15">
        <v>150</v>
      </c>
      <c r="H15">
        <v>6</v>
      </c>
      <c r="I15">
        <v>177.5</v>
      </c>
      <c r="J15">
        <v>0</v>
      </c>
      <c r="L15">
        <v>15</v>
      </c>
      <c r="M15">
        <v>114</v>
      </c>
      <c r="N15">
        <v>50</v>
      </c>
      <c r="O15">
        <v>140</v>
      </c>
      <c r="Q15">
        <v>120</v>
      </c>
      <c r="R15">
        <v>52</v>
      </c>
      <c r="S15">
        <v>160</v>
      </c>
      <c r="T15">
        <v>178</v>
      </c>
      <c r="U15">
        <v>180</v>
      </c>
      <c r="V15">
        <v>47</v>
      </c>
      <c r="W15">
        <v>250</v>
      </c>
      <c r="X15">
        <v>149</v>
      </c>
      <c r="Y15">
        <v>150</v>
      </c>
      <c r="Z15">
        <v>430</v>
      </c>
      <c r="AA15">
        <v>175</v>
      </c>
      <c r="AC15">
        <v>100</v>
      </c>
      <c r="AD15">
        <v>480</v>
      </c>
      <c r="AE15">
        <v>170</v>
      </c>
    </row>
    <row r="16" spans="1:75" x14ac:dyDescent="0.25">
      <c r="A16" t="s">
        <v>711</v>
      </c>
      <c r="B16">
        <v>2008</v>
      </c>
      <c r="C16">
        <v>9</v>
      </c>
      <c r="E16">
        <v>167.5</v>
      </c>
      <c r="F16">
        <v>13</v>
      </c>
      <c r="G16">
        <v>200</v>
      </c>
      <c r="H16">
        <v>15</v>
      </c>
      <c r="I16">
        <v>260</v>
      </c>
      <c r="K16">
        <v>330</v>
      </c>
      <c r="L16">
        <v>23</v>
      </c>
      <c r="M16">
        <v>225</v>
      </c>
      <c r="N16">
        <v>55</v>
      </c>
      <c r="O16">
        <v>235</v>
      </c>
      <c r="Q16">
        <v>142.5</v>
      </c>
      <c r="R16">
        <v>16</v>
      </c>
      <c r="S16">
        <v>255</v>
      </c>
      <c r="T16">
        <v>107</v>
      </c>
      <c r="U16">
        <v>280</v>
      </c>
      <c r="V16">
        <v>46</v>
      </c>
      <c r="W16">
        <v>350</v>
      </c>
      <c r="X16">
        <v>76</v>
      </c>
      <c r="Y16">
        <v>275</v>
      </c>
      <c r="Z16">
        <v>250</v>
      </c>
      <c r="AA16">
        <v>280</v>
      </c>
      <c r="AB16">
        <v>0</v>
      </c>
      <c r="AD16">
        <v>305</v>
      </c>
      <c r="AE16">
        <v>275</v>
      </c>
    </row>
    <row r="17" spans="1:31" x14ac:dyDescent="0.25">
      <c r="A17" t="s">
        <v>712</v>
      </c>
      <c r="B17">
        <v>2008</v>
      </c>
      <c r="C17">
        <v>9</v>
      </c>
      <c r="E17">
        <v>137.5</v>
      </c>
      <c r="F17">
        <v>25</v>
      </c>
      <c r="G17">
        <v>190</v>
      </c>
      <c r="H17">
        <v>12</v>
      </c>
      <c r="I17">
        <v>240</v>
      </c>
      <c r="K17">
        <v>280</v>
      </c>
      <c r="L17">
        <v>35</v>
      </c>
      <c r="M17">
        <v>170</v>
      </c>
      <c r="N17">
        <v>75</v>
      </c>
      <c r="O17">
        <v>190</v>
      </c>
      <c r="Q17">
        <v>128</v>
      </c>
      <c r="R17">
        <v>29</v>
      </c>
      <c r="S17">
        <v>200</v>
      </c>
      <c r="T17">
        <v>142</v>
      </c>
      <c r="U17">
        <v>240</v>
      </c>
      <c r="V17">
        <v>35</v>
      </c>
      <c r="W17">
        <v>290</v>
      </c>
      <c r="X17">
        <v>105</v>
      </c>
      <c r="Y17">
        <v>230</v>
      </c>
      <c r="Z17">
        <v>315</v>
      </c>
      <c r="AA17">
        <v>240</v>
      </c>
      <c r="AB17">
        <v>0</v>
      </c>
      <c r="AD17">
        <v>390</v>
      </c>
      <c r="AE17">
        <v>230</v>
      </c>
    </row>
    <row r="18" spans="1:31" x14ac:dyDescent="0.25">
      <c r="A18" t="s">
        <v>713</v>
      </c>
      <c r="B18">
        <v>2008</v>
      </c>
      <c r="C18">
        <v>9</v>
      </c>
      <c r="D18">
        <v>198</v>
      </c>
      <c r="E18">
        <v>200</v>
      </c>
      <c r="F18">
        <v>621</v>
      </c>
      <c r="G18">
        <v>260</v>
      </c>
      <c r="H18">
        <v>136</v>
      </c>
      <c r="I18">
        <v>360</v>
      </c>
      <c r="J18">
        <v>15</v>
      </c>
      <c r="K18">
        <v>165</v>
      </c>
      <c r="L18">
        <v>333</v>
      </c>
      <c r="M18">
        <v>230</v>
      </c>
      <c r="N18">
        <v>1305</v>
      </c>
      <c r="O18">
        <v>250</v>
      </c>
      <c r="P18">
        <v>22</v>
      </c>
      <c r="Q18">
        <v>205</v>
      </c>
      <c r="R18">
        <v>215</v>
      </c>
      <c r="S18">
        <v>310</v>
      </c>
      <c r="T18">
        <v>402</v>
      </c>
      <c r="U18">
        <v>330</v>
      </c>
      <c r="V18">
        <v>90</v>
      </c>
      <c r="W18">
        <v>420</v>
      </c>
      <c r="X18">
        <v>329</v>
      </c>
      <c r="Y18">
        <v>330</v>
      </c>
      <c r="Z18">
        <v>1060</v>
      </c>
      <c r="AA18">
        <v>330</v>
      </c>
      <c r="AB18">
        <v>30</v>
      </c>
      <c r="AC18">
        <v>165</v>
      </c>
      <c r="AD18">
        <v>2390</v>
      </c>
      <c r="AE18">
        <v>290</v>
      </c>
    </row>
    <row r="19" spans="1:31" x14ac:dyDescent="0.25">
      <c r="A19" t="s">
        <v>714</v>
      </c>
      <c r="B19">
        <v>2008</v>
      </c>
      <c r="C19">
        <v>9</v>
      </c>
      <c r="D19">
        <v>19</v>
      </c>
      <c r="E19">
        <v>120</v>
      </c>
      <c r="F19">
        <v>42</v>
      </c>
      <c r="G19">
        <v>170</v>
      </c>
      <c r="H19">
        <v>24</v>
      </c>
      <c r="I19">
        <v>260</v>
      </c>
      <c r="K19">
        <v>380</v>
      </c>
      <c r="L19">
        <v>50</v>
      </c>
      <c r="M19">
        <v>130</v>
      </c>
      <c r="N19">
        <v>140</v>
      </c>
      <c r="O19">
        <v>160</v>
      </c>
      <c r="Q19">
        <v>130</v>
      </c>
      <c r="R19">
        <v>23</v>
      </c>
      <c r="S19">
        <v>185</v>
      </c>
      <c r="T19">
        <v>134</v>
      </c>
      <c r="U19">
        <v>220</v>
      </c>
      <c r="V19">
        <v>40</v>
      </c>
      <c r="W19">
        <v>325</v>
      </c>
      <c r="X19">
        <v>92</v>
      </c>
      <c r="Y19">
        <v>180</v>
      </c>
      <c r="Z19">
        <v>295</v>
      </c>
      <c r="AA19">
        <v>210</v>
      </c>
      <c r="AC19">
        <v>200</v>
      </c>
      <c r="AD19">
        <v>430</v>
      </c>
      <c r="AE19">
        <v>195</v>
      </c>
    </row>
    <row r="20" spans="1:31" x14ac:dyDescent="0.25">
      <c r="A20" t="s">
        <v>715</v>
      </c>
      <c r="B20">
        <v>2008</v>
      </c>
      <c r="C20">
        <v>9</v>
      </c>
      <c r="D20">
        <v>8</v>
      </c>
      <c r="E20">
        <v>165</v>
      </c>
      <c r="F20">
        <v>22</v>
      </c>
      <c r="G20">
        <v>142.5</v>
      </c>
      <c r="H20">
        <v>9</v>
      </c>
      <c r="I20">
        <v>360</v>
      </c>
      <c r="K20">
        <v>380</v>
      </c>
      <c r="L20">
        <v>14</v>
      </c>
      <c r="M20">
        <v>132.5</v>
      </c>
      <c r="N20">
        <v>55</v>
      </c>
      <c r="O20">
        <v>145</v>
      </c>
      <c r="Q20">
        <v>220</v>
      </c>
      <c r="R20">
        <v>18</v>
      </c>
      <c r="S20">
        <v>175</v>
      </c>
      <c r="T20">
        <v>92</v>
      </c>
      <c r="U20">
        <v>230</v>
      </c>
      <c r="V20">
        <v>25</v>
      </c>
      <c r="W20">
        <v>450</v>
      </c>
      <c r="X20">
        <v>50</v>
      </c>
      <c r="Y20">
        <v>150</v>
      </c>
      <c r="Z20">
        <v>190</v>
      </c>
      <c r="AA20">
        <v>200</v>
      </c>
      <c r="AC20">
        <v>330</v>
      </c>
      <c r="AD20">
        <v>250</v>
      </c>
      <c r="AE20">
        <v>190</v>
      </c>
    </row>
    <row r="21" spans="1:31" x14ac:dyDescent="0.25">
      <c r="A21" t="s">
        <v>716</v>
      </c>
      <c r="B21">
        <v>2008</v>
      </c>
      <c r="C21">
        <v>9</v>
      </c>
      <c r="E21">
        <v>135</v>
      </c>
      <c r="F21">
        <v>37</v>
      </c>
      <c r="G21">
        <v>175</v>
      </c>
      <c r="H21">
        <v>12</v>
      </c>
      <c r="I21">
        <v>215</v>
      </c>
      <c r="J21">
        <v>0</v>
      </c>
      <c r="L21">
        <v>22</v>
      </c>
      <c r="M21">
        <v>160</v>
      </c>
      <c r="N21">
        <v>75</v>
      </c>
      <c r="O21">
        <v>180</v>
      </c>
      <c r="Q21">
        <v>95</v>
      </c>
      <c r="R21">
        <v>22</v>
      </c>
      <c r="S21">
        <v>182.5</v>
      </c>
      <c r="T21">
        <v>123</v>
      </c>
      <c r="U21">
        <v>230</v>
      </c>
      <c r="V21">
        <v>26</v>
      </c>
      <c r="W21">
        <v>272.5</v>
      </c>
      <c r="X21">
        <v>69</v>
      </c>
      <c r="Y21">
        <v>200</v>
      </c>
      <c r="Z21">
        <v>245</v>
      </c>
      <c r="AA21">
        <v>220</v>
      </c>
      <c r="AB21">
        <v>0</v>
      </c>
      <c r="AD21">
        <v>320</v>
      </c>
      <c r="AE21">
        <v>210</v>
      </c>
    </row>
    <row r="22" spans="1:31" x14ac:dyDescent="0.25">
      <c r="A22" t="s">
        <v>717</v>
      </c>
      <c r="B22">
        <v>2008</v>
      </c>
      <c r="C22">
        <v>9</v>
      </c>
      <c r="D22">
        <v>12</v>
      </c>
      <c r="E22">
        <v>100</v>
      </c>
      <c r="F22">
        <v>73</v>
      </c>
      <c r="G22">
        <v>120</v>
      </c>
      <c r="H22">
        <v>10</v>
      </c>
      <c r="I22">
        <v>210</v>
      </c>
      <c r="J22">
        <v>0</v>
      </c>
      <c r="L22">
        <v>79</v>
      </c>
      <c r="M22">
        <v>120</v>
      </c>
      <c r="N22">
        <v>175</v>
      </c>
      <c r="O22">
        <v>120</v>
      </c>
      <c r="Q22">
        <v>100</v>
      </c>
      <c r="R22">
        <v>32</v>
      </c>
      <c r="S22">
        <v>160</v>
      </c>
      <c r="T22">
        <v>172</v>
      </c>
      <c r="U22">
        <v>175</v>
      </c>
      <c r="V22">
        <v>38</v>
      </c>
      <c r="W22">
        <v>225</v>
      </c>
      <c r="X22">
        <v>142</v>
      </c>
      <c r="Y22">
        <v>167.5</v>
      </c>
      <c r="Z22">
        <v>385</v>
      </c>
      <c r="AA22">
        <v>175</v>
      </c>
      <c r="AB22">
        <v>0</v>
      </c>
      <c r="AD22">
        <v>560</v>
      </c>
      <c r="AE22">
        <v>165</v>
      </c>
    </row>
    <row r="23" spans="1:31" x14ac:dyDescent="0.25">
      <c r="A23" t="s">
        <v>628</v>
      </c>
      <c r="B23">
        <v>2008</v>
      </c>
      <c r="C23">
        <v>9</v>
      </c>
      <c r="D23">
        <v>433</v>
      </c>
      <c r="E23">
        <v>185</v>
      </c>
      <c r="F23">
        <v>1899</v>
      </c>
      <c r="G23">
        <v>230</v>
      </c>
      <c r="H23">
        <v>417</v>
      </c>
      <c r="I23">
        <v>300</v>
      </c>
      <c r="J23">
        <v>26</v>
      </c>
      <c r="K23">
        <v>280</v>
      </c>
      <c r="L23">
        <v>982</v>
      </c>
      <c r="M23">
        <v>200</v>
      </c>
      <c r="N23">
        <v>3757</v>
      </c>
      <c r="O23">
        <v>225</v>
      </c>
      <c r="P23">
        <v>84</v>
      </c>
      <c r="Q23">
        <v>182.5</v>
      </c>
      <c r="R23">
        <v>614</v>
      </c>
      <c r="S23">
        <v>270</v>
      </c>
      <c r="T23">
        <v>2796</v>
      </c>
      <c r="U23">
        <v>280</v>
      </c>
      <c r="V23">
        <v>573</v>
      </c>
      <c r="W23">
        <v>335</v>
      </c>
      <c r="X23">
        <v>1953</v>
      </c>
      <c r="Y23">
        <v>250</v>
      </c>
      <c r="Z23">
        <v>6020</v>
      </c>
      <c r="AA23">
        <v>275</v>
      </c>
      <c r="AB23">
        <v>80</v>
      </c>
      <c r="AC23">
        <v>150</v>
      </c>
      <c r="AD23">
        <v>9857</v>
      </c>
      <c r="AE23">
        <v>260</v>
      </c>
    </row>
    <row r="24" spans="1:31" x14ac:dyDescent="0.25">
      <c r="A24" t="s">
        <v>718</v>
      </c>
      <c r="B24">
        <v>2008</v>
      </c>
      <c r="C24">
        <v>9</v>
      </c>
      <c r="D24">
        <v>9</v>
      </c>
      <c r="E24">
        <v>95</v>
      </c>
      <c r="F24">
        <v>49</v>
      </c>
      <c r="G24">
        <v>130</v>
      </c>
      <c r="H24">
        <v>9</v>
      </c>
      <c r="I24">
        <v>190</v>
      </c>
      <c r="K24">
        <v>250</v>
      </c>
      <c r="L24">
        <v>48</v>
      </c>
      <c r="M24">
        <v>120</v>
      </c>
      <c r="N24">
        <v>115</v>
      </c>
      <c r="O24">
        <v>130</v>
      </c>
      <c r="Q24">
        <v>127.5</v>
      </c>
      <c r="R24">
        <v>29</v>
      </c>
      <c r="S24">
        <v>165</v>
      </c>
      <c r="T24">
        <v>178</v>
      </c>
      <c r="U24">
        <v>185</v>
      </c>
      <c r="V24">
        <v>43</v>
      </c>
      <c r="W24">
        <v>240</v>
      </c>
      <c r="X24">
        <v>194</v>
      </c>
      <c r="Y24">
        <v>152.5</v>
      </c>
      <c r="Z24">
        <v>445</v>
      </c>
      <c r="AA24">
        <v>170</v>
      </c>
      <c r="AB24">
        <v>0</v>
      </c>
      <c r="AD24">
        <v>560</v>
      </c>
      <c r="AE24">
        <v>165</v>
      </c>
    </row>
    <row r="25" spans="1:31" x14ac:dyDescent="0.25">
      <c r="A25" t="s">
        <v>719</v>
      </c>
      <c r="B25">
        <v>2008</v>
      </c>
      <c r="C25">
        <v>9</v>
      </c>
      <c r="D25">
        <v>60</v>
      </c>
      <c r="E25">
        <v>140</v>
      </c>
      <c r="F25">
        <v>302</v>
      </c>
      <c r="G25">
        <v>212.5</v>
      </c>
      <c r="H25">
        <v>82</v>
      </c>
      <c r="I25">
        <v>270</v>
      </c>
      <c r="J25">
        <v>0</v>
      </c>
      <c r="L25">
        <v>173</v>
      </c>
      <c r="M25">
        <v>160</v>
      </c>
      <c r="N25">
        <v>615</v>
      </c>
      <c r="O25">
        <v>200</v>
      </c>
      <c r="P25">
        <v>14</v>
      </c>
      <c r="Q25">
        <v>132.5</v>
      </c>
      <c r="R25">
        <v>86</v>
      </c>
      <c r="S25">
        <v>232.5</v>
      </c>
      <c r="T25">
        <v>1030</v>
      </c>
      <c r="U25">
        <v>255</v>
      </c>
      <c r="V25">
        <v>192</v>
      </c>
      <c r="W25">
        <v>300</v>
      </c>
      <c r="X25">
        <v>805</v>
      </c>
      <c r="Y25">
        <v>230</v>
      </c>
      <c r="Z25">
        <v>2125</v>
      </c>
      <c r="AA25">
        <v>250</v>
      </c>
      <c r="AB25">
        <v>16</v>
      </c>
      <c r="AC25">
        <v>130</v>
      </c>
      <c r="AD25">
        <v>2760</v>
      </c>
      <c r="AE25">
        <v>240</v>
      </c>
    </row>
    <row r="26" spans="1:31" x14ac:dyDescent="0.25">
      <c r="A26" t="s">
        <v>720</v>
      </c>
      <c r="B26">
        <v>2008</v>
      </c>
      <c r="C26">
        <v>9</v>
      </c>
      <c r="D26">
        <v>56</v>
      </c>
      <c r="E26">
        <v>110</v>
      </c>
      <c r="F26">
        <v>254</v>
      </c>
      <c r="G26">
        <v>150</v>
      </c>
      <c r="H26">
        <v>87</v>
      </c>
      <c r="I26">
        <v>245</v>
      </c>
      <c r="J26">
        <v>7</v>
      </c>
      <c r="K26">
        <v>380</v>
      </c>
      <c r="L26">
        <v>270</v>
      </c>
      <c r="M26">
        <v>135</v>
      </c>
      <c r="N26">
        <v>674</v>
      </c>
      <c r="O26">
        <v>150</v>
      </c>
      <c r="P26">
        <v>24</v>
      </c>
      <c r="Q26">
        <v>137.5</v>
      </c>
      <c r="R26">
        <v>182</v>
      </c>
      <c r="S26">
        <v>175</v>
      </c>
      <c r="T26">
        <v>1017</v>
      </c>
      <c r="U26">
        <v>200</v>
      </c>
      <c r="V26">
        <v>267</v>
      </c>
      <c r="W26">
        <v>270</v>
      </c>
      <c r="X26">
        <v>806</v>
      </c>
      <c r="Y26">
        <v>170</v>
      </c>
      <c r="Z26">
        <v>2296</v>
      </c>
      <c r="AA26">
        <v>190</v>
      </c>
      <c r="AB26">
        <v>6</v>
      </c>
      <c r="AC26">
        <v>310</v>
      </c>
      <c r="AD26">
        <v>2976</v>
      </c>
      <c r="AE26">
        <v>180</v>
      </c>
    </row>
    <row r="27" spans="1:31" x14ac:dyDescent="0.25">
      <c r="A27" t="s">
        <v>721</v>
      </c>
      <c r="B27">
        <v>2008</v>
      </c>
      <c r="C27">
        <v>9</v>
      </c>
      <c r="D27">
        <v>89</v>
      </c>
      <c r="E27">
        <v>210</v>
      </c>
      <c r="F27">
        <v>443</v>
      </c>
      <c r="G27">
        <v>225</v>
      </c>
      <c r="H27">
        <v>117</v>
      </c>
      <c r="I27">
        <v>295</v>
      </c>
      <c r="K27">
        <v>390</v>
      </c>
      <c r="L27">
        <v>229</v>
      </c>
      <c r="M27">
        <v>200</v>
      </c>
      <c r="N27">
        <v>880</v>
      </c>
      <c r="O27">
        <v>225</v>
      </c>
      <c r="P27">
        <v>25</v>
      </c>
      <c r="Q27">
        <v>195</v>
      </c>
      <c r="R27">
        <v>134</v>
      </c>
      <c r="S27">
        <v>260</v>
      </c>
      <c r="T27">
        <v>787</v>
      </c>
      <c r="U27">
        <v>280</v>
      </c>
      <c r="V27">
        <v>179</v>
      </c>
      <c r="W27">
        <v>340</v>
      </c>
      <c r="X27">
        <v>482</v>
      </c>
      <c r="Y27">
        <v>250</v>
      </c>
      <c r="Z27">
        <v>1605</v>
      </c>
      <c r="AA27">
        <v>280</v>
      </c>
      <c r="AB27">
        <v>22</v>
      </c>
      <c r="AC27">
        <v>160</v>
      </c>
      <c r="AD27">
        <v>2510</v>
      </c>
      <c r="AE27">
        <v>260</v>
      </c>
    </row>
    <row r="28" spans="1:31" x14ac:dyDescent="0.25">
      <c r="A28" t="s">
        <v>722</v>
      </c>
      <c r="B28">
        <v>2008</v>
      </c>
      <c r="C28">
        <v>9</v>
      </c>
      <c r="D28">
        <v>83</v>
      </c>
      <c r="E28">
        <v>170</v>
      </c>
      <c r="F28">
        <v>516</v>
      </c>
      <c r="G28">
        <v>220</v>
      </c>
      <c r="H28">
        <v>75</v>
      </c>
      <c r="I28">
        <v>300</v>
      </c>
      <c r="K28">
        <v>195</v>
      </c>
      <c r="L28">
        <v>224</v>
      </c>
      <c r="M28">
        <v>195</v>
      </c>
      <c r="N28">
        <v>900</v>
      </c>
      <c r="O28">
        <v>210</v>
      </c>
      <c r="P28">
        <v>21</v>
      </c>
      <c r="Q28">
        <v>175</v>
      </c>
      <c r="R28">
        <v>160</v>
      </c>
      <c r="S28">
        <v>250</v>
      </c>
      <c r="T28">
        <v>477</v>
      </c>
      <c r="U28">
        <v>300</v>
      </c>
      <c r="V28">
        <v>80</v>
      </c>
      <c r="W28">
        <v>370</v>
      </c>
      <c r="X28">
        <v>285</v>
      </c>
      <c r="Y28">
        <v>260</v>
      </c>
      <c r="Z28">
        <v>1025</v>
      </c>
      <c r="AA28">
        <v>285</v>
      </c>
      <c r="AB28">
        <v>12</v>
      </c>
      <c r="AC28">
        <v>140</v>
      </c>
      <c r="AD28">
        <v>1935</v>
      </c>
      <c r="AE28">
        <v>250</v>
      </c>
    </row>
    <row r="29" spans="1:31" x14ac:dyDescent="0.25">
      <c r="A29" t="s">
        <v>723</v>
      </c>
      <c r="B29">
        <v>2008</v>
      </c>
      <c r="C29">
        <v>9</v>
      </c>
      <c r="E29">
        <v>75</v>
      </c>
      <c r="F29">
        <v>10</v>
      </c>
      <c r="G29">
        <v>137.5</v>
      </c>
      <c r="I29">
        <v>200</v>
      </c>
      <c r="K29">
        <v>250</v>
      </c>
      <c r="L29">
        <v>22</v>
      </c>
      <c r="M29">
        <v>115</v>
      </c>
      <c r="N29">
        <v>35</v>
      </c>
      <c r="O29">
        <v>125</v>
      </c>
      <c r="Q29">
        <v>125</v>
      </c>
      <c r="R29">
        <v>32</v>
      </c>
      <c r="S29">
        <v>167.5</v>
      </c>
      <c r="T29">
        <v>169</v>
      </c>
      <c r="U29">
        <v>180</v>
      </c>
      <c r="V29">
        <v>46</v>
      </c>
      <c r="W29">
        <v>227.5</v>
      </c>
      <c r="X29">
        <v>130</v>
      </c>
      <c r="Y29">
        <v>160</v>
      </c>
      <c r="Z29">
        <v>380</v>
      </c>
      <c r="AA29">
        <v>180</v>
      </c>
      <c r="AB29">
        <v>0</v>
      </c>
      <c r="AD29">
        <v>415</v>
      </c>
      <c r="AE29">
        <v>180</v>
      </c>
    </row>
    <row r="30" spans="1:31" x14ac:dyDescent="0.25">
      <c r="A30" t="s">
        <v>711</v>
      </c>
      <c r="B30">
        <v>2008</v>
      </c>
      <c r="C30">
        <v>12</v>
      </c>
      <c r="E30">
        <v>172.5</v>
      </c>
      <c r="F30">
        <v>20</v>
      </c>
      <c r="G30">
        <v>220</v>
      </c>
      <c r="H30">
        <v>24</v>
      </c>
      <c r="I30">
        <v>257.5</v>
      </c>
      <c r="K30">
        <v>325</v>
      </c>
      <c r="L30">
        <v>25</v>
      </c>
      <c r="M30">
        <v>240</v>
      </c>
      <c r="N30">
        <v>75</v>
      </c>
      <c r="O30">
        <v>240</v>
      </c>
      <c r="P30">
        <v>11</v>
      </c>
      <c r="Q30">
        <v>160</v>
      </c>
      <c r="R30">
        <v>15</v>
      </c>
      <c r="S30">
        <v>265</v>
      </c>
      <c r="T30">
        <v>102</v>
      </c>
      <c r="U30">
        <v>285</v>
      </c>
      <c r="V30">
        <v>45</v>
      </c>
      <c r="W30">
        <v>350</v>
      </c>
      <c r="X30">
        <v>63</v>
      </c>
      <c r="Y30">
        <v>290</v>
      </c>
      <c r="Z30">
        <v>235</v>
      </c>
      <c r="AA30">
        <v>295</v>
      </c>
      <c r="AC30">
        <v>325</v>
      </c>
      <c r="AD30">
        <v>310</v>
      </c>
      <c r="AE30">
        <v>280</v>
      </c>
    </row>
    <row r="31" spans="1:31" x14ac:dyDescent="0.25">
      <c r="A31" t="s">
        <v>712</v>
      </c>
      <c r="B31">
        <v>2008</v>
      </c>
      <c r="C31">
        <v>12</v>
      </c>
      <c r="E31">
        <v>117.5</v>
      </c>
      <c r="F31">
        <v>30</v>
      </c>
      <c r="G31">
        <v>200</v>
      </c>
      <c r="H31">
        <v>13</v>
      </c>
      <c r="I31">
        <v>250</v>
      </c>
      <c r="K31">
        <v>280</v>
      </c>
      <c r="L31">
        <v>31</v>
      </c>
      <c r="M31">
        <v>160</v>
      </c>
      <c r="N31">
        <v>75</v>
      </c>
      <c r="O31">
        <v>185</v>
      </c>
      <c r="P31">
        <v>6</v>
      </c>
      <c r="Q31">
        <v>163</v>
      </c>
      <c r="R31">
        <v>17</v>
      </c>
      <c r="S31">
        <v>190</v>
      </c>
      <c r="T31">
        <v>108</v>
      </c>
      <c r="U31">
        <v>250</v>
      </c>
      <c r="V31">
        <v>25</v>
      </c>
      <c r="W31">
        <v>300</v>
      </c>
      <c r="X31">
        <v>100</v>
      </c>
      <c r="Y31">
        <v>232</v>
      </c>
      <c r="Z31">
        <v>255</v>
      </c>
      <c r="AA31">
        <v>245</v>
      </c>
      <c r="AC31">
        <v>185</v>
      </c>
      <c r="AD31">
        <v>335</v>
      </c>
      <c r="AE31">
        <v>230</v>
      </c>
    </row>
    <row r="32" spans="1:31" x14ac:dyDescent="0.25">
      <c r="A32" t="s">
        <v>713</v>
      </c>
      <c r="B32">
        <v>2008</v>
      </c>
      <c r="C32">
        <v>12</v>
      </c>
      <c r="D32">
        <v>157</v>
      </c>
      <c r="E32">
        <v>200</v>
      </c>
      <c r="F32">
        <v>590</v>
      </c>
      <c r="G32">
        <v>260</v>
      </c>
      <c r="H32">
        <v>126</v>
      </c>
      <c r="I32">
        <v>350</v>
      </c>
      <c r="K32">
        <v>540</v>
      </c>
      <c r="L32">
        <v>288</v>
      </c>
      <c r="M32">
        <v>250</v>
      </c>
      <c r="N32">
        <v>1165</v>
      </c>
      <c r="O32">
        <v>260</v>
      </c>
      <c r="P32">
        <v>29</v>
      </c>
      <c r="Q32">
        <v>195</v>
      </c>
      <c r="R32">
        <v>177</v>
      </c>
      <c r="S32">
        <v>315</v>
      </c>
      <c r="T32">
        <v>393</v>
      </c>
      <c r="U32">
        <v>350</v>
      </c>
      <c r="V32">
        <v>83</v>
      </c>
      <c r="W32">
        <v>450</v>
      </c>
      <c r="X32">
        <v>297</v>
      </c>
      <c r="Y32">
        <v>350</v>
      </c>
      <c r="Z32">
        <v>980</v>
      </c>
      <c r="AA32">
        <v>340</v>
      </c>
      <c r="AB32">
        <v>39</v>
      </c>
      <c r="AC32">
        <v>150</v>
      </c>
      <c r="AD32">
        <v>2185</v>
      </c>
      <c r="AE32">
        <v>300</v>
      </c>
    </row>
    <row r="33" spans="1:31" x14ac:dyDescent="0.25">
      <c r="A33" t="s">
        <v>714</v>
      </c>
      <c r="B33">
        <v>2008</v>
      </c>
      <c r="C33">
        <v>12</v>
      </c>
      <c r="D33">
        <v>11</v>
      </c>
      <c r="E33">
        <v>145</v>
      </c>
      <c r="F33">
        <v>59</v>
      </c>
      <c r="G33">
        <v>165</v>
      </c>
      <c r="H33">
        <v>17</v>
      </c>
      <c r="I33">
        <v>290</v>
      </c>
      <c r="K33">
        <v>400</v>
      </c>
      <c r="L33">
        <v>45</v>
      </c>
      <c r="M33">
        <v>150</v>
      </c>
      <c r="N33">
        <v>135</v>
      </c>
      <c r="O33">
        <v>165</v>
      </c>
      <c r="Q33">
        <v>200</v>
      </c>
      <c r="R33">
        <v>27</v>
      </c>
      <c r="S33">
        <v>180</v>
      </c>
      <c r="T33">
        <v>137</v>
      </c>
      <c r="U33">
        <v>200</v>
      </c>
      <c r="V33">
        <v>24</v>
      </c>
      <c r="W33">
        <v>280</v>
      </c>
      <c r="X33">
        <v>91</v>
      </c>
      <c r="Y33">
        <v>180</v>
      </c>
      <c r="Z33">
        <v>280</v>
      </c>
      <c r="AA33">
        <v>200</v>
      </c>
      <c r="AC33">
        <v>140</v>
      </c>
      <c r="AD33">
        <v>420</v>
      </c>
      <c r="AE33">
        <v>190</v>
      </c>
    </row>
    <row r="34" spans="1:31" x14ac:dyDescent="0.25">
      <c r="A34" t="s">
        <v>715</v>
      </c>
      <c r="B34">
        <v>2008</v>
      </c>
      <c r="C34">
        <v>12</v>
      </c>
      <c r="D34">
        <v>7</v>
      </c>
      <c r="E34">
        <v>120</v>
      </c>
      <c r="F34">
        <v>24</v>
      </c>
      <c r="G34">
        <v>177.5</v>
      </c>
      <c r="H34">
        <v>7</v>
      </c>
      <c r="I34">
        <v>400</v>
      </c>
      <c r="J34">
        <v>0</v>
      </c>
      <c r="L34">
        <v>9</v>
      </c>
      <c r="M34">
        <v>125</v>
      </c>
      <c r="N34">
        <v>45</v>
      </c>
      <c r="O34">
        <v>150</v>
      </c>
      <c r="Q34">
        <v>110</v>
      </c>
      <c r="R34">
        <v>19</v>
      </c>
      <c r="S34">
        <v>185</v>
      </c>
      <c r="T34">
        <v>87</v>
      </c>
      <c r="U34">
        <v>230</v>
      </c>
      <c r="V34">
        <v>29</v>
      </c>
      <c r="W34">
        <v>440</v>
      </c>
      <c r="X34">
        <v>36</v>
      </c>
      <c r="Y34">
        <v>150</v>
      </c>
      <c r="Z34">
        <v>175</v>
      </c>
      <c r="AA34">
        <v>220</v>
      </c>
      <c r="AC34">
        <v>240</v>
      </c>
      <c r="AD34">
        <v>225</v>
      </c>
      <c r="AE34">
        <v>210</v>
      </c>
    </row>
    <row r="35" spans="1:31" x14ac:dyDescent="0.25">
      <c r="A35" t="s">
        <v>716</v>
      </c>
      <c r="B35">
        <v>2008</v>
      </c>
      <c r="C35">
        <v>12</v>
      </c>
      <c r="E35">
        <v>140</v>
      </c>
      <c r="F35">
        <v>21</v>
      </c>
      <c r="G35">
        <v>170</v>
      </c>
      <c r="H35">
        <v>13</v>
      </c>
      <c r="I35">
        <v>225</v>
      </c>
      <c r="J35">
        <v>0</v>
      </c>
      <c r="L35">
        <v>21</v>
      </c>
      <c r="M35">
        <v>145</v>
      </c>
      <c r="N35">
        <v>60</v>
      </c>
      <c r="O35">
        <v>175</v>
      </c>
      <c r="Q35">
        <v>170</v>
      </c>
      <c r="R35">
        <v>38</v>
      </c>
      <c r="S35">
        <v>190</v>
      </c>
      <c r="T35">
        <v>143</v>
      </c>
      <c r="U35">
        <v>230</v>
      </c>
      <c r="V35">
        <v>55</v>
      </c>
      <c r="W35">
        <v>260</v>
      </c>
      <c r="X35">
        <v>67</v>
      </c>
      <c r="Y35">
        <v>200</v>
      </c>
      <c r="Z35">
        <v>305</v>
      </c>
      <c r="AA35">
        <v>220</v>
      </c>
      <c r="AC35">
        <v>150</v>
      </c>
      <c r="AD35">
        <v>370</v>
      </c>
      <c r="AE35">
        <v>220</v>
      </c>
    </row>
    <row r="36" spans="1:31" x14ac:dyDescent="0.25">
      <c r="A36" t="s">
        <v>717</v>
      </c>
      <c r="B36">
        <v>2008</v>
      </c>
      <c r="C36">
        <v>12</v>
      </c>
      <c r="D36">
        <v>7</v>
      </c>
      <c r="E36">
        <v>110</v>
      </c>
      <c r="F36">
        <v>73</v>
      </c>
      <c r="G36">
        <v>125</v>
      </c>
      <c r="H36">
        <v>16</v>
      </c>
      <c r="I36">
        <v>210</v>
      </c>
      <c r="K36">
        <v>2</v>
      </c>
      <c r="L36">
        <v>63</v>
      </c>
      <c r="M36">
        <v>120</v>
      </c>
      <c r="N36">
        <v>160</v>
      </c>
      <c r="O36">
        <v>125</v>
      </c>
      <c r="Q36">
        <v>110</v>
      </c>
      <c r="R36">
        <v>37</v>
      </c>
      <c r="S36">
        <v>165</v>
      </c>
      <c r="T36">
        <v>186</v>
      </c>
      <c r="U36">
        <v>180</v>
      </c>
      <c r="V36">
        <v>42</v>
      </c>
      <c r="W36">
        <v>220</v>
      </c>
      <c r="X36">
        <v>120</v>
      </c>
      <c r="Y36">
        <v>155</v>
      </c>
      <c r="Z36">
        <v>390</v>
      </c>
      <c r="AA36">
        <v>175</v>
      </c>
      <c r="AB36">
        <v>0</v>
      </c>
      <c r="AD36">
        <v>550</v>
      </c>
      <c r="AE36">
        <v>165</v>
      </c>
    </row>
    <row r="37" spans="1:31" x14ac:dyDescent="0.25">
      <c r="A37" t="s">
        <v>628</v>
      </c>
      <c r="B37">
        <v>2008</v>
      </c>
      <c r="C37">
        <v>12</v>
      </c>
      <c r="D37">
        <v>365</v>
      </c>
      <c r="E37">
        <v>190</v>
      </c>
      <c r="F37">
        <v>1779</v>
      </c>
      <c r="G37">
        <v>240</v>
      </c>
      <c r="H37">
        <v>416</v>
      </c>
      <c r="I37">
        <v>310</v>
      </c>
      <c r="J37">
        <v>7</v>
      </c>
      <c r="K37">
        <v>280</v>
      </c>
      <c r="L37">
        <v>856</v>
      </c>
      <c r="M37">
        <v>215</v>
      </c>
      <c r="N37">
        <v>3423</v>
      </c>
      <c r="O37">
        <v>235</v>
      </c>
      <c r="P37">
        <v>78</v>
      </c>
      <c r="Q37">
        <v>180</v>
      </c>
      <c r="R37">
        <v>603</v>
      </c>
      <c r="S37">
        <v>270</v>
      </c>
      <c r="T37">
        <v>2841</v>
      </c>
      <c r="U37">
        <v>280</v>
      </c>
      <c r="V37">
        <v>588</v>
      </c>
      <c r="W37">
        <v>350</v>
      </c>
      <c r="X37">
        <v>1689</v>
      </c>
      <c r="Y37">
        <v>260</v>
      </c>
      <c r="Z37">
        <v>5799</v>
      </c>
      <c r="AA37">
        <v>280</v>
      </c>
      <c r="AB37">
        <v>92</v>
      </c>
      <c r="AC37">
        <v>150</v>
      </c>
      <c r="AD37">
        <v>9314</v>
      </c>
      <c r="AE37">
        <v>260</v>
      </c>
    </row>
    <row r="38" spans="1:31" x14ac:dyDescent="0.25">
      <c r="A38" t="s">
        <v>718</v>
      </c>
      <c r="B38">
        <v>2008</v>
      </c>
      <c r="C38">
        <v>12</v>
      </c>
      <c r="D38">
        <v>10</v>
      </c>
      <c r="E38">
        <v>112.5</v>
      </c>
      <c r="F38">
        <v>21</v>
      </c>
      <c r="G38">
        <v>130</v>
      </c>
      <c r="H38">
        <v>24</v>
      </c>
      <c r="I38">
        <v>200</v>
      </c>
      <c r="K38">
        <v>230</v>
      </c>
      <c r="L38">
        <v>48</v>
      </c>
      <c r="M38">
        <v>127.5</v>
      </c>
      <c r="N38">
        <v>105</v>
      </c>
      <c r="O38">
        <v>132.5</v>
      </c>
      <c r="Q38">
        <v>117.5</v>
      </c>
      <c r="R38">
        <v>32</v>
      </c>
      <c r="S38">
        <v>160</v>
      </c>
      <c r="T38">
        <v>201</v>
      </c>
      <c r="U38">
        <v>190</v>
      </c>
      <c r="V38">
        <v>44</v>
      </c>
      <c r="W38">
        <v>260</v>
      </c>
      <c r="X38">
        <v>163</v>
      </c>
      <c r="Y38">
        <v>160</v>
      </c>
      <c r="Z38">
        <v>445</v>
      </c>
      <c r="AA38">
        <v>180</v>
      </c>
      <c r="AB38">
        <v>8</v>
      </c>
      <c r="AC38">
        <v>137.5</v>
      </c>
      <c r="AD38">
        <v>560</v>
      </c>
      <c r="AE38">
        <v>170</v>
      </c>
    </row>
    <row r="39" spans="1:31" x14ac:dyDescent="0.25">
      <c r="A39" t="s">
        <v>719</v>
      </c>
      <c r="B39">
        <v>2008</v>
      </c>
      <c r="C39">
        <v>12</v>
      </c>
      <c r="D39">
        <v>37</v>
      </c>
      <c r="E39">
        <v>135</v>
      </c>
      <c r="F39">
        <v>244</v>
      </c>
      <c r="G39">
        <v>210</v>
      </c>
      <c r="H39">
        <v>83</v>
      </c>
      <c r="I39">
        <v>280</v>
      </c>
      <c r="J39">
        <v>0</v>
      </c>
      <c r="L39">
        <v>152</v>
      </c>
      <c r="M39">
        <v>165</v>
      </c>
      <c r="N39">
        <v>515</v>
      </c>
      <c r="O39">
        <v>210</v>
      </c>
      <c r="P39">
        <v>9</v>
      </c>
      <c r="Q39">
        <v>170</v>
      </c>
      <c r="R39">
        <v>98</v>
      </c>
      <c r="S39">
        <v>230</v>
      </c>
      <c r="T39">
        <v>1076</v>
      </c>
      <c r="U39">
        <v>260</v>
      </c>
      <c r="V39">
        <v>189</v>
      </c>
      <c r="W39">
        <v>310</v>
      </c>
      <c r="X39">
        <v>647</v>
      </c>
      <c r="Y39">
        <v>235</v>
      </c>
      <c r="Z39">
        <v>2020</v>
      </c>
      <c r="AA39">
        <v>250</v>
      </c>
      <c r="AB39">
        <v>8</v>
      </c>
      <c r="AC39">
        <v>152.5</v>
      </c>
      <c r="AD39">
        <v>2545</v>
      </c>
      <c r="AE39">
        <v>250</v>
      </c>
    </row>
    <row r="40" spans="1:31" x14ac:dyDescent="0.25">
      <c r="A40" t="s">
        <v>720</v>
      </c>
      <c r="B40">
        <v>2008</v>
      </c>
      <c r="C40">
        <v>12</v>
      </c>
      <c r="D40">
        <v>50</v>
      </c>
      <c r="E40">
        <v>120</v>
      </c>
      <c r="F40">
        <v>235</v>
      </c>
      <c r="G40">
        <v>155</v>
      </c>
      <c r="H40">
        <v>111</v>
      </c>
      <c r="I40">
        <v>230</v>
      </c>
      <c r="J40">
        <v>9</v>
      </c>
      <c r="K40">
        <v>300</v>
      </c>
      <c r="L40">
        <v>252</v>
      </c>
      <c r="M40">
        <v>140</v>
      </c>
      <c r="N40">
        <v>657</v>
      </c>
      <c r="O40">
        <v>160</v>
      </c>
      <c r="P40">
        <v>38</v>
      </c>
      <c r="Q40">
        <v>150</v>
      </c>
      <c r="R40">
        <v>205</v>
      </c>
      <c r="S40">
        <v>175</v>
      </c>
      <c r="T40">
        <v>1051</v>
      </c>
      <c r="U40">
        <v>200</v>
      </c>
      <c r="V40">
        <v>281</v>
      </c>
      <c r="W40">
        <v>265</v>
      </c>
      <c r="X40">
        <v>753</v>
      </c>
      <c r="Y40">
        <v>170</v>
      </c>
      <c r="Z40">
        <v>2328</v>
      </c>
      <c r="AA40">
        <v>195</v>
      </c>
      <c r="AB40">
        <v>21</v>
      </c>
      <c r="AC40">
        <v>190</v>
      </c>
      <c r="AD40">
        <v>3006</v>
      </c>
      <c r="AE40">
        <v>190</v>
      </c>
    </row>
    <row r="41" spans="1:31" x14ac:dyDescent="0.25">
      <c r="A41" t="s">
        <v>721</v>
      </c>
      <c r="B41">
        <v>2008</v>
      </c>
      <c r="C41">
        <v>12</v>
      </c>
      <c r="D41">
        <v>81</v>
      </c>
      <c r="E41">
        <v>180</v>
      </c>
      <c r="F41">
        <v>455</v>
      </c>
      <c r="G41">
        <v>240</v>
      </c>
      <c r="H41">
        <v>115</v>
      </c>
      <c r="I41">
        <v>300</v>
      </c>
      <c r="K41">
        <v>180</v>
      </c>
      <c r="L41">
        <v>190</v>
      </c>
      <c r="M41">
        <v>200</v>
      </c>
      <c r="N41">
        <v>840</v>
      </c>
      <c r="O41">
        <v>230</v>
      </c>
      <c r="P41">
        <v>17</v>
      </c>
      <c r="Q41">
        <v>170</v>
      </c>
      <c r="R41">
        <v>145</v>
      </c>
      <c r="S41">
        <v>260</v>
      </c>
      <c r="T41">
        <v>808</v>
      </c>
      <c r="U41">
        <v>285</v>
      </c>
      <c r="V41">
        <v>198</v>
      </c>
      <c r="W41">
        <v>350</v>
      </c>
      <c r="X41">
        <v>420</v>
      </c>
      <c r="Y41">
        <v>260</v>
      </c>
      <c r="Z41">
        <v>1590</v>
      </c>
      <c r="AA41">
        <v>280</v>
      </c>
      <c r="AB41">
        <v>26</v>
      </c>
      <c r="AC41">
        <v>153</v>
      </c>
      <c r="AD41">
        <v>2455</v>
      </c>
      <c r="AE41">
        <v>265</v>
      </c>
    </row>
    <row r="42" spans="1:31" x14ac:dyDescent="0.25">
      <c r="A42" t="s">
        <v>722</v>
      </c>
      <c r="B42">
        <v>2008</v>
      </c>
      <c r="C42">
        <v>12</v>
      </c>
      <c r="D42">
        <v>88</v>
      </c>
      <c r="E42">
        <v>190</v>
      </c>
      <c r="F42">
        <v>463</v>
      </c>
      <c r="G42">
        <v>225</v>
      </c>
      <c r="H42">
        <v>84</v>
      </c>
      <c r="I42">
        <v>310</v>
      </c>
      <c r="K42">
        <v>190</v>
      </c>
      <c r="L42">
        <v>217</v>
      </c>
      <c r="M42">
        <v>205</v>
      </c>
      <c r="N42">
        <v>855</v>
      </c>
      <c r="O42">
        <v>220</v>
      </c>
      <c r="P42">
        <v>21</v>
      </c>
      <c r="Q42">
        <v>180</v>
      </c>
      <c r="R42">
        <v>171</v>
      </c>
      <c r="S42">
        <v>260</v>
      </c>
      <c r="T42">
        <v>480</v>
      </c>
      <c r="U42">
        <v>310</v>
      </c>
      <c r="V42">
        <v>92</v>
      </c>
      <c r="W42">
        <v>377.5</v>
      </c>
      <c r="X42">
        <v>283</v>
      </c>
      <c r="Y42">
        <v>270</v>
      </c>
      <c r="Z42">
        <v>1045</v>
      </c>
      <c r="AA42">
        <v>295</v>
      </c>
      <c r="AB42">
        <v>18</v>
      </c>
      <c r="AC42">
        <v>150</v>
      </c>
      <c r="AD42">
        <v>1920</v>
      </c>
      <c r="AE42">
        <v>260</v>
      </c>
    </row>
    <row r="43" spans="1:31" x14ac:dyDescent="0.25">
      <c r="A43" t="s">
        <v>723</v>
      </c>
      <c r="B43">
        <v>2008</v>
      </c>
      <c r="C43">
        <v>12</v>
      </c>
      <c r="D43">
        <v>9</v>
      </c>
      <c r="E43">
        <v>115</v>
      </c>
      <c r="F43">
        <v>14</v>
      </c>
      <c r="G43">
        <v>150</v>
      </c>
      <c r="I43">
        <v>195</v>
      </c>
      <c r="J43">
        <v>0</v>
      </c>
      <c r="L43">
        <v>19</v>
      </c>
      <c r="M43">
        <v>130</v>
      </c>
      <c r="N43">
        <v>45</v>
      </c>
      <c r="O43">
        <v>140</v>
      </c>
      <c r="Q43">
        <v>130</v>
      </c>
      <c r="R43">
        <v>32</v>
      </c>
      <c r="S43">
        <v>170</v>
      </c>
      <c r="T43">
        <v>171</v>
      </c>
      <c r="U43">
        <v>180</v>
      </c>
      <c r="V43">
        <v>43</v>
      </c>
      <c r="W43">
        <v>242</v>
      </c>
      <c r="X43">
        <v>155</v>
      </c>
      <c r="Y43">
        <v>160</v>
      </c>
      <c r="Z43">
        <v>405</v>
      </c>
      <c r="AA43">
        <v>175</v>
      </c>
      <c r="AB43">
        <v>0</v>
      </c>
      <c r="AD43">
        <v>455</v>
      </c>
      <c r="AE43">
        <v>170</v>
      </c>
    </row>
    <row r="44" spans="1:31" x14ac:dyDescent="0.25">
      <c r="A44" t="s">
        <v>711</v>
      </c>
      <c r="B44">
        <v>2009</v>
      </c>
      <c r="C44">
        <v>3</v>
      </c>
      <c r="E44">
        <v>132.5</v>
      </c>
      <c r="F44">
        <v>12</v>
      </c>
      <c r="G44">
        <v>220</v>
      </c>
      <c r="H44">
        <v>23</v>
      </c>
      <c r="I44">
        <v>275</v>
      </c>
      <c r="K44">
        <v>300</v>
      </c>
      <c r="L44">
        <v>26</v>
      </c>
      <c r="M44">
        <v>250</v>
      </c>
      <c r="N44">
        <v>65</v>
      </c>
      <c r="O44">
        <v>255</v>
      </c>
      <c r="Q44">
        <v>195</v>
      </c>
      <c r="R44">
        <v>22</v>
      </c>
      <c r="S44">
        <v>237.5</v>
      </c>
      <c r="T44">
        <v>121</v>
      </c>
      <c r="U44">
        <v>290</v>
      </c>
      <c r="V44">
        <v>58</v>
      </c>
      <c r="W44">
        <v>372.5</v>
      </c>
      <c r="X44">
        <v>83</v>
      </c>
      <c r="Y44">
        <v>280</v>
      </c>
      <c r="Z44">
        <v>290</v>
      </c>
      <c r="AA44">
        <v>295</v>
      </c>
      <c r="AC44">
        <v>250</v>
      </c>
      <c r="AD44">
        <v>355</v>
      </c>
      <c r="AE44">
        <v>285</v>
      </c>
    </row>
    <row r="45" spans="1:31" x14ac:dyDescent="0.25">
      <c r="A45" t="s">
        <v>712</v>
      </c>
      <c r="B45">
        <v>2009</v>
      </c>
      <c r="C45">
        <v>3</v>
      </c>
      <c r="E45">
        <v>137.5</v>
      </c>
      <c r="F45">
        <v>25</v>
      </c>
      <c r="G45">
        <v>190</v>
      </c>
      <c r="I45">
        <v>240</v>
      </c>
      <c r="J45">
        <v>0</v>
      </c>
      <c r="L45">
        <v>34</v>
      </c>
      <c r="M45">
        <v>190</v>
      </c>
      <c r="N45">
        <v>65</v>
      </c>
      <c r="O45">
        <v>190</v>
      </c>
      <c r="Q45">
        <v>160</v>
      </c>
      <c r="R45">
        <v>24</v>
      </c>
      <c r="S45">
        <v>210</v>
      </c>
      <c r="T45">
        <v>94</v>
      </c>
      <c r="U45">
        <v>250</v>
      </c>
      <c r="V45">
        <v>50</v>
      </c>
      <c r="W45">
        <v>300</v>
      </c>
      <c r="X45">
        <v>99</v>
      </c>
      <c r="Y45">
        <v>240</v>
      </c>
      <c r="Z45">
        <v>270</v>
      </c>
      <c r="AA45">
        <v>250</v>
      </c>
      <c r="AC45">
        <v>250</v>
      </c>
      <c r="AD45">
        <v>335</v>
      </c>
      <c r="AE45">
        <v>240</v>
      </c>
    </row>
    <row r="46" spans="1:31" x14ac:dyDescent="0.25">
      <c r="A46" t="s">
        <v>713</v>
      </c>
      <c r="B46">
        <v>2009</v>
      </c>
      <c r="C46">
        <v>3</v>
      </c>
      <c r="D46">
        <v>368</v>
      </c>
      <c r="E46">
        <v>220</v>
      </c>
      <c r="F46">
        <v>810</v>
      </c>
      <c r="G46">
        <v>272.5</v>
      </c>
      <c r="H46">
        <v>153</v>
      </c>
      <c r="I46">
        <v>400</v>
      </c>
      <c r="J46">
        <v>9</v>
      </c>
      <c r="K46">
        <v>550</v>
      </c>
      <c r="L46">
        <v>383</v>
      </c>
      <c r="M46">
        <v>250</v>
      </c>
      <c r="N46">
        <v>1725</v>
      </c>
      <c r="O46">
        <v>270</v>
      </c>
      <c r="P46">
        <v>41</v>
      </c>
      <c r="Q46">
        <v>200</v>
      </c>
      <c r="R46">
        <v>233</v>
      </c>
      <c r="S46">
        <v>320</v>
      </c>
      <c r="T46">
        <v>424</v>
      </c>
      <c r="U46">
        <v>360</v>
      </c>
      <c r="V46">
        <v>110</v>
      </c>
      <c r="W46">
        <v>477.5</v>
      </c>
      <c r="X46">
        <v>343</v>
      </c>
      <c r="Y46">
        <v>350</v>
      </c>
      <c r="Z46">
        <v>1150</v>
      </c>
      <c r="AA46">
        <v>350</v>
      </c>
      <c r="AB46">
        <v>103</v>
      </c>
      <c r="AC46">
        <v>175</v>
      </c>
      <c r="AD46">
        <v>2975</v>
      </c>
      <c r="AE46">
        <v>295</v>
      </c>
    </row>
    <row r="47" spans="1:31" x14ac:dyDescent="0.25">
      <c r="A47" t="s">
        <v>714</v>
      </c>
      <c r="B47">
        <v>2009</v>
      </c>
      <c r="C47">
        <v>3</v>
      </c>
      <c r="D47">
        <v>23</v>
      </c>
      <c r="E47">
        <v>150</v>
      </c>
      <c r="F47">
        <v>58</v>
      </c>
      <c r="G47">
        <v>167.5</v>
      </c>
      <c r="H47">
        <v>20</v>
      </c>
      <c r="I47">
        <v>280</v>
      </c>
      <c r="K47">
        <v>360</v>
      </c>
      <c r="L47">
        <v>31</v>
      </c>
      <c r="M47">
        <v>130</v>
      </c>
      <c r="N47">
        <v>135</v>
      </c>
      <c r="O47">
        <v>170</v>
      </c>
      <c r="Q47">
        <v>130</v>
      </c>
      <c r="R47">
        <v>28</v>
      </c>
      <c r="S47">
        <v>180</v>
      </c>
      <c r="T47">
        <v>172</v>
      </c>
      <c r="U47">
        <v>220</v>
      </c>
      <c r="V47">
        <v>31</v>
      </c>
      <c r="W47">
        <v>300</v>
      </c>
      <c r="X47">
        <v>87</v>
      </c>
      <c r="Y47">
        <v>170</v>
      </c>
      <c r="Z47">
        <v>320</v>
      </c>
      <c r="AA47">
        <v>200</v>
      </c>
      <c r="AB47">
        <v>0</v>
      </c>
      <c r="AD47">
        <v>455</v>
      </c>
      <c r="AE47">
        <v>195</v>
      </c>
    </row>
    <row r="48" spans="1:31" x14ac:dyDescent="0.25">
      <c r="A48" t="s">
        <v>715</v>
      </c>
      <c r="B48">
        <v>2009</v>
      </c>
      <c r="C48">
        <v>3</v>
      </c>
      <c r="D48">
        <v>10</v>
      </c>
      <c r="E48">
        <v>137.5</v>
      </c>
      <c r="F48">
        <v>38</v>
      </c>
      <c r="G48">
        <v>142.5</v>
      </c>
      <c r="H48">
        <v>10</v>
      </c>
      <c r="I48">
        <v>362.5</v>
      </c>
      <c r="J48">
        <v>0</v>
      </c>
      <c r="L48">
        <v>11</v>
      </c>
      <c r="M48">
        <v>115</v>
      </c>
      <c r="N48">
        <v>70</v>
      </c>
      <c r="O48">
        <v>145</v>
      </c>
      <c r="Q48">
        <v>125</v>
      </c>
      <c r="R48">
        <v>17</v>
      </c>
      <c r="S48">
        <v>170</v>
      </c>
      <c r="T48">
        <v>94</v>
      </c>
      <c r="U48">
        <v>225</v>
      </c>
      <c r="V48">
        <v>34</v>
      </c>
      <c r="W48">
        <v>362.5</v>
      </c>
      <c r="X48">
        <v>35</v>
      </c>
      <c r="Y48">
        <v>140</v>
      </c>
      <c r="Z48">
        <v>185</v>
      </c>
      <c r="AA48">
        <v>210</v>
      </c>
      <c r="AC48">
        <v>340</v>
      </c>
      <c r="AD48">
        <v>255</v>
      </c>
      <c r="AE48">
        <v>190</v>
      </c>
    </row>
    <row r="49" spans="1:31" x14ac:dyDescent="0.25">
      <c r="A49" t="s">
        <v>716</v>
      </c>
      <c r="B49">
        <v>2009</v>
      </c>
      <c r="C49">
        <v>3</v>
      </c>
      <c r="D49">
        <v>7</v>
      </c>
      <c r="E49">
        <v>160</v>
      </c>
      <c r="F49">
        <v>23</v>
      </c>
      <c r="G49">
        <v>180</v>
      </c>
      <c r="H49">
        <v>17</v>
      </c>
      <c r="I49">
        <v>230</v>
      </c>
      <c r="J49">
        <v>0</v>
      </c>
      <c r="L49">
        <v>18</v>
      </c>
      <c r="M49">
        <v>160</v>
      </c>
      <c r="N49">
        <v>65</v>
      </c>
      <c r="O49">
        <v>180</v>
      </c>
      <c r="Q49">
        <v>170</v>
      </c>
      <c r="R49">
        <v>22</v>
      </c>
      <c r="S49">
        <v>190</v>
      </c>
      <c r="T49">
        <v>131</v>
      </c>
      <c r="U49">
        <v>225</v>
      </c>
      <c r="V49">
        <v>43</v>
      </c>
      <c r="W49">
        <v>270</v>
      </c>
      <c r="X49">
        <v>58</v>
      </c>
      <c r="Y49">
        <v>220</v>
      </c>
      <c r="Z49">
        <v>260</v>
      </c>
      <c r="AA49">
        <v>230</v>
      </c>
      <c r="AB49">
        <v>0</v>
      </c>
      <c r="AD49">
        <v>325</v>
      </c>
      <c r="AE49">
        <v>220</v>
      </c>
    </row>
    <row r="50" spans="1:31" x14ac:dyDescent="0.25">
      <c r="A50" t="s">
        <v>717</v>
      </c>
      <c r="B50">
        <v>2009</v>
      </c>
      <c r="C50">
        <v>3</v>
      </c>
      <c r="D50">
        <v>9</v>
      </c>
      <c r="E50">
        <v>90</v>
      </c>
      <c r="F50">
        <v>101</v>
      </c>
      <c r="G50">
        <v>125</v>
      </c>
      <c r="H50">
        <v>18</v>
      </c>
      <c r="I50">
        <v>200</v>
      </c>
      <c r="K50">
        <v>330</v>
      </c>
      <c r="L50">
        <v>60</v>
      </c>
      <c r="M50">
        <v>120</v>
      </c>
      <c r="N50">
        <v>190</v>
      </c>
      <c r="O50">
        <v>125</v>
      </c>
      <c r="Q50">
        <v>125</v>
      </c>
      <c r="R50">
        <v>33</v>
      </c>
      <c r="S50">
        <v>170</v>
      </c>
      <c r="T50">
        <v>157</v>
      </c>
      <c r="U50">
        <v>185</v>
      </c>
      <c r="V50">
        <v>50</v>
      </c>
      <c r="W50">
        <v>220</v>
      </c>
      <c r="X50">
        <v>127</v>
      </c>
      <c r="Y50">
        <v>180</v>
      </c>
      <c r="Z50">
        <v>370</v>
      </c>
      <c r="AA50">
        <v>185</v>
      </c>
      <c r="AB50">
        <v>0</v>
      </c>
      <c r="AD50">
        <v>560</v>
      </c>
      <c r="AE50">
        <v>170</v>
      </c>
    </row>
    <row r="51" spans="1:31" x14ac:dyDescent="0.25">
      <c r="A51" t="s">
        <v>628</v>
      </c>
      <c r="B51">
        <v>2009</v>
      </c>
      <c r="C51">
        <v>3</v>
      </c>
      <c r="D51">
        <v>614</v>
      </c>
      <c r="E51">
        <v>200</v>
      </c>
      <c r="F51">
        <v>2074</v>
      </c>
      <c r="G51">
        <v>240</v>
      </c>
      <c r="H51">
        <v>464</v>
      </c>
      <c r="I51">
        <v>325</v>
      </c>
      <c r="J51">
        <v>19</v>
      </c>
      <c r="K51">
        <v>410</v>
      </c>
      <c r="L51">
        <v>1032</v>
      </c>
      <c r="M51">
        <v>225</v>
      </c>
      <c r="N51">
        <v>4203</v>
      </c>
      <c r="O51">
        <v>240</v>
      </c>
      <c r="P51">
        <v>98</v>
      </c>
      <c r="Q51">
        <v>182.5</v>
      </c>
      <c r="R51">
        <v>640</v>
      </c>
      <c r="S51">
        <v>280</v>
      </c>
      <c r="T51">
        <v>2947</v>
      </c>
      <c r="U51">
        <v>290</v>
      </c>
      <c r="V51">
        <v>690</v>
      </c>
      <c r="W51">
        <v>350</v>
      </c>
      <c r="X51">
        <v>1733</v>
      </c>
      <c r="Y51">
        <v>265</v>
      </c>
      <c r="Z51">
        <v>6108</v>
      </c>
      <c r="AA51">
        <v>290</v>
      </c>
      <c r="AB51">
        <v>161</v>
      </c>
      <c r="AC51">
        <v>170</v>
      </c>
      <c r="AD51">
        <v>10472</v>
      </c>
      <c r="AE51">
        <v>270</v>
      </c>
    </row>
    <row r="52" spans="1:31" x14ac:dyDescent="0.25">
      <c r="A52" t="s">
        <v>718</v>
      </c>
      <c r="B52">
        <v>2009</v>
      </c>
      <c r="C52">
        <v>3</v>
      </c>
      <c r="D52">
        <v>15</v>
      </c>
      <c r="E52">
        <v>120</v>
      </c>
      <c r="F52">
        <v>44</v>
      </c>
      <c r="G52">
        <v>145</v>
      </c>
      <c r="H52">
        <v>19</v>
      </c>
      <c r="I52">
        <v>215</v>
      </c>
      <c r="K52">
        <v>210</v>
      </c>
      <c r="L52">
        <v>49</v>
      </c>
      <c r="M52">
        <v>125</v>
      </c>
      <c r="N52">
        <v>130</v>
      </c>
      <c r="O52">
        <v>140</v>
      </c>
      <c r="Q52">
        <v>120</v>
      </c>
      <c r="R52">
        <v>42</v>
      </c>
      <c r="S52">
        <v>170</v>
      </c>
      <c r="T52">
        <v>176</v>
      </c>
      <c r="U52">
        <v>195</v>
      </c>
      <c r="V52">
        <v>40</v>
      </c>
      <c r="W52">
        <v>272.5</v>
      </c>
      <c r="X52">
        <v>170</v>
      </c>
      <c r="Y52">
        <v>170</v>
      </c>
      <c r="Z52">
        <v>430</v>
      </c>
      <c r="AA52">
        <v>185</v>
      </c>
      <c r="AC52">
        <v>180</v>
      </c>
      <c r="AD52">
        <v>565</v>
      </c>
      <c r="AE52">
        <v>175</v>
      </c>
    </row>
    <row r="53" spans="1:31" x14ac:dyDescent="0.25">
      <c r="A53" t="s">
        <v>719</v>
      </c>
      <c r="B53">
        <v>2009</v>
      </c>
      <c r="C53">
        <v>3</v>
      </c>
      <c r="D53">
        <v>41</v>
      </c>
      <c r="E53">
        <v>135</v>
      </c>
      <c r="F53">
        <v>285</v>
      </c>
      <c r="G53">
        <v>210</v>
      </c>
      <c r="H53">
        <v>95</v>
      </c>
      <c r="I53">
        <v>290</v>
      </c>
      <c r="J53">
        <v>0</v>
      </c>
      <c r="L53">
        <v>164</v>
      </c>
      <c r="M53">
        <v>182.5</v>
      </c>
      <c r="N53">
        <v>585</v>
      </c>
      <c r="O53">
        <v>210</v>
      </c>
      <c r="P53">
        <v>12</v>
      </c>
      <c r="Q53">
        <v>177.5</v>
      </c>
      <c r="R53">
        <v>98</v>
      </c>
      <c r="S53">
        <v>240</v>
      </c>
      <c r="T53">
        <v>1076</v>
      </c>
      <c r="U53">
        <v>260</v>
      </c>
      <c r="V53">
        <v>210</v>
      </c>
      <c r="W53">
        <v>310</v>
      </c>
      <c r="X53">
        <v>618</v>
      </c>
      <c r="Y53">
        <v>235</v>
      </c>
      <c r="Z53">
        <v>2015</v>
      </c>
      <c r="AA53">
        <v>260</v>
      </c>
      <c r="AB53">
        <v>10</v>
      </c>
      <c r="AC53">
        <v>151.5</v>
      </c>
      <c r="AD53">
        <v>2610</v>
      </c>
      <c r="AE53">
        <v>250</v>
      </c>
    </row>
    <row r="54" spans="1:31" x14ac:dyDescent="0.25">
      <c r="A54" t="s">
        <v>720</v>
      </c>
      <c r="B54">
        <v>2009</v>
      </c>
      <c r="C54">
        <v>3</v>
      </c>
      <c r="D54">
        <v>73</v>
      </c>
      <c r="E54">
        <v>125</v>
      </c>
      <c r="F54">
        <v>295</v>
      </c>
      <c r="G54">
        <v>155</v>
      </c>
      <c r="H54">
        <v>113</v>
      </c>
      <c r="I54">
        <v>250</v>
      </c>
      <c r="J54">
        <v>8</v>
      </c>
      <c r="K54">
        <v>270</v>
      </c>
      <c r="L54">
        <v>237</v>
      </c>
      <c r="M54">
        <v>140</v>
      </c>
      <c r="N54">
        <v>726</v>
      </c>
      <c r="O54">
        <v>155</v>
      </c>
      <c r="P54">
        <v>32</v>
      </c>
      <c r="Q54">
        <v>140</v>
      </c>
      <c r="R54">
        <v>216</v>
      </c>
      <c r="S54">
        <v>177.5</v>
      </c>
      <c r="T54">
        <v>1043</v>
      </c>
      <c r="U54">
        <v>210</v>
      </c>
      <c r="V54">
        <v>313</v>
      </c>
      <c r="W54">
        <v>280</v>
      </c>
      <c r="X54">
        <v>780</v>
      </c>
      <c r="Y54">
        <v>185</v>
      </c>
      <c r="Z54">
        <v>2384</v>
      </c>
      <c r="AA54">
        <v>200</v>
      </c>
      <c r="AB54">
        <v>14</v>
      </c>
      <c r="AC54">
        <v>190</v>
      </c>
      <c r="AD54">
        <v>3124</v>
      </c>
      <c r="AE54">
        <v>195</v>
      </c>
    </row>
    <row r="55" spans="1:31" x14ac:dyDescent="0.25">
      <c r="A55" t="s">
        <v>721</v>
      </c>
      <c r="B55">
        <v>2009</v>
      </c>
      <c r="C55">
        <v>3</v>
      </c>
      <c r="D55">
        <v>96</v>
      </c>
      <c r="E55">
        <v>200</v>
      </c>
      <c r="F55">
        <v>461</v>
      </c>
      <c r="G55">
        <v>235</v>
      </c>
      <c r="H55">
        <v>113</v>
      </c>
      <c r="I55">
        <v>290</v>
      </c>
      <c r="K55">
        <v>340</v>
      </c>
      <c r="L55">
        <v>217</v>
      </c>
      <c r="M55">
        <v>225</v>
      </c>
      <c r="N55">
        <v>890</v>
      </c>
      <c r="O55">
        <v>240</v>
      </c>
      <c r="P55">
        <v>26</v>
      </c>
      <c r="Q55">
        <v>142.5</v>
      </c>
      <c r="R55">
        <v>132</v>
      </c>
      <c r="S55">
        <v>275</v>
      </c>
      <c r="T55">
        <v>830</v>
      </c>
      <c r="U55">
        <v>290</v>
      </c>
      <c r="V55">
        <v>226</v>
      </c>
      <c r="W55">
        <v>350</v>
      </c>
      <c r="X55">
        <v>441</v>
      </c>
      <c r="Y55">
        <v>260</v>
      </c>
      <c r="Z55">
        <v>1655</v>
      </c>
      <c r="AA55">
        <v>290</v>
      </c>
      <c r="AB55">
        <v>28</v>
      </c>
      <c r="AC55">
        <v>170</v>
      </c>
      <c r="AD55">
        <v>2570</v>
      </c>
      <c r="AE55">
        <v>270</v>
      </c>
    </row>
    <row r="56" spans="1:31" x14ac:dyDescent="0.25">
      <c r="A56" t="s">
        <v>722</v>
      </c>
      <c r="B56">
        <v>2009</v>
      </c>
      <c r="C56">
        <v>3</v>
      </c>
      <c r="D56">
        <v>107</v>
      </c>
      <c r="E56">
        <v>180</v>
      </c>
      <c r="F56">
        <v>499</v>
      </c>
      <c r="G56">
        <v>225</v>
      </c>
      <c r="H56">
        <v>98</v>
      </c>
      <c r="I56">
        <v>312.5</v>
      </c>
      <c r="J56">
        <v>8</v>
      </c>
      <c r="K56">
        <v>320</v>
      </c>
      <c r="L56">
        <v>254</v>
      </c>
      <c r="M56">
        <v>220</v>
      </c>
      <c r="N56">
        <v>965</v>
      </c>
      <c r="O56">
        <v>225</v>
      </c>
      <c r="P56">
        <v>17</v>
      </c>
      <c r="Q56">
        <v>200</v>
      </c>
      <c r="R56">
        <v>162</v>
      </c>
      <c r="S56">
        <v>270</v>
      </c>
      <c r="T56">
        <v>538</v>
      </c>
      <c r="U56">
        <v>320</v>
      </c>
      <c r="V56">
        <v>107</v>
      </c>
      <c r="W56">
        <v>390</v>
      </c>
      <c r="X56">
        <v>274</v>
      </c>
      <c r="Y56">
        <v>280</v>
      </c>
      <c r="Z56">
        <v>1100</v>
      </c>
      <c r="AA56">
        <v>300</v>
      </c>
      <c r="AB56">
        <v>19</v>
      </c>
      <c r="AC56">
        <v>150</v>
      </c>
      <c r="AD56">
        <v>2085</v>
      </c>
      <c r="AE56">
        <v>265</v>
      </c>
    </row>
    <row r="57" spans="1:31" x14ac:dyDescent="0.25">
      <c r="A57" t="s">
        <v>723</v>
      </c>
      <c r="B57">
        <v>2009</v>
      </c>
      <c r="C57">
        <v>3</v>
      </c>
      <c r="D57">
        <v>7</v>
      </c>
      <c r="E57">
        <v>119</v>
      </c>
      <c r="F57">
        <v>13</v>
      </c>
      <c r="G57">
        <v>160</v>
      </c>
      <c r="H57">
        <v>7</v>
      </c>
      <c r="I57">
        <v>190</v>
      </c>
      <c r="K57">
        <v>165</v>
      </c>
      <c r="L57">
        <v>22</v>
      </c>
      <c r="M57">
        <v>125</v>
      </c>
      <c r="N57">
        <v>50</v>
      </c>
      <c r="O57">
        <v>142.5</v>
      </c>
      <c r="P57">
        <v>8</v>
      </c>
      <c r="Q57">
        <v>145</v>
      </c>
      <c r="R57">
        <v>43</v>
      </c>
      <c r="S57">
        <v>165</v>
      </c>
      <c r="T57">
        <v>177</v>
      </c>
      <c r="U57">
        <v>190</v>
      </c>
      <c r="V57">
        <v>44</v>
      </c>
      <c r="W57">
        <v>245</v>
      </c>
      <c r="X57">
        <v>178</v>
      </c>
      <c r="Y57">
        <v>172.5</v>
      </c>
      <c r="Z57">
        <v>450</v>
      </c>
      <c r="AA57">
        <v>185</v>
      </c>
      <c r="AC57">
        <v>125</v>
      </c>
      <c r="AD57">
        <v>505</v>
      </c>
      <c r="AE57">
        <v>180</v>
      </c>
    </row>
    <row r="58" spans="1:31" x14ac:dyDescent="0.25">
      <c r="A58" t="s">
        <v>711</v>
      </c>
      <c r="B58">
        <v>2009</v>
      </c>
      <c r="C58">
        <v>6</v>
      </c>
      <c r="D58">
        <v>6</v>
      </c>
      <c r="E58">
        <v>157.5</v>
      </c>
      <c r="F58">
        <v>14</v>
      </c>
      <c r="G58">
        <v>235</v>
      </c>
      <c r="H58">
        <v>22</v>
      </c>
      <c r="I58">
        <v>267.5</v>
      </c>
      <c r="K58">
        <v>310</v>
      </c>
      <c r="L58">
        <v>28</v>
      </c>
      <c r="M58">
        <v>240</v>
      </c>
      <c r="N58">
        <v>75</v>
      </c>
      <c r="O58">
        <v>250</v>
      </c>
      <c r="Q58">
        <v>195</v>
      </c>
      <c r="R58">
        <v>18</v>
      </c>
      <c r="S58">
        <v>240</v>
      </c>
      <c r="T58">
        <v>118</v>
      </c>
      <c r="U58">
        <v>287.5</v>
      </c>
      <c r="V58">
        <v>43</v>
      </c>
      <c r="W58">
        <v>390</v>
      </c>
      <c r="X58">
        <v>66</v>
      </c>
      <c r="Y58">
        <v>290</v>
      </c>
      <c r="Z58">
        <v>250</v>
      </c>
      <c r="AA58">
        <v>295</v>
      </c>
      <c r="AB58">
        <v>0</v>
      </c>
      <c r="AD58">
        <v>320</v>
      </c>
      <c r="AE58">
        <v>280</v>
      </c>
    </row>
    <row r="59" spans="1:31" x14ac:dyDescent="0.25">
      <c r="A59" t="s">
        <v>712</v>
      </c>
      <c r="B59">
        <v>2009</v>
      </c>
      <c r="C59">
        <v>6</v>
      </c>
      <c r="E59">
        <v>130</v>
      </c>
      <c r="F59">
        <v>27</v>
      </c>
      <c r="G59">
        <v>200</v>
      </c>
      <c r="H59">
        <v>13</v>
      </c>
      <c r="I59">
        <v>235</v>
      </c>
      <c r="J59">
        <v>0</v>
      </c>
      <c r="L59">
        <v>38</v>
      </c>
      <c r="M59">
        <v>170</v>
      </c>
      <c r="N59">
        <v>80</v>
      </c>
      <c r="O59">
        <v>195</v>
      </c>
      <c r="Q59">
        <v>136.1</v>
      </c>
      <c r="R59">
        <v>12</v>
      </c>
      <c r="S59">
        <v>220</v>
      </c>
      <c r="T59">
        <v>141</v>
      </c>
      <c r="U59">
        <v>250</v>
      </c>
      <c r="V59">
        <v>38</v>
      </c>
      <c r="W59">
        <v>300</v>
      </c>
      <c r="X59">
        <v>98</v>
      </c>
      <c r="Y59">
        <v>235</v>
      </c>
      <c r="Z59">
        <v>295</v>
      </c>
      <c r="AA59">
        <v>250</v>
      </c>
      <c r="AC59">
        <v>170</v>
      </c>
      <c r="AD59">
        <v>375</v>
      </c>
      <c r="AE59">
        <v>235</v>
      </c>
    </row>
    <row r="60" spans="1:31" x14ac:dyDescent="0.25">
      <c r="A60" t="s">
        <v>713</v>
      </c>
      <c r="B60">
        <v>2009</v>
      </c>
      <c r="C60">
        <v>6</v>
      </c>
      <c r="D60">
        <v>312</v>
      </c>
      <c r="E60">
        <v>222.5</v>
      </c>
      <c r="F60">
        <v>653</v>
      </c>
      <c r="G60">
        <v>270</v>
      </c>
      <c r="H60">
        <v>108</v>
      </c>
      <c r="I60">
        <v>395</v>
      </c>
      <c r="J60">
        <v>7</v>
      </c>
      <c r="K60">
        <v>335</v>
      </c>
      <c r="L60">
        <v>331</v>
      </c>
      <c r="M60">
        <v>250</v>
      </c>
      <c r="N60">
        <v>1410</v>
      </c>
      <c r="O60">
        <v>270</v>
      </c>
      <c r="P60">
        <v>29</v>
      </c>
      <c r="Q60">
        <v>220</v>
      </c>
      <c r="R60">
        <v>232</v>
      </c>
      <c r="S60">
        <v>310</v>
      </c>
      <c r="T60">
        <v>380</v>
      </c>
      <c r="U60">
        <v>350</v>
      </c>
      <c r="V60">
        <v>93</v>
      </c>
      <c r="W60">
        <v>440</v>
      </c>
      <c r="X60">
        <v>321</v>
      </c>
      <c r="Y60">
        <v>330</v>
      </c>
      <c r="Z60">
        <v>1055</v>
      </c>
      <c r="AA60">
        <v>340</v>
      </c>
      <c r="AB60">
        <v>102</v>
      </c>
      <c r="AC60">
        <v>195</v>
      </c>
      <c r="AD60">
        <v>2570</v>
      </c>
      <c r="AE60">
        <v>295</v>
      </c>
    </row>
    <row r="61" spans="1:31" x14ac:dyDescent="0.25">
      <c r="A61" t="s">
        <v>714</v>
      </c>
      <c r="B61">
        <v>2009</v>
      </c>
      <c r="C61">
        <v>6</v>
      </c>
      <c r="D61">
        <v>19</v>
      </c>
      <c r="E61">
        <v>120</v>
      </c>
      <c r="F61">
        <v>63</v>
      </c>
      <c r="G61">
        <v>165</v>
      </c>
      <c r="H61">
        <v>15</v>
      </c>
      <c r="I61">
        <v>270</v>
      </c>
      <c r="K61">
        <v>280</v>
      </c>
      <c r="L61">
        <v>29</v>
      </c>
      <c r="M61">
        <v>155</v>
      </c>
      <c r="N61">
        <v>125</v>
      </c>
      <c r="O61">
        <v>165</v>
      </c>
      <c r="Q61">
        <v>150</v>
      </c>
      <c r="R61">
        <v>38</v>
      </c>
      <c r="S61">
        <v>195</v>
      </c>
      <c r="T61">
        <v>149</v>
      </c>
      <c r="U61">
        <v>220</v>
      </c>
      <c r="V61">
        <v>34</v>
      </c>
      <c r="W61">
        <v>350</v>
      </c>
      <c r="X61">
        <v>84</v>
      </c>
      <c r="Y61">
        <v>170</v>
      </c>
      <c r="Z61">
        <v>310</v>
      </c>
      <c r="AA61">
        <v>200</v>
      </c>
      <c r="AB61">
        <v>0</v>
      </c>
      <c r="AD61">
        <v>435</v>
      </c>
      <c r="AE61">
        <v>190</v>
      </c>
    </row>
    <row r="62" spans="1:31" x14ac:dyDescent="0.25">
      <c r="A62" t="s">
        <v>715</v>
      </c>
      <c r="B62">
        <v>2009</v>
      </c>
      <c r="C62">
        <v>6</v>
      </c>
      <c r="D62">
        <v>8</v>
      </c>
      <c r="E62">
        <v>120</v>
      </c>
      <c r="F62">
        <v>20</v>
      </c>
      <c r="G62">
        <v>145</v>
      </c>
      <c r="H62">
        <v>7</v>
      </c>
      <c r="I62">
        <v>350</v>
      </c>
      <c r="K62">
        <v>305</v>
      </c>
      <c r="L62">
        <v>13</v>
      </c>
      <c r="M62">
        <v>125</v>
      </c>
      <c r="N62">
        <v>50</v>
      </c>
      <c r="O62">
        <v>140</v>
      </c>
      <c r="P62">
        <v>0</v>
      </c>
      <c r="R62">
        <v>24</v>
      </c>
      <c r="S62">
        <v>200</v>
      </c>
      <c r="T62">
        <v>91</v>
      </c>
      <c r="U62">
        <v>220</v>
      </c>
      <c r="V62">
        <v>32</v>
      </c>
      <c r="W62">
        <v>380</v>
      </c>
      <c r="X62">
        <v>54</v>
      </c>
      <c r="Y62">
        <v>150</v>
      </c>
      <c r="Z62">
        <v>200</v>
      </c>
      <c r="AA62">
        <v>220</v>
      </c>
      <c r="AC62">
        <v>170</v>
      </c>
      <c r="AD62">
        <v>255</v>
      </c>
      <c r="AE62">
        <v>200</v>
      </c>
    </row>
    <row r="63" spans="1:31" x14ac:dyDescent="0.25">
      <c r="A63" t="s">
        <v>716</v>
      </c>
      <c r="B63">
        <v>2009</v>
      </c>
      <c r="C63">
        <v>6</v>
      </c>
      <c r="D63">
        <v>11</v>
      </c>
      <c r="E63">
        <v>125</v>
      </c>
      <c r="F63">
        <v>38</v>
      </c>
      <c r="G63">
        <v>185</v>
      </c>
      <c r="H63">
        <v>16</v>
      </c>
      <c r="I63">
        <v>260</v>
      </c>
      <c r="K63">
        <v>255</v>
      </c>
      <c r="L63">
        <v>17</v>
      </c>
      <c r="M63">
        <v>175</v>
      </c>
      <c r="N63">
        <v>85</v>
      </c>
      <c r="O63">
        <v>185</v>
      </c>
      <c r="P63">
        <v>9</v>
      </c>
      <c r="Q63">
        <v>145</v>
      </c>
      <c r="R63">
        <v>36</v>
      </c>
      <c r="S63">
        <v>180</v>
      </c>
      <c r="T63">
        <v>164</v>
      </c>
      <c r="U63">
        <v>237.5</v>
      </c>
      <c r="V63">
        <v>49</v>
      </c>
      <c r="W63">
        <v>270</v>
      </c>
      <c r="X63">
        <v>67</v>
      </c>
      <c r="Y63">
        <v>210</v>
      </c>
      <c r="Z63">
        <v>325</v>
      </c>
      <c r="AA63">
        <v>230</v>
      </c>
      <c r="AC63">
        <v>160</v>
      </c>
      <c r="AD63">
        <v>415</v>
      </c>
      <c r="AE63">
        <v>220</v>
      </c>
    </row>
    <row r="64" spans="1:31" x14ac:dyDescent="0.25">
      <c r="A64" t="s">
        <v>717</v>
      </c>
      <c r="B64">
        <v>2009</v>
      </c>
      <c r="C64">
        <v>6</v>
      </c>
      <c r="D64">
        <v>15</v>
      </c>
      <c r="E64">
        <v>110</v>
      </c>
      <c r="F64">
        <v>103</v>
      </c>
      <c r="G64">
        <v>145</v>
      </c>
      <c r="H64">
        <v>16</v>
      </c>
      <c r="I64">
        <v>195</v>
      </c>
      <c r="J64">
        <v>0</v>
      </c>
      <c r="L64">
        <v>61</v>
      </c>
      <c r="M64">
        <v>115</v>
      </c>
      <c r="N64">
        <v>195</v>
      </c>
      <c r="O64">
        <v>130</v>
      </c>
      <c r="Q64">
        <v>100</v>
      </c>
      <c r="R64">
        <v>28</v>
      </c>
      <c r="S64">
        <v>162.5</v>
      </c>
      <c r="T64">
        <v>193</v>
      </c>
      <c r="U64">
        <v>180</v>
      </c>
      <c r="V64">
        <v>49</v>
      </c>
      <c r="W64">
        <v>240</v>
      </c>
      <c r="X64">
        <v>102</v>
      </c>
      <c r="Y64">
        <v>175</v>
      </c>
      <c r="Z64">
        <v>375</v>
      </c>
      <c r="AA64">
        <v>180</v>
      </c>
      <c r="AC64">
        <v>135</v>
      </c>
      <c r="AD64">
        <v>575</v>
      </c>
      <c r="AE64">
        <v>170</v>
      </c>
    </row>
    <row r="65" spans="1:31" x14ac:dyDescent="0.25">
      <c r="A65" t="s">
        <v>628</v>
      </c>
      <c r="B65">
        <v>2009</v>
      </c>
      <c r="C65">
        <v>6</v>
      </c>
      <c r="D65">
        <v>540</v>
      </c>
      <c r="E65">
        <v>202.5</v>
      </c>
      <c r="F65">
        <v>1882</v>
      </c>
      <c r="G65">
        <v>250</v>
      </c>
      <c r="H65">
        <v>409</v>
      </c>
      <c r="I65">
        <v>320</v>
      </c>
      <c r="J65">
        <v>18</v>
      </c>
      <c r="K65">
        <v>340</v>
      </c>
      <c r="L65">
        <v>952</v>
      </c>
      <c r="M65">
        <v>230</v>
      </c>
      <c r="N65">
        <v>3801</v>
      </c>
      <c r="O65">
        <v>250</v>
      </c>
      <c r="P65">
        <v>97</v>
      </c>
      <c r="Q65">
        <v>180</v>
      </c>
      <c r="R65">
        <v>644</v>
      </c>
      <c r="S65">
        <v>277.5</v>
      </c>
      <c r="T65">
        <v>2908</v>
      </c>
      <c r="U65">
        <v>290</v>
      </c>
      <c r="V65">
        <v>607</v>
      </c>
      <c r="W65">
        <v>350</v>
      </c>
      <c r="X65">
        <v>1755</v>
      </c>
      <c r="Y65">
        <v>270</v>
      </c>
      <c r="Z65">
        <v>6011</v>
      </c>
      <c r="AA65">
        <v>285</v>
      </c>
      <c r="AB65">
        <v>163</v>
      </c>
      <c r="AC65">
        <v>190</v>
      </c>
      <c r="AD65">
        <v>9975</v>
      </c>
      <c r="AE65">
        <v>270</v>
      </c>
    </row>
    <row r="66" spans="1:31" x14ac:dyDescent="0.25">
      <c r="A66" t="s">
        <v>718</v>
      </c>
      <c r="B66">
        <v>2009</v>
      </c>
      <c r="C66">
        <v>6</v>
      </c>
      <c r="D66">
        <v>16</v>
      </c>
      <c r="E66">
        <v>117.5</v>
      </c>
      <c r="F66">
        <v>55</v>
      </c>
      <c r="G66">
        <v>140</v>
      </c>
      <c r="H66">
        <v>21</v>
      </c>
      <c r="I66">
        <v>200</v>
      </c>
      <c r="K66">
        <v>245</v>
      </c>
      <c r="L66">
        <v>38</v>
      </c>
      <c r="M66">
        <v>140</v>
      </c>
      <c r="N66">
        <v>135</v>
      </c>
      <c r="O66">
        <v>140</v>
      </c>
      <c r="P66">
        <v>6</v>
      </c>
      <c r="Q66">
        <v>110</v>
      </c>
      <c r="R66">
        <v>30</v>
      </c>
      <c r="S66">
        <v>170</v>
      </c>
      <c r="T66">
        <v>211</v>
      </c>
      <c r="U66">
        <v>190</v>
      </c>
      <c r="V66">
        <v>49</v>
      </c>
      <c r="W66">
        <v>250</v>
      </c>
      <c r="X66">
        <v>149</v>
      </c>
      <c r="Y66">
        <v>165</v>
      </c>
      <c r="Z66">
        <v>445</v>
      </c>
      <c r="AA66">
        <v>180</v>
      </c>
      <c r="AC66">
        <v>140</v>
      </c>
      <c r="AD66">
        <v>585</v>
      </c>
      <c r="AE66">
        <v>175</v>
      </c>
    </row>
    <row r="67" spans="1:31" x14ac:dyDescent="0.25">
      <c r="A67" t="s">
        <v>719</v>
      </c>
      <c r="B67">
        <v>2009</v>
      </c>
      <c r="C67">
        <v>6</v>
      </c>
      <c r="D67">
        <v>47</v>
      </c>
      <c r="E67">
        <v>140</v>
      </c>
      <c r="F67">
        <v>308</v>
      </c>
      <c r="G67">
        <v>220</v>
      </c>
      <c r="H67">
        <v>86</v>
      </c>
      <c r="I67">
        <v>285</v>
      </c>
      <c r="J67">
        <v>0</v>
      </c>
      <c r="L67">
        <v>154</v>
      </c>
      <c r="M67">
        <v>173.75</v>
      </c>
      <c r="N67">
        <v>595</v>
      </c>
      <c r="O67">
        <v>210</v>
      </c>
      <c r="P67">
        <v>13</v>
      </c>
      <c r="Q67">
        <v>150</v>
      </c>
      <c r="R67">
        <v>96</v>
      </c>
      <c r="S67">
        <v>250</v>
      </c>
      <c r="T67">
        <v>1163</v>
      </c>
      <c r="U67">
        <v>270</v>
      </c>
      <c r="V67">
        <v>220</v>
      </c>
      <c r="W67">
        <v>320</v>
      </c>
      <c r="X67">
        <v>636</v>
      </c>
      <c r="Y67">
        <v>250</v>
      </c>
      <c r="Z67">
        <v>2130</v>
      </c>
      <c r="AA67">
        <v>265</v>
      </c>
      <c r="AB67">
        <v>11</v>
      </c>
      <c r="AC67">
        <v>156.5</v>
      </c>
      <c r="AD67">
        <v>2735</v>
      </c>
      <c r="AE67">
        <v>260</v>
      </c>
    </row>
    <row r="68" spans="1:31" x14ac:dyDescent="0.25">
      <c r="A68" t="s">
        <v>720</v>
      </c>
      <c r="B68">
        <v>2009</v>
      </c>
      <c r="C68">
        <v>6</v>
      </c>
      <c r="D68">
        <v>89</v>
      </c>
      <c r="E68">
        <v>120</v>
      </c>
      <c r="F68">
        <v>330</v>
      </c>
      <c r="G68">
        <v>160</v>
      </c>
      <c r="H68">
        <v>115</v>
      </c>
      <c r="I68">
        <v>240</v>
      </c>
      <c r="J68">
        <v>13</v>
      </c>
      <c r="K68">
        <v>250</v>
      </c>
      <c r="L68">
        <v>250</v>
      </c>
      <c r="M68">
        <v>150</v>
      </c>
      <c r="N68">
        <v>797</v>
      </c>
      <c r="O68">
        <v>160</v>
      </c>
      <c r="P68">
        <v>34</v>
      </c>
      <c r="Q68">
        <v>136.1</v>
      </c>
      <c r="R68">
        <v>224</v>
      </c>
      <c r="S68">
        <v>180</v>
      </c>
      <c r="T68">
        <v>1243</v>
      </c>
      <c r="U68">
        <v>220</v>
      </c>
      <c r="V68">
        <v>337</v>
      </c>
      <c r="W68">
        <v>280</v>
      </c>
      <c r="X68">
        <v>790</v>
      </c>
      <c r="Y68">
        <v>187.5</v>
      </c>
      <c r="Z68">
        <v>2628</v>
      </c>
      <c r="AA68">
        <v>210</v>
      </c>
      <c r="AB68">
        <v>18</v>
      </c>
      <c r="AC68">
        <v>147.5</v>
      </c>
      <c r="AD68">
        <v>3443</v>
      </c>
      <c r="AE68">
        <v>200</v>
      </c>
    </row>
    <row r="69" spans="1:31" x14ac:dyDescent="0.25">
      <c r="A69" t="s">
        <v>724</v>
      </c>
      <c r="B69">
        <v>2009</v>
      </c>
      <c r="C69">
        <v>6</v>
      </c>
      <c r="D69">
        <v>629</v>
      </c>
      <c r="E69">
        <v>200</v>
      </c>
      <c r="F69">
        <v>2212</v>
      </c>
      <c r="G69">
        <v>235</v>
      </c>
      <c r="H69">
        <v>524</v>
      </c>
      <c r="I69">
        <v>300</v>
      </c>
      <c r="J69">
        <v>31</v>
      </c>
      <c r="K69">
        <v>290</v>
      </c>
      <c r="L69">
        <v>1202</v>
      </c>
      <c r="M69">
        <v>215</v>
      </c>
      <c r="N69">
        <v>4598</v>
      </c>
      <c r="O69">
        <v>230</v>
      </c>
      <c r="P69">
        <v>131</v>
      </c>
      <c r="Q69">
        <v>160</v>
      </c>
      <c r="R69">
        <v>868</v>
      </c>
      <c r="S69">
        <v>260</v>
      </c>
      <c r="T69">
        <v>4151</v>
      </c>
      <c r="U69">
        <v>270</v>
      </c>
      <c r="V69">
        <v>944</v>
      </c>
      <c r="W69">
        <v>330</v>
      </c>
      <c r="X69">
        <v>2545</v>
      </c>
      <c r="Y69">
        <v>250</v>
      </c>
      <c r="Z69">
        <v>8639</v>
      </c>
      <c r="AA69">
        <v>270</v>
      </c>
      <c r="AB69">
        <v>181</v>
      </c>
      <c r="AC69">
        <v>175</v>
      </c>
      <c r="AD69">
        <v>13418</v>
      </c>
      <c r="AE69">
        <v>250</v>
      </c>
    </row>
    <row r="70" spans="1:31" x14ac:dyDescent="0.25">
      <c r="A70" t="s">
        <v>721</v>
      </c>
      <c r="B70">
        <v>2009</v>
      </c>
      <c r="C70">
        <v>6</v>
      </c>
      <c r="D70">
        <v>90</v>
      </c>
      <c r="E70">
        <v>217.5</v>
      </c>
      <c r="F70">
        <v>429</v>
      </c>
      <c r="G70">
        <v>245</v>
      </c>
      <c r="H70">
        <v>120</v>
      </c>
      <c r="I70">
        <v>295</v>
      </c>
      <c r="K70">
        <v>350</v>
      </c>
      <c r="L70">
        <v>195</v>
      </c>
      <c r="M70">
        <v>220</v>
      </c>
      <c r="N70">
        <v>835</v>
      </c>
      <c r="O70">
        <v>245</v>
      </c>
      <c r="P70">
        <v>28</v>
      </c>
      <c r="Q70">
        <v>167.5</v>
      </c>
      <c r="R70">
        <v>143</v>
      </c>
      <c r="S70">
        <v>270</v>
      </c>
      <c r="T70">
        <v>821</v>
      </c>
      <c r="U70">
        <v>290</v>
      </c>
      <c r="V70">
        <v>209</v>
      </c>
      <c r="W70">
        <v>350</v>
      </c>
      <c r="X70">
        <v>491</v>
      </c>
      <c r="Y70">
        <v>270</v>
      </c>
      <c r="Z70">
        <v>1690</v>
      </c>
      <c r="AA70">
        <v>285</v>
      </c>
      <c r="AB70">
        <v>25</v>
      </c>
      <c r="AC70">
        <v>147</v>
      </c>
      <c r="AD70">
        <v>2555</v>
      </c>
      <c r="AE70">
        <v>270</v>
      </c>
    </row>
    <row r="71" spans="1:31" x14ac:dyDescent="0.25">
      <c r="A71" t="s">
        <v>722</v>
      </c>
      <c r="B71">
        <v>2009</v>
      </c>
      <c r="C71">
        <v>6</v>
      </c>
      <c r="D71">
        <v>91</v>
      </c>
      <c r="E71">
        <v>180</v>
      </c>
      <c r="F71">
        <v>492</v>
      </c>
      <c r="G71">
        <v>230</v>
      </c>
      <c r="H71">
        <v>95</v>
      </c>
      <c r="I71">
        <v>320</v>
      </c>
      <c r="J71">
        <v>8</v>
      </c>
      <c r="K71">
        <v>320</v>
      </c>
      <c r="L71">
        <v>272</v>
      </c>
      <c r="M71">
        <v>227.5</v>
      </c>
      <c r="N71">
        <v>960</v>
      </c>
      <c r="O71">
        <v>230</v>
      </c>
      <c r="P71">
        <v>27</v>
      </c>
      <c r="Q71">
        <v>170</v>
      </c>
      <c r="R71">
        <v>173</v>
      </c>
      <c r="S71">
        <v>270</v>
      </c>
      <c r="T71">
        <v>544</v>
      </c>
      <c r="U71">
        <v>310</v>
      </c>
      <c r="V71">
        <v>85</v>
      </c>
      <c r="W71">
        <v>380</v>
      </c>
      <c r="X71">
        <v>307</v>
      </c>
      <c r="Y71">
        <v>290</v>
      </c>
      <c r="Z71">
        <v>1135</v>
      </c>
      <c r="AA71">
        <v>300</v>
      </c>
      <c r="AB71">
        <v>25</v>
      </c>
      <c r="AC71">
        <v>150</v>
      </c>
      <c r="AD71">
        <v>2120</v>
      </c>
      <c r="AE71">
        <v>270</v>
      </c>
    </row>
    <row r="72" spans="1:31" x14ac:dyDescent="0.25">
      <c r="A72" t="s">
        <v>723</v>
      </c>
      <c r="B72">
        <v>2009</v>
      </c>
      <c r="C72">
        <v>6</v>
      </c>
      <c r="D72">
        <v>11</v>
      </c>
      <c r="E72">
        <v>115</v>
      </c>
      <c r="F72">
        <v>10</v>
      </c>
      <c r="G72">
        <v>142.5</v>
      </c>
      <c r="I72">
        <v>220</v>
      </c>
      <c r="J72">
        <v>0</v>
      </c>
      <c r="L72">
        <v>26</v>
      </c>
      <c r="M72">
        <v>147.5</v>
      </c>
      <c r="N72">
        <v>50</v>
      </c>
      <c r="O72">
        <v>142.5</v>
      </c>
      <c r="Q72">
        <v>150</v>
      </c>
      <c r="R72">
        <v>38</v>
      </c>
      <c r="S72">
        <v>170</v>
      </c>
      <c r="T72">
        <v>176</v>
      </c>
      <c r="U72">
        <v>190</v>
      </c>
      <c r="V72">
        <v>43</v>
      </c>
      <c r="W72">
        <v>240</v>
      </c>
      <c r="X72">
        <v>170</v>
      </c>
      <c r="Y72">
        <v>170</v>
      </c>
      <c r="Z72">
        <v>430</v>
      </c>
      <c r="AA72">
        <v>180</v>
      </c>
      <c r="AC72">
        <v>125</v>
      </c>
      <c r="AD72">
        <v>485</v>
      </c>
      <c r="AE72">
        <v>180</v>
      </c>
    </row>
    <row r="73" spans="1:31" x14ac:dyDescent="0.25">
      <c r="A73" t="s">
        <v>711</v>
      </c>
      <c r="B73">
        <v>2009</v>
      </c>
      <c r="C73">
        <v>9</v>
      </c>
      <c r="E73">
        <v>138</v>
      </c>
      <c r="F73">
        <v>15</v>
      </c>
      <c r="G73">
        <v>230</v>
      </c>
      <c r="H73">
        <v>30</v>
      </c>
      <c r="I73">
        <v>280</v>
      </c>
      <c r="J73">
        <v>0</v>
      </c>
      <c r="L73">
        <v>20</v>
      </c>
      <c r="M73">
        <v>250</v>
      </c>
      <c r="N73">
        <v>65</v>
      </c>
      <c r="O73">
        <v>255</v>
      </c>
      <c r="P73">
        <v>9</v>
      </c>
      <c r="Q73">
        <v>165</v>
      </c>
      <c r="R73">
        <v>14</v>
      </c>
      <c r="S73">
        <v>285</v>
      </c>
      <c r="T73">
        <v>110</v>
      </c>
      <c r="U73">
        <v>290</v>
      </c>
      <c r="V73">
        <v>41</v>
      </c>
      <c r="W73">
        <v>375</v>
      </c>
      <c r="X73">
        <v>79</v>
      </c>
      <c r="Y73">
        <v>290</v>
      </c>
      <c r="Z73">
        <v>255</v>
      </c>
      <c r="AA73">
        <v>290</v>
      </c>
      <c r="AB73">
        <v>0</v>
      </c>
      <c r="AD73">
        <v>320</v>
      </c>
      <c r="AE73">
        <v>290</v>
      </c>
    </row>
    <row r="74" spans="1:31" x14ac:dyDescent="0.25">
      <c r="A74" t="s">
        <v>712</v>
      </c>
      <c r="B74">
        <v>2009</v>
      </c>
      <c r="C74">
        <v>9</v>
      </c>
      <c r="E74">
        <v>190</v>
      </c>
      <c r="F74">
        <v>18</v>
      </c>
      <c r="G74">
        <v>198</v>
      </c>
      <c r="H74">
        <v>8</v>
      </c>
      <c r="I74">
        <v>260</v>
      </c>
      <c r="K74">
        <v>210</v>
      </c>
      <c r="L74">
        <v>40</v>
      </c>
      <c r="M74">
        <v>190</v>
      </c>
      <c r="N74">
        <v>70</v>
      </c>
      <c r="O74">
        <v>200</v>
      </c>
      <c r="Q74">
        <v>160</v>
      </c>
      <c r="R74">
        <v>13</v>
      </c>
      <c r="S74">
        <v>200</v>
      </c>
      <c r="T74">
        <v>117</v>
      </c>
      <c r="U74">
        <v>250</v>
      </c>
      <c r="V74">
        <v>37</v>
      </c>
      <c r="W74">
        <v>310</v>
      </c>
      <c r="X74">
        <v>127</v>
      </c>
      <c r="Y74">
        <v>230</v>
      </c>
      <c r="Z74">
        <v>295</v>
      </c>
      <c r="AA74">
        <v>248</v>
      </c>
      <c r="AB74">
        <v>0</v>
      </c>
      <c r="AD74">
        <v>365</v>
      </c>
      <c r="AE74">
        <v>240</v>
      </c>
    </row>
    <row r="75" spans="1:31" x14ac:dyDescent="0.25">
      <c r="A75" t="s">
        <v>713</v>
      </c>
      <c r="B75">
        <v>2009</v>
      </c>
      <c r="C75">
        <v>9</v>
      </c>
      <c r="D75">
        <v>363</v>
      </c>
      <c r="E75">
        <v>250</v>
      </c>
      <c r="F75">
        <v>640</v>
      </c>
      <c r="G75">
        <v>270</v>
      </c>
      <c r="H75">
        <v>151</v>
      </c>
      <c r="I75">
        <v>400</v>
      </c>
      <c r="K75">
        <v>250</v>
      </c>
      <c r="L75">
        <v>378</v>
      </c>
      <c r="M75">
        <v>250</v>
      </c>
      <c r="N75">
        <v>1535</v>
      </c>
      <c r="O75">
        <v>265</v>
      </c>
      <c r="P75">
        <v>26</v>
      </c>
      <c r="Q75">
        <v>208</v>
      </c>
      <c r="R75">
        <v>188</v>
      </c>
      <c r="S75">
        <v>320</v>
      </c>
      <c r="T75">
        <v>390</v>
      </c>
      <c r="U75">
        <v>350</v>
      </c>
      <c r="V75">
        <v>93</v>
      </c>
      <c r="W75">
        <v>480</v>
      </c>
      <c r="X75">
        <v>344</v>
      </c>
      <c r="Y75">
        <v>330</v>
      </c>
      <c r="Z75">
        <v>1040</v>
      </c>
      <c r="AA75">
        <v>340</v>
      </c>
      <c r="AB75">
        <v>117</v>
      </c>
      <c r="AC75">
        <v>165</v>
      </c>
      <c r="AD75">
        <v>2695</v>
      </c>
      <c r="AE75">
        <v>295</v>
      </c>
    </row>
    <row r="76" spans="1:31" x14ac:dyDescent="0.25">
      <c r="A76" t="s">
        <v>714</v>
      </c>
      <c r="B76">
        <v>2009</v>
      </c>
      <c r="C76">
        <v>9</v>
      </c>
      <c r="D76">
        <v>21</v>
      </c>
      <c r="E76">
        <v>140</v>
      </c>
      <c r="F76">
        <v>55</v>
      </c>
      <c r="G76">
        <v>170</v>
      </c>
      <c r="H76">
        <v>19</v>
      </c>
      <c r="I76">
        <v>250</v>
      </c>
      <c r="J76">
        <v>0</v>
      </c>
      <c r="L76">
        <v>39</v>
      </c>
      <c r="M76">
        <v>150</v>
      </c>
      <c r="N76">
        <v>135</v>
      </c>
      <c r="O76">
        <v>168</v>
      </c>
      <c r="Q76">
        <v>123</v>
      </c>
      <c r="R76">
        <v>22</v>
      </c>
      <c r="S76">
        <v>210</v>
      </c>
      <c r="T76">
        <v>130</v>
      </c>
      <c r="U76">
        <v>220</v>
      </c>
      <c r="V76">
        <v>39</v>
      </c>
      <c r="W76">
        <v>320</v>
      </c>
      <c r="X76">
        <v>123</v>
      </c>
      <c r="Y76">
        <v>180</v>
      </c>
      <c r="Z76">
        <v>315</v>
      </c>
      <c r="AA76">
        <v>200</v>
      </c>
      <c r="AB76">
        <v>0</v>
      </c>
      <c r="AD76">
        <v>450</v>
      </c>
      <c r="AE76">
        <v>190</v>
      </c>
    </row>
    <row r="77" spans="1:31" x14ac:dyDescent="0.25">
      <c r="A77" t="s">
        <v>715</v>
      </c>
      <c r="B77">
        <v>2009</v>
      </c>
      <c r="C77">
        <v>9</v>
      </c>
      <c r="D77">
        <v>9</v>
      </c>
      <c r="E77">
        <v>140</v>
      </c>
      <c r="F77">
        <v>24</v>
      </c>
      <c r="G77">
        <v>155</v>
      </c>
      <c r="H77">
        <v>8</v>
      </c>
      <c r="I77">
        <v>300</v>
      </c>
      <c r="J77">
        <v>0</v>
      </c>
      <c r="L77">
        <v>15</v>
      </c>
      <c r="M77">
        <v>135</v>
      </c>
      <c r="N77">
        <v>55</v>
      </c>
      <c r="O77">
        <v>150</v>
      </c>
      <c r="Q77">
        <v>190</v>
      </c>
      <c r="R77">
        <v>18</v>
      </c>
      <c r="S77">
        <v>185</v>
      </c>
      <c r="T77">
        <v>72</v>
      </c>
      <c r="U77">
        <v>245</v>
      </c>
      <c r="V77">
        <v>28</v>
      </c>
      <c r="W77">
        <v>355</v>
      </c>
      <c r="X77">
        <v>67</v>
      </c>
      <c r="Y77">
        <v>165</v>
      </c>
      <c r="Z77">
        <v>185</v>
      </c>
      <c r="AA77">
        <v>220</v>
      </c>
      <c r="AC77">
        <v>220</v>
      </c>
      <c r="AD77">
        <v>245</v>
      </c>
      <c r="AE77">
        <v>200</v>
      </c>
    </row>
    <row r="78" spans="1:31" x14ac:dyDescent="0.25">
      <c r="A78" t="s">
        <v>716</v>
      </c>
      <c r="B78">
        <v>2009</v>
      </c>
      <c r="C78">
        <v>9</v>
      </c>
      <c r="D78">
        <v>10</v>
      </c>
      <c r="E78">
        <v>170</v>
      </c>
      <c r="F78">
        <v>20</v>
      </c>
      <c r="G78">
        <v>178</v>
      </c>
      <c r="H78">
        <v>18</v>
      </c>
      <c r="I78">
        <v>243</v>
      </c>
      <c r="K78">
        <v>265</v>
      </c>
      <c r="L78">
        <v>17</v>
      </c>
      <c r="M78">
        <v>150</v>
      </c>
      <c r="N78">
        <v>65</v>
      </c>
      <c r="O78">
        <v>195</v>
      </c>
      <c r="Q78">
        <v>105</v>
      </c>
      <c r="R78">
        <v>31</v>
      </c>
      <c r="S78">
        <v>190</v>
      </c>
      <c r="T78">
        <v>138</v>
      </c>
      <c r="U78">
        <v>230</v>
      </c>
      <c r="V78">
        <v>43</v>
      </c>
      <c r="W78">
        <v>265</v>
      </c>
      <c r="X78">
        <v>91</v>
      </c>
      <c r="Y78">
        <v>215</v>
      </c>
      <c r="Z78">
        <v>305</v>
      </c>
      <c r="AA78">
        <v>225</v>
      </c>
      <c r="AB78">
        <v>0</v>
      </c>
      <c r="AD78">
        <v>370</v>
      </c>
      <c r="AE78">
        <v>220</v>
      </c>
    </row>
    <row r="79" spans="1:31" x14ac:dyDescent="0.25">
      <c r="A79" t="s">
        <v>717</v>
      </c>
      <c r="B79">
        <v>2009</v>
      </c>
      <c r="C79">
        <v>9</v>
      </c>
      <c r="D79">
        <v>6</v>
      </c>
      <c r="E79">
        <v>108</v>
      </c>
      <c r="F79">
        <v>65</v>
      </c>
      <c r="G79">
        <v>145</v>
      </c>
      <c r="H79">
        <v>15</v>
      </c>
      <c r="I79">
        <v>210</v>
      </c>
      <c r="J79">
        <v>0</v>
      </c>
      <c r="L79">
        <v>56</v>
      </c>
      <c r="M79">
        <v>120</v>
      </c>
      <c r="N79">
        <v>140</v>
      </c>
      <c r="O79">
        <v>130</v>
      </c>
      <c r="Q79">
        <v>135</v>
      </c>
      <c r="R79">
        <v>34</v>
      </c>
      <c r="S79">
        <v>165</v>
      </c>
      <c r="T79">
        <v>137</v>
      </c>
      <c r="U79">
        <v>190</v>
      </c>
      <c r="V79">
        <v>41</v>
      </c>
      <c r="W79">
        <v>220</v>
      </c>
      <c r="X79">
        <v>100</v>
      </c>
      <c r="Y79">
        <v>170</v>
      </c>
      <c r="Z79">
        <v>315</v>
      </c>
      <c r="AA79">
        <v>180</v>
      </c>
      <c r="AC79">
        <v>130</v>
      </c>
      <c r="AD79">
        <v>460</v>
      </c>
      <c r="AE79">
        <v>170</v>
      </c>
    </row>
    <row r="80" spans="1:31" x14ac:dyDescent="0.25">
      <c r="A80" t="s">
        <v>628</v>
      </c>
      <c r="B80">
        <v>2009</v>
      </c>
      <c r="C80">
        <v>9</v>
      </c>
      <c r="D80">
        <v>586</v>
      </c>
      <c r="E80">
        <v>213</v>
      </c>
      <c r="F80">
        <v>1770</v>
      </c>
      <c r="G80">
        <v>250</v>
      </c>
      <c r="H80">
        <v>462</v>
      </c>
      <c r="I80">
        <v>330</v>
      </c>
      <c r="J80">
        <v>16</v>
      </c>
      <c r="K80">
        <v>271</v>
      </c>
      <c r="L80">
        <v>1111</v>
      </c>
      <c r="M80">
        <v>225</v>
      </c>
      <c r="N80">
        <v>3945</v>
      </c>
      <c r="O80">
        <v>250</v>
      </c>
      <c r="P80">
        <v>73</v>
      </c>
      <c r="Q80">
        <v>175</v>
      </c>
      <c r="R80">
        <v>546</v>
      </c>
      <c r="S80">
        <v>280</v>
      </c>
      <c r="T80">
        <v>2595</v>
      </c>
      <c r="U80">
        <v>295</v>
      </c>
      <c r="V80">
        <v>550</v>
      </c>
      <c r="W80">
        <v>350</v>
      </c>
      <c r="X80">
        <v>2120</v>
      </c>
      <c r="Y80">
        <v>265</v>
      </c>
      <c r="Z80">
        <v>5884</v>
      </c>
      <c r="AA80">
        <v>290</v>
      </c>
      <c r="AB80">
        <v>175</v>
      </c>
      <c r="AC80">
        <v>160</v>
      </c>
      <c r="AD80">
        <v>10004</v>
      </c>
      <c r="AE80">
        <v>270</v>
      </c>
    </row>
    <row r="81" spans="1:31" x14ac:dyDescent="0.25">
      <c r="A81" t="s">
        <v>718</v>
      </c>
      <c r="B81">
        <v>2009</v>
      </c>
      <c r="C81">
        <v>9</v>
      </c>
      <c r="D81">
        <v>9</v>
      </c>
      <c r="E81">
        <v>120</v>
      </c>
      <c r="F81">
        <v>36</v>
      </c>
      <c r="G81">
        <v>140</v>
      </c>
      <c r="H81">
        <v>10</v>
      </c>
      <c r="I81">
        <v>210</v>
      </c>
      <c r="K81">
        <v>240</v>
      </c>
      <c r="L81">
        <v>43</v>
      </c>
      <c r="M81">
        <v>125</v>
      </c>
      <c r="N81">
        <v>100</v>
      </c>
      <c r="O81">
        <v>140</v>
      </c>
      <c r="Q81">
        <v>160</v>
      </c>
      <c r="R81">
        <v>36</v>
      </c>
      <c r="S81">
        <v>165</v>
      </c>
      <c r="T81">
        <v>166</v>
      </c>
      <c r="U81">
        <v>200</v>
      </c>
      <c r="V81">
        <v>52</v>
      </c>
      <c r="W81">
        <v>265</v>
      </c>
      <c r="X81">
        <v>182</v>
      </c>
      <c r="Y81">
        <v>170</v>
      </c>
      <c r="Z81">
        <v>440</v>
      </c>
      <c r="AA81">
        <v>180</v>
      </c>
      <c r="AC81">
        <v>135</v>
      </c>
      <c r="AD81">
        <v>540</v>
      </c>
      <c r="AE81">
        <v>175</v>
      </c>
    </row>
    <row r="82" spans="1:31" x14ac:dyDescent="0.25">
      <c r="A82" t="s">
        <v>719</v>
      </c>
      <c r="B82">
        <v>2009</v>
      </c>
      <c r="C82">
        <v>9</v>
      </c>
      <c r="D82">
        <v>34</v>
      </c>
      <c r="E82">
        <v>145</v>
      </c>
      <c r="F82">
        <v>270</v>
      </c>
      <c r="G82">
        <v>230</v>
      </c>
      <c r="H82">
        <v>92</v>
      </c>
      <c r="I82">
        <v>298</v>
      </c>
      <c r="K82">
        <v>255</v>
      </c>
      <c r="L82">
        <v>198</v>
      </c>
      <c r="M82">
        <v>180</v>
      </c>
      <c r="N82">
        <v>595</v>
      </c>
      <c r="O82">
        <v>230</v>
      </c>
      <c r="P82">
        <v>13</v>
      </c>
      <c r="Q82">
        <v>140</v>
      </c>
      <c r="R82">
        <v>67</v>
      </c>
      <c r="S82">
        <v>240</v>
      </c>
      <c r="T82">
        <v>934</v>
      </c>
      <c r="U82">
        <v>270</v>
      </c>
      <c r="V82">
        <v>187</v>
      </c>
      <c r="W82">
        <v>315</v>
      </c>
      <c r="X82">
        <v>890</v>
      </c>
      <c r="Y82">
        <v>248</v>
      </c>
      <c r="Z82">
        <v>2090</v>
      </c>
      <c r="AA82">
        <v>260</v>
      </c>
      <c r="AB82">
        <v>11</v>
      </c>
      <c r="AC82">
        <v>157</v>
      </c>
      <c r="AD82">
        <v>2700</v>
      </c>
      <c r="AE82">
        <v>251</v>
      </c>
    </row>
    <row r="83" spans="1:31" x14ac:dyDescent="0.25">
      <c r="A83" t="s">
        <v>720</v>
      </c>
      <c r="B83">
        <v>2009</v>
      </c>
      <c r="C83">
        <v>9</v>
      </c>
      <c r="D83">
        <v>61</v>
      </c>
      <c r="E83">
        <v>130</v>
      </c>
      <c r="F83">
        <v>245</v>
      </c>
      <c r="G83">
        <v>160</v>
      </c>
      <c r="H83">
        <v>118</v>
      </c>
      <c r="I83">
        <v>250</v>
      </c>
      <c r="J83">
        <v>4</v>
      </c>
      <c r="K83">
        <v>253</v>
      </c>
      <c r="L83">
        <v>259</v>
      </c>
      <c r="M83">
        <v>150</v>
      </c>
      <c r="N83">
        <v>687</v>
      </c>
      <c r="O83">
        <v>165</v>
      </c>
      <c r="P83">
        <v>25</v>
      </c>
      <c r="Q83">
        <v>150</v>
      </c>
      <c r="R83">
        <v>200</v>
      </c>
      <c r="S83">
        <v>180</v>
      </c>
      <c r="T83">
        <v>1006</v>
      </c>
      <c r="U83">
        <v>220</v>
      </c>
      <c r="V83">
        <v>314</v>
      </c>
      <c r="W83">
        <v>285</v>
      </c>
      <c r="X83">
        <v>1006</v>
      </c>
      <c r="Y83">
        <v>185</v>
      </c>
      <c r="Z83">
        <v>2551</v>
      </c>
      <c r="AA83">
        <v>210</v>
      </c>
      <c r="AB83">
        <v>5</v>
      </c>
      <c r="AC83">
        <v>180</v>
      </c>
      <c r="AD83">
        <v>3243</v>
      </c>
      <c r="AE83">
        <v>200</v>
      </c>
    </row>
    <row r="84" spans="1:31" x14ac:dyDescent="0.25">
      <c r="A84" t="s">
        <v>724</v>
      </c>
      <c r="B84">
        <v>2009</v>
      </c>
      <c r="C84">
        <v>9</v>
      </c>
      <c r="D84">
        <v>647</v>
      </c>
      <c r="E84">
        <v>200</v>
      </c>
      <c r="F84">
        <v>2015</v>
      </c>
      <c r="G84">
        <v>240</v>
      </c>
      <c r="H84">
        <v>580</v>
      </c>
      <c r="I84">
        <v>300</v>
      </c>
      <c r="J84">
        <v>20</v>
      </c>
      <c r="K84">
        <v>258</v>
      </c>
      <c r="L84">
        <v>1370</v>
      </c>
      <c r="M84">
        <v>210</v>
      </c>
      <c r="N84">
        <v>4632</v>
      </c>
      <c r="O84">
        <v>240</v>
      </c>
      <c r="P84">
        <v>98</v>
      </c>
      <c r="Q84">
        <v>165</v>
      </c>
      <c r="R84">
        <v>746</v>
      </c>
      <c r="S84">
        <v>260</v>
      </c>
      <c r="T84">
        <v>3601</v>
      </c>
      <c r="U84">
        <v>280</v>
      </c>
      <c r="V84">
        <v>864</v>
      </c>
      <c r="W84">
        <v>330</v>
      </c>
      <c r="X84">
        <v>3126</v>
      </c>
      <c r="Y84">
        <v>245</v>
      </c>
      <c r="Z84">
        <v>8435</v>
      </c>
      <c r="AA84">
        <v>270</v>
      </c>
      <c r="AB84">
        <v>180</v>
      </c>
      <c r="AC84">
        <v>160</v>
      </c>
      <c r="AD84">
        <v>13247</v>
      </c>
      <c r="AE84">
        <v>255</v>
      </c>
    </row>
    <row r="85" spans="1:31" x14ac:dyDescent="0.25">
      <c r="A85" t="s">
        <v>721</v>
      </c>
      <c r="B85">
        <v>2009</v>
      </c>
      <c r="C85">
        <v>9</v>
      </c>
      <c r="D85">
        <v>104</v>
      </c>
      <c r="E85">
        <v>220</v>
      </c>
      <c r="F85">
        <v>423</v>
      </c>
      <c r="G85">
        <v>240</v>
      </c>
      <c r="H85">
        <v>112</v>
      </c>
      <c r="I85">
        <v>300</v>
      </c>
      <c r="K85">
        <v>375</v>
      </c>
      <c r="L85">
        <v>258</v>
      </c>
      <c r="M85">
        <v>220</v>
      </c>
      <c r="N85">
        <v>900</v>
      </c>
      <c r="O85">
        <v>240</v>
      </c>
      <c r="P85">
        <v>26</v>
      </c>
      <c r="Q85">
        <v>168</v>
      </c>
      <c r="R85">
        <v>131</v>
      </c>
      <c r="S85">
        <v>270</v>
      </c>
      <c r="T85">
        <v>751</v>
      </c>
      <c r="U85">
        <v>300</v>
      </c>
      <c r="V85">
        <v>191</v>
      </c>
      <c r="W85">
        <v>350</v>
      </c>
      <c r="X85">
        <v>549</v>
      </c>
      <c r="Y85">
        <v>270</v>
      </c>
      <c r="Z85">
        <v>1650</v>
      </c>
      <c r="AA85">
        <v>290</v>
      </c>
      <c r="AB85">
        <v>31</v>
      </c>
      <c r="AC85">
        <v>157</v>
      </c>
      <c r="AD85">
        <v>2580</v>
      </c>
      <c r="AE85">
        <v>275</v>
      </c>
    </row>
    <row r="86" spans="1:31" x14ac:dyDescent="0.25">
      <c r="A86" t="s">
        <v>722</v>
      </c>
      <c r="B86">
        <v>2009</v>
      </c>
      <c r="C86">
        <v>9</v>
      </c>
      <c r="D86">
        <v>85</v>
      </c>
      <c r="E86">
        <v>180</v>
      </c>
      <c r="F86">
        <v>437</v>
      </c>
      <c r="G86">
        <v>230</v>
      </c>
      <c r="H86">
        <v>107</v>
      </c>
      <c r="I86">
        <v>320</v>
      </c>
      <c r="J86">
        <v>7</v>
      </c>
      <c r="K86">
        <v>251</v>
      </c>
      <c r="L86">
        <v>277</v>
      </c>
      <c r="M86">
        <v>220</v>
      </c>
      <c r="N86">
        <v>915</v>
      </c>
      <c r="O86">
        <v>230</v>
      </c>
      <c r="P86">
        <v>8</v>
      </c>
      <c r="Q86">
        <v>185</v>
      </c>
      <c r="R86">
        <v>160</v>
      </c>
      <c r="S86">
        <v>270</v>
      </c>
      <c r="T86">
        <v>520</v>
      </c>
      <c r="U86">
        <v>310</v>
      </c>
      <c r="V86">
        <v>79</v>
      </c>
      <c r="W86">
        <v>380</v>
      </c>
      <c r="X86">
        <v>337</v>
      </c>
      <c r="Y86">
        <v>290</v>
      </c>
      <c r="Z86">
        <v>1105</v>
      </c>
      <c r="AA86">
        <v>300</v>
      </c>
      <c r="AB86">
        <v>16</v>
      </c>
      <c r="AC86">
        <v>150</v>
      </c>
      <c r="AD86">
        <v>2035</v>
      </c>
      <c r="AE86">
        <v>270</v>
      </c>
    </row>
    <row r="87" spans="1:31" x14ac:dyDescent="0.25">
      <c r="A87" t="s">
        <v>723</v>
      </c>
      <c r="B87">
        <v>2009</v>
      </c>
      <c r="C87">
        <v>9</v>
      </c>
      <c r="E87">
        <v>85</v>
      </c>
      <c r="F87">
        <v>12</v>
      </c>
      <c r="G87">
        <v>160</v>
      </c>
      <c r="H87">
        <v>10</v>
      </c>
      <c r="I87">
        <v>198</v>
      </c>
      <c r="K87">
        <v>290</v>
      </c>
      <c r="L87">
        <v>29</v>
      </c>
      <c r="M87">
        <v>140</v>
      </c>
      <c r="N87">
        <v>55</v>
      </c>
      <c r="O87">
        <v>146</v>
      </c>
      <c r="Q87">
        <v>120</v>
      </c>
      <c r="R87">
        <v>32</v>
      </c>
      <c r="S87">
        <v>175</v>
      </c>
      <c r="T87">
        <v>136</v>
      </c>
      <c r="U87">
        <v>200</v>
      </c>
      <c r="V87">
        <v>33</v>
      </c>
      <c r="W87">
        <v>245</v>
      </c>
      <c r="X87">
        <v>237</v>
      </c>
      <c r="Y87">
        <v>170</v>
      </c>
      <c r="Z87">
        <v>440</v>
      </c>
      <c r="AA87">
        <v>185</v>
      </c>
      <c r="AB87">
        <v>0</v>
      </c>
      <c r="AD87">
        <v>495</v>
      </c>
      <c r="AE87">
        <v>180</v>
      </c>
    </row>
    <row r="88" spans="1:31" x14ac:dyDescent="0.25">
      <c r="A88" t="s">
        <v>711</v>
      </c>
      <c r="B88">
        <v>2009</v>
      </c>
      <c r="C88">
        <v>12</v>
      </c>
      <c r="E88">
        <v>183</v>
      </c>
      <c r="F88">
        <v>15</v>
      </c>
      <c r="G88">
        <v>250</v>
      </c>
      <c r="H88">
        <v>20</v>
      </c>
      <c r="I88">
        <v>295</v>
      </c>
      <c r="K88">
        <v>385</v>
      </c>
      <c r="L88">
        <v>28</v>
      </c>
      <c r="M88">
        <v>265</v>
      </c>
      <c r="N88">
        <v>70</v>
      </c>
      <c r="O88">
        <v>263</v>
      </c>
      <c r="Q88">
        <v>175</v>
      </c>
      <c r="R88">
        <v>18</v>
      </c>
      <c r="S88">
        <v>270</v>
      </c>
      <c r="T88">
        <v>101</v>
      </c>
      <c r="U88">
        <v>300</v>
      </c>
      <c r="V88">
        <v>48</v>
      </c>
      <c r="W88">
        <v>395</v>
      </c>
      <c r="X88">
        <v>90</v>
      </c>
      <c r="Y88">
        <v>288</v>
      </c>
      <c r="Z88">
        <v>260</v>
      </c>
      <c r="AA88">
        <v>300</v>
      </c>
      <c r="AB88">
        <v>0</v>
      </c>
      <c r="AD88">
        <v>325</v>
      </c>
      <c r="AE88">
        <v>290</v>
      </c>
    </row>
    <row r="89" spans="1:31" x14ac:dyDescent="0.25">
      <c r="A89" t="s">
        <v>712</v>
      </c>
      <c r="B89">
        <v>2009</v>
      </c>
      <c r="C89">
        <v>12</v>
      </c>
      <c r="E89">
        <v>140</v>
      </c>
      <c r="F89">
        <v>21</v>
      </c>
      <c r="G89">
        <v>180</v>
      </c>
      <c r="H89">
        <v>13</v>
      </c>
      <c r="I89">
        <v>255</v>
      </c>
      <c r="K89">
        <v>315</v>
      </c>
      <c r="L89">
        <v>33</v>
      </c>
      <c r="M89">
        <v>180</v>
      </c>
      <c r="N89">
        <v>70</v>
      </c>
      <c r="O89">
        <v>193</v>
      </c>
      <c r="Q89">
        <v>170</v>
      </c>
      <c r="R89">
        <v>15</v>
      </c>
      <c r="S89">
        <v>195</v>
      </c>
      <c r="T89">
        <v>102</v>
      </c>
      <c r="U89">
        <v>250</v>
      </c>
      <c r="V89">
        <v>42</v>
      </c>
      <c r="W89">
        <v>315</v>
      </c>
      <c r="X89">
        <v>127</v>
      </c>
      <c r="Y89">
        <v>240</v>
      </c>
      <c r="Z89">
        <v>290</v>
      </c>
      <c r="AA89">
        <v>250</v>
      </c>
      <c r="AB89">
        <v>0</v>
      </c>
      <c r="AD89">
        <v>360</v>
      </c>
      <c r="AE89">
        <v>250</v>
      </c>
    </row>
    <row r="90" spans="1:31" x14ac:dyDescent="0.25">
      <c r="A90" t="s">
        <v>713</v>
      </c>
      <c r="B90">
        <v>2009</v>
      </c>
      <c r="C90">
        <v>12</v>
      </c>
      <c r="D90">
        <v>221</v>
      </c>
      <c r="E90">
        <v>240</v>
      </c>
      <c r="F90">
        <v>557</v>
      </c>
      <c r="G90">
        <v>275</v>
      </c>
      <c r="H90">
        <v>90</v>
      </c>
      <c r="I90">
        <v>360</v>
      </c>
      <c r="K90">
        <v>350</v>
      </c>
      <c r="L90">
        <v>322</v>
      </c>
      <c r="M90">
        <v>250</v>
      </c>
      <c r="N90">
        <v>1195</v>
      </c>
      <c r="O90">
        <v>265</v>
      </c>
      <c r="P90">
        <v>30</v>
      </c>
      <c r="Q90">
        <v>255</v>
      </c>
      <c r="R90">
        <v>209</v>
      </c>
      <c r="S90">
        <v>320</v>
      </c>
      <c r="T90">
        <v>348</v>
      </c>
      <c r="U90">
        <v>358</v>
      </c>
      <c r="V90">
        <v>80</v>
      </c>
      <c r="W90">
        <v>465</v>
      </c>
      <c r="X90">
        <v>261</v>
      </c>
      <c r="Y90">
        <v>325</v>
      </c>
      <c r="Z90">
        <v>930</v>
      </c>
      <c r="AA90">
        <v>345</v>
      </c>
      <c r="AB90">
        <v>47</v>
      </c>
      <c r="AC90">
        <v>170</v>
      </c>
      <c r="AD90">
        <v>2170</v>
      </c>
      <c r="AE90">
        <v>300</v>
      </c>
    </row>
    <row r="91" spans="1:31" x14ac:dyDescent="0.25">
      <c r="A91" t="s">
        <v>714</v>
      </c>
      <c r="B91">
        <v>2009</v>
      </c>
      <c r="C91">
        <v>12</v>
      </c>
      <c r="D91">
        <v>13</v>
      </c>
      <c r="E91">
        <v>140</v>
      </c>
      <c r="F91">
        <v>45</v>
      </c>
      <c r="G91">
        <v>170</v>
      </c>
      <c r="H91">
        <v>14</v>
      </c>
      <c r="I91">
        <v>290</v>
      </c>
      <c r="K91">
        <v>375</v>
      </c>
      <c r="L91">
        <v>37</v>
      </c>
      <c r="M91">
        <v>150</v>
      </c>
      <c r="N91">
        <v>110</v>
      </c>
      <c r="O91">
        <v>170</v>
      </c>
      <c r="Q91">
        <v>140</v>
      </c>
      <c r="R91">
        <v>22</v>
      </c>
      <c r="S91">
        <v>198</v>
      </c>
      <c r="T91">
        <v>131</v>
      </c>
      <c r="U91">
        <v>220</v>
      </c>
      <c r="V91">
        <v>54</v>
      </c>
      <c r="W91">
        <v>300</v>
      </c>
      <c r="X91">
        <v>118</v>
      </c>
      <c r="Y91">
        <v>180</v>
      </c>
      <c r="Z91">
        <v>330</v>
      </c>
      <c r="AA91">
        <v>210</v>
      </c>
      <c r="AB91">
        <v>0</v>
      </c>
      <c r="AD91">
        <v>440</v>
      </c>
      <c r="AE91">
        <v>200</v>
      </c>
    </row>
    <row r="92" spans="1:31" x14ac:dyDescent="0.25">
      <c r="A92" t="s">
        <v>715</v>
      </c>
      <c r="B92">
        <v>2009</v>
      </c>
      <c r="C92">
        <v>12</v>
      </c>
      <c r="D92">
        <v>8</v>
      </c>
      <c r="E92">
        <v>150</v>
      </c>
      <c r="F92">
        <v>26</v>
      </c>
      <c r="G92">
        <v>148</v>
      </c>
      <c r="H92">
        <v>12</v>
      </c>
      <c r="I92">
        <v>290</v>
      </c>
      <c r="K92">
        <v>300</v>
      </c>
      <c r="L92">
        <v>9</v>
      </c>
      <c r="M92">
        <v>100</v>
      </c>
      <c r="N92">
        <v>60</v>
      </c>
      <c r="O92">
        <v>150</v>
      </c>
      <c r="Q92">
        <v>150</v>
      </c>
      <c r="R92">
        <v>19</v>
      </c>
      <c r="S92">
        <v>190</v>
      </c>
      <c r="T92">
        <v>78</v>
      </c>
      <c r="U92">
        <v>228</v>
      </c>
      <c r="V92">
        <v>29</v>
      </c>
      <c r="W92">
        <v>320</v>
      </c>
      <c r="X92">
        <v>51</v>
      </c>
      <c r="Y92">
        <v>150</v>
      </c>
      <c r="Z92">
        <v>180</v>
      </c>
      <c r="AA92">
        <v>210</v>
      </c>
      <c r="AB92">
        <v>6</v>
      </c>
      <c r="AC92">
        <v>170</v>
      </c>
      <c r="AD92">
        <v>245</v>
      </c>
      <c r="AE92">
        <v>200</v>
      </c>
    </row>
    <row r="93" spans="1:31" x14ac:dyDescent="0.25">
      <c r="A93" t="s">
        <v>716</v>
      </c>
      <c r="B93">
        <v>2009</v>
      </c>
      <c r="C93">
        <v>12</v>
      </c>
      <c r="D93">
        <v>14</v>
      </c>
      <c r="E93">
        <v>150</v>
      </c>
      <c r="F93">
        <v>27</v>
      </c>
      <c r="G93">
        <v>190</v>
      </c>
      <c r="H93">
        <v>17</v>
      </c>
      <c r="I93">
        <v>250</v>
      </c>
      <c r="K93">
        <v>208</v>
      </c>
      <c r="L93">
        <v>26</v>
      </c>
      <c r="M93">
        <v>178</v>
      </c>
      <c r="N93">
        <v>85</v>
      </c>
      <c r="O93">
        <v>190</v>
      </c>
      <c r="Q93">
        <v>150</v>
      </c>
      <c r="R93">
        <v>31</v>
      </c>
      <c r="S93">
        <v>190</v>
      </c>
      <c r="T93">
        <v>144</v>
      </c>
      <c r="U93">
        <v>240</v>
      </c>
      <c r="V93">
        <v>51</v>
      </c>
      <c r="W93">
        <v>280</v>
      </c>
      <c r="X93">
        <v>57</v>
      </c>
      <c r="Y93">
        <v>225</v>
      </c>
      <c r="Z93">
        <v>285</v>
      </c>
      <c r="AA93">
        <v>240</v>
      </c>
      <c r="AC93">
        <v>160</v>
      </c>
      <c r="AD93">
        <v>375</v>
      </c>
      <c r="AE93">
        <v>230</v>
      </c>
    </row>
    <row r="94" spans="1:31" x14ac:dyDescent="0.25">
      <c r="A94" t="s">
        <v>717</v>
      </c>
      <c r="B94">
        <v>2009</v>
      </c>
      <c r="C94">
        <v>12</v>
      </c>
      <c r="D94">
        <v>16</v>
      </c>
      <c r="E94">
        <v>100</v>
      </c>
      <c r="F94">
        <v>75</v>
      </c>
      <c r="G94">
        <v>150</v>
      </c>
      <c r="H94">
        <v>16</v>
      </c>
      <c r="I94">
        <v>215</v>
      </c>
      <c r="J94">
        <v>0</v>
      </c>
      <c r="L94">
        <v>63</v>
      </c>
      <c r="M94">
        <v>115</v>
      </c>
      <c r="N94">
        <v>170</v>
      </c>
      <c r="O94">
        <v>135</v>
      </c>
      <c r="Q94">
        <v>145</v>
      </c>
      <c r="R94">
        <v>21</v>
      </c>
      <c r="S94">
        <v>150</v>
      </c>
      <c r="T94">
        <v>133</v>
      </c>
      <c r="U94">
        <v>195</v>
      </c>
      <c r="V94">
        <v>37</v>
      </c>
      <c r="W94">
        <v>235</v>
      </c>
      <c r="X94">
        <v>110</v>
      </c>
      <c r="Y94">
        <v>175</v>
      </c>
      <c r="Z94">
        <v>300</v>
      </c>
      <c r="AA94">
        <v>185</v>
      </c>
      <c r="AB94">
        <v>0</v>
      </c>
      <c r="AD94">
        <v>470</v>
      </c>
      <c r="AE94">
        <v>170</v>
      </c>
    </row>
    <row r="95" spans="1:31" x14ac:dyDescent="0.25">
      <c r="A95" t="s">
        <v>628</v>
      </c>
      <c r="B95">
        <v>2009</v>
      </c>
      <c r="C95">
        <v>12</v>
      </c>
      <c r="D95">
        <v>410</v>
      </c>
      <c r="E95">
        <v>210</v>
      </c>
      <c r="F95">
        <v>1650</v>
      </c>
      <c r="G95">
        <v>250</v>
      </c>
      <c r="H95">
        <v>352</v>
      </c>
      <c r="I95">
        <v>320</v>
      </c>
      <c r="J95">
        <v>15</v>
      </c>
      <c r="K95">
        <v>330</v>
      </c>
      <c r="L95">
        <v>926</v>
      </c>
      <c r="M95">
        <v>230</v>
      </c>
      <c r="N95">
        <v>3353</v>
      </c>
      <c r="O95">
        <v>250</v>
      </c>
      <c r="P95">
        <v>81</v>
      </c>
      <c r="Q95">
        <v>195</v>
      </c>
      <c r="R95">
        <v>561</v>
      </c>
      <c r="S95">
        <v>280</v>
      </c>
      <c r="T95">
        <v>2532</v>
      </c>
      <c r="U95">
        <v>300</v>
      </c>
      <c r="V95">
        <v>557</v>
      </c>
      <c r="W95">
        <v>350</v>
      </c>
      <c r="X95">
        <v>1768</v>
      </c>
      <c r="Y95">
        <v>275</v>
      </c>
      <c r="Z95">
        <v>5499</v>
      </c>
      <c r="AA95">
        <v>295</v>
      </c>
      <c r="AB95">
        <v>102</v>
      </c>
      <c r="AC95">
        <v>170</v>
      </c>
      <c r="AD95">
        <v>8954</v>
      </c>
      <c r="AE95">
        <v>280</v>
      </c>
    </row>
    <row r="96" spans="1:31" x14ac:dyDescent="0.25">
      <c r="A96" t="s">
        <v>718</v>
      </c>
      <c r="B96">
        <v>2009</v>
      </c>
      <c r="C96">
        <v>12</v>
      </c>
      <c r="E96">
        <v>118</v>
      </c>
      <c r="F96">
        <v>50</v>
      </c>
      <c r="G96">
        <v>140</v>
      </c>
      <c r="H96">
        <v>16</v>
      </c>
      <c r="I96">
        <v>200</v>
      </c>
      <c r="K96">
        <v>228</v>
      </c>
      <c r="L96">
        <v>49</v>
      </c>
      <c r="M96">
        <v>135</v>
      </c>
      <c r="N96">
        <v>120</v>
      </c>
      <c r="O96">
        <v>140</v>
      </c>
      <c r="P96">
        <v>8</v>
      </c>
      <c r="Q96">
        <v>118</v>
      </c>
      <c r="R96">
        <v>34</v>
      </c>
      <c r="S96">
        <v>160</v>
      </c>
      <c r="T96">
        <v>172</v>
      </c>
      <c r="U96">
        <v>190</v>
      </c>
      <c r="V96">
        <v>42</v>
      </c>
      <c r="W96">
        <v>253</v>
      </c>
      <c r="X96">
        <v>196</v>
      </c>
      <c r="Y96">
        <v>175</v>
      </c>
      <c r="Z96">
        <v>450</v>
      </c>
      <c r="AA96">
        <v>185</v>
      </c>
      <c r="AB96">
        <v>0</v>
      </c>
      <c r="AD96">
        <v>575</v>
      </c>
      <c r="AE96">
        <v>175</v>
      </c>
    </row>
    <row r="97" spans="1:31" x14ac:dyDescent="0.25">
      <c r="A97" t="s">
        <v>719</v>
      </c>
      <c r="B97">
        <v>2009</v>
      </c>
      <c r="C97">
        <v>12</v>
      </c>
      <c r="D97">
        <v>37</v>
      </c>
      <c r="E97">
        <v>140</v>
      </c>
      <c r="F97">
        <v>244</v>
      </c>
      <c r="G97">
        <v>230</v>
      </c>
      <c r="H97">
        <v>69</v>
      </c>
      <c r="I97">
        <v>295</v>
      </c>
      <c r="K97">
        <v>320</v>
      </c>
      <c r="L97">
        <v>176</v>
      </c>
      <c r="M97">
        <v>190</v>
      </c>
      <c r="N97">
        <v>530</v>
      </c>
      <c r="O97">
        <v>225</v>
      </c>
      <c r="P97">
        <v>7</v>
      </c>
      <c r="Q97">
        <v>140</v>
      </c>
      <c r="R97">
        <v>75</v>
      </c>
      <c r="S97">
        <v>240</v>
      </c>
      <c r="T97">
        <v>912</v>
      </c>
      <c r="U97">
        <v>275</v>
      </c>
      <c r="V97">
        <v>175</v>
      </c>
      <c r="W97">
        <v>320</v>
      </c>
      <c r="X97">
        <v>713</v>
      </c>
      <c r="Y97">
        <v>255</v>
      </c>
      <c r="Z97">
        <v>1880</v>
      </c>
      <c r="AA97">
        <v>270</v>
      </c>
      <c r="AB97">
        <v>10</v>
      </c>
      <c r="AC97">
        <v>182</v>
      </c>
      <c r="AD97">
        <v>2420</v>
      </c>
      <c r="AE97">
        <v>260</v>
      </c>
    </row>
    <row r="98" spans="1:31" x14ac:dyDescent="0.25">
      <c r="A98" t="s">
        <v>720</v>
      </c>
      <c r="B98">
        <v>2009</v>
      </c>
      <c r="C98">
        <v>12</v>
      </c>
      <c r="D98">
        <v>69</v>
      </c>
      <c r="E98">
        <v>140</v>
      </c>
      <c r="F98">
        <v>273</v>
      </c>
      <c r="G98">
        <v>160</v>
      </c>
      <c r="H98">
        <v>114</v>
      </c>
      <c r="I98">
        <v>253</v>
      </c>
      <c r="J98">
        <v>16</v>
      </c>
      <c r="K98">
        <v>290</v>
      </c>
      <c r="L98">
        <v>265</v>
      </c>
      <c r="M98">
        <v>150</v>
      </c>
      <c r="N98">
        <v>737</v>
      </c>
      <c r="O98">
        <v>160</v>
      </c>
      <c r="P98">
        <v>27</v>
      </c>
      <c r="Q98">
        <v>140</v>
      </c>
      <c r="R98">
        <v>193</v>
      </c>
      <c r="S98">
        <v>180</v>
      </c>
      <c r="T98">
        <v>996</v>
      </c>
      <c r="U98">
        <v>225</v>
      </c>
      <c r="V98">
        <v>336</v>
      </c>
      <c r="W98">
        <v>290</v>
      </c>
      <c r="X98">
        <v>986</v>
      </c>
      <c r="Y98">
        <v>190</v>
      </c>
      <c r="Z98">
        <v>2538</v>
      </c>
      <c r="AA98">
        <v>220</v>
      </c>
      <c r="AB98">
        <v>10</v>
      </c>
      <c r="AC98">
        <v>175</v>
      </c>
      <c r="AD98">
        <v>3285</v>
      </c>
      <c r="AE98">
        <v>200</v>
      </c>
    </row>
    <row r="99" spans="1:31" x14ac:dyDescent="0.25">
      <c r="A99" t="s">
        <v>724</v>
      </c>
      <c r="B99">
        <v>2009</v>
      </c>
      <c r="C99">
        <v>12</v>
      </c>
      <c r="D99">
        <v>479</v>
      </c>
      <c r="E99">
        <v>200</v>
      </c>
      <c r="F99">
        <v>1923</v>
      </c>
      <c r="G99">
        <v>245</v>
      </c>
      <c r="H99">
        <v>466</v>
      </c>
      <c r="I99">
        <v>300</v>
      </c>
      <c r="J99">
        <v>31</v>
      </c>
      <c r="K99">
        <v>300</v>
      </c>
      <c r="L99">
        <v>1191</v>
      </c>
      <c r="M99">
        <v>210</v>
      </c>
      <c r="N99">
        <v>4090</v>
      </c>
      <c r="O99">
        <v>240</v>
      </c>
      <c r="P99">
        <v>108</v>
      </c>
      <c r="Q99">
        <v>185</v>
      </c>
      <c r="R99">
        <v>754</v>
      </c>
      <c r="S99">
        <v>265</v>
      </c>
      <c r="T99">
        <v>3528</v>
      </c>
      <c r="U99">
        <v>280</v>
      </c>
      <c r="V99">
        <v>893</v>
      </c>
      <c r="W99">
        <v>330</v>
      </c>
      <c r="X99">
        <v>2754</v>
      </c>
      <c r="Y99">
        <v>250</v>
      </c>
      <c r="Z99">
        <v>8037</v>
      </c>
      <c r="AA99">
        <v>275</v>
      </c>
      <c r="AB99">
        <v>112</v>
      </c>
      <c r="AC99">
        <v>170</v>
      </c>
      <c r="AD99">
        <v>12239</v>
      </c>
      <c r="AE99">
        <v>260</v>
      </c>
    </row>
    <row r="100" spans="1:31" x14ac:dyDescent="0.25">
      <c r="A100" t="s">
        <v>721</v>
      </c>
      <c r="B100">
        <v>2009</v>
      </c>
      <c r="C100">
        <v>12</v>
      </c>
      <c r="D100">
        <v>86</v>
      </c>
      <c r="E100">
        <v>195</v>
      </c>
      <c r="F100">
        <v>402</v>
      </c>
      <c r="G100">
        <v>250</v>
      </c>
      <c r="H100">
        <v>109</v>
      </c>
      <c r="I100">
        <v>320</v>
      </c>
      <c r="K100">
        <v>330</v>
      </c>
      <c r="L100">
        <v>199</v>
      </c>
      <c r="M100">
        <v>230</v>
      </c>
      <c r="N100">
        <v>800</v>
      </c>
      <c r="O100">
        <v>250</v>
      </c>
      <c r="P100">
        <v>27</v>
      </c>
      <c r="Q100">
        <v>195</v>
      </c>
      <c r="R100">
        <v>121</v>
      </c>
      <c r="S100">
        <v>275</v>
      </c>
      <c r="T100">
        <v>778</v>
      </c>
      <c r="U100">
        <v>300</v>
      </c>
      <c r="V100">
        <v>220</v>
      </c>
      <c r="W100">
        <v>350</v>
      </c>
      <c r="X100">
        <v>493</v>
      </c>
      <c r="Y100">
        <v>280</v>
      </c>
      <c r="Z100">
        <v>1640</v>
      </c>
      <c r="AA100">
        <v>295</v>
      </c>
      <c r="AB100">
        <v>25</v>
      </c>
      <c r="AC100">
        <v>170</v>
      </c>
      <c r="AD100">
        <v>2465</v>
      </c>
      <c r="AE100">
        <v>280</v>
      </c>
    </row>
    <row r="101" spans="1:31" x14ac:dyDescent="0.25">
      <c r="A101" t="s">
        <v>722</v>
      </c>
      <c r="B101">
        <v>2009</v>
      </c>
      <c r="C101">
        <v>12</v>
      </c>
      <c r="D101">
        <v>66</v>
      </c>
      <c r="E101">
        <v>200</v>
      </c>
      <c r="F101">
        <v>447</v>
      </c>
      <c r="G101">
        <v>240</v>
      </c>
      <c r="H101">
        <v>84</v>
      </c>
      <c r="I101">
        <v>323</v>
      </c>
      <c r="K101">
        <v>300</v>
      </c>
      <c r="L101">
        <v>229</v>
      </c>
      <c r="M101">
        <v>220</v>
      </c>
      <c r="N101">
        <v>830</v>
      </c>
      <c r="O101">
        <v>240</v>
      </c>
      <c r="P101">
        <v>17</v>
      </c>
      <c r="Q101">
        <v>195</v>
      </c>
      <c r="R101">
        <v>156</v>
      </c>
      <c r="S101">
        <v>275</v>
      </c>
      <c r="T101">
        <v>494</v>
      </c>
      <c r="U101">
        <v>330</v>
      </c>
      <c r="V101">
        <v>82</v>
      </c>
      <c r="W101">
        <v>380</v>
      </c>
      <c r="X101">
        <v>301</v>
      </c>
      <c r="Y101">
        <v>285</v>
      </c>
      <c r="Z101">
        <v>1050</v>
      </c>
      <c r="AA101">
        <v>310</v>
      </c>
      <c r="AB101">
        <v>20</v>
      </c>
      <c r="AC101">
        <v>150</v>
      </c>
      <c r="AD101">
        <v>1900</v>
      </c>
      <c r="AE101">
        <v>280</v>
      </c>
    </row>
    <row r="102" spans="1:31" x14ac:dyDescent="0.25">
      <c r="A102" t="s">
        <v>723</v>
      </c>
      <c r="B102">
        <v>2009</v>
      </c>
      <c r="C102">
        <v>12</v>
      </c>
      <c r="D102">
        <v>8</v>
      </c>
      <c r="E102">
        <v>124</v>
      </c>
      <c r="F102">
        <v>14</v>
      </c>
      <c r="G102">
        <v>146</v>
      </c>
      <c r="H102">
        <v>6</v>
      </c>
      <c r="I102">
        <v>190</v>
      </c>
      <c r="K102">
        <v>160</v>
      </c>
      <c r="L102">
        <v>20</v>
      </c>
      <c r="M102">
        <v>150</v>
      </c>
      <c r="N102">
        <v>50</v>
      </c>
      <c r="O102">
        <v>146</v>
      </c>
      <c r="Q102">
        <v>225</v>
      </c>
      <c r="R102">
        <v>33</v>
      </c>
      <c r="S102">
        <v>165</v>
      </c>
      <c r="T102">
        <v>135</v>
      </c>
      <c r="U102">
        <v>200</v>
      </c>
      <c r="V102">
        <v>33</v>
      </c>
      <c r="W102">
        <v>245</v>
      </c>
      <c r="X102">
        <v>237</v>
      </c>
      <c r="Y102">
        <v>180</v>
      </c>
      <c r="Z102">
        <v>440</v>
      </c>
      <c r="AA102">
        <v>185</v>
      </c>
      <c r="AC102">
        <v>250</v>
      </c>
      <c r="AD102">
        <v>490</v>
      </c>
      <c r="AE102">
        <v>180</v>
      </c>
    </row>
    <row r="103" spans="1:31" x14ac:dyDescent="0.25">
      <c r="A103" t="s">
        <v>711</v>
      </c>
      <c r="B103">
        <v>2010</v>
      </c>
      <c r="C103">
        <v>3</v>
      </c>
      <c r="E103">
        <v>180</v>
      </c>
      <c r="F103">
        <v>20</v>
      </c>
      <c r="G103">
        <v>225</v>
      </c>
      <c r="H103">
        <v>31</v>
      </c>
      <c r="I103">
        <v>285</v>
      </c>
      <c r="K103">
        <v>365</v>
      </c>
      <c r="L103">
        <v>30</v>
      </c>
      <c r="M103">
        <v>260</v>
      </c>
      <c r="N103">
        <v>85</v>
      </c>
      <c r="O103">
        <v>260</v>
      </c>
      <c r="Q103">
        <v>168</v>
      </c>
      <c r="R103">
        <v>18</v>
      </c>
      <c r="S103">
        <v>270</v>
      </c>
      <c r="T103">
        <v>107</v>
      </c>
      <c r="U103">
        <v>300</v>
      </c>
      <c r="V103">
        <v>67</v>
      </c>
      <c r="W103">
        <v>395</v>
      </c>
      <c r="X103">
        <v>97</v>
      </c>
      <c r="Y103">
        <v>295</v>
      </c>
      <c r="Z103">
        <v>295</v>
      </c>
      <c r="AA103">
        <v>320</v>
      </c>
      <c r="AB103">
        <v>0</v>
      </c>
      <c r="AD103">
        <v>380</v>
      </c>
      <c r="AE103">
        <v>295</v>
      </c>
    </row>
    <row r="104" spans="1:31" x14ac:dyDescent="0.25">
      <c r="A104" t="s">
        <v>712</v>
      </c>
      <c r="B104">
        <v>2010</v>
      </c>
      <c r="C104">
        <v>3</v>
      </c>
      <c r="E104">
        <v>125</v>
      </c>
      <c r="F104">
        <v>21</v>
      </c>
      <c r="G104">
        <v>200</v>
      </c>
      <c r="H104">
        <v>8</v>
      </c>
      <c r="I104">
        <v>275</v>
      </c>
      <c r="J104">
        <v>0</v>
      </c>
      <c r="L104">
        <v>42</v>
      </c>
      <c r="M104">
        <v>200</v>
      </c>
      <c r="N104">
        <v>75</v>
      </c>
      <c r="O104">
        <v>205</v>
      </c>
      <c r="Q104">
        <v>160</v>
      </c>
      <c r="R104">
        <v>17</v>
      </c>
      <c r="S104">
        <v>220</v>
      </c>
      <c r="T104">
        <v>115</v>
      </c>
      <c r="U104">
        <v>270</v>
      </c>
      <c r="V104">
        <v>34</v>
      </c>
      <c r="W104">
        <v>310</v>
      </c>
      <c r="X104">
        <v>141</v>
      </c>
      <c r="Y104">
        <v>250</v>
      </c>
      <c r="Z104">
        <v>310</v>
      </c>
      <c r="AA104">
        <v>260</v>
      </c>
      <c r="AB104">
        <v>0</v>
      </c>
      <c r="AD104">
        <v>385</v>
      </c>
      <c r="AE104">
        <v>250</v>
      </c>
    </row>
    <row r="105" spans="1:31" x14ac:dyDescent="0.25">
      <c r="A105" t="s">
        <v>713</v>
      </c>
      <c r="B105">
        <v>2010</v>
      </c>
      <c r="C105">
        <v>3</v>
      </c>
      <c r="D105">
        <v>510</v>
      </c>
      <c r="E105">
        <v>260</v>
      </c>
      <c r="F105">
        <v>876</v>
      </c>
      <c r="G105">
        <v>290</v>
      </c>
      <c r="H105">
        <v>195</v>
      </c>
      <c r="I105">
        <v>410</v>
      </c>
      <c r="J105">
        <v>11</v>
      </c>
      <c r="K105">
        <v>380</v>
      </c>
      <c r="L105">
        <v>529</v>
      </c>
      <c r="M105">
        <v>275</v>
      </c>
      <c r="N105">
        <v>2120</v>
      </c>
      <c r="O105">
        <v>280</v>
      </c>
      <c r="P105">
        <v>56</v>
      </c>
      <c r="Q105">
        <v>195</v>
      </c>
      <c r="R105">
        <v>248</v>
      </c>
      <c r="S105">
        <v>330</v>
      </c>
      <c r="T105">
        <v>478</v>
      </c>
      <c r="U105">
        <v>380</v>
      </c>
      <c r="V105">
        <v>119</v>
      </c>
      <c r="W105">
        <v>495</v>
      </c>
      <c r="X105">
        <v>436</v>
      </c>
      <c r="Y105">
        <v>355</v>
      </c>
      <c r="Z105">
        <v>1335</v>
      </c>
      <c r="AA105">
        <v>360</v>
      </c>
      <c r="AB105">
        <v>211</v>
      </c>
      <c r="AC105">
        <v>180</v>
      </c>
      <c r="AD105">
        <v>3670</v>
      </c>
      <c r="AE105">
        <v>300</v>
      </c>
    </row>
    <row r="106" spans="1:31" x14ac:dyDescent="0.25">
      <c r="A106" t="s">
        <v>714</v>
      </c>
      <c r="B106">
        <v>2010</v>
      </c>
      <c r="C106">
        <v>3</v>
      </c>
      <c r="D106">
        <v>31</v>
      </c>
      <c r="E106">
        <v>135</v>
      </c>
      <c r="F106">
        <v>53</v>
      </c>
      <c r="G106">
        <v>170</v>
      </c>
      <c r="H106">
        <v>24</v>
      </c>
      <c r="I106">
        <v>273</v>
      </c>
      <c r="K106">
        <v>350</v>
      </c>
      <c r="L106">
        <v>34</v>
      </c>
      <c r="M106">
        <v>140</v>
      </c>
      <c r="N106">
        <v>145</v>
      </c>
      <c r="O106">
        <v>170</v>
      </c>
      <c r="Q106">
        <v>103</v>
      </c>
      <c r="R106">
        <v>37</v>
      </c>
      <c r="S106">
        <v>200</v>
      </c>
      <c r="T106">
        <v>166</v>
      </c>
      <c r="U106">
        <v>240</v>
      </c>
      <c r="V106">
        <v>56</v>
      </c>
      <c r="W106">
        <v>300</v>
      </c>
      <c r="X106">
        <v>101</v>
      </c>
      <c r="Y106">
        <v>180</v>
      </c>
      <c r="Z106">
        <v>360</v>
      </c>
      <c r="AA106">
        <v>223</v>
      </c>
      <c r="AC106">
        <v>150</v>
      </c>
      <c r="AD106">
        <v>505</v>
      </c>
      <c r="AE106">
        <v>200</v>
      </c>
    </row>
    <row r="107" spans="1:31" x14ac:dyDescent="0.25">
      <c r="A107" t="s">
        <v>715</v>
      </c>
      <c r="B107">
        <v>2010</v>
      </c>
      <c r="C107">
        <v>3</v>
      </c>
      <c r="D107">
        <v>12</v>
      </c>
      <c r="E107">
        <v>150</v>
      </c>
      <c r="F107">
        <v>29</v>
      </c>
      <c r="G107">
        <v>150</v>
      </c>
      <c r="H107">
        <v>13</v>
      </c>
      <c r="I107">
        <v>300</v>
      </c>
      <c r="K107">
        <v>320</v>
      </c>
      <c r="L107">
        <v>14</v>
      </c>
      <c r="M107">
        <v>148</v>
      </c>
      <c r="N107">
        <v>70</v>
      </c>
      <c r="O107">
        <v>150</v>
      </c>
      <c r="Q107">
        <v>150</v>
      </c>
      <c r="R107">
        <v>16</v>
      </c>
      <c r="S107">
        <v>188</v>
      </c>
      <c r="T107">
        <v>84</v>
      </c>
      <c r="U107">
        <v>250</v>
      </c>
      <c r="V107">
        <v>25</v>
      </c>
      <c r="W107">
        <v>310</v>
      </c>
      <c r="X107">
        <v>62</v>
      </c>
      <c r="Y107">
        <v>198</v>
      </c>
      <c r="Z107">
        <v>190</v>
      </c>
      <c r="AA107">
        <v>230</v>
      </c>
      <c r="AC107">
        <v>205</v>
      </c>
      <c r="AD107">
        <v>260</v>
      </c>
      <c r="AE107">
        <v>210</v>
      </c>
    </row>
    <row r="108" spans="1:31" x14ac:dyDescent="0.25">
      <c r="A108" t="s">
        <v>716</v>
      </c>
      <c r="B108">
        <v>2010</v>
      </c>
      <c r="C108">
        <v>3</v>
      </c>
      <c r="D108">
        <v>8</v>
      </c>
      <c r="E108">
        <v>160</v>
      </c>
      <c r="F108">
        <v>25</v>
      </c>
      <c r="G108">
        <v>185</v>
      </c>
      <c r="H108">
        <v>19</v>
      </c>
      <c r="I108">
        <v>245</v>
      </c>
      <c r="J108">
        <v>0</v>
      </c>
      <c r="L108">
        <v>21</v>
      </c>
      <c r="M108">
        <v>170</v>
      </c>
      <c r="N108">
        <v>75</v>
      </c>
      <c r="O108">
        <v>200</v>
      </c>
      <c r="Q108">
        <v>150</v>
      </c>
      <c r="R108">
        <v>34</v>
      </c>
      <c r="S108">
        <v>210</v>
      </c>
      <c r="T108">
        <v>149</v>
      </c>
      <c r="U108">
        <v>240</v>
      </c>
      <c r="V108">
        <v>55</v>
      </c>
      <c r="W108">
        <v>300</v>
      </c>
      <c r="X108">
        <v>80</v>
      </c>
      <c r="Y108">
        <v>228</v>
      </c>
      <c r="Z108">
        <v>320</v>
      </c>
      <c r="AA108">
        <v>240</v>
      </c>
      <c r="AC108">
        <v>150</v>
      </c>
      <c r="AD108">
        <v>395</v>
      </c>
      <c r="AE108">
        <v>230</v>
      </c>
    </row>
    <row r="109" spans="1:31" x14ac:dyDescent="0.25">
      <c r="A109" t="s">
        <v>717</v>
      </c>
      <c r="B109">
        <v>2010</v>
      </c>
      <c r="C109">
        <v>3</v>
      </c>
      <c r="D109">
        <v>13</v>
      </c>
      <c r="E109">
        <v>115</v>
      </c>
      <c r="F109">
        <v>78</v>
      </c>
      <c r="G109">
        <v>153</v>
      </c>
      <c r="H109">
        <v>15</v>
      </c>
      <c r="I109">
        <v>200</v>
      </c>
      <c r="K109">
        <v>175</v>
      </c>
      <c r="L109">
        <v>91</v>
      </c>
      <c r="M109">
        <v>120</v>
      </c>
      <c r="N109">
        <v>200</v>
      </c>
      <c r="O109">
        <v>135</v>
      </c>
      <c r="Q109">
        <v>148</v>
      </c>
      <c r="R109">
        <v>27</v>
      </c>
      <c r="S109">
        <v>180</v>
      </c>
      <c r="T109">
        <v>179</v>
      </c>
      <c r="U109">
        <v>195</v>
      </c>
      <c r="V109">
        <v>45</v>
      </c>
      <c r="W109">
        <v>240</v>
      </c>
      <c r="X109">
        <v>141</v>
      </c>
      <c r="Y109">
        <v>180</v>
      </c>
      <c r="Z109">
        <v>395</v>
      </c>
      <c r="AA109">
        <v>190</v>
      </c>
      <c r="AC109">
        <v>170</v>
      </c>
      <c r="AD109">
        <v>595</v>
      </c>
      <c r="AE109">
        <v>180</v>
      </c>
    </row>
    <row r="110" spans="1:31" x14ac:dyDescent="0.25">
      <c r="A110" t="s">
        <v>628</v>
      </c>
      <c r="B110">
        <v>2010</v>
      </c>
      <c r="C110">
        <v>3</v>
      </c>
      <c r="D110">
        <v>747</v>
      </c>
      <c r="E110">
        <v>240</v>
      </c>
      <c r="F110">
        <v>2202</v>
      </c>
      <c r="G110">
        <v>260</v>
      </c>
      <c r="H110">
        <v>533</v>
      </c>
      <c r="I110">
        <v>345</v>
      </c>
      <c r="J110">
        <v>23</v>
      </c>
      <c r="K110">
        <v>300</v>
      </c>
      <c r="L110">
        <v>1299</v>
      </c>
      <c r="M110">
        <v>250</v>
      </c>
      <c r="N110">
        <v>4804</v>
      </c>
      <c r="O110">
        <v>260</v>
      </c>
      <c r="P110">
        <v>113</v>
      </c>
      <c r="Q110">
        <v>185</v>
      </c>
      <c r="R110">
        <v>645</v>
      </c>
      <c r="S110">
        <v>295</v>
      </c>
      <c r="T110">
        <v>3114</v>
      </c>
      <c r="U110">
        <v>310</v>
      </c>
      <c r="V110">
        <v>660</v>
      </c>
      <c r="W110">
        <v>375</v>
      </c>
      <c r="X110">
        <v>2175</v>
      </c>
      <c r="Y110">
        <v>285</v>
      </c>
      <c r="Z110">
        <v>6707</v>
      </c>
      <c r="AA110">
        <v>300</v>
      </c>
      <c r="AB110">
        <v>253</v>
      </c>
      <c r="AC110">
        <v>176</v>
      </c>
      <c r="AD110">
        <v>11764</v>
      </c>
      <c r="AE110">
        <v>280</v>
      </c>
    </row>
    <row r="111" spans="1:31" x14ac:dyDescent="0.25">
      <c r="A111" t="s">
        <v>718</v>
      </c>
      <c r="B111">
        <v>2010</v>
      </c>
      <c r="C111">
        <v>3</v>
      </c>
      <c r="D111">
        <v>13</v>
      </c>
      <c r="E111">
        <v>120</v>
      </c>
      <c r="F111">
        <v>47</v>
      </c>
      <c r="G111">
        <v>150</v>
      </c>
      <c r="H111">
        <v>11</v>
      </c>
      <c r="I111">
        <v>210</v>
      </c>
      <c r="K111">
        <v>250</v>
      </c>
      <c r="L111">
        <v>92</v>
      </c>
      <c r="M111">
        <v>130</v>
      </c>
      <c r="N111">
        <v>165</v>
      </c>
      <c r="O111">
        <v>140</v>
      </c>
      <c r="Q111">
        <v>123</v>
      </c>
      <c r="R111">
        <v>28</v>
      </c>
      <c r="S111">
        <v>173</v>
      </c>
      <c r="T111">
        <v>175</v>
      </c>
      <c r="U111">
        <v>200</v>
      </c>
      <c r="V111">
        <v>41</v>
      </c>
      <c r="W111">
        <v>260</v>
      </c>
      <c r="X111">
        <v>218</v>
      </c>
      <c r="Y111">
        <v>170</v>
      </c>
      <c r="Z111">
        <v>465</v>
      </c>
      <c r="AA111">
        <v>188</v>
      </c>
      <c r="AC111">
        <v>125</v>
      </c>
      <c r="AD111">
        <v>635</v>
      </c>
      <c r="AE111">
        <v>170</v>
      </c>
    </row>
    <row r="112" spans="1:31" x14ac:dyDescent="0.25">
      <c r="A112" t="s">
        <v>719</v>
      </c>
      <c r="B112">
        <v>2010</v>
      </c>
      <c r="C112">
        <v>3</v>
      </c>
      <c r="D112">
        <v>51</v>
      </c>
      <c r="E112">
        <v>200</v>
      </c>
      <c r="F112">
        <v>290</v>
      </c>
      <c r="G112">
        <v>230</v>
      </c>
      <c r="H112">
        <v>100</v>
      </c>
      <c r="I112">
        <v>310</v>
      </c>
      <c r="K112">
        <v>295</v>
      </c>
      <c r="L112">
        <v>187</v>
      </c>
      <c r="M112">
        <v>195</v>
      </c>
      <c r="N112">
        <v>630</v>
      </c>
      <c r="O112">
        <v>230</v>
      </c>
      <c r="P112">
        <v>11</v>
      </c>
      <c r="Q112">
        <v>180</v>
      </c>
      <c r="R112">
        <v>99</v>
      </c>
      <c r="S112">
        <v>260</v>
      </c>
      <c r="T112">
        <v>1106</v>
      </c>
      <c r="U112">
        <v>280</v>
      </c>
      <c r="V112">
        <v>200</v>
      </c>
      <c r="W112">
        <v>330</v>
      </c>
      <c r="X112">
        <v>828</v>
      </c>
      <c r="Y112">
        <v>255</v>
      </c>
      <c r="Z112">
        <v>2245</v>
      </c>
      <c r="AA112">
        <v>275</v>
      </c>
      <c r="AC112">
        <v>160</v>
      </c>
      <c r="AD112">
        <v>2880</v>
      </c>
      <c r="AE112">
        <v>265</v>
      </c>
    </row>
    <row r="113" spans="1:31" x14ac:dyDescent="0.25">
      <c r="A113" t="s">
        <v>720</v>
      </c>
      <c r="B113">
        <v>2010</v>
      </c>
      <c r="C113">
        <v>3</v>
      </c>
      <c r="D113">
        <v>90</v>
      </c>
      <c r="E113">
        <v>130</v>
      </c>
      <c r="F113">
        <v>290</v>
      </c>
      <c r="G113">
        <v>170</v>
      </c>
      <c r="H113">
        <v>126</v>
      </c>
      <c r="I113">
        <v>257</v>
      </c>
      <c r="J113">
        <v>11</v>
      </c>
      <c r="K113">
        <v>320</v>
      </c>
      <c r="L113">
        <v>355</v>
      </c>
      <c r="M113">
        <v>150</v>
      </c>
      <c r="N113">
        <v>872</v>
      </c>
      <c r="O113">
        <v>165</v>
      </c>
      <c r="P113">
        <v>24</v>
      </c>
      <c r="Q113">
        <v>145</v>
      </c>
      <c r="R113">
        <v>215</v>
      </c>
      <c r="S113">
        <v>195</v>
      </c>
      <c r="T113">
        <v>1133</v>
      </c>
      <c r="U113">
        <v>230</v>
      </c>
      <c r="V113">
        <v>371</v>
      </c>
      <c r="W113">
        <v>300</v>
      </c>
      <c r="X113">
        <v>1058</v>
      </c>
      <c r="Y113">
        <v>200</v>
      </c>
      <c r="Z113">
        <v>2801</v>
      </c>
      <c r="AA113">
        <v>220</v>
      </c>
      <c r="AB113">
        <v>9</v>
      </c>
      <c r="AC113">
        <v>150</v>
      </c>
      <c r="AD113">
        <v>3682</v>
      </c>
      <c r="AE113">
        <v>200</v>
      </c>
    </row>
    <row r="114" spans="1:31" x14ac:dyDescent="0.25">
      <c r="A114" t="s">
        <v>724</v>
      </c>
      <c r="B114">
        <v>2010</v>
      </c>
      <c r="C114">
        <v>3</v>
      </c>
      <c r="D114">
        <v>837</v>
      </c>
      <c r="E114">
        <v>220</v>
      </c>
      <c r="F114">
        <v>2492</v>
      </c>
      <c r="G114">
        <v>250</v>
      </c>
      <c r="H114">
        <v>659</v>
      </c>
      <c r="I114">
        <v>320</v>
      </c>
      <c r="J114">
        <v>34</v>
      </c>
      <c r="K114">
        <v>320</v>
      </c>
      <c r="L114">
        <v>1654</v>
      </c>
      <c r="M114">
        <v>230</v>
      </c>
      <c r="N114">
        <v>5676</v>
      </c>
      <c r="O114">
        <v>250</v>
      </c>
      <c r="P114">
        <v>137</v>
      </c>
      <c r="Q114">
        <v>180</v>
      </c>
      <c r="R114">
        <v>860</v>
      </c>
      <c r="S114">
        <v>275</v>
      </c>
      <c r="T114">
        <v>4247</v>
      </c>
      <c r="U114">
        <v>290</v>
      </c>
      <c r="V114">
        <v>1031</v>
      </c>
      <c r="W114">
        <v>350</v>
      </c>
      <c r="X114">
        <v>3233</v>
      </c>
      <c r="Y114">
        <v>260</v>
      </c>
      <c r="Z114">
        <v>9508</v>
      </c>
      <c r="AA114">
        <v>280</v>
      </c>
      <c r="AB114">
        <v>262</v>
      </c>
      <c r="AC114">
        <v>176</v>
      </c>
      <c r="AD114">
        <v>15446</v>
      </c>
      <c r="AE114">
        <v>270</v>
      </c>
    </row>
    <row r="115" spans="1:31" x14ac:dyDescent="0.25">
      <c r="A115" t="s">
        <v>721</v>
      </c>
      <c r="B115">
        <v>2010</v>
      </c>
      <c r="C115">
        <v>3</v>
      </c>
      <c r="D115">
        <v>88</v>
      </c>
      <c r="E115">
        <v>195</v>
      </c>
      <c r="F115">
        <v>528</v>
      </c>
      <c r="G115">
        <v>250</v>
      </c>
      <c r="H115">
        <v>132</v>
      </c>
      <c r="I115">
        <v>305</v>
      </c>
      <c r="K115">
        <v>223</v>
      </c>
      <c r="L115">
        <v>300</v>
      </c>
      <c r="M115">
        <v>235</v>
      </c>
      <c r="N115">
        <v>1050</v>
      </c>
      <c r="O115">
        <v>250</v>
      </c>
      <c r="P115">
        <v>24</v>
      </c>
      <c r="Q115">
        <v>153</v>
      </c>
      <c r="R115">
        <v>136</v>
      </c>
      <c r="S115">
        <v>285</v>
      </c>
      <c r="T115">
        <v>900</v>
      </c>
      <c r="U115">
        <v>300</v>
      </c>
      <c r="V115">
        <v>243</v>
      </c>
      <c r="W115">
        <v>370</v>
      </c>
      <c r="X115">
        <v>556</v>
      </c>
      <c r="Y115">
        <v>285</v>
      </c>
      <c r="Z115">
        <v>1860</v>
      </c>
      <c r="AA115">
        <v>300</v>
      </c>
      <c r="AB115">
        <v>19</v>
      </c>
      <c r="AC115">
        <v>180</v>
      </c>
      <c r="AD115">
        <v>2930</v>
      </c>
      <c r="AE115">
        <v>285</v>
      </c>
    </row>
    <row r="116" spans="1:31" x14ac:dyDescent="0.25">
      <c r="A116" t="s">
        <v>722</v>
      </c>
      <c r="B116">
        <v>2010</v>
      </c>
      <c r="C116">
        <v>3</v>
      </c>
      <c r="D116">
        <v>98</v>
      </c>
      <c r="E116">
        <v>195</v>
      </c>
      <c r="F116">
        <v>508</v>
      </c>
      <c r="G116">
        <v>245</v>
      </c>
      <c r="H116">
        <v>106</v>
      </c>
      <c r="I116">
        <v>320</v>
      </c>
      <c r="J116">
        <v>6</v>
      </c>
      <c r="K116">
        <v>298</v>
      </c>
      <c r="L116">
        <v>283</v>
      </c>
      <c r="M116">
        <v>245</v>
      </c>
      <c r="N116">
        <v>1000</v>
      </c>
      <c r="O116">
        <v>250</v>
      </c>
      <c r="P116">
        <v>22</v>
      </c>
      <c r="Q116">
        <v>180</v>
      </c>
      <c r="R116">
        <v>162</v>
      </c>
      <c r="S116">
        <v>280</v>
      </c>
      <c r="T116">
        <v>630</v>
      </c>
      <c r="U116">
        <v>340</v>
      </c>
      <c r="V116">
        <v>98</v>
      </c>
      <c r="W116">
        <v>400</v>
      </c>
      <c r="X116">
        <v>355</v>
      </c>
      <c r="Y116">
        <v>300</v>
      </c>
      <c r="Z116">
        <v>1265</v>
      </c>
      <c r="AA116">
        <v>320</v>
      </c>
      <c r="AB116">
        <v>19</v>
      </c>
      <c r="AC116">
        <v>150</v>
      </c>
      <c r="AD116">
        <v>2285</v>
      </c>
      <c r="AE116">
        <v>280</v>
      </c>
    </row>
    <row r="117" spans="1:31" x14ac:dyDescent="0.25">
      <c r="A117" t="s">
        <v>723</v>
      </c>
      <c r="B117">
        <v>2010</v>
      </c>
      <c r="C117">
        <v>3</v>
      </c>
      <c r="D117">
        <v>8</v>
      </c>
      <c r="E117">
        <v>120</v>
      </c>
      <c r="F117">
        <v>17</v>
      </c>
      <c r="G117">
        <v>150</v>
      </c>
      <c r="I117">
        <v>200</v>
      </c>
      <c r="K117">
        <v>260</v>
      </c>
      <c r="L117">
        <v>31</v>
      </c>
      <c r="M117">
        <v>150</v>
      </c>
      <c r="N117">
        <v>60</v>
      </c>
      <c r="O117">
        <v>150</v>
      </c>
      <c r="Q117">
        <v>130</v>
      </c>
      <c r="R117">
        <v>38</v>
      </c>
      <c r="S117">
        <v>168</v>
      </c>
      <c r="T117">
        <v>158</v>
      </c>
      <c r="U117">
        <v>200</v>
      </c>
      <c r="V117">
        <v>48</v>
      </c>
      <c r="W117">
        <v>248</v>
      </c>
      <c r="X117">
        <v>218</v>
      </c>
      <c r="Y117">
        <v>185</v>
      </c>
      <c r="Z117">
        <v>465</v>
      </c>
      <c r="AA117">
        <v>190</v>
      </c>
      <c r="AC117">
        <v>130</v>
      </c>
      <c r="AD117">
        <v>530</v>
      </c>
      <c r="AE117">
        <v>180</v>
      </c>
    </row>
    <row r="118" spans="1:31" x14ac:dyDescent="0.25">
      <c r="A118" t="s">
        <v>711</v>
      </c>
      <c r="B118">
        <v>2010</v>
      </c>
      <c r="C118">
        <v>6</v>
      </c>
      <c r="E118">
        <v>160</v>
      </c>
      <c r="F118">
        <v>15</v>
      </c>
      <c r="G118">
        <v>250</v>
      </c>
      <c r="H118">
        <v>22</v>
      </c>
      <c r="I118">
        <v>305</v>
      </c>
      <c r="J118">
        <v>6</v>
      </c>
      <c r="K118">
        <v>348</v>
      </c>
      <c r="L118">
        <v>30</v>
      </c>
      <c r="M118">
        <v>260</v>
      </c>
      <c r="N118">
        <v>80</v>
      </c>
      <c r="O118">
        <v>265</v>
      </c>
      <c r="Q118">
        <v>198</v>
      </c>
      <c r="R118">
        <v>20</v>
      </c>
      <c r="S118">
        <v>250</v>
      </c>
      <c r="T118">
        <v>106</v>
      </c>
      <c r="U118">
        <v>300</v>
      </c>
      <c r="V118">
        <v>60</v>
      </c>
      <c r="W118">
        <v>398</v>
      </c>
      <c r="X118">
        <v>60</v>
      </c>
      <c r="Y118">
        <v>300</v>
      </c>
      <c r="Z118">
        <v>250</v>
      </c>
      <c r="AA118">
        <v>310</v>
      </c>
      <c r="AB118">
        <v>0</v>
      </c>
      <c r="AD118">
        <v>330</v>
      </c>
      <c r="AE118">
        <v>300</v>
      </c>
    </row>
    <row r="119" spans="1:31" x14ac:dyDescent="0.25">
      <c r="A119" t="s">
        <v>712</v>
      </c>
      <c r="B119">
        <v>2010</v>
      </c>
      <c r="C119">
        <v>6</v>
      </c>
      <c r="E119">
        <v>180</v>
      </c>
      <c r="F119">
        <v>19</v>
      </c>
      <c r="G119">
        <v>190</v>
      </c>
      <c r="H119">
        <v>11</v>
      </c>
      <c r="I119">
        <v>250</v>
      </c>
      <c r="J119">
        <v>0</v>
      </c>
      <c r="L119">
        <v>42</v>
      </c>
      <c r="M119">
        <v>190</v>
      </c>
      <c r="N119">
        <v>75</v>
      </c>
      <c r="O119">
        <v>198</v>
      </c>
      <c r="Q119">
        <v>160</v>
      </c>
      <c r="R119">
        <v>14</v>
      </c>
      <c r="S119">
        <v>190</v>
      </c>
      <c r="T119">
        <v>131</v>
      </c>
      <c r="U119">
        <v>265</v>
      </c>
      <c r="V119">
        <v>42</v>
      </c>
      <c r="W119">
        <v>335</v>
      </c>
      <c r="X119">
        <v>116</v>
      </c>
      <c r="Y119">
        <v>260</v>
      </c>
      <c r="Z119">
        <v>310</v>
      </c>
      <c r="AA119">
        <v>265</v>
      </c>
      <c r="AC119">
        <v>210</v>
      </c>
      <c r="AD119">
        <v>385</v>
      </c>
      <c r="AE119">
        <v>260</v>
      </c>
    </row>
    <row r="120" spans="1:31" x14ac:dyDescent="0.25">
      <c r="A120" t="s">
        <v>713</v>
      </c>
      <c r="B120">
        <v>2010</v>
      </c>
      <c r="C120">
        <v>6</v>
      </c>
      <c r="D120">
        <v>274</v>
      </c>
      <c r="E120">
        <v>240</v>
      </c>
      <c r="F120">
        <v>624</v>
      </c>
      <c r="G120">
        <v>285</v>
      </c>
      <c r="H120">
        <v>103</v>
      </c>
      <c r="I120">
        <v>380</v>
      </c>
      <c r="K120">
        <v>415</v>
      </c>
      <c r="L120">
        <v>352</v>
      </c>
      <c r="M120">
        <v>265</v>
      </c>
      <c r="N120">
        <v>1355</v>
      </c>
      <c r="O120">
        <v>275</v>
      </c>
      <c r="P120">
        <v>28</v>
      </c>
      <c r="Q120">
        <v>233</v>
      </c>
      <c r="R120">
        <v>212</v>
      </c>
      <c r="S120">
        <v>340</v>
      </c>
      <c r="T120">
        <v>360</v>
      </c>
      <c r="U120">
        <v>373</v>
      </c>
      <c r="V120">
        <v>98</v>
      </c>
      <c r="W120">
        <v>460</v>
      </c>
      <c r="X120">
        <v>318</v>
      </c>
      <c r="Y120">
        <v>350</v>
      </c>
      <c r="Z120">
        <v>1015</v>
      </c>
      <c r="AA120">
        <v>360</v>
      </c>
      <c r="AB120">
        <v>19</v>
      </c>
      <c r="AC120">
        <v>170</v>
      </c>
      <c r="AD120">
        <v>2390</v>
      </c>
      <c r="AE120">
        <v>310</v>
      </c>
    </row>
    <row r="121" spans="1:31" x14ac:dyDescent="0.25">
      <c r="A121" t="s">
        <v>714</v>
      </c>
      <c r="B121">
        <v>2010</v>
      </c>
      <c r="C121">
        <v>6</v>
      </c>
      <c r="D121">
        <v>16</v>
      </c>
      <c r="E121">
        <v>120</v>
      </c>
      <c r="F121">
        <v>77</v>
      </c>
      <c r="G121">
        <v>180</v>
      </c>
      <c r="H121">
        <v>18</v>
      </c>
      <c r="I121">
        <v>265</v>
      </c>
      <c r="K121">
        <v>400</v>
      </c>
      <c r="L121">
        <v>28</v>
      </c>
      <c r="M121">
        <v>150</v>
      </c>
      <c r="N121">
        <v>140</v>
      </c>
      <c r="O121">
        <v>178</v>
      </c>
      <c r="Q121">
        <v>130</v>
      </c>
      <c r="R121">
        <v>34</v>
      </c>
      <c r="S121">
        <v>180</v>
      </c>
      <c r="T121">
        <v>157</v>
      </c>
      <c r="U121">
        <v>230</v>
      </c>
      <c r="V121">
        <v>44</v>
      </c>
      <c r="W121">
        <v>300</v>
      </c>
      <c r="X121">
        <v>105</v>
      </c>
      <c r="Y121">
        <v>180</v>
      </c>
      <c r="Z121">
        <v>345</v>
      </c>
      <c r="AA121">
        <v>200</v>
      </c>
      <c r="AB121">
        <v>0</v>
      </c>
      <c r="AD121">
        <v>485</v>
      </c>
      <c r="AE121">
        <v>190</v>
      </c>
    </row>
    <row r="122" spans="1:31" x14ac:dyDescent="0.25">
      <c r="A122" t="s">
        <v>715</v>
      </c>
      <c r="B122">
        <v>2010</v>
      </c>
      <c r="C122">
        <v>6</v>
      </c>
      <c r="D122">
        <v>14</v>
      </c>
      <c r="E122">
        <v>150</v>
      </c>
      <c r="F122">
        <v>29</v>
      </c>
      <c r="G122">
        <v>170</v>
      </c>
      <c r="H122">
        <v>8</v>
      </c>
      <c r="I122">
        <v>300</v>
      </c>
      <c r="K122">
        <v>375</v>
      </c>
      <c r="L122">
        <v>22</v>
      </c>
      <c r="M122">
        <v>125</v>
      </c>
      <c r="N122">
        <v>75</v>
      </c>
      <c r="O122">
        <v>160</v>
      </c>
      <c r="Q122">
        <v>110</v>
      </c>
      <c r="R122">
        <v>17</v>
      </c>
      <c r="S122">
        <v>180</v>
      </c>
      <c r="T122">
        <v>75</v>
      </c>
      <c r="U122">
        <v>250</v>
      </c>
      <c r="V122">
        <v>34</v>
      </c>
      <c r="W122">
        <v>350</v>
      </c>
      <c r="X122">
        <v>77</v>
      </c>
      <c r="Y122">
        <v>190</v>
      </c>
      <c r="Z122">
        <v>210</v>
      </c>
      <c r="AA122">
        <v>220</v>
      </c>
      <c r="AC122">
        <v>210</v>
      </c>
      <c r="AD122">
        <v>285</v>
      </c>
      <c r="AE122">
        <v>200</v>
      </c>
    </row>
    <row r="123" spans="1:31" x14ac:dyDescent="0.25">
      <c r="A123" t="s">
        <v>716</v>
      </c>
      <c r="B123">
        <v>2010</v>
      </c>
      <c r="C123">
        <v>6</v>
      </c>
      <c r="D123">
        <v>33</v>
      </c>
      <c r="E123">
        <v>170</v>
      </c>
      <c r="F123">
        <v>29</v>
      </c>
      <c r="G123">
        <v>195</v>
      </c>
      <c r="H123">
        <v>17</v>
      </c>
      <c r="I123">
        <v>235</v>
      </c>
      <c r="K123">
        <v>280</v>
      </c>
      <c r="L123">
        <v>41</v>
      </c>
      <c r="M123">
        <v>170</v>
      </c>
      <c r="N123">
        <v>125</v>
      </c>
      <c r="O123">
        <v>170</v>
      </c>
      <c r="Q123">
        <v>150</v>
      </c>
      <c r="R123">
        <v>34</v>
      </c>
      <c r="S123">
        <v>200</v>
      </c>
      <c r="T123">
        <v>142</v>
      </c>
      <c r="U123">
        <v>240</v>
      </c>
      <c r="V123">
        <v>58</v>
      </c>
      <c r="W123">
        <v>290</v>
      </c>
      <c r="X123">
        <v>56</v>
      </c>
      <c r="Y123">
        <v>240</v>
      </c>
      <c r="Z123">
        <v>295</v>
      </c>
      <c r="AA123">
        <v>245</v>
      </c>
      <c r="AB123">
        <v>0</v>
      </c>
      <c r="AD123">
        <v>415</v>
      </c>
      <c r="AE123">
        <v>225</v>
      </c>
    </row>
    <row r="124" spans="1:31" x14ac:dyDescent="0.25">
      <c r="A124" t="s">
        <v>717</v>
      </c>
      <c r="B124">
        <v>2010</v>
      </c>
      <c r="C124">
        <v>6</v>
      </c>
      <c r="D124">
        <v>13</v>
      </c>
      <c r="E124">
        <v>115</v>
      </c>
      <c r="F124">
        <v>79</v>
      </c>
      <c r="G124">
        <v>145</v>
      </c>
      <c r="H124">
        <v>14</v>
      </c>
      <c r="I124">
        <v>223</v>
      </c>
      <c r="K124">
        <v>80</v>
      </c>
      <c r="L124">
        <v>61</v>
      </c>
      <c r="M124">
        <v>120</v>
      </c>
      <c r="N124">
        <v>170</v>
      </c>
      <c r="O124">
        <v>125</v>
      </c>
      <c r="P124">
        <v>6</v>
      </c>
      <c r="Q124">
        <v>130</v>
      </c>
      <c r="R124">
        <v>29</v>
      </c>
      <c r="S124">
        <v>180</v>
      </c>
      <c r="T124">
        <v>182</v>
      </c>
      <c r="U124">
        <v>195</v>
      </c>
      <c r="V124">
        <v>38</v>
      </c>
      <c r="W124">
        <v>238</v>
      </c>
      <c r="X124">
        <v>122</v>
      </c>
      <c r="Y124">
        <v>200</v>
      </c>
      <c r="Z124">
        <v>375</v>
      </c>
      <c r="AA124">
        <v>200</v>
      </c>
      <c r="AC124">
        <v>155</v>
      </c>
      <c r="AD124">
        <v>545</v>
      </c>
      <c r="AE124">
        <v>180</v>
      </c>
    </row>
    <row r="125" spans="1:31" x14ac:dyDescent="0.25">
      <c r="A125" t="s">
        <v>628</v>
      </c>
      <c r="B125">
        <v>2010</v>
      </c>
      <c r="C125">
        <v>6</v>
      </c>
      <c r="D125">
        <v>519</v>
      </c>
      <c r="E125">
        <v>220</v>
      </c>
      <c r="F125">
        <v>1753</v>
      </c>
      <c r="G125">
        <v>260</v>
      </c>
      <c r="H125">
        <v>355</v>
      </c>
      <c r="I125">
        <v>320</v>
      </c>
      <c r="J125">
        <v>15</v>
      </c>
      <c r="K125">
        <v>345</v>
      </c>
      <c r="L125">
        <v>1033</v>
      </c>
      <c r="M125">
        <v>245</v>
      </c>
      <c r="N125">
        <v>3675</v>
      </c>
      <c r="O125">
        <v>260</v>
      </c>
      <c r="P125">
        <v>90</v>
      </c>
      <c r="Q125">
        <v>213</v>
      </c>
      <c r="R125">
        <v>553</v>
      </c>
      <c r="S125">
        <v>300</v>
      </c>
      <c r="T125">
        <v>2784</v>
      </c>
      <c r="U125">
        <v>300</v>
      </c>
      <c r="V125">
        <v>576</v>
      </c>
      <c r="W125">
        <v>370</v>
      </c>
      <c r="X125">
        <v>1931</v>
      </c>
      <c r="Y125">
        <v>285</v>
      </c>
      <c r="Z125">
        <v>5934</v>
      </c>
      <c r="AA125">
        <v>300</v>
      </c>
      <c r="AB125">
        <v>59</v>
      </c>
      <c r="AC125">
        <v>165</v>
      </c>
      <c r="AD125">
        <v>9668</v>
      </c>
      <c r="AE125">
        <v>285</v>
      </c>
    </row>
    <row r="126" spans="1:31" x14ac:dyDescent="0.25">
      <c r="A126" t="s">
        <v>718</v>
      </c>
      <c r="B126">
        <v>2010</v>
      </c>
      <c r="C126">
        <v>6</v>
      </c>
      <c r="D126">
        <v>14</v>
      </c>
      <c r="E126">
        <v>118</v>
      </c>
      <c r="F126">
        <v>38</v>
      </c>
      <c r="G126">
        <v>145</v>
      </c>
      <c r="H126">
        <v>12</v>
      </c>
      <c r="I126">
        <v>213</v>
      </c>
      <c r="K126">
        <v>250</v>
      </c>
      <c r="L126">
        <v>60</v>
      </c>
      <c r="M126">
        <v>140</v>
      </c>
      <c r="N126">
        <v>125</v>
      </c>
      <c r="O126">
        <v>145</v>
      </c>
      <c r="Q126">
        <v>120</v>
      </c>
      <c r="R126">
        <v>27</v>
      </c>
      <c r="S126">
        <v>150</v>
      </c>
      <c r="T126">
        <v>187</v>
      </c>
      <c r="U126">
        <v>200</v>
      </c>
      <c r="V126">
        <v>39</v>
      </c>
      <c r="W126">
        <v>260</v>
      </c>
      <c r="X126">
        <v>178</v>
      </c>
      <c r="Y126">
        <v>175</v>
      </c>
      <c r="Z126">
        <v>430</v>
      </c>
      <c r="AA126">
        <v>190</v>
      </c>
      <c r="AC126">
        <v>200</v>
      </c>
      <c r="AD126">
        <v>560</v>
      </c>
      <c r="AE126">
        <v>180</v>
      </c>
    </row>
    <row r="127" spans="1:31" x14ac:dyDescent="0.25">
      <c r="A127" t="s">
        <v>719</v>
      </c>
      <c r="B127">
        <v>2010</v>
      </c>
      <c r="C127">
        <v>6</v>
      </c>
      <c r="D127">
        <v>48</v>
      </c>
      <c r="E127">
        <v>148</v>
      </c>
      <c r="F127">
        <v>263</v>
      </c>
      <c r="G127">
        <v>240</v>
      </c>
      <c r="H127">
        <v>89</v>
      </c>
      <c r="I127">
        <v>300</v>
      </c>
      <c r="K127">
        <v>290</v>
      </c>
      <c r="L127">
        <v>176</v>
      </c>
      <c r="M127">
        <v>198</v>
      </c>
      <c r="N127">
        <v>580</v>
      </c>
      <c r="O127">
        <v>230</v>
      </c>
      <c r="P127">
        <v>16</v>
      </c>
      <c r="Q127">
        <v>195</v>
      </c>
      <c r="R127">
        <v>81</v>
      </c>
      <c r="S127">
        <v>260</v>
      </c>
      <c r="T127">
        <v>1092</v>
      </c>
      <c r="U127">
        <v>280</v>
      </c>
      <c r="V127">
        <v>210</v>
      </c>
      <c r="W127">
        <v>325</v>
      </c>
      <c r="X127">
        <v>774</v>
      </c>
      <c r="Y127">
        <v>260</v>
      </c>
      <c r="Z127">
        <v>2175</v>
      </c>
      <c r="AA127">
        <v>275</v>
      </c>
      <c r="AB127">
        <v>6</v>
      </c>
      <c r="AC127">
        <v>165</v>
      </c>
      <c r="AD127">
        <v>2760</v>
      </c>
      <c r="AE127">
        <v>265</v>
      </c>
    </row>
    <row r="128" spans="1:31" x14ac:dyDescent="0.25">
      <c r="A128" t="s">
        <v>720</v>
      </c>
      <c r="B128">
        <v>2010</v>
      </c>
      <c r="C128">
        <v>6</v>
      </c>
      <c r="D128">
        <v>101</v>
      </c>
      <c r="E128">
        <v>150</v>
      </c>
      <c r="F128">
        <v>303</v>
      </c>
      <c r="G128">
        <v>170</v>
      </c>
      <c r="H128">
        <v>104</v>
      </c>
      <c r="I128">
        <v>250</v>
      </c>
      <c r="J128">
        <v>18</v>
      </c>
      <c r="K128">
        <v>325</v>
      </c>
      <c r="L128">
        <v>298</v>
      </c>
      <c r="M128">
        <v>155</v>
      </c>
      <c r="N128">
        <v>824</v>
      </c>
      <c r="O128">
        <v>170</v>
      </c>
      <c r="P128">
        <v>32</v>
      </c>
      <c r="Q128">
        <v>145</v>
      </c>
      <c r="R128">
        <v>213</v>
      </c>
      <c r="S128">
        <v>180</v>
      </c>
      <c r="T128">
        <v>1118</v>
      </c>
      <c r="U128">
        <v>220</v>
      </c>
      <c r="V128">
        <v>362</v>
      </c>
      <c r="W128">
        <v>300</v>
      </c>
      <c r="X128">
        <v>934</v>
      </c>
      <c r="Y128">
        <v>200</v>
      </c>
      <c r="Z128">
        <v>2659</v>
      </c>
      <c r="AA128">
        <v>220</v>
      </c>
      <c r="AB128">
        <v>12</v>
      </c>
      <c r="AC128">
        <v>200</v>
      </c>
      <c r="AD128">
        <v>3495</v>
      </c>
      <c r="AE128">
        <v>200</v>
      </c>
    </row>
    <row r="129" spans="1:31" x14ac:dyDescent="0.25">
      <c r="A129" t="s">
        <v>724</v>
      </c>
      <c r="B129">
        <v>2010</v>
      </c>
      <c r="C129">
        <v>6</v>
      </c>
      <c r="D129">
        <v>620</v>
      </c>
      <c r="E129">
        <v>208</v>
      </c>
      <c r="F129">
        <v>2056</v>
      </c>
      <c r="G129">
        <v>250</v>
      </c>
      <c r="H129">
        <v>459</v>
      </c>
      <c r="I129">
        <v>305</v>
      </c>
      <c r="J129">
        <v>33</v>
      </c>
      <c r="K129">
        <v>330</v>
      </c>
      <c r="L129">
        <v>1331</v>
      </c>
      <c r="M129">
        <v>230</v>
      </c>
      <c r="N129">
        <v>4499</v>
      </c>
      <c r="O129">
        <v>250</v>
      </c>
      <c r="P129">
        <v>122</v>
      </c>
      <c r="Q129">
        <v>183</v>
      </c>
      <c r="R129">
        <v>766</v>
      </c>
      <c r="S129">
        <v>270</v>
      </c>
      <c r="T129">
        <v>3902</v>
      </c>
      <c r="U129">
        <v>290</v>
      </c>
      <c r="V129">
        <v>938</v>
      </c>
      <c r="W129">
        <v>340</v>
      </c>
      <c r="X129">
        <v>2865</v>
      </c>
      <c r="Y129">
        <v>260</v>
      </c>
      <c r="Z129">
        <v>8593</v>
      </c>
      <c r="AA129">
        <v>280</v>
      </c>
      <c r="AB129">
        <v>71</v>
      </c>
      <c r="AC129">
        <v>170</v>
      </c>
      <c r="AD129">
        <v>13163</v>
      </c>
      <c r="AE129">
        <v>270</v>
      </c>
    </row>
    <row r="130" spans="1:31" x14ac:dyDescent="0.25">
      <c r="A130" t="s">
        <v>721</v>
      </c>
      <c r="B130">
        <v>2010</v>
      </c>
      <c r="C130">
        <v>6</v>
      </c>
      <c r="D130">
        <v>97</v>
      </c>
      <c r="E130">
        <v>215</v>
      </c>
      <c r="F130">
        <v>420</v>
      </c>
      <c r="G130">
        <v>255</v>
      </c>
      <c r="H130">
        <v>80</v>
      </c>
      <c r="I130">
        <v>323</v>
      </c>
      <c r="K130">
        <v>295</v>
      </c>
      <c r="L130">
        <v>212</v>
      </c>
      <c r="M130">
        <v>250</v>
      </c>
      <c r="N130">
        <v>810</v>
      </c>
      <c r="O130">
        <v>255</v>
      </c>
      <c r="P130">
        <v>24</v>
      </c>
      <c r="Q130">
        <v>185</v>
      </c>
      <c r="R130">
        <v>111</v>
      </c>
      <c r="S130">
        <v>270</v>
      </c>
      <c r="T130">
        <v>823</v>
      </c>
      <c r="U130">
        <v>310</v>
      </c>
      <c r="V130">
        <v>185</v>
      </c>
      <c r="W130">
        <v>360</v>
      </c>
      <c r="X130">
        <v>520</v>
      </c>
      <c r="Y130">
        <v>290</v>
      </c>
      <c r="Z130">
        <v>1665</v>
      </c>
      <c r="AA130">
        <v>305</v>
      </c>
      <c r="AB130">
        <v>20</v>
      </c>
      <c r="AC130">
        <v>180</v>
      </c>
      <c r="AD130">
        <v>2495</v>
      </c>
      <c r="AE130">
        <v>290</v>
      </c>
    </row>
    <row r="131" spans="1:31" x14ac:dyDescent="0.25">
      <c r="A131" t="s">
        <v>722</v>
      </c>
      <c r="B131">
        <v>2010</v>
      </c>
      <c r="C131">
        <v>6</v>
      </c>
      <c r="D131">
        <v>100</v>
      </c>
      <c r="E131">
        <v>200</v>
      </c>
      <c r="F131">
        <v>446</v>
      </c>
      <c r="G131">
        <v>245</v>
      </c>
      <c r="H131">
        <v>83</v>
      </c>
      <c r="I131">
        <v>330</v>
      </c>
      <c r="K131">
        <v>350</v>
      </c>
      <c r="L131">
        <v>293</v>
      </c>
      <c r="M131">
        <v>240</v>
      </c>
      <c r="N131">
        <v>925</v>
      </c>
      <c r="O131">
        <v>245</v>
      </c>
      <c r="P131">
        <v>22</v>
      </c>
      <c r="Q131">
        <v>205</v>
      </c>
      <c r="R131">
        <v>149</v>
      </c>
      <c r="S131">
        <v>290</v>
      </c>
      <c r="T131">
        <v>509</v>
      </c>
      <c r="U131">
        <v>330</v>
      </c>
      <c r="V131">
        <v>83</v>
      </c>
      <c r="W131">
        <v>390</v>
      </c>
      <c r="X131">
        <v>319</v>
      </c>
      <c r="Y131">
        <v>310</v>
      </c>
      <c r="Z131">
        <v>1080</v>
      </c>
      <c r="AA131">
        <v>320</v>
      </c>
      <c r="AB131">
        <v>14</v>
      </c>
      <c r="AC131">
        <v>155</v>
      </c>
      <c r="AD131">
        <v>2025</v>
      </c>
      <c r="AE131">
        <v>285</v>
      </c>
    </row>
    <row r="132" spans="1:31" x14ac:dyDescent="0.25">
      <c r="A132" t="s">
        <v>723</v>
      </c>
      <c r="B132">
        <v>2010</v>
      </c>
      <c r="C132">
        <v>6</v>
      </c>
      <c r="E132">
        <v>100</v>
      </c>
      <c r="F132">
        <v>17</v>
      </c>
      <c r="G132">
        <v>145</v>
      </c>
      <c r="I132">
        <v>235</v>
      </c>
      <c r="K132">
        <v>208</v>
      </c>
      <c r="L132">
        <v>14</v>
      </c>
      <c r="M132">
        <v>150</v>
      </c>
      <c r="N132">
        <v>35</v>
      </c>
      <c r="O132">
        <v>145</v>
      </c>
      <c r="Q132">
        <v>170</v>
      </c>
      <c r="R132">
        <v>38</v>
      </c>
      <c r="S132">
        <v>170</v>
      </c>
      <c r="T132">
        <v>138</v>
      </c>
      <c r="U132">
        <v>195</v>
      </c>
      <c r="V132">
        <v>47</v>
      </c>
      <c r="W132">
        <v>250</v>
      </c>
      <c r="X132">
        <v>220</v>
      </c>
      <c r="Y132">
        <v>190</v>
      </c>
      <c r="Z132">
        <v>445</v>
      </c>
      <c r="AA132">
        <v>190</v>
      </c>
      <c r="AB132">
        <v>0</v>
      </c>
      <c r="AD132">
        <v>485</v>
      </c>
      <c r="AE132">
        <v>190</v>
      </c>
    </row>
    <row r="133" spans="1:31" x14ac:dyDescent="0.25">
      <c r="A133" t="s">
        <v>711</v>
      </c>
      <c r="B133">
        <v>2010</v>
      </c>
      <c r="C133">
        <v>9</v>
      </c>
      <c r="E133">
        <v>155</v>
      </c>
      <c r="F133">
        <v>11</v>
      </c>
      <c r="G133">
        <v>250</v>
      </c>
      <c r="H133">
        <v>30</v>
      </c>
      <c r="I133">
        <v>300</v>
      </c>
      <c r="K133">
        <v>365</v>
      </c>
      <c r="L133">
        <v>29</v>
      </c>
      <c r="M133">
        <v>260</v>
      </c>
      <c r="N133">
        <v>75</v>
      </c>
      <c r="O133">
        <v>270</v>
      </c>
      <c r="Q133">
        <v>150</v>
      </c>
      <c r="R133">
        <v>21</v>
      </c>
      <c r="S133">
        <v>270</v>
      </c>
      <c r="T133">
        <v>110</v>
      </c>
      <c r="U133">
        <v>310</v>
      </c>
      <c r="V133">
        <v>58</v>
      </c>
      <c r="W133">
        <v>380</v>
      </c>
      <c r="X133">
        <v>96</v>
      </c>
      <c r="Y133">
        <v>290</v>
      </c>
      <c r="Z133">
        <v>290</v>
      </c>
      <c r="AA133">
        <v>310</v>
      </c>
      <c r="AB133">
        <v>0</v>
      </c>
      <c r="AD133">
        <v>365</v>
      </c>
      <c r="AE133">
        <v>300</v>
      </c>
    </row>
    <row r="134" spans="1:31" x14ac:dyDescent="0.25">
      <c r="A134" t="s">
        <v>712</v>
      </c>
      <c r="B134">
        <v>2010</v>
      </c>
      <c r="C134">
        <v>9</v>
      </c>
      <c r="D134">
        <v>7</v>
      </c>
      <c r="E134">
        <v>73</v>
      </c>
      <c r="F134">
        <v>34</v>
      </c>
      <c r="G134">
        <v>210</v>
      </c>
      <c r="H134">
        <v>15</v>
      </c>
      <c r="I134">
        <v>270</v>
      </c>
      <c r="J134">
        <v>0</v>
      </c>
      <c r="L134">
        <v>35</v>
      </c>
      <c r="M134">
        <v>200</v>
      </c>
      <c r="N134">
        <v>90</v>
      </c>
      <c r="O134">
        <v>210</v>
      </c>
      <c r="P134">
        <v>0</v>
      </c>
      <c r="R134">
        <v>17</v>
      </c>
      <c r="S134">
        <v>220</v>
      </c>
      <c r="T134">
        <v>104</v>
      </c>
      <c r="U134">
        <v>270</v>
      </c>
      <c r="V134">
        <v>50</v>
      </c>
      <c r="W134">
        <v>320</v>
      </c>
      <c r="X134">
        <v>119</v>
      </c>
      <c r="Y134">
        <v>260</v>
      </c>
      <c r="Z134">
        <v>290</v>
      </c>
      <c r="AA134">
        <v>270</v>
      </c>
      <c r="AB134">
        <v>0</v>
      </c>
      <c r="AD134">
        <v>380</v>
      </c>
      <c r="AE134">
        <v>260</v>
      </c>
    </row>
    <row r="135" spans="1:31" x14ac:dyDescent="0.25">
      <c r="A135" t="s">
        <v>713</v>
      </c>
      <c r="B135">
        <v>2010</v>
      </c>
      <c r="C135">
        <v>9</v>
      </c>
      <c r="D135">
        <v>314</v>
      </c>
      <c r="E135">
        <v>250</v>
      </c>
      <c r="F135">
        <v>596</v>
      </c>
      <c r="G135">
        <v>290</v>
      </c>
      <c r="H135">
        <v>129</v>
      </c>
      <c r="I135">
        <v>435</v>
      </c>
      <c r="J135">
        <v>8</v>
      </c>
      <c r="K135">
        <v>400</v>
      </c>
      <c r="L135">
        <v>360</v>
      </c>
      <c r="M135">
        <v>275</v>
      </c>
      <c r="N135">
        <v>1405</v>
      </c>
      <c r="O135">
        <v>280</v>
      </c>
      <c r="P135">
        <v>26</v>
      </c>
      <c r="Q135">
        <v>200</v>
      </c>
      <c r="R135">
        <v>217</v>
      </c>
      <c r="S135">
        <v>330</v>
      </c>
      <c r="T135">
        <v>431</v>
      </c>
      <c r="U135">
        <v>380</v>
      </c>
      <c r="V135">
        <v>102</v>
      </c>
      <c r="W135">
        <v>460</v>
      </c>
      <c r="X135">
        <v>349</v>
      </c>
      <c r="Y135">
        <v>360</v>
      </c>
      <c r="Z135">
        <v>1125</v>
      </c>
      <c r="AA135">
        <v>370</v>
      </c>
      <c r="AB135">
        <v>73</v>
      </c>
      <c r="AC135">
        <v>190</v>
      </c>
      <c r="AD135">
        <v>2605</v>
      </c>
      <c r="AE135">
        <v>315</v>
      </c>
    </row>
    <row r="136" spans="1:31" x14ac:dyDescent="0.25">
      <c r="A136" t="s">
        <v>714</v>
      </c>
      <c r="B136">
        <v>2010</v>
      </c>
      <c r="C136">
        <v>9</v>
      </c>
      <c r="D136">
        <v>19</v>
      </c>
      <c r="E136">
        <v>140</v>
      </c>
      <c r="F136">
        <v>54</v>
      </c>
      <c r="G136">
        <v>180</v>
      </c>
      <c r="H136">
        <v>16</v>
      </c>
      <c r="I136">
        <v>250</v>
      </c>
      <c r="J136">
        <v>0</v>
      </c>
      <c r="L136">
        <v>30</v>
      </c>
      <c r="M136">
        <v>160</v>
      </c>
      <c r="N136">
        <v>120</v>
      </c>
      <c r="O136">
        <v>170</v>
      </c>
      <c r="Q136">
        <v>100</v>
      </c>
      <c r="R136">
        <v>42</v>
      </c>
      <c r="S136">
        <v>200</v>
      </c>
      <c r="T136">
        <v>201</v>
      </c>
      <c r="U136">
        <v>230</v>
      </c>
      <c r="V136">
        <v>48</v>
      </c>
      <c r="W136">
        <v>300</v>
      </c>
      <c r="X136">
        <v>88</v>
      </c>
      <c r="Y136">
        <v>195</v>
      </c>
      <c r="Z136">
        <v>380</v>
      </c>
      <c r="AA136">
        <v>230</v>
      </c>
      <c r="AB136">
        <v>0</v>
      </c>
      <c r="AD136">
        <v>500</v>
      </c>
      <c r="AE136">
        <v>220</v>
      </c>
    </row>
    <row r="137" spans="1:31" x14ac:dyDescent="0.25">
      <c r="A137" t="s">
        <v>715</v>
      </c>
      <c r="B137">
        <v>2010</v>
      </c>
      <c r="C137">
        <v>9</v>
      </c>
      <c r="D137">
        <v>16</v>
      </c>
      <c r="E137">
        <v>147.5</v>
      </c>
      <c r="F137">
        <v>19</v>
      </c>
      <c r="G137">
        <v>145</v>
      </c>
      <c r="H137">
        <v>11</v>
      </c>
      <c r="I137">
        <v>310</v>
      </c>
      <c r="K137">
        <v>280</v>
      </c>
      <c r="L137">
        <v>12</v>
      </c>
      <c r="M137">
        <v>112.5</v>
      </c>
      <c r="N137">
        <v>60</v>
      </c>
      <c r="O137">
        <v>150</v>
      </c>
      <c r="P137">
        <v>6</v>
      </c>
      <c r="Q137">
        <v>185</v>
      </c>
      <c r="R137">
        <v>18</v>
      </c>
      <c r="S137">
        <v>172.5</v>
      </c>
      <c r="T137">
        <v>107</v>
      </c>
      <c r="U137">
        <v>250</v>
      </c>
      <c r="V137">
        <v>32</v>
      </c>
      <c r="W137">
        <v>420</v>
      </c>
      <c r="X137">
        <v>63</v>
      </c>
      <c r="Y137">
        <v>200</v>
      </c>
      <c r="Z137">
        <v>225</v>
      </c>
      <c r="AA137">
        <v>250</v>
      </c>
      <c r="AB137">
        <v>9</v>
      </c>
      <c r="AC137">
        <v>230</v>
      </c>
      <c r="AD137">
        <v>295</v>
      </c>
      <c r="AE137">
        <v>230</v>
      </c>
    </row>
    <row r="138" spans="1:31" x14ac:dyDescent="0.25">
      <c r="A138" t="s">
        <v>716</v>
      </c>
      <c r="B138">
        <v>2010</v>
      </c>
      <c r="C138">
        <v>9</v>
      </c>
      <c r="D138">
        <v>10</v>
      </c>
      <c r="E138">
        <v>162.5</v>
      </c>
      <c r="F138">
        <v>20</v>
      </c>
      <c r="G138">
        <v>195</v>
      </c>
      <c r="H138">
        <v>21</v>
      </c>
      <c r="I138">
        <v>230</v>
      </c>
      <c r="K138">
        <v>350</v>
      </c>
      <c r="L138">
        <v>18</v>
      </c>
      <c r="M138">
        <v>182.5</v>
      </c>
      <c r="N138">
        <v>70</v>
      </c>
      <c r="O138">
        <v>200</v>
      </c>
      <c r="Q138">
        <v>150</v>
      </c>
      <c r="R138">
        <v>38</v>
      </c>
      <c r="S138">
        <v>210</v>
      </c>
      <c r="T138">
        <v>153</v>
      </c>
      <c r="U138">
        <v>250</v>
      </c>
      <c r="V138">
        <v>51</v>
      </c>
      <c r="W138">
        <v>295</v>
      </c>
      <c r="X138">
        <v>77</v>
      </c>
      <c r="Y138">
        <v>250</v>
      </c>
      <c r="Z138">
        <v>320</v>
      </c>
      <c r="AA138">
        <v>250</v>
      </c>
      <c r="AC138">
        <v>150</v>
      </c>
      <c r="AD138">
        <v>395</v>
      </c>
      <c r="AE138">
        <v>240</v>
      </c>
    </row>
    <row r="139" spans="1:31" x14ac:dyDescent="0.25">
      <c r="A139" t="s">
        <v>717</v>
      </c>
      <c r="B139">
        <v>2010</v>
      </c>
      <c r="C139">
        <v>9</v>
      </c>
      <c r="D139">
        <v>23</v>
      </c>
      <c r="E139">
        <v>95</v>
      </c>
      <c r="F139">
        <v>85</v>
      </c>
      <c r="G139">
        <v>130</v>
      </c>
      <c r="H139">
        <v>11</v>
      </c>
      <c r="I139">
        <v>230</v>
      </c>
      <c r="K139">
        <v>860</v>
      </c>
      <c r="L139">
        <v>53</v>
      </c>
      <c r="M139">
        <v>110</v>
      </c>
      <c r="N139">
        <v>175</v>
      </c>
      <c r="O139">
        <v>125</v>
      </c>
      <c r="Q139">
        <v>125</v>
      </c>
      <c r="R139">
        <v>21</v>
      </c>
      <c r="S139">
        <v>175</v>
      </c>
      <c r="T139">
        <v>143</v>
      </c>
      <c r="U139">
        <v>195</v>
      </c>
      <c r="V139">
        <v>35</v>
      </c>
      <c r="W139">
        <v>250</v>
      </c>
      <c r="X139">
        <v>110</v>
      </c>
      <c r="Y139">
        <v>172.5</v>
      </c>
      <c r="Z139">
        <v>315</v>
      </c>
      <c r="AA139">
        <v>190</v>
      </c>
      <c r="AB139">
        <v>0</v>
      </c>
      <c r="AD139">
        <v>485</v>
      </c>
      <c r="AE139">
        <v>175</v>
      </c>
    </row>
    <row r="140" spans="1:31" x14ac:dyDescent="0.25">
      <c r="A140" t="s">
        <v>628</v>
      </c>
      <c r="B140">
        <v>2010</v>
      </c>
      <c r="C140">
        <v>9</v>
      </c>
      <c r="D140">
        <v>563</v>
      </c>
      <c r="E140">
        <v>225</v>
      </c>
      <c r="F140">
        <v>1803</v>
      </c>
      <c r="G140">
        <v>260</v>
      </c>
      <c r="H140">
        <v>422</v>
      </c>
      <c r="I140">
        <v>350</v>
      </c>
      <c r="J140">
        <v>14</v>
      </c>
      <c r="K140">
        <v>282.5</v>
      </c>
      <c r="L140">
        <v>1037</v>
      </c>
      <c r="M140">
        <v>250</v>
      </c>
      <c r="N140">
        <v>3839</v>
      </c>
      <c r="O140">
        <v>260</v>
      </c>
      <c r="P140">
        <v>89</v>
      </c>
      <c r="Q140">
        <v>195</v>
      </c>
      <c r="R140">
        <v>615</v>
      </c>
      <c r="S140">
        <v>290</v>
      </c>
      <c r="T140">
        <v>3032</v>
      </c>
      <c r="U140">
        <v>310</v>
      </c>
      <c r="V140">
        <v>652</v>
      </c>
      <c r="W140">
        <v>370</v>
      </c>
      <c r="X140">
        <v>2000</v>
      </c>
      <c r="Y140">
        <v>290</v>
      </c>
      <c r="Z140">
        <v>6388</v>
      </c>
      <c r="AA140">
        <v>300</v>
      </c>
      <c r="AB140">
        <v>130</v>
      </c>
      <c r="AC140">
        <v>180</v>
      </c>
      <c r="AD140">
        <v>10357</v>
      </c>
      <c r="AE140">
        <v>290</v>
      </c>
    </row>
    <row r="141" spans="1:31" x14ac:dyDescent="0.25">
      <c r="A141" t="s">
        <v>718</v>
      </c>
      <c r="B141">
        <v>2010</v>
      </c>
      <c r="C141">
        <v>9</v>
      </c>
      <c r="D141">
        <v>17</v>
      </c>
      <c r="E141">
        <v>130</v>
      </c>
      <c r="F141">
        <v>54</v>
      </c>
      <c r="G141">
        <v>140</v>
      </c>
      <c r="H141">
        <v>16</v>
      </c>
      <c r="I141">
        <v>222.5</v>
      </c>
      <c r="J141">
        <v>0</v>
      </c>
      <c r="L141">
        <v>47</v>
      </c>
      <c r="M141">
        <v>145</v>
      </c>
      <c r="N141">
        <v>135</v>
      </c>
      <c r="O141">
        <v>145</v>
      </c>
      <c r="Q141">
        <v>130</v>
      </c>
      <c r="R141">
        <v>33</v>
      </c>
      <c r="S141">
        <v>165</v>
      </c>
      <c r="T141">
        <v>187</v>
      </c>
      <c r="U141">
        <v>200</v>
      </c>
      <c r="V141">
        <v>56</v>
      </c>
      <c r="W141">
        <v>250</v>
      </c>
      <c r="X141">
        <v>172</v>
      </c>
      <c r="Y141">
        <v>185</v>
      </c>
      <c r="Z141">
        <v>450</v>
      </c>
      <c r="AA141">
        <v>200</v>
      </c>
      <c r="AC141">
        <v>125</v>
      </c>
      <c r="AD141">
        <v>585</v>
      </c>
      <c r="AE141">
        <v>180</v>
      </c>
    </row>
    <row r="142" spans="1:31" x14ac:dyDescent="0.25">
      <c r="A142" t="s">
        <v>719</v>
      </c>
      <c r="B142">
        <v>2010</v>
      </c>
      <c r="C142">
        <v>9</v>
      </c>
      <c r="D142">
        <v>68</v>
      </c>
      <c r="E142">
        <v>190</v>
      </c>
      <c r="F142">
        <v>299</v>
      </c>
      <c r="G142">
        <v>240</v>
      </c>
      <c r="H142">
        <v>95</v>
      </c>
      <c r="I142">
        <v>295</v>
      </c>
      <c r="K142">
        <v>295</v>
      </c>
      <c r="L142">
        <v>195</v>
      </c>
      <c r="M142">
        <v>190</v>
      </c>
      <c r="N142">
        <v>660</v>
      </c>
      <c r="O142">
        <v>230</v>
      </c>
      <c r="P142">
        <v>11</v>
      </c>
      <c r="Q142">
        <v>210</v>
      </c>
      <c r="R142">
        <v>82</v>
      </c>
      <c r="S142">
        <v>260</v>
      </c>
      <c r="T142">
        <v>1145</v>
      </c>
      <c r="U142">
        <v>280</v>
      </c>
      <c r="V142">
        <v>211</v>
      </c>
      <c r="W142">
        <v>325</v>
      </c>
      <c r="X142">
        <v>772</v>
      </c>
      <c r="Y142">
        <v>265</v>
      </c>
      <c r="Z142">
        <v>2220</v>
      </c>
      <c r="AA142">
        <v>280</v>
      </c>
      <c r="AB142">
        <v>8</v>
      </c>
      <c r="AC142">
        <v>170</v>
      </c>
      <c r="AD142">
        <v>2890</v>
      </c>
      <c r="AE142">
        <v>270</v>
      </c>
    </row>
    <row r="143" spans="1:31" x14ac:dyDescent="0.25">
      <c r="A143" t="s">
        <v>720</v>
      </c>
      <c r="B143">
        <v>2010</v>
      </c>
      <c r="C143">
        <v>9</v>
      </c>
      <c r="D143">
        <v>99</v>
      </c>
      <c r="E143">
        <v>130</v>
      </c>
      <c r="F143">
        <v>295</v>
      </c>
      <c r="G143">
        <v>170</v>
      </c>
      <c r="H143">
        <v>122</v>
      </c>
      <c r="I143">
        <v>265</v>
      </c>
      <c r="J143">
        <v>6</v>
      </c>
      <c r="K143">
        <v>357.5</v>
      </c>
      <c r="L143">
        <v>245</v>
      </c>
      <c r="M143">
        <v>160</v>
      </c>
      <c r="N143">
        <v>767</v>
      </c>
      <c r="O143">
        <v>170</v>
      </c>
      <c r="P143">
        <v>32</v>
      </c>
      <c r="Q143">
        <v>150</v>
      </c>
      <c r="R143">
        <v>221</v>
      </c>
      <c r="S143">
        <v>190</v>
      </c>
      <c r="T143">
        <v>1184</v>
      </c>
      <c r="U143">
        <v>230</v>
      </c>
      <c r="V143">
        <v>374</v>
      </c>
      <c r="W143">
        <v>300</v>
      </c>
      <c r="X143">
        <v>921</v>
      </c>
      <c r="Y143">
        <v>210</v>
      </c>
      <c r="Z143">
        <v>2732</v>
      </c>
      <c r="AA143">
        <v>230</v>
      </c>
      <c r="AB143">
        <v>13</v>
      </c>
      <c r="AC143">
        <v>200</v>
      </c>
      <c r="AD143">
        <v>3512</v>
      </c>
      <c r="AE143">
        <v>220</v>
      </c>
    </row>
    <row r="144" spans="1:31" x14ac:dyDescent="0.25">
      <c r="A144" t="s">
        <v>724</v>
      </c>
      <c r="B144">
        <v>2010</v>
      </c>
      <c r="C144">
        <v>9</v>
      </c>
      <c r="D144">
        <v>662</v>
      </c>
      <c r="E144">
        <v>210</v>
      </c>
      <c r="F144">
        <v>2098</v>
      </c>
      <c r="G144">
        <v>250</v>
      </c>
      <c r="H144">
        <v>544</v>
      </c>
      <c r="I144">
        <v>320</v>
      </c>
      <c r="J144">
        <v>20</v>
      </c>
      <c r="K144">
        <v>322.5</v>
      </c>
      <c r="L144">
        <v>1282</v>
      </c>
      <c r="M144">
        <v>240</v>
      </c>
      <c r="N144">
        <v>4606</v>
      </c>
      <c r="O144">
        <v>250</v>
      </c>
      <c r="P144">
        <v>121</v>
      </c>
      <c r="Q144">
        <v>180</v>
      </c>
      <c r="R144">
        <v>836</v>
      </c>
      <c r="S144">
        <v>270</v>
      </c>
      <c r="T144">
        <v>4216</v>
      </c>
      <c r="U144">
        <v>295</v>
      </c>
      <c r="V144">
        <v>1026</v>
      </c>
      <c r="W144">
        <v>350</v>
      </c>
      <c r="X144">
        <v>2921</v>
      </c>
      <c r="Y144">
        <v>270</v>
      </c>
      <c r="Z144">
        <v>9120</v>
      </c>
      <c r="AA144">
        <v>290</v>
      </c>
      <c r="AB144">
        <v>143</v>
      </c>
      <c r="AC144">
        <v>185</v>
      </c>
      <c r="AD144">
        <v>13869</v>
      </c>
      <c r="AE144">
        <v>270</v>
      </c>
    </row>
    <row r="145" spans="1:31" x14ac:dyDescent="0.25">
      <c r="A145" t="s">
        <v>721</v>
      </c>
      <c r="B145">
        <v>2010</v>
      </c>
      <c r="C145">
        <v>9</v>
      </c>
      <c r="D145">
        <v>92</v>
      </c>
      <c r="E145">
        <v>220</v>
      </c>
      <c r="F145">
        <v>442</v>
      </c>
      <c r="G145">
        <v>260</v>
      </c>
      <c r="H145">
        <v>105</v>
      </c>
      <c r="I145">
        <v>330</v>
      </c>
      <c r="K145">
        <v>222.5</v>
      </c>
      <c r="L145">
        <v>238</v>
      </c>
      <c r="M145">
        <v>250</v>
      </c>
      <c r="N145">
        <v>880</v>
      </c>
      <c r="O145">
        <v>260</v>
      </c>
      <c r="P145">
        <v>35</v>
      </c>
      <c r="Q145">
        <v>180</v>
      </c>
      <c r="R145">
        <v>147</v>
      </c>
      <c r="S145">
        <v>280</v>
      </c>
      <c r="T145">
        <v>869</v>
      </c>
      <c r="U145">
        <v>315</v>
      </c>
      <c r="V145">
        <v>247</v>
      </c>
      <c r="W145">
        <v>370</v>
      </c>
      <c r="X145">
        <v>525</v>
      </c>
      <c r="Y145">
        <v>295</v>
      </c>
      <c r="Z145">
        <v>1825</v>
      </c>
      <c r="AA145">
        <v>310</v>
      </c>
      <c r="AB145">
        <v>28</v>
      </c>
      <c r="AC145">
        <v>150</v>
      </c>
      <c r="AD145">
        <v>2730</v>
      </c>
      <c r="AE145">
        <v>295</v>
      </c>
    </row>
    <row r="146" spans="1:31" x14ac:dyDescent="0.25">
      <c r="A146" t="s">
        <v>722</v>
      </c>
      <c r="B146">
        <v>2010</v>
      </c>
      <c r="C146">
        <v>9</v>
      </c>
      <c r="D146">
        <v>89</v>
      </c>
      <c r="E146">
        <v>200</v>
      </c>
      <c r="F146">
        <v>466</v>
      </c>
      <c r="G146">
        <v>250</v>
      </c>
      <c r="H146">
        <v>93</v>
      </c>
      <c r="I146">
        <v>350</v>
      </c>
      <c r="K146">
        <v>270</v>
      </c>
      <c r="L146">
        <v>244</v>
      </c>
      <c r="M146">
        <v>250</v>
      </c>
      <c r="N146">
        <v>895</v>
      </c>
      <c r="O146">
        <v>250</v>
      </c>
      <c r="P146">
        <v>17</v>
      </c>
      <c r="Q146">
        <v>200</v>
      </c>
      <c r="R146">
        <v>169</v>
      </c>
      <c r="S146">
        <v>290</v>
      </c>
      <c r="T146">
        <v>587</v>
      </c>
      <c r="U146">
        <v>340</v>
      </c>
      <c r="V146">
        <v>92</v>
      </c>
      <c r="W146">
        <v>385</v>
      </c>
      <c r="X146">
        <v>354</v>
      </c>
      <c r="Y146">
        <v>307.5</v>
      </c>
      <c r="Z146">
        <v>1220</v>
      </c>
      <c r="AA146">
        <v>320</v>
      </c>
      <c r="AB146">
        <v>21</v>
      </c>
      <c r="AC146">
        <v>155</v>
      </c>
      <c r="AD146">
        <v>2135</v>
      </c>
      <c r="AE146">
        <v>290</v>
      </c>
    </row>
    <row r="147" spans="1:31" x14ac:dyDescent="0.25">
      <c r="A147" t="s">
        <v>723</v>
      </c>
      <c r="B147">
        <v>2010</v>
      </c>
      <c r="C147">
        <v>9</v>
      </c>
      <c r="E147">
        <v>105</v>
      </c>
      <c r="F147">
        <v>18</v>
      </c>
      <c r="G147">
        <v>152.5</v>
      </c>
      <c r="I147">
        <v>197.5</v>
      </c>
      <c r="K147">
        <v>160</v>
      </c>
      <c r="L147">
        <v>21</v>
      </c>
      <c r="M147">
        <v>150</v>
      </c>
      <c r="N147">
        <v>45</v>
      </c>
      <c r="O147">
        <v>150</v>
      </c>
      <c r="P147">
        <v>11</v>
      </c>
      <c r="Q147">
        <v>150</v>
      </c>
      <c r="R147">
        <v>31</v>
      </c>
      <c r="S147">
        <v>170</v>
      </c>
      <c r="T147">
        <v>179</v>
      </c>
      <c r="U147">
        <v>200</v>
      </c>
      <c r="V147">
        <v>44</v>
      </c>
      <c r="W147">
        <v>245</v>
      </c>
      <c r="X147">
        <v>196</v>
      </c>
      <c r="Y147">
        <v>190</v>
      </c>
      <c r="Z147">
        <v>460</v>
      </c>
      <c r="AA147">
        <v>200</v>
      </c>
      <c r="AB147">
        <v>0</v>
      </c>
      <c r="AD147">
        <v>505</v>
      </c>
      <c r="AE147">
        <v>190</v>
      </c>
    </row>
    <row r="148" spans="1:31" x14ac:dyDescent="0.25">
      <c r="A148" t="s">
        <v>711</v>
      </c>
      <c r="B148">
        <v>2010</v>
      </c>
      <c r="C148">
        <v>12</v>
      </c>
      <c r="E148">
        <v>175</v>
      </c>
      <c r="F148">
        <v>14</v>
      </c>
      <c r="G148">
        <v>245</v>
      </c>
      <c r="H148">
        <v>32</v>
      </c>
      <c r="I148">
        <v>290</v>
      </c>
      <c r="K148">
        <v>380</v>
      </c>
      <c r="L148">
        <v>11</v>
      </c>
      <c r="M148">
        <v>250</v>
      </c>
      <c r="N148">
        <v>60</v>
      </c>
      <c r="O148">
        <v>277.5</v>
      </c>
      <c r="Q148">
        <v>245</v>
      </c>
      <c r="R148">
        <v>17</v>
      </c>
      <c r="S148">
        <v>300</v>
      </c>
      <c r="T148">
        <v>119</v>
      </c>
      <c r="U148">
        <v>302</v>
      </c>
      <c r="V148">
        <v>58</v>
      </c>
      <c r="W148">
        <v>410</v>
      </c>
      <c r="X148">
        <v>55</v>
      </c>
      <c r="Y148">
        <v>300</v>
      </c>
      <c r="Z148">
        <v>250</v>
      </c>
      <c r="AA148">
        <v>320</v>
      </c>
      <c r="AC148">
        <v>300</v>
      </c>
      <c r="AD148">
        <v>315</v>
      </c>
      <c r="AE148">
        <v>310</v>
      </c>
    </row>
    <row r="149" spans="1:31" x14ac:dyDescent="0.25">
      <c r="A149" t="s">
        <v>712</v>
      </c>
      <c r="B149">
        <v>2010</v>
      </c>
      <c r="C149">
        <v>12</v>
      </c>
      <c r="D149">
        <v>7</v>
      </c>
      <c r="E149">
        <v>145</v>
      </c>
      <c r="F149">
        <v>15</v>
      </c>
      <c r="G149">
        <v>220</v>
      </c>
      <c r="H149">
        <v>13</v>
      </c>
      <c r="I149">
        <v>230</v>
      </c>
      <c r="J149">
        <v>0</v>
      </c>
      <c r="L149">
        <v>32</v>
      </c>
      <c r="M149">
        <v>197.5</v>
      </c>
      <c r="N149">
        <v>65</v>
      </c>
      <c r="O149">
        <v>200</v>
      </c>
      <c r="P149">
        <v>0</v>
      </c>
      <c r="R149">
        <v>24</v>
      </c>
      <c r="S149">
        <v>220</v>
      </c>
      <c r="T149">
        <v>112</v>
      </c>
      <c r="U149">
        <v>270</v>
      </c>
      <c r="V149">
        <v>39</v>
      </c>
      <c r="W149">
        <v>320</v>
      </c>
      <c r="X149">
        <v>100</v>
      </c>
      <c r="Y149">
        <v>260</v>
      </c>
      <c r="Z149">
        <v>275</v>
      </c>
      <c r="AA149">
        <v>270</v>
      </c>
      <c r="AB149">
        <v>0</v>
      </c>
      <c r="AD149">
        <v>340</v>
      </c>
      <c r="AE149">
        <v>260</v>
      </c>
    </row>
    <row r="150" spans="1:31" x14ac:dyDescent="0.25">
      <c r="A150" t="s">
        <v>713</v>
      </c>
      <c r="B150">
        <v>2010</v>
      </c>
      <c r="C150">
        <v>12</v>
      </c>
      <c r="D150">
        <v>328</v>
      </c>
      <c r="E150">
        <v>239</v>
      </c>
      <c r="F150">
        <v>539</v>
      </c>
      <c r="G150">
        <v>290</v>
      </c>
      <c r="H150">
        <v>85</v>
      </c>
      <c r="I150">
        <v>370</v>
      </c>
      <c r="J150">
        <v>8</v>
      </c>
      <c r="K150">
        <v>242.5</v>
      </c>
      <c r="L150">
        <v>333</v>
      </c>
      <c r="M150">
        <v>270</v>
      </c>
      <c r="N150">
        <v>1295</v>
      </c>
      <c r="O150">
        <v>276</v>
      </c>
      <c r="P150">
        <v>24</v>
      </c>
      <c r="Q150">
        <v>230</v>
      </c>
      <c r="R150">
        <v>169</v>
      </c>
      <c r="S150">
        <v>340</v>
      </c>
      <c r="T150">
        <v>399</v>
      </c>
      <c r="U150">
        <v>380</v>
      </c>
      <c r="V150">
        <v>92</v>
      </c>
      <c r="W150">
        <v>475</v>
      </c>
      <c r="X150">
        <v>265</v>
      </c>
      <c r="Y150">
        <v>375</v>
      </c>
      <c r="Z150">
        <v>950</v>
      </c>
      <c r="AA150">
        <v>375</v>
      </c>
      <c r="AB150">
        <v>22</v>
      </c>
      <c r="AC150">
        <v>157.5</v>
      </c>
      <c r="AD150">
        <v>2265</v>
      </c>
      <c r="AE150">
        <v>320</v>
      </c>
    </row>
    <row r="151" spans="1:31" x14ac:dyDescent="0.25">
      <c r="A151" t="s">
        <v>714</v>
      </c>
      <c r="B151">
        <v>2010</v>
      </c>
      <c r="C151">
        <v>12</v>
      </c>
      <c r="D151">
        <v>18</v>
      </c>
      <c r="E151">
        <v>130</v>
      </c>
      <c r="F151">
        <v>62</v>
      </c>
      <c r="G151">
        <v>180</v>
      </c>
      <c r="H151">
        <v>27</v>
      </c>
      <c r="I151">
        <v>300</v>
      </c>
      <c r="K151">
        <v>375</v>
      </c>
      <c r="L151">
        <v>25</v>
      </c>
      <c r="M151">
        <v>125</v>
      </c>
      <c r="N151">
        <v>135</v>
      </c>
      <c r="O151">
        <v>175</v>
      </c>
      <c r="Q151">
        <v>140</v>
      </c>
      <c r="R151">
        <v>31</v>
      </c>
      <c r="S151">
        <v>190</v>
      </c>
      <c r="T151">
        <v>179</v>
      </c>
      <c r="U151">
        <v>230</v>
      </c>
      <c r="V151">
        <v>40</v>
      </c>
      <c r="W151">
        <v>320</v>
      </c>
      <c r="X151">
        <v>90</v>
      </c>
      <c r="Y151">
        <v>200</v>
      </c>
      <c r="Z151">
        <v>345</v>
      </c>
      <c r="AA151">
        <v>230</v>
      </c>
      <c r="AC151">
        <v>167.5</v>
      </c>
      <c r="AD151">
        <v>480</v>
      </c>
      <c r="AE151">
        <v>210</v>
      </c>
    </row>
    <row r="152" spans="1:31" x14ac:dyDescent="0.25">
      <c r="A152" t="s">
        <v>715</v>
      </c>
      <c r="B152">
        <v>2010</v>
      </c>
      <c r="C152">
        <v>12</v>
      </c>
      <c r="D152">
        <v>9</v>
      </c>
      <c r="E152">
        <v>190</v>
      </c>
      <c r="F152">
        <v>21</v>
      </c>
      <c r="G152">
        <v>155</v>
      </c>
      <c r="H152">
        <v>11</v>
      </c>
      <c r="I152">
        <v>350</v>
      </c>
      <c r="K152">
        <v>250</v>
      </c>
      <c r="L152">
        <v>10</v>
      </c>
      <c r="M152">
        <v>132.5</v>
      </c>
      <c r="N152">
        <v>50</v>
      </c>
      <c r="O152">
        <v>170</v>
      </c>
      <c r="Q152">
        <v>145</v>
      </c>
      <c r="R152">
        <v>12</v>
      </c>
      <c r="S152">
        <v>162.5</v>
      </c>
      <c r="T152">
        <v>110</v>
      </c>
      <c r="U152">
        <v>230</v>
      </c>
      <c r="V152">
        <v>36</v>
      </c>
      <c r="W152">
        <v>335</v>
      </c>
      <c r="X152">
        <v>37</v>
      </c>
      <c r="Y152">
        <v>155</v>
      </c>
      <c r="Z152">
        <v>195</v>
      </c>
      <c r="AA152">
        <v>225</v>
      </c>
      <c r="AC152">
        <v>180</v>
      </c>
      <c r="AD152">
        <v>250</v>
      </c>
      <c r="AE152">
        <v>210</v>
      </c>
    </row>
    <row r="153" spans="1:31" x14ac:dyDescent="0.25">
      <c r="A153" t="s">
        <v>716</v>
      </c>
      <c r="B153">
        <v>2010</v>
      </c>
      <c r="C153">
        <v>12</v>
      </c>
      <c r="D153">
        <v>16</v>
      </c>
      <c r="E153">
        <v>170</v>
      </c>
      <c r="F153">
        <v>36</v>
      </c>
      <c r="G153">
        <v>195</v>
      </c>
      <c r="H153">
        <v>13</v>
      </c>
      <c r="I153">
        <v>265</v>
      </c>
      <c r="J153">
        <v>0</v>
      </c>
      <c r="L153">
        <v>8</v>
      </c>
      <c r="M153">
        <v>195</v>
      </c>
      <c r="N153">
        <v>75</v>
      </c>
      <c r="O153">
        <v>195</v>
      </c>
      <c r="P153">
        <v>0</v>
      </c>
      <c r="R153">
        <v>30</v>
      </c>
      <c r="S153">
        <v>217.5</v>
      </c>
      <c r="T153">
        <v>142</v>
      </c>
      <c r="U153">
        <v>240</v>
      </c>
      <c r="V153">
        <v>48</v>
      </c>
      <c r="W153">
        <v>307.5</v>
      </c>
      <c r="X153">
        <v>44</v>
      </c>
      <c r="Y153">
        <v>240</v>
      </c>
      <c r="Z153">
        <v>265</v>
      </c>
      <c r="AA153">
        <v>247.5</v>
      </c>
      <c r="AB153">
        <v>0</v>
      </c>
      <c r="AD153">
        <v>335</v>
      </c>
      <c r="AE153">
        <v>235</v>
      </c>
    </row>
    <row r="154" spans="1:31" x14ac:dyDescent="0.25">
      <c r="A154" t="s">
        <v>717</v>
      </c>
      <c r="B154">
        <v>2010</v>
      </c>
      <c r="C154">
        <v>12</v>
      </c>
      <c r="D154">
        <v>14</v>
      </c>
      <c r="E154">
        <v>100</v>
      </c>
      <c r="F154">
        <v>68</v>
      </c>
      <c r="G154">
        <v>132.5</v>
      </c>
      <c r="H154">
        <v>20</v>
      </c>
      <c r="I154">
        <v>230</v>
      </c>
      <c r="K154">
        <v>300</v>
      </c>
      <c r="L154">
        <v>40</v>
      </c>
      <c r="M154">
        <v>130</v>
      </c>
      <c r="N154">
        <v>145</v>
      </c>
      <c r="O154">
        <v>135</v>
      </c>
      <c r="P154">
        <v>6</v>
      </c>
      <c r="Q154">
        <v>125</v>
      </c>
      <c r="R154">
        <v>36</v>
      </c>
      <c r="S154">
        <v>167.5</v>
      </c>
      <c r="T154">
        <v>154</v>
      </c>
      <c r="U154">
        <v>200</v>
      </c>
      <c r="V154">
        <v>31</v>
      </c>
      <c r="W154">
        <v>230</v>
      </c>
      <c r="X154">
        <v>120</v>
      </c>
      <c r="Y154">
        <v>180</v>
      </c>
      <c r="Z154">
        <v>345</v>
      </c>
      <c r="AA154">
        <v>190</v>
      </c>
      <c r="AB154">
        <v>0</v>
      </c>
      <c r="AD154">
        <v>490</v>
      </c>
      <c r="AE154">
        <v>180</v>
      </c>
    </row>
    <row r="155" spans="1:31" x14ac:dyDescent="0.25">
      <c r="A155" t="s">
        <v>628</v>
      </c>
      <c r="B155">
        <v>2010</v>
      </c>
      <c r="C155">
        <v>12</v>
      </c>
      <c r="D155">
        <v>498</v>
      </c>
      <c r="E155">
        <v>225</v>
      </c>
      <c r="F155">
        <v>1643</v>
      </c>
      <c r="G155">
        <v>260</v>
      </c>
      <c r="H155">
        <v>385</v>
      </c>
      <c r="I155">
        <v>340</v>
      </c>
      <c r="J155">
        <v>17</v>
      </c>
      <c r="K155">
        <v>300</v>
      </c>
      <c r="L155">
        <v>938</v>
      </c>
      <c r="M155">
        <v>250</v>
      </c>
      <c r="N155">
        <v>3481</v>
      </c>
      <c r="O155">
        <v>260</v>
      </c>
      <c r="P155">
        <v>79</v>
      </c>
      <c r="Q155">
        <v>200</v>
      </c>
      <c r="R155">
        <v>514</v>
      </c>
      <c r="S155">
        <v>300</v>
      </c>
      <c r="T155">
        <v>2868</v>
      </c>
      <c r="U155">
        <v>312.5</v>
      </c>
      <c r="V155">
        <v>619</v>
      </c>
      <c r="W155">
        <v>375</v>
      </c>
      <c r="X155">
        <v>1722</v>
      </c>
      <c r="Y155">
        <v>290</v>
      </c>
      <c r="Z155">
        <v>5802</v>
      </c>
      <c r="AA155">
        <v>310</v>
      </c>
      <c r="AB155">
        <v>62</v>
      </c>
      <c r="AC155">
        <v>157</v>
      </c>
      <c r="AD155">
        <v>9345</v>
      </c>
      <c r="AE155">
        <v>290</v>
      </c>
    </row>
    <row r="156" spans="1:31" x14ac:dyDescent="0.25">
      <c r="A156" t="s">
        <v>718</v>
      </c>
      <c r="B156">
        <v>2010</v>
      </c>
      <c r="C156">
        <v>12</v>
      </c>
      <c r="D156">
        <v>16</v>
      </c>
      <c r="E156">
        <v>130</v>
      </c>
      <c r="F156">
        <v>45</v>
      </c>
      <c r="G156">
        <v>150</v>
      </c>
      <c r="H156">
        <v>8</v>
      </c>
      <c r="I156">
        <v>200</v>
      </c>
      <c r="K156">
        <v>250</v>
      </c>
      <c r="L156">
        <v>40</v>
      </c>
      <c r="M156">
        <v>145</v>
      </c>
      <c r="N156">
        <v>110</v>
      </c>
      <c r="O156">
        <v>145</v>
      </c>
      <c r="P156">
        <v>7</v>
      </c>
      <c r="Q156">
        <v>125</v>
      </c>
      <c r="R156">
        <v>29</v>
      </c>
      <c r="S156">
        <v>175</v>
      </c>
      <c r="T156">
        <v>179</v>
      </c>
      <c r="U156">
        <v>195</v>
      </c>
      <c r="V156">
        <v>47</v>
      </c>
      <c r="W156">
        <v>240</v>
      </c>
      <c r="X156">
        <v>146</v>
      </c>
      <c r="Y156">
        <v>177.5</v>
      </c>
      <c r="Z156">
        <v>410</v>
      </c>
      <c r="AA156">
        <v>190</v>
      </c>
      <c r="AB156">
        <v>0</v>
      </c>
      <c r="AD156">
        <v>520</v>
      </c>
      <c r="AE156">
        <v>180</v>
      </c>
    </row>
    <row r="157" spans="1:31" x14ac:dyDescent="0.25">
      <c r="A157" t="s">
        <v>719</v>
      </c>
      <c r="B157">
        <v>2010</v>
      </c>
      <c r="C157">
        <v>12</v>
      </c>
      <c r="D157">
        <v>33</v>
      </c>
      <c r="E157">
        <v>175</v>
      </c>
      <c r="F157">
        <v>290</v>
      </c>
      <c r="G157">
        <v>242.5</v>
      </c>
      <c r="H157">
        <v>85</v>
      </c>
      <c r="I157">
        <v>310</v>
      </c>
      <c r="K157">
        <v>332.5</v>
      </c>
      <c r="L157">
        <v>162</v>
      </c>
      <c r="M157">
        <v>230</v>
      </c>
      <c r="N157">
        <v>570</v>
      </c>
      <c r="O157">
        <v>250</v>
      </c>
      <c r="P157">
        <v>16</v>
      </c>
      <c r="Q157">
        <v>145</v>
      </c>
      <c r="R157">
        <v>91</v>
      </c>
      <c r="S157">
        <v>260</v>
      </c>
      <c r="T157">
        <v>1160</v>
      </c>
      <c r="U157">
        <v>285</v>
      </c>
      <c r="V157">
        <v>210</v>
      </c>
      <c r="W157">
        <v>320</v>
      </c>
      <c r="X157">
        <v>664</v>
      </c>
      <c r="Y157">
        <v>270</v>
      </c>
      <c r="Z157">
        <v>2140</v>
      </c>
      <c r="AA157">
        <v>280</v>
      </c>
      <c r="AB157">
        <v>12</v>
      </c>
      <c r="AC157">
        <v>167.25</v>
      </c>
      <c r="AD157">
        <v>2725</v>
      </c>
      <c r="AE157">
        <v>275</v>
      </c>
    </row>
    <row r="158" spans="1:31" x14ac:dyDescent="0.25">
      <c r="A158" t="s">
        <v>720</v>
      </c>
      <c r="B158">
        <v>2010</v>
      </c>
      <c r="C158">
        <v>12</v>
      </c>
      <c r="D158">
        <v>88</v>
      </c>
      <c r="E158">
        <v>135</v>
      </c>
      <c r="F158">
        <v>275</v>
      </c>
      <c r="G158">
        <v>170</v>
      </c>
      <c r="H158">
        <v>127</v>
      </c>
      <c r="I158">
        <v>270</v>
      </c>
      <c r="J158">
        <v>10</v>
      </c>
      <c r="K158">
        <v>325</v>
      </c>
      <c r="L158">
        <v>181</v>
      </c>
      <c r="M158">
        <v>155</v>
      </c>
      <c r="N158">
        <v>681</v>
      </c>
      <c r="O158">
        <v>175</v>
      </c>
      <c r="P158">
        <v>29</v>
      </c>
      <c r="Q158">
        <v>135</v>
      </c>
      <c r="R158">
        <v>215</v>
      </c>
      <c r="S158">
        <v>200</v>
      </c>
      <c r="T158">
        <v>1137</v>
      </c>
      <c r="U158">
        <v>230</v>
      </c>
      <c r="V158">
        <v>338</v>
      </c>
      <c r="W158">
        <v>300</v>
      </c>
      <c r="X158">
        <v>800</v>
      </c>
      <c r="Y158">
        <v>210</v>
      </c>
      <c r="Z158">
        <v>2519</v>
      </c>
      <c r="AA158">
        <v>225</v>
      </c>
      <c r="AB158">
        <v>8</v>
      </c>
      <c r="AC158">
        <v>195</v>
      </c>
      <c r="AD158">
        <v>3208</v>
      </c>
      <c r="AE158">
        <v>220</v>
      </c>
    </row>
    <row r="159" spans="1:31" x14ac:dyDescent="0.25">
      <c r="A159" t="s">
        <v>724</v>
      </c>
      <c r="B159">
        <v>2010</v>
      </c>
      <c r="C159">
        <v>12</v>
      </c>
      <c r="D159">
        <v>586</v>
      </c>
      <c r="E159">
        <v>215</v>
      </c>
      <c r="F159">
        <v>1918</v>
      </c>
      <c r="G159">
        <v>250</v>
      </c>
      <c r="H159">
        <v>512</v>
      </c>
      <c r="I159">
        <v>320</v>
      </c>
      <c r="J159">
        <v>27</v>
      </c>
      <c r="K159">
        <v>300</v>
      </c>
      <c r="L159">
        <v>1119</v>
      </c>
      <c r="M159">
        <v>240</v>
      </c>
      <c r="N159">
        <v>4162</v>
      </c>
      <c r="O159">
        <v>250</v>
      </c>
      <c r="P159">
        <v>108</v>
      </c>
      <c r="Q159">
        <v>180</v>
      </c>
      <c r="R159">
        <v>729</v>
      </c>
      <c r="S159">
        <v>270</v>
      </c>
      <c r="T159">
        <v>4005</v>
      </c>
      <c r="U159">
        <v>295</v>
      </c>
      <c r="V159">
        <v>957</v>
      </c>
      <c r="W159">
        <v>350</v>
      </c>
      <c r="X159">
        <v>2522</v>
      </c>
      <c r="Y159">
        <v>270</v>
      </c>
      <c r="Z159">
        <v>8321</v>
      </c>
      <c r="AA159">
        <v>290</v>
      </c>
      <c r="AB159">
        <v>70</v>
      </c>
      <c r="AC159">
        <v>164.75</v>
      </c>
      <c r="AD159">
        <v>12553</v>
      </c>
      <c r="AE159">
        <v>275</v>
      </c>
    </row>
    <row r="160" spans="1:31" x14ac:dyDescent="0.25">
      <c r="A160" t="s">
        <v>721</v>
      </c>
      <c r="B160">
        <v>2010</v>
      </c>
      <c r="C160">
        <v>12</v>
      </c>
      <c r="D160">
        <v>70</v>
      </c>
      <c r="E160">
        <v>210</v>
      </c>
      <c r="F160">
        <v>379</v>
      </c>
      <c r="G160">
        <v>260</v>
      </c>
      <c r="H160">
        <v>112</v>
      </c>
      <c r="I160">
        <v>340</v>
      </c>
      <c r="K160">
        <v>242.5</v>
      </c>
      <c r="L160">
        <v>184</v>
      </c>
      <c r="M160">
        <v>245</v>
      </c>
      <c r="N160">
        <v>745</v>
      </c>
      <c r="O160">
        <v>260</v>
      </c>
      <c r="P160">
        <v>17</v>
      </c>
      <c r="Q160">
        <v>220</v>
      </c>
      <c r="R160">
        <v>120</v>
      </c>
      <c r="S160">
        <v>300</v>
      </c>
      <c r="T160">
        <v>810</v>
      </c>
      <c r="U160">
        <v>320</v>
      </c>
      <c r="V160">
        <v>233</v>
      </c>
      <c r="W160">
        <v>380</v>
      </c>
      <c r="X160">
        <v>480</v>
      </c>
      <c r="Y160">
        <v>300</v>
      </c>
      <c r="Z160">
        <v>1660</v>
      </c>
      <c r="AA160">
        <v>320</v>
      </c>
      <c r="AB160">
        <v>16</v>
      </c>
      <c r="AC160">
        <v>185</v>
      </c>
      <c r="AD160">
        <v>2425</v>
      </c>
      <c r="AE160">
        <v>300</v>
      </c>
    </row>
    <row r="161" spans="1:31" x14ac:dyDescent="0.25">
      <c r="A161" t="s">
        <v>722</v>
      </c>
      <c r="B161">
        <v>2010</v>
      </c>
      <c r="C161">
        <v>12</v>
      </c>
      <c r="D161">
        <v>67</v>
      </c>
      <c r="E161">
        <v>200</v>
      </c>
      <c r="F161">
        <v>435</v>
      </c>
      <c r="G161">
        <v>250</v>
      </c>
      <c r="H161">
        <v>103</v>
      </c>
      <c r="I161">
        <v>340</v>
      </c>
      <c r="K161">
        <v>300</v>
      </c>
      <c r="L161">
        <v>259</v>
      </c>
      <c r="M161">
        <v>250</v>
      </c>
      <c r="N161">
        <v>870</v>
      </c>
      <c r="O161">
        <v>250</v>
      </c>
      <c r="P161">
        <v>22</v>
      </c>
      <c r="Q161">
        <v>205</v>
      </c>
      <c r="R161">
        <v>134</v>
      </c>
      <c r="S161">
        <v>280</v>
      </c>
      <c r="T161">
        <v>499</v>
      </c>
      <c r="U161">
        <v>340</v>
      </c>
      <c r="V161">
        <v>84</v>
      </c>
      <c r="W161">
        <v>400</v>
      </c>
      <c r="X161">
        <v>313</v>
      </c>
      <c r="Y161">
        <v>300</v>
      </c>
      <c r="Z161">
        <v>1050</v>
      </c>
      <c r="AA161">
        <v>320</v>
      </c>
      <c r="AB161">
        <v>12</v>
      </c>
      <c r="AC161">
        <v>150</v>
      </c>
      <c r="AD161">
        <v>1935</v>
      </c>
      <c r="AE161">
        <v>290</v>
      </c>
    </row>
    <row r="162" spans="1:31" x14ac:dyDescent="0.25">
      <c r="A162" t="s">
        <v>723</v>
      </c>
      <c r="B162">
        <v>2010</v>
      </c>
      <c r="C162">
        <v>12</v>
      </c>
      <c r="D162">
        <v>6</v>
      </c>
      <c r="E162">
        <v>137.5</v>
      </c>
      <c r="F162">
        <v>14</v>
      </c>
      <c r="G162">
        <v>152.5</v>
      </c>
      <c r="I162">
        <v>260</v>
      </c>
      <c r="K162">
        <v>265</v>
      </c>
      <c r="L162">
        <v>15</v>
      </c>
      <c r="M162">
        <v>165</v>
      </c>
      <c r="N162">
        <v>40</v>
      </c>
      <c r="O162">
        <v>157.5</v>
      </c>
      <c r="P162">
        <v>7</v>
      </c>
      <c r="Q162">
        <v>140</v>
      </c>
      <c r="R162">
        <v>36</v>
      </c>
      <c r="S162">
        <v>195</v>
      </c>
      <c r="T162">
        <v>142</v>
      </c>
      <c r="U162">
        <v>197.5</v>
      </c>
      <c r="V162">
        <v>39</v>
      </c>
      <c r="W162">
        <v>240</v>
      </c>
      <c r="X162">
        <v>208</v>
      </c>
      <c r="Y162">
        <v>190</v>
      </c>
      <c r="Z162">
        <v>430</v>
      </c>
      <c r="AA162">
        <v>200</v>
      </c>
      <c r="AC162">
        <v>150</v>
      </c>
      <c r="AD162">
        <v>475</v>
      </c>
      <c r="AE162">
        <v>195</v>
      </c>
    </row>
    <row r="163" spans="1:31" x14ac:dyDescent="0.25">
      <c r="A163" t="s">
        <v>711</v>
      </c>
      <c r="B163">
        <v>2011</v>
      </c>
      <c r="C163">
        <v>3</v>
      </c>
      <c r="E163">
        <v>190</v>
      </c>
      <c r="F163">
        <v>25</v>
      </c>
      <c r="G163">
        <v>250</v>
      </c>
      <c r="H163">
        <v>34</v>
      </c>
      <c r="I163">
        <v>292.5</v>
      </c>
      <c r="K163">
        <v>340</v>
      </c>
      <c r="L163">
        <v>17</v>
      </c>
      <c r="M163">
        <v>270</v>
      </c>
      <c r="N163">
        <v>85</v>
      </c>
      <c r="O163">
        <v>272.5</v>
      </c>
      <c r="P163">
        <v>6</v>
      </c>
      <c r="Q163">
        <v>240</v>
      </c>
      <c r="R163">
        <v>19</v>
      </c>
      <c r="S163">
        <v>280</v>
      </c>
      <c r="T163">
        <v>125</v>
      </c>
      <c r="U163">
        <v>325</v>
      </c>
      <c r="V163">
        <v>62</v>
      </c>
      <c r="W163">
        <v>385</v>
      </c>
      <c r="X163">
        <v>88</v>
      </c>
      <c r="Y163">
        <v>300</v>
      </c>
      <c r="Z163">
        <v>300</v>
      </c>
      <c r="AA163">
        <v>330</v>
      </c>
      <c r="AB163">
        <v>0</v>
      </c>
      <c r="AD163">
        <v>385</v>
      </c>
      <c r="AE163">
        <v>310</v>
      </c>
    </row>
    <row r="164" spans="1:31" x14ac:dyDescent="0.25">
      <c r="A164" t="s">
        <v>712</v>
      </c>
      <c r="B164">
        <v>2011</v>
      </c>
      <c r="C164">
        <v>3</v>
      </c>
      <c r="E164">
        <v>120</v>
      </c>
      <c r="F164">
        <v>16</v>
      </c>
      <c r="G164">
        <v>205</v>
      </c>
      <c r="H164">
        <v>15</v>
      </c>
      <c r="I164">
        <v>290</v>
      </c>
      <c r="K164">
        <v>255</v>
      </c>
      <c r="L164">
        <v>35</v>
      </c>
      <c r="M164">
        <v>215</v>
      </c>
      <c r="N164">
        <v>70</v>
      </c>
      <c r="O164">
        <v>220</v>
      </c>
      <c r="Q164">
        <v>160</v>
      </c>
      <c r="R164">
        <v>13</v>
      </c>
      <c r="S164">
        <v>205</v>
      </c>
      <c r="T164">
        <v>118</v>
      </c>
      <c r="U164">
        <v>280</v>
      </c>
      <c r="V164">
        <v>45</v>
      </c>
      <c r="W164">
        <v>340</v>
      </c>
      <c r="X164">
        <v>136</v>
      </c>
      <c r="Y164">
        <v>255</v>
      </c>
      <c r="Z164">
        <v>315</v>
      </c>
      <c r="AA164">
        <v>270</v>
      </c>
      <c r="AB164">
        <v>0</v>
      </c>
      <c r="AD164">
        <v>385</v>
      </c>
      <c r="AE164">
        <v>265</v>
      </c>
    </row>
    <row r="165" spans="1:31" x14ac:dyDescent="0.25">
      <c r="A165" t="s">
        <v>713</v>
      </c>
      <c r="B165">
        <v>2011</v>
      </c>
      <c r="C165">
        <v>3</v>
      </c>
      <c r="D165">
        <v>541</v>
      </c>
      <c r="E165">
        <v>265</v>
      </c>
      <c r="F165">
        <v>846</v>
      </c>
      <c r="G165">
        <v>300</v>
      </c>
      <c r="H165">
        <v>192</v>
      </c>
      <c r="I165">
        <v>395</v>
      </c>
      <c r="J165">
        <v>12</v>
      </c>
      <c r="K165">
        <v>415</v>
      </c>
      <c r="L165">
        <v>580</v>
      </c>
      <c r="M165">
        <v>280</v>
      </c>
      <c r="N165">
        <v>2170</v>
      </c>
      <c r="O165">
        <v>290</v>
      </c>
      <c r="P165">
        <v>26</v>
      </c>
      <c r="Q165">
        <v>245</v>
      </c>
      <c r="R165">
        <v>212</v>
      </c>
      <c r="S165">
        <v>350</v>
      </c>
      <c r="T165">
        <v>465</v>
      </c>
      <c r="U165">
        <v>395</v>
      </c>
      <c r="V165">
        <v>119</v>
      </c>
      <c r="W165">
        <v>500</v>
      </c>
      <c r="X165">
        <v>473</v>
      </c>
      <c r="Y165">
        <v>360</v>
      </c>
      <c r="Z165">
        <v>1295</v>
      </c>
      <c r="AA165">
        <v>380</v>
      </c>
      <c r="AB165">
        <v>88</v>
      </c>
      <c r="AC165">
        <v>195</v>
      </c>
      <c r="AD165">
        <v>3555</v>
      </c>
      <c r="AE165">
        <v>310</v>
      </c>
    </row>
    <row r="166" spans="1:31" x14ac:dyDescent="0.25">
      <c r="A166" t="s">
        <v>714</v>
      </c>
      <c r="B166">
        <v>2011</v>
      </c>
      <c r="C166">
        <v>3</v>
      </c>
      <c r="D166">
        <v>19</v>
      </c>
      <c r="E166">
        <v>140</v>
      </c>
      <c r="F166">
        <v>63</v>
      </c>
      <c r="G166">
        <v>175</v>
      </c>
      <c r="H166">
        <v>15</v>
      </c>
      <c r="I166">
        <v>275</v>
      </c>
      <c r="K166">
        <v>340</v>
      </c>
      <c r="L166">
        <v>31</v>
      </c>
      <c r="M166">
        <v>165</v>
      </c>
      <c r="N166">
        <v>130</v>
      </c>
      <c r="O166">
        <v>177.5</v>
      </c>
      <c r="Q166">
        <v>150</v>
      </c>
      <c r="R166">
        <v>26</v>
      </c>
      <c r="S166">
        <v>192.5</v>
      </c>
      <c r="T166">
        <v>170</v>
      </c>
      <c r="U166">
        <v>240</v>
      </c>
      <c r="V166">
        <v>41</v>
      </c>
      <c r="W166">
        <v>320</v>
      </c>
      <c r="X166">
        <v>90</v>
      </c>
      <c r="Y166">
        <v>200</v>
      </c>
      <c r="Z166">
        <v>330</v>
      </c>
      <c r="AA166">
        <v>240</v>
      </c>
      <c r="AB166">
        <v>0</v>
      </c>
      <c r="AD166">
        <v>465</v>
      </c>
      <c r="AE166">
        <v>210</v>
      </c>
    </row>
    <row r="167" spans="1:31" x14ac:dyDescent="0.25">
      <c r="A167" t="s">
        <v>715</v>
      </c>
      <c r="B167">
        <v>2011</v>
      </c>
      <c r="C167">
        <v>3</v>
      </c>
      <c r="D167">
        <v>12</v>
      </c>
      <c r="E167">
        <v>200</v>
      </c>
      <c r="F167">
        <v>19</v>
      </c>
      <c r="G167">
        <v>180</v>
      </c>
      <c r="H167">
        <v>13</v>
      </c>
      <c r="I167">
        <v>360</v>
      </c>
      <c r="K167">
        <v>460</v>
      </c>
      <c r="L167">
        <v>30</v>
      </c>
      <c r="M167">
        <v>140</v>
      </c>
      <c r="N167">
        <v>80</v>
      </c>
      <c r="O167">
        <v>160</v>
      </c>
      <c r="Q167">
        <v>210</v>
      </c>
      <c r="R167">
        <v>11</v>
      </c>
      <c r="S167">
        <v>185</v>
      </c>
      <c r="T167">
        <v>74</v>
      </c>
      <c r="U167">
        <v>235</v>
      </c>
      <c r="V167">
        <v>30</v>
      </c>
      <c r="W167">
        <v>465</v>
      </c>
      <c r="X167">
        <v>62</v>
      </c>
      <c r="Y167">
        <v>177.5</v>
      </c>
      <c r="Z167">
        <v>180</v>
      </c>
      <c r="AA167">
        <v>230</v>
      </c>
      <c r="AC167">
        <v>280</v>
      </c>
      <c r="AD167">
        <v>260</v>
      </c>
      <c r="AE167">
        <v>210</v>
      </c>
    </row>
    <row r="168" spans="1:31" x14ac:dyDescent="0.25">
      <c r="A168" t="s">
        <v>716</v>
      </c>
      <c r="B168">
        <v>2011</v>
      </c>
      <c r="C168">
        <v>3</v>
      </c>
      <c r="D168">
        <v>7</v>
      </c>
      <c r="E168">
        <v>170</v>
      </c>
      <c r="F168">
        <v>27</v>
      </c>
      <c r="G168">
        <v>195</v>
      </c>
      <c r="H168">
        <v>14</v>
      </c>
      <c r="I168">
        <v>235</v>
      </c>
      <c r="J168">
        <v>0</v>
      </c>
      <c r="L168">
        <v>20</v>
      </c>
      <c r="M168">
        <v>165</v>
      </c>
      <c r="N168">
        <v>70</v>
      </c>
      <c r="O168">
        <v>187.5</v>
      </c>
      <c r="P168">
        <v>0</v>
      </c>
      <c r="R168">
        <v>18</v>
      </c>
      <c r="S168">
        <v>220</v>
      </c>
      <c r="T168">
        <v>136</v>
      </c>
      <c r="U168">
        <v>250</v>
      </c>
      <c r="V168">
        <v>45</v>
      </c>
      <c r="W168">
        <v>300</v>
      </c>
      <c r="X168">
        <v>85</v>
      </c>
      <c r="Y168">
        <v>245</v>
      </c>
      <c r="Z168">
        <v>285</v>
      </c>
      <c r="AA168">
        <v>250</v>
      </c>
      <c r="AC168">
        <v>150</v>
      </c>
      <c r="AD168">
        <v>355</v>
      </c>
      <c r="AE168">
        <v>245</v>
      </c>
    </row>
    <row r="169" spans="1:31" x14ac:dyDescent="0.25">
      <c r="A169" t="s">
        <v>717</v>
      </c>
      <c r="B169">
        <v>2011</v>
      </c>
      <c r="C169">
        <v>3</v>
      </c>
      <c r="D169">
        <v>10</v>
      </c>
      <c r="E169">
        <v>110</v>
      </c>
      <c r="F169">
        <v>71</v>
      </c>
      <c r="G169">
        <v>160</v>
      </c>
      <c r="H169">
        <v>13</v>
      </c>
      <c r="I169">
        <v>200</v>
      </c>
      <c r="J169">
        <v>0</v>
      </c>
      <c r="L169">
        <v>71</v>
      </c>
      <c r="M169">
        <v>150</v>
      </c>
      <c r="N169">
        <v>165</v>
      </c>
      <c r="O169">
        <v>160</v>
      </c>
      <c r="Q169">
        <v>150</v>
      </c>
      <c r="R169">
        <v>31</v>
      </c>
      <c r="S169">
        <v>180</v>
      </c>
      <c r="T169">
        <v>154</v>
      </c>
      <c r="U169">
        <v>195</v>
      </c>
      <c r="V169">
        <v>29</v>
      </c>
      <c r="W169">
        <v>240</v>
      </c>
      <c r="X169">
        <v>191</v>
      </c>
      <c r="Y169">
        <v>190</v>
      </c>
      <c r="Z169">
        <v>410</v>
      </c>
      <c r="AA169">
        <v>195</v>
      </c>
      <c r="AB169">
        <v>0</v>
      </c>
      <c r="AD169">
        <v>575</v>
      </c>
      <c r="AE169">
        <v>180</v>
      </c>
    </row>
    <row r="170" spans="1:31" x14ac:dyDescent="0.25">
      <c r="A170" t="s">
        <v>628</v>
      </c>
      <c r="B170">
        <v>2011</v>
      </c>
      <c r="C170">
        <v>3</v>
      </c>
      <c r="D170">
        <v>777</v>
      </c>
      <c r="E170">
        <v>249</v>
      </c>
      <c r="F170">
        <v>2118</v>
      </c>
      <c r="G170">
        <v>275</v>
      </c>
      <c r="H170">
        <v>512</v>
      </c>
      <c r="I170">
        <v>350</v>
      </c>
      <c r="J170">
        <v>23</v>
      </c>
      <c r="K170">
        <v>450</v>
      </c>
      <c r="L170">
        <v>1336</v>
      </c>
      <c r="M170">
        <v>260</v>
      </c>
      <c r="N170">
        <v>4766</v>
      </c>
      <c r="O170">
        <v>275</v>
      </c>
      <c r="P170">
        <v>80</v>
      </c>
      <c r="Q170">
        <v>197.5</v>
      </c>
      <c r="R170">
        <v>629</v>
      </c>
      <c r="S170">
        <v>300</v>
      </c>
      <c r="T170">
        <v>2992</v>
      </c>
      <c r="U170">
        <v>320</v>
      </c>
      <c r="V170">
        <v>680</v>
      </c>
      <c r="W170">
        <v>390</v>
      </c>
      <c r="X170">
        <v>2414</v>
      </c>
      <c r="Y170">
        <v>290</v>
      </c>
      <c r="Z170">
        <v>6795</v>
      </c>
      <c r="AA170">
        <v>315</v>
      </c>
      <c r="AB170">
        <v>146</v>
      </c>
      <c r="AC170">
        <v>185</v>
      </c>
      <c r="AD170">
        <v>11707</v>
      </c>
      <c r="AE170">
        <v>295</v>
      </c>
    </row>
    <row r="171" spans="1:31" x14ac:dyDescent="0.25">
      <c r="A171" t="s">
        <v>718</v>
      </c>
      <c r="B171">
        <v>2011</v>
      </c>
      <c r="C171">
        <v>3</v>
      </c>
      <c r="D171">
        <v>15</v>
      </c>
      <c r="E171">
        <v>135</v>
      </c>
      <c r="F171">
        <v>36</v>
      </c>
      <c r="G171">
        <v>157.5</v>
      </c>
      <c r="H171">
        <v>13</v>
      </c>
      <c r="I171">
        <v>210</v>
      </c>
      <c r="K171">
        <v>230</v>
      </c>
      <c r="L171">
        <v>46</v>
      </c>
      <c r="M171">
        <v>135</v>
      </c>
      <c r="N171">
        <v>110</v>
      </c>
      <c r="O171">
        <v>145</v>
      </c>
      <c r="Q171">
        <v>120</v>
      </c>
      <c r="R171">
        <v>34</v>
      </c>
      <c r="S171">
        <v>167.5</v>
      </c>
      <c r="T171">
        <v>183</v>
      </c>
      <c r="U171">
        <v>215</v>
      </c>
      <c r="V171">
        <v>51</v>
      </c>
      <c r="W171">
        <v>260</v>
      </c>
      <c r="X171">
        <v>186</v>
      </c>
      <c r="Y171">
        <v>180</v>
      </c>
      <c r="Z171">
        <v>460</v>
      </c>
      <c r="AA171">
        <v>200</v>
      </c>
      <c r="AB171">
        <v>0</v>
      </c>
      <c r="AD171">
        <v>570</v>
      </c>
      <c r="AE171">
        <v>190</v>
      </c>
    </row>
    <row r="172" spans="1:31" x14ac:dyDescent="0.25">
      <c r="A172" t="s">
        <v>719</v>
      </c>
      <c r="B172">
        <v>2011</v>
      </c>
      <c r="C172">
        <v>3</v>
      </c>
      <c r="D172">
        <v>38</v>
      </c>
      <c r="E172">
        <v>185</v>
      </c>
      <c r="F172">
        <v>302</v>
      </c>
      <c r="G172">
        <v>250</v>
      </c>
      <c r="H172">
        <v>99</v>
      </c>
      <c r="I172">
        <v>325</v>
      </c>
      <c r="K172">
        <v>295</v>
      </c>
      <c r="L172">
        <v>215</v>
      </c>
      <c r="M172">
        <v>210</v>
      </c>
      <c r="N172">
        <v>655</v>
      </c>
      <c r="O172">
        <v>250</v>
      </c>
      <c r="Q172">
        <v>150</v>
      </c>
      <c r="R172">
        <v>119</v>
      </c>
      <c r="S172">
        <v>275</v>
      </c>
      <c r="T172">
        <v>1093</v>
      </c>
      <c r="U172">
        <v>295</v>
      </c>
      <c r="V172">
        <v>199</v>
      </c>
      <c r="W172">
        <v>340</v>
      </c>
      <c r="X172">
        <v>851</v>
      </c>
      <c r="Y172">
        <v>260</v>
      </c>
      <c r="Z172">
        <v>2265</v>
      </c>
      <c r="AA172">
        <v>285</v>
      </c>
      <c r="AB172">
        <v>12</v>
      </c>
      <c r="AC172">
        <v>170</v>
      </c>
      <c r="AD172">
        <v>2935</v>
      </c>
      <c r="AE172">
        <v>280</v>
      </c>
    </row>
    <row r="173" spans="1:31" x14ac:dyDescent="0.25">
      <c r="A173" t="s">
        <v>720</v>
      </c>
      <c r="B173">
        <v>2011</v>
      </c>
      <c r="C173">
        <v>3</v>
      </c>
      <c r="D173">
        <v>76</v>
      </c>
      <c r="E173">
        <v>140</v>
      </c>
      <c r="F173">
        <v>272</v>
      </c>
      <c r="G173">
        <v>180</v>
      </c>
      <c r="H173">
        <v>123</v>
      </c>
      <c r="I173">
        <v>275</v>
      </c>
      <c r="J173">
        <v>17</v>
      </c>
      <c r="K173">
        <v>340</v>
      </c>
      <c r="L173">
        <v>280</v>
      </c>
      <c r="M173">
        <v>157.5</v>
      </c>
      <c r="N173">
        <v>768</v>
      </c>
      <c r="O173">
        <v>180</v>
      </c>
      <c r="P173">
        <v>30</v>
      </c>
      <c r="Q173">
        <v>150</v>
      </c>
      <c r="R173">
        <v>181</v>
      </c>
      <c r="S173">
        <v>190</v>
      </c>
      <c r="T173">
        <v>1104</v>
      </c>
      <c r="U173">
        <v>240</v>
      </c>
      <c r="V173">
        <v>364</v>
      </c>
      <c r="W173">
        <v>310</v>
      </c>
      <c r="X173">
        <v>1064</v>
      </c>
      <c r="Y173">
        <v>210</v>
      </c>
      <c r="Z173">
        <v>2743</v>
      </c>
      <c r="AA173">
        <v>230</v>
      </c>
      <c r="AB173">
        <v>4</v>
      </c>
      <c r="AC173">
        <v>280</v>
      </c>
      <c r="AD173">
        <v>3515</v>
      </c>
      <c r="AE173">
        <v>220</v>
      </c>
    </row>
    <row r="174" spans="1:31" x14ac:dyDescent="0.25">
      <c r="A174" t="s">
        <v>724</v>
      </c>
      <c r="B174">
        <v>2011</v>
      </c>
      <c r="C174">
        <v>3</v>
      </c>
      <c r="D174">
        <v>853</v>
      </c>
      <c r="E174">
        <v>240</v>
      </c>
      <c r="F174">
        <v>2390</v>
      </c>
      <c r="G174">
        <v>270</v>
      </c>
      <c r="H174">
        <v>635</v>
      </c>
      <c r="I174">
        <v>340</v>
      </c>
      <c r="J174">
        <v>40</v>
      </c>
      <c r="K174">
        <v>367.5</v>
      </c>
      <c r="L174">
        <v>1616</v>
      </c>
      <c r="M174">
        <v>247</v>
      </c>
      <c r="N174">
        <v>5534</v>
      </c>
      <c r="O174">
        <v>265</v>
      </c>
      <c r="P174">
        <v>110</v>
      </c>
      <c r="Q174">
        <v>180</v>
      </c>
      <c r="R174">
        <v>810</v>
      </c>
      <c r="S174">
        <v>285</v>
      </c>
      <c r="T174">
        <v>4096</v>
      </c>
      <c r="U174">
        <v>300</v>
      </c>
      <c r="V174">
        <v>1044</v>
      </c>
      <c r="W174">
        <v>360</v>
      </c>
      <c r="X174">
        <v>3478</v>
      </c>
      <c r="Y174">
        <v>270</v>
      </c>
      <c r="Z174">
        <v>9538</v>
      </c>
      <c r="AA174">
        <v>295</v>
      </c>
      <c r="AB174">
        <v>150</v>
      </c>
      <c r="AC174">
        <v>185</v>
      </c>
      <c r="AD174">
        <v>15222</v>
      </c>
      <c r="AE174">
        <v>280</v>
      </c>
    </row>
    <row r="175" spans="1:31" x14ac:dyDescent="0.25">
      <c r="A175" t="s">
        <v>721</v>
      </c>
      <c r="B175">
        <v>2011</v>
      </c>
      <c r="C175">
        <v>3</v>
      </c>
      <c r="D175">
        <v>95</v>
      </c>
      <c r="E175">
        <v>210</v>
      </c>
      <c r="F175">
        <v>488</v>
      </c>
      <c r="G175">
        <v>270</v>
      </c>
      <c r="H175">
        <v>108</v>
      </c>
      <c r="I175">
        <v>330</v>
      </c>
      <c r="K175">
        <v>400</v>
      </c>
      <c r="L175">
        <v>282</v>
      </c>
      <c r="M175">
        <v>250</v>
      </c>
      <c r="N175">
        <v>975</v>
      </c>
      <c r="O175">
        <v>265</v>
      </c>
      <c r="P175">
        <v>25</v>
      </c>
      <c r="Q175">
        <v>180</v>
      </c>
      <c r="R175">
        <v>130</v>
      </c>
      <c r="S175">
        <v>287.5</v>
      </c>
      <c r="T175">
        <v>814</v>
      </c>
      <c r="U175">
        <v>330</v>
      </c>
      <c r="V175">
        <v>273</v>
      </c>
      <c r="W175">
        <v>390</v>
      </c>
      <c r="X175">
        <v>694</v>
      </c>
      <c r="Y175">
        <v>290</v>
      </c>
      <c r="Z175">
        <v>1935</v>
      </c>
      <c r="AA175">
        <v>320</v>
      </c>
      <c r="AB175">
        <v>30</v>
      </c>
      <c r="AC175">
        <v>147.5</v>
      </c>
      <c r="AD175">
        <v>2945</v>
      </c>
      <c r="AE175">
        <v>300</v>
      </c>
    </row>
    <row r="176" spans="1:31" x14ac:dyDescent="0.25">
      <c r="A176" t="s">
        <v>722</v>
      </c>
      <c r="B176">
        <v>2011</v>
      </c>
      <c r="C176">
        <v>3</v>
      </c>
      <c r="D176">
        <v>103</v>
      </c>
      <c r="E176">
        <v>210</v>
      </c>
      <c r="F176">
        <v>482</v>
      </c>
      <c r="G176">
        <v>260</v>
      </c>
      <c r="H176">
        <v>113</v>
      </c>
      <c r="I176">
        <v>350</v>
      </c>
      <c r="K176">
        <v>460</v>
      </c>
      <c r="L176">
        <v>259</v>
      </c>
      <c r="M176">
        <v>250</v>
      </c>
      <c r="N176">
        <v>960</v>
      </c>
      <c r="O176">
        <v>260</v>
      </c>
      <c r="P176">
        <v>24</v>
      </c>
      <c r="Q176">
        <v>195</v>
      </c>
      <c r="R176">
        <v>168</v>
      </c>
      <c r="S176">
        <v>290</v>
      </c>
      <c r="T176">
        <v>620</v>
      </c>
      <c r="U176">
        <v>350</v>
      </c>
      <c r="V176">
        <v>89</v>
      </c>
      <c r="W176">
        <v>425</v>
      </c>
      <c r="X176">
        <v>396</v>
      </c>
      <c r="Y176">
        <v>320</v>
      </c>
      <c r="Z176">
        <v>1295</v>
      </c>
      <c r="AA176">
        <v>330</v>
      </c>
      <c r="AB176">
        <v>16</v>
      </c>
      <c r="AC176">
        <v>152.5</v>
      </c>
      <c r="AD176">
        <v>2275</v>
      </c>
      <c r="AE176">
        <v>300</v>
      </c>
    </row>
    <row r="177" spans="1:31" x14ac:dyDescent="0.25">
      <c r="A177" t="s">
        <v>723</v>
      </c>
      <c r="B177">
        <v>2011</v>
      </c>
      <c r="C177">
        <v>3</v>
      </c>
      <c r="E177">
        <v>86.8</v>
      </c>
      <c r="F177">
        <v>15</v>
      </c>
      <c r="G177">
        <v>160</v>
      </c>
      <c r="H177">
        <v>6</v>
      </c>
      <c r="I177">
        <v>240</v>
      </c>
      <c r="K177">
        <v>1350</v>
      </c>
      <c r="L177">
        <v>30</v>
      </c>
      <c r="M177">
        <v>147.5</v>
      </c>
      <c r="N177">
        <v>55</v>
      </c>
      <c r="O177">
        <v>155</v>
      </c>
      <c r="P177">
        <v>6</v>
      </c>
      <c r="Q177">
        <v>130</v>
      </c>
      <c r="R177">
        <v>29</v>
      </c>
      <c r="S177">
        <v>170</v>
      </c>
      <c r="T177">
        <v>144</v>
      </c>
      <c r="U177">
        <v>210</v>
      </c>
      <c r="V177">
        <v>61</v>
      </c>
      <c r="W177">
        <v>250</v>
      </c>
      <c r="X177">
        <v>226</v>
      </c>
      <c r="Y177">
        <v>200</v>
      </c>
      <c r="Z177">
        <v>465</v>
      </c>
      <c r="AA177">
        <v>210</v>
      </c>
      <c r="AB177">
        <v>0</v>
      </c>
      <c r="AD177">
        <v>525</v>
      </c>
      <c r="AE177">
        <v>200</v>
      </c>
    </row>
    <row r="178" spans="1:31" x14ac:dyDescent="0.25">
      <c r="A178" t="s">
        <v>711</v>
      </c>
      <c r="B178">
        <v>2011</v>
      </c>
      <c r="C178">
        <v>6</v>
      </c>
      <c r="E178">
        <v>190</v>
      </c>
      <c r="F178">
        <v>14</v>
      </c>
      <c r="G178">
        <v>250</v>
      </c>
      <c r="H178">
        <v>21</v>
      </c>
      <c r="I178">
        <v>280</v>
      </c>
      <c r="K178">
        <v>375</v>
      </c>
      <c r="L178">
        <v>27</v>
      </c>
      <c r="M178">
        <v>275</v>
      </c>
      <c r="N178">
        <v>65</v>
      </c>
      <c r="O178">
        <v>275</v>
      </c>
      <c r="Q178">
        <v>220</v>
      </c>
      <c r="R178">
        <v>23</v>
      </c>
      <c r="S178">
        <v>310</v>
      </c>
      <c r="T178">
        <v>117</v>
      </c>
      <c r="U178">
        <v>330</v>
      </c>
      <c r="V178">
        <v>58</v>
      </c>
      <c r="W178">
        <v>420</v>
      </c>
      <c r="X178">
        <v>86</v>
      </c>
      <c r="Y178">
        <v>310</v>
      </c>
      <c r="Z178">
        <v>285</v>
      </c>
      <c r="AA178">
        <v>330</v>
      </c>
      <c r="AB178">
        <v>0</v>
      </c>
      <c r="AD178">
        <v>350</v>
      </c>
      <c r="AE178">
        <v>317.5</v>
      </c>
    </row>
    <row r="179" spans="1:31" x14ac:dyDescent="0.25">
      <c r="A179" t="s">
        <v>712</v>
      </c>
      <c r="B179">
        <v>2011</v>
      </c>
      <c r="C179">
        <v>6</v>
      </c>
      <c r="E179">
        <v>200</v>
      </c>
      <c r="F179">
        <v>22</v>
      </c>
      <c r="G179">
        <v>217.5</v>
      </c>
      <c r="H179">
        <v>7</v>
      </c>
      <c r="I179">
        <v>280</v>
      </c>
      <c r="J179">
        <v>0</v>
      </c>
      <c r="L179">
        <v>50</v>
      </c>
      <c r="M179">
        <v>192.5</v>
      </c>
      <c r="N179">
        <v>80</v>
      </c>
      <c r="O179">
        <v>200</v>
      </c>
      <c r="Q179">
        <v>150</v>
      </c>
      <c r="R179">
        <v>22</v>
      </c>
      <c r="S179">
        <v>194.4</v>
      </c>
      <c r="T179">
        <v>105</v>
      </c>
      <c r="U179">
        <v>280</v>
      </c>
      <c r="V179">
        <v>41</v>
      </c>
      <c r="W179">
        <v>330</v>
      </c>
      <c r="X179">
        <v>135</v>
      </c>
      <c r="Y179">
        <v>270</v>
      </c>
      <c r="Z179">
        <v>310</v>
      </c>
      <c r="AA179">
        <v>277.5</v>
      </c>
      <c r="AC179">
        <v>330</v>
      </c>
      <c r="AD179">
        <v>390</v>
      </c>
      <c r="AE179">
        <v>265</v>
      </c>
    </row>
    <row r="180" spans="1:31" x14ac:dyDescent="0.25">
      <c r="A180" t="s">
        <v>713</v>
      </c>
      <c r="B180">
        <v>2011</v>
      </c>
      <c r="C180">
        <v>6</v>
      </c>
      <c r="D180">
        <v>282</v>
      </c>
      <c r="E180">
        <v>250</v>
      </c>
      <c r="F180">
        <v>567</v>
      </c>
      <c r="G180">
        <v>295</v>
      </c>
      <c r="H180">
        <v>115</v>
      </c>
      <c r="I180">
        <v>420</v>
      </c>
      <c r="K180">
        <v>430</v>
      </c>
      <c r="L180">
        <v>442</v>
      </c>
      <c r="M180">
        <v>270</v>
      </c>
      <c r="N180">
        <v>1410</v>
      </c>
      <c r="O180">
        <v>285</v>
      </c>
      <c r="P180">
        <v>54</v>
      </c>
      <c r="Q180">
        <v>259.5</v>
      </c>
      <c r="R180">
        <v>202</v>
      </c>
      <c r="S180">
        <v>350</v>
      </c>
      <c r="T180">
        <v>351</v>
      </c>
      <c r="U180">
        <v>390</v>
      </c>
      <c r="V180">
        <v>100</v>
      </c>
      <c r="W180">
        <v>492.5</v>
      </c>
      <c r="X180">
        <v>415</v>
      </c>
      <c r="Y180">
        <v>375</v>
      </c>
      <c r="Z180">
        <v>1120</v>
      </c>
      <c r="AA180">
        <v>380</v>
      </c>
      <c r="AB180">
        <v>37</v>
      </c>
      <c r="AC180">
        <v>170</v>
      </c>
      <c r="AD180">
        <v>2570</v>
      </c>
      <c r="AE180">
        <v>320</v>
      </c>
    </row>
    <row r="181" spans="1:31" x14ac:dyDescent="0.25">
      <c r="A181" t="s">
        <v>714</v>
      </c>
      <c r="B181">
        <v>2011</v>
      </c>
      <c r="C181">
        <v>6</v>
      </c>
      <c r="D181">
        <v>23</v>
      </c>
      <c r="E181">
        <v>130</v>
      </c>
      <c r="F181">
        <v>61</v>
      </c>
      <c r="G181">
        <v>175</v>
      </c>
      <c r="H181">
        <v>20</v>
      </c>
      <c r="I181">
        <v>287.5</v>
      </c>
      <c r="K181">
        <v>410</v>
      </c>
      <c r="L181">
        <v>34</v>
      </c>
      <c r="M181">
        <v>155</v>
      </c>
      <c r="N181">
        <v>140</v>
      </c>
      <c r="O181">
        <v>170</v>
      </c>
      <c r="Q181">
        <v>125</v>
      </c>
      <c r="R181">
        <v>36</v>
      </c>
      <c r="S181">
        <v>210</v>
      </c>
      <c r="T181">
        <v>161</v>
      </c>
      <c r="U181">
        <v>250</v>
      </c>
      <c r="V181">
        <v>38</v>
      </c>
      <c r="W181">
        <v>325</v>
      </c>
      <c r="X181">
        <v>99</v>
      </c>
      <c r="Y181">
        <v>200</v>
      </c>
      <c r="Z181">
        <v>340</v>
      </c>
      <c r="AA181">
        <v>240</v>
      </c>
      <c r="AB181">
        <v>0</v>
      </c>
      <c r="AD181">
        <v>480</v>
      </c>
      <c r="AE181">
        <v>210</v>
      </c>
    </row>
    <row r="182" spans="1:31" x14ac:dyDescent="0.25">
      <c r="A182" t="s">
        <v>715</v>
      </c>
      <c r="B182">
        <v>2011</v>
      </c>
      <c r="C182">
        <v>6</v>
      </c>
      <c r="D182">
        <v>6</v>
      </c>
      <c r="E182">
        <v>195</v>
      </c>
      <c r="F182">
        <v>27</v>
      </c>
      <c r="G182">
        <v>160</v>
      </c>
      <c r="H182">
        <v>10</v>
      </c>
      <c r="I182">
        <v>365</v>
      </c>
      <c r="K182">
        <v>250</v>
      </c>
      <c r="L182">
        <v>12</v>
      </c>
      <c r="M182">
        <v>137.5</v>
      </c>
      <c r="N182">
        <v>60</v>
      </c>
      <c r="O182">
        <v>170</v>
      </c>
      <c r="Q182">
        <v>120</v>
      </c>
      <c r="R182">
        <v>11</v>
      </c>
      <c r="S182">
        <v>170</v>
      </c>
      <c r="T182">
        <v>75</v>
      </c>
      <c r="U182">
        <v>250</v>
      </c>
      <c r="V182">
        <v>33</v>
      </c>
      <c r="W182">
        <v>480</v>
      </c>
      <c r="X182">
        <v>72</v>
      </c>
      <c r="Y182">
        <v>170</v>
      </c>
      <c r="Z182">
        <v>190</v>
      </c>
      <c r="AA182">
        <v>230</v>
      </c>
      <c r="AC182">
        <v>310</v>
      </c>
      <c r="AD182">
        <v>250</v>
      </c>
      <c r="AE182">
        <v>220</v>
      </c>
    </row>
    <row r="183" spans="1:31" x14ac:dyDescent="0.25">
      <c r="A183" t="s">
        <v>716</v>
      </c>
      <c r="B183">
        <v>2011</v>
      </c>
      <c r="C183">
        <v>6</v>
      </c>
      <c r="D183">
        <v>12</v>
      </c>
      <c r="E183">
        <v>170</v>
      </c>
      <c r="F183">
        <v>26</v>
      </c>
      <c r="G183">
        <v>190</v>
      </c>
      <c r="H183">
        <v>13</v>
      </c>
      <c r="I183">
        <v>265</v>
      </c>
      <c r="J183">
        <v>0</v>
      </c>
      <c r="L183">
        <v>18</v>
      </c>
      <c r="M183">
        <v>195</v>
      </c>
      <c r="N183">
        <v>70</v>
      </c>
      <c r="O183">
        <v>200</v>
      </c>
      <c r="Q183">
        <v>160</v>
      </c>
      <c r="R183">
        <v>33</v>
      </c>
      <c r="S183">
        <v>210</v>
      </c>
      <c r="T183">
        <v>119</v>
      </c>
      <c r="U183">
        <v>250</v>
      </c>
      <c r="V183">
        <v>49</v>
      </c>
      <c r="W183">
        <v>310</v>
      </c>
      <c r="X183">
        <v>88</v>
      </c>
      <c r="Y183">
        <v>245</v>
      </c>
      <c r="Z183">
        <v>290</v>
      </c>
      <c r="AA183">
        <v>250</v>
      </c>
      <c r="AC183">
        <v>140</v>
      </c>
      <c r="AD183">
        <v>365</v>
      </c>
      <c r="AE183">
        <v>240</v>
      </c>
    </row>
    <row r="184" spans="1:31" x14ac:dyDescent="0.25">
      <c r="A184" t="s">
        <v>717</v>
      </c>
      <c r="B184">
        <v>2011</v>
      </c>
      <c r="C184">
        <v>6</v>
      </c>
      <c r="D184">
        <v>11</v>
      </c>
      <c r="E184">
        <v>100</v>
      </c>
      <c r="F184">
        <v>59</v>
      </c>
      <c r="G184">
        <v>135</v>
      </c>
      <c r="H184">
        <v>9</v>
      </c>
      <c r="I184">
        <v>260</v>
      </c>
      <c r="J184">
        <v>0</v>
      </c>
      <c r="L184">
        <v>61</v>
      </c>
      <c r="M184">
        <v>130</v>
      </c>
      <c r="N184">
        <v>140</v>
      </c>
      <c r="O184">
        <v>132.5</v>
      </c>
      <c r="Q184">
        <v>85</v>
      </c>
      <c r="R184">
        <v>29</v>
      </c>
      <c r="S184">
        <v>190</v>
      </c>
      <c r="T184">
        <v>141</v>
      </c>
      <c r="U184">
        <v>210</v>
      </c>
      <c r="V184">
        <v>26</v>
      </c>
      <c r="W184">
        <v>235</v>
      </c>
      <c r="X184">
        <v>138</v>
      </c>
      <c r="Y184">
        <v>192.5</v>
      </c>
      <c r="Z184">
        <v>335</v>
      </c>
      <c r="AA184">
        <v>200</v>
      </c>
      <c r="AB184">
        <v>0</v>
      </c>
      <c r="AD184">
        <v>475</v>
      </c>
      <c r="AE184">
        <v>190</v>
      </c>
    </row>
    <row r="185" spans="1:31" x14ac:dyDescent="0.25">
      <c r="A185" t="s">
        <v>628</v>
      </c>
      <c r="B185">
        <v>2011</v>
      </c>
      <c r="C185">
        <v>6</v>
      </c>
      <c r="D185">
        <v>473</v>
      </c>
      <c r="E185">
        <v>230</v>
      </c>
      <c r="F185">
        <v>1675</v>
      </c>
      <c r="G185">
        <v>270</v>
      </c>
      <c r="H185">
        <v>371</v>
      </c>
      <c r="I185">
        <v>350</v>
      </c>
      <c r="J185">
        <v>11</v>
      </c>
      <c r="K185">
        <v>410</v>
      </c>
      <c r="L185">
        <v>1238</v>
      </c>
      <c r="M185">
        <v>250</v>
      </c>
      <c r="N185">
        <v>3768</v>
      </c>
      <c r="O185">
        <v>265</v>
      </c>
      <c r="P185">
        <v>95</v>
      </c>
      <c r="Q185">
        <v>250</v>
      </c>
      <c r="R185">
        <v>573</v>
      </c>
      <c r="S185">
        <v>310</v>
      </c>
      <c r="T185">
        <v>2815</v>
      </c>
      <c r="U185">
        <v>320</v>
      </c>
      <c r="V185">
        <v>625</v>
      </c>
      <c r="W185">
        <v>385</v>
      </c>
      <c r="X185">
        <v>2416</v>
      </c>
      <c r="Y185">
        <v>300</v>
      </c>
      <c r="Z185">
        <v>6524</v>
      </c>
      <c r="AA185">
        <v>320</v>
      </c>
      <c r="AB185">
        <v>81</v>
      </c>
      <c r="AC185">
        <v>165</v>
      </c>
      <c r="AD185">
        <v>10373</v>
      </c>
      <c r="AE185">
        <v>300</v>
      </c>
    </row>
    <row r="186" spans="1:31" x14ac:dyDescent="0.25">
      <c r="A186" t="s">
        <v>718</v>
      </c>
      <c r="B186">
        <v>2011</v>
      </c>
      <c r="C186">
        <v>6</v>
      </c>
      <c r="D186">
        <v>19</v>
      </c>
      <c r="E186">
        <v>135</v>
      </c>
      <c r="F186">
        <v>45</v>
      </c>
      <c r="G186">
        <v>145</v>
      </c>
      <c r="H186">
        <v>12</v>
      </c>
      <c r="I186">
        <v>187.5</v>
      </c>
      <c r="K186">
        <v>255</v>
      </c>
      <c r="L186">
        <v>50</v>
      </c>
      <c r="M186">
        <v>140</v>
      </c>
      <c r="N186">
        <v>130</v>
      </c>
      <c r="O186">
        <v>145</v>
      </c>
      <c r="Q186">
        <v>127.5</v>
      </c>
      <c r="R186">
        <v>26</v>
      </c>
      <c r="S186">
        <v>170</v>
      </c>
      <c r="T186">
        <v>152</v>
      </c>
      <c r="U186">
        <v>197.5</v>
      </c>
      <c r="V186">
        <v>53</v>
      </c>
      <c r="W186">
        <v>251</v>
      </c>
      <c r="X186">
        <v>169</v>
      </c>
      <c r="Y186">
        <v>200</v>
      </c>
      <c r="Z186">
        <v>405</v>
      </c>
      <c r="AA186">
        <v>200</v>
      </c>
      <c r="AB186">
        <v>0</v>
      </c>
      <c r="AD186">
        <v>535</v>
      </c>
      <c r="AE186">
        <v>185</v>
      </c>
    </row>
    <row r="187" spans="1:31" x14ac:dyDescent="0.25">
      <c r="A187" t="s">
        <v>719</v>
      </c>
      <c r="B187">
        <v>2011</v>
      </c>
      <c r="C187">
        <v>6</v>
      </c>
      <c r="D187">
        <v>36</v>
      </c>
      <c r="E187">
        <v>160</v>
      </c>
      <c r="F187">
        <v>283</v>
      </c>
      <c r="G187">
        <v>250</v>
      </c>
      <c r="H187">
        <v>76</v>
      </c>
      <c r="I187">
        <v>300</v>
      </c>
      <c r="K187">
        <v>262.5</v>
      </c>
      <c r="L187">
        <v>210</v>
      </c>
      <c r="M187">
        <v>220</v>
      </c>
      <c r="N187">
        <v>605</v>
      </c>
      <c r="O187">
        <v>250</v>
      </c>
      <c r="P187">
        <v>17</v>
      </c>
      <c r="Q187">
        <v>175</v>
      </c>
      <c r="R187">
        <v>101</v>
      </c>
      <c r="S187">
        <v>260</v>
      </c>
      <c r="T187">
        <v>1126</v>
      </c>
      <c r="U187">
        <v>290</v>
      </c>
      <c r="V187">
        <v>224</v>
      </c>
      <c r="W187">
        <v>340</v>
      </c>
      <c r="X187">
        <v>910</v>
      </c>
      <c r="Y187">
        <v>280</v>
      </c>
      <c r="Z187">
        <v>2380</v>
      </c>
      <c r="AA187">
        <v>290</v>
      </c>
      <c r="AB187">
        <v>8</v>
      </c>
      <c r="AC187">
        <v>170</v>
      </c>
      <c r="AD187">
        <v>2995</v>
      </c>
      <c r="AE187">
        <v>280</v>
      </c>
    </row>
    <row r="188" spans="1:31" x14ac:dyDescent="0.25">
      <c r="A188" t="s">
        <v>720</v>
      </c>
      <c r="B188">
        <v>2011</v>
      </c>
      <c r="C188">
        <v>6</v>
      </c>
      <c r="D188">
        <v>78</v>
      </c>
      <c r="E188">
        <v>135</v>
      </c>
      <c r="F188">
        <v>265</v>
      </c>
      <c r="G188">
        <v>170</v>
      </c>
      <c r="H188">
        <v>93</v>
      </c>
      <c r="I188">
        <v>275</v>
      </c>
      <c r="J188">
        <v>10</v>
      </c>
      <c r="K188">
        <v>285</v>
      </c>
      <c r="L188">
        <v>278</v>
      </c>
      <c r="M188">
        <v>165</v>
      </c>
      <c r="N188">
        <v>724</v>
      </c>
      <c r="O188">
        <v>170</v>
      </c>
      <c r="P188">
        <v>23</v>
      </c>
      <c r="Q188">
        <v>150</v>
      </c>
      <c r="R188">
        <v>209</v>
      </c>
      <c r="S188">
        <v>195</v>
      </c>
      <c r="T188">
        <v>1000</v>
      </c>
      <c r="U188">
        <v>240</v>
      </c>
      <c r="V188">
        <v>359</v>
      </c>
      <c r="W188">
        <v>310</v>
      </c>
      <c r="X188">
        <v>1044</v>
      </c>
      <c r="Y188">
        <v>220</v>
      </c>
      <c r="Z188">
        <v>2635</v>
      </c>
      <c r="AA188">
        <v>235</v>
      </c>
      <c r="AB188">
        <v>5</v>
      </c>
      <c r="AC188">
        <v>300</v>
      </c>
      <c r="AD188">
        <v>3364</v>
      </c>
      <c r="AE188">
        <v>220</v>
      </c>
    </row>
    <row r="189" spans="1:31" x14ac:dyDescent="0.25">
      <c r="A189" t="s">
        <v>724</v>
      </c>
      <c r="B189">
        <v>2011</v>
      </c>
      <c r="C189">
        <v>6</v>
      </c>
      <c r="D189">
        <v>551</v>
      </c>
      <c r="E189">
        <v>220</v>
      </c>
      <c r="F189">
        <v>1940</v>
      </c>
      <c r="G189">
        <v>260</v>
      </c>
      <c r="H189">
        <v>464</v>
      </c>
      <c r="I189">
        <v>330</v>
      </c>
      <c r="J189">
        <v>21</v>
      </c>
      <c r="K189">
        <v>400</v>
      </c>
      <c r="L189">
        <v>1516</v>
      </c>
      <c r="M189">
        <v>240</v>
      </c>
      <c r="N189">
        <v>4492</v>
      </c>
      <c r="O189">
        <v>260</v>
      </c>
      <c r="P189">
        <v>118</v>
      </c>
      <c r="Q189">
        <v>217.5</v>
      </c>
      <c r="R189">
        <v>782</v>
      </c>
      <c r="S189">
        <v>290</v>
      </c>
      <c r="T189">
        <v>3815</v>
      </c>
      <c r="U189">
        <v>300</v>
      </c>
      <c r="V189">
        <v>984</v>
      </c>
      <c r="W189">
        <v>350</v>
      </c>
      <c r="X189">
        <v>3460</v>
      </c>
      <c r="Y189">
        <v>280</v>
      </c>
      <c r="Z189">
        <v>9159</v>
      </c>
      <c r="AA189">
        <v>300</v>
      </c>
      <c r="AB189">
        <v>86</v>
      </c>
      <c r="AC189">
        <v>165</v>
      </c>
      <c r="AD189">
        <v>13737</v>
      </c>
      <c r="AE189">
        <v>280</v>
      </c>
    </row>
    <row r="190" spans="1:31" x14ac:dyDescent="0.25">
      <c r="A190" t="s">
        <v>721</v>
      </c>
      <c r="B190">
        <v>2011</v>
      </c>
      <c r="C190">
        <v>6</v>
      </c>
      <c r="D190">
        <v>83</v>
      </c>
      <c r="E190">
        <v>225</v>
      </c>
      <c r="F190">
        <v>395</v>
      </c>
      <c r="G190">
        <v>270</v>
      </c>
      <c r="H190">
        <v>112</v>
      </c>
      <c r="I190">
        <v>320</v>
      </c>
      <c r="K190">
        <v>410</v>
      </c>
      <c r="L190">
        <v>279</v>
      </c>
      <c r="M190">
        <v>250</v>
      </c>
      <c r="N190">
        <v>870</v>
      </c>
      <c r="O190">
        <v>265</v>
      </c>
      <c r="P190">
        <v>17</v>
      </c>
      <c r="Q190">
        <v>250</v>
      </c>
      <c r="R190">
        <v>121</v>
      </c>
      <c r="S190">
        <v>290</v>
      </c>
      <c r="T190">
        <v>808</v>
      </c>
      <c r="U190">
        <v>325</v>
      </c>
      <c r="V190">
        <v>207</v>
      </c>
      <c r="W190">
        <v>385</v>
      </c>
      <c r="X190">
        <v>691</v>
      </c>
      <c r="Y190">
        <v>300</v>
      </c>
      <c r="Z190">
        <v>1845</v>
      </c>
      <c r="AA190">
        <v>320</v>
      </c>
      <c r="AB190">
        <v>22</v>
      </c>
      <c r="AC190">
        <v>148.5</v>
      </c>
      <c r="AD190">
        <v>2740</v>
      </c>
      <c r="AE190">
        <v>300</v>
      </c>
    </row>
    <row r="191" spans="1:31" x14ac:dyDescent="0.25">
      <c r="A191" t="s">
        <v>722</v>
      </c>
      <c r="B191">
        <v>2011</v>
      </c>
      <c r="C191">
        <v>6</v>
      </c>
      <c r="D191">
        <v>72</v>
      </c>
      <c r="E191">
        <v>220</v>
      </c>
      <c r="F191">
        <v>430</v>
      </c>
      <c r="G191">
        <v>260</v>
      </c>
      <c r="H191">
        <v>68</v>
      </c>
      <c r="I191">
        <v>355</v>
      </c>
      <c r="K191">
        <v>160</v>
      </c>
      <c r="L191">
        <v>307</v>
      </c>
      <c r="M191">
        <v>250</v>
      </c>
      <c r="N191">
        <v>880</v>
      </c>
      <c r="O191">
        <v>255</v>
      </c>
      <c r="P191">
        <v>7</v>
      </c>
      <c r="Q191">
        <v>180</v>
      </c>
      <c r="R191">
        <v>149</v>
      </c>
      <c r="S191">
        <v>300</v>
      </c>
      <c r="T191">
        <v>530</v>
      </c>
      <c r="U191">
        <v>350</v>
      </c>
      <c r="V191">
        <v>94</v>
      </c>
      <c r="W191">
        <v>420</v>
      </c>
      <c r="X191">
        <v>400</v>
      </c>
      <c r="Y191">
        <v>320</v>
      </c>
      <c r="Z191">
        <v>1180</v>
      </c>
      <c r="AA191">
        <v>330</v>
      </c>
      <c r="AB191">
        <v>14</v>
      </c>
      <c r="AC191">
        <v>175</v>
      </c>
      <c r="AD191">
        <v>2070</v>
      </c>
      <c r="AE191">
        <v>300</v>
      </c>
    </row>
    <row r="192" spans="1:31" x14ac:dyDescent="0.25">
      <c r="A192" t="s">
        <v>723</v>
      </c>
      <c r="B192">
        <v>2011</v>
      </c>
      <c r="C192">
        <v>6</v>
      </c>
      <c r="E192">
        <v>100</v>
      </c>
      <c r="F192">
        <v>11</v>
      </c>
      <c r="G192">
        <v>155</v>
      </c>
      <c r="I192">
        <v>270</v>
      </c>
      <c r="J192">
        <v>0</v>
      </c>
      <c r="L192">
        <v>26</v>
      </c>
      <c r="M192">
        <v>160</v>
      </c>
      <c r="N192">
        <v>40</v>
      </c>
      <c r="O192">
        <v>157.5</v>
      </c>
      <c r="Q192">
        <v>192.5</v>
      </c>
      <c r="R192">
        <v>29</v>
      </c>
      <c r="S192">
        <v>170</v>
      </c>
      <c r="T192">
        <v>130</v>
      </c>
      <c r="U192">
        <v>220</v>
      </c>
      <c r="V192">
        <v>61</v>
      </c>
      <c r="W192">
        <v>250</v>
      </c>
      <c r="X192">
        <v>257</v>
      </c>
      <c r="Y192">
        <v>200</v>
      </c>
      <c r="Z192">
        <v>480</v>
      </c>
      <c r="AA192">
        <v>201.5</v>
      </c>
      <c r="AB192">
        <v>0</v>
      </c>
      <c r="AD192">
        <v>520</v>
      </c>
      <c r="AE192">
        <v>200</v>
      </c>
    </row>
    <row r="193" spans="1:31" x14ac:dyDescent="0.25">
      <c r="A193" t="s">
        <v>711</v>
      </c>
      <c r="B193">
        <v>2011</v>
      </c>
      <c r="C193">
        <v>9</v>
      </c>
      <c r="E193">
        <v>220</v>
      </c>
      <c r="F193">
        <v>18</v>
      </c>
      <c r="G193">
        <v>250</v>
      </c>
      <c r="H193">
        <v>20</v>
      </c>
      <c r="I193">
        <v>320</v>
      </c>
      <c r="J193">
        <v>0</v>
      </c>
      <c r="L193">
        <v>37</v>
      </c>
      <c r="M193">
        <v>265</v>
      </c>
      <c r="N193">
        <v>80</v>
      </c>
      <c r="O193">
        <v>265</v>
      </c>
      <c r="Q193">
        <v>180</v>
      </c>
      <c r="R193">
        <v>28</v>
      </c>
      <c r="S193">
        <v>300</v>
      </c>
      <c r="T193">
        <v>125</v>
      </c>
      <c r="U193">
        <v>315</v>
      </c>
      <c r="V193">
        <v>56</v>
      </c>
      <c r="W193">
        <v>392.5</v>
      </c>
      <c r="X193">
        <v>101</v>
      </c>
      <c r="Y193">
        <v>310</v>
      </c>
      <c r="Z193">
        <v>315</v>
      </c>
      <c r="AA193">
        <v>330</v>
      </c>
      <c r="AB193">
        <v>0</v>
      </c>
      <c r="AD193">
        <v>395</v>
      </c>
      <c r="AE193">
        <v>315</v>
      </c>
    </row>
    <row r="194" spans="1:31" x14ac:dyDescent="0.25">
      <c r="A194" t="s">
        <v>712</v>
      </c>
      <c r="B194">
        <v>2011</v>
      </c>
      <c r="C194">
        <v>9</v>
      </c>
      <c r="E194">
        <v>149</v>
      </c>
      <c r="F194">
        <v>34</v>
      </c>
      <c r="G194">
        <v>210</v>
      </c>
      <c r="H194">
        <v>24</v>
      </c>
      <c r="I194">
        <v>257.5</v>
      </c>
      <c r="K194">
        <v>315</v>
      </c>
      <c r="L194">
        <v>28</v>
      </c>
      <c r="M194">
        <v>210</v>
      </c>
      <c r="N194">
        <v>90</v>
      </c>
      <c r="O194">
        <v>227.5</v>
      </c>
      <c r="Q194">
        <v>110</v>
      </c>
      <c r="R194">
        <v>23</v>
      </c>
      <c r="S194">
        <v>235</v>
      </c>
      <c r="T194">
        <v>160</v>
      </c>
      <c r="U194">
        <v>280</v>
      </c>
      <c r="V194">
        <v>54</v>
      </c>
      <c r="W194">
        <v>340</v>
      </c>
      <c r="X194">
        <v>129</v>
      </c>
      <c r="Y194">
        <v>260</v>
      </c>
      <c r="Z194">
        <v>370</v>
      </c>
      <c r="AA194">
        <v>280</v>
      </c>
      <c r="AC194">
        <v>450</v>
      </c>
      <c r="AD194">
        <v>460</v>
      </c>
      <c r="AE194">
        <v>265</v>
      </c>
    </row>
    <row r="195" spans="1:31" x14ac:dyDescent="0.25">
      <c r="A195" t="s">
        <v>713</v>
      </c>
      <c r="B195">
        <v>2011</v>
      </c>
      <c r="C195">
        <v>9</v>
      </c>
      <c r="D195">
        <v>406</v>
      </c>
      <c r="E195">
        <v>250</v>
      </c>
      <c r="F195">
        <v>666</v>
      </c>
      <c r="G195">
        <v>300</v>
      </c>
      <c r="H195">
        <v>121</v>
      </c>
      <c r="I195">
        <v>400</v>
      </c>
      <c r="J195">
        <v>8</v>
      </c>
      <c r="K195">
        <v>497.5</v>
      </c>
      <c r="L195">
        <v>496</v>
      </c>
      <c r="M195">
        <v>270</v>
      </c>
      <c r="N195">
        <v>1695</v>
      </c>
      <c r="O195">
        <v>280</v>
      </c>
      <c r="P195">
        <v>31</v>
      </c>
      <c r="Q195">
        <v>250</v>
      </c>
      <c r="R195">
        <v>224</v>
      </c>
      <c r="S195">
        <v>342.5</v>
      </c>
      <c r="T195">
        <v>449</v>
      </c>
      <c r="U195">
        <v>380</v>
      </c>
      <c r="V195">
        <v>121</v>
      </c>
      <c r="W195">
        <v>495</v>
      </c>
      <c r="X195">
        <v>353</v>
      </c>
      <c r="Y195">
        <v>380</v>
      </c>
      <c r="Z195">
        <v>1180</v>
      </c>
      <c r="AA195">
        <v>375</v>
      </c>
      <c r="AB195">
        <v>58</v>
      </c>
      <c r="AC195">
        <v>185</v>
      </c>
      <c r="AD195">
        <v>2935</v>
      </c>
      <c r="AE195">
        <v>320</v>
      </c>
    </row>
    <row r="196" spans="1:31" x14ac:dyDescent="0.25">
      <c r="A196" t="s">
        <v>714</v>
      </c>
      <c r="B196">
        <v>2011</v>
      </c>
      <c r="C196">
        <v>9</v>
      </c>
      <c r="D196">
        <v>25</v>
      </c>
      <c r="E196">
        <v>160</v>
      </c>
      <c r="F196">
        <v>54</v>
      </c>
      <c r="G196">
        <v>190</v>
      </c>
      <c r="H196">
        <v>14</v>
      </c>
      <c r="I196">
        <v>277.5</v>
      </c>
      <c r="K196">
        <v>400</v>
      </c>
      <c r="L196">
        <v>33</v>
      </c>
      <c r="M196">
        <v>160</v>
      </c>
      <c r="N196">
        <v>125</v>
      </c>
      <c r="O196">
        <v>190</v>
      </c>
      <c r="P196">
        <v>6</v>
      </c>
      <c r="Q196">
        <v>125</v>
      </c>
      <c r="R196">
        <v>37</v>
      </c>
      <c r="S196">
        <v>210</v>
      </c>
      <c r="T196">
        <v>187</v>
      </c>
      <c r="U196">
        <v>250</v>
      </c>
      <c r="V196">
        <v>54</v>
      </c>
      <c r="W196">
        <v>325</v>
      </c>
      <c r="X196">
        <v>92</v>
      </c>
      <c r="Y196">
        <v>192.5</v>
      </c>
      <c r="Z196">
        <v>375</v>
      </c>
      <c r="AA196">
        <v>250</v>
      </c>
      <c r="AB196">
        <v>0</v>
      </c>
      <c r="AD196">
        <v>505</v>
      </c>
      <c r="AE196">
        <v>230</v>
      </c>
    </row>
    <row r="197" spans="1:31" x14ac:dyDescent="0.25">
      <c r="A197" t="s">
        <v>715</v>
      </c>
      <c r="B197">
        <v>2011</v>
      </c>
      <c r="C197">
        <v>9</v>
      </c>
      <c r="D197">
        <v>6</v>
      </c>
      <c r="E197">
        <v>170</v>
      </c>
      <c r="F197">
        <v>33</v>
      </c>
      <c r="G197">
        <v>230</v>
      </c>
      <c r="H197">
        <v>9</v>
      </c>
      <c r="I197">
        <v>400</v>
      </c>
      <c r="K197">
        <v>460</v>
      </c>
      <c r="L197">
        <v>17</v>
      </c>
      <c r="M197">
        <v>145</v>
      </c>
      <c r="N197">
        <v>70</v>
      </c>
      <c r="O197">
        <v>180</v>
      </c>
      <c r="P197">
        <v>6</v>
      </c>
      <c r="Q197">
        <v>150</v>
      </c>
      <c r="R197">
        <v>25</v>
      </c>
      <c r="S197">
        <v>230</v>
      </c>
      <c r="T197">
        <v>110</v>
      </c>
      <c r="U197">
        <v>280</v>
      </c>
      <c r="V197">
        <v>40</v>
      </c>
      <c r="W197">
        <v>470</v>
      </c>
      <c r="X197">
        <v>75</v>
      </c>
      <c r="Y197">
        <v>172.5</v>
      </c>
      <c r="Z197">
        <v>255</v>
      </c>
      <c r="AA197">
        <v>250</v>
      </c>
      <c r="AC197">
        <v>300</v>
      </c>
      <c r="AD197">
        <v>325</v>
      </c>
      <c r="AE197">
        <v>240</v>
      </c>
    </row>
    <row r="198" spans="1:31" x14ac:dyDescent="0.25">
      <c r="A198" t="s">
        <v>716</v>
      </c>
      <c r="B198">
        <v>2011</v>
      </c>
      <c r="C198">
        <v>9</v>
      </c>
      <c r="D198">
        <v>8</v>
      </c>
      <c r="E198">
        <v>157.5</v>
      </c>
      <c r="F198">
        <v>40</v>
      </c>
      <c r="G198">
        <v>200</v>
      </c>
      <c r="H198">
        <v>15</v>
      </c>
      <c r="I198">
        <v>265</v>
      </c>
      <c r="K198">
        <v>250</v>
      </c>
      <c r="L198">
        <v>30</v>
      </c>
      <c r="M198">
        <v>165</v>
      </c>
      <c r="N198">
        <v>95</v>
      </c>
      <c r="O198">
        <v>197.5</v>
      </c>
      <c r="P198">
        <v>6</v>
      </c>
      <c r="Q198">
        <v>192.5</v>
      </c>
      <c r="R198">
        <v>35</v>
      </c>
      <c r="S198">
        <v>230</v>
      </c>
      <c r="T198">
        <v>160</v>
      </c>
      <c r="U198">
        <v>260</v>
      </c>
      <c r="V198">
        <v>69</v>
      </c>
      <c r="W198">
        <v>300</v>
      </c>
      <c r="X198">
        <v>86</v>
      </c>
      <c r="Y198">
        <v>222.5</v>
      </c>
      <c r="Z198">
        <v>355</v>
      </c>
      <c r="AA198">
        <v>260</v>
      </c>
      <c r="AB198">
        <v>0</v>
      </c>
      <c r="AD198">
        <v>450</v>
      </c>
      <c r="AE198">
        <v>250</v>
      </c>
    </row>
    <row r="199" spans="1:31" x14ac:dyDescent="0.25">
      <c r="A199" t="s">
        <v>717</v>
      </c>
      <c r="B199">
        <v>2011</v>
      </c>
      <c r="C199">
        <v>9</v>
      </c>
      <c r="D199">
        <v>16</v>
      </c>
      <c r="E199">
        <v>95</v>
      </c>
      <c r="F199">
        <v>83</v>
      </c>
      <c r="G199">
        <v>145</v>
      </c>
      <c r="H199">
        <v>18</v>
      </c>
      <c r="I199">
        <v>210</v>
      </c>
      <c r="J199">
        <v>0</v>
      </c>
      <c r="L199">
        <v>63</v>
      </c>
      <c r="M199">
        <v>130</v>
      </c>
      <c r="N199">
        <v>180</v>
      </c>
      <c r="O199">
        <v>135</v>
      </c>
      <c r="P199">
        <v>6</v>
      </c>
      <c r="Q199">
        <v>130</v>
      </c>
      <c r="R199">
        <v>31</v>
      </c>
      <c r="S199">
        <v>180</v>
      </c>
      <c r="T199">
        <v>235</v>
      </c>
      <c r="U199">
        <v>200</v>
      </c>
      <c r="V199">
        <v>54</v>
      </c>
      <c r="W199">
        <v>250</v>
      </c>
      <c r="X199">
        <v>140</v>
      </c>
      <c r="Y199">
        <v>195</v>
      </c>
      <c r="Z199">
        <v>465</v>
      </c>
      <c r="AA199">
        <v>200</v>
      </c>
      <c r="AC199">
        <v>190</v>
      </c>
      <c r="AD199">
        <v>645</v>
      </c>
      <c r="AE199">
        <v>190</v>
      </c>
    </row>
    <row r="200" spans="1:31" x14ac:dyDescent="0.25">
      <c r="A200" t="s">
        <v>628</v>
      </c>
      <c r="B200">
        <v>2011</v>
      </c>
      <c r="C200">
        <v>9</v>
      </c>
      <c r="D200">
        <v>654</v>
      </c>
      <c r="E200">
        <v>230</v>
      </c>
      <c r="F200">
        <v>1911</v>
      </c>
      <c r="G200">
        <v>270</v>
      </c>
      <c r="H200">
        <v>437</v>
      </c>
      <c r="I200">
        <v>340</v>
      </c>
      <c r="J200">
        <v>19</v>
      </c>
      <c r="K200">
        <v>390</v>
      </c>
      <c r="L200">
        <v>1470</v>
      </c>
      <c r="M200">
        <v>250</v>
      </c>
      <c r="N200">
        <v>4491</v>
      </c>
      <c r="O200">
        <v>265</v>
      </c>
      <c r="P200">
        <v>95</v>
      </c>
      <c r="Q200">
        <v>200</v>
      </c>
      <c r="R200">
        <v>609</v>
      </c>
      <c r="S200">
        <v>300</v>
      </c>
      <c r="T200">
        <v>3252</v>
      </c>
      <c r="U200">
        <v>320</v>
      </c>
      <c r="V200">
        <v>794</v>
      </c>
      <c r="W200">
        <v>380</v>
      </c>
      <c r="X200">
        <v>2669</v>
      </c>
      <c r="Y200">
        <v>295</v>
      </c>
      <c r="Z200">
        <v>7419</v>
      </c>
      <c r="AA200">
        <v>310</v>
      </c>
      <c r="AB200">
        <v>111</v>
      </c>
      <c r="AC200">
        <v>185</v>
      </c>
      <c r="AD200">
        <v>12021</v>
      </c>
      <c r="AE200">
        <v>295</v>
      </c>
    </row>
    <row r="201" spans="1:31" x14ac:dyDescent="0.25">
      <c r="A201" t="s">
        <v>718</v>
      </c>
      <c r="B201">
        <v>2011</v>
      </c>
      <c r="C201">
        <v>9</v>
      </c>
      <c r="D201">
        <v>10</v>
      </c>
      <c r="E201">
        <v>135</v>
      </c>
      <c r="F201">
        <v>44</v>
      </c>
      <c r="G201">
        <v>150</v>
      </c>
      <c r="H201">
        <v>8</v>
      </c>
      <c r="I201">
        <v>237.5</v>
      </c>
      <c r="K201">
        <v>198.75</v>
      </c>
      <c r="L201">
        <v>65</v>
      </c>
      <c r="M201">
        <v>150</v>
      </c>
      <c r="N201">
        <v>130</v>
      </c>
      <c r="O201">
        <v>150</v>
      </c>
      <c r="Q201">
        <v>120</v>
      </c>
      <c r="R201">
        <v>34</v>
      </c>
      <c r="S201">
        <v>180</v>
      </c>
      <c r="T201">
        <v>186</v>
      </c>
      <c r="U201">
        <v>207.5</v>
      </c>
      <c r="V201">
        <v>41</v>
      </c>
      <c r="W201">
        <v>280</v>
      </c>
      <c r="X201">
        <v>166</v>
      </c>
      <c r="Y201">
        <v>185</v>
      </c>
      <c r="Z201">
        <v>430</v>
      </c>
      <c r="AA201">
        <v>200</v>
      </c>
      <c r="AB201">
        <v>0</v>
      </c>
      <c r="AD201">
        <v>560</v>
      </c>
      <c r="AE201">
        <v>190</v>
      </c>
    </row>
    <row r="202" spans="1:31" x14ac:dyDescent="0.25">
      <c r="A202" t="s">
        <v>719</v>
      </c>
      <c r="B202">
        <v>2011</v>
      </c>
      <c r="C202">
        <v>9</v>
      </c>
      <c r="D202">
        <v>49</v>
      </c>
      <c r="E202">
        <v>175</v>
      </c>
      <c r="F202">
        <v>327</v>
      </c>
      <c r="G202">
        <v>255</v>
      </c>
      <c r="H202">
        <v>112</v>
      </c>
      <c r="I202">
        <v>310</v>
      </c>
      <c r="K202">
        <v>350</v>
      </c>
      <c r="L202">
        <v>274</v>
      </c>
      <c r="M202">
        <v>210</v>
      </c>
      <c r="N202">
        <v>765</v>
      </c>
      <c r="O202">
        <v>250</v>
      </c>
      <c r="P202">
        <v>20</v>
      </c>
      <c r="Q202">
        <v>177.5</v>
      </c>
      <c r="R202">
        <v>125</v>
      </c>
      <c r="S202">
        <v>260</v>
      </c>
      <c r="T202">
        <v>1271</v>
      </c>
      <c r="U202">
        <v>295</v>
      </c>
      <c r="V202">
        <v>271</v>
      </c>
      <c r="W202">
        <v>350</v>
      </c>
      <c r="X202">
        <v>1095</v>
      </c>
      <c r="Y202">
        <v>270</v>
      </c>
      <c r="Z202">
        <v>2780</v>
      </c>
      <c r="AA202">
        <v>285</v>
      </c>
      <c r="AB202">
        <v>14</v>
      </c>
      <c r="AC202">
        <v>170</v>
      </c>
      <c r="AD202">
        <v>3560</v>
      </c>
      <c r="AE202">
        <v>280</v>
      </c>
    </row>
    <row r="203" spans="1:31" x14ac:dyDescent="0.25">
      <c r="A203" t="s">
        <v>720</v>
      </c>
      <c r="B203">
        <v>2011</v>
      </c>
      <c r="C203">
        <v>9</v>
      </c>
      <c r="D203">
        <v>79</v>
      </c>
      <c r="E203">
        <v>140</v>
      </c>
      <c r="F203">
        <v>322</v>
      </c>
      <c r="G203">
        <v>180</v>
      </c>
      <c r="H203">
        <v>113</v>
      </c>
      <c r="I203">
        <v>265</v>
      </c>
      <c r="J203">
        <v>9</v>
      </c>
      <c r="K203">
        <v>290</v>
      </c>
      <c r="L203">
        <v>290</v>
      </c>
      <c r="M203">
        <v>160</v>
      </c>
      <c r="N203">
        <v>813</v>
      </c>
      <c r="O203">
        <v>180</v>
      </c>
      <c r="P203">
        <v>37</v>
      </c>
      <c r="Q203">
        <v>140</v>
      </c>
      <c r="R203">
        <v>247</v>
      </c>
      <c r="S203">
        <v>200</v>
      </c>
      <c r="T203">
        <v>1346</v>
      </c>
      <c r="U203">
        <v>245</v>
      </c>
      <c r="V203">
        <v>413</v>
      </c>
      <c r="W203">
        <v>310</v>
      </c>
      <c r="X203">
        <v>1050</v>
      </c>
      <c r="Y203">
        <v>210</v>
      </c>
      <c r="Z203">
        <v>3093</v>
      </c>
      <c r="AA203">
        <v>240</v>
      </c>
      <c r="AB203">
        <v>3</v>
      </c>
      <c r="AC203">
        <v>300</v>
      </c>
      <c r="AD203">
        <v>3909</v>
      </c>
      <c r="AE203">
        <v>230</v>
      </c>
    </row>
    <row r="204" spans="1:31" x14ac:dyDescent="0.25">
      <c r="A204" t="s">
        <v>724</v>
      </c>
      <c r="B204">
        <v>2011</v>
      </c>
      <c r="C204">
        <v>9</v>
      </c>
      <c r="D204">
        <v>733</v>
      </c>
      <c r="E204">
        <v>224</v>
      </c>
      <c r="F204">
        <v>2233</v>
      </c>
      <c r="G204">
        <v>265</v>
      </c>
      <c r="H204">
        <v>550</v>
      </c>
      <c r="I204">
        <v>330</v>
      </c>
      <c r="J204">
        <v>28</v>
      </c>
      <c r="K204">
        <v>380</v>
      </c>
      <c r="L204">
        <v>1760</v>
      </c>
      <c r="M204">
        <v>240</v>
      </c>
      <c r="N204">
        <v>5304</v>
      </c>
      <c r="O204">
        <v>260</v>
      </c>
      <c r="P204">
        <v>132</v>
      </c>
      <c r="Q204">
        <v>180</v>
      </c>
      <c r="R204">
        <v>856</v>
      </c>
      <c r="S204">
        <v>280</v>
      </c>
      <c r="T204">
        <v>4598</v>
      </c>
      <c r="U204">
        <v>300</v>
      </c>
      <c r="V204">
        <v>1207</v>
      </c>
      <c r="W204">
        <v>360</v>
      </c>
      <c r="X204">
        <v>3719</v>
      </c>
      <c r="Y204">
        <v>275</v>
      </c>
      <c r="Z204">
        <v>10512</v>
      </c>
      <c r="AA204">
        <v>295</v>
      </c>
      <c r="AB204">
        <v>114</v>
      </c>
      <c r="AC204">
        <v>185</v>
      </c>
      <c r="AD204">
        <v>15930</v>
      </c>
      <c r="AE204">
        <v>280</v>
      </c>
    </row>
    <row r="205" spans="1:31" x14ac:dyDescent="0.25">
      <c r="A205" t="s">
        <v>721</v>
      </c>
      <c r="B205">
        <v>2011</v>
      </c>
      <c r="C205">
        <v>9</v>
      </c>
      <c r="D205">
        <v>93</v>
      </c>
      <c r="E205">
        <v>235</v>
      </c>
      <c r="F205">
        <v>463</v>
      </c>
      <c r="G205">
        <v>270</v>
      </c>
      <c r="H205">
        <v>109</v>
      </c>
      <c r="I205">
        <v>330</v>
      </c>
      <c r="K205">
        <v>335</v>
      </c>
      <c r="L205">
        <v>351</v>
      </c>
      <c r="M205">
        <v>250</v>
      </c>
      <c r="N205">
        <v>1020</v>
      </c>
      <c r="O205">
        <v>270</v>
      </c>
      <c r="P205">
        <v>23</v>
      </c>
      <c r="Q205">
        <v>200</v>
      </c>
      <c r="R205">
        <v>130</v>
      </c>
      <c r="S205">
        <v>297.5</v>
      </c>
      <c r="T205">
        <v>935</v>
      </c>
      <c r="U205">
        <v>320</v>
      </c>
      <c r="V205">
        <v>271</v>
      </c>
      <c r="W205">
        <v>380</v>
      </c>
      <c r="X205">
        <v>793</v>
      </c>
      <c r="Y205">
        <v>300</v>
      </c>
      <c r="Z205">
        <v>2150</v>
      </c>
      <c r="AA205">
        <v>320</v>
      </c>
      <c r="AB205">
        <v>24</v>
      </c>
      <c r="AC205">
        <v>153.5</v>
      </c>
      <c r="AD205">
        <v>3195</v>
      </c>
      <c r="AE205">
        <v>300</v>
      </c>
    </row>
    <row r="206" spans="1:31" x14ac:dyDescent="0.25">
      <c r="A206" t="s">
        <v>722</v>
      </c>
      <c r="B206">
        <v>2011</v>
      </c>
      <c r="C206">
        <v>9</v>
      </c>
      <c r="D206">
        <v>106</v>
      </c>
      <c r="E206">
        <v>210</v>
      </c>
      <c r="F206">
        <v>455</v>
      </c>
      <c r="G206">
        <v>260</v>
      </c>
      <c r="H206">
        <v>95</v>
      </c>
      <c r="I206">
        <v>360</v>
      </c>
      <c r="J206">
        <v>7</v>
      </c>
      <c r="K206">
        <v>380</v>
      </c>
      <c r="L206">
        <v>349</v>
      </c>
      <c r="M206">
        <v>255</v>
      </c>
      <c r="N206">
        <v>1010</v>
      </c>
      <c r="O206">
        <v>260</v>
      </c>
      <c r="P206">
        <v>21</v>
      </c>
      <c r="Q206">
        <v>220</v>
      </c>
      <c r="R206">
        <v>130</v>
      </c>
      <c r="S206">
        <v>292.5</v>
      </c>
      <c r="T206">
        <v>597</v>
      </c>
      <c r="U206">
        <v>350</v>
      </c>
      <c r="V206">
        <v>131</v>
      </c>
      <c r="W206">
        <v>420</v>
      </c>
      <c r="X206">
        <v>428</v>
      </c>
      <c r="Y206">
        <v>320</v>
      </c>
      <c r="Z206">
        <v>1305</v>
      </c>
      <c r="AA206">
        <v>335</v>
      </c>
      <c r="AB206">
        <v>15</v>
      </c>
      <c r="AC206">
        <v>165</v>
      </c>
      <c r="AD206">
        <v>2335</v>
      </c>
      <c r="AE206">
        <v>300</v>
      </c>
    </row>
    <row r="207" spans="1:31" x14ac:dyDescent="0.25">
      <c r="A207" t="s">
        <v>723</v>
      </c>
      <c r="B207">
        <v>2011</v>
      </c>
      <c r="C207">
        <v>9</v>
      </c>
      <c r="D207">
        <v>6</v>
      </c>
      <c r="E207">
        <v>110</v>
      </c>
      <c r="F207">
        <v>16</v>
      </c>
      <c r="G207">
        <v>154.25</v>
      </c>
      <c r="I207">
        <v>240</v>
      </c>
      <c r="K207">
        <v>290</v>
      </c>
      <c r="L207">
        <v>17</v>
      </c>
      <c r="M207">
        <v>150</v>
      </c>
      <c r="N207">
        <v>45</v>
      </c>
      <c r="O207">
        <v>153.5</v>
      </c>
      <c r="Q207">
        <v>162.5</v>
      </c>
      <c r="R207">
        <v>34</v>
      </c>
      <c r="S207">
        <v>170</v>
      </c>
      <c r="T207">
        <v>183</v>
      </c>
      <c r="U207">
        <v>220</v>
      </c>
      <c r="V207">
        <v>45</v>
      </c>
      <c r="W207">
        <v>270</v>
      </c>
      <c r="X207">
        <v>261</v>
      </c>
      <c r="Y207">
        <v>200</v>
      </c>
      <c r="Z207">
        <v>525</v>
      </c>
      <c r="AA207">
        <v>200</v>
      </c>
      <c r="AB207">
        <v>0</v>
      </c>
      <c r="AD207">
        <v>570</v>
      </c>
      <c r="AE207">
        <v>200</v>
      </c>
    </row>
    <row r="208" spans="1:31" x14ac:dyDescent="0.25">
      <c r="A208" t="s">
        <v>711</v>
      </c>
      <c r="B208">
        <v>2011</v>
      </c>
      <c r="C208">
        <v>12</v>
      </c>
      <c r="E208">
        <v>160</v>
      </c>
      <c r="F208">
        <v>16</v>
      </c>
      <c r="G208">
        <v>250</v>
      </c>
      <c r="H208">
        <v>25</v>
      </c>
      <c r="I208">
        <v>280</v>
      </c>
      <c r="K208">
        <v>355</v>
      </c>
      <c r="L208">
        <v>23</v>
      </c>
      <c r="M208">
        <v>280</v>
      </c>
      <c r="N208">
        <v>70</v>
      </c>
      <c r="O208">
        <v>280</v>
      </c>
      <c r="Q208">
        <v>200</v>
      </c>
      <c r="R208">
        <v>13</v>
      </c>
      <c r="S208">
        <v>300</v>
      </c>
      <c r="T208">
        <v>135</v>
      </c>
      <c r="U208">
        <v>330</v>
      </c>
      <c r="V208">
        <v>57</v>
      </c>
      <c r="W208">
        <v>395</v>
      </c>
      <c r="X208">
        <v>93</v>
      </c>
      <c r="Y208">
        <v>325</v>
      </c>
      <c r="Z208">
        <v>305</v>
      </c>
      <c r="AA208">
        <v>340</v>
      </c>
      <c r="AC208">
        <v>350</v>
      </c>
      <c r="AD208">
        <v>375</v>
      </c>
      <c r="AE208">
        <v>325</v>
      </c>
    </row>
    <row r="209" spans="1:31" x14ac:dyDescent="0.25">
      <c r="A209" t="s">
        <v>712</v>
      </c>
      <c r="B209">
        <v>2011</v>
      </c>
      <c r="C209">
        <v>12</v>
      </c>
      <c r="D209">
        <v>7</v>
      </c>
      <c r="E209">
        <v>205</v>
      </c>
      <c r="F209">
        <v>28</v>
      </c>
      <c r="G209">
        <v>207.5</v>
      </c>
      <c r="H209">
        <v>19</v>
      </c>
      <c r="I209">
        <v>270</v>
      </c>
      <c r="J209">
        <v>0</v>
      </c>
      <c r="L209">
        <v>29</v>
      </c>
      <c r="M209">
        <v>190</v>
      </c>
      <c r="N209">
        <v>85</v>
      </c>
      <c r="O209">
        <v>220</v>
      </c>
      <c r="Q209">
        <v>170</v>
      </c>
      <c r="R209">
        <v>12</v>
      </c>
      <c r="S209">
        <v>230</v>
      </c>
      <c r="T209">
        <v>111</v>
      </c>
      <c r="U209">
        <v>275</v>
      </c>
      <c r="V209">
        <v>42</v>
      </c>
      <c r="W209">
        <v>337.5</v>
      </c>
      <c r="X209">
        <v>86</v>
      </c>
      <c r="Y209">
        <v>265</v>
      </c>
      <c r="Z209">
        <v>255</v>
      </c>
      <c r="AA209">
        <v>272.5</v>
      </c>
      <c r="AB209">
        <v>0</v>
      </c>
      <c r="AD209">
        <v>335</v>
      </c>
      <c r="AE209">
        <v>265</v>
      </c>
    </row>
    <row r="210" spans="1:31" x14ac:dyDescent="0.25">
      <c r="A210" t="s">
        <v>713</v>
      </c>
      <c r="B210">
        <v>2011</v>
      </c>
      <c r="C210">
        <v>12</v>
      </c>
      <c r="D210">
        <v>247</v>
      </c>
      <c r="E210">
        <v>245</v>
      </c>
      <c r="F210">
        <v>605</v>
      </c>
      <c r="G210">
        <v>290</v>
      </c>
      <c r="H210">
        <v>91</v>
      </c>
      <c r="I210">
        <v>390</v>
      </c>
      <c r="K210">
        <v>365</v>
      </c>
      <c r="L210">
        <v>414</v>
      </c>
      <c r="M210">
        <v>290</v>
      </c>
      <c r="N210">
        <v>1360</v>
      </c>
      <c r="O210">
        <v>285</v>
      </c>
      <c r="P210">
        <v>27</v>
      </c>
      <c r="Q210">
        <v>250</v>
      </c>
      <c r="R210">
        <v>185</v>
      </c>
      <c r="S210">
        <v>345</v>
      </c>
      <c r="T210">
        <v>382</v>
      </c>
      <c r="U210">
        <v>380</v>
      </c>
      <c r="V210">
        <v>123</v>
      </c>
      <c r="W210">
        <v>495</v>
      </c>
      <c r="X210">
        <v>301</v>
      </c>
      <c r="Y210">
        <v>375</v>
      </c>
      <c r="Z210">
        <v>1020</v>
      </c>
      <c r="AA210">
        <v>375</v>
      </c>
      <c r="AB210">
        <v>35</v>
      </c>
      <c r="AC210">
        <v>185</v>
      </c>
      <c r="AD210">
        <v>2415</v>
      </c>
      <c r="AE210">
        <v>320</v>
      </c>
    </row>
    <row r="211" spans="1:31" x14ac:dyDescent="0.25">
      <c r="A211" t="s">
        <v>714</v>
      </c>
      <c r="B211">
        <v>2011</v>
      </c>
      <c r="C211">
        <v>12</v>
      </c>
      <c r="D211">
        <v>17</v>
      </c>
      <c r="E211">
        <v>120</v>
      </c>
      <c r="F211">
        <v>44</v>
      </c>
      <c r="G211">
        <v>205</v>
      </c>
      <c r="H211">
        <v>19</v>
      </c>
      <c r="I211">
        <v>280</v>
      </c>
      <c r="K211">
        <v>380</v>
      </c>
      <c r="L211">
        <v>19</v>
      </c>
      <c r="M211">
        <v>170</v>
      </c>
      <c r="N211">
        <v>100</v>
      </c>
      <c r="O211">
        <v>190</v>
      </c>
      <c r="Q211">
        <v>190</v>
      </c>
      <c r="R211">
        <v>40</v>
      </c>
      <c r="S211">
        <v>200</v>
      </c>
      <c r="T211">
        <v>178</v>
      </c>
      <c r="U211">
        <v>250</v>
      </c>
      <c r="V211">
        <v>36</v>
      </c>
      <c r="W211">
        <v>340</v>
      </c>
      <c r="X211">
        <v>76</v>
      </c>
      <c r="Y211">
        <v>200</v>
      </c>
      <c r="Z211">
        <v>335</v>
      </c>
      <c r="AA211">
        <v>240</v>
      </c>
      <c r="AB211">
        <v>0</v>
      </c>
      <c r="AD211">
        <v>435</v>
      </c>
      <c r="AE211">
        <v>230</v>
      </c>
    </row>
    <row r="212" spans="1:31" x14ac:dyDescent="0.25">
      <c r="A212" t="s">
        <v>715</v>
      </c>
      <c r="B212">
        <v>2011</v>
      </c>
      <c r="C212">
        <v>12</v>
      </c>
      <c r="D212">
        <v>8</v>
      </c>
      <c r="E212">
        <v>205</v>
      </c>
      <c r="F212">
        <v>26</v>
      </c>
      <c r="G212">
        <v>170</v>
      </c>
      <c r="H212">
        <v>6</v>
      </c>
      <c r="I212">
        <v>400</v>
      </c>
      <c r="J212">
        <v>0</v>
      </c>
      <c r="L212">
        <v>9</v>
      </c>
      <c r="M212">
        <v>150</v>
      </c>
      <c r="N212">
        <v>50</v>
      </c>
      <c r="O212">
        <v>180</v>
      </c>
      <c r="Q212">
        <v>310</v>
      </c>
      <c r="R212">
        <v>13</v>
      </c>
      <c r="S212">
        <v>220</v>
      </c>
      <c r="T212">
        <v>76</v>
      </c>
      <c r="U212">
        <v>257.5</v>
      </c>
      <c r="V212">
        <v>23</v>
      </c>
      <c r="W212">
        <v>450</v>
      </c>
      <c r="X212">
        <v>31</v>
      </c>
      <c r="Y212">
        <v>195</v>
      </c>
      <c r="Z212">
        <v>145</v>
      </c>
      <c r="AA212">
        <v>255</v>
      </c>
      <c r="AC212">
        <v>350</v>
      </c>
      <c r="AD212">
        <v>195</v>
      </c>
      <c r="AE212">
        <v>250</v>
      </c>
    </row>
    <row r="213" spans="1:31" x14ac:dyDescent="0.25">
      <c r="A213" t="s">
        <v>716</v>
      </c>
      <c r="B213">
        <v>2011</v>
      </c>
      <c r="C213">
        <v>12</v>
      </c>
      <c r="D213">
        <v>17</v>
      </c>
      <c r="E213">
        <v>150</v>
      </c>
      <c r="F213">
        <v>35</v>
      </c>
      <c r="G213">
        <v>190</v>
      </c>
      <c r="H213">
        <v>10</v>
      </c>
      <c r="I213">
        <v>267.5</v>
      </c>
      <c r="J213">
        <v>0</v>
      </c>
      <c r="L213">
        <v>11</v>
      </c>
      <c r="M213">
        <v>200</v>
      </c>
      <c r="N213">
        <v>75</v>
      </c>
      <c r="O213">
        <v>190</v>
      </c>
      <c r="Q213">
        <v>185</v>
      </c>
      <c r="R213">
        <v>35</v>
      </c>
      <c r="S213">
        <v>230</v>
      </c>
      <c r="T213">
        <v>171</v>
      </c>
      <c r="U213">
        <v>260</v>
      </c>
      <c r="V213">
        <v>53</v>
      </c>
      <c r="W213">
        <v>300</v>
      </c>
      <c r="X213">
        <v>69</v>
      </c>
      <c r="Y213">
        <v>250</v>
      </c>
      <c r="Z213">
        <v>330</v>
      </c>
      <c r="AA213">
        <v>260</v>
      </c>
      <c r="AC213">
        <v>120</v>
      </c>
      <c r="AD213">
        <v>405</v>
      </c>
      <c r="AE213">
        <v>250</v>
      </c>
    </row>
    <row r="214" spans="1:31" x14ac:dyDescent="0.25">
      <c r="A214" t="s">
        <v>717</v>
      </c>
      <c r="B214">
        <v>2011</v>
      </c>
      <c r="C214">
        <v>12</v>
      </c>
      <c r="D214">
        <v>12</v>
      </c>
      <c r="E214">
        <v>110</v>
      </c>
      <c r="F214">
        <v>85</v>
      </c>
      <c r="G214">
        <v>140</v>
      </c>
      <c r="H214">
        <v>21</v>
      </c>
      <c r="I214">
        <v>250</v>
      </c>
      <c r="J214">
        <v>0</v>
      </c>
      <c r="L214">
        <v>38</v>
      </c>
      <c r="M214">
        <v>130</v>
      </c>
      <c r="N214">
        <v>155</v>
      </c>
      <c r="O214">
        <v>135</v>
      </c>
      <c r="Q214">
        <v>167.5</v>
      </c>
      <c r="R214">
        <v>27</v>
      </c>
      <c r="S214">
        <v>190</v>
      </c>
      <c r="T214">
        <v>164</v>
      </c>
      <c r="U214">
        <v>210</v>
      </c>
      <c r="V214">
        <v>35</v>
      </c>
      <c r="W214">
        <v>240</v>
      </c>
      <c r="X214">
        <v>96</v>
      </c>
      <c r="Y214">
        <v>180</v>
      </c>
      <c r="Z214">
        <v>325</v>
      </c>
      <c r="AA214">
        <v>200</v>
      </c>
      <c r="AB214">
        <v>0</v>
      </c>
      <c r="AD214">
        <v>480</v>
      </c>
      <c r="AE214">
        <v>187.5</v>
      </c>
    </row>
    <row r="215" spans="1:31" x14ac:dyDescent="0.25">
      <c r="A215" t="s">
        <v>628</v>
      </c>
      <c r="B215">
        <v>2011</v>
      </c>
      <c r="C215">
        <v>12</v>
      </c>
      <c r="D215">
        <v>459</v>
      </c>
      <c r="E215">
        <v>230</v>
      </c>
      <c r="F215">
        <v>1815</v>
      </c>
      <c r="G215">
        <v>270</v>
      </c>
      <c r="H215">
        <v>387</v>
      </c>
      <c r="I215">
        <v>340</v>
      </c>
      <c r="J215">
        <v>14</v>
      </c>
      <c r="K215">
        <v>385</v>
      </c>
      <c r="L215">
        <v>1111</v>
      </c>
      <c r="M215">
        <v>260</v>
      </c>
      <c r="N215">
        <v>3786</v>
      </c>
      <c r="O215">
        <v>270</v>
      </c>
      <c r="P215">
        <v>66</v>
      </c>
      <c r="Q215">
        <v>220</v>
      </c>
      <c r="R215">
        <v>607</v>
      </c>
      <c r="S215">
        <v>295</v>
      </c>
      <c r="T215">
        <v>3149</v>
      </c>
      <c r="U215">
        <v>320</v>
      </c>
      <c r="V215">
        <v>716</v>
      </c>
      <c r="W215">
        <v>387.5</v>
      </c>
      <c r="X215">
        <v>2021</v>
      </c>
      <c r="Y215">
        <v>300</v>
      </c>
      <c r="Z215">
        <v>6559</v>
      </c>
      <c r="AA215">
        <v>315</v>
      </c>
      <c r="AB215">
        <v>84</v>
      </c>
      <c r="AC215">
        <v>172.5</v>
      </c>
      <c r="AD215">
        <v>10429</v>
      </c>
      <c r="AE215">
        <v>300</v>
      </c>
    </row>
    <row r="216" spans="1:31" x14ac:dyDescent="0.25">
      <c r="A216" t="s">
        <v>718</v>
      </c>
      <c r="B216">
        <v>2011</v>
      </c>
      <c r="C216">
        <v>12</v>
      </c>
      <c r="D216">
        <v>13</v>
      </c>
      <c r="E216">
        <v>110</v>
      </c>
      <c r="F216">
        <v>43</v>
      </c>
      <c r="G216">
        <v>150</v>
      </c>
      <c r="H216">
        <v>12</v>
      </c>
      <c r="I216">
        <v>212.5</v>
      </c>
      <c r="K216">
        <v>260</v>
      </c>
      <c r="L216">
        <v>38</v>
      </c>
      <c r="M216">
        <v>140</v>
      </c>
      <c r="N216">
        <v>105</v>
      </c>
      <c r="O216">
        <v>140</v>
      </c>
      <c r="P216">
        <v>6</v>
      </c>
      <c r="Q216">
        <v>140</v>
      </c>
      <c r="R216">
        <v>28</v>
      </c>
      <c r="S216">
        <v>180</v>
      </c>
      <c r="T216">
        <v>210</v>
      </c>
      <c r="U216">
        <v>217.5</v>
      </c>
      <c r="V216">
        <v>47</v>
      </c>
      <c r="W216">
        <v>280</v>
      </c>
      <c r="X216">
        <v>119</v>
      </c>
      <c r="Y216">
        <v>200</v>
      </c>
      <c r="Z216">
        <v>410</v>
      </c>
      <c r="AA216">
        <v>210</v>
      </c>
      <c r="AC216">
        <v>155</v>
      </c>
      <c r="AD216">
        <v>520</v>
      </c>
      <c r="AE216">
        <v>200</v>
      </c>
    </row>
    <row r="217" spans="1:31" x14ac:dyDescent="0.25">
      <c r="A217" t="s">
        <v>719</v>
      </c>
      <c r="B217">
        <v>2011</v>
      </c>
      <c r="C217">
        <v>12</v>
      </c>
      <c r="D217">
        <v>48</v>
      </c>
      <c r="E217">
        <v>185</v>
      </c>
      <c r="F217">
        <v>293</v>
      </c>
      <c r="G217">
        <v>255</v>
      </c>
      <c r="H217">
        <v>96</v>
      </c>
      <c r="I217">
        <v>310</v>
      </c>
      <c r="K217">
        <v>400</v>
      </c>
      <c r="L217">
        <v>176</v>
      </c>
      <c r="M217">
        <v>230</v>
      </c>
      <c r="N217">
        <v>615</v>
      </c>
      <c r="O217">
        <v>250</v>
      </c>
      <c r="P217">
        <v>10</v>
      </c>
      <c r="Q217">
        <v>157.5</v>
      </c>
      <c r="R217">
        <v>116</v>
      </c>
      <c r="S217">
        <v>257.5</v>
      </c>
      <c r="T217">
        <v>1302</v>
      </c>
      <c r="U217">
        <v>290</v>
      </c>
      <c r="V217">
        <v>232</v>
      </c>
      <c r="W217">
        <v>335</v>
      </c>
      <c r="X217">
        <v>756</v>
      </c>
      <c r="Y217">
        <v>280</v>
      </c>
      <c r="Z217">
        <v>2415</v>
      </c>
      <c r="AA217">
        <v>285</v>
      </c>
      <c r="AB217">
        <v>16</v>
      </c>
      <c r="AC217">
        <v>172.5</v>
      </c>
      <c r="AD217">
        <v>3050</v>
      </c>
      <c r="AE217">
        <v>280</v>
      </c>
    </row>
    <row r="218" spans="1:31" x14ac:dyDescent="0.25">
      <c r="A218" t="s">
        <v>720</v>
      </c>
      <c r="B218">
        <v>2011</v>
      </c>
      <c r="C218">
        <v>12</v>
      </c>
      <c r="D218">
        <v>80</v>
      </c>
      <c r="E218">
        <v>120</v>
      </c>
      <c r="F218">
        <v>297</v>
      </c>
      <c r="G218">
        <v>175</v>
      </c>
      <c r="H218">
        <v>124</v>
      </c>
      <c r="I218">
        <v>265</v>
      </c>
      <c r="J218">
        <v>8</v>
      </c>
      <c r="K218">
        <v>355</v>
      </c>
      <c r="L218">
        <v>187</v>
      </c>
      <c r="M218">
        <v>160</v>
      </c>
      <c r="N218">
        <v>696</v>
      </c>
      <c r="O218">
        <v>180</v>
      </c>
      <c r="P218">
        <v>32</v>
      </c>
      <c r="Q218">
        <v>170</v>
      </c>
      <c r="R218">
        <v>189</v>
      </c>
      <c r="S218">
        <v>200</v>
      </c>
      <c r="T218">
        <v>1219</v>
      </c>
      <c r="U218">
        <v>240</v>
      </c>
      <c r="V218">
        <v>345</v>
      </c>
      <c r="W218">
        <v>300</v>
      </c>
      <c r="X218">
        <v>752</v>
      </c>
      <c r="Y218">
        <v>220</v>
      </c>
      <c r="Z218">
        <v>2537</v>
      </c>
      <c r="AA218">
        <v>240</v>
      </c>
      <c r="AB218">
        <v>6</v>
      </c>
      <c r="AC218">
        <v>300</v>
      </c>
      <c r="AD218">
        <v>3239</v>
      </c>
      <c r="AE218">
        <v>230</v>
      </c>
    </row>
    <row r="219" spans="1:31" x14ac:dyDescent="0.25">
      <c r="A219" t="s">
        <v>724</v>
      </c>
      <c r="B219">
        <v>2011</v>
      </c>
      <c r="C219">
        <v>12</v>
      </c>
      <c r="D219">
        <v>539</v>
      </c>
      <c r="E219">
        <v>220</v>
      </c>
      <c r="F219">
        <v>2112</v>
      </c>
      <c r="G219">
        <v>260</v>
      </c>
      <c r="H219">
        <v>511</v>
      </c>
      <c r="I219">
        <v>320</v>
      </c>
      <c r="J219">
        <v>22</v>
      </c>
      <c r="K219">
        <v>360</v>
      </c>
      <c r="L219">
        <v>1298</v>
      </c>
      <c r="M219">
        <v>250</v>
      </c>
      <c r="N219">
        <v>4482</v>
      </c>
      <c r="O219">
        <v>260</v>
      </c>
      <c r="P219">
        <v>98</v>
      </c>
      <c r="Q219">
        <v>200</v>
      </c>
      <c r="R219">
        <v>796</v>
      </c>
      <c r="S219">
        <v>280</v>
      </c>
      <c r="T219">
        <v>4368</v>
      </c>
      <c r="U219">
        <v>300</v>
      </c>
      <c r="V219">
        <v>1061</v>
      </c>
      <c r="W219">
        <v>350</v>
      </c>
      <c r="X219">
        <v>2773</v>
      </c>
      <c r="Y219">
        <v>285</v>
      </c>
      <c r="Z219">
        <v>9096</v>
      </c>
      <c r="AA219">
        <v>300</v>
      </c>
      <c r="AB219">
        <v>90</v>
      </c>
      <c r="AC219">
        <v>172.5</v>
      </c>
      <c r="AD219">
        <v>13668</v>
      </c>
      <c r="AE219">
        <v>285</v>
      </c>
    </row>
    <row r="220" spans="1:31" x14ac:dyDescent="0.25">
      <c r="A220" t="s">
        <v>721</v>
      </c>
      <c r="B220">
        <v>2011</v>
      </c>
      <c r="C220">
        <v>12</v>
      </c>
      <c r="D220">
        <v>71</v>
      </c>
      <c r="E220">
        <v>245</v>
      </c>
      <c r="F220">
        <v>419</v>
      </c>
      <c r="G220">
        <v>265</v>
      </c>
      <c r="H220">
        <v>100</v>
      </c>
      <c r="I220">
        <v>330</v>
      </c>
      <c r="K220">
        <v>410</v>
      </c>
      <c r="L220">
        <v>270</v>
      </c>
      <c r="M220">
        <v>250</v>
      </c>
      <c r="N220">
        <v>865</v>
      </c>
      <c r="O220">
        <v>265</v>
      </c>
      <c r="P220">
        <v>10</v>
      </c>
      <c r="Q220">
        <v>210</v>
      </c>
      <c r="R220">
        <v>132</v>
      </c>
      <c r="S220">
        <v>295</v>
      </c>
      <c r="T220">
        <v>920</v>
      </c>
      <c r="U220">
        <v>320</v>
      </c>
      <c r="V220">
        <v>262</v>
      </c>
      <c r="W220">
        <v>380</v>
      </c>
      <c r="X220">
        <v>593</v>
      </c>
      <c r="Y220">
        <v>300</v>
      </c>
      <c r="Z220">
        <v>1915</v>
      </c>
      <c r="AA220">
        <v>320</v>
      </c>
      <c r="AB220">
        <v>23</v>
      </c>
      <c r="AC220">
        <v>157</v>
      </c>
      <c r="AD220">
        <v>2805</v>
      </c>
      <c r="AE220">
        <v>300</v>
      </c>
    </row>
    <row r="221" spans="1:31" x14ac:dyDescent="0.25">
      <c r="A221" t="s">
        <v>722</v>
      </c>
      <c r="B221">
        <v>2011</v>
      </c>
      <c r="C221">
        <v>12</v>
      </c>
      <c r="D221">
        <v>93</v>
      </c>
      <c r="E221">
        <v>210</v>
      </c>
      <c r="F221">
        <v>498</v>
      </c>
      <c r="G221">
        <v>260</v>
      </c>
      <c r="H221">
        <v>100</v>
      </c>
      <c r="I221">
        <v>350</v>
      </c>
      <c r="K221">
        <v>390</v>
      </c>
      <c r="L221">
        <v>251</v>
      </c>
      <c r="M221">
        <v>255</v>
      </c>
      <c r="N221">
        <v>945</v>
      </c>
      <c r="O221">
        <v>260</v>
      </c>
      <c r="P221">
        <v>19</v>
      </c>
      <c r="Q221">
        <v>210</v>
      </c>
      <c r="R221">
        <v>174</v>
      </c>
      <c r="S221">
        <v>290</v>
      </c>
      <c r="T221">
        <v>545</v>
      </c>
      <c r="U221">
        <v>350</v>
      </c>
      <c r="V221">
        <v>99</v>
      </c>
      <c r="W221">
        <v>435</v>
      </c>
      <c r="X221">
        <v>371</v>
      </c>
      <c r="Y221">
        <v>320</v>
      </c>
      <c r="Z221">
        <v>1210</v>
      </c>
      <c r="AA221">
        <v>330</v>
      </c>
      <c r="AB221">
        <v>10</v>
      </c>
      <c r="AC221">
        <v>150</v>
      </c>
      <c r="AD221">
        <v>2165</v>
      </c>
      <c r="AE221">
        <v>300</v>
      </c>
    </row>
    <row r="222" spans="1:31" x14ac:dyDescent="0.25">
      <c r="A222" t="s">
        <v>723</v>
      </c>
      <c r="B222">
        <v>2011</v>
      </c>
      <c r="C222">
        <v>12</v>
      </c>
      <c r="E222">
        <v>120</v>
      </c>
      <c r="F222">
        <v>20</v>
      </c>
      <c r="G222">
        <v>165</v>
      </c>
      <c r="H222">
        <v>12</v>
      </c>
      <c r="I222">
        <v>192</v>
      </c>
      <c r="J222">
        <v>0</v>
      </c>
      <c r="L222">
        <v>20</v>
      </c>
      <c r="M222">
        <v>150</v>
      </c>
      <c r="N222">
        <v>55</v>
      </c>
      <c r="O222">
        <v>165</v>
      </c>
      <c r="Q222">
        <v>140</v>
      </c>
      <c r="R222">
        <v>21</v>
      </c>
      <c r="S222">
        <v>170</v>
      </c>
      <c r="T222">
        <v>174</v>
      </c>
      <c r="U222">
        <v>220</v>
      </c>
      <c r="V222">
        <v>52</v>
      </c>
      <c r="W222">
        <v>260</v>
      </c>
      <c r="X222">
        <v>182</v>
      </c>
      <c r="Y222">
        <v>200</v>
      </c>
      <c r="Z222">
        <v>435</v>
      </c>
      <c r="AA222">
        <v>215</v>
      </c>
      <c r="AB222">
        <v>0</v>
      </c>
      <c r="AD222">
        <v>490</v>
      </c>
      <c r="AE222">
        <v>200</v>
      </c>
    </row>
    <row r="223" spans="1:31" x14ac:dyDescent="0.25">
      <c r="A223" t="s">
        <v>711</v>
      </c>
      <c r="B223">
        <v>2012</v>
      </c>
      <c r="C223">
        <v>3</v>
      </c>
      <c r="E223">
        <v>200</v>
      </c>
      <c r="F223">
        <v>19</v>
      </c>
      <c r="G223">
        <v>260</v>
      </c>
      <c r="H223">
        <v>27</v>
      </c>
      <c r="I223">
        <v>310</v>
      </c>
      <c r="K223">
        <v>320</v>
      </c>
      <c r="L223">
        <v>29</v>
      </c>
      <c r="M223">
        <v>250</v>
      </c>
      <c r="N223">
        <v>85</v>
      </c>
      <c r="O223">
        <v>270</v>
      </c>
      <c r="Q223">
        <v>180</v>
      </c>
      <c r="R223">
        <v>21</v>
      </c>
      <c r="S223">
        <v>300</v>
      </c>
      <c r="T223">
        <v>109</v>
      </c>
      <c r="U223">
        <v>320</v>
      </c>
      <c r="V223">
        <v>90</v>
      </c>
      <c r="W223">
        <v>392.5</v>
      </c>
      <c r="X223">
        <v>69</v>
      </c>
      <c r="Y223">
        <v>320</v>
      </c>
      <c r="Z223">
        <v>295</v>
      </c>
      <c r="AA223">
        <v>340</v>
      </c>
      <c r="AB223">
        <v>0</v>
      </c>
      <c r="AD223">
        <v>375</v>
      </c>
      <c r="AE223">
        <v>320</v>
      </c>
    </row>
    <row r="224" spans="1:31" x14ac:dyDescent="0.25">
      <c r="A224" t="s">
        <v>712</v>
      </c>
      <c r="B224">
        <v>2012</v>
      </c>
      <c r="C224">
        <v>3</v>
      </c>
      <c r="D224">
        <v>10</v>
      </c>
      <c r="E224">
        <v>165</v>
      </c>
      <c r="F224">
        <v>29</v>
      </c>
      <c r="G224">
        <v>210</v>
      </c>
      <c r="H224">
        <v>25</v>
      </c>
      <c r="I224">
        <v>270</v>
      </c>
      <c r="J224">
        <v>0</v>
      </c>
      <c r="L224">
        <v>31</v>
      </c>
      <c r="M224">
        <v>200</v>
      </c>
      <c r="N224">
        <v>95</v>
      </c>
      <c r="O224">
        <v>220</v>
      </c>
      <c r="Q224">
        <v>159.30000000000001</v>
      </c>
      <c r="R224">
        <v>19</v>
      </c>
      <c r="S224">
        <v>240</v>
      </c>
      <c r="T224">
        <v>118</v>
      </c>
      <c r="U224">
        <v>280</v>
      </c>
      <c r="V224">
        <v>59</v>
      </c>
      <c r="W224">
        <v>340</v>
      </c>
      <c r="X224">
        <v>111</v>
      </c>
      <c r="Y224">
        <v>275</v>
      </c>
      <c r="Z224">
        <v>310</v>
      </c>
      <c r="AA224">
        <v>290</v>
      </c>
      <c r="AC224">
        <v>255</v>
      </c>
      <c r="AD224">
        <v>410</v>
      </c>
      <c r="AE224">
        <v>270</v>
      </c>
    </row>
    <row r="225" spans="1:31" x14ac:dyDescent="0.25">
      <c r="A225" t="s">
        <v>713</v>
      </c>
      <c r="B225">
        <v>2012</v>
      </c>
      <c r="C225">
        <v>3</v>
      </c>
      <c r="D225">
        <v>323</v>
      </c>
      <c r="E225">
        <v>250</v>
      </c>
      <c r="F225">
        <v>796</v>
      </c>
      <c r="G225">
        <v>300</v>
      </c>
      <c r="H225">
        <v>148</v>
      </c>
      <c r="I225">
        <v>410</v>
      </c>
      <c r="J225">
        <v>7</v>
      </c>
      <c r="K225">
        <v>560</v>
      </c>
      <c r="L225">
        <v>687</v>
      </c>
      <c r="M225">
        <v>270</v>
      </c>
      <c r="N225">
        <v>1960</v>
      </c>
      <c r="O225">
        <v>290</v>
      </c>
      <c r="P225">
        <v>23</v>
      </c>
      <c r="Q225">
        <v>280</v>
      </c>
      <c r="R225">
        <v>204</v>
      </c>
      <c r="S225">
        <v>350</v>
      </c>
      <c r="T225">
        <v>497</v>
      </c>
      <c r="U225">
        <v>395</v>
      </c>
      <c r="V225">
        <v>117</v>
      </c>
      <c r="W225">
        <v>495</v>
      </c>
      <c r="X225">
        <v>369</v>
      </c>
      <c r="Y225">
        <v>395</v>
      </c>
      <c r="Z225">
        <v>1210</v>
      </c>
      <c r="AA225">
        <v>390</v>
      </c>
      <c r="AB225">
        <v>65</v>
      </c>
      <c r="AC225">
        <v>185</v>
      </c>
      <c r="AD225">
        <v>3235</v>
      </c>
      <c r="AE225">
        <v>320</v>
      </c>
    </row>
    <row r="226" spans="1:31" x14ac:dyDescent="0.25">
      <c r="A226" t="s">
        <v>714</v>
      </c>
      <c r="B226">
        <v>2012</v>
      </c>
      <c r="C226">
        <v>3</v>
      </c>
      <c r="D226">
        <v>18</v>
      </c>
      <c r="E226">
        <v>140</v>
      </c>
      <c r="F226">
        <v>61</v>
      </c>
      <c r="G226">
        <v>200</v>
      </c>
      <c r="H226">
        <v>20</v>
      </c>
      <c r="I226">
        <v>325</v>
      </c>
      <c r="K226">
        <v>450</v>
      </c>
      <c r="L226">
        <v>12</v>
      </c>
      <c r="M226">
        <v>195</v>
      </c>
      <c r="N226">
        <v>115</v>
      </c>
      <c r="O226">
        <v>205</v>
      </c>
      <c r="Q226">
        <v>120</v>
      </c>
      <c r="R226">
        <v>31</v>
      </c>
      <c r="S226">
        <v>200</v>
      </c>
      <c r="T226">
        <v>196</v>
      </c>
      <c r="U226">
        <v>250</v>
      </c>
      <c r="V226">
        <v>59</v>
      </c>
      <c r="W226">
        <v>350</v>
      </c>
      <c r="X226">
        <v>73</v>
      </c>
      <c r="Y226">
        <v>200</v>
      </c>
      <c r="Z226">
        <v>360</v>
      </c>
      <c r="AA226">
        <v>250</v>
      </c>
      <c r="AB226">
        <v>0</v>
      </c>
      <c r="AD226">
        <v>475</v>
      </c>
      <c r="AE226">
        <v>250</v>
      </c>
    </row>
    <row r="227" spans="1:31" x14ac:dyDescent="0.25">
      <c r="A227" t="s">
        <v>715</v>
      </c>
      <c r="B227">
        <v>2012</v>
      </c>
      <c r="C227">
        <v>3</v>
      </c>
      <c r="D227">
        <v>12</v>
      </c>
      <c r="E227">
        <v>155</v>
      </c>
      <c r="F227">
        <v>23</v>
      </c>
      <c r="G227">
        <v>155</v>
      </c>
      <c r="H227">
        <v>6</v>
      </c>
      <c r="I227">
        <v>400</v>
      </c>
      <c r="K227">
        <v>450</v>
      </c>
      <c r="L227">
        <v>7</v>
      </c>
      <c r="M227">
        <v>150</v>
      </c>
      <c r="N227">
        <v>50</v>
      </c>
      <c r="O227">
        <v>160</v>
      </c>
      <c r="Q227">
        <v>150</v>
      </c>
      <c r="R227">
        <v>20</v>
      </c>
      <c r="S227">
        <v>210</v>
      </c>
      <c r="T227">
        <v>67</v>
      </c>
      <c r="U227">
        <v>250</v>
      </c>
      <c r="V227">
        <v>27</v>
      </c>
      <c r="W227">
        <v>330</v>
      </c>
      <c r="X227">
        <v>36</v>
      </c>
      <c r="Y227">
        <v>203.35</v>
      </c>
      <c r="Z227">
        <v>155</v>
      </c>
      <c r="AA227">
        <v>250</v>
      </c>
      <c r="AC227">
        <v>250</v>
      </c>
      <c r="AD227">
        <v>205</v>
      </c>
      <c r="AE227">
        <v>240</v>
      </c>
    </row>
    <row r="228" spans="1:31" x14ac:dyDescent="0.25">
      <c r="A228" t="s">
        <v>716</v>
      </c>
      <c r="B228">
        <v>2012</v>
      </c>
      <c r="C228">
        <v>3</v>
      </c>
      <c r="E228">
        <v>180</v>
      </c>
      <c r="F228">
        <v>41</v>
      </c>
      <c r="G228">
        <v>210</v>
      </c>
      <c r="H228">
        <v>20</v>
      </c>
      <c r="I228">
        <v>250</v>
      </c>
      <c r="J228">
        <v>0</v>
      </c>
      <c r="L228">
        <v>22</v>
      </c>
      <c r="M228">
        <v>220</v>
      </c>
      <c r="N228">
        <v>90</v>
      </c>
      <c r="O228">
        <v>212.5</v>
      </c>
      <c r="Q228">
        <v>180</v>
      </c>
      <c r="R228">
        <v>22</v>
      </c>
      <c r="S228">
        <v>225</v>
      </c>
      <c r="T228">
        <v>146</v>
      </c>
      <c r="U228">
        <v>260</v>
      </c>
      <c r="V228">
        <v>66</v>
      </c>
      <c r="W228">
        <v>310</v>
      </c>
      <c r="X228">
        <v>72</v>
      </c>
      <c r="Y228">
        <v>247.5</v>
      </c>
      <c r="Z228">
        <v>310</v>
      </c>
      <c r="AA228">
        <v>265</v>
      </c>
      <c r="AC228">
        <v>320</v>
      </c>
      <c r="AD228">
        <v>400</v>
      </c>
      <c r="AE228">
        <v>252.5</v>
      </c>
    </row>
    <row r="229" spans="1:31" x14ac:dyDescent="0.25">
      <c r="A229" t="s">
        <v>717</v>
      </c>
      <c r="B229">
        <v>2012</v>
      </c>
      <c r="C229">
        <v>3</v>
      </c>
      <c r="D229">
        <v>11</v>
      </c>
      <c r="E229">
        <v>110</v>
      </c>
      <c r="F229">
        <v>87</v>
      </c>
      <c r="G229">
        <v>160</v>
      </c>
      <c r="H229">
        <v>16</v>
      </c>
      <c r="I229">
        <v>250</v>
      </c>
      <c r="K229">
        <v>180</v>
      </c>
      <c r="L229">
        <v>48</v>
      </c>
      <c r="M229">
        <v>150</v>
      </c>
      <c r="N229">
        <v>165</v>
      </c>
      <c r="O229">
        <v>160</v>
      </c>
      <c r="Q229">
        <v>120</v>
      </c>
      <c r="R229">
        <v>33</v>
      </c>
      <c r="S229">
        <v>195</v>
      </c>
      <c r="T229">
        <v>201</v>
      </c>
      <c r="U229">
        <v>220</v>
      </c>
      <c r="V229">
        <v>47</v>
      </c>
      <c r="W229">
        <v>290</v>
      </c>
      <c r="X229">
        <v>115</v>
      </c>
      <c r="Y229">
        <v>180</v>
      </c>
      <c r="Z229">
        <v>400</v>
      </c>
      <c r="AA229">
        <v>210</v>
      </c>
      <c r="AC229">
        <v>165</v>
      </c>
      <c r="AD229">
        <v>565</v>
      </c>
      <c r="AE229">
        <v>200</v>
      </c>
    </row>
    <row r="230" spans="1:31" x14ac:dyDescent="0.25">
      <c r="A230" t="s">
        <v>628</v>
      </c>
      <c r="B230">
        <v>2012</v>
      </c>
      <c r="C230">
        <v>3</v>
      </c>
      <c r="D230">
        <v>552</v>
      </c>
      <c r="E230">
        <v>235</v>
      </c>
      <c r="F230">
        <v>2088</v>
      </c>
      <c r="G230">
        <v>275</v>
      </c>
      <c r="H230">
        <v>525</v>
      </c>
      <c r="I230">
        <v>355</v>
      </c>
      <c r="J230">
        <v>14</v>
      </c>
      <c r="K230">
        <v>465</v>
      </c>
      <c r="L230">
        <v>1446</v>
      </c>
      <c r="M230">
        <v>260</v>
      </c>
      <c r="N230">
        <v>4625</v>
      </c>
      <c r="O230">
        <v>275</v>
      </c>
      <c r="P230">
        <v>79</v>
      </c>
      <c r="Q230">
        <v>220</v>
      </c>
      <c r="R230">
        <v>654</v>
      </c>
      <c r="S230">
        <v>300</v>
      </c>
      <c r="T230">
        <v>3314</v>
      </c>
      <c r="U230">
        <v>330</v>
      </c>
      <c r="V230">
        <v>732</v>
      </c>
      <c r="W230">
        <v>400</v>
      </c>
      <c r="X230">
        <v>2139</v>
      </c>
      <c r="Y230">
        <v>310</v>
      </c>
      <c r="Z230">
        <v>6918</v>
      </c>
      <c r="AA230">
        <v>325</v>
      </c>
      <c r="AB230">
        <v>122</v>
      </c>
      <c r="AC230">
        <v>175</v>
      </c>
      <c r="AD230">
        <v>11665</v>
      </c>
      <c r="AE230">
        <v>300</v>
      </c>
    </row>
    <row r="231" spans="1:31" x14ac:dyDescent="0.25">
      <c r="A231" t="s">
        <v>718</v>
      </c>
      <c r="B231">
        <v>2012</v>
      </c>
      <c r="C231">
        <v>3</v>
      </c>
      <c r="D231">
        <v>22</v>
      </c>
      <c r="E231">
        <v>120</v>
      </c>
      <c r="F231">
        <v>46</v>
      </c>
      <c r="G231">
        <v>160</v>
      </c>
      <c r="H231">
        <v>14</v>
      </c>
      <c r="I231">
        <v>235</v>
      </c>
      <c r="J231">
        <v>0</v>
      </c>
      <c r="L231">
        <v>34</v>
      </c>
      <c r="M231">
        <v>150</v>
      </c>
      <c r="N231">
        <v>115</v>
      </c>
      <c r="O231">
        <v>150</v>
      </c>
      <c r="Q231">
        <v>120</v>
      </c>
      <c r="R231">
        <v>52</v>
      </c>
      <c r="S231">
        <v>165</v>
      </c>
      <c r="T231">
        <v>163</v>
      </c>
      <c r="U231">
        <v>200</v>
      </c>
      <c r="V231">
        <v>65</v>
      </c>
      <c r="W231">
        <v>260</v>
      </c>
      <c r="X231">
        <v>106</v>
      </c>
      <c r="Y231">
        <v>200</v>
      </c>
      <c r="Z231">
        <v>390</v>
      </c>
      <c r="AA231">
        <v>200</v>
      </c>
      <c r="AC231">
        <v>190</v>
      </c>
      <c r="AD231">
        <v>510</v>
      </c>
      <c r="AE231">
        <v>195</v>
      </c>
    </row>
    <row r="232" spans="1:31" x14ac:dyDescent="0.25">
      <c r="A232" t="s">
        <v>719</v>
      </c>
      <c r="B232">
        <v>2012</v>
      </c>
      <c r="C232">
        <v>3</v>
      </c>
      <c r="D232">
        <v>46</v>
      </c>
      <c r="E232">
        <v>182.5</v>
      </c>
      <c r="F232">
        <v>309</v>
      </c>
      <c r="G232">
        <v>250</v>
      </c>
      <c r="H232">
        <v>135</v>
      </c>
      <c r="I232">
        <v>325</v>
      </c>
      <c r="J232">
        <v>0</v>
      </c>
      <c r="L232">
        <v>167</v>
      </c>
      <c r="M232">
        <v>235</v>
      </c>
      <c r="N232">
        <v>655</v>
      </c>
      <c r="O232">
        <v>260</v>
      </c>
      <c r="P232">
        <v>6</v>
      </c>
      <c r="Q232">
        <v>167.5</v>
      </c>
      <c r="R232">
        <v>131</v>
      </c>
      <c r="S232">
        <v>260</v>
      </c>
      <c r="T232">
        <v>1313</v>
      </c>
      <c r="U232">
        <v>295</v>
      </c>
      <c r="V232">
        <v>247</v>
      </c>
      <c r="W232">
        <v>350</v>
      </c>
      <c r="X232">
        <v>719</v>
      </c>
      <c r="Y232">
        <v>280</v>
      </c>
      <c r="Z232">
        <v>2415</v>
      </c>
      <c r="AA232">
        <v>295</v>
      </c>
      <c r="AB232">
        <v>14</v>
      </c>
      <c r="AC232">
        <v>150.9</v>
      </c>
      <c r="AD232">
        <v>3085</v>
      </c>
      <c r="AE232">
        <v>285</v>
      </c>
    </row>
    <row r="233" spans="1:31" x14ac:dyDescent="0.25">
      <c r="A233" t="s">
        <v>720</v>
      </c>
      <c r="B233">
        <v>2012</v>
      </c>
      <c r="C233">
        <v>3</v>
      </c>
      <c r="D233">
        <v>89</v>
      </c>
      <c r="E233">
        <v>140</v>
      </c>
      <c r="F233">
        <v>320</v>
      </c>
      <c r="G233">
        <v>185</v>
      </c>
      <c r="H233">
        <v>129</v>
      </c>
      <c r="I233">
        <v>270</v>
      </c>
      <c r="J233">
        <v>11</v>
      </c>
      <c r="K233">
        <v>400</v>
      </c>
      <c r="L233">
        <v>205</v>
      </c>
      <c r="M233">
        <v>180</v>
      </c>
      <c r="N233">
        <v>754</v>
      </c>
      <c r="O233">
        <v>190</v>
      </c>
      <c r="P233">
        <v>31</v>
      </c>
      <c r="Q233">
        <v>149</v>
      </c>
      <c r="R233">
        <v>236</v>
      </c>
      <c r="S233">
        <v>200</v>
      </c>
      <c r="T233">
        <v>1158</v>
      </c>
      <c r="U233">
        <v>250</v>
      </c>
      <c r="V233">
        <v>462</v>
      </c>
      <c r="W233">
        <v>320</v>
      </c>
      <c r="X233">
        <v>784</v>
      </c>
      <c r="Y233">
        <v>225</v>
      </c>
      <c r="Z233">
        <v>2671</v>
      </c>
      <c r="AA233">
        <v>250</v>
      </c>
      <c r="AB233">
        <v>9</v>
      </c>
      <c r="AC233">
        <v>200</v>
      </c>
      <c r="AD233">
        <v>3434</v>
      </c>
      <c r="AE233">
        <v>235</v>
      </c>
    </row>
    <row r="234" spans="1:31" x14ac:dyDescent="0.25">
      <c r="A234" t="s">
        <v>724</v>
      </c>
      <c r="B234">
        <v>2012</v>
      </c>
      <c r="C234">
        <v>3</v>
      </c>
      <c r="D234">
        <v>641</v>
      </c>
      <c r="E234">
        <v>225</v>
      </c>
      <c r="F234">
        <v>2408</v>
      </c>
      <c r="G234">
        <v>270</v>
      </c>
      <c r="H234">
        <v>654</v>
      </c>
      <c r="I234">
        <v>340</v>
      </c>
      <c r="J234">
        <v>25</v>
      </c>
      <c r="K234">
        <v>450</v>
      </c>
      <c r="L234">
        <v>1651</v>
      </c>
      <c r="M234">
        <v>250</v>
      </c>
      <c r="N234">
        <v>5379</v>
      </c>
      <c r="O234">
        <v>265</v>
      </c>
      <c r="P234">
        <v>110</v>
      </c>
      <c r="Q234">
        <v>177.5</v>
      </c>
      <c r="R234">
        <v>890</v>
      </c>
      <c r="S234">
        <v>285</v>
      </c>
      <c r="T234">
        <v>4472</v>
      </c>
      <c r="U234">
        <v>300</v>
      </c>
      <c r="V234">
        <v>1194</v>
      </c>
      <c r="W234">
        <v>365</v>
      </c>
      <c r="X234">
        <v>2923</v>
      </c>
      <c r="Y234">
        <v>290</v>
      </c>
      <c r="Z234">
        <v>9589</v>
      </c>
      <c r="AA234">
        <v>300</v>
      </c>
      <c r="AB234">
        <v>131</v>
      </c>
      <c r="AC234">
        <v>179</v>
      </c>
      <c r="AD234">
        <v>15099</v>
      </c>
      <c r="AE234">
        <v>290</v>
      </c>
    </row>
    <row r="235" spans="1:31" x14ac:dyDescent="0.25">
      <c r="A235" t="s">
        <v>721</v>
      </c>
      <c r="B235">
        <v>2012</v>
      </c>
      <c r="C235">
        <v>3</v>
      </c>
      <c r="D235">
        <v>96</v>
      </c>
      <c r="E235">
        <v>212.5</v>
      </c>
      <c r="F235">
        <v>470</v>
      </c>
      <c r="G235">
        <v>275</v>
      </c>
      <c r="H235">
        <v>122</v>
      </c>
      <c r="I235">
        <v>330</v>
      </c>
      <c r="K235">
        <v>650</v>
      </c>
      <c r="L235">
        <v>321</v>
      </c>
      <c r="M235">
        <v>255</v>
      </c>
      <c r="N235">
        <v>1010</v>
      </c>
      <c r="O235">
        <v>270</v>
      </c>
      <c r="P235">
        <v>30</v>
      </c>
      <c r="Q235">
        <v>175</v>
      </c>
      <c r="R235">
        <v>129</v>
      </c>
      <c r="S235">
        <v>300</v>
      </c>
      <c r="T235">
        <v>932</v>
      </c>
      <c r="U235">
        <v>330</v>
      </c>
      <c r="V235">
        <v>253</v>
      </c>
      <c r="W235">
        <v>400</v>
      </c>
      <c r="X235">
        <v>647</v>
      </c>
      <c r="Y235">
        <v>310</v>
      </c>
      <c r="Z235">
        <v>1990</v>
      </c>
      <c r="AA235">
        <v>330</v>
      </c>
      <c r="AB235">
        <v>28</v>
      </c>
      <c r="AC235">
        <v>150</v>
      </c>
      <c r="AD235">
        <v>3030</v>
      </c>
      <c r="AE235">
        <v>300</v>
      </c>
    </row>
    <row r="236" spans="1:31" x14ac:dyDescent="0.25">
      <c r="A236" t="s">
        <v>722</v>
      </c>
      <c r="B236">
        <v>2012</v>
      </c>
      <c r="C236">
        <v>3</v>
      </c>
      <c r="D236">
        <v>87</v>
      </c>
      <c r="E236">
        <v>225</v>
      </c>
      <c r="F236">
        <v>513</v>
      </c>
      <c r="G236">
        <v>260</v>
      </c>
      <c r="H236">
        <v>120</v>
      </c>
      <c r="I236">
        <v>365</v>
      </c>
      <c r="K236">
        <v>375</v>
      </c>
      <c r="L236">
        <v>271</v>
      </c>
      <c r="M236">
        <v>255</v>
      </c>
      <c r="N236">
        <v>995</v>
      </c>
      <c r="O236">
        <v>260</v>
      </c>
      <c r="P236">
        <v>20</v>
      </c>
      <c r="Q236">
        <v>212.5</v>
      </c>
      <c r="R236">
        <v>190</v>
      </c>
      <c r="S236">
        <v>300</v>
      </c>
      <c r="T236">
        <v>572</v>
      </c>
      <c r="U236">
        <v>353</v>
      </c>
      <c r="V236">
        <v>115</v>
      </c>
      <c r="W236">
        <v>425</v>
      </c>
      <c r="X236">
        <v>404</v>
      </c>
      <c r="Y236">
        <v>330</v>
      </c>
      <c r="Z236">
        <v>1300</v>
      </c>
      <c r="AA236">
        <v>345</v>
      </c>
      <c r="AB236">
        <v>15</v>
      </c>
      <c r="AC236">
        <v>165</v>
      </c>
      <c r="AD236">
        <v>2310</v>
      </c>
      <c r="AE236">
        <v>305</v>
      </c>
    </row>
    <row r="237" spans="1:31" x14ac:dyDescent="0.25">
      <c r="A237" t="s">
        <v>723</v>
      </c>
      <c r="B237">
        <v>2012</v>
      </c>
      <c r="C237">
        <v>3</v>
      </c>
      <c r="D237">
        <v>6</v>
      </c>
      <c r="E237">
        <v>117.5</v>
      </c>
      <c r="F237">
        <v>14</v>
      </c>
      <c r="G237">
        <v>190</v>
      </c>
      <c r="I237">
        <v>220</v>
      </c>
      <c r="K237">
        <v>290</v>
      </c>
      <c r="L237">
        <v>22</v>
      </c>
      <c r="M237">
        <v>160</v>
      </c>
      <c r="N237">
        <v>45</v>
      </c>
      <c r="O237">
        <v>162.5</v>
      </c>
      <c r="Q237">
        <v>135</v>
      </c>
      <c r="R237">
        <v>38</v>
      </c>
      <c r="S237">
        <v>192.5</v>
      </c>
      <c r="T237">
        <v>158</v>
      </c>
      <c r="U237">
        <v>215</v>
      </c>
      <c r="V237">
        <v>49</v>
      </c>
      <c r="W237">
        <v>270</v>
      </c>
      <c r="X237">
        <v>202</v>
      </c>
      <c r="Y237">
        <v>210</v>
      </c>
      <c r="Z237">
        <v>450</v>
      </c>
      <c r="AA237">
        <v>220</v>
      </c>
      <c r="AB237">
        <v>0</v>
      </c>
      <c r="AD237">
        <v>495</v>
      </c>
      <c r="AE237">
        <v>210</v>
      </c>
    </row>
    <row r="238" spans="1:31" x14ac:dyDescent="0.25">
      <c r="A238" t="s">
        <v>711</v>
      </c>
      <c r="B238">
        <v>2012</v>
      </c>
      <c r="C238">
        <v>6</v>
      </c>
      <c r="E238">
        <v>230</v>
      </c>
      <c r="F238">
        <v>25</v>
      </c>
      <c r="G238">
        <v>255</v>
      </c>
      <c r="H238">
        <v>30</v>
      </c>
      <c r="I238">
        <v>287.5</v>
      </c>
      <c r="J238">
        <v>6</v>
      </c>
      <c r="K238">
        <v>370</v>
      </c>
      <c r="L238">
        <v>37</v>
      </c>
      <c r="M238">
        <v>290</v>
      </c>
      <c r="N238">
        <v>100</v>
      </c>
      <c r="O238">
        <v>280</v>
      </c>
      <c r="Q238">
        <v>250</v>
      </c>
      <c r="R238">
        <v>28</v>
      </c>
      <c r="S238">
        <v>285</v>
      </c>
      <c r="T238">
        <v>134</v>
      </c>
      <c r="U238">
        <v>340</v>
      </c>
      <c r="V238">
        <v>93</v>
      </c>
      <c r="W238">
        <v>400</v>
      </c>
      <c r="X238">
        <v>97</v>
      </c>
      <c r="Y238">
        <v>330</v>
      </c>
      <c r="Z238">
        <v>355</v>
      </c>
      <c r="AA238">
        <v>350</v>
      </c>
      <c r="AB238">
        <v>0</v>
      </c>
      <c r="AD238">
        <v>455</v>
      </c>
      <c r="AE238">
        <v>330</v>
      </c>
    </row>
    <row r="239" spans="1:31" x14ac:dyDescent="0.25">
      <c r="A239" t="s">
        <v>712</v>
      </c>
      <c r="B239">
        <v>2012</v>
      </c>
      <c r="C239">
        <v>6</v>
      </c>
      <c r="D239">
        <v>9</v>
      </c>
      <c r="E239">
        <v>195</v>
      </c>
      <c r="F239">
        <v>38</v>
      </c>
      <c r="G239">
        <v>225</v>
      </c>
      <c r="H239">
        <v>19</v>
      </c>
      <c r="I239">
        <v>260</v>
      </c>
      <c r="K239">
        <v>178.5</v>
      </c>
      <c r="L239">
        <v>34</v>
      </c>
      <c r="M239">
        <v>210.5</v>
      </c>
      <c r="N239">
        <v>100</v>
      </c>
      <c r="O239">
        <v>225</v>
      </c>
      <c r="Q239">
        <v>160</v>
      </c>
      <c r="R239">
        <v>27</v>
      </c>
      <c r="S239">
        <v>220</v>
      </c>
      <c r="T239">
        <v>169</v>
      </c>
      <c r="U239">
        <v>280</v>
      </c>
      <c r="V239">
        <v>54</v>
      </c>
      <c r="W239">
        <v>337.5</v>
      </c>
      <c r="X239">
        <v>131</v>
      </c>
      <c r="Y239">
        <v>260</v>
      </c>
      <c r="Z239">
        <v>385</v>
      </c>
      <c r="AA239">
        <v>280</v>
      </c>
      <c r="AC239">
        <v>245</v>
      </c>
      <c r="AD239">
        <v>485</v>
      </c>
      <c r="AE239">
        <v>270</v>
      </c>
    </row>
    <row r="240" spans="1:31" x14ac:dyDescent="0.25">
      <c r="A240" t="s">
        <v>713</v>
      </c>
      <c r="B240">
        <v>2012</v>
      </c>
      <c r="C240">
        <v>6</v>
      </c>
      <c r="D240">
        <v>341</v>
      </c>
      <c r="E240">
        <v>247</v>
      </c>
      <c r="F240">
        <v>851</v>
      </c>
      <c r="G240">
        <v>310</v>
      </c>
      <c r="H240">
        <v>184</v>
      </c>
      <c r="I240">
        <v>401.92500000000001</v>
      </c>
      <c r="J240">
        <v>10</v>
      </c>
      <c r="K240">
        <v>340</v>
      </c>
      <c r="L240">
        <v>538</v>
      </c>
      <c r="M240">
        <v>290</v>
      </c>
      <c r="N240">
        <v>1925</v>
      </c>
      <c r="O240">
        <v>300</v>
      </c>
      <c r="P240">
        <v>21</v>
      </c>
      <c r="Q240">
        <v>225</v>
      </c>
      <c r="R240">
        <v>242</v>
      </c>
      <c r="S240">
        <v>350</v>
      </c>
      <c r="T240">
        <v>450</v>
      </c>
      <c r="U240">
        <v>400</v>
      </c>
      <c r="V240">
        <v>106</v>
      </c>
      <c r="W240">
        <v>500</v>
      </c>
      <c r="X240">
        <v>402</v>
      </c>
      <c r="Y240">
        <v>385</v>
      </c>
      <c r="Z240">
        <v>1220</v>
      </c>
      <c r="AA240">
        <v>385</v>
      </c>
      <c r="AB240">
        <v>68</v>
      </c>
      <c r="AC240">
        <v>185</v>
      </c>
      <c r="AD240">
        <v>3215</v>
      </c>
      <c r="AE240">
        <v>335</v>
      </c>
    </row>
    <row r="241" spans="1:31" x14ac:dyDescent="0.25">
      <c r="A241" t="s">
        <v>714</v>
      </c>
      <c r="B241">
        <v>2012</v>
      </c>
      <c r="C241">
        <v>6</v>
      </c>
      <c r="D241">
        <v>36</v>
      </c>
      <c r="E241">
        <v>150</v>
      </c>
      <c r="F241">
        <v>89</v>
      </c>
      <c r="G241">
        <v>200</v>
      </c>
      <c r="H241">
        <v>18</v>
      </c>
      <c r="I241">
        <v>275</v>
      </c>
      <c r="K241">
        <v>337.5</v>
      </c>
      <c r="L241">
        <v>24</v>
      </c>
      <c r="M241">
        <v>145</v>
      </c>
      <c r="N241">
        <v>170</v>
      </c>
      <c r="O241">
        <v>199</v>
      </c>
      <c r="Q241">
        <v>157.5</v>
      </c>
      <c r="R241">
        <v>50</v>
      </c>
      <c r="S241">
        <v>210</v>
      </c>
      <c r="T241">
        <v>258</v>
      </c>
      <c r="U241">
        <v>250</v>
      </c>
      <c r="V241">
        <v>72</v>
      </c>
      <c r="W241">
        <v>360</v>
      </c>
      <c r="X241">
        <v>72</v>
      </c>
      <c r="Y241">
        <v>200</v>
      </c>
      <c r="Z241">
        <v>455</v>
      </c>
      <c r="AA241">
        <v>250</v>
      </c>
      <c r="AC241">
        <v>80</v>
      </c>
      <c r="AD241">
        <v>625</v>
      </c>
      <c r="AE241">
        <v>230</v>
      </c>
    </row>
    <row r="242" spans="1:31" x14ac:dyDescent="0.25">
      <c r="A242" t="s">
        <v>715</v>
      </c>
      <c r="B242">
        <v>2012</v>
      </c>
      <c r="C242">
        <v>6</v>
      </c>
      <c r="D242">
        <v>13</v>
      </c>
      <c r="E242">
        <v>150</v>
      </c>
      <c r="F242">
        <v>39</v>
      </c>
      <c r="G242">
        <v>170</v>
      </c>
      <c r="H242">
        <v>11</v>
      </c>
      <c r="I242">
        <v>430</v>
      </c>
      <c r="K242">
        <v>580</v>
      </c>
      <c r="L242">
        <v>8</v>
      </c>
      <c r="M242">
        <v>160</v>
      </c>
      <c r="N242">
        <v>70</v>
      </c>
      <c r="O242">
        <v>177.5</v>
      </c>
      <c r="Q242">
        <v>165</v>
      </c>
      <c r="R242">
        <v>22</v>
      </c>
      <c r="S242">
        <v>220</v>
      </c>
      <c r="T242">
        <v>92</v>
      </c>
      <c r="U242">
        <v>250</v>
      </c>
      <c r="V242">
        <v>45</v>
      </c>
      <c r="W242">
        <v>350</v>
      </c>
      <c r="X242">
        <v>39</v>
      </c>
      <c r="Y242">
        <v>170</v>
      </c>
      <c r="Z242">
        <v>200</v>
      </c>
      <c r="AA242">
        <v>250</v>
      </c>
      <c r="AC242">
        <v>350</v>
      </c>
      <c r="AD242">
        <v>275</v>
      </c>
      <c r="AE242">
        <v>230</v>
      </c>
    </row>
    <row r="243" spans="1:31" x14ac:dyDescent="0.25">
      <c r="A243" t="s">
        <v>716</v>
      </c>
      <c r="B243">
        <v>2012</v>
      </c>
      <c r="C243">
        <v>6</v>
      </c>
      <c r="D243">
        <v>13</v>
      </c>
      <c r="E243">
        <v>165</v>
      </c>
      <c r="F243">
        <v>36</v>
      </c>
      <c r="G243">
        <v>200</v>
      </c>
      <c r="H243">
        <v>27</v>
      </c>
      <c r="I243">
        <v>260</v>
      </c>
      <c r="K243">
        <v>335</v>
      </c>
      <c r="L243">
        <v>16</v>
      </c>
      <c r="M243">
        <v>215</v>
      </c>
      <c r="N243">
        <v>95</v>
      </c>
      <c r="O243">
        <v>210</v>
      </c>
      <c r="Q243">
        <v>175</v>
      </c>
      <c r="R243">
        <v>38</v>
      </c>
      <c r="S243">
        <v>220</v>
      </c>
      <c r="T243">
        <v>175</v>
      </c>
      <c r="U243">
        <v>260</v>
      </c>
      <c r="V243">
        <v>84</v>
      </c>
      <c r="W243">
        <v>320</v>
      </c>
      <c r="X243">
        <v>64</v>
      </c>
      <c r="Y243">
        <v>250</v>
      </c>
      <c r="Z243">
        <v>365</v>
      </c>
      <c r="AA243">
        <v>265</v>
      </c>
      <c r="AC243">
        <v>205</v>
      </c>
      <c r="AD243">
        <v>460</v>
      </c>
      <c r="AE243">
        <v>255</v>
      </c>
    </row>
    <row r="244" spans="1:31" x14ac:dyDescent="0.25">
      <c r="A244" t="s">
        <v>717</v>
      </c>
      <c r="B244">
        <v>2012</v>
      </c>
      <c r="C244">
        <v>6</v>
      </c>
      <c r="D244">
        <v>12</v>
      </c>
      <c r="E244">
        <v>102.5</v>
      </c>
      <c r="F244">
        <v>110</v>
      </c>
      <c r="G244">
        <v>137.5</v>
      </c>
      <c r="H244">
        <v>27</v>
      </c>
      <c r="I244">
        <v>195</v>
      </c>
      <c r="K244">
        <v>230</v>
      </c>
      <c r="L244">
        <v>49</v>
      </c>
      <c r="M244">
        <v>135</v>
      </c>
      <c r="N244">
        <v>200</v>
      </c>
      <c r="O244">
        <v>140</v>
      </c>
      <c r="P244">
        <v>6</v>
      </c>
      <c r="Q244">
        <v>140</v>
      </c>
      <c r="R244">
        <v>37</v>
      </c>
      <c r="S244">
        <v>180</v>
      </c>
      <c r="T244">
        <v>229</v>
      </c>
      <c r="U244">
        <v>210</v>
      </c>
      <c r="V244">
        <v>50</v>
      </c>
      <c r="W244">
        <v>270</v>
      </c>
      <c r="X244">
        <v>140</v>
      </c>
      <c r="Y244">
        <v>200</v>
      </c>
      <c r="Z244">
        <v>460</v>
      </c>
      <c r="AA244">
        <v>205</v>
      </c>
      <c r="AC244">
        <v>290</v>
      </c>
      <c r="AD244">
        <v>660</v>
      </c>
      <c r="AE244">
        <v>190</v>
      </c>
    </row>
    <row r="245" spans="1:31" x14ac:dyDescent="0.25">
      <c r="A245" t="s">
        <v>628</v>
      </c>
      <c r="B245">
        <v>2012</v>
      </c>
      <c r="C245">
        <v>6</v>
      </c>
      <c r="D245">
        <v>611</v>
      </c>
      <c r="E245">
        <v>230</v>
      </c>
      <c r="F245">
        <v>2308</v>
      </c>
      <c r="G245">
        <v>275</v>
      </c>
      <c r="H245">
        <v>573</v>
      </c>
      <c r="I245">
        <v>340</v>
      </c>
      <c r="J245">
        <v>24</v>
      </c>
      <c r="K245">
        <v>267.5</v>
      </c>
      <c r="L245">
        <v>1444</v>
      </c>
      <c r="M245">
        <v>265</v>
      </c>
      <c r="N245">
        <v>4960</v>
      </c>
      <c r="O245">
        <v>275</v>
      </c>
      <c r="P245">
        <v>82</v>
      </c>
      <c r="Q245">
        <v>210</v>
      </c>
      <c r="R245">
        <v>756</v>
      </c>
      <c r="S245">
        <v>310</v>
      </c>
      <c r="T245">
        <v>3684</v>
      </c>
      <c r="U245">
        <v>320</v>
      </c>
      <c r="V245">
        <v>832</v>
      </c>
      <c r="W245">
        <v>392.5</v>
      </c>
      <c r="X245">
        <v>2711</v>
      </c>
      <c r="Y245">
        <v>300</v>
      </c>
      <c r="Z245">
        <v>8065</v>
      </c>
      <c r="AA245">
        <v>320</v>
      </c>
      <c r="AB245">
        <v>129</v>
      </c>
      <c r="AC245">
        <v>180</v>
      </c>
      <c r="AD245">
        <v>13154</v>
      </c>
      <c r="AE245">
        <v>300</v>
      </c>
    </row>
    <row r="246" spans="1:31" x14ac:dyDescent="0.25">
      <c r="A246" t="s">
        <v>718</v>
      </c>
      <c r="B246">
        <v>2012</v>
      </c>
      <c r="C246">
        <v>6</v>
      </c>
      <c r="D246">
        <v>17</v>
      </c>
      <c r="E246">
        <v>130</v>
      </c>
      <c r="F246">
        <v>83</v>
      </c>
      <c r="G246">
        <v>150</v>
      </c>
      <c r="H246">
        <v>18</v>
      </c>
      <c r="I246">
        <v>230</v>
      </c>
      <c r="K246">
        <v>280</v>
      </c>
      <c r="L246">
        <v>37</v>
      </c>
      <c r="M246">
        <v>140</v>
      </c>
      <c r="N246">
        <v>155</v>
      </c>
      <c r="O246">
        <v>150</v>
      </c>
      <c r="Q246">
        <v>150</v>
      </c>
      <c r="R246">
        <v>47</v>
      </c>
      <c r="S246">
        <v>175</v>
      </c>
      <c r="T246">
        <v>255</v>
      </c>
      <c r="U246">
        <v>220</v>
      </c>
      <c r="V246">
        <v>70</v>
      </c>
      <c r="W246">
        <v>265</v>
      </c>
      <c r="X246">
        <v>146</v>
      </c>
      <c r="Y246">
        <v>190</v>
      </c>
      <c r="Z246">
        <v>525</v>
      </c>
      <c r="AA246">
        <v>210</v>
      </c>
      <c r="AC246">
        <v>165</v>
      </c>
      <c r="AD246">
        <v>680</v>
      </c>
      <c r="AE246">
        <v>190</v>
      </c>
    </row>
    <row r="247" spans="1:31" x14ac:dyDescent="0.25">
      <c r="A247" t="s">
        <v>719</v>
      </c>
      <c r="B247">
        <v>2012</v>
      </c>
      <c r="C247">
        <v>6</v>
      </c>
      <c r="D247">
        <v>62</v>
      </c>
      <c r="E247">
        <v>165</v>
      </c>
      <c r="F247">
        <v>335</v>
      </c>
      <c r="G247">
        <v>250</v>
      </c>
      <c r="H247">
        <v>158</v>
      </c>
      <c r="I247">
        <v>307.5</v>
      </c>
      <c r="K247">
        <v>240</v>
      </c>
      <c r="L247">
        <v>216</v>
      </c>
      <c r="M247">
        <v>230</v>
      </c>
      <c r="N247">
        <v>775</v>
      </c>
      <c r="O247">
        <v>251</v>
      </c>
      <c r="P247">
        <v>14</v>
      </c>
      <c r="Q247">
        <v>160</v>
      </c>
      <c r="R247">
        <v>162</v>
      </c>
      <c r="S247">
        <v>250</v>
      </c>
      <c r="T247">
        <v>1594</v>
      </c>
      <c r="U247">
        <v>290</v>
      </c>
      <c r="V247">
        <v>295</v>
      </c>
      <c r="W247">
        <v>345</v>
      </c>
      <c r="X247">
        <v>1068</v>
      </c>
      <c r="Y247">
        <v>275</v>
      </c>
      <c r="Z247">
        <v>3135</v>
      </c>
      <c r="AA247">
        <v>285</v>
      </c>
      <c r="AB247">
        <v>21</v>
      </c>
      <c r="AC247">
        <v>172.5</v>
      </c>
      <c r="AD247">
        <v>3930</v>
      </c>
      <c r="AE247">
        <v>280</v>
      </c>
    </row>
    <row r="248" spans="1:31" x14ac:dyDescent="0.25">
      <c r="A248" t="s">
        <v>720</v>
      </c>
      <c r="B248">
        <v>2012</v>
      </c>
      <c r="C248">
        <v>6</v>
      </c>
      <c r="D248">
        <v>111</v>
      </c>
      <c r="E248">
        <v>145</v>
      </c>
      <c r="F248">
        <v>434</v>
      </c>
      <c r="G248">
        <v>175</v>
      </c>
      <c r="H248">
        <v>162</v>
      </c>
      <c r="I248">
        <v>257.5</v>
      </c>
      <c r="J248">
        <v>16</v>
      </c>
      <c r="K248">
        <v>310</v>
      </c>
      <c r="L248">
        <v>233</v>
      </c>
      <c r="M248">
        <v>180</v>
      </c>
      <c r="N248">
        <v>956</v>
      </c>
      <c r="O248">
        <v>180</v>
      </c>
      <c r="P248">
        <v>30</v>
      </c>
      <c r="Q248">
        <v>165</v>
      </c>
      <c r="R248">
        <v>275</v>
      </c>
      <c r="S248">
        <v>200</v>
      </c>
      <c r="T248">
        <v>1506</v>
      </c>
      <c r="U248">
        <v>245</v>
      </c>
      <c r="V248">
        <v>546</v>
      </c>
      <c r="W248">
        <v>320</v>
      </c>
      <c r="X248">
        <v>969</v>
      </c>
      <c r="Y248">
        <v>225</v>
      </c>
      <c r="Z248">
        <v>3326</v>
      </c>
      <c r="AA248">
        <v>250</v>
      </c>
      <c r="AB248">
        <v>20</v>
      </c>
      <c r="AC248">
        <v>200</v>
      </c>
      <c r="AD248">
        <v>4302</v>
      </c>
      <c r="AE248">
        <v>230</v>
      </c>
    </row>
    <row r="249" spans="1:31" x14ac:dyDescent="0.25">
      <c r="A249" t="s">
        <v>724</v>
      </c>
      <c r="B249">
        <v>2012</v>
      </c>
      <c r="C249">
        <v>6</v>
      </c>
      <c r="D249">
        <v>722</v>
      </c>
      <c r="E249">
        <v>220</v>
      </c>
      <c r="F249">
        <v>2742</v>
      </c>
      <c r="G249">
        <v>265</v>
      </c>
      <c r="H249">
        <v>735</v>
      </c>
      <c r="I249">
        <v>320</v>
      </c>
      <c r="J249">
        <v>40</v>
      </c>
      <c r="K249">
        <v>287.5</v>
      </c>
      <c r="L249">
        <v>1677</v>
      </c>
      <c r="M249">
        <v>260</v>
      </c>
      <c r="N249">
        <v>5916</v>
      </c>
      <c r="O249">
        <v>265</v>
      </c>
      <c r="P249">
        <v>112</v>
      </c>
      <c r="Q249">
        <v>182.5</v>
      </c>
      <c r="R249">
        <v>1031</v>
      </c>
      <c r="S249">
        <v>290</v>
      </c>
      <c r="T249">
        <v>5190</v>
      </c>
      <c r="U249">
        <v>300</v>
      </c>
      <c r="V249">
        <v>1378</v>
      </c>
      <c r="W249">
        <v>360</v>
      </c>
      <c r="X249">
        <v>3680</v>
      </c>
      <c r="Y249">
        <v>285</v>
      </c>
      <c r="Z249">
        <v>11391</v>
      </c>
      <c r="AA249">
        <v>300</v>
      </c>
      <c r="AB249">
        <v>149</v>
      </c>
      <c r="AC249">
        <v>185</v>
      </c>
      <c r="AD249">
        <v>17456</v>
      </c>
      <c r="AE249">
        <v>285</v>
      </c>
    </row>
    <row r="250" spans="1:31" x14ac:dyDescent="0.25">
      <c r="A250" t="s">
        <v>721</v>
      </c>
      <c r="B250">
        <v>2012</v>
      </c>
      <c r="C250">
        <v>6</v>
      </c>
      <c r="D250">
        <v>126</v>
      </c>
      <c r="E250">
        <v>230</v>
      </c>
      <c r="F250">
        <v>524</v>
      </c>
      <c r="G250">
        <v>270</v>
      </c>
      <c r="H250">
        <v>114</v>
      </c>
      <c r="I250">
        <v>300</v>
      </c>
      <c r="J250">
        <v>6</v>
      </c>
      <c r="K250">
        <v>272.5</v>
      </c>
      <c r="L250">
        <v>342</v>
      </c>
      <c r="M250">
        <v>260</v>
      </c>
      <c r="N250">
        <v>1110</v>
      </c>
      <c r="O250">
        <v>265</v>
      </c>
      <c r="P250">
        <v>26</v>
      </c>
      <c r="Q250">
        <v>200</v>
      </c>
      <c r="R250">
        <v>162</v>
      </c>
      <c r="S250">
        <v>300</v>
      </c>
      <c r="T250">
        <v>1038</v>
      </c>
      <c r="U250">
        <v>327</v>
      </c>
      <c r="V250">
        <v>306</v>
      </c>
      <c r="W250">
        <v>400</v>
      </c>
      <c r="X250">
        <v>780</v>
      </c>
      <c r="Y250">
        <v>300</v>
      </c>
      <c r="Z250">
        <v>2310</v>
      </c>
      <c r="AA250">
        <v>330</v>
      </c>
      <c r="AB250">
        <v>24</v>
      </c>
      <c r="AC250">
        <v>165</v>
      </c>
      <c r="AD250">
        <v>3450</v>
      </c>
      <c r="AE250">
        <v>300</v>
      </c>
    </row>
    <row r="251" spans="1:31" x14ac:dyDescent="0.25">
      <c r="A251" t="s">
        <v>722</v>
      </c>
      <c r="B251">
        <v>2012</v>
      </c>
      <c r="C251">
        <v>6</v>
      </c>
      <c r="D251">
        <v>82</v>
      </c>
      <c r="E251">
        <v>220</v>
      </c>
      <c r="F251">
        <v>598</v>
      </c>
      <c r="G251">
        <v>260</v>
      </c>
      <c r="H251">
        <v>117</v>
      </c>
      <c r="I251">
        <v>350</v>
      </c>
      <c r="K251">
        <v>265</v>
      </c>
      <c r="L251">
        <v>348</v>
      </c>
      <c r="M251">
        <v>260</v>
      </c>
      <c r="N251">
        <v>1150</v>
      </c>
      <c r="O251">
        <v>260</v>
      </c>
      <c r="P251">
        <v>21</v>
      </c>
      <c r="Q251">
        <v>210</v>
      </c>
      <c r="R251">
        <v>190</v>
      </c>
      <c r="S251">
        <v>300</v>
      </c>
      <c r="T251">
        <v>602</v>
      </c>
      <c r="U251">
        <v>350</v>
      </c>
      <c r="V251">
        <v>125</v>
      </c>
      <c r="W251">
        <v>420</v>
      </c>
      <c r="X251">
        <v>461</v>
      </c>
      <c r="Y251">
        <v>325</v>
      </c>
      <c r="Z251">
        <v>1400</v>
      </c>
      <c r="AA251">
        <v>340</v>
      </c>
      <c r="AB251">
        <v>16</v>
      </c>
      <c r="AC251">
        <v>165</v>
      </c>
      <c r="AD251">
        <v>2565</v>
      </c>
      <c r="AE251">
        <v>300</v>
      </c>
    </row>
    <row r="252" spans="1:31" x14ac:dyDescent="0.25">
      <c r="A252" t="s">
        <v>723</v>
      </c>
      <c r="B252">
        <v>2012</v>
      </c>
      <c r="C252">
        <v>6</v>
      </c>
      <c r="D252">
        <v>9</v>
      </c>
      <c r="E252">
        <v>100</v>
      </c>
      <c r="F252">
        <v>14</v>
      </c>
      <c r="G252">
        <v>157.75</v>
      </c>
      <c r="H252">
        <v>12</v>
      </c>
      <c r="I252">
        <v>235</v>
      </c>
      <c r="K252">
        <v>285</v>
      </c>
      <c r="L252">
        <v>28</v>
      </c>
      <c r="M252">
        <v>175</v>
      </c>
      <c r="N252">
        <v>65</v>
      </c>
      <c r="O252">
        <v>170</v>
      </c>
      <c r="Q252">
        <v>150</v>
      </c>
      <c r="R252">
        <v>26</v>
      </c>
      <c r="S252">
        <v>180</v>
      </c>
      <c r="T252">
        <v>194</v>
      </c>
      <c r="U252">
        <v>217.5</v>
      </c>
      <c r="V252">
        <v>78</v>
      </c>
      <c r="W252">
        <v>252.5</v>
      </c>
      <c r="X252">
        <v>280</v>
      </c>
      <c r="Y252">
        <v>200</v>
      </c>
      <c r="Z252">
        <v>580</v>
      </c>
      <c r="AA252">
        <v>220</v>
      </c>
      <c r="AB252">
        <v>6</v>
      </c>
      <c r="AC252">
        <v>190</v>
      </c>
      <c r="AD252">
        <v>650</v>
      </c>
      <c r="AE252">
        <v>205.6</v>
      </c>
    </row>
    <row r="253" spans="1:31" x14ac:dyDescent="0.25">
      <c r="A253" t="s">
        <v>711</v>
      </c>
      <c r="B253">
        <v>2012</v>
      </c>
      <c r="C253">
        <v>9</v>
      </c>
      <c r="D253">
        <v>0</v>
      </c>
      <c r="F253">
        <v>15</v>
      </c>
      <c r="G253">
        <v>240</v>
      </c>
      <c r="H253">
        <v>20</v>
      </c>
      <c r="I253">
        <v>292.5</v>
      </c>
      <c r="J253">
        <v>6</v>
      </c>
      <c r="K253">
        <v>355</v>
      </c>
      <c r="L253">
        <v>14</v>
      </c>
      <c r="M253">
        <v>285</v>
      </c>
      <c r="N253">
        <v>55</v>
      </c>
      <c r="O253">
        <v>285</v>
      </c>
      <c r="P253">
        <v>7</v>
      </c>
      <c r="Q253">
        <v>300</v>
      </c>
      <c r="R253">
        <v>19</v>
      </c>
      <c r="S253">
        <v>285</v>
      </c>
      <c r="T253">
        <v>96</v>
      </c>
      <c r="U253">
        <v>300</v>
      </c>
      <c r="V253">
        <v>65</v>
      </c>
      <c r="W253">
        <v>420</v>
      </c>
      <c r="X253">
        <v>94</v>
      </c>
      <c r="Y253">
        <v>320</v>
      </c>
      <c r="Z253">
        <v>280</v>
      </c>
      <c r="AA253">
        <v>330</v>
      </c>
      <c r="AC253">
        <v>370</v>
      </c>
      <c r="AD253">
        <v>340</v>
      </c>
      <c r="AE253">
        <v>320</v>
      </c>
    </row>
    <row r="254" spans="1:31" x14ac:dyDescent="0.25">
      <c r="A254" t="s">
        <v>712</v>
      </c>
      <c r="B254">
        <v>2012</v>
      </c>
      <c r="C254">
        <v>9</v>
      </c>
      <c r="D254">
        <v>8</v>
      </c>
      <c r="E254">
        <v>241.66499999999999</v>
      </c>
      <c r="F254">
        <v>29</v>
      </c>
      <c r="G254">
        <v>225</v>
      </c>
      <c r="H254">
        <v>14</v>
      </c>
      <c r="I254">
        <v>285</v>
      </c>
      <c r="K254">
        <v>330</v>
      </c>
      <c r="L254">
        <v>29</v>
      </c>
      <c r="M254">
        <v>220</v>
      </c>
      <c r="N254">
        <v>80</v>
      </c>
      <c r="O254">
        <v>240</v>
      </c>
      <c r="Q254">
        <v>170</v>
      </c>
      <c r="R254">
        <v>19</v>
      </c>
      <c r="S254">
        <v>230</v>
      </c>
      <c r="T254">
        <v>126</v>
      </c>
      <c r="U254">
        <v>290</v>
      </c>
      <c r="V254">
        <v>52</v>
      </c>
      <c r="W254">
        <v>345</v>
      </c>
      <c r="X254">
        <v>113</v>
      </c>
      <c r="Y254">
        <v>270</v>
      </c>
      <c r="Z254">
        <v>315</v>
      </c>
      <c r="AA254">
        <v>285</v>
      </c>
      <c r="AB254">
        <v>0</v>
      </c>
      <c r="AD254">
        <v>395</v>
      </c>
      <c r="AE254">
        <v>275</v>
      </c>
    </row>
    <row r="255" spans="1:31" x14ac:dyDescent="0.25">
      <c r="A255" t="s">
        <v>713</v>
      </c>
      <c r="B255">
        <v>2012</v>
      </c>
      <c r="C255">
        <v>9</v>
      </c>
      <c r="D255">
        <v>307</v>
      </c>
      <c r="E255">
        <v>255</v>
      </c>
      <c r="F255">
        <v>640</v>
      </c>
      <c r="G255">
        <v>300</v>
      </c>
      <c r="H255">
        <v>126</v>
      </c>
      <c r="I255">
        <v>392.5</v>
      </c>
      <c r="J255">
        <v>8</v>
      </c>
      <c r="K255">
        <v>525</v>
      </c>
      <c r="L255">
        <v>410</v>
      </c>
      <c r="M255">
        <v>280</v>
      </c>
      <c r="N255">
        <v>1490</v>
      </c>
      <c r="O255">
        <v>291.5</v>
      </c>
      <c r="P255">
        <v>36</v>
      </c>
      <c r="Q255">
        <v>253</v>
      </c>
      <c r="R255">
        <v>198</v>
      </c>
      <c r="S255">
        <v>350</v>
      </c>
      <c r="T255">
        <v>372</v>
      </c>
      <c r="U255">
        <v>387.5</v>
      </c>
      <c r="V255">
        <v>98</v>
      </c>
      <c r="W255">
        <v>495</v>
      </c>
      <c r="X255">
        <v>338</v>
      </c>
      <c r="Y255">
        <v>380</v>
      </c>
      <c r="Z255">
        <v>1040</v>
      </c>
      <c r="AA255">
        <v>380</v>
      </c>
      <c r="AB255">
        <v>70</v>
      </c>
      <c r="AC255">
        <v>195</v>
      </c>
      <c r="AD255">
        <v>2605</v>
      </c>
      <c r="AE255">
        <v>329</v>
      </c>
    </row>
    <row r="256" spans="1:31" x14ac:dyDescent="0.25">
      <c r="A256" t="s">
        <v>714</v>
      </c>
      <c r="B256">
        <v>2012</v>
      </c>
      <c r="C256">
        <v>9</v>
      </c>
      <c r="D256">
        <v>29</v>
      </c>
      <c r="E256">
        <v>170</v>
      </c>
      <c r="F256">
        <v>45</v>
      </c>
      <c r="G256">
        <v>200</v>
      </c>
      <c r="H256">
        <v>14</v>
      </c>
      <c r="I256">
        <v>292.5</v>
      </c>
      <c r="J256">
        <v>0</v>
      </c>
      <c r="L256">
        <v>19</v>
      </c>
      <c r="M256">
        <v>180</v>
      </c>
      <c r="N256">
        <v>105</v>
      </c>
      <c r="O256">
        <v>200</v>
      </c>
      <c r="Q256">
        <v>130</v>
      </c>
      <c r="R256">
        <v>29</v>
      </c>
      <c r="S256">
        <v>250</v>
      </c>
      <c r="T256">
        <v>185</v>
      </c>
      <c r="U256">
        <v>250</v>
      </c>
      <c r="V256">
        <v>40</v>
      </c>
      <c r="W256">
        <v>345</v>
      </c>
      <c r="X256">
        <v>58</v>
      </c>
      <c r="Y256">
        <v>220</v>
      </c>
      <c r="Z256">
        <v>315</v>
      </c>
      <c r="AA256">
        <v>260</v>
      </c>
      <c r="AC256">
        <v>310</v>
      </c>
      <c r="AD256">
        <v>420</v>
      </c>
      <c r="AE256">
        <v>250</v>
      </c>
    </row>
    <row r="257" spans="1:31" x14ac:dyDescent="0.25">
      <c r="A257" t="s">
        <v>715</v>
      </c>
      <c r="B257">
        <v>2012</v>
      </c>
      <c r="C257">
        <v>9</v>
      </c>
      <c r="D257">
        <v>9</v>
      </c>
      <c r="E257">
        <v>160</v>
      </c>
      <c r="F257">
        <v>15</v>
      </c>
      <c r="G257">
        <v>155</v>
      </c>
      <c r="I257">
        <v>327.5</v>
      </c>
      <c r="K257">
        <v>465</v>
      </c>
      <c r="L257">
        <v>7</v>
      </c>
      <c r="M257">
        <v>150</v>
      </c>
      <c r="N257">
        <v>35</v>
      </c>
      <c r="O257">
        <v>155</v>
      </c>
      <c r="Q257">
        <v>275</v>
      </c>
      <c r="R257">
        <v>16</v>
      </c>
      <c r="S257">
        <v>225</v>
      </c>
      <c r="T257">
        <v>94</v>
      </c>
      <c r="U257">
        <v>260</v>
      </c>
      <c r="V257">
        <v>23</v>
      </c>
      <c r="W257">
        <v>400</v>
      </c>
      <c r="X257">
        <v>35</v>
      </c>
      <c r="Y257">
        <v>210</v>
      </c>
      <c r="Z257">
        <v>170</v>
      </c>
      <c r="AA257">
        <v>250</v>
      </c>
      <c r="AB257">
        <v>0</v>
      </c>
      <c r="AD257">
        <v>210</v>
      </c>
      <c r="AE257">
        <v>230</v>
      </c>
    </row>
    <row r="258" spans="1:31" x14ac:dyDescent="0.25">
      <c r="A258" t="s">
        <v>716</v>
      </c>
      <c r="B258">
        <v>2012</v>
      </c>
      <c r="C258">
        <v>9</v>
      </c>
      <c r="D258">
        <v>11</v>
      </c>
      <c r="E258">
        <v>150</v>
      </c>
      <c r="F258">
        <v>39</v>
      </c>
      <c r="G258">
        <v>210</v>
      </c>
      <c r="H258">
        <v>16</v>
      </c>
      <c r="I258">
        <v>242.5</v>
      </c>
      <c r="J258">
        <v>0</v>
      </c>
      <c r="L258">
        <v>22</v>
      </c>
      <c r="M258">
        <v>185</v>
      </c>
      <c r="N258">
        <v>90</v>
      </c>
      <c r="O258">
        <v>200</v>
      </c>
      <c r="Q258">
        <v>157.5</v>
      </c>
      <c r="R258">
        <v>37</v>
      </c>
      <c r="S258">
        <v>230</v>
      </c>
      <c r="T258">
        <v>135</v>
      </c>
      <c r="U258">
        <v>260</v>
      </c>
      <c r="V258">
        <v>51</v>
      </c>
      <c r="W258">
        <v>310</v>
      </c>
      <c r="X258">
        <v>74</v>
      </c>
      <c r="Y258">
        <v>250</v>
      </c>
      <c r="Z258">
        <v>300</v>
      </c>
      <c r="AA258">
        <v>260</v>
      </c>
      <c r="AB258">
        <v>0</v>
      </c>
      <c r="AD258">
        <v>385</v>
      </c>
      <c r="AE258">
        <v>250</v>
      </c>
    </row>
    <row r="259" spans="1:31" x14ac:dyDescent="0.25">
      <c r="A259" t="s">
        <v>717</v>
      </c>
      <c r="B259">
        <v>2012</v>
      </c>
      <c r="C259">
        <v>9</v>
      </c>
      <c r="D259">
        <v>14</v>
      </c>
      <c r="E259">
        <v>117.5</v>
      </c>
      <c r="F259">
        <v>77</v>
      </c>
      <c r="G259">
        <v>160</v>
      </c>
      <c r="H259">
        <v>18</v>
      </c>
      <c r="I259">
        <v>240</v>
      </c>
      <c r="J259">
        <v>0</v>
      </c>
      <c r="L259">
        <v>42</v>
      </c>
      <c r="M259">
        <v>150</v>
      </c>
      <c r="N259">
        <v>150</v>
      </c>
      <c r="O259">
        <v>160</v>
      </c>
      <c r="Q259">
        <v>150</v>
      </c>
      <c r="R259">
        <v>27</v>
      </c>
      <c r="S259">
        <v>170</v>
      </c>
      <c r="T259">
        <v>179</v>
      </c>
      <c r="U259">
        <v>215</v>
      </c>
      <c r="V259">
        <v>47</v>
      </c>
      <c r="W259">
        <v>265</v>
      </c>
      <c r="X259">
        <v>97</v>
      </c>
      <c r="Y259">
        <v>200</v>
      </c>
      <c r="Z259">
        <v>355</v>
      </c>
      <c r="AA259">
        <v>210</v>
      </c>
      <c r="AC259">
        <v>220</v>
      </c>
      <c r="AD259">
        <v>505</v>
      </c>
      <c r="AE259">
        <v>200</v>
      </c>
    </row>
    <row r="260" spans="1:31" x14ac:dyDescent="0.25">
      <c r="A260" t="s">
        <v>628</v>
      </c>
      <c r="B260">
        <v>2012</v>
      </c>
      <c r="C260">
        <v>9</v>
      </c>
      <c r="D260">
        <v>523</v>
      </c>
      <c r="E260">
        <v>235</v>
      </c>
      <c r="F260">
        <v>1811</v>
      </c>
      <c r="G260">
        <v>275</v>
      </c>
      <c r="H260">
        <v>441</v>
      </c>
      <c r="I260">
        <v>350</v>
      </c>
      <c r="J260">
        <v>23</v>
      </c>
      <c r="K260">
        <v>400</v>
      </c>
      <c r="L260">
        <v>1192</v>
      </c>
      <c r="M260">
        <v>260</v>
      </c>
      <c r="N260">
        <v>3990</v>
      </c>
      <c r="O260">
        <v>270</v>
      </c>
      <c r="P260">
        <v>85</v>
      </c>
      <c r="Q260">
        <v>220</v>
      </c>
      <c r="R260">
        <v>580</v>
      </c>
      <c r="S260">
        <v>305</v>
      </c>
      <c r="T260">
        <v>2917</v>
      </c>
      <c r="U260">
        <v>320</v>
      </c>
      <c r="V260">
        <v>680</v>
      </c>
      <c r="W260">
        <v>395</v>
      </c>
      <c r="X260">
        <v>2346</v>
      </c>
      <c r="Y260">
        <v>300</v>
      </c>
      <c r="Z260">
        <v>6608</v>
      </c>
      <c r="AA260">
        <v>320</v>
      </c>
      <c r="AB260">
        <v>114</v>
      </c>
      <c r="AC260">
        <v>189</v>
      </c>
      <c r="AD260">
        <v>10712</v>
      </c>
      <c r="AE260">
        <v>300</v>
      </c>
    </row>
    <row r="261" spans="1:31" x14ac:dyDescent="0.25">
      <c r="A261" t="s">
        <v>718</v>
      </c>
      <c r="B261">
        <v>2012</v>
      </c>
      <c r="C261">
        <v>9</v>
      </c>
      <c r="D261">
        <v>17</v>
      </c>
      <c r="E261">
        <v>120</v>
      </c>
      <c r="F261">
        <v>46</v>
      </c>
      <c r="G261">
        <v>160</v>
      </c>
      <c r="H261">
        <v>17</v>
      </c>
      <c r="I261">
        <v>240</v>
      </c>
      <c r="J261">
        <v>0</v>
      </c>
      <c r="L261">
        <v>34</v>
      </c>
      <c r="M261">
        <v>150</v>
      </c>
      <c r="N261">
        <v>115</v>
      </c>
      <c r="O261">
        <v>158</v>
      </c>
      <c r="Q261">
        <v>130</v>
      </c>
      <c r="R261">
        <v>29</v>
      </c>
      <c r="S261">
        <v>175</v>
      </c>
      <c r="T261">
        <v>178</v>
      </c>
      <c r="U261">
        <v>200</v>
      </c>
      <c r="V261">
        <v>66</v>
      </c>
      <c r="W261">
        <v>270</v>
      </c>
      <c r="X261">
        <v>134</v>
      </c>
      <c r="Y261">
        <v>210</v>
      </c>
      <c r="Z261">
        <v>410</v>
      </c>
      <c r="AA261">
        <v>210</v>
      </c>
      <c r="AB261">
        <v>0</v>
      </c>
      <c r="AD261">
        <v>525</v>
      </c>
      <c r="AE261">
        <v>200</v>
      </c>
    </row>
    <row r="262" spans="1:31" x14ac:dyDescent="0.25">
      <c r="A262" t="s">
        <v>719</v>
      </c>
      <c r="B262">
        <v>2012</v>
      </c>
      <c r="C262">
        <v>9</v>
      </c>
      <c r="D262">
        <v>43</v>
      </c>
      <c r="E262">
        <v>175</v>
      </c>
      <c r="F262">
        <v>269</v>
      </c>
      <c r="G262">
        <v>250</v>
      </c>
      <c r="H262">
        <v>111</v>
      </c>
      <c r="I262">
        <v>320</v>
      </c>
      <c r="J262">
        <v>6</v>
      </c>
      <c r="K262">
        <v>320</v>
      </c>
      <c r="L262">
        <v>207</v>
      </c>
      <c r="M262">
        <v>240</v>
      </c>
      <c r="N262">
        <v>635</v>
      </c>
      <c r="O262">
        <v>255</v>
      </c>
      <c r="P262">
        <v>9</v>
      </c>
      <c r="Q262">
        <v>220</v>
      </c>
      <c r="R262">
        <v>106</v>
      </c>
      <c r="S262">
        <v>257.5</v>
      </c>
      <c r="T262">
        <v>1188</v>
      </c>
      <c r="U262">
        <v>290</v>
      </c>
      <c r="V262">
        <v>239</v>
      </c>
      <c r="W262">
        <v>360</v>
      </c>
      <c r="X262">
        <v>987</v>
      </c>
      <c r="Y262">
        <v>275</v>
      </c>
      <c r="Z262">
        <v>2530</v>
      </c>
      <c r="AA262">
        <v>285</v>
      </c>
      <c r="AB262">
        <v>13</v>
      </c>
      <c r="AC262">
        <v>172.5</v>
      </c>
      <c r="AD262">
        <v>3180</v>
      </c>
      <c r="AE262">
        <v>280</v>
      </c>
    </row>
    <row r="263" spans="1:31" x14ac:dyDescent="0.25">
      <c r="A263" t="s">
        <v>720</v>
      </c>
      <c r="B263">
        <v>2012</v>
      </c>
      <c r="C263">
        <v>9</v>
      </c>
      <c r="D263">
        <v>89</v>
      </c>
      <c r="E263">
        <v>140</v>
      </c>
      <c r="F263">
        <v>280</v>
      </c>
      <c r="G263">
        <v>185</v>
      </c>
      <c r="H263">
        <v>107</v>
      </c>
      <c r="I263">
        <v>260</v>
      </c>
      <c r="J263">
        <v>10</v>
      </c>
      <c r="K263">
        <v>340</v>
      </c>
      <c r="L263">
        <v>187</v>
      </c>
      <c r="M263">
        <v>175</v>
      </c>
      <c r="N263">
        <v>673</v>
      </c>
      <c r="O263">
        <v>190</v>
      </c>
      <c r="P263">
        <v>31</v>
      </c>
      <c r="Q263">
        <v>160</v>
      </c>
      <c r="R263">
        <v>212</v>
      </c>
      <c r="S263">
        <v>205</v>
      </c>
      <c r="T263">
        <v>1172</v>
      </c>
      <c r="U263">
        <v>250</v>
      </c>
      <c r="V263">
        <v>409</v>
      </c>
      <c r="W263">
        <v>320</v>
      </c>
      <c r="X263">
        <v>804</v>
      </c>
      <c r="Y263">
        <v>230</v>
      </c>
      <c r="Z263">
        <v>2628</v>
      </c>
      <c r="AA263">
        <v>250</v>
      </c>
      <c r="AB263">
        <v>6</v>
      </c>
      <c r="AC263">
        <v>285</v>
      </c>
      <c r="AD263">
        <v>3307</v>
      </c>
      <c r="AE263">
        <v>240</v>
      </c>
    </row>
    <row r="264" spans="1:31" x14ac:dyDescent="0.25">
      <c r="A264" t="s">
        <v>724</v>
      </c>
      <c r="B264">
        <v>2012</v>
      </c>
      <c r="C264">
        <v>9</v>
      </c>
      <c r="D264">
        <v>612</v>
      </c>
      <c r="E264">
        <v>230</v>
      </c>
      <c r="F264">
        <v>2091</v>
      </c>
      <c r="G264">
        <v>265</v>
      </c>
      <c r="H264">
        <v>548</v>
      </c>
      <c r="I264">
        <v>330</v>
      </c>
      <c r="J264">
        <v>33</v>
      </c>
      <c r="K264">
        <v>360</v>
      </c>
      <c r="L264">
        <v>1379</v>
      </c>
      <c r="M264">
        <v>255</v>
      </c>
      <c r="N264">
        <v>4663</v>
      </c>
      <c r="O264">
        <v>265</v>
      </c>
      <c r="P264">
        <v>116</v>
      </c>
      <c r="Q264">
        <v>200</v>
      </c>
      <c r="R264">
        <v>792</v>
      </c>
      <c r="S264">
        <v>285</v>
      </c>
      <c r="T264">
        <v>4089</v>
      </c>
      <c r="U264">
        <v>300</v>
      </c>
      <c r="V264">
        <v>1089</v>
      </c>
      <c r="W264">
        <v>365</v>
      </c>
      <c r="X264">
        <v>3150</v>
      </c>
      <c r="Y264">
        <v>285</v>
      </c>
      <c r="Z264">
        <v>9236</v>
      </c>
      <c r="AA264">
        <v>300</v>
      </c>
      <c r="AB264">
        <v>120</v>
      </c>
      <c r="AC264">
        <v>189</v>
      </c>
      <c r="AD264">
        <v>14019</v>
      </c>
      <c r="AE264">
        <v>285</v>
      </c>
    </row>
    <row r="265" spans="1:31" x14ac:dyDescent="0.25">
      <c r="A265" t="s">
        <v>721</v>
      </c>
      <c r="B265">
        <v>2012</v>
      </c>
      <c r="C265">
        <v>9</v>
      </c>
      <c r="D265">
        <v>95</v>
      </c>
      <c r="E265">
        <v>230</v>
      </c>
      <c r="F265">
        <v>422</v>
      </c>
      <c r="G265">
        <v>270</v>
      </c>
      <c r="H265">
        <v>115</v>
      </c>
      <c r="I265">
        <v>330</v>
      </c>
      <c r="K265">
        <v>475</v>
      </c>
      <c r="L265">
        <v>289</v>
      </c>
      <c r="M265">
        <v>260</v>
      </c>
      <c r="N265">
        <v>925</v>
      </c>
      <c r="O265">
        <v>270</v>
      </c>
      <c r="P265">
        <v>20</v>
      </c>
      <c r="Q265">
        <v>200</v>
      </c>
      <c r="R265">
        <v>129</v>
      </c>
      <c r="S265">
        <v>280</v>
      </c>
      <c r="T265">
        <v>817</v>
      </c>
      <c r="U265">
        <v>330</v>
      </c>
      <c r="V265">
        <v>240</v>
      </c>
      <c r="W265">
        <v>390</v>
      </c>
      <c r="X265">
        <v>639</v>
      </c>
      <c r="Y265">
        <v>310</v>
      </c>
      <c r="Z265">
        <v>1845</v>
      </c>
      <c r="AA265">
        <v>325</v>
      </c>
      <c r="AB265">
        <v>18</v>
      </c>
      <c r="AC265">
        <v>157</v>
      </c>
      <c r="AD265">
        <v>2785</v>
      </c>
      <c r="AE265">
        <v>300</v>
      </c>
    </row>
    <row r="266" spans="1:31" x14ac:dyDescent="0.25">
      <c r="A266" t="s">
        <v>722</v>
      </c>
      <c r="B266">
        <v>2012</v>
      </c>
      <c r="C266">
        <v>9</v>
      </c>
      <c r="D266">
        <v>78</v>
      </c>
      <c r="E266">
        <v>210</v>
      </c>
      <c r="F266">
        <v>480</v>
      </c>
      <c r="G266">
        <v>260</v>
      </c>
      <c r="H266">
        <v>89</v>
      </c>
      <c r="I266">
        <v>360</v>
      </c>
      <c r="J266">
        <v>6</v>
      </c>
      <c r="K266">
        <v>420</v>
      </c>
      <c r="L266">
        <v>286</v>
      </c>
      <c r="M266">
        <v>252.5</v>
      </c>
      <c r="N266">
        <v>940</v>
      </c>
      <c r="O266">
        <v>260</v>
      </c>
      <c r="P266">
        <v>20</v>
      </c>
      <c r="Q266">
        <v>200</v>
      </c>
      <c r="R266">
        <v>147</v>
      </c>
      <c r="S266">
        <v>300</v>
      </c>
      <c r="T266">
        <v>540</v>
      </c>
      <c r="U266">
        <v>350</v>
      </c>
      <c r="V266">
        <v>103</v>
      </c>
      <c r="W266">
        <v>425</v>
      </c>
      <c r="X266">
        <v>382</v>
      </c>
      <c r="Y266">
        <v>330</v>
      </c>
      <c r="Z266">
        <v>1190</v>
      </c>
      <c r="AA266">
        <v>345</v>
      </c>
      <c r="AB266">
        <v>13</v>
      </c>
      <c r="AC266">
        <v>165</v>
      </c>
      <c r="AD266">
        <v>2145</v>
      </c>
      <c r="AE266">
        <v>300</v>
      </c>
    </row>
    <row r="267" spans="1:31" x14ac:dyDescent="0.25">
      <c r="A267" t="s">
        <v>723</v>
      </c>
      <c r="B267">
        <v>2012</v>
      </c>
      <c r="C267">
        <v>9</v>
      </c>
      <c r="E267">
        <v>95</v>
      </c>
      <c r="F267">
        <v>14</v>
      </c>
      <c r="G267">
        <v>177.5</v>
      </c>
      <c r="I267">
        <v>217</v>
      </c>
      <c r="J267">
        <v>0</v>
      </c>
      <c r="L267">
        <v>20</v>
      </c>
      <c r="M267">
        <v>160</v>
      </c>
      <c r="N267">
        <v>40</v>
      </c>
      <c r="O267">
        <v>165</v>
      </c>
      <c r="Q267">
        <v>142.5</v>
      </c>
      <c r="R267">
        <v>36</v>
      </c>
      <c r="S267">
        <v>185</v>
      </c>
      <c r="T267">
        <v>179</v>
      </c>
      <c r="U267">
        <v>230</v>
      </c>
      <c r="V267">
        <v>65</v>
      </c>
      <c r="W267">
        <v>260</v>
      </c>
      <c r="X267">
        <v>199</v>
      </c>
      <c r="Y267">
        <v>200</v>
      </c>
      <c r="Z267">
        <v>485</v>
      </c>
      <c r="AA267">
        <v>220</v>
      </c>
      <c r="AC267">
        <v>217.5</v>
      </c>
      <c r="AD267">
        <v>525</v>
      </c>
      <c r="AE267">
        <v>210</v>
      </c>
    </row>
    <row r="268" spans="1:31" x14ac:dyDescent="0.25">
      <c r="A268" t="s">
        <v>711</v>
      </c>
      <c r="B268">
        <v>2012</v>
      </c>
      <c r="C268">
        <v>12</v>
      </c>
      <c r="E268">
        <v>190</v>
      </c>
      <c r="F268">
        <v>16</v>
      </c>
      <c r="G268">
        <v>260</v>
      </c>
      <c r="H268">
        <v>27</v>
      </c>
      <c r="I268">
        <v>300</v>
      </c>
      <c r="J268">
        <v>6</v>
      </c>
      <c r="K268">
        <v>370</v>
      </c>
      <c r="L268">
        <v>30</v>
      </c>
      <c r="M268">
        <v>280</v>
      </c>
      <c r="N268">
        <v>80</v>
      </c>
      <c r="O268">
        <v>285</v>
      </c>
      <c r="Q268">
        <v>190</v>
      </c>
      <c r="R268">
        <v>26</v>
      </c>
      <c r="S268">
        <v>277.5</v>
      </c>
      <c r="T268">
        <v>117</v>
      </c>
      <c r="U268">
        <v>330</v>
      </c>
      <c r="V268">
        <v>64</v>
      </c>
      <c r="W268">
        <v>395</v>
      </c>
      <c r="X268">
        <v>98</v>
      </c>
      <c r="Y268">
        <v>320</v>
      </c>
      <c r="Z268">
        <v>305</v>
      </c>
      <c r="AA268">
        <v>340</v>
      </c>
      <c r="AB268">
        <v>0</v>
      </c>
      <c r="AD268">
        <v>390</v>
      </c>
      <c r="AE268">
        <v>325</v>
      </c>
    </row>
    <row r="269" spans="1:31" x14ac:dyDescent="0.25">
      <c r="A269" t="s">
        <v>712</v>
      </c>
      <c r="B269">
        <v>2012</v>
      </c>
      <c r="C269">
        <v>12</v>
      </c>
      <c r="D269">
        <v>6</v>
      </c>
      <c r="E269">
        <v>172.5</v>
      </c>
      <c r="F269">
        <v>36</v>
      </c>
      <c r="G269">
        <v>228</v>
      </c>
      <c r="H269">
        <v>18</v>
      </c>
      <c r="I269">
        <v>280</v>
      </c>
      <c r="J269">
        <v>0</v>
      </c>
      <c r="L269">
        <v>32</v>
      </c>
      <c r="M269">
        <v>225</v>
      </c>
      <c r="N269">
        <v>90</v>
      </c>
      <c r="O269">
        <v>230</v>
      </c>
      <c r="P269">
        <v>6</v>
      </c>
      <c r="Q269">
        <v>210</v>
      </c>
      <c r="R269">
        <v>17</v>
      </c>
      <c r="S269">
        <v>250</v>
      </c>
      <c r="T269">
        <v>130</v>
      </c>
      <c r="U269">
        <v>280</v>
      </c>
      <c r="V269">
        <v>41</v>
      </c>
      <c r="W269">
        <v>320</v>
      </c>
      <c r="X269">
        <v>120</v>
      </c>
      <c r="Y269">
        <v>280</v>
      </c>
      <c r="Z269">
        <v>315</v>
      </c>
      <c r="AA269">
        <v>280</v>
      </c>
      <c r="AB269">
        <v>0</v>
      </c>
      <c r="AD269">
        <v>405</v>
      </c>
      <c r="AE269">
        <v>275</v>
      </c>
    </row>
    <row r="270" spans="1:31" x14ac:dyDescent="0.25">
      <c r="A270" t="s">
        <v>713</v>
      </c>
      <c r="B270">
        <v>2012</v>
      </c>
      <c r="C270">
        <v>12</v>
      </c>
      <c r="D270">
        <v>229</v>
      </c>
      <c r="E270">
        <v>260</v>
      </c>
      <c r="F270">
        <v>618</v>
      </c>
      <c r="G270">
        <v>295</v>
      </c>
      <c r="H270">
        <v>121</v>
      </c>
      <c r="I270">
        <v>390</v>
      </c>
      <c r="J270">
        <v>8</v>
      </c>
      <c r="K270">
        <v>395</v>
      </c>
      <c r="L270">
        <v>478</v>
      </c>
      <c r="M270">
        <v>280</v>
      </c>
      <c r="N270">
        <v>1455</v>
      </c>
      <c r="O270">
        <v>290</v>
      </c>
      <c r="P270">
        <v>25</v>
      </c>
      <c r="Q270">
        <v>250</v>
      </c>
      <c r="R270">
        <v>173</v>
      </c>
      <c r="S270">
        <v>355</v>
      </c>
      <c r="T270">
        <v>393</v>
      </c>
      <c r="U270">
        <v>400</v>
      </c>
      <c r="V270">
        <v>92</v>
      </c>
      <c r="W270">
        <v>497.5</v>
      </c>
      <c r="X270">
        <v>401</v>
      </c>
      <c r="Y270">
        <v>385</v>
      </c>
      <c r="Z270">
        <v>1085</v>
      </c>
      <c r="AA270">
        <v>390</v>
      </c>
      <c r="AB270">
        <v>51</v>
      </c>
      <c r="AC270">
        <v>195</v>
      </c>
      <c r="AD270">
        <v>2590</v>
      </c>
      <c r="AE270">
        <v>330</v>
      </c>
    </row>
    <row r="271" spans="1:31" x14ac:dyDescent="0.25">
      <c r="A271" t="s">
        <v>714</v>
      </c>
      <c r="B271">
        <v>2012</v>
      </c>
      <c r="C271">
        <v>12</v>
      </c>
      <c r="D271">
        <v>22</v>
      </c>
      <c r="E271">
        <v>142.5</v>
      </c>
      <c r="F271">
        <v>52</v>
      </c>
      <c r="G271">
        <v>200</v>
      </c>
      <c r="H271">
        <v>27</v>
      </c>
      <c r="I271">
        <v>300</v>
      </c>
      <c r="K271">
        <v>405</v>
      </c>
      <c r="L271">
        <v>20</v>
      </c>
      <c r="M271">
        <v>170</v>
      </c>
      <c r="N271">
        <v>125</v>
      </c>
      <c r="O271">
        <v>200</v>
      </c>
      <c r="Q271">
        <v>292.5</v>
      </c>
      <c r="R271">
        <v>44</v>
      </c>
      <c r="S271">
        <v>222.5</v>
      </c>
      <c r="T271">
        <v>153</v>
      </c>
      <c r="U271">
        <v>250</v>
      </c>
      <c r="V271">
        <v>39</v>
      </c>
      <c r="W271">
        <v>370</v>
      </c>
      <c r="X271">
        <v>84</v>
      </c>
      <c r="Y271">
        <v>240</v>
      </c>
      <c r="Z271">
        <v>320</v>
      </c>
      <c r="AA271">
        <v>260</v>
      </c>
      <c r="AB271">
        <v>0</v>
      </c>
      <c r="AD271">
        <v>445</v>
      </c>
      <c r="AE271">
        <v>245</v>
      </c>
    </row>
    <row r="272" spans="1:31" x14ac:dyDescent="0.25">
      <c r="A272" t="s">
        <v>715</v>
      </c>
      <c r="B272">
        <v>2012</v>
      </c>
      <c r="C272">
        <v>12</v>
      </c>
      <c r="D272">
        <v>9</v>
      </c>
      <c r="E272">
        <v>140</v>
      </c>
      <c r="F272">
        <v>22</v>
      </c>
      <c r="G272">
        <v>167.5</v>
      </c>
      <c r="H272">
        <v>12</v>
      </c>
      <c r="I272">
        <v>420</v>
      </c>
      <c r="K272">
        <v>500</v>
      </c>
      <c r="L272">
        <v>17</v>
      </c>
      <c r="M272">
        <v>150</v>
      </c>
      <c r="N272">
        <v>65</v>
      </c>
      <c r="O272">
        <v>170</v>
      </c>
      <c r="Q272">
        <v>152.5</v>
      </c>
      <c r="R272">
        <v>12</v>
      </c>
      <c r="S272">
        <v>200</v>
      </c>
      <c r="T272">
        <v>65</v>
      </c>
      <c r="U272">
        <v>270</v>
      </c>
      <c r="V272">
        <v>34</v>
      </c>
      <c r="W272">
        <v>485</v>
      </c>
      <c r="X272">
        <v>58</v>
      </c>
      <c r="Y272">
        <v>230</v>
      </c>
      <c r="Z272">
        <v>175</v>
      </c>
      <c r="AA272">
        <v>265</v>
      </c>
      <c r="AC272">
        <v>340</v>
      </c>
      <c r="AD272">
        <v>235</v>
      </c>
      <c r="AE272">
        <v>250</v>
      </c>
    </row>
    <row r="273" spans="1:31" x14ac:dyDescent="0.25">
      <c r="A273" t="s">
        <v>716</v>
      </c>
      <c r="B273">
        <v>2012</v>
      </c>
      <c r="C273">
        <v>12</v>
      </c>
      <c r="D273">
        <v>10</v>
      </c>
      <c r="E273">
        <v>180</v>
      </c>
      <c r="F273">
        <v>38</v>
      </c>
      <c r="G273">
        <v>210</v>
      </c>
      <c r="H273">
        <v>18</v>
      </c>
      <c r="I273">
        <v>255</v>
      </c>
      <c r="J273">
        <v>0</v>
      </c>
      <c r="L273">
        <v>36</v>
      </c>
      <c r="M273">
        <v>180</v>
      </c>
      <c r="N273">
        <v>100</v>
      </c>
      <c r="O273">
        <v>195</v>
      </c>
      <c r="Q273">
        <v>185</v>
      </c>
      <c r="R273">
        <v>23</v>
      </c>
      <c r="S273">
        <v>200</v>
      </c>
      <c r="T273">
        <v>160</v>
      </c>
      <c r="U273">
        <v>260</v>
      </c>
      <c r="V273">
        <v>54</v>
      </c>
      <c r="W273">
        <v>315</v>
      </c>
      <c r="X273">
        <v>80</v>
      </c>
      <c r="Y273">
        <v>255</v>
      </c>
      <c r="Z273">
        <v>320</v>
      </c>
      <c r="AA273">
        <v>265</v>
      </c>
      <c r="AB273">
        <v>0</v>
      </c>
      <c r="AD273">
        <v>425</v>
      </c>
      <c r="AE273">
        <v>250</v>
      </c>
    </row>
    <row r="274" spans="1:31" x14ac:dyDescent="0.25">
      <c r="A274" t="s">
        <v>717</v>
      </c>
      <c r="B274">
        <v>2012</v>
      </c>
      <c r="C274">
        <v>12</v>
      </c>
      <c r="D274">
        <v>23</v>
      </c>
      <c r="E274">
        <v>120</v>
      </c>
      <c r="F274">
        <v>81</v>
      </c>
      <c r="G274">
        <v>145</v>
      </c>
      <c r="H274">
        <v>16</v>
      </c>
      <c r="I274">
        <v>250</v>
      </c>
      <c r="K274">
        <v>240</v>
      </c>
      <c r="L274">
        <v>54</v>
      </c>
      <c r="M274">
        <v>137.5</v>
      </c>
      <c r="N274">
        <v>175</v>
      </c>
      <c r="O274">
        <v>145</v>
      </c>
      <c r="Q274">
        <v>125</v>
      </c>
      <c r="R274">
        <v>28</v>
      </c>
      <c r="S274">
        <v>210</v>
      </c>
      <c r="T274">
        <v>174</v>
      </c>
      <c r="U274">
        <v>217.5</v>
      </c>
      <c r="V274">
        <v>47</v>
      </c>
      <c r="W274">
        <v>260</v>
      </c>
      <c r="X274">
        <v>117</v>
      </c>
      <c r="Y274">
        <v>185</v>
      </c>
      <c r="Z274">
        <v>370</v>
      </c>
      <c r="AA274">
        <v>212.5</v>
      </c>
      <c r="AC274">
        <v>155</v>
      </c>
      <c r="AD274">
        <v>545</v>
      </c>
      <c r="AE274">
        <v>200</v>
      </c>
    </row>
    <row r="275" spans="1:31" x14ac:dyDescent="0.25">
      <c r="A275" t="s">
        <v>628</v>
      </c>
      <c r="B275">
        <v>2012</v>
      </c>
      <c r="C275">
        <v>12</v>
      </c>
      <c r="D275">
        <v>477</v>
      </c>
      <c r="E275">
        <v>230</v>
      </c>
      <c r="F275">
        <v>1897</v>
      </c>
      <c r="G275">
        <v>270</v>
      </c>
      <c r="H275">
        <v>459</v>
      </c>
      <c r="I275">
        <v>345</v>
      </c>
      <c r="J275">
        <v>14</v>
      </c>
      <c r="K275">
        <v>410</v>
      </c>
      <c r="L275">
        <v>1331</v>
      </c>
      <c r="M275">
        <v>260</v>
      </c>
      <c r="N275">
        <v>4180</v>
      </c>
      <c r="O275">
        <v>270</v>
      </c>
      <c r="P275">
        <v>87</v>
      </c>
      <c r="Q275">
        <v>225</v>
      </c>
      <c r="R275">
        <v>584</v>
      </c>
      <c r="S275">
        <v>300</v>
      </c>
      <c r="T275">
        <v>3149</v>
      </c>
      <c r="U275">
        <v>325</v>
      </c>
      <c r="V275">
        <v>664</v>
      </c>
      <c r="W275">
        <v>400</v>
      </c>
      <c r="X275">
        <v>2517</v>
      </c>
      <c r="Y275">
        <v>300</v>
      </c>
      <c r="Z275">
        <v>7005</v>
      </c>
      <c r="AA275">
        <v>320</v>
      </c>
      <c r="AB275">
        <v>98</v>
      </c>
      <c r="AC275">
        <v>180</v>
      </c>
      <c r="AD275">
        <v>11280</v>
      </c>
      <c r="AE275">
        <v>300</v>
      </c>
    </row>
    <row r="276" spans="1:31" x14ac:dyDescent="0.25">
      <c r="A276" t="s">
        <v>718</v>
      </c>
      <c r="B276">
        <v>2012</v>
      </c>
      <c r="C276">
        <v>12</v>
      </c>
      <c r="D276">
        <v>16</v>
      </c>
      <c r="E276">
        <v>125</v>
      </c>
      <c r="F276">
        <v>39</v>
      </c>
      <c r="G276">
        <v>165</v>
      </c>
      <c r="H276">
        <v>11</v>
      </c>
      <c r="I276">
        <v>240</v>
      </c>
      <c r="J276">
        <v>0</v>
      </c>
      <c r="L276">
        <v>37</v>
      </c>
      <c r="M276">
        <v>150</v>
      </c>
      <c r="N276">
        <v>105</v>
      </c>
      <c r="O276">
        <v>160</v>
      </c>
      <c r="P276">
        <v>6</v>
      </c>
      <c r="Q276">
        <v>115</v>
      </c>
      <c r="R276">
        <v>26</v>
      </c>
      <c r="S276">
        <v>185</v>
      </c>
      <c r="T276">
        <v>185</v>
      </c>
      <c r="U276">
        <v>210</v>
      </c>
      <c r="V276">
        <v>49</v>
      </c>
      <c r="W276">
        <v>280</v>
      </c>
      <c r="X276">
        <v>160</v>
      </c>
      <c r="Y276">
        <v>210</v>
      </c>
      <c r="Z276">
        <v>425</v>
      </c>
      <c r="AA276">
        <v>210</v>
      </c>
      <c r="AB276">
        <v>0</v>
      </c>
      <c r="AD276">
        <v>530</v>
      </c>
      <c r="AE276">
        <v>200</v>
      </c>
    </row>
    <row r="277" spans="1:31" x14ac:dyDescent="0.25">
      <c r="A277" t="s">
        <v>719</v>
      </c>
      <c r="B277">
        <v>2012</v>
      </c>
      <c r="C277">
        <v>12</v>
      </c>
      <c r="D277">
        <v>46</v>
      </c>
      <c r="E277">
        <v>177.5</v>
      </c>
      <c r="F277">
        <v>347</v>
      </c>
      <c r="G277">
        <v>250</v>
      </c>
      <c r="H277">
        <v>111</v>
      </c>
      <c r="I277">
        <v>300</v>
      </c>
      <c r="K277">
        <v>350</v>
      </c>
      <c r="L277">
        <v>253</v>
      </c>
      <c r="M277">
        <v>235</v>
      </c>
      <c r="N277">
        <v>760</v>
      </c>
      <c r="O277">
        <v>250</v>
      </c>
      <c r="P277">
        <v>19</v>
      </c>
      <c r="Q277">
        <v>200</v>
      </c>
      <c r="R277">
        <v>120</v>
      </c>
      <c r="S277">
        <v>260</v>
      </c>
      <c r="T277">
        <v>1261</v>
      </c>
      <c r="U277">
        <v>290</v>
      </c>
      <c r="V277">
        <v>232</v>
      </c>
      <c r="W277">
        <v>350</v>
      </c>
      <c r="X277">
        <v>1045</v>
      </c>
      <c r="Y277">
        <v>275</v>
      </c>
      <c r="Z277">
        <v>2675</v>
      </c>
      <c r="AA277">
        <v>285</v>
      </c>
      <c r="AB277">
        <v>9</v>
      </c>
      <c r="AC277">
        <v>174</v>
      </c>
      <c r="AD277">
        <v>3445</v>
      </c>
      <c r="AE277">
        <v>280</v>
      </c>
    </row>
    <row r="278" spans="1:31" x14ac:dyDescent="0.25">
      <c r="A278" t="s">
        <v>720</v>
      </c>
      <c r="B278">
        <v>2012</v>
      </c>
      <c r="C278">
        <v>12</v>
      </c>
      <c r="D278">
        <v>98</v>
      </c>
      <c r="E278">
        <v>135</v>
      </c>
      <c r="F278">
        <v>296</v>
      </c>
      <c r="G278">
        <v>185</v>
      </c>
      <c r="H278">
        <v>144</v>
      </c>
      <c r="I278">
        <v>277.5</v>
      </c>
      <c r="J278">
        <v>12</v>
      </c>
      <c r="K278">
        <v>372.5</v>
      </c>
      <c r="L278">
        <v>245</v>
      </c>
      <c r="M278">
        <v>180</v>
      </c>
      <c r="N278">
        <v>795</v>
      </c>
      <c r="O278">
        <v>190</v>
      </c>
      <c r="P278">
        <v>35</v>
      </c>
      <c r="Q278">
        <v>165</v>
      </c>
      <c r="R278">
        <v>198</v>
      </c>
      <c r="S278">
        <v>210</v>
      </c>
      <c r="T278">
        <v>1173</v>
      </c>
      <c r="U278">
        <v>245</v>
      </c>
      <c r="V278">
        <v>379</v>
      </c>
      <c r="W278">
        <v>320</v>
      </c>
      <c r="X278">
        <v>934</v>
      </c>
      <c r="Y278">
        <v>240</v>
      </c>
      <c r="Z278">
        <v>2720</v>
      </c>
      <c r="AA278">
        <v>250</v>
      </c>
      <c r="AB278">
        <v>2</v>
      </c>
      <c r="AC278">
        <v>247.5</v>
      </c>
      <c r="AD278">
        <v>3520</v>
      </c>
      <c r="AE278">
        <v>240</v>
      </c>
    </row>
    <row r="279" spans="1:31" x14ac:dyDescent="0.25">
      <c r="A279" t="s">
        <v>724</v>
      </c>
      <c r="B279">
        <v>2012</v>
      </c>
      <c r="C279">
        <v>12</v>
      </c>
      <c r="D279">
        <v>575</v>
      </c>
      <c r="E279">
        <v>220</v>
      </c>
      <c r="F279">
        <v>2193</v>
      </c>
      <c r="G279">
        <v>265</v>
      </c>
      <c r="H279">
        <v>603</v>
      </c>
      <c r="I279">
        <v>325</v>
      </c>
      <c r="J279">
        <v>26</v>
      </c>
      <c r="K279">
        <v>395</v>
      </c>
      <c r="L279">
        <v>1576</v>
      </c>
      <c r="M279">
        <v>250</v>
      </c>
      <c r="N279">
        <v>4975</v>
      </c>
      <c r="O279">
        <v>265</v>
      </c>
      <c r="P279">
        <v>122</v>
      </c>
      <c r="Q279">
        <v>200</v>
      </c>
      <c r="R279">
        <v>782</v>
      </c>
      <c r="S279">
        <v>290</v>
      </c>
      <c r="T279">
        <v>4322</v>
      </c>
      <c r="U279">
        <v>300</v>
      </c>
      <c r="V279">
        <v>1043</v>
      </c>
      <c r="W279">
        <v>370</v>
      </c>
      <c r="X279">
        <v>3451</v>
      </c>
      <c r="Y279">
        <v>285</v>
      </c>
      <c r="Z279">
        <v>9720</v>
      </c>
      <c r="AA279">
        <v>300</v>
      </c>
      <c r="AB279">
        <v>100</v>
      </c>
      <c r="AC279">
        <v>180</v>
      </c>
      <c r="AD279">
        <v>14795</v>
      </c>
      <c r="AE279">
        <v>285</v>
      </c>
    </row>
    <row r="280" spans="1:31" x14ac:dyDescent="0.25">
      <c r="A280" t="s">
        <v>721</v>
      </c>
      <c r="B280">
        <v>2012</v>
      </c>
      <c r="C280">
        <v>12</v>
      </c>
      <c r="D280">
        <v>97</v>
      </c>
      <c r="E280">
        <v>220</v>
      </c>
      <c r="F280">
        <v>451</v>
      </c>
      <c r="G280">
        <v>270</v>
      </c>
      <c r="H280">
        <v>117</v>
      </c>
      <c r="I280">
        <v>340</v>
      </c>
      <c r="K280">
        <v>420</v>
      </c>
      <c r="L280">
        <v>306</v>
      </c>
      <c r="M280">
        <v>260</v>
      </c>
      <c r="N280">
        <v>975</v>
      </c>
      <c r="O280">
        <v>270</v>
      </c>
      <c r="P280">
        <v>28</v>
      </c>
      <c r="Q280">
        <v>200</v>
      </c>
      <c r="R280">
        <v>127</v>
      </c>
      <c r="S280">
        <v>300</v>
      </c>
      <c r="T280">
        <v>907</v>
      </c>
      <c r="U280">
        <v>330</v>
      </c>
      <c r="V280">
        <v>238</v>
      </c>
      <c r="W280">
        <v>400</v>
      </c>
      <c r="X280">
        <v>691</v>
      </c>
      <c r="Y280">
        <v>300</v>
      </c>
      <c r="Z280">
        <v>1990</v>
      </c>
      <c r="AA280">
        <v>325</v>
      </c>
      <c r="AB280">
        <v>18</v>
      </c>
      <c r="AC280">
        <v>153.5</v>
      </c>
      <c r="AD280">
        <v>2985</v>
      </c>
      <c r="AE280">
        <v>305</v>
      </c>
    </row>
    <row r="281" spans="1:31" x14ac:dyDescent="0.25">
      <c r="A281" t="s">
        <v>722</v>
      </c>
      <c r="B281">
        <v>2012</v>
      </c>
      <c r="C281">
        <v>12</v>
      </c>
      <c r="D281">
        <v>105</v>
      </c>
      <c r="E281">
        <v>220</v>
      </c>
      <c r="F281">
        <v>481</v>
      </c>
      <c r="G281">
        <v>260</v>
      </c>
      <c r="H281">
        <v>110</v>
      </c>
      <c r="I281">
        <v>350</v>
      </c>
      <c r="K281">
        <v>622.5</v>
      </c>
      <c r="L281">
        <v>294</v>
      </c>
      <c r="M281">
        <v>260</v>
      </c>
      <c r="N281">
        <v>990</v>
      </c>
      <c r="O281">
        <v>260</v>
      </c>
      <c r="P281">
        <v>15</v>
      </c>
      <c r="Q281">
        <v>230</v>
      </c>
      <c r="R281">
        <v>164</v>
      </c>
      <c r="S281">
        <v>295</v>
      </c>
      <c r="T281">
        <v>588</v>
      </c>
      <c r="U281">
        <v>360</v>
      </c>
      <c r="V281">
        <v>102</v>
      </c>
      <c r="W281">
        <v>450</v>
      </c>
      <c r="X281">
        <v>380</v>
      </c>
      <c r="Y281">
        <v>327.5</v>
      </c>
      <c r="Z281">
        <v>1250</v>
      </c>
      <c r="AA281">
        <v>345</v>
      </c>
      <c r="AB281">
        <v>20</v>
      </c>
      <c r="AC281">
        <v>185</v>
      </c>
      <c r="AD281">
        <v>2260</v>
      </c>
      <c r="AE281">
        <v>300</v>
      </c>
    </row>
    <row r="282" spans="1:31" x14ac:dyDescent="0.25">
      <c r="A282" t="s">
        <v>723</v>
      </c>
      <c r="B282">
        <v>2012</v>
      </c>
      <c r="C282">
        <v>12</v>
      </c>
      <c r="D282">
        <v>9</v>
      </c>
      <c r="E282">
        <v>125</v>
      </c>
      <c r="F282">
        <v>12</v>
      </c>
      <c r="G282">
        <v>146.85</v>
      </c>
      <c r="H282">
        <v>15</v>
      </c>
      <c r="I282">
        <v>224</v>
      </c>
      <c r="J282">
        <v>0</v>
      </c>
      <c r="L282">
        <v>19</v>
      </c>
      <c r="M282">
        <v>160</v>
      </c>
      <c r="N282">
        <v>55</v>
      </c>
      <c r="O282">
        <v>165</v>
      </c>
      <c r="P282">
        <v>6</v>
      </c>
      <c r="Q282">
        <v>177.5</v>
      </c>
      <c r="R282">
        <v>22</v>
      </c>
      <c r="S282">
        <v>182.5</v>
      </c>
      <c r="T282">
        <v>189</v>
      </c>
      <c r="U282">
        <v>220</v>
      </c>
      <c r="V282">
        <v>51</v>
      </c>
      <c r="W282">
        <v>270</v>
      </c>
      <c r="X282">
        <v>217</v>
      </c>
      <c r="Y282">
        <v>220</v>
      </c>
      <c r="Z282">
        <v>485</v>
      </c>
      <c r="AA282">
        <v>225</v>
      </c>
      <c r="AB282">
        <v>0</v>
      </c>
      <c r="AD282">
        <v>540</v>
      </c>
      <c r="AE282">
        <v>220</v>
      </c>
    </row>
    <row r="283" spans="1:31" x14ac:dyDescent="0.25">
      <c r="A283" t="s">
        <v>711</v>
      </c>
      <c r="B283">
        <v>2013</v>
      </c>
      <c r="C283">
        <v>3</v>
      </c>
      <c r="E283">
        <v>295</v>
      </c>
      <c r="F283">
        <v>16</v>
      </c>
      <c r="G283">
        <v>257.5</v>
      </c>
      <c r="H283">
        <v>27</v>
      </c>
      <c r="I283">
        <v>300</v>
      </c>
      <c r="J283">
        <v>7</v>
      </c>
      <c r="K283">
        <v>370</v>
      </c>
      <c r="L283">
        <v>17</v>
      </c>
      <c r="M283">
        <v>290</v>
      </c>
      <c r="N283">
        <v>70</v>
      </c>
      <c r="O283">
        <v>290</v>
      </c>
      <c r="P283">
        <v>6</v>
      </c>
      <c r="Q283">
        <v>225</v>
      </c>
      <c r="R283">
        <v>10</v>
      </c>
      <c r="S283">
        <v>300</v>
      </c>
      <c r="T283">
        <v>121</v>
      </c>
      <c r="U283">
        <v>320</v>
      </c>
      <c r="V283">
        <v>82</v>
      </c>
      <c r="W283">
        <v>427.5</v>
      </c>
      <c r="X283">
        <v>80</v>
      </c>
      <c r="Y283">
        <v>350</v>
      </c>
      <c r="Z283">
        <v>300</v>
      </c>
      <c r="AA283">
        <v>350</v>
      </c>
      <c r="AB283">
        <v>0</v>
      </c>
      <c r="AD283">
        <v>365</v>
      </c>
      <c r="AE283">
        <v>340</v>
      </c>
    </row>
    <row r="284" spans="1:31" x14ac:dyDescent="0.25">
      <c r="A284" t="s">
        <v>712</v>
      </c>
      <c r="B284">
        <v>2013</v>
      </c>
      <c r="C284">
        <v>3</v>
      </c>
      <c r="D284">
        <v>8</v>
      </c>
      <c r="E284">
        <v>153.5</v>
      </c>
      <c r="F284">
        <v>33</v>
      </c>
      <c r="G284">
        <v>220</v>
      </c>
      <c r="H284">
        <v>14</v>
      </c>
      <c r="I284">
        <v>267.5</v>
      </c>
      <c r="K284">
        <v>325</v>
      </c>
      <c r="L284">
        <v>32</v>
      </c>
      <c r="M284">
        <v>232.5</v>
      </c>
      <c r="N284">
        <v>90</v>
      </c>
      <c r="O284">
        <v>230</v>
      </c>
      <c r="Q284">
        <v>145.19999999999999</v>
      </c>
      <c r="R284">
        <v>24</v>
      </c>
      <c r="S284">
        <v>240</v>
      </c>
      <c r="T284">
        <v>153</v>
      </c>
      <c r="U284">
        <v>280</v>
      </c>
      <c r="V284">
        <v>45</v>
      </c>
      <c r="W284">
        <v>360</v>
      </c>
      <c r="X284">
        <v>129</v>
      </c>
      <c r="Y284">
        <v>270</v>
      </c>
      <c r="Z284">
        <v>355</v>
      </c>
      <c r="AA284">
        <v>285</v>
      </c>
      <c r="AB284">
        <v>0</v>
      </c>
      <c r="AD284">
        <v>440</v>
      </c>
      <c r="AE284">
        <v>270.5</v>
      </c>
    </row>
    <row r="285" spans="1:31" x14ac:dyDescent="0.25">
      <c r="A285" t="s">
        <v>713</v>
      </c>
      <c r="B285">
        <v>2013</v>
      </c>
      <c r="C285">
        <v>3</v>
      </c>
      <c r="D285">
        <v>340</v>
      </c>
      <c r="E285">
        <v>260</v>
      </c>
      <c r="F285">
        <v>829</v>
      </c>
      <c r="G285">
        <v>310</v>
      </c>
      <c r="H285">
        <v>187</v>
      </c>
      <c r="I285">
        <v>400</v>
      </c>
      <c r="J285">
        <v>11</v>
      </c>
      <c r="K285">
        <v>450</v>
      </c>
      <c r="L285">
        <v>553</v>
      </c>
      <c r="M285">
        <v>290</v>
      </c>
      <c r="N285">
        <v>1920</v>
      </c>
      <c r="O285">
        <v>300</v>
      </c>
      <c r="P285">
        <v>32</v>
      </c>
      <c r="Q285">
        <v>199</v>
      </c>
      <c r="R285">
        <v>208</v>
      </c>
      <c r="S285">
        <v>370</v>
      </c>
      <c r="T285">
        <v>519</v>
      </c>
      <c r="U285">
        <v>410</v>
      </c>
      <c r="V285">
        <v>111</v>
      </c>
      <c r="W285">
        <v>550</v>
      </c>
      <c r="X285">
        <v>396</v>
      </c>
      <c r="Y285">
        <v>395</v>
      </c>
      <c r="Z285">
        <v>1265</v>
      </c>
      <c r="AA285">
        <v>400</v>
      </c>
      <c r="AB285">
        <v>41</v>
      </c>
      <c r="AC285">
        <v>195</v>
      </c>
      <c r="AD285">
        <v>3225</v>
      </c>
      <c r="AE285">
        <v>340</v>
      </c>
    </row>
    <row r="286" spans="1:31" x14ac:dyDescent="0.25">
      <c r="A286" t="s">
        <v>714</v>
      </c>
      <c r="B286">
        <v>2013</v>
      </c>
      <c r="C286">
        <v>3</v>
      </c>
      <c r="D286">
        <v>19</v>
      </c>
      <c r="E286">
        <v>150</v>
      </c>
      <c r="F286">
        <v>64</v>
      </c>
      <c r="G286">
        <v>200</v>
      </c>
      <c r="H286">
        <v>19</v>
      </c>
      <c r="I286">
        <v>290</v>
      </c>
      <c r="K286">
        <v>475</v>
      </c>
      <c r="L286">
        <v>30</v>
      </c>
      <c r="M286">
        <v>200</v>
      </c>
      <c r="N286">
        <v>135</v>
      </c>
      <c r="O286">
        <v>200</v>
      </c>
      <c r="Q286">
        <v>180</v>
      </c>
      <c r="R286">
        <v>34</v>
      </c>
      <c r="S286">
        <v>207.5</v>
      </c>
      <c r="T286">
        <v>192</v>
      </c>
      <c r="U286">
        <v>260</v>
      </c>
      <c r="V286">
        <v>51</v>
      </c>
      <c r="W286">
        <v>370</v>
      </c>
      <c r="X286">
        <v>71</v>
      </c>
      <c r="Y286">
        <v>230</v>
      </c>
      <c r="Z286">
        <v>350</v>
      </c>
      <c r="AA286">
        <v>250</v>
      </c>
      <c r="AC286">
        <v>120</v>
      </c>
      <c r="AD286">
        <v>485</v>
      </c>
      <c r="AE286">
        <v>250</v>
      </c>
    </row>
    <row r="287" spans="1:31" x14ac:dyDescent="0.25">
      <c r="A287" t="s">
        <v>715</v>
      </c>
      <c r="B287">
        <v>2013</v>
      </c>
      <c r="C287">
        <v>3</v>
      </c>
      <c r="D287">
        <v>9</v>
      </c>
      <c r="E287">
        <v>190</v>
      </c>
      <c r="F287">
        <v>30</v>
      </c>
      <c r="G287">
        <v>180</v>
      </c>
      <c r="I287">
        <v>400</v>
      </c>
      <c r="K287">
        <v>300</v>
      </c>
      <c r="L287">
        <v>18</v>
      </c>
      <c r="M287">
        <v>119.5</v>
      </c>
      <c r="N287">
        <v>65</v>
      </c>
      <c r="O287">
        <v>160</v>
      </c>
      <c r="P287">
        <v>0</v>
      </c>
      <c r="R287">
        <v>16</v>
      </c>
      <c r="S287">
        <v>220</v>
      </c>
      <c r="T287">
        <v>71</v>
      </c>
      <c r="U287">
        <v>260</v>
      </c>
      <c r="V287">
        <v>32</v>
      </c>
      <c r="W287">
        <v>365</v>
      </c>
      <c r="X287">
        <v>50</v>
      </c>
      <c r="Y287">
        <v>240</v>
      </c>
      <c r="Z287">
        <v>170</v>
      </c>
      <c r="AA287">
        <v>260</v>
      </c>
      <c r="AB287">
        <v>0</v>
      </c>
      <c r="AD287">
        <v>230</v>
      </c>
      <c r="AE287">
        <v>245</v>
      </c>
    </row>
    <row r="288" spans="1:31" x14ac:dyDescent="0.25">
      <c r="A288" t="s">
        <v>716</v>
      </c>
      <c r="B288">
        <v>2013</v>
      </c>
      <c r="C288">
        <v>3</v>
      </c>
      <c r="D288">
        <v>11</v>
      </c>
      <c r="E288">
        <v>150</v>
      </c>
      <c r="F288">
        <v>26</v>
      </c>
      <c r="G288">
        <v>200</v>
      </c>
      <c r="H288">
        <v>20</v>
      </c>
      <c r="I288">
        <v>242.5</v>
      </c>
      <c r="J288">
        <v>0</v>
      </c>
      <c r="L288">
        <v>27</v>
      </c>
      <c r="M288">
        <v>200</v>
      </c>
      <c r="N288">
        <v>85</v>
      </c>
      <c r="O288">
        <v>210</v>
      </c>
      <c r="Q288">
        <v>190</v>
      </c>
      <c r="R288">
        <v>26</v>
      </c>
      <c r="S288">
        <v>220</v>
      </c>
      <c r="T288">
        <v>126</v>
      </c>
      <c r="U288">
        <v>260</v>
      </c>
      <c r="V288">
        <v>67</v>
      </c>
      <c r="W288">
        <v>325</v>
      </c>
      <c r="X288">
        <v>79</v>
      </c>
      <c r="Y288">
        <v>270</v>
      </c>
      <c r="Z288">
        <v>300</v>
      </c>
      <c r="AA288">
        <v>270</v>
      </c>
      <c r="AC288">
        <v>163</v>
      </c>
      <c r="AD288">
        <v>385</v>
      </c>
      <c r="AE288">
        <v>255</v>
      </c>
    </row>
    <row r="289" spans="1:31" x14ac:dyDescent="0.25">
      <c r="A289" t="s">
        <v>717</v>
      </c>
      <c r="B289">
        <v>2013</v>
      </c>
      <c r="C289">
        <v>3</v>
      </c>
      <c r="D289">
        <v>15</v>
      </c>
      <c r="E289">
        <v>130</v>
      </c>
      <c r="F289">
        <v>83</v>
      </c>
      <c r="G289">
        <v>160</v>
      </c>
      <c r="H289">
        <v>20</v>
      </c>
      <c r="I289">
        <v>245</v>
      </c>
      <c r="J289">
        <v>0</v>
      </c>
      <c r="L289">
        <v>67</v>
      </c>
      <c r="M289">
        <v>130</v>
      </c>
      <c r="N289">
        <v>185</v>
      </c>
      <c r="O289">
        <v>140</v>
      </c>
      <c r="Q289">
        <v>145</v>
      </c>
      <c r="R289">
        <v>30</v>
      </c>
      <c r="S289">
        <v>200</v>
      </c>
      <c r="T289">
        <v>174</v>
      </c>
      <c r="U289">
        <v>217.5</v>
      </c>
      <c r="V289">
        <v>49</v>
      </c>
      <c r="W289">
        <v>260</v>
      </c>
      <c r="X289">
        <v>150</v>
      </c>
      <c r="Y289">
        <v>210</v>
      </c>
      <c r="Z289">
        <v>405</v>
      </c>
      <c r="AA289">
        <v>220</v>
      </c>
      <c r="AB289">
        <v>0</v>
      </c>
      <c r="AD289">
        <v>590</v>
      </c>
      <c r="AE289">
        <v>200</v>
      </c>
    </row>
    <row r="290" spans="1:31" x14ac:dyDescent="0.25">
      <c r="A290" t="s">
        <v>628</v>
      </c>
      <c r="B290">
        <v>2013</v>
      </c>
      <c r="C290">
        <v>3</v>
      </c>
      <c r="D290">
        <v>584</v>
      </c>
      <c r="E290">
        <v>240</v>
      </c>
      <c r="F290">
        <v>2196</v>
      </c>
      <c r="G290">
        <v>280</v>
      </c>
      <c r="H290">
        <v>556</v>
      </c>
      <c r="I290">
        <v>350</v>
      </c>
      <c r="J290">
        <v>25</v>
      </c>
      <c r="K290">
        <v>450</v>
      </c>
      <c r="L290">
        <v>1435</v>
      </c>
      <c r="M290">
        <v>265</v>
      </c>
      <c r="N290">
        <v>4795</v>
      </c>
      <c r="O290">
        <v>280</v>
      </c>
      <c r="P290">
        <v>115</v>
      </c>
      <c r="Q290">
        <v>200</v>
      </c>
      <c r="R290">
        <v>558</v>
      </c>
      <c r="S290">
        <v>315</v>
      </c>
      <c r="T290">
        <v>3261</v>
      </c>
      <c r="U290">
        <v>330</v>
      </c>
      <c r="V290">
        <v>698</v>
      </c>
      <c r="W290">
        <v>395</v>
      </c>
      <c r="X290">
        <v>2383</v>
      </c>
      <c r="Y290">
        <v>310</v>
      </c>
      <c r="Z290">
        <v>7015</v>
      </c>
      <c r="AA290">
        <v>330</v>
      </c>
      <c r="AB290">
        <v>72</v>
      </c>
      <c r="AC290">
        <v>173.75</v>
      </c>
      <c r="AD290">
        <v>11885</v>
      </c>
      <c r="AE290">
        <v>300</v>
      </c>
    </row>
    <row r="291" spans="1:31" x14ac:dyDescent="0.25">
      <c r="A291" t="s">
        <v>718</v>
      </c>
      <c r="B291">
        <v>2013</v>
      </c>
      <c r="C291">
        <v>3</v>
      </c>
      <c r="D291">
        <v>13</v>
      </c>
      <c r="E291">
        <v>130</v>
      </c>
      <c r="F291">
        <v>50</v>
      </c>
      <c r="G291">
        <v>155</v>
      </c>
      <c r="H291">
        <v>17</v>
      </c>
      <c r="I291">
        <v>230</v>
      </c>
      <c r="K291">
        <v>247.5</v>
      </c>
      <c r="L291">
        <v>38</v>
      </c>
      <c r="M291">
        <v>157.5</v>
      </c>
      <c r="N291">
        <v>120</v>
      </c>
      <c r="O291">
        <v>160</v>
      </c>
      <c r="Q291">
        <v>155</v>
      </c>
      <c r="R291">
        <v>43</v>
      </c>
      <c r="S291">
        <v>180</v>
      </c>
      <c r="T291">
        <v>195</v>
      </c>
      <c r="U291">
        <v>235</v>
      </c>
      <c r="V291">
        <v>74</v>
      </c>
      <c r="W291">
        <v>277.5</v>
      </c>
      <c r="X291">
        <v>150</v>
      </c>
      <c r="Y291">
        <v>200</v>
      </c>
      <c r="Z291">
        <v>465</v>
      </c>
      <c r="AA291">
        <v>230</v>
      </c>
      <c r="AC291">
        <v>90</v>
      </c>
      <c r="AD291">
        <v>585</v>
      </c>
      <c r="AE291">
        <v>215</v>
      </c>
    </row>
    <row r="292" spans="1:31" x14ac:dyDescent="0.25">
      <c r="A292" t="s">
        <v>719</v>
      </c>
      <c r="B292">
        <v>2013</v>
      </c>
      <c r="C292">
        <v>3</v>
      </c>
      <c r="D292">
        <v>44</v>
      </c>
      <c r="E292">
        <v>185</v>
      </c>
      <c r="F292">
        <v>309</v>
      </c>
      <c r="G292">
        <v>255</v>
      </c>
      <c r="H292">
        <v>111</v>
      </c>
      <c r="I292">
        <v>305</v>
      </c>
      <c r="K292">
        <v>370</v>
      </c>
      <c r="L292">
        <v>230</v>
      </c>
      <c r="M292">
        <v>245</v>
      </c>
      <c r="N292">
        <v>700</v>
      </c>
      <c r="O292">
        <v>260</v>
      </c>
      <c r="P292">
        <v>14</v>
      </c>
      <c r="Q292">
        <v>170</v>
      </c>
      <c r="R292">
        <v>107</v>
      </c>
      <c r="S292">
        <v>265</v>
      </c>
      <c r="T292">
        <v>1265</v>
      </c>
      <c r="U292">
        <v>290</v>
      </c>
      <c r="V292">
        <v>222</v>
      </c>
      <c r="W292">
        <v>350</v>
      </c>
      <c r="X292">
        <v>947</v>
      </c>
      <c r="Y292">
        <v>280</v>
      </c>
      <c r="Z292">
        <v>2555</v>
      </c>
      <c r="AA292">
        <v>290</v>
      </c>
      <c r="AC292">
        <v>172.5</v>
      </c>
      <c r="AD292">
        <v>3260</v>
      </c>
      <c r="AE292">
        <v>285</v>
      </c>
    </row>
    <row r="293" spans="1:31" x14ac:dyDescent="0.25">
      <c r="A293" t="s">
        <v>720</v>
      </c>
      <c r="B293">
        <v>2013</v>
      </c>
      <c r="C293">
        <v>3</v>
      </c>
      <c r="D293">
        <v>82</v>
      </c>
      <c r="E293">
        <v>140</v>
      </c>
      <c r="F293">
        <v>320</v>
      </c>
      <c r="G293">
        <v>180</v>
      </c>
      <c r="H293">
        <v>130</v>
      </c>
      <c r="I293">
        <v>260</v>
      </c>
      <c r="J293">
        <v>17</v>
      </c>
      <c r="K293">
        <v>320</v>
      </c>
      <c r="L293">
        <v>246</v>
      </c>
      <c r="M293">
        <v>160</v>
      </c>
      <c r="N293">
        <v>795</v>
      </c>
      <c r="O293">
        <v>190</v>
      </c>
      <c r="P293">
        <v>23</v>
      </c>
      <c r="Q293">
        <v>170</v>
      </c>
      <c r="R293">
        <v>213</v>
      </c>
      <c r="S293">
        <v>205</v>
      </c>
      <c r="T293">
        <v>1198</v>
      </c>
      <c r="U293">
        <v>250</v>
      </c>
      <c r="V293">
        <v>449</v>
      </c>
      <c r="W293">
        <v>325</v>
      </c>
      <c r="X293">
        <v>856</v>
      </c>
      <c r="Y293">
        <v>240</v>
      </c>
      <c r="Z293">
        <v>2740</v>
      </c>
      <c r="AA293">
        <v>250</v>
      </c>
      <c r="AC293">
        <v>163</v>
      </c>
      <c r="AD293">
        <v>3540</v>
      </c>
      <c r="AE293">
        <v>240</v>
      </c>
    </row>
    <row r="294" spans="1:31" x14ac:dyDescent="0.25">
      <c r="A294" t="s">
        <v>724</v>
      </c>
      <c r="B294">
        <v>2013</v>
      </c>
      <c r="C294">
        <v>3</v>
      </c>
      <c r="D294">
        <v>666</v>
      </c>
      <c r="E294">
        <v>235</v>
      </c>
      <c r="F294">
        <v>2516</v>
      </c>
      <c r="G294">
        <v>270</v>
      </c>
      <c r="H294">
        <v>686</v>
      </c>
      <c r="I294">
        <v>332.5</v>
      </c>
      <c r="J294">
        <v>42</v>
      </c>
      <c r="K294">
        <v>370</v>
      </c>
      <c r="L294">
        <v>1681</v>
      </c>
      <c r="M294">
        <v>260</v>
      </c>
      <c r="N294">
        <v>5590</v>
      </c>
      <c r="O294">
        <v>270</v>
      </c>
      <c r="P294">
        <v>138</v>
      </c>
      <c r="Q294">
        <v>190</v>
      </c>
      <c r="R294">
        <v>771</v>
      </c>
      <c r="S294">
        <v>290</v>
      </c>
      <c r="T294">
        <v>4459</v>
      </c>
      <c r="U294">
        <v>310</v>
      </c>
      <c r="V294">
        <v>1147</v>
      </c>
      <c r="W294">
        <v>370</v>
      </c>
      <c r="X294">
        <v>3239</v>
      </c>
      <c r="Y294">
        <v>295</v>
      </c>
      <c r="Z294">
        <v>9755</v>
      </c>
      <c r="AA294">
        <v>310</v>
      </c>
      <c r="AB294">
        <v>77</v>
      </c>
      <c r="AC294">
        <v>172.5</v>
      </c>
      <c r="AD294">
        <v>15420</v>
      </c>
      <c r="AE294">
        <v>295</v>
      </c>
    </row>
    <row r="295" spans="1:31" x14ac:dyDescent="0.25">
      <c r="A295" t="s">
        <v>721</v>
      </c>
      <c r="B295">
        <v>2013</v>
      </c>
      <c r="C295">
        <v>3</v>
      </c>
      <c r="D295">
        <v>109</v>
      </c>
      <c r="E295">
        <v>235</v>
      </c>
      <c r="F295">
        <v>491</v>
      </c>
      <c r="G295">
        <v>275</v>
      </c>
      <c r="H295">
        <v>127</v>
      </c>
      <c r="I295">
        <v>340</v>
      </c>
      <c r="K295">
        <v>370</v>
      </c>
      <c r="L295">
        <v>315</v>
      </c>
      <c r="M295">
        <v>255</v>
      </c>
      <c r="N295">
        <v>1045</v>
      </c>
      <c r="O295">
        <v>275</v>
      </c>
      <c r="P295">
        <v>40</v>
      </c>
      <c r="Q295">
        <v>200</v>
      </c>
      <c r="R295">
        <v>111</v>
      </c>
      <c r="S295">
        <v>300</v>
      </c>
      <c r="T295">
        <v>917</v>
      </c>
      <c r="U295">
        <v>340</v>
      </c>
      <c r="V295">
        <v>262</v>
      </c>
      <c r="W295">
        <v>385</v>
      </c>
      <c r="X295">
        <v>602</v>
      </c>
      <c r="Y295">
        <v>320</v>
      </c>
      <c r="Z295">
        <v>1930</v>
      </c>
      <c r="AA295">
        <v>340</v>
      </c>
      <c r="AB295">
        <v>16</v>
      </c>
      <c r="AC295">
        <v>150</v>
      </c>
      <c r="AD295">
        <v>2995</v>
      </c>
      <c r="AE295">
        <v>310</v>
      </c>
    </row>
    <row r="296" spans="1:31" x14ac:dyDescent="0.25">
      <c r="A296" t="s">
        <v>722</v>
      </c>
      <c r="B296">
        <v>2013</v>
      </c>
      <c r="C296">
        <v>3</v>
      </c>
      <c r="D296">
        <v>91</v>
      </c>
      <c r="E296">
        <v>220</v>
      </c>
      <c r="F296">
        <v>567</v>
      </c>
      <c r="G296">
        <v>260</v>
      </c>
      <c r="H296">
        <v>131</v>
      </c>
      <c r="I296">
        <v>350</v>
      </c>
      <c r="J296">
        <v>6</v>
      </c>
      <c r="K296">
        <v>675</v>
      </c>
      <c r="L296">
        <v>337</v>
      </c>
      <c r="M296">
        <v>260</v>
      </c>
      <c r="N296">
        <v>1130</v>
      </c>
      <c r="O296">
        <v>265</v>
      </c>
      <c r="P296">
        <v>29</v>
      </c>
      <c r="Q296">
        <v>190</v>
      </c>
      <c r="R296">
        <v>132</v>
      </c>
      <c r="S296">
        <v>300</v>
      </c>
      <c r="T296">
        <v>560</v>
      </c>
      <c r="U296">
        <v>365</v>
      </c>
      <c r="V296">
        <v>103</v>
      </c>
      <c r="W296">
        <v>440</v>
      </c>
      <c r="X296">
        <v>438</v>
      </c>
      <c r="Y296">
        <v>325</v>
      </c>
      <c r="Z296">
        <v>1260</v>
      </c>
      <c r="AA296">
        <v>350</v>
      </c>
      <c r="AB296">
        <v>10</v>
      </c>
      <c r="AC296">
        <v>135</v>
      </c>
      <c r="AD296">
        <v>2405</v>
      </c>
      <c r="AE296">
        <v>300</v>
      </c>
    </row>
    <row r="297" spans="1:31" x14ac:dyDescent="0.25">
      <c r="A297" t="s">
        <v>723</v>
      </c>
      <c r="B297">
        <v>2013</v>
      </c>
      <c r="C297">
        <v>3</v>
      </c>
      <c r="D297">
        <v>6</v>
      </c>
      <c r="E297">
        <v>110</v>
      </c>
      <c r="F297">
        <v>18</v>
      </c>
      <c r="G297">
        <v>165</v>
      </c>
      <c r="H297">
        <v>10</v>
      </c>
      <c r="I297">
        <v>242.5</v>
      </c>
      <c r="K297">
        <v>290</v>
      </c>
      <c r="L297">
        <v>17</v>
      </c>
      <c r="M297">
        <v>150</v>
      </c>
      <c r="N297">
        <v>55</v>
      </c>
      <c r="O297">
        <v>158.6</v>
      </c>
      <c r="Q297">
        <v>150</v>
      </c>
      <c r="R297">
        <v>30</v>
      </c>
      <c r="S297">
        <v>190</v>
      </c>
      <c r="T297">
        <v>166</v>
      </c>
      <c r="U297">
        <v>220</v>
      </c>
      <c r="V297">
        <v>49</v>
      </c>
      <c r="W297">
        <v>260</v>
      </c>
      <c r="X297">
        <v>147</v>
      </c>
      <c r="Y297">
        <v>210</v>
      </c>
      <c r="Z297">
        <v>395</v>
      </c>
      <c r="AA297">
        <v>220</v>
      </c>
      <c r="AC297">
        <v>320</v>
      </c>
      <c r="AD297">
        <v>450</v>
      </c>
      <c r="AE297">
        <v>220</v>
      </c>
    </row>
    <row r="298" spans="1:31" x14ac:dyDescent="0.25">
      <c r="A298" t="s">
        <v>711</v>
      </c>
      <c r="B298">
        <v>2013</v>
      </c>
      <c r="C298">
        <v>6</v>
      </c>
      <c r="D298">
        <v>8</v>
      </c>
      <c r="E298">
        <v>200</v>
      </c>
      <c r="F298">
        <v>21</v>
      </c>
      <c r="G298">
        <v>260</v>
      </c>
      <c r="H298">
        <v>34</v>
      </c>
      <c r="I298">
        <v>310</v>
      </c>
      <c r="K298">
        <v>487.5</v>
      </c>
      <c r="L298">
        <v>29</v>
      </c>
      <c r="M298">
        <v>275</v>
      </c>
      <c r="N298">
        <v>95</v>
      </c>
      <c r="O298">
        <v>280</v>
      </c>
      <c r="P298">
        <v>9</v>
      </c>
      <c r="Q298">
        <v>220</v>
      </c>
      <c r="R298">
        <v>17</v>
      </c>
      <c r="S298">
        <v>280</v>
      </c>
      <c r="T298">
        <v>137</v>
      </c>
      <c r="U298">
        <v>330</v>
      </c>
      <c r="V298">
        <v>98</v>
      </c>
      <c r="W298">
        <v>400</v>
      </c>
      <c r="X298">
        <v>71</v>
      </c>
      <c r="Y298">
        <v>335</v>
      </c>
      <c r="Z298">
        <v>330</v>
      </c>
      <c r="AA298">
        <v>350</v>
      </c>
      <c r="AB298">
        <v>0</v>
      </c>
      <c r="AD298">
        <v>430</v>
      </c>
      <c r="AE298">
        <v>330</v>
      </c>
    </row>
    <row r="299" spans="1:31" x14ac:dyDescent="0.25">
      <c r="A299" t="s">
        <v>712</v>
      </c>
      <c r="B299">
        <v>2013</v>
      </c>
      <c r="C299">
        <v>6</v>
      </c>
      <c r="D299">
        <v>6</v>
      </c>
      <c r="E299">
        <v>185</v>
      </c>
      <c r="F299">
        <v>59</v>
      </c>
      <c r="G299">
        <v>220</v>
      </c>
      <c r="H299">
        <v>14</v>
      </c>
      <c r="I299">
        <v>270</v>
      </c>
      <c r="K299">
        <v>325</v>
      </c>
      <c r="L299">
        <v>30</v>
      </c>
      <c r="M299">
        <v>210</v>
      </c>
      <c r="N299">
        <v>110</v>
      </c>
      <c r="O299">
        <v>220</v>
      </c>
      <c r="Q299">
        <v>170</v>
      </c>
      <c r="R299">
        <v>26</v>
      </c>
      <c r="S299">
        <v>222.5</v>
      </c>
      <c r="T299">
        <v>172</v>
      </c>
      <c r="U299">
        <v>280</v>
      </c>
      <c r="V299">
        <v>69</v>
      </c>
      <c r="W299">
        <v>350</v>
      </c>
      <c r="X299">
        <v>141</v>
      </c>
      <c r="Y299">
        <v>275</v>
      </c>
      <c r="Z299">
        <v>410</v>
      </c>
      <c r="AA299">
        <v>280</v>
      </c>
      <c r="AB299">
        <v>0</v>
      </c>
      <c r="AD299">
        <v>520</v>
      </c>
      <c r="AE299">
        <v>270</v>
      </c>
    </row>
    <row r="300" spans="1:31" x14ac:dyDescent="0.25">
      <c r="A300" t="s">
        <v>713</v>
      </c>
      <c r="B300">
        <v>2013</v>
      </c>
      <c r="C300">
        <v>6</v>
      </c>
      <c r="D300">
        <v>425</v>
      </c>
      <c r="E300">
        <v>255</v>
      </c>
      <c r="F300">
        <v>776</v>
      </c>
      <c r="G300">
        <v>310</v>
      </c>
      <c r="H300">
        <v>164</v>
      </c>
      <c r="I300">
        <v>400</v>
      </c>
      <c r="J300">
        <v>6</v>
      </c>
      <c r="K300">
        <v>540</v>
      </c>
      <c r="L300">
        <v>609</v>
      </c>
      <c r="M300">
        <v>280</v>
      </c>
      <c r="N300">
        <v>1980</v>
      </c>
      <c r="O300">
        <v>294.5</v>
      </c>
      <c r="P300">
        <v>36</v>
      </c>
      <c r="Q300">
        <v>245</v>
      </c>
      <c r="R300">
        <v>192</v>
      </c>
      <c r="S300">
        <v>350</v>
      </c>
      <c r="T300">
        <v>468</v>
      </c>
      <c r="U300">
        <v>395</v>
      </c>
      <c r="V300">
        <v>129</v>
      </c>
      <c r="W300">
        <v>500</v>
      </c>
      <c r="X300">
        <v>436</v>
      </c>
      <c r="Y300">
        <v>380</v>
      </c>
      <c r="Z300">
        <v>1260</v>
      </c>
      <c r="AA300">
        <v>390</v>
      </c>
      <c r="AB300">
        <v>67</v>
      </c>
      <c r="AC300">
        <v>180</v>
      </c>
      <c r="AD300">
        <v>3310</v>
      </c>
      <c r="AE300">
        <v>325</v>
      </c>
    </row>
    <row r="301" spans="1:31" x14ac:dyDescent="0.25">
      <c r="A301" t="s">
        <v>714</v>
      </c>
      <c r="B301">
        <v>2013</v>
      </c>
      <c r="C301">
        <v>6</v>
      </c>
      <c r="D301">
        <v>19</v>
      </c>
      <c r="E301">
        <v>170</v>
      </c>
      <c r="F301">
        <v>57</v>
      </c>
      <c r="G301">
        <v>210</v>
      </c>
      <c r="H301">
        <v>22</v>
      </c>
      <c r="I301">
        <v>310</v>
      </c>
      <c r="K301">
        <v>310</v>
      </c>
      <c r="L301">
        <v>26</v>
      </c>
      <c r="M301">
        <v>195</v>
      </c>
      <c r="N301">
        <v>125</v>
      </c>
      <c r="O301">
        <v>210</v>
      </c>
      <c r="Q301">
        <v>160</v>
      </c>
      <c r="R301">
        <v>36</v>
      </c>
      <c r="S301">
        <v>227.5</v>
      </c>
      <c r="T301">
        <v>191</v>
      </c>
      <c r="U301">
        <v>250</v>
      </c>
      <c r="V301">
        <v>58</v>
      </c>
      <c r="W301">
        <v>355</v>
      </c>
      <c r="X301">
        <v>110</v>
      </c>
      <c r="Y301">
        <v>240</v>
      </c>
      <c r="Z301">
        <v>400</v>
      </c>
      <c r="AA301">
        <v>250</v>
      </c>
      <c r="AB301">
        <v>0</v>
      </c>
      <c r="AD301">
        <v>525</v>
      </c>
      <c r="AE301">
        <v>250</v>
      </c>
    </row>
    <row r="302" spans="1:31" x14ac:dyDescent="0.25">
      <c r="A302" t="s">
        <v>715</v>
      </c>
      <c r="B302">
        <v>2013</v>
      </c>
      <c r="C302">
        <v>6</v>
      </c>
      <c r="D302">
        <v>9</v>
      </c>
      <c r="E302">
        <v>150</v>
      </c>
      <c r="F302">
        <v>19</v>
      </c>
      <c r="G302">
        <v>160</v>
      </c>
      <c r="I302">
        <v>325</v>
      </c>
      <c r="K302">
        <v>380</v>
      </c>
      <c r="L302">
        <v>15</v>
      </c>
      <c r="M302">
        <v>165</v>
      </c>
      <c r="N302">
        <v>50</v>
      </c>
      <c r="O302">
        <v>162.5</v>
      </c>
      <c r="Q302">
        <v>110</v>
      </c>
      <c r="R302">
        <v>14</v>
      </c>
      <c r="S302">
        <v>194.7</v>
      </c>
      <c r="T302">
        <v>92</v>
      </c>
      <c r="U302">
        <v>280</v>
      </c>
      <c r="V302">
        <v>26</v>
      </c>
      <c r="W302">
        <v>450</v>
      </c>
      <c r="X302">
        <v>64</v>
      </c>
      <c r="Y302">
        <v>235</v>
      </c>
      <c r="Z302">
        <v>195</v>
      </c>
      <c r="AA302">
        <v>280</v>
      </c>
      <c r="AB302">
        <v>0</v>
      </c>
      <c r="AD302">
        <v>245</v>
      </c>
      <c r="AE302">
        <v>270</v>
      </c>
    </row>
    <row r="303" spans="1:31" x14ac:dyDescent="0.25">
      <c r="A303" t="s">
        <v>716</v>
      </c>
      <c r="B303">
        <v>2013</v>
      </c>
      <c r="C303">
        <v>6</v>
      </c>
      <c r="D303">
        <v>12</v>
      </c>
      <c r="E303">
        <v>172.5</v>
      </c>
      <c r="F303">
        <v>42</v>
      </c>
      <c r="G303">
        <v>200</v>
      </c>
      <c r="H303">
        <v>13</v>
      </c>
      <c r="I303">
        <v>260</v>
      </c>
      <c r="K303">
        <v>360</v>
      </c>
      <c r="L303">
        <v>25</v>
      </c>
      <c r="M303">
        <v>190</v>
      </c>
      <c r="N303">
        <v>95</v>
      </c>
      <c r="O303">
        <v>200</v>
      </c>
      <c r="P303">
        <v>7</v>
      </c>
      <c r="Q303">
        <v>160</v>
      </c>
      <c r="R303">
        <v>37</v>
      </c>
      <c r="S303">
        <v>235</v>
      </c>
      <c r="T303">
        <v>184</v>
      </c>
      <c r="U303">
        <v>270</v>
      </c>
      <c r="V303">
        <v>76</v>
      </c>
      <c r="W303">
        <v>320</v>
      </c>
      <c r="X303">
        <v>103</v>
      </c>
      <c r="Y303">
        <v>255</v>
      </c>
      <c r="Z303">
        <v>405</v>
      </c>
      <c r="AA303">
        <v>270</v>
      </c>
      <c r="AB303">
        <v>0</v>
      </c>
      <c r="AD303">
        <v>500</v>
      </c>
      <c r="AE303">
        <v>260</v>
      </c>
    </row>
    <row r="304" spans="1:31" x14ac:dyDescent="0.25">
      <c r="A304" t="s">
        <v>717</v>
      </c>
      <c r="B304">
        <v>2013</v>
      </c>
      <c r="C304">
        <v>6</v>
      </c>
      <c r="D304">
        <v>16</v>
      </c>
      <c r="E304">
        <v>122.5</v>
      </c>
      <c r="F304">
        <v>91</v>
      </c>
      <c r="G304">
        <v>160</v>
      </c>
      <c r="H304">
        <v>18</v>
      </c>
      <c r="I304">
        <v>235</v>
      </c>
      <c r="K304">
        <v>112.5</v>
      </c>
      <c r="L304">
        <v>77</v>
      </c>
      <c r="M304">
        <v>145</v>
      </c>
      <c r="N304">
        <v>205</v>
      </c>
      <c r="O304">
        <v>150</v>
      </c>
      <c r="Q304">
        <v>120</v>
      </c>
      <c r="R304">
        <v>35</v>
      </c>
      <c r="S304">
        <v>190</v>
      </c>
      <c r="T304">
        <v>205</v>
      </c>
      <c r="U304">
        <v>220</v>
      </c>
      <c r="V304">
        <v>51</v>
      </c>
      <c r="W304">
        <v>270</v>
      </c>
      <c r="X304">
        <v>136</v>
      </c>
      <c r="Y304">
        <v>195</v>
      </c>
      <c r="Z304">
        <v>430</v>
      </c>
      <c r="AA304">
        <v>210</v>
      </c>
      <c r="AC304">
        <v>200</v>
      </c>
      <c r="AD304">
        <v>635</v>
      </c>
      <c r="AE304">
        <v>200</v>
      </c>
    </row>
    <row r="305" spans="1:31" x14ac:dyDescent="0.25">
      <c r="A305" t="s">
        <v>628</v>
      </c>
      <c r="B305">
        <v>2013</v>
      </c>
      <c r="C305">
        <v>6</v>
      </c>
      <c r="D305">
        <v>731</v>
      </c>
      <c r="E305">
        <v>230</v>
      </c>
      <c r="F305">
        <v>2251</v>
      </c>
      <c r="G305">
        <v>280</v>
      </c>
      <c r="H305">
        <v>536</v>
      </c>
      <c r="I305">
        <v>345</v>
      </c>
      <c r="J305">
        <v>22</v>
      </c>
      <c r="K305">
        <v>380</v>
      </c>
      <c r="L305">
        <v>1556</v>
      </c>
      <c r="M305">
        <v>260</v>
      </c>
      <c r="N305">
        <v>5095</v>
      </c>
      <c r="O305">
        <v>275</v>
      </c>
      <c r="P305">
        <v>121</v>
      </c>
      <c r="Q305">
        <v>180</v>
      </c>
      <c r="R305">
        <v>697</v>
      </c>
      <c r="S305">
        <v>300</v>
      </c>
      <c r="T305">
        <v>3592</v>
      </c>
      <c r="U305">
        <v>320</v>
      </c>
      <c r="V305">
        <v>762</v>
      </c>
      <c r="W305">
        <v>395</v>
      </c>
      <c r="X305">
        <v>2724</v>
      </c>
      <c r="Y305">
        <v>300</v>
      </c>
      <c r="Z305">
        <v>7895</v>
      </c>
      <c r="AA305">
        <v>320</v>
      </c>
      <c r="AB305">
        <v>99</v>
      </c>
      <c r="AC305">
        <v>167.5</v>
      </c>
      <c r="AD305">
        <v>13090</v>
      </c>
      <c r="AE305">
        <v>300</v>
      </c>
    </row>
    <row r="306" spans="1:31" x14ac:dyDescent="0.25">
      <c r="A306" t="s">
        <v>718</v>
      </c>
      <c r="B306">
        <v>2013</v>
      </c>
      <c r="C306">
        <v>6</v>
      </c>
      <c r="D306">
        <v>16</v>
      </c>
      <c r="E306">
        <v>125</v>
      </c>
      <c r="F306">
        <v>56</v>
      </c>
      <c r="G306">
        <v>162.5</v>
      </c>
      <c r="H306">
        <v>9</v>
      </c>
      <c r="I306">
        <v>230</v>
      </c>
      <c r="K306">
        <v>275</v>
      </c>
      <c r="L306">
        <v>42</v>
      </c>
      <c r="M306">
        <v>160</v>
      </c>
      <c r="N306">
        <v>125</v>
      </c>
      <c r="O306">
        <v>160</v>
      </c>
      <c r="P306">
        <v>6</v>
      </c>
      <c r="Q306">
        <v>132.5</v>
      </c>
      <c r="R306">
        <v>50</v>
      </c>
      <c r="S306">
        <v>185</v>
      </c>
      <c r="T306">
        <v>231</v>
      </c>
      <c r="U306">
        <v>220</v>
      </c>
      <c r="V306">
        <v>54</v>
      </c>
      <c r="W306">
        <v>282.5</v>
      </c>
      <c r="X306">
        <v>172</v>
      </c>
      <c r="Y306">
        <v>217.5</v>
      </c>
      <c r="Z306">
        <v>515</v>
      </c>
      <c r="AA306">
        <v>220</v>
      </c>
      <c r="AB306">
        <v>0</v>
      </c>
      <c r="AD306">
        <v>640</v>
      </c>
      <c r="AE306">
        <v>200</v>
      </c>
    </row>
    <row r="307" spans="1:31" x14ac:dyDescent="0.25">
      <c r="A307" t="s">
        <v>719</v>
      </c>
      <c r="B307">
        <v>2013</v>
      </c>
      <c r="C307">
        <v>6</v>
      </c>
      <c r="D307">
        <v>47</v>
      </c>
      <c r="E307">
        <v>185</v>
      </c>
      <c r="F307">
        <v>336</v>
      </c>
      <c r="G307">
        <v>255</v>
      </c>
      <c r="H307">
        <v>137</v>
      </c>
      <c r="I307">
        <v>320</v>
      </c>
      <c r="K307">
        <v>127</v>
      </c>
      <c r="L307">
        <v>299</v>
      </c>
      <c r="M307">
        <v>250</v>
      </c>
      <c r="N307">
        <v>825</v>
      </c>
      <c r="O307">
        <v>260</v>
      </c>
      <c r="P307">
        <v>23</v>
      </c>
      <c r="Q307">
        <v>170</v>
      </c>
      <c r="R307">
        <v>128</v>
      </c>
      <c r="S307">
        <v>250.02500000000001</v>
      </c>
      <c r="T307">
        <v>1563</v>
      </c>
      <c r="U307">
        <v>290</v>
      </c>
      <c r="V307">
        <v>260</v>
      </c>
      <c r="W307">
        <v>340</v>
      </c>
      <c r="X307">
        <v>1046</v>
      </c>
      <c r="Y307">
        <v>280</v>
      </c>
      <c r="Z307">
        <v>3020</v>
      </c>
      <c r="AA307">
        <v>285</v>
      </c>
      <c r="AB307">
        <v>0</v>
      </c>
      <c r="AD307">
        <v>3845</v>
      </c>
      <c r="AE307">
        <v>280</v>
      </c>
    </row>
    <row r="308" spans="1:31" x14ac:dyDescent="0.25">
      <c r="A308" t="s">
        <v>720</v>
      </c>
      <c r="B308">
        <v>2013</v>
      </c>
      <c r="C308">
        <v>6</v>
      </c>
      <c r="D308">
        <v>94</v>
      </c>
      <c r="E308">
        <v>150</v>
      </c>
      <c r="F308">
        <v>368</v>
      </c>
      <c r="G308">
        <v>185</v>
      </c>
      <c r="H308">
        <v>123</v>
      </c>
      <c r="I308">
        <v>281</v>
      </c>
      <c r="J308">
        <v>16</v>
      </c>
      <c r="K308">
        <v>337.5</v>
      </c>
      <c r="L308">
        <v>272</v>
      </c>
      <c r="M308">
        <v>175</v>
      </c>
      <c r="N308">
        <v>875</v>
      </c>
      <c r="O308">
        <v>190</v>
      </c>
      <c r="P308">
        <v>39</v>
      </c>
      <c r="Q308">
        <v>170</v>
      </c>
      <c r="R308">
        <v>267</v>
      </c>
      <c r="S308">
        <v>210</v>
      </c>
      <c r="T308">
        <v>1452</v>
      </c>
      <c r="U308">
        <v>250</v>
      </c>
      <c r="V308">
        <v>508</v>
      </c>
      <c r="W308">
        <v>320</v>
      </c>
      <c r="X308">
        <v>1042</v>
      </c>
      <c r="Y308">
        <v>230</v>
      </c>
      <c r="Z308">
        <v>3310</v>
      </c>
      <c r="AA308">
        <v>250</v>
      </c>
      <c r="AB308">
        <v>2</v>
      </c>
      <c r="AC308">
        <v>225</v>
      </c>
      <c r="AD308">
        <v>4185</v>
      </c>
      <c r="AE308">
        <v>240</v>
      </c>
    </row>
    <row r="309" spans="1:31" x14ac:dyDescent="0.25">
      <c r="A309" t="s">
        <v>724</v>
      </c>
      <c r="B309">
        <v>2013</v>
      </c>
      <c r="C309">
        <v>6</v>
      </c>
      <c r="D309">
        <v>825</v>
      </c>
      <c r="E309">
        <v>225</v>
      </c>
      <c r="F309">
        <v>2619</v>
      </c>
      <c r="G309">
        <v>270</v>
      </c>
      <c r="H309">
        <v>659</v>
      </c>
      <c r="I309">
        <v>330</v>
      </c>
      <c r="J309">
        <v>38</v>
      </c>
      <c r="K309">
        <v>355</v>
      </c>
      <c r="L309">
        <v>1828</v>
      </c>
      <c r="M309">
        <v>255</v>
      </c>
      <c r="N309">
        <v>5970</v>
      </c>
      <c r="O309">
        <v>265</v>
      </c>
      <c r="P309">
        <v>160</v>
      </c>
      <c r="Q309">
        <v>177.5</v>
      </c>
      <c r="R309">
        <v>964</v>
      </c>
      <c r="S309">
        <v>280</v>
      </c>
      <c r="T309">
        <v>5044</v>
      </c>
      <c r="U309">
        <v>300</v>
      </c>
      <c r="V309">
        <v>1270</v>
      </c>
      <c r="W309">
        <v>362.5</v>
      </c>
      <c r="X309">
        <v>3766</v>
      </c>
      <c r="Y309">
        <v>285</v>
      </c>
      <c r="Z309">
        <v>11205</v>
      </c>
      <c r="AA309">
        <v>300</v>
      </c>
      <c r="AB309">
        <v>101</v>
      </c>
      <c r="AC309">
        <v>167.5</v>
      </c>
      <c r="AD309">
        <v>17275</v>
      </c>
      <c r="AE309">
        <v>285</v>
      </c>
    </row>
    <row r="310" spans="1:31" x14ac:dyDescent="0.25">
      <c r="A310" t="s">
        <v>721</v>
      </c>
      <c r="B310">
        <v>2013</v>
      </c>
      <c r="C310">
        <v>6</v>
      </c>
      <c r="D310">
        <v>150</v>
      </c>
      <c r="E310">
        <v>220</v>
      </c>
      <c r="F310">
        <v>540</v>
      </c>
      <c r="G310">
        <v>275</v>
      </c>
      <c r="H310">
        <v>121</v>
      </c>
      <c r="I310">
        <v>325</v>
      </c>
      <c r="J310">
        <v>6</v>
      </c>
      <c r="K310">
        <v>430</v>
      </c>
      <c r="L310">
        <v>317</v>
      </c>
      <c r="M310">
        <v>260</v>
      </c>
      <c r="N310">
        <v>1135</v>
      </c>
      <c r="O310">
        <v>270</v>
      </c>
      <c r="P310">
        <v>31</v>
      </c>
      <c r="Q310">
        <v>205</v>
      </c>
      <c r="R310">
        <v>172</v>
      </c>
      <c r="S310">
        <v>300</v>
      </c>
      <c r="T310">
        <v>978</v>
      </c>
      <c r="U310">
        <v>330</v>
      </c>
      <c r="V310">
        <v>259</v>
      </c>
      <c r="W310">
        <v>395</v>
      </c>
      <c r="X310">
        <v>748</v>
      </c>
      <c r="Y310">
        <v>310</v>
      </c>
      <c r="Z310">
        <v>2190</v>
      </c>
      <c r="AA310">
        <v>330</v>
      </c>
      <c r="AB310">
        <v>13</v>
      </c>
      <c r="AC310">
        <v>157</v>
      </c>
      <c r="AD310">
        <v>3335</v>
      </c>
      <c r="AE310">
        <v>300</v>
      </c>
    </row>
    <row r="311" spans="1:31" x14ac:dyDescent="0.25">
      <c r="A311" t="s">
        <v>722</v>
      </c>
      <c r="B311">
        <v>2013</v>
      </c>
      <c r="C311">
        <v>6</v>
      </c>
      <c r="D311">
        <v>109</v>
      </c>
      <c r="E311">
        <v>205</v>
      </c>
      <c r="F311">
        <v>599</v>
      </c>
      <c r="G311">
        <v>260</v>
      </c>
      <c r="H311">
        <v>114</v>
      </c>
      <c r="I311">
        <v>355</v>
      </c>
      <c r="K311">
        <v>380</v>
      </c>
      <c r="L311">
        <v>331</v>
      </c>
      <c r="M311">
        <v>255</v>
      </c>
      <c r="N311">
        <v>1160</v>
      </c>
      <c r="O311">
        <v>260</v>
      </c>
      <c r="P311">
        <v>31</v>
      </c>
      <c r="Q311">
        <v>160</v>
      </c>
      <c r="R311">
        <v>205</v>
      </c>
      <c r="S311">
        <v>300</v>
      </c>
      <c r="T311">
        <v>583</v>
      </c>
      <c r="U311">
        <v>360</v>
      </c>
      <c r="V311">
        <v>114</v>
      </c>
      <c r="W311">
        <v>450</v>
      </c>
      <c r="X311">
        <v>494</v>
      </c>
      <c r="Y311">
        <v>330</v>
      </c>
      <c r="Z311">
        <v>1425</v>
      </c>
      <c r="AA311">
        <v>340</v>
      </c>
      <c r="AB311">
        <v>19</v>
      </c>
      <c r="AC311">
        <v>160</v>
      </c>
      <c r="AD311">
        <v>2605</v>
      </c>
      <c r="AE311">
        <v>300</v>
      </c>
    </row>
    <row r="312" spans="1:31" x14ac:dyDescent="0.25">
      <c r="A312" t="s">
        <v>723</v>
      </c>
      <c r="B312">
        <v>2013</v>
      </c>
      <c r="C312">
        <v>6</v>
      </c>
      <c r="D312">
        <v>8</v>
      </c>
      <c r="E312">
        <v>130</v>
      </c>
      <c r="F312">
        <v>23</v>
      </c>
      <c r="G312">
        <v>155</v>
      </c>
      <c r="H312">
        <v>10</v>
      </c>
      <c r="I312">
        <v>215</v>
      </c>
      <c r="K312">
        <v>68.400000000000006</v>
      </c>
      <c r="L312">
        <v>28</v>
      </c>
      <c r="M312">
        <v>174.5</v>
      </c>
      <c r="N312">
        <v>70</v>
      </c>
      <c r="O312">
        <v>163.15</v>
      </c>
      <c r="Q312">
        <v>140</v>
      </c>
      <c r="R312">
        <v>52</v>
      </c>
      <c r="S312">
        <v>195</v>
      </c>
      <c r="T312">
        <v>240</v>
      </c>
      <c r="U312">
        <v>220</v>
      </c>
      <c r="V312">
        <v>76</v>
      </c>
      <c r="W312">
        <v>265</v>
      </c>
      <c r="X312">
        <v>245</v>
      </c>
      <c r="Y312">
        <v>210</v>
      </c>
      <c r="Z312">
        <v>615</v>
      </c>
      <c r="AA312">
        <v>220</v>
      </c>
      <c r="AC312">
        <v>250</v>
      </c>
      <c r="AD312">
        <v>690</v>
      </c>
      <c r="AE312">
        <v>210</v>
      </c>
    </row>
    <row r="313" spans="1:31" x14ac:dyDescent="0.25">
      <c r="A313" t="s">
        <v>711</v>
      </c>
      <c r="B313">
        <v>2013</v>
      </c>
      <c r="C313">
        <v>9</v>
      </c>
      <c r="D313">
        <v>0</v>
      </c>
      <c r="F313">
        <v>16</v>
      </c>
      <c r="G313">
        <v>260</v>
      </c>
      <c r="H313">
        <v>15</v>
      </c>
      <c r="I313">
        <v>305</v>
      </c>
      <c r="K313">
        <v>357.5</v>
      </c>
      <c r="L313">
        <v>20</v>
      </c>
      <c r="M313">
        <v>277.5</v>
      </c>
      <c r="N313">
        <v>55</v>
      </c>
      <c r="O313">
        <v>285</v>
      </c>
      <c r="Q313">
        <v>222.5</v>
      </c>
      <c r="R313">
        <v>13</v>
      </c>
      <c r="S313">
        <v>290</v>
      </c>
      <c r="T313">
        <v>113</v>
      </c>
      <c r="U313">
        <v>325</v>
      </c>
      <c r="V313">
        <v>64</v>
      </c>
      <c r="W313">
        <v>420</v>
      </c>
      <c r="X313">
        <v>90</v>
      </c>
      <c r="Y313">
        <v>350</v>
      </c>
      <c r="Z313">
        <v>280</v>
      </c>
      <c r="AA313">
        <v>350</v>
      </c>
      <c r="AB313">
        <v>0</v>
      </c>
      <c r="AD313">
        <v>335</v>
      </c>
      <c r="AE313">
        <v>330</v>
      </c>
    </row>
    <row r="314" spans="1:31" x14ac:dyDescent="0.25">
      <c r="A314" t="s">
        <v>712</v>
      </c>
      <c r="B314">
        <v>2013</v>
      </c>
      <c r="C314">
        <v>9</v>
      </c>
      <c r="E314">
        <v>180</v>
      </c>
      <c r="F314">
        <v>38</v>
      </c>
      <c r="G314">
        <v>232.5</v>
      </c>
      <c r="H314">
        <v>14</v>
      </c>
      <c r="I314">
        <v>282.5</v>
      </c>
      <c r="J314">
        <v>0</v>
      </c>
      <c r="L314">
        <v>45</v>
      </c>
      <c r="M314">
        <v>210</v>
      </c>
      <c r="N314">
        <v>100</v>
      </c>
      <c r="O314">
        <v>232.5</v>
      </c>
      <c r="Q314">
        <v>150</v>
      </c>
      <c r="R314">
        <v>25</v>
      </c>
      <c r="S314">
        <v>220</v>
      </c>
      <c r="T314">
        <v>133</v>
      </c>
      <c r="U314">
        <v>270</v>
      </c>
      <c r="V314">
        <v>73</v>
      </c>
      <c r="W314">
        <v>340</v>
      </c>
      <c r="X314">
        <v>127</v>
      </c>
      <c r="Y314">
        <v>275</v>
      </c>
      <c r="Z314">
        <v>360</v>
      </c>
      <c r="AA314">
        <v>280</v>
      </c>
      <c r="AB314">
        <v>0</v>
      </c>
      <c r="AD314">
        <v>460</v>
      </c>
      <c r="AE314">
        <v>270</v>
      </c>
    </row>
    <row r="315" spans="1:31" x14ac:dyDescent="0.25">
      <c r="A315" t="s">
        <v>713</v>
      </c>
      <c r="B315">
        <v>2013</v>
      </c>
      <c r="C315">
        <v>9</v>
      </c>
      <c r="D315">
        <v>298</v>
      </c>
      <c r="E315">
        <v>255</v>
      </c>
      <c r="F315">
        <v>651</v>
      </c>
      <c r="G315">
        <v>300</v>
      </c>
      <c r="H315">
        <v>137</v>
      </c>
      <c r="I315">
        <v>400</v>
      </c>
      <c r="J315">
        <v>12</v>
      </c>
      <c r="K315">
        <v>387.5</v>
      </c>
      <c r="L315">
        <v>496</v>
      </c>
      <c r="M315">
        <v>270</v>
      </c>
      <c r="N315">
        <v>1595</v>
      </c>
      <c r="O315">
        <v>290</v>
      </c>
      <c r="P315">
        <v>25</v>
      </c>
      <c r="Q315">
        <v>235</v>
      </c>
      <c r="R315">
        <v>161</v>
      </c>
      <c r="S315">
        <v>350</v>
      </c>
      <c r="T315">
        <v>368</v>
      </c>
      <c r="U315">
        <v>395</v>
      </c>
      <c r="V315">
        <v>103</v>
      </c>
      <c r="W315">
        <v>530</v>
      </c>
      <c r="X315">
        <v>386</v>
      </c>
      <c r="Y315">
        <v>374.25</v>
      </c>
      <c r="Z315">
        <v>1045</v>
      </c>
      <c r="AA315">
        <v>385</v>
      </c>
      <c r="AB315">
        <v>30</v>
      </c>
      <c r="AC315">
        <v>163.75</v>
      </c>
      <c r="AD315">
        <v>2665</v>
      </c>
      <c r="AE315">
        <v>320</v>
      </c>
    </row>
    <row r="316" spans="1:31" x14ac:dyDescent="0.25">
      <c r="A316" t="s">
        <v>714</v>
      </c>
      <c r="B316">
        <v>2013</v>
      </c>
      <c r="C316">
        <v>9</v>
      </c>
      <c r="D316">
        <v>19</v>
      </c>
      <c r="E316">
        <v>180</v>
      </c>
      <c r="F316">
        <v>45</v>
      </c>
      <c r="G316">
        <v>200</v>
      </c>
      <c r="H316">
        <v>27</v>
      </c>
      <c r="I316">
        <v>300</v>
      </c>
      <c r="J316">
        <v>6</v>
      </c>
      <c r="K316">
        <v>350</v>
      </c>
      <c r="L316">
        <v>33</v>
      </c>
      <c r="M316">
        <v>170</v>
      </c>
      <c r="N316">
        <v>130</v>
      </c>
      <c r="O316">
        <v>200</v>
      </c>
      <c r="Q316">
        <v>210</v>
      </c>
      <c r="R316">
        <v>31</v>
      </c>
      <c r="S316">
        <v>230</v>
      </c>
      <c r="T316">
        <v>183</v>
      </c>
      <c r="U316">
        <v>260</v>
      </c>
      <c r="V316">
        <v>44</v>
      </c>
      <c r="W316">
        <v>355</v>
      </c>
      <c r="X316">
        <v>74</v>
      </c>
      <c r="Y316">
        <v>227.5</v>
      </c>
      <c r="Z316">
        <v>335</v>
      </c>
      <c r="AA316">
        <v>260</v>
      </c>
      <c r="AB316">
        <v>0</v>
      </c>
      <c r="AD316">
        <v>465</v>
      </c>
      <c r="AE316">
        <v>250</v>
      </c>
    </row>
    <row r="317" spans="1:31" x14ac:dyDescent="0.25">
      <c r="A317" t="s">
        <v>715</v>
      </c>
      <c r="B317">
        <v>2013</v>
      </c>
      <c r="C317">
        <v>9</v>
      </c>
      <c r="E317">
        <v>155</v>
      </c>
      <c r="F317">
        <v>29</v>
      </c>
      <c r="G317">
        <v>160</v>
      </c>
      <c r="H317">
        <v>6</v>
      </c>
      <c r="I317">
        <v>335</v>
      </c>
      <c r="K317">
        <v>300</v>
      </c>
      <c r="L317">
        <v>27</v>
      </c>
      <c r="M317">
        <v>135</v>
      </c>
      <c r="N317">
        <v>65</v>
      </c>
      <c r="O317">
        <v>160</v>
      </c>
      <c r="Q317">
        <v>180</v>
      </c>
      <c r="R317">
        <v>10</v>
      </c>
      <c r="S317">
        <v>215</v>
      </c>
      <c r="T317">
        <v>87</v>
      </c>
      <c r="U317">
        <v>250</v>
      </c>
      <c r="V317">
        <v>19</v>
      </c>
      <c r="W317">
        <v>350</v>
      </c>
      <c r="X317">
        <v>99</v>
      </c>
      <c r="Y317">
        <v>210</v>
      </c>
      <c r="Z317">
        <v>215</v>
      </c>
      <c r="AA317">
        <v>250</v>
      </c>
      <c r="AC317">
        <v>180</v>
      </c>
      <c r="AD317">
        <v>285</v>
      </c>
      <c r="AE317">
        <v>210</v>
      </c>
    </row>
    <row r="318" spans="1:31" x14ac:dyDescent="0.25">
      <c r="A318" t="s">
        <v>716</v>
      </c>
      <c r="B318">
        <v>2013</v>
      </c>
      <c r="C318">
        <v>9</v>
      </c>
      <c r="D318">
        <v>14</v>
      </c>
      <c r="E318">
        <v>180</v>
      </c>
      <c r="F318">
        <v>31</v>
      </c>
      <c r="G318">
        <v>210</v>
      </c>
      <c r="H318">
        <v>18</v>
      </c>
      <c r="I318">
        <v>250</v>
      </c>
      <c r="K318">
        <v>320</v>
      </c>
      <c r="L318">
        <v>26</v>
      </c>
      <c r="M318">
        <v>225</v>
      </c>
      <c r="N318">
        <v>90</v>
      </c>
      <c r="O318">
        <v>215</v>
      </c>
      <c r="Q318">
        <v>185</v>
      </c>
      <c r="R318">
        <v>26</v>
      </c>
      <c r="S318">
        <v>230</v>
      </c>
      <c r="T318">
        <v>122</v>
      </c>
      <c r="U318">
        <v>265</v>
      </c>
      <c r="V318">
        <v>63</v>
      </c>
      <c r="W318">
        <v>320</v>
      </c>
      <c r="X318">
        <v>96</v>
      </c>
      <c r="Y318">
        <v>260</v>
      </c>
      <c r="Z318">
        <v>310</v>
      </c>
      <c r="AA318">
        <v>270</v>
      </c>
      <c r="AB318">
        <v>0</v>
      </c>
      <c r="AD318">
        <v>400</v>
      </c>
      <c r="AE318">
        <v>260</v>
      </c>
    </row>
    <row r="319" spans="1:31" x14ac:dyDescent="0.25">
      <c r="A319" t="s">
        <v>717</v>
      </c>
      <c r="B319">
        <v>2013</v>
      </c>
      <c r="C319">
        <v>9</v>
      </c>
      <c r="D319">
        <v>6</v>
      </c>
      <c r="E319">
        <v>100</v>
      </c>
      <c r="F319">
        <v>77</v>
      </c>
      <c r="G319">
        <v>150</v>
      </c>
      <c r="H319">
        <v>16</v>
      </c>
      <c r="I319">
        <v>270</v>
      </c>
      <c r="K319">
        <v>210</v>
      </c>
      <c r="L319">
        <v>63</v>
      </c>
      <c r="M319">
        <v>150</v>
      </c>
      <c r="N319">
        <v>165</v>
      </c>
      <c r="O319">
        <v>155</v>
      </c>
      <c r="Q319">
        <v>100</v>
      </c>
      <c r="R319">
        <v>27</v>
      </c>
      <c r="S319">
        <v>200</v>
      </c>
      <c r="T319">
        <v>162</v>
      </c>
      <c r="U319">
        <v>210</v>
      </c>
      <c r="V319">
        <v>58</v>
      </c>
      <c r="W319">
        <v>260</v>
      </c>
      <c r="X319">
        <v>146</v>
      </c>
      <c r="Y319">
        <v>200</v>
      </c>
      <c r="Z319">
        <v>395</v>
      </c>
      <c r="AA319">
        <v>215</v>
      </c>
      <c r="AB319">
        <v>0</v>
      </c>
      <c r="AD319">
        <v>560</v>
      </c>
      <c r="AE319">
        <v>195</v>
      </c>
    </row>
    <row r="320" spans="1:31" x14ac:dyDescent="0.25">
      <c r="A320" t="s">
        <v>628</v>
      </c>
      <c r="B320">
        <v>2013</v>
      </c>
      <c r="C320">
        <v>9</v>
      </c>
      <c r="D320">
        <v>563</v>
      </c>
      <c r="E320">
        <v>230</v>
      </c>
      <c r="F320">
        <v>1805</v>
      </c>
      <c r="G320">
        <v>275</v>
      </c>
      <c r="H320">
        <v>488</v>
      </c>
      <c r="I320">
        <v>340</v>
      </c>
      <c r="J320">
        <v>22</v>
      </c>
      <c r="K320">
        <v>375</v>
      </c>
      <c r="L320">
        <v>1415</v>
      </c>
      <c r="M320">
        <v>260</v>
      </c>
      <c r="N320">
        <v>4295</v>
      </c>
      <c r="O320">
        <v>270</v>
      </c>
      <c r="P320">
        <v>89</v>
      </c>
      <c r="Q320">
        <v>210</v>
      </c>
      <c r="R320">
        <v>531</v>
      </c>
      <c r="S320">
        <v>300</v>
      </c>
      <c r="T320">
        <v>2875</v>
      </c>
      <c r="U320">
        <v>325</v>
      </c>
      <c r="V320">
        <v>646</v>
      </c>
      <c r="W320">
        <v>395</v>
      </c>
      <c r="X320">
        <v>2586</v>
      </c>
      <c r="Y320">
        <v>300</v>
      </c>
      <c r="Z320">
        <v>6725</v>
      </c>
      <c r="AA320">
        <v>320</v>
      </c>
      <c r="AB320">
        <v>71</v>
      </c>
      <c r="AC320">
        <v>160</v>
      </c>
      <c r="AD320">
        <v>11090</v>
      </c>
      <c r="AE320">
        <v>296</v>
      </c>
    </row>
    <row r="321" spans="1:31" x14ac:dyDescent="0.25">
      <c r="A321" t="s">
        <v>718</v>
      </c>
      <c r="B321">
        <v>2013</v>
      </c>
      <c r="C321">
        <v>9</v>
      </c>
      <c r="D321">
        <v>11</v>
      </c>
      <c r="E321">
        <v>140</v>
      </c>
      <c r="F321">
        <v>26</v>
      </c>
      <c r="G321">
        <v>152.5</v>
      </c>
      <c r="H321">
        <v>6</v>
      </c>
      <c r="I321">
        <v>235</v>
      </c>
      <c r="K321">
        <v>235</v>
      </c>
      <c r="L321">
        <v>42</v>
      </c>
      <c r="M321">
        <v>155</v>
      </c>
      <c r="N321">
        <v>85</v>
      </c>
      <c r="O321">
        <v>152.5</v>
      </c>
      <c r="Q321">
        <v>152.5</v>
      </c>
      <c r="R321">
        <v>27</v>
      </c>
      <c r="S321">
        <v>190</v>
      </c>
      <c r="T321">
        <v>165</v>
      </c>
      <c r="U321">
        <v>220</v>
      </c>
      <c r="V321">
        <v>47</v>
      </c>
      <c r="W321">
        <v>280</v>
      </c>
      <c r="X321">
        <v>163</v>
      </c>
      <c r="Y321">
        <v>210</v>
      </c>
      <c r="Z321">
        <v>405</v>
      </c>
      <c r="AA321">
        <v>220</v>
      </c>
      <c r="AB321">
        <v>0</v>
      </c>
      <c r="AD321">
        <v>490</v>
      </c>
      <c r="AE321">
        <v>210</v>
      </c>
    </row>
    <row r="322" spans="1:31" x14ac:dyDescent="0.25">
      <c r="A322" t="s">
        <v>719</v>
      </c>
      <c r="B322">
        <v>2013</v>
      </c>
      <c r="C322">
        <v>9</v>
      </c>
      <c r="D322">
        <v>68</v>
      </c>
      <c r="E322">
        <v>170</v>
      </c>
      <c r="F322">
        <v>281</v>
      </c>
      <c r="G322">
        <v>260</v>
      </c>
      <c r="H322">
        <v>116</v>
      </c>
      <c r="I322">
        <v>295</v>
      </c>
      <c r="K322">
        <v>360</v>
      </c>
      <c r="L322">
        <v>266</v>
      </c>
      <c r="M322">
        <v>240</v>
      </c>
      <c r="N322">
        <v>735</v>
      </c>
      <c r="O322">
        <v>255</v>
      </c>
      <c r="P322">
        <v>17</v>
      </c>
      <c r="Q322">
        <v>200</v>
      </c>
      <c r="R322">
        <v>126</v>
      </c>
      <c r="S322">
        <v>260</v>
      </c>
      <c r="T322">
        <v>1222</v>
      </c>
      <c r="U322">
        <v>290</v>
      </c>
      <c r="V322">
        <v>194</v>
      </c>
      <c r="W322">
        <v>345</v>
      </c>
      <c r="X322">
        <v>1075</v>
      </c>
      <c r="Y322">
        <v>280</v>
      </c>
      <c r="Z322">
        <v>2635</v>
      </c>
      <c r="AA322">
        <v>285</v>
      </c>
      <c r="AC322">
        <v>150</v>
      </c>
      <c r="AD322">
        <v>3370</v>
      </c>
      <c r="AE322">
        <v>280</v>
      </c>
    </row>
    <row r="323" spans="1:31" x14ac:dyDescent="0.25">
      <c r="A323" t="s">
        <v>720</v>
      </c>
      <c r="B323">
        <v>2013</v>
      </c>
      <c r="C323">
        <v>9</v>
      </c>
      <c r="D323">
        <v>68</v>
      </c>
      <c r="E323">
        <v>150</v>
      </c>
      <c r="F323">
        <v>272</v>
      </c>
      <c r="G323">
        <v>190</v>
      </c>
      <c r="H323">
        <v>112</v>
      </c>
      <c r="I323">
        <v>280</v>
      </c>
      <c r="J323">
        <v>14</v>
      </c>
      <c r="K323">
        <v>310</v>
      </c>
      <c r="L323">
        <v>278</v>
      </c>
      <c r="M323">
        <v>170</v>
      </c>
      <c r="N323">
        <v>745</v>
      </c>
      <c r="O323">
        <v>190</v>
      </c>
      <c r="P323">
        <v>20</v>
      </c>
      <c r="Q323">
        <v>180</v>
      </c>
      <c r="R323">
        <v>200</v>
      </c>
      <c r="S323">
        <v>212.5</v>
      </c>
      <c r="T323">
        <v>1146</v>
      </c>
      <c r="U323">
        <v>250</v>
      </c>
      <c r="V323">
        <v>422</v>
      </c>
      <c r="W323">
        <v>320</v>
      </c>
      <c r="X323">
        <v>966</v>
      </c>
      <c r="Y323">
        <v>231</v>
      </c>
      <c r="Z323">
        <v>2755</v>
      </c>
      <c r="AA323">
        <v>250</v>
      </c>
      <c r="AB323">
        <v>1</v>
      </c>
      <c r="AC323">
        <v>180</v>
      </c>
      <c r="AD323">
        <v>3500</v>
      </c>
      <c r="AE323">
        <v>240</v>
      </c>
    </row>
    <row r="324" spans="1:31" x14ac:dyDescent="0.25">
      <c r="A324" t="s">
        <v>724</v>
      </c>
      <c r="B324">
        <v>2013</v>
      </c>
      <c r="C324">
        <v>9</v>
      </c>
      <c r="D324">
        <v>631</v>
      </c>
      <c r="E324">
        <v>225</v>
      </c>
      <c r="F324">
        <v>2077</v>
      </c>
      <c r="G324">
        <v>270</v>
      </c>
      <c r="H324">
        <v>600</v>
      </c>
      <c r="I324">
        <v>325</v>
      </c>
      <c r="J324">
        <v>36</v>
      </c>
      <c r="K324">
        <v>350</v>
      </c>
      <c r="L324">
        <v>1693</v>
      </c>
      <c r="M324">
        <v>250</v>
      </c>
      <c r="N324">
        <v>5035</v>
      </c>
      <c r="O324">
        <v>265</v>
      </c>
      <c r="P324">
        <v>109</v>
      </c>
      <c r="Q324">
        <v>200</v>
      </c>
      <c r="R324">
        <v>731</v>
      </c>
      <c r="S324">
        <v>280</v>
      </c>
      <c r="T324">
        <v>4021</v>
      </c>
      <c r="U324">
        <v>300</v>
      </c>
      <c r="V324">
        <v>1068</v>
      </c>
      <c r="W324">
        <v>360</v>
      </c>
      <c r="X324">
        <v>3552</v>
      </c>
      <c r="Y324">
        <v>280</v>
      </c>
      <c r="Z324">
        <v>9480</v>
      </c>
      <c r="AA324">
        <v>300</v>
      </c>
      <c r="AB324">
        <v>72</v>
      </c>
      <c r="AC324">
        <v>160</v>
      </c>
      <c r="AD324">
        <v>14590</v>
      </c>
      <c r="AE324">
        <v>285</v>
      </c>
    </row>
    <row r="325" spans="1:31" x14ac:dyDescent="0.25">
      <c r="A325" t="s">
        <v>721</v>
      </c>
      <c r="B325">
        <v>2013</v>
      </c>
      <c r="C325">
        <v>9</v>
      </c>
      <c r="D325">
        <v>104</v>
      </c>
      <c r="E325">
        <v>230</v>
      </c>
      <c r="F325">
        <v>409</v>
      </c>
      <c r="G325">
        <v>270</v>
      </c>
      <c r="H325">
        <v>116</v>
      </c>
      <c r="I325">
        <v>320</v>
      </c>
      <c r="K325">
        <v>695</v>
      </c>
      <c r="L325">
        <v>339</v>
      </c>
      <c r="M325">
        <v>260</v>
      </c>
      <c r="N325">
        <v>970</v>
      </c>
      <c r="O325">
        <v>270</v>
      </c>
      <c r="P325">
        <v>26</v>
      </c>
      <c r="Q325">
        <v>192.5</v>
      </c>
      <c r="R325">
        <v>112</v>
      </c>
      <c r="S325">
        <v>315</v>
      </c>
      <c r="T325">
        <v>789</v>
      </c>
      <c r="U325">
        <v>330</v>
      </c>
      <c r="V325">
        <v>252</v>
      </c>
      <c r="W325">
        <v>392.5</v>
      </c>
      <c r="X325">
        <v>703</v>
      </c>
      <c r="Y325">
        <v>300</v>
      </c>
      <c r="Z325">
        <v>1880</v>
      </c>
      <c r="AA325">
        <v>325</v>
      </c>
      <c r="AB325">
        <v>24</v>
      </c>
      <c r="AC325">
        <v>145.5</v>
      </c>
      <c r="AD325">
        <v>2875</v>
      </c>
      <c r="AE325">
        <v>300</v>
      </c>
    </row>
    <row r="326" spans="1:31" x14ac:dyDescent="0.25">
      <c r="A326" t="s">
        <v>722</v>
      </c>
      <c r="B326">
        <v>2013</v>
      </c>
      <c r="C326">
        <v>9</v>
      </c>
      <c r="D326">
        <v>93</v>
      </c>
      <c r="E326">
        <v>200</v>
      </c>
      <c r="F326">
        <v>464</v>
      </c>
      <c r="G326">
        <v>265</v>
      </c>
      <c r="H326">
        <v>119</v>
      </c>
      <c r="I326">
        <v>365</v>
      </c>
      <c r="K326">
        <v>387.5</v>
      </c>
      <c r="L326">
        <v>314</v>
      </c>
      <c r="M326">
        <v>255</v>
      </c>
      <c r="N326">
        <v>995</v>
      </c>
      <c r="O326">
        <v>260</v>
      </c>
      <c r="P326">
        <v>21</v>
      </c>
      <c r="Q326">
        <v>230</v>
      </c>
      <c r="R326">
        <v>132</v>
      </c>
      <c r="S326">
        <v>307.5</v>
      </c>
      <c r="T326">
        <v>496</v>
      </c>
      <c r="U326">
        <v>355</v>
      </c>
      <c r="V326">
        <v>97</v>
      </c>
      <c r="W326">
        <v>420</v>
      </c>
      <c r="X326">
        <v>422</v>
      </c>
      <c r="Y326">
        <v>318</v>
      </c>
      <c r="Z326">
        <v>1170</v>
      </c>
      <c r="AA326">
        <v>340</v>
      </c>
      <c r="AB326">
        <v>16</v>
      </c>
      <c r="AC326">
        <v>170</v>
      </c>
      <c r="AD326">
        <v>2180</v>
      </c>
      <c r="AE326">
        <v>300</v>
      </c>
    </row>
    <row r="327" spans="1:31" x14ac:dyDescent="0.25">
      <c r="A327" t="s">
        <v>723</v>
      </c>
      <c r="B327">
        <v>2013</v>
      </c>
      <c r="C327">
        <v>9</v>
      </c>
      <c r="D327">
        <v>9</v>
      </c>
      <c r="E327">
        <v>120</v>
      </c>
      <c r="F327">
        <v>10</v>
      </c>
      <c r="G327">
        <v>165</v>
      </c>
      <c r="H327">
        <v>10</v>
      </c>
      <c r="I327">
        <v>224</v>
      </c>
      <c r="K327">
        <v>209.2</v>
      </c>
      <c r="L327">
        <v>22</v>
      </c>
      <c r="M327">
        <v>150</v>
      </c>
      <c r="N327">
        <v>55</v>
      </c>
      <c r="O327">
        <v>160</v>
      </c>
      <c r="Q327">
        <v>122.5</v>
      </c>
      <c r="R327">
        <v>41</v>
      </c>
      <c r="S327">
        <v>190</v>
      </c>
      <c r="T327">
        <v>181</v>
      </c>
      <c r="U327">
        <v>220</v>
      </c>
      <c r="V327">
        <v>54</v>
      </c>
      <c r="W327">
        <v>275</v>
      </c>
      <c r="X327">
        <v>171</v>
      </c>
      <c r="Y327">
        <v>210</v>
      </c>
      <c r="Z327">
        <v>450</v>
      </c>
      <c r="AA327">
        <v>220</v>
      </c>
      <c r="AB327">
        <v>0</v>
      </c>
      <c r="AD327">
        <v>500</v>
      </c>
      <c r="AE327">
        <v>220</v>
      </c>
    </row>
    <row r="328" spans="1:31" x14ac:dyDescent="0.25">
      <c r="A328" t="s">
        <v>711</v>
      </c>
      <c r="B328">
        <v>2013</v>
      </c>
      <c r="C328">
        <v>12</v>
      </c>
      <c r="E328">
        <v>90</v>
      </c>
      <c r="F328">
        <v>17</v>
      </c>
      <c r="G328">
        <v>255</v>
      </c>
      <c r="H328">
        <v>19</v>
      </c>
      <c r="I328">
        <v>325</v>
      </c>
      <c r="K328">
        <v>340</v>
      </c>
      <c r="L328">
        <v>27</v>
      </c>
      <c r="M328">
        <v>270</v>
      </c>
      <c r="N328">
        <v>65</v>
      </c>
      <c r="O328">
        <v>280</v>
      </c>
      <c r="Q328">
        <v>252.5</v>
      </c>
      <c r="R328">
        <v>21</v>
      </c>
      <c r="S328">
        <v>280</v>
      </c>
      <c r="T328">
        <v>94</v>
      </c>
      <c r="U328">
        <v>332.5</v>
      </c>
      <c r="V328">
        <v>57</v>
      </c>
      <c r="W328">
        <v>425</v>
      </c>
      <c r="X328">
        <v>79</v>
      </c>
      <c r="Y328">
        <v>340</v>
      </c>
      <c r="Z328">
        <v>255</v>
      </c>
      <c r="AA328">
        <v>340</v>
      </c>
      <c r="AB328">
        <v>0</v>
      </c>
      <c r="AD328">
        <v>320</v>
      </c>
      <c r="AE328">
        <v>330</v>
      </c>
    </row>
    <row r="329" spans="1:31" x14ac:dyDescent="0.25">
      <c r="A329" t="s">
        <v>712</v>
      </c>
      <c r="B329">
        <v>2013</v>
      </c>
      <c r="C329">
        <v>12</v>
      </c>
      <c r="D329">
        <v>9</v>
      </c>
      <c r="E329">
        <v>200</v>
      </c>
      <c r="F329">
        <v>25</v>
      </c>
      <c r="G329">
        <v>220</v>
      </c>
      <c r="H329">
        <v>14</v>
      </c>
      <c r="I329">
        <v>272.5</v>
      </c>
      <c r="J329">
        <v>0</v>
      </c>
      <c r="L329">
        <v>25</v>
      </c>
      <c r="M329">
        <v>220</v>
      </c>
      <c r="N329">
        <v>75</v>
      </c>
      <c r="O329">
        <v>225</v>
      </c>
      <c r="P329">
        <v>0</v>
      </c>
      <c r="R329">
        <v>24</v>
      </c>
      <c r="S329">
        <v>222.5</v>
      </c>
      <c r="T329">
        <v>130</v>
      </c>
      <c r="U329">
        <v>285</v>
      </c>
      <c r="V329">
        <v>44</v>
      </c>
      <c r="W329">
        <v>342.5</v>
      </c>
      <c r="X329">
        <v>99</v>
      </c>
      <c r="Y329">
        <v>280</v>
      </c>
      <c r="Z329">
        <v>295</v>
      </c>
      <c r="AA329">
        <v>285</v>
      </c>
      <c r="AB329">
        <v>0</v>
      </c>
      <c r="AD329">
        <v>370</v>
      </c>
      <c r="AE329">
        <v>280</v>
      </c>
    </row>
    <row r="330" spans="1:31" x14ac:dyDescent="0.25">
      <c r="A330" t="s">
        <v>713</v>
      </c>
      <c r="B330">
        <v>2013</v>
      </c>
      <c r="C330">
        <v>12</v>
      </c>
      <c r="D330">
        <v>260</v>
      </c>
      <c r="E330">
        <v>260</v>
      </c>
      <c r="F330">
        <v>530</v>
      </c>
      <c r="G330">
        <v>300</v>
      </c>
      <c r="H330">
        <v>98</v>
      </c>
      <c r="I330">
        <v>415</v>
      </c>
      <c r="J330">
        <v>6</v>
      </c>
      <c r="K330">
        <v>315</v>
      </c>
      <c r="L330">
        <v>330</v>
      </c>
      <c r="M330">
        <v>290</v>
      </c>
      <c r="N330">
        <v>1225</v>
      </c>
      <c r="O330">
        <v>295</v>
      </c>
      <c r="P330">
        <v>13</v>
      </c>
      <c r="Q330">
        <v>245</v>
      </c>
      <c r="R330">
        <v>159</v>
      </c>
      <c r="S330">
        <v>350</v>
      </c>
      <c r="T330">
        <v>294</v>
      </c>
      <c r="U330">
        <v>400</v>
      </c>
      <c r="V330">
        <v>90</v>
      </c>
      <c r="W330">
        <v>535</v>
      </c>
      <c r="X330">
        <v>308</v>
      </c>
      <c r="Y330">
        <v>377.5</v>
      </c>
      <c r="Z330">
        <v>865</v>
      </c>
      <c r="AA330">
        <v>395</v>
      </c>
      <c r="AB330">
        <v>26</v>
      </c>
      <c r="AC330">
        <v>163.25</v>
      </c>
      <c r="AD330">
        <v>2115</v>
      </c>
      <c r="AE330">
        <v>335</v>
      </c>
    </row>
    <row r="331" spans="1:31" x14ac:dyDescent="0.25">
      <c r="A331" t="s">
        <v>714</v>
      </c>
      <c r="B331">
        <v>2013</v>
      </c>
      <c r="C331">
        <v>12</v>
      </c>
      <c r="D331">
        <v>20</v>
      </c>
      <c r="E331">
        <v>147.5</v>
      </c>
      <c r="F331">
        <v>43</v>
      </c>
      <c r="G331">
        <v>210</v>
      </c>
      <c r="H331">
        <v>17</v>
      </c>
      <c r="I331">
        <v>290</v>
      </c>
      <c r="K331">
        <v>380</v>
      </c>
      <c r="L331">
        <v>11</v>
      </c>
      <c r="M331">
        <v>175</v>
      </c>
      <c r="N331">
        <v>95</v>
      </c>
      <c r="O331">
        <v>205</v>
      </c>
      <c r="Q331">
        <v>155</v>
      </c>
      <c r="R331">
        <v>24</v>
      </c>
      <c r="S331">
        <v>235</v>
      </c>
      <c r="T331">
        <v>167</v>
      </c>
      <c r="U331">
        <v>260</v>
      </c>
      <c r="V331">
        <v>39</v>
      </c>
      <c r="W331">
        <v>350</v>
      </c>
      <c r="X331">
        <v>65</v>
      </c>
      <c r="Y331">
        <v>210</v>
      </c>
      <c r="Z331">
        <v>300</v>
      </c>
      <c r="AA331">
        <v>250</v>
      </c>
      <c r="AB331">
        <v>0</v>
      </c>
      <c r="AD331">
        <v>395</v>
      </c>
      <c r="AE331">
        <v>250</v>
      </c>
    </row>
    <row r="332" spans="1:31" x14ac:dyDescent="0.25">
      <c r="A332" t="s">
        <v>715</v>
      </c>
      <c r="B332">
        <v>2013</v>
      </c>
      <c r="C332">
        <v>12</v>
      </c>
      <c r="E332">
        <v>152.5</v>
      </c>
      <c r="F332">
        <v>15</v>
      </c>
      <c r="G332">
        <v>180</v>
      </c>
      <c r="I332">
        <v>330</v>
      </c>
      <c r="J332">
        <v>0</v>
      </c>
      <c r="L332">
        <v>24</v>
      </c>
      <c r="M332">
        <v>134.9</v>
      </c>
      <c r="N332">
        <v>45</v>
      </c>
      <c r="O332">
        <v>165</v>
      </c>
      <c r="P332">
        <v>0</v>
      </c>
      <c r="R332">
        <v>17</v>
      </c>
      <c r="S332">
        <v>220</v>
      </c>
      <c r="T332">
        <v>60</v>
      </c>
      <c r="U332">
        <v>250</v>
      </c>
      <c r="V332">
        <v>26</v>
      </c>
      <c r="W332">
        <v>350</v>
      </c>
      <c r="X332">
        <v>51</v>
      </c>
      <c r="Y332">
        <v>220</v>
      </c>
      <c r="Z332">
        <v>155</v>
      </c>
      <c r="AA332">
        <v>250</v>
      </c>
      <c r="AB332">
        <v>0</v>
      </c>
      <c r="AD332">
        <v>200</v>
      </c>
      <c r="AE332">
        <v>230</v>
      </c>
    </row>
    <row r="333" spans="1:31" x14ac:dyDescent="0.25">
      <c r="A333" t="s">
        <v>716</v>
      </c>
      <c r="B333">
        <v>2013</v>
      </c>
      <c r="C333">
        <v>12</v>
      </c>
      <c r="E333">
        <v>180</v>
      </c>
      <c r="F333">
        <v>27</v>
      </c>
      <c r="G333">
        <v>210</v>
      </c>
      <c r="H333">
        <v>9</v>
      </c>
      <c r="I333">
        <v>270</v>
      </c>
      <c r="J333">
        <v>0</v>
      </c>
      <c r="L333">
        <v>18</v>
      </c>
      <c r="M333">
        <v>205</v>
      </c>
      <c r="N333">
        <v>60</v>
      </c>
      <c r="O333">
        <v>220</v>
      </c>
      <c r="Q333">
        <v>200</v>
      </c>
      <c r="R333">
        <v>34</v>
      </c>
      <c r="S333">
        <v>235</v>
      </c>
      <c r="T333">
        <v>147</v>
      </c>
      <c r="U333">
        <v>265</v>
      </c>
      <c r="V333">
        <v>53</v>
      </c>
      <c r="W333">
        <v>330</v>
      </c>
      <c r="X333">
        <v>63</v>
      </c>
      <c r="Y333">
        <v>255</v>
      </c>
      <c r="Z333">
        <v>300</v>
      </c>
      <c r="AA333">
        <v>265</v>
      </c>
      <c r="AB333">
        <v>0</v>
      </c>
      <c r="AD333">
        <v>360</v>
      </c>
      <c r="AE333">
        <v>260</v>
      </c>
    </row>
    <row r="334" spans="1:31" x14ac:dyDescent="0.25">
      <c r="A334" t="s">
        <v>717</v>
      </c>
      <c r="B334">
        <v>2013</v>
      </c>
      <c r="C334">
        <v>12</v>
      </c>
      <c r="D334">
        <v>11</v>
      </c>
      <c r="E334">
        <v>135</v>
      </c>
      <c r="F334">
        <v>57</v>
      </c>
      <c r="G334">
        <v>155</v>
      </c>
      <c r="H334">
        <v>12</v>
      </c>
      <c r="I334">
        <v>242.5</v>
      </c>
      <c r="K334">
        <v>640</v>
      </c>
      <c r="L334">
        <v>33</v>
      </c>
      <c r="M334">
        <v>150</v>
      </c>
      <c r="N334">
        <v>115</v>
      </c>
      <c r="O334">
        <v>157.5</v>
      </c>
      <c r="Q334">
        <v>175</v>
      </c>
      <c r="R334">
        <v>29</v>
      </c>
      <c r="S334">
        <v>215</v>
      </c>
      <c r="T334">
        <v>145</v>
      </c>
      <c r="U334">
        <v>220</v>
      </c>
      <c r="V334">
        <v>34</v>
      </c>
      <c r="W334">
        <v>267.5</v>
      </c>
      <c r="X334">
        <v>85</v>
      </c>
      <c r="Y334">
        <v>200</v>
      </c>
      <c r="Z334">
        <v>295</v>
      </c>
      <c r="AA334">
        <v>220</v>
      </c>
      <c r="AC334">
        <v>160</v>
      </c>
      <c r="AD334">
        <v>410</v>
      </c>
      <c r="AE334">
        <v>200</v>
      </c>
    </row>
    <row r="335" spans="1:31" x14ac:dyDescent="0.25">
      <c r="A335" t="s">
        <v>628</v>
      </c>
      <c r="B335">
        <v>2013</v>
      </c>
      <c r="C335">
        <v>12</v>
      </c>
      <c r="D335">
        <v>477</v>
      </c>
      <c r="E335">
        <v>230</v>
      </c>
      <c r="F335">
        <v>1574</v>
      </c>
      <c r="G335">
        <v>280</v>
      </c>
      <c r="H335">
        <v>394</v>
      </c>
      <c r="I335">
        <v>350</v>
      </c>
      <c r="J335">
        <v>19</v>
      </c>
      <c r="K335">
        <v>365</v>
      </c>
      <c r="L335">
        <v>1033</v>
      </c>
      <c r="M335">
        <v>265</v>
      </c>
      <c r="N335">
        <v>3495</v>
      </c>
      <c r="O335">
        <v>275</v>
      </c>
      <c r="P335">
        <v>87</v>
      </c>
      <c r="Q335">
        <v>200</v>
      </c>
      <c r="R335">
        <v>523</v>
      </c>
      <c r="S335">
        <v>300</v>
      </c>
      <c r="T335">
        <v>2626</v>
      </c>
      <c r="U335">
        <v>327.5</v>
      </c>
      <c r="V335">
        <v>567</v>
      </c>
      <c r="W335">
        <v>390</v>
      </c>
      <c r="X335">
        <v>1931</v>
      </c>
      <c r="Y335">
        <v>300</v>
      </c>
      <c r="Z335">
        <v>5735</v>
      </c>
      <c r="AA335">
        <v>320</v>
      </c>
      <c r="AB335">
        <v>50</v>
      </c>
      <c r="AC335">
        <v>163.25</v>
      </c>
      <c r="AD335">
        <v>9280</v>
      </c>
      <c r="AE335">
        <v>300</v>
      </c>
    </row>
    <row r="336" spans="1:31" x14ac:dyDescent="0.25">
      <c r="A336" t="s">
        <v>718</v>
      </c>
      <c r="B336">
        <v>2013</v>
      </c>
      <c r="C336">
        <v>12</v>
      </c>
      <c r="D336">
        <v>11</v>
      </c>
      <c r="E336">
        <v>150</v>
      </c>
      <c r="F336">
        <v>40</v>
      </c>
      <c r="G336">
        <v>170</v>
      </c>
      <c r="H336">
        <v>12</v>
      </c>
      <c r="I336">
        <v>220</v>
      </c>
      <c r="K336">
        <v>285</v>
      </c>
      <c r="L336">
        <v>32</v>
      </c>
      <c r="M336">
        <v>142.5</v>
      </c>
      <c r="N336">
        <v>95</v>
      </c>
      <c r="O336">
        <v>170</v>
      </c>
      <c r="P336">
        <v>6</v>
      </c>
      <c r="Q336">
        <v>145</v>
      </c>
      <c r="R336">
        <v>25</v>
      </c>
      <c r="S336">
        <v>185</v>
      </c>
      <c r="T336">
        <v>184</v>
      </c>
      <c r="U336">
        <v>220</v>
      </c>
      <c r="V336">
        <v>54</v>
      </c>
      <c r="W336">
        <v>280</v>
      </c>
      <c r="X336">
        <v>139</v>
      </c>
      <c r="Y336">
        <v>205</v>
      </c>
      <c r="Z336">
        <v>410</v>
      </c>
      <c r="AA336">
        <v>220</v>
      </c>
      <c r="AB336">
        <v>0</v>
      </c>
      <c r="AD336">
        <v>505</v>
      </c>
      <c r="AE336">
        <v>210</v>
      </c>
    </row>
    <row r="337" spans="1:31" x14ac:dyDescent="0.25">
      <c r="A337" t="s">
        <v>719</v>
      </c>
      <c r="B337">
        <v>2013</v>
      </c>
      <c r="C337">
        <v>12</v>
      </c>
      <c r="D337">
        <v>48</v>
      </c>
      <c r="E337">
        <v>195</v>
      </c>
      <c r="F337">
        <v>259</v>
      </c>
      <c r="G337">
        <v>260</v>
      </c>
      <c r="H337">
        <v>104</v>
      </c>
      <c r="I337">
        <v>307.5</v>
      </c>
      <c r="K337">
        <v>280</v>
      </c>
      <c r="L337">
        <v>169</v>
      </c>
      <c r="M337">
        <v>250</v>
      </c>
      <c r="N337">
        <v>585</v>
      </c>
      <c r="O337">
        <v>260</v>
      </c>
      <c r="P337">
        <v>18</v>
      </c>
      <c r="Q337">
        <v>120</v>
      </c>
      <c r="R337">
        <v>97</v>
      </c>
      <c r="S337">
        <v>275</v>
      </c>
      <c r="T337">
        <v>1136</v>
      </c>
      <c r="U337">
        <v>295</v>
      </c>
      <c r="V337">
        <v>204</v>
      </c>
      <c r="W337">
        <v>350</v>
      </c>
      <c r="X337">
        <v>743</v>
      </c>
      <c r="Y337">
        <v>275</v>
      </c>
      <c r="Z337">
        <v>2200</v>
      </c>
      <c r="AA337">
        <v>290</v>
      </c>
      <c r="AC337">
        <v>149</v>
      </c>
      <c r="AD337">
        <v>2785</v>
      </c>
      <c r="AE337">
        <v>285</v>
      </c>
    </row>
    <row r="338" spans="1:31" x14ac:dyDescent="0.25">
      <c r="A338" t="s">
        <v>720</v>
      </c>
      <c r="B338">
        <v>2013</v>
      </c>
      <c r="C338">
        <v>12</v>
      </c>
      <c r="D338">
        <v>67</v>
      </c>
      <c r="E338">
        <v>150</v>
      </c>
      <c r="F338">
        <v>240</v>
      </c>
      <c r="G338">
        <v>185</v>
      </c>
      <c r="H338">
        <v>92</v>
      </c>
      <c r="I338">
        <v>275</v>
      </c>
      <c r="J338">
        <v>8</v>
      </c>
      <c r="K338">
        <v>360</v>
      </c>
      <c r="L338">
        <v>183</v>
      </c>
      <c r="M338">
        <v>185</v>
      </c>
      <c r="N338">
        <v>590</v>
      </c>
      <c r="O338">
        <v>192.5</v>
      </c>
      <c r="P338">
        <v>25</v>
      </c>
      <c r="Q338">
        <v>160</v>
      </c>
      <c r="R338">
        <v>203</v>
      </c>
      <c r="S338">
        <v>220</v>
      </c>
      <c r="T338">
        <v>1092</v>
      </c>
      <c r="U338">
        <v>250</v>
      </c>
      <c r="V338">
        <v>366</v>
      </c>
      <c r="W338">
        <v>320</v>
      </c>
      <c r="X338">
        <v>709</v>
      </c>
      <c r="Y338">
        <v>235</v>
      </c>
      <c r="Z338">
        <v>2395</v>
      </c>
      <c r="AA338">
        <v>250</v>
      </c>
      <c r="AB338">
        <v>2</v>
      </c>
      <c r="AC338">
        <v>177.5</v>
      </c>
      <c r="AD338">
        <v>2985</v>
      </c>
      <c r="AE338">
        <v>240</v>
      </c>
    </row>
    <row r="339" spans="1:31" x14ac:dyDescent="0.25">
      <c r="A339" t="s">
        <v>724</v>
      </c>
      <c r="B339">
        <v>2013</v>
      </c>
      <c r="C339">
        <v>12</v>
      </c>
      <c r="D339">
        <v>544</v>
      </c>
      <c r="E339">
        <v>225</v>
      </c>
      <c r="F339">
        <v>1814</v>
      </c>
      <c r="G339">
        <v>270</v>
      </c>
      <c r="H339">
        <v>486</v>
      </c>
      <c r="I339">
        <v>330</v>
      </c>
      <c r="J339">
        <v>27</v>
      </c>
      <c r="K339">
        <v>365</v>
      </c>
      <c r="L339">
        <v>1216</v>
      </c>
      <c r="M339">
        <v>255</v>
      </c>
      <c r="N339">
        <v>4085</v>
      </c>
      <c r="O339">
        <v>270</v>
      </c>
      <c r="P339">
        <v>112</v>
      </c>
      <c r="Q339">
        <v>190</v>
      </c>
      <c r="R339">
        <v>726</v>
      </c>
      <c r="S339">
        <v>285</v>
      </c>
      <c r="T339">
        <v>3718</v>
      </c>
      <c r="U339">
        <v>300</v>
      </c>
      <c r="V339">
        <v>933</v>
      </c>
      <c r="W339">
        <v>360</v>
      </c>
      <c r="X339">
        <v>2640</v>
      </c>
      <c r="Y339">
        <v>290</v>
      </c>
      <c r="Z339">
        <v>8130</v>
      </c>
      <c r="AA339">
        <v>300</v>
      </c>
      <c r="AB339">
        <v>52</v>
      </c>
      <c r="AC339">
        <v>163.25</v>
      </c>
      <c r="AD339">
        <v>12270</v>
      </c>
      <c r="AE339">
        <v>290</v>
      </c>
    </row>
    <row r="340" spans="1:31" x14ac:dyDescent="0.25">
      <c r="A340" t="s">
        <v>721</v>
      </c>
      <c r="B340">
        <v>2013</v>
      </c>
      <c r="C340">
        <v>12</v>
      </c>
      <c r="D340">
        <v>103</v>
      </c>
      <c r="E340">
        <v>215</v>
      </c>
      <c r="F340">
        <v>370</v>
      </c>
      <c r="G340">
        <v>280</v>
      </c>
      <c r="H340">
        <v>102</v>
      </c>
      <c r="I340">
        <v>330</v>
      </c>
      <c r="K340">
        <v>392.5</v>
      </c>
      <c r="L340">
        <v>260</v>
      </c>
      <c r="M340">
        <v>260</v>
      </c>
      <c r="N340">
        <v>840</v>
      </c>
      <c r="O340">
        <v>275</v>
      </c>
      <c r="P340">
        <v>39</v>
      </c>
      <c r="Q340">
        <v>250</v>
      </c>
      <c r="R340">
        <v>135</v>
      </c>
      <c r="S340">
        <v>300</v>
      </c>
      <c r="T340">
        <v>723</v>
      </c>
      <c r="U340">
        <v>330</v>
      </c>
      <c r="V340">
        <v>185</v>
      </c>
      <c r="W340">
        <v>390</v>
      </c>
      <c r="X340">
        <v>532</v>
      </c>
      <c r="Y340">
        <v>315</v>
      </c>
      <c r="Z340">
        <v>1615</v>
      </c>
      <c r="AA340">
        <v>330</v>
      </c>
      <c r="AB340">
        <v>10</v>
      </c>
      <c r="AC340">
        <v>141</v>
      </c>
      <c r="AD340">
        <v>2465</v>
      </c>
      <c r="AE340">
        <v>310</v>
      </c>
    </row>
    <row r="341" spans="1:31" x14ac:dyDescent="0.25">
      <c r="A341" t="s">
        <v>722</v>
      </c>
      <c r="B341">
        <v>2013</v>
      </c>
      <c r="C341">
        <v>12</v>
      </c>
      <c r="D341">
        <v>66</v>
      </c>
      <c r="E341">
        <v>222.5</v>
      </c>
      <c r="F341">
        <v>415</v>
      </c>
      <c r="G341">
        <v>260</v>
      </c>
      <c r="H341">
        <v>90</v>
      </c>
      <c r="I341">
        <v>370</v>
      </c>
      <c r="J341">
        <v>6</v>
      </c>
      <c r="K341">
        <v>420</v>
      </c>
      <c r="L341">
        <v>274</v>
      </c>
      <c r="M341">
        <v>265</v>
      </c>
      <c r="N341">
        <v>850</v>
      </c>
      <c r="O341">
        <v>270</v>
      </c>
      <c r="P341">
        <v>17</v>
      </c>
      <c r="Q341">
        <v>170</v>
      </c>
      <c r="R341">
        <v>132</v>
      </c>
      <c r="S341">
        <v>300</v>
      </c>
      <c r="T341">
        <v>473</v>
      </c>
      <c r="U341">
        <v>360</v>
      </c>
      <c r="V341">
        <v>88</v>
      </c>
      <c r="W341">
        <v>417.5</v>
      </c>
      <c r="X341">
        <v>348</v>
      </c>
      <c r="Y341">
        <v>340</v>
      </c>
      <c r="Z341">
        <v>1060</v>
      </c>
      <c r="AA341">
        <v>350</v>
      </c>
      <c r="AB341">
        <v>11</v>
      </c>
      <c r="AC341">
        <v>169</v>
      </c>
      <c r="AD341">
        <v>1920</v>
      </c>
      <c r="AE341">
        <v>305</v>
      </c>
    </row>
    <row r="342" spans="1:31" x14ac:dyDescent="0.25">
      <c r="A342" t="s">
        <v>723</v>
      </c>
      <c r="B342">
        <v>2013</v>
      </c>
      <c r="C342">
        <v>12</v>
      </c>
      <c r="D342">
        <v>6</v>
      </c>
      <c r="E342">
        <v>129</v>
      </c>
      <c r="F342">
        <v>16</v>
      </c>
      <c r="G342">
        <v>157.5</v>
      </c>
      <c r="I342">
        <v>240</v>
      </c>
      <c r="J342">
        <v>0</v>
      </c>
      <c r="L342">
        <v>13</v>
      </c>
      <c r="M342">
        <v>160</v>
      </c>
      <c r="N342">
        <v>40</v>
      </c>
      <c r="O342">
        <v>157.5</v>
      </c>
      <c r="P342">
        <v>6</v>
      </c>
      <c r="Q342">
        <v>160</v>
      </c>
      <c r="R342">
        <v>29</v>
      </c>
      <c r="S342">
        <v>195</v>
      </c>
      <c r="T342">
        <v>165</v>
      </c>
      <c r="U342">
        <v>220</v>
      </c>
      <c r="V342">
        <v>59</v>
      </c>
      <c r="W342">
        <v>260</v>
      </c>
      <c r="X342">
        <v>128</v>
      </c>
      <c r="Y342">
        <v>210.85</v>
      </c>
      <c r="Z342">
        <v>385</v>
      </c>
      <c r="AA342">
        <v>220</v>
      </c>
      <c r="AC342">
        <v>195</v>
      </c>
      <c r="AD342">
        <v>430</v>
      </c>
      <c r="AE342">
        <v>220</v>
      </c>
    </row>
    <row r="343" spans="1:31" x14ac:dyDescent="0.25">
      <c r="A343" t="s">
        <v>711</v>
      </c>
      <c r="B343">
        <v>2014</v>
      </c>
      <c r="C343">
        <v>3</v>
      </c>
      <c r="E343">
        <v>230</v>
      </c>
      <c r="F343">
        <v>12</v>
      </c>
      <c r="G343">
        <v>260</v>
      </c>
      <c r="H343">
        <v>30</v>
      </c>
      <c r="I343">
        <v>312.5</v>
      </c>
      <c r="K343">
        <v>385</v>
      </c>
      <c r="L343">
        <v>38</v>
      </c>
      <c r="M343">
        <v>297.5</v>
      </c>
      <c r="N343">
        <v>85</v>
      </c>
      <c r="O343">
        <v>295</v>
      </c>
      <c r="P343">
        <v>7</v>
      </c>
      <c r="Q343">
        <v>250</v>
      </c>
      <c r="R343">
        <v>18</v>
      </c>
      <c r="S343">
        <v>297.5</v>
      </c>
      <c r="T343">
        <v>124</v>
      </c>
      <c r="U343">
        <v>330</v>
      </c>
      <c r="V343">
        <v>73</v>
      </c>
      <c r="W343">
        <v>430</v>
      </c>
      <c r="X343">
        <v>112</v>
      </c>
      <c r="Y343">
        <v>329.5</v>
      </c>
      <c r="Z343">
        <v>335</v>
      </c>
      <c r="AA343">
        <v>350</v>
      </c>
      <c r="AB343">
        <v>0</v>
      </c>
      <c r="AD343">
        <v>420</v>
      </c>
      <c r="AE343">
        <v>330</v>
      </c>
    </row>
    <row r="344" spans="1:31" x14ac:dyDescent="0.25">
      <c r="A344" t="s">
        <v>712</v>
      </c>
      <c r="B344">
        <v>2014</v>
      </c>
      <c r="C344">
        <v>3</v>
      </c>
      <c r="D344">
        <v>6</v>
      </c>
      <c r="E344">
        <v>180</v>
      </c>
      <c r="F344">
        <v>34</v>
      </c>
      <c r="G344">
        <v>230</v>
      </c>
      <c r="H344">
        <v>20</v>
      </c>
      <c r="I344">
        <v>265</v>
      </c>
      <c r="K344">
        <v>160</v>
      </c>
      <c r="L344">
        <v>28</v>
      </c>
      <c r="M344">
        <v>217.5</v>
      </c>
      <c r="N344">
        <v>90</v>
      </c>
      <c r="O344">
        <v>225</v>
      </c>
      <c r="Q344">
        <v>180</v>
      </c>
      <c r="R344">
        <v>24</v>
      </c>
      <c r="S344">
        <v>245</v>
      </c>
      <c r="T344">
        <v>187</v>
      </c>
      <c r="U344">
        <v>280</v>
      </c>
      <c r="V344">
        <v>77</v>
      </c>
      <c r="W344">
        <v>350</v>
      </c>
      <c r="X344">
        <v>138</v>
      </c>
      <c r="Y344">
        <v>280</v>
      </c>
      <c r="Z344">
        <v>425</v>
      </c>
      <c r="AA344">
        <v>285</v>
      </c>
      <c r="AB344">
        <v>0</v>
      </c>
      <c r="AD344">
        <v>515</v>
      </c>
      <c r="AE344">
        <v>280</v>
      </c>
    </row>
    <row r="345" spans="1:31" x14ac:dyDescent="0.25">
      <c r="A345" t="s">
        <v>713</v>
      </c>
      <c r="B345">
        <v>2014</v>
      </c>
      <c r="C345">
        <v>3</v>
      </c>
      <c r="D345">
        <v>304</v>
      </c>
      <c r="E345">
        <v>270</v>
      </c>
      <c r="F345">
        <v>799</v>
      </c>
      <c r="G345">
        <v>310</v>
      </c>
      <c r="H345">
        <v>168</v>
      </c>
      <c r="I345">
        <v>432.5</v>
      </c>
      <c r="J345">
        <v>10</v>
      </c>
      <c r="K345">
        <v>572.5</v>
      </c>
      <c r="L345">
        <v>558</v>
      </c>
      <c r="M345">
        <v>292.5</v>
      </c>
      <c r="N345">
        <v>1840</v>
      </c>
      <c r="O345">
        <v>305</v>
      </c>
      <c r="P345">
        <v>37</v>
      </c>
      <c r="Q345">
        <v>245</v>
      </c>
      <c r="R345">
        <v>211</v>
      </c>
      <c r="S345">
        <v>380</v>
      </c>
      <c r="T345">
        <v>463</v>
      </c>
      <c r="U345">
        <v>400</v>
      </c>
      <c r="V345">
        <v>133</v>
      </c>
      <c r="W345">
        <v>540</v>
      </c>
      <c r="X345">
        <v>411</v>
      </c>
      <c r="Y345">
        <v>390</v>
      </c>
      <c r="Z345">
        <v>1255</v>
      </c>
      <c r="AA345">
        <v>400</v>
      </c>
      <c r="AB345">
        <v>35</v>
      </c>
      <c r="AC345">
        <v>165</v>
      </c>
      <c r="AD345">
        <v>3130</v>
      </c>
      <c r="AE345">
        <v>340</v>
      </c>
    </row>
    <row r="346" spans="1:31" x14ac:dyDescent="0.25">
      <c r="A346" t="s">
        <v>714</v>
      </c>
      <c r="B346">
        <v>2014</v>
      </c>
      <c r="C346">
        <v>3</v>
      </c>
      <c r="D346">
        <v>22</v>
      </c>
      <c r="E346">
        <v>150</v>
      </c>
      <c r="F346">
        <v>61</v>
      </c>
      <c r="G346">
        <v>210</v>
      </c>
      <c r="H346">
        <v>25</v>
      </c>
      <c r="I346">
        <v>320</v>
      </c>
      <c r="K346">
        <v>385</v>
      </c>
      <c r="L346">
        <v>27</v>
      </c>
      <c r="M346">
        <v>180</v>
      </c>
      <c r="N346">
        <v>135</v>
      </c>
      <c r="O346">
        <v>210</v>
      </c>
      <c r="Q346">
        <v>200</v>
      </c>
      <c r="R346">
        <v>40</v>
      </c>
      <c r="S346">
        <v>222.5</v>
      </c>
      <c r="T346">
        <v>188</v>
      </c>
      <c r="U346">
        <v>260</v>
      </c>
      <c r="V346">
        <v>73</v>
      </c>
      <c r="W346">
        <v>350</v>
      </c>
      <c r="X346">
        <v>102</v>
      </c>
      <c r="Y346">
        <v>205</v>
      </c>
      <c r="Z346">
        <v>405</v>
      </c>
      <c r="AA346">
        <v>250</v>
      </c>
      <c r="AC346">
        <v>200</v>
      </c>
      <c r="AD346">
        <v>540</v>
      </c>
      <c r="AE346">
        <v>250</v>
      </c>
    </row>
    <row r="347" spans="1:31" x14ac:dyDescent="0.25">
      <c r="A347" t="s">
        <v>715</v>
      </c>
      <c r="B347">
        <v>2014</v>
      </c>
      <c r="C347">
        <v>3</v>
      </c>
      <c r="D347">
        <v>6</v>
      </c>
      <c r="E347">
        <v>160</v>
      </c>
      <c r="F347">
        <v>21</v>
      </c>
      <c r="G347">
        <v>160</v>
      </c>
      <c r="I347">
        <v>270</v>
      </c>
      <c r="K347">
        <v>315</v>
      </c>
      <c r="L347">
        <v>38</v>
      </c>
      <c r="M347">
        <v>138.5</v>
      </c>
      <c r="N347">
        <v>70</v>
      </c>
      <c r="O347">
        <v>160</v>
      </c>
      <c r="Q347">
        <v>235</v>
      </c>
      <c r="R347">
        <v>17</v>
      </c>
      <c r="S347">
        <v>195</v>
      </c>
      <c r="T347">
        <v>67</v>
      </c>
      <c r="U347">
        <v>240</v>
      </c>
      <c r="V347">
        <v>21</v>
      </c>
      <c r="W347">
        <v>320</v>
      </c>
      <c r="X347">
        <v>96</v>
      </c>
      <c r="Y347">
        <v>246.1</v>
      </c>
      <c r="Z347">
        <v>205</v>
      </c>
      <c r="AA347">
        <v>245</v>
      </c>
      <c r="AB347">
        <v>0</v>
      </c>
      <c r="AD347">
        <v>275</v>
      </c>
      <c r="AE347">
        <v>220</v>
      </c>
    </row>
    <row r="348" spans="1:31" x14ac:dyDescent="0.25">
      <c r="A348" t="s">
        <v>716</v>
      </c>
      <c r="B348">
        <v>2014</v>
      </c>
      <c r="C348">
        <v>3</v>
      </c>
      <c r="D348">
        <v>15</v>
      </c>
      <c r="E348">
        <v>180</v>
      </c>
      <c r="F348">
        <v>24</v>
      </c>
      <c r="G348">
        <v>215</v>
      </c>
      <c r="H348">
        <v>14</v>
      </c>
      <c r="I348">
        <v>262.5</v>
      </c>
      <c r="K348">
        <v>305</v>
      </c>
      <c r="L348">
        <v>25</v>
      </c>
      <c r="M348">
        <v>220</v>
      </c>
      <c r="N348">
        <v>80</v>
      </c>
      <c r="O348">
        <v>215</v>
      </c>
      <c r="Q348">
        <v>195</v>
      </c>
      <c r="R348">
        <v>25</v>
      </c>
      <c r="S348">
        <v>225</v>
      </c>
      <c r="T348">
        <v>167</v>
      </c>
      <c r="U348">
        <v>265</v>
      </c>
      <c r="V348">
        <v>78</v>
      </c>
      <c r="W348">
        <v>330</v>
      </c>
      <c r="X348">
        <v>91</v>
      </c>
      <c r="Y348">
        <v>260</v>
      </c>
      <c r="Z348">
        <v>365</v>
      </c>
      <c r="AA348">
        <v>270</v>
      </c>
      <c r="AB348">
        <v>0</v>
      </c>
      <c r="AD348">
        <v>445</v>
      </c>
      <c r="AE348">
        <v>265</v>
      </c>
    </row>
    <row r="349" spans="1:31" x14ac:dyDescent="0.25">
      <c r="A349" t="s">
        <v>717</v>
      </c>
      <c r="B349">
        <v>2014</v>
      </c>
      <c r="C349">
        <v>3</v>
      </c>
      <c r="D349">
        <v>12</v>
      </c>
      <c r="E349">
        <v>122.5</v>
      </c>
      <c r="F349">
        <v>83</v>
      </c>
      <c r="G349">
        <v>160</v>
      </c>
      <c r="H349">
        <v>15</v>
      </c>
      <c r="I349">
        <v>250</v>
      </c>
      <c r="K349">
        <v>595</v>
      </c>
      <c r="L349">
        <v>66</v>
      </c>
      <c r="M349">
        <v>147.5</v>
      </c>
      <c r="N349">
        <v>180</v>
      </c>
      <c r="O349">
        <v>160</v>
      </c>
      <c r="P349">
        <v>7</v>
      </c>
      <c r="Q349">
        <v>190</v>
      </c>
      <c r="R349">
        <v>30</v>
      </c>
      <c r="S349">
        <v>215</v>
      </c>
      <c r="T349">
        <v>180</v>
      </c>
      <c r="U349">
        <v>220</v>
      </c>
      <c r="V349">
        <v>67</v>
      </c>
      <c r="W349">
        <v>280</v>
      </c>
      <c r="X349">
        <v>127</v>
      </c>
      <c r="Y349">
        <v>200</v>
      </c>
      <c r="Z349">
        <v>410</v>
      </c>
      <c r="AA349">
        <v>220</v>
      </c>
      <c r="AB349">
        <v>0</v>
      </c>
      <c r="AD349">
        <v>590</v>
      </c>
      <c r="AE349">
        <v>200</v>
      </c>
    </row>
    <row r="350" spans="1:31" x14ac:dyDescent="0.25">
      <c r="A350" t="s">
        <v>628</v>
      </c>
      <c r="B350">
        <v>2014</v>
      </c>
      <c r="C350">
        <v>3</v>
      </c>
      <c r="D350">
        <v>542</v>
      </c>
      <c r="E350">
        <v>240</v>
      </c>
      <c r="F350">
        <v>2122</v>
      </c>
      <c r="G350">
        <v>280</v>
      </c>
      <c r="H350">
        <v>533</v>
      </c>
      <c r="I350">
        <v>360</v>
      </c>
      <c r="J350">
        <v>24</v>
      </c>
      <c r="K350">
        <v>547.5</v>
      </c>
      <c r="L350">
        <v>1504</v>
      </c>
      <c r="M350">
        <v>270</v>
      </c>
      <c r="N350">
        <v>4725</v>
      </c>
      <c r="O350">
        <v>280</v>
      </c>
      <c r="P350">
        <v>106</v>
      </c>
      <c r="Q350">
        <v>200</v>
      </c>
      <c r="R350">
        <v>639</v>
      </c>
      <c r="S350">
        <v>320</v>
      </c>
      <c r="T350">
        <v>3446</v>
      </c>
      <c r="U350">
        <v>330</v>
      </c>
      <c r="V350">
        <v>803</v>
      </c>
      <c r="W350">
        <v>400</v>
      </c>
      <c r="X350">
        <v>2770</v>
      </c>
      <c r="Y350">
        <v>300</v>
      </c>
      <c r="Z350">
        <v>7765</v>
      </c>
      <c r="AA350">
        <v>320</v>
      </c>
      <c r="AB350">
        <v>66</v>
      </c>
      <c r="AC350">
        <v>163.25</v>
      </c>
      <c r="AD350">
        <v>12555</v>
      </c>
      <c r="AE350">
        <v>300</v>
      </c>
    </row>
    <row r="351" spans="1:31" x14ac:dyDescent="0.25">
      <c r="A351" t="s">
        <v>718</v>
      </c>
      <c r="B351">
        <v>2014</v>
      </c>
      <c r="C351">
        <v>3</v>
      </c>
      <c r="D351">
        <v>24</v>
      </c>
      <c r="E351">
        <v>145</v>
      </c>
      <c r="F351">
        <v>52</v>
      </c>
      <c r="G351">
        <v>162.5</v>
      </c>
      <c r="H351">
        <v>11</v>
      </c>
      <c r="I351">
        <v>250</v>
      </c>
      <c r="K351">
        <v>255</v>
      </c>
      <c r="L351">
        <v>48</v>
      </c>
      <c r="M351">
        <v>172.5</v>
      </c>
      <c r="N351">
        <v>135</v>
      </c>
      <c r="O351">
        <v>170</v>
      </c>
      <c r="Q351">
        <v>135</v>
      </c>
      <c r="R351">
        <v>33</v>
      </c>
      <c r="S351">
        <v>190</v>
      </c>
      <c r="T351">
        <v>210</v>
      </c>
      <c r="U351">
        <v>225</v>
      </c>
      <c r="V351">
        <v>57</v>
      </c>
      <c r="W351">
        <v>270</v>
      </c>
      <c r="X351">
        <v>201</v>
      </c>
      <c r="Y351">
        <v>225</v>
      </c>
      <c r="Z351">
        <v>505</v>
      </c>
      <c r="AA351">
        <v>230</v>
      </c>
      <c r="AC351">
        <v>165</v>
      </c>
      <c r="AD351">
        <v>640</v>
      </c>
      <c r="AE351">
        <v>215</v>
      </c>
    </row>
    <row r="352" spans="1:31" x14ac:dyDescent="0.25">
      <c r="A352" t="s">
        <v>719</v>
      </c>
      <c r="B352">
        <v>2014</v>
      </c>
      <c r="C352">
        <v>3</v>
      </c>
      <c r="D352">
        <v>47</v>
      </c>
      <c r="E352">
        <v>190</v>
      </c>
      <c r="F352">
        <v>313</v>
      </c>
      <c r="G352">
        <v>260</v>
      </c>
      <c r="H352">
        <v>137</v>
      </c>
      <c r="I352">
        <v>320</v>
      </c>
      <c r="K352">
        <v>350</v>
      </c>
      <c r="L352">
        <v>257</v>
      </c>
      <c r="M352">
        <v>240</v>
      </c>
      <c r="N352">
        <v>755</v>
      </c>
      <c r="O352">
        <v>260</v>
      </c>
      <c r="P352">
        <v>13</v>
      </c>
      <c r="Q352">
        <v>170</v>
      </c>
      <c r="R352">
        <v>129</v>
      </c>
      <c r="S352">
        <v>260</v>
      </c>
      <c r="T352">
        <v>1437</v>
      </c>
      <c r="U352">
        <v>290</v>
      </c>
      <c r="V352">
        <v>257</v>
      </c>
      <c r="W352">
        <v>350</v>
      </c>
      <c r="X352">
        <v>1023</v>
      </c>
      <c r="Y352">
        <v>280</v>
      </c>
      <c r="Z352">
        <v>2860</v>
      </c>
      <c r="AA352">
        <v>285</v>
      </c>
      <c r="AC352">
        <v>137.5</v>
      </c>
      <c r="AD352">
        <v>3620</v>
      </c>
      <c r="AE352">
        <v>280</v>
      </c>
    </row>
    <row r="353" spans="1:31" x14ac:dyDescent="0.25">
      <c r="A353" t="s">
        <v>720</v>
      </c>
      <c r="B353">
        <v>2014</v>
      </c>
      <c r="C353">
        <v>3</v>
      </c>
      <c r="D353">
        <v>95</v>
      </c>
      <c r="E353">
        <v>150</v>
      </c>
      <c r="F353">
        <v>306</v>
      </c>
      <c r="G353">
        <v>182.5</v>
      </c>
      <c r="H353">
        <v>133</v>
      </c>
      <c r="I353">
        <v>275</v>
      </c>
      <c r="J353">
        <v>14</v>
      </c>
      <c r="K353">
        <v>320</v>
      </c>
      <c r="L353">
        <v>295</v>
      </c>
      <c r="M353">
        <v>180</v>
      </c>
      <c r="N353">
        <v>845</v>
      </c>
      <c r="O353">
        <v>190</v>
      </c>
      <c r="P353">
        <v>29</v>
      </c>
      <c r="Q353">
        <v>195</v>
      </c>
      <c r="R353">
        <v>225</v>
      </c>
      <c r="S353">
        <v>220</v>
      </c>
      <c r="T353">
        <v>1334</v>
      </c>
      <c r="U353">
        <v>250</v>
      </c>
      <c r="V353">
        <v>516</v>
      </c>
      <c r="W353">
        <v>330</v>
      </c>
      <c r="X353">
        <v>1048</v>
      </c>
      <c r="Y353">
        <v>240</v>
      </c>
      <c r="Z353">
        <v>3150</v>
      </c>
      <c r="AA353">
        <v>250</v>
      </c>
      <c r="AB353">
        <v>2</v>
      </c>
      <c r="AC353">
        <v>182.5</v>
      </c>
      <c r="AD353">
        <v>3995</v>
      </c>
      <c r="AE353">
        <v>248</v>
      </c>
    </row>
    <row r="354" spans="1:31" x14ac:dyDescent="0.25">
      <c r="A354" t="s">
        <v>724</v>
      </c>
      <c r="B354">
        <v>2014</v>
      </c>
      <c r="C354">
        <v>3</v>
      </c>
      <c r="D354">
        <v>637</v>
      </c>
      <c r="E354">
        <v>230</v>
      </c>
      <c r="F354">
        <v>2428</v>
      </c>
      <c r="G354">
        <v>275</v>
      </c>
      <c r="H354">
        <v>666</v>
      </c>
      <c r="I354">
        <v>340</v>
      </c>
      <c r="J354">
        <v>38</v>
      </c>
      <c r="K354">
        <v>367.5</v>
      </c>
      <c r="L354">
        <v>1799</v>
      </c>
      <c r="M354">
        <v>260</v>
      </c>
      <c r="N354">
        <v>5570</v>
      </c>
      <c r="O354">
        <v>270</v>
      </c>
      <c r="P354">
        <v>135</v>
      </c>
      <c r="Q354">
        <v>200</v>
      </c>
      <c r="R354">
        <v>864</v>
      </c>
      <c r="S354">
        <v>295</v>
      </c>
      <c r="T354">
        <v>4780</v>
      </c>
      <c r="U354">
        <v>300</v>
      </c>
      <c r="V354">
        <v>1319</v>
      </c>
      <c r="W354">
        <v>360</v>
      </c>
      <c r="X354">
        <v>3818</v>
      </c>
      <c r="Y354">
        <v>290</v>
      </c>
      <c r="Z354">
        <v>10915</v>
      </c>
      <c r="AA354">
        <v>300</v>
      </c>
      <c r="AB354">
        <v>68</v>
      </c>
      <c r="AC354">
        <v>164.5</v>
      </c>
      <c r="AD354">
        <v>16550</v>
      </c>
      <c r="AE354">
        <v>290</v>
      </c>
    </row>
    <row r="355" spans="1:31" x14ac:dyDescent="0.25">
      <c r="A355" t="s">
        <v>721</v>
      </c>
      <c r="B355">
        <v>2014</v>
      </c>
      <c r="C355">
        <v>3</v>
      </c>
      <c r="D355">
        <v>108</v>
      </c>
      <c r="E355">
        <v>212.5</v>
      </c>
      <c r="F355">
        <v>495</v>
      </c>
      <c r="G355">
        <v>280</v>
      </c>
      <c r="H355">
        <v>128</v>
      </c>
      <c r="I355">
        <v>335</v>
      </c>
      <c r="J355">
        <v>7</v>
      </c>
      <c r="K355">
        <v>580</v>
      </c>
      <c r="L355">
        <v>354</v>
      </c>
      <c r="M355">
        <v>260</v>
      </c>
      <c r="N355">
        <v>1090</v>
      </c>
      <c r="O355">
        <v>275</v>
      </c>
      <c r="P355">
        <v>28</v>
      </c>
      <c r="Q355">
        <v>200</v>
      </c>
      <c r="R355">
        <v>150</v>
      </c>
      <c r="S355">
        <v>300</v>
      </c>
      <c r="T355">
        <v>966</v>
      </c>
      <c r="U355">
        <v>337.5</v>
      </c>
      <c r="V355">
        <v>272</v>
      </c>
      <c r="W355">
        <v>400</v>
      </c>
      <c r="X355">
        <v>868</v>
      </c>
      <c r="Y355">
        <v>305</v>
      </c>
      <c r="Z355">
        <v>2285</v>
      </c>
      <c r="AA355">
        <v>330</v>
      </c>
      <c r="AB355">
        <v>18</v>
      </c>
      <c r="AC355">
        <v>148</v>
      </c>
      <c r="AD355">
        <v>3395</v>
      </c>
      <c r="AE355">
        <v>310</v>
      </c>
    </row>
    <row r="356" spans="1:31" x14ac:dyDescent="0.25">
      <c r="A356" t="s">
        <v>722</v>
      </c>
      <c r="B356">
        <v>2014</v>
      </c>
      <c r="C356">
        <v>3</v>
      </c>
      <c r="D356">
        <v>83</v>
      </c>
      <c r="E356">
        <v>220</v>
      </c>
      <c r="F356">
        <v>515</v>
      </c>
      <c r="G356">
        <v>270</v>
      </c>
      <c r="H356">
        <v>100</v>
      </c>
      <c r="I356">
        <v>370</v>
      </c>
      <c r="K356">
        <v>450</v>
      </c>
      <c r="L356">
        <v>335</v>
      </c>
      <c r="M356">
        <v>260</v>
      </c>
      <c r="N356">
        <v>1035</v>
      </c>
      <c r="O356">
        <v>270</v>
      </c>
      <c r="P356">
        <v>28</v>
      </c>
      <c r="Q356">
        <v>190</v>
      </c>
      <c r="R356">
        <v>149</v>
      </c>
      <c r="S356">
        <v>320</v>
      </c>
      <c r="T356">
        <v>580</v>
      </c>
      <c r="U356">
        <v>370</v>
      </c>
      <c r="V356">
        <v>141</v>
      </c>
      <c r="W356">
        <v>440</v>
      </c>
      <c r="X356">
        <v>468</v>
      </c>
      <c r="Y356">
        <v>330</v>
      </c>
      <c r="Z356">
        <v>1365</v>
      </c>
      <c r="AA356">
        <v>350</v>
      </c>
      <c r="AB356">
        <v>9</v>
      </c>
      <c r="AC356">
        <v>175</v>
      </c>
      <c r="AD356">
        <v>2410</v>
      </c>
      <c r="AE356">
        <v>310</v>
      </c>
    </row>
    <row r="357" spans="1:31" x14ac:dyDescent="0.25">
      <c r="A357" t="s">
        <v>723</v>
      </c>
      <c r="B357">
        <v>2014</v>
      </c>
      <c r="C357">
        <v>3</v>
      </c>
      <c r="D357">
        <v>7</v>
      </c>
      <c r="E357">
        <v>130</v>
      </c>
      <c r="F357">
        <v>19</v>
      </c>
      <c r="G357">
        <v>164.8</v>
      </c>
      <c r="H357">
        <v>13</v>
      </c>
      <c r="I357">
        <v>245</v>
      </c>
      <c r="J357">
        <v>0</v>
      </c>
      <c r="L357">
        <v>25</v>
      </c>
      <c r="M357">
        <v>165</v>
      </c>
      <c r="N357">
        <v>65</v>
      </c>
      <c r="O357">
        <v>169.5</v>
      </c>
      <c r="Q357">
        <v>140</v>
      </c>
      <c r="R357">
        <v>38</v>
      </c>
      <c r="S357">
        <v>212.5</v>
      </c>
      <c r="T357">
        <v>211</v>
      </c>
      <c r="U357">
        <v>230</v>
      </c>
      <c r="V357">
        <v>70</v>
      </c>
      <c r="W357">
        <v>280</v>
      </c>
      <c r="X357">
        <v>181</v>
      </c>
      <c r="Y357">
        <v>210</v>
      </c>
      <c r="Z357">
        <v>505</v>
      </c>
      <c r="AA357">
        <v>230</v>
      </c>
      <c r="AB357">
        <v>0</v>
      </c>
      <c r="AD357">
        <v>565</v>
      </c>
      <c r="AE357">
        <v>220</v>
      </c>
    </row>
    <row r="358" spans="1:31" x14ac:dyDescent="0.25">
      <c r="A358" t="s">
        <v>711</v>
      </c>
      <c r="B358">
        <v>2014</v>
      </c>
      <c r="C358">
        <v>6</v>
      </c>
      <c r="E358">
        <v>150</v>
      </c>
      <c r="F358">
        <v>23</v>
      </c>
      <c r="G358">
        <v>260</v>
      </c>
      <c r="H358">
        <v>39</v>
      </c>
      <c r="I358">
        <v>320</v>
      </c>
      <c r="K358">
        <v>405</v>
      </c>
      <c r="L358">
        <v>14</v>
      </c>
      <c r="M358">
        <v>305</v>
      </c>
      <c r="N358">
        <v>80</v>
      </c>
      <c r="O358">
        <v>300</v>
      </c>
      <c r="P358">
        <v>7</v>
      </c>
      <c r="Q358">
        <v>220</v>
      </c>
      <c r="R358">
        <v>25</v>
      </c>
      <c r="S358">
        <v>310</v>
      </c>
      <c r="T358">
        <v>159</v>
      </c>
      <c r="U358">
        <v>330</v>
      </c>
      <c r="V358">
        <v>83</v>
      </c>
      <c r="W358">
        <v>420</v>
      </c>
      <c r="X358">
        <v>98</v>
      </c>
      <c r="Y358">
        <v>355</v>
      </c>
      <c r="Z358">
        <v>370</v>
      </c>
      <c r="AA358">
        <v>350</v>
      </c>
      <c r="AB358">
        <v>0</v>
      </c>
      <c r="AD358">
        <v>455</v>
      </c>
      <c r="AE358">
        <v>340</v>
      </c>
    </row>
    <row r="359" spans="1:31" x14ac:dyDescent="0.25">
      <c r="A359" t="s">
        <v>712</v>
      </c>
      <c r="B359">
        <v>2014</v>
      </c>
      <c r="C359">
        <v>6</v>
      </c>
      <c r="D359">
        <v>8</v>
      </c>
      <c r="E359">
        <v>195</v>
      </c>
      <c r="F359">
        <v>35</v>
      </c>
      <c r="G359">
        <v>230</v>
      </c>
      <c r="H359">
        <v>23</v>
      </c>
      <c r="I359">
        <v>270</v>
      </c>
      <c r="J359">
        <v>0</v>
      </c>
      <c r="L359">
        <v>21</v>
      </c>
      <c r="M359">
        <v>244</v>
      </c>
      <c r="N359">
        <v>85</v>
      </c>
      <c r="O359">
        <v>244</v>
      </c>
      <c r="Q359">
        <v>176.1</v>
      </c>
      <c r="R359">
        <v>31</v>
      </c>
      <c r="S359">
        <v>225</v>
      </c>
      <c r="T359">
        <v>170</v>
      </c>
      <c r="U359">
        <v>275</v>
      </c>
      <c r="V359">
        <v>86</v>
      </c>
      <c r="W359">
        <v>360</v>
      </c>
      <c r="X359">
        <v>106</v>
      </c>
      <c r="Y359">
        <v>277.5</v>
      </c>
      <c r="Z359">
        <v>395</v>
      </c>
      <c r="AA359">
        <v>285</v>
      </c>
      <c r="AB359">
        <v>0</v>
      </c>
      <c r="AD359">
        <v>480</v>
      </c>
      <c r="AE359">
        <v>275</v>
      </c>
    </row>
    <row r="360" spans="1:31" x14ac:dyDescent="0.25">
      <c r="A360" t="s">
        <v>713</v>
      </c>
      <c r="B360">
        <v>2014</v>
      </c>
      <c r="C360">
        <v>6</v>
      </c>
      <c r="D360">
        <v>525</v>
      </c>
      <c r="E360">
        <v>270</v>
      </c>
      <c r="F360">
        <v>886</v>
      </c>
      <c r="G360">
        <v>315</v>
      </c>
      <c r="H360">
        <v>159</v>
      </c>
      <c r="I360">
        <v>420</v>
      </c>
      <c r="J360">
        <v>13</v>
      </c>
      <c r="K360">
        <v>450</v>
      </c>
      <c r="L360">
        <v>651</v>
      </c>
      <c r="M360">
        <v>280</v>
      </c>
      <c r="N360">
        <v>2235</v>
      </c>
      <c r="O360">
        <v>295</v>
      </c>
      <c r="P360">
        <v>33</v>
      </c>
      <c r="Q360">
        <v>210</v>
      </c>
      <c r="R360">
        <v>203</v>
      </c>
      <c r="S360">
        <v>380</v>
      </c>
      <c r="T360">
        <v>523</v>
      </c>
      <c r="U360">
        <v>420</v>
      </c>
      <c r="V360">
        <v>137</v>
      </c>
      <c r="W360">
        <v>525</v>
      </c>
      <c r="X360">
        <v>387</v>
      </c>
      <c r="Y360">
        <v>380</v>
      </c>
      <c r="Z360">
        <v>1285</v>
      </c>
      <c r="AA360">
        <v>400</v>
      </c>
      <c r="AB360">
        <v>145</v>
      </c>
      <c r="AC360">
        <v>225</v>
      </c>
      <c r="AD360">
        <v>3660</v>
      </c>
      <c r="AE360">
        <v>330</v>
      </c>
    </row>
    <row r="361" spans="1:31" x14ac:dyDescent="0.25">
      <c r="A361" t="s">
        <v>714</v>
      </c>
      <c r="B361">
        <v>2014</v>
      </c>
      <c r="C361">
        <v>6</v>
      </c>
      <c r="D361">
        <v>19</v>
      </c>
      <c r="E361">
        <v>160</v>
      </c>
      <c r="F361">
        <v>53</v>
      </c>
      <c r="G361">
        <v>200</v>
      </c>
      <c r="H361">
        <v>23</v>
      </c>
      <c r="I361">
        <v>320</v>
      </c>
      <c r="K361">
        <v>450</v>
      </c>
      <c r="L361">
        <v>31</v>
      </c>
      <c r="M361">
        <v>190</v>
      </c>
      <c r="N361">
        <v>130</v>
      </c>
      <c r="O361">
        <v>200</v>
      </c>
      <c r="Q361">
        <v>185</v>
      </c>
      <c r="R361">
        <v>41</v>
      </c>
      <c r="S361">
        <v>230</v>
      </c>
      <c r="T361">
        <v>222</v>
      </c>
      <c r="U361">
        <v>270</v>
      </c>
      <c r="V361">
        <v>63</v>
      </c>
      <c r="W361">
        <v>350</v>
      </c>
      <c r="X361">
        <v>93</v>
      </c>
      <c r="Y361">
        <v>240</v>
      </c>
      <c r="Z361">
        <v>420</v>
      </c>
      <c r="AA361">
        <v>270</v>
      </c>
      <c r="AB361">
        <v>0</v>
      </c>
      <c r="AD361">
        <v>555</v>
      </c>
      <c r="AE361">
        <v>250</v>
      </c>
    </row>
    <row r="362" spans="1:31" x14ac:dyDescent="0.25">
      <c r="A362" t="s">
        <v>715</v>
      </c>
      <c r="B362">
        <v>2014</v>
      </c>
      <c r="C362">
        <v>6</v>
      </c>
      <c r="D362">
        <v>16</v>
      </c>
      <c r="E362">
        <v>142.5</v>
      </c>
      <c r="F362">
        <v>23</v>
      </c>
      <c r="G362">
        <v>180</v>
      </c>
      <c r="H362">
        <v>15</v>
      </c>
      <c r="I362">
        <v>230</v>
      </c>
      <c r="J362">
        <v>7</v>
      </c>
      <c r="K362">
        <v>275</v>
      </c>
      <c r="L362">
        <v>27</v>
      </c>
      <c r="M362">
        <v>200</v>
      </c>
      <c r="N362">
        <v>90</v>
      </c>
      <c r="O362">
        <v>187.5</v>
      </c>
      <c r="Q362">
        <v>147.5</v>
      </c>
      <c r="R362">
        <v>12</v>
      </c>
      <c r="S362">
        <v>187.5</v>
      </c>
      <c r="T362">
        <v>70</v>
      </c>
      <c r="U362">
        <v>250</v>
      </c>
      <c r="V362">
        <v>40</v>
      </c>
      <c r="W362">
        <v>350</v>
      </c>
      <c r="X362">
        <v>81</v>
      </c>
      <c r="Y362">
        <v>230</v>
      </c>
      <c r="Z362">
        <v>205</v>
      </c>
      <c r="AA362">
        <v>250</v>
      </c>
      <c r="AB362">
        <v>0</v>
      </c>
      <c r="AD362">
        <v>295</v>
      </c>
      <c r="AE362">
        <v>230</v>
      </c>
    </row>
    <row r="363" spans="1:31" x14ac:dyDescent="0.25">
      <c r="A363" t="s">
        <v>716</v>
      </c>
      <c r="B363">
        <v>2014</v>
      </c>
      <c r="C363">
        <v>6</v>
      </c>
      <c r="D363">
        <v>14</v>
      </c>
      <c r="E363">
        <v>180</v>
      </c>
      <c r="F363">
        <v>30</v>
      </c>
      <c r="G363">
        <v>232.5</v>
      </c>
      <c r="H363">
        <v>22</v>
      </c>
      <c r="I363">
        <v>257.5</v>
      </c>
      <c r="J363">
        <v>0</v>
      </c>
      <c r="L363">
        <v>16</v>
      </c>
      <c r="M363">
        <v>190</v>
      </c>
      <c r="N363">
        <v>80</v>
      </c>
      <c r="O363">
        <v>227.5</v>
      </c>
      <c r="Q363">
        <v>192.5</v>
      </c>
      <c r="R363">
        <v>30</v>
      </c>
      <c r="S363">
        <v>237.5</v>
      </c>
      <c r="T363">
        <v>165</v>
      </c>
      <c r="U363">
        <v>270</v>
      </c>
      <c r="V363">
        <v>77</v>
      </c>
      <c r="W363">
        <v>320</v>
      </c>
      <c r="X363">
        <v>76</v>
      </c>
      <c r="Y363">
        <v>270</v>
      </c>
      <c r="Z363">
        <v>350</v>
      </c>
      <c r="AA363">
        <v>280</v>
      </c>
      <c r="AC363">
        <v>119</v>
      </c>
      <c r="AD363">
        <v>435</v>
      </c>
      <c r="AE363">
        <v>265</v>
      </c>
    </row>
    <row r="364" spans="1:31" x14ac:dyDescent="0.25">
      <c r="A364" t="s">
        <v>717</v>
      </c>
      <c r="B364">
        <v>2014</v>
      </c>
      <c r="C364">
        <v>6</v>
      </c>
      <c r="D364">
        <v>24</v>
      </c>
      <c r="E364">
        <v>130</v>
      </c>
      <c r="F364">
        <v>92</v>
      </c>
      <c r="G364">
        <v>152.5</v>
      </c>
      <c r="H364">
        <v>26</v>
      </c>
      <c r="I364">
        <v>220</v>
      </c>
      <c r="K364">
        <v>227.5</v>
      </c>
      <c r="L364">
        <v>73</v>
      </c>
      <c r="M364">
        <v>155</v>
      </c>
      <c r="N364">
        <v>215</v>
      </c>
      <c r="O364">
        <v>155</v>
      </c>
      <c r="Q364">
        <v>155</v>
      </c>
      <c r="R364">
        <v>30</v>
      </c>
      <c r="S364">
        <v>197.5</v>
      </c>
      <c r="T364">
        <v>223</v>
      </c>
      <c r="U364">
        <v>225</v>
      </c>
      <c r="V364">
        <v>68</v>
      </c>
      <c r="W364">
        <v>265</v>
      </c>
      <c r="X364">
        <v>160</v>
      </c>
      <c r="Y364">
        <v>200</v>
      </c>
      <c r="Z364">
        <v>485</v>
      </c>
      <c r="AA364">
        <v>220</v>
      </c>
      <c r="AC364">
        <v>110</v>
      </c>
      <c r="AD364">
        <v>705</v>
      </c>
      <c r="AE364">
        <v>205</v>
      </c>
    </row>
    <row r="365" spans="1:31" x14ac:dyDescent="0.25">
      <c r="A365" t="s">
        <v>628</v>
      </c>
      <c r="B365">
        <v>2014</v>
      </c>
      <c r="C365">
        <v>6</v>
      </c>
      <c r="D365">
        <v>831</v>
      </c>
      <c r="E365">
        <v>250</v>
      </c>
      <c r="F365">
        <v>2445</v>
      </c>
      <c r="G365">
        <v>285</v>
      </c>
      <c r="H365">
        <v>597</v>
      </c>
      <c r="I365">
        <v>360</v>
      </c>
      <c r="J365">
        <v>31</v>
      </c>
      <c r="K365">
        <v>450</v>
      </c>
      <c r="L365">
        <v>1485</v>
      </c>
      <c r="M365">
        <v>270</v>
      </c>
      <c r="N365">
        <v>5390</v>
      </c>
      <c r="O365">
        <v>280</v>
      </c>
      <c r="P365">
        <v>111</v>
      </c>
      <c r="Q365">
        <v>200</v>
      </c>
      <c r="R365">
        <v>681</v>
      </c>
      <c r="S365">
        <v>320</v>
      </c>
      <c r="T365">
        <v>3762</v>
      </c>
      <c r="U365">
        <v>340</v>
      </c>
      <c r="V365">
        <v>813</v>
      </c>
      <c r="W365">
        <v>400</v>
      </c>
      <c r="X365">
        <v>2402</v>
      </c>
      <c r="Y365">
        <v>310</v>
      </c>
      <c r="Z365">
        <v>7770</v>
      </c>
      <c r="AA365">
        <v>330</v>
      </c>
      <c r="AB365">
        <v>196</v>
      </c>
      <c r="AC365">
        <v>200</v>
      </c>
      <c r="AD365">
        <v>13355</v>
      </c>
      <c r="AE365">
        <v>310</v>
      </c>
    </row>
    <row r="366" spans="1:31" x14ac:dyDescent="0.25">
      <c r="A366" t="s">
        <v>718</v>
      </c>
      <c r="B366">
        <v>2014</v>
      </c>
      <c r="C366">
        <v>6</v>
      </c>
      <c r="D366">
        <v>18</v>
      </c>
      <c r="E366">
        <v>135</v>
      </c>
      <c r="F366">
        <v>45</v>
      </c>
      <c r="G366">
        <v>165</v>
      </c>
      <c r="H366">
        <v>13</v>
      </c>
      <c r="I366">
        <v>250</v>
      </c>
      <c r="J366">
        <v>0</v>
      </c>
      <c r="L366">
        <v>38</v>
      </c>
      <c r="M366">
        <v>162.5</v>
      </c>
      <c r="N366">
        <v>115</v>
      </c>
      <c r="O366">
        <v>165</v>
      </c>
      <c r="Q366">
        <v>170</v>
      </c>
      <c r="R366">
        <v>26</v>
      </c>
      <c r="S366">
        <v>197.5</v>
      </c>
      <c r="T366">
        <v>188</v>
      </c>
      <c r="U366">
        <v>230</v>
      </c>
      <c r="V366">
        <v>62</v>
      </c>
      <c r="W366">
        <v>270</v>
      </c>
      <c r="X366">
        <v>165</v>
      </c>
      <c r="Y366">
        <v>230</v>
      </c>
      <c r="Z366">
        <v>445</v>
      </c>
      <c r="AA366">
        <v>235</v>
      </c>
      <c r="AB366">
        <v>0</v>
      </c>
      <c r="AD366">
        <v>555</v>
      </c>
      <c r="AE366">
        <v>220</v>
      </c>
    </row>
    <row r="367" spans="1:31" x14ac:dyDescent="0.25">
      <c r="A367" t="s">
        <v>719</v>
      </c>
      <c r="B367">
        <v>2014</v>
      </c>
      <c r="C367">
        <v>6</v>
      </c>
      <c r="D367">
        <v>58</v>
      </c>
      <c r="E367">
        <v>195</v>
      </c>
      <c r="F367">
        <v>335</v>
      </c>
      <c r="G367">
        <v>270</v>
      </c>
      <c r="H367">
        <v>152</v>
      </c>
      <c r="I367">
        <v>310</v>
      </c>
      <c r="K367">
        <v>300</v>
      </c>
      <c r="L367">
        <v>276</v>
      </c>
      <c r="M367">
        <v>250</v>
      </c>
      <c r="N367">
        <v>825</v>
      </c>
      <c r="O367">
        <v>265</v>
      </c>
      <c r="P367">
        <v>19</v>
      </c>
      <c r="Q367">
        <v>165</v>
      </c>
      <c r="R367">
        <v>123</v>
      </c>
      <c r="S367">
        <v>260</v>
      </c>
      <c r="T367">
        <v>1483</v>
      </c>
      <c r="U367">
        <v>300</v>
      </c>
      <c r="V367">
        <v>290</v>
      </c>
      <c r="W367">
        <v>352.5</v>
      </c>
      <c r="X367">
        <v>923</v>
      </c>
      <c r="Y367">
        <v>280</v>
      </c>
      <c r="Z367">
        <v>2840</v>
      </c>
      <c r="AA367">
        <v>296</v>
      </c>
      <c r="AB367">
        <v>7</v>
      </c>
      <c r="AC367">
        <v>145</v>
      </c>
      <c r="AD367">
        <v>3670</v>
      </c>
      <c r="AE367">
        <v>290</v>
      </c>
    </row>
    <row r="368" spans="1:31" x14ac:dyDescent="0.25">
      <c r="A368" t="s">
        <v>720</v>
      </c>
      <c r="B368">
        <v>2014</v>
      </c>
      <c r="C368">
        <v>6</v>
      </c>
      <c r="D368">
        <v>104</v>
      </c>
      <c r="E368">
        <v>150</v>
      </c>
      <c r="F368">
        <v>312</v>
      </c>
      <c r="G368">
        <v>190</v>
      </c>
      <c r="H368">
        <v>167</v>
      </c>
      <c r="I368">
        <v>275</v>
      </c>
      <c r="J368">
        <v>19</v>
      </c>
      <c r="K368">
        <v>335</v>
      </c>
      <c r="L368">
        <v>242</v>
      </c>
      <c r="M368">
        <v>180</v>
      </c>
      <c r="N368">
        <v>845</v>
      </c>
      <c r="O368">
        <v>200</v>
      </c>
      <c r="P368">
        <v>28</v>
      </c>
      <c r="Q368">
        <v>182.5</v>
      </c>
      <c r="R368">
        <v>253</v>
      </c>
      <c r="S368">
        <v>220</v>
      </c>
      <c r="T368">
        <v>1430</v>
      </c>
      <c r="U368">
        <v>253</v>
      </c>
      <c r="V368">
        <v>551</v>
      </c>
      <c r="W368">
        <v>330</v>
      </c>
      <c r="X368">
        <v>934</v>
      </c>
      <c r="Y368">
        <v>242.5</v>
      </c>
      <c r="Z368">
        <v>3195</v>
      </c>
      <c r="AA368">
        <v>255</v>
      </c>
      <c r="AB368">
        <v>4</v>
      </c>
      <c r="AC368">
        <v>114</v>
      </c>
      <c r="AD368">
        <v>4045</v>
      </c>
      <c r="AE368">
        <v>250</v>
      </c>
    </row>
    <row r="369" spans="1:31" x14ac:dyDescent="0.25">
      <c r="A369" t="s">
        <v>724</v>
      </c>
      <c r="B369">
        <v>2014</v>
      </c>
      <c r="C369">
        <v>6</v>
      </c>
      <c r="D369">
        <v>935</v>
      </c>
      <c r="E369">
        <v>245</v>
      </c>
      <c r="F369">
        <v>2757</v>
      </c>
      <c r="G369">
        <v>280</v>
      </c>
      <c r="H369">
        <v>764</v>
      </c>
      <c r="I369">
        <v>335</v>
      </c>
      <c r="J369">
        <v>50</v>
      </c>
      <c r="K369">
        <v>397.5</v>
      </c>
      <c r="L369">
        <v>1727</v>
      </c>
      <c r="M369">
        <v>260</v>
      </c>
      <c r="N369">
        <v>6235</v>
      </c>
      <c r="O369">
        <v>275</v>
      </c>
      <c r="P369">
        <v>139</v>
      </c>
      <c r="Q369">
        <v>195</v>
      </c>
      <c r="R369">
        <v>934</v>
      </c>
      <c r="S369">
        <v>295</v>
      </c>
      <c r="T369">
        <v>5192</v>
      </c>
      <c r="U369">
        <v>315</v>
      </c>
      <c r="V369">
        <v>1364</v>
      </c>
      <c r="W369">
        <v>370</v>
      </c>
      <c r="X369">
        <v>3336</v>
      </c>
      <c r="Y369">
        <v>295</v>
      </c>
      <c r="Z369">
        <v>10965</v>
      </c>
      <c r="AA369">
        <v>310</v>
      </c>
      <c r="AB369">
        <v>200</v>
      </c>
      <c r="AC369">
        <v>200</v>
      </c>
      <c r="AD369">
        <v>17400</v>
      </c>
      <c r="AE369">
        <v>295</v>
      </c>
    </row>
    <row r="370" spans="1:31" x14ac:dyDescent="0.25">
      <c r="A370" t="s">
        <v>721</v>
      </c>
      <c r="B370">
        <v>2014</v>
      </c>
      <c r="C370">
        <v>6</v>
      </c>
      <c r="D370">
        <v>123</v>
      </c>
      <c r="E370">
        <v>240</v>
      </c>
      <c r="F370">
        <v>605</v>
      </c>
      <c r="G370">
        <v>280</v>
      </c>
      <c r="H370">
        <v>134</v>
      </c>
      <c r="I370">
        <v>327.5</v>
      </c>
      <c r="J370">
        <v>8</v>
      </c>
      <c r="K370">
        <v>432.5</v>
      </c>
      <c r="L370">
        <v>274</v>
      </c>
      <c r="M370">
        <v>273.5</v>
      </c>
      <c r="N370">
        <v>1145</v>
      </c>
      <c r="O370">
        <v>280</v>
      </c>
      <c r="P370">
        <v>31</v>
      </c>
      <c r="Q370">
        <v>220</v>
      </c>
      <c r="R370">
        <v>173</v>
      </c>
      <c r="S370">
        <v>300</v>
      </c>
      <c r="T370">
        <v>1044</v>
      </c>
      <c r="U370">
        <v>340</v>
      </c>
      <c r="V370">
        <v>268</v>
      </c>
      <c r="W370">
        <v>400</v>
      </c>
      <c r="X370">
        <v>637</v>
      </c>
      <c r="Y370">
        <v>310</v>
      </c>
      <c r="Z370">
        <v>2155</v>
      </c>
      <c r="AA370">
        <v>335</v>
      </c>
      <c r="AB370">
        <v>16</v>
      </c>
      <c r="AC370">
        <v>136.25</v>
      </c>
      <c r="AD370">
        <v>3315</v>
      </c>
      <c r="AE370">
        <v>315</v>
      </c>
    </row>
    <row r="371" spans="1:31" x14ac:dyDescent="0.25">
      <c r="A371" t="s">
        <v>722</v>
      </c>
      <c r="B371">
        <v>2014</v>
      </c>
      <c r="C371">
        <v>6</v>
      </c>
      <c r="D371">
        <v>125</v>
      </c>
      <c r="E371">
        <v>220</v>
      </c>
      <c r="F371">
        <v>619</v>
      </c>
      <c r="G371">
        <v>270</v>
      </c>
      <c r="H371">
        <v>152</v>
      </c>
      <c r="I371">
        <v>377.5</v>
      </c>
      <c r="J371">
        <v>7</v>
      </c>
      <c r="K371">
        <v>490</v>
      </c>
      <c r="L371">
        <v>284</v>
      </c>
      <c r="M371">
        <v>265</v>
      </c>
      <c r="N371">
        <v>1185</v>
      </c>
      <c r="O371">
        <v>270</v>
      </c>
      <c r="P371">
        <v>28</v>
      </c>
      <c r="Q371">
        <v>205</v>
      </c>
      <c r="R371">
        <v>182</v>
      </c>
      <c r="S371">
        <v>317.5</v>
      </c>
      <c r="T371">
        <v>712</v>
      </c>
      <c r="U371">
        <v>370</v>
      </c>
      <c r="V371">
        <v>118</v>
      </c>
      <c r="W371">
        <v>440</v>
      </c>
      <c r="X371">
        <v>455</v>
      </c>
      <c r="Y371">
        <v>340</v>
      </c>
      <c r="Z371">
        <v>1495</v>
      </c>
      <c r="AA371">
        <v>350</v>
      </c>
      <c r="AB371">
        <v>28</v>
      </c>
      <c r="AC371">
        <v>162.5</v>
      </c>
      <c r="AD371">
        <v>2710</v>
      </c>
      <c r="AE371">
        <v>320</v>
      </c>
    </row>
    <row r="372" spans="1:31" x14ac:dyDescent="0.25">
      <c r="A372" t="s">
        <v>723</v>
      </c>
      <c r="B372">
        <v>2014</v>
      </c>
      <c r="C372">
        <v>6</v>
      </c>
      <c r="E372">
        <v>152.5</v>
      </c>
      <c r="F372">
        <v>11</v>
      </c>
      <c r="G372">
        <v>190</v>
      </c>
      <c r="H372">
        <v>6</v>
      </c>
      <c r="I372">
        <v>234.8</v>
      </c>
      <c r="K372">
        <v>34.4</v>
      </c>
      <c r="L372">
        <v>22</v>
      </c>
      <c r="M372">
        <v>131.25</v>
      </c>
      <c r="N372">
        <v>45</v>
      </c>
      <c r="O372">
        <v>175</v>
      </c>
      <c r="Q372">
        <v>130</v>
      </c>
      <c r="R372">
        <v>58</v>
      </c>
      <c r="S372">
        <v>195</v>
      </c>
      <c r="T372">
        <v>233</v>
      </c>
      <c r="U372">
        <v>230</v>
      </c>
      <c r="V372">
        <v>72</v>
      </c>
      <c r="W372">
        <v>270</v>
      </c>
      <c r="X372">
        <v>155</v>
      </c>
      <c r="Y372">
        <v>220</v>
      </c>
      <c r="Z372">
        <v>520</v>
      </c>
      <c r="AA372">
        <v>230</v>
      </c>
      <c r="AB372">
        <v>0</v>
      </c>
      <c r="AD372">
        <v>565</v>
      </c>
      <c r="AE372">
        <v>225</v>
      </c>
    </row>
    <row r="373" spans="1:31" x14ac:dyDescent="0.25">
      <c r="A373" t="s">
        <v>711</v>
      </c>
      <c r="B373">
        <v>2014</v>
      </c>
      <c r="C373">
        <v>9</v>
      </c>
      <c r="E373">
        <v>220</v>
      </c>
      <c r="F373">
        <v>17</v>
      </c>
      <c r="G373">
        <v>265</v>
      </c>
      <c r="H373">
        <v>35</v>
      </c>
      <c r="I373">
        <v>300</v>
      </c>
      <c r="K373">
        <v>360</v>
      </c>
      <c r="L373">
        <v>17</v>
      </c>
      <c r="M373">
        <v>275</v>
      </c>
      <c r="N373">
        <v>75</v>
      </c>
      <c r="O373">
        <v>295</v>
      </c>
      <c r="Q373">
        <v>210</v>
      </c>
      <c r="R373">
        <v>16</v>
      </c>
      <c r="S373">
        <v>310</v>
      </c>
      <c r="T373">
        <v>131</v>
      </c>
      <c r="U373">
        <v>330</v>
      </c>
      <c r="V373">
        <v>65</v>
      </c>
      <c r="W373">
        <v>410</v>
      </c>
      <c r="X373">
        <v>83</v>
      </c>
      <c r="Y373">
        <v>350</v>
      </c>
      <c r="Z373">
        <v>300</v>
      </c>
      <c r="AA373">
        <v>350</v>
      </c>
      <c r="AB373">
        <v>0</v>
      </c>
      <c r="AD373">
        <v>375</v>
      </c>
      <c r="AE373">
        <v>330</v>
      </c>
    </row>
    <row r="374" spans="1:31" x14ac:dyDescent="0.25">
      <c r="A374" t="s">
        <v>712</v>
      </c>
      <c r="B374">
        <v>2014</v>
      </c>
      <c r="C374">
        <v>9</v>
      </c>
      <c r="E374">
        <v>445.125</v>
      </c>
      <c r="F374">
        <v>41</v>
      </c>
      <c r="G374">
        <v>225</v>
      </c>
      <c r="H374">
        <v>11</v>
      </c>
      <c r="I374">
        <v>265</v>
      </c>
      <c r="K374">
        <v>345</v>
      </c>
      <c r="L374">
        <v>24</v>
      </c>
      <c r="M374">
        <v>227.5</v>
      </c>
      <c r="N374">
        <v>80</v>
      </c>
      <c r="O374">
        <v>230</v>
      </c>
      <c r="P374">
        <v>10</v>
      </c>
      <c r="Q374">
        <v>175</v>
      </c>
      <c r="R374">
        <v>27</v>
      </c>
      <c r="S374">
        <v>240</v>
      </c>
      <c r="T374">
        <v>173</v>
      </c>
      <c r="U374">
        <v>290</v>
      </c>
      <c r="V374">
        <v>76</v>
      </c>
      <c r="W374">
        <v>345</v>
      </c>
      <c r="X374">
        <v>87</v>
      </c>
      <c r="Y374">
        <v>280</v>
      </c>
      <c r="Z374">
        <v>375</v>
      </c>
      <c r="AA374">
        <v>290</v>
      </c>
      <c r="AB374">
        <v>0</v>
      </c>
      <c r="AD374">
        <v>450</v>
      </c>
      <c r="AE374">
        <v>280</v>
      </c>
    </row>
    <row r="375" spans="1:31" x14ac:dyDescent="0.25">
      <c r="A375" t="s">
        <v>713</v>
      </c>
      <c r="B375">
        <v>2014</v>
      </c>
      <c r="C375">
        <v>9</v>
      </c>
      <c r="D375">
        <v>410</v>
      </c>
      <c r="E375">
        <v>265</v>
      </c>
      <c r="F375">
        <v>751</v>
      </c>
      <c r="G375">
        <v>310</v>
      </c>
      <c r="H375">
        <v>158</v>
      </c>
      <c r="I375">
        <v>397.5</v>
      </c>
      <c r="J375">
        <v>7</v>
      </c>
      <c r="K375">
        <v>175</v>
      </c>
      <c r="L375">
        <v>520</v>
      </c>
      <c r="M375">
        <v>275</v>
      </c>
      <c r="N375">
        <v>1845</v>
      </c>
      <c r="O375">
        <v>295</v>
      </c>
      <c r="P375">
        <v>28</v>
      </c>
      <c r="Q375">
        <v>270</v>
      </c>
      <c r="R375">
        <v>174</v>
      </c>
      <c r="S375">
        <v>370</v>
      </c>
      <c r="T375">
        <v>377</v>
      </c>
      <c r="U375">
        <v>420</v>
      </c>
      <c r="V375">
        <v>118</v>
      </c>
      <c r="W375">
        <v>530</v>
      </c>
      <c r="X375">
        <v>308</v>
      </c>
      <c r="Y375">
        <v>375</v>
      </c>
      <c r="Z375">
        <v>1005</v>
      </c>
      <c r="AA375">
        <v>400</v>
      </c>
      <c r="AB375">
        <v>85</v>
      </c>
      <c r="AC375">
        <v>185</v>
      </c>
      <c r="AD375">
        <v>2935</v>
      </c>
      <c r="AE375">
        <v>320</v>
      </c>
    </row>
    <row r="376" spans="1:31" x14ac:dyDescent="0.25">
      <c r="A376" t="s">
        <v>714</v>
      </c>
      <c r="B376">
        <v>2014</v>
      </c>
      <c r="C376">
        <v>9</v>
      </c>
      <c r="D376">
        <v>10</v>
      </c>
      <c r="E376">
        <v>200</v>
      </c>
      <c r="F376">
        <v>57</v>
      </c>
      <c r="G376">
        <v>200</v>
      </c>
      <c r="H376">
        <v>11</v>
      </c>
      <c r="I376">
        <v>300</v>
      </c>
      <c r="J376">
        <v>10</v>
      </c>
      <c r="K376">
        <v>430</v>
      </c>
      <c r="L376">
        <v>29</v>
      </c>
      <c r="M376">
        <v>180</v>
      </c>
      <c r="N376">
        <v>115</v>
      </c>
      <c r="O376">
        <v>200</v>
      </c>
      <c r="Q376">
        <v>0</v>
      </c>
      <c r="R376">
        <v>29</v>
      </c>
      <c r="S376">
        <v>215</v>
      </c>
      <c r="T376">
        <v>172</v>
      </c>
      <c r="U376">
        <v>270</v>
      </c>
      <c r="V376">
        <v>54</v>
      </c>
      <c r="W376">
        <v>350</v>
      </c>
      <c r="X376">
        <v>121</v>
      </c>
      <c r="Y376">
        <v>240</v>
      </c>
      <c r="Z376">
        <v>375</v>
      </c>
      <c r="AA376">
        <v>270</v>
      </c>
      <c r="AB376">
        <v>0</v>
      </c>
      <c r="AD376">
        <v>495</v>
      </c>
      <c r="AE376">
        <v>250</v>
      </c>
    </row>
    <row r="377" spans="1:31" x14ac:dyDescent="0.25">
      <c r="A377" t="s">
        <v>715</v>
      </c>
      <c r="B377">
        <v>2014</v>
      </c>
      <c r="C377">
        <v>9</v>
      </c>
      <c r="D377">
        <v>11</v>
      </c>
      <c r="E377">
        <v>150</v>
      </c>
      <c r="F377">
        <v>12</v>
      </c>
      <c r="G377">
        <v>170</v>
      </c>
      <c r="H377">
        <v>10</v>
      </c>
      <c r="I377">
        <v>250</v>
      </c>
      <c r="K377">
        <v>220</v>
      </c>
      <c r="L377">
        <v>25</v>
      </c>
      <c r="M377">
        <v>165</v>
      </c>
      <c r="N377">
        <v>60</v>
      </c>
      <c r="O377">
        <v>170</v>
      </c>
      <c r="Q377">
        <v>160</v>
      </c>
      <c r="R377">
        <v>8</v>
      </c>
      <c r="S377">
        <v>230</v>
      </c>
      <c r="T377">
        <v>88</v>
      </c>
      <c r="U377">
        <v>245</v>
      </c>
      <c r="V377">
        <v>25</v>
      </c>
      <c r="W377">
        <v>350</v>
      </c>
      <c r="X377">
        <v>83</v>
      </c>
      <c r="Y377">
        <v>240</v>
      </c>
      <c r="Z377">
        <v>205</v>
      </c>
      <c r="AA377">
        <v>250</v>
      </c>
      <c r="AC377">
        <v>118</v>
      </c>
      <c r="AD377">
        <v>265</v>
      </c>
      <c r="AE377">
        <v>230</v>
      </c>
    </row>
    <row r="378" spans="1:31" x14ac:dyDescent="0.25">
      <c r="A378" t="s">
        <v>716</v>
      </c>
      <c r="B378">
        <v>2014</v>
      </c>
      <c r="C378">
        <v>9</v>
      </c>
      <c r="D378">
        <v>15</v>
      </c>
      <c r="E378">
        <v>150</v>
      </c>
      <c r="F378">
        <v>42</v>
      </c>
      <c r="G378">
        <v>197.5</v>
      </c>
      <c r="H378">
        <v>23</v>
      </c>
      <c r="I378">
        <v>270</v>
      </c>
      <c r="K378">
        <v>310</v>
      </c>
      <c r="L378">
        <v>17</v>
      </c>
      <c r="M378">
        <v>190</v>
      </c>
      <c r="N378">
        <v>100</v>
      </c>
      <c r="O378">
        <v>200</v>
      </c>
      <c r="Q378">
        <v>140</v>
      </c>
      <c r="R378">
        <v>23</v>
      </c>
      <c r="S378">
        <v>240</v>
      </c>
      <c r="T378">
        <v>162</v>
      </c>
      <c r="U378">
        <v>270</v>
      </c>
      <c r="V378">
        <v>57</v>
      </c>
      <c r="W378">
        <v>320</v>
      </c>
      <c r="X378">
        <v>87</v>
      </c>
      <c r="Y378">
        <v>265</v>
      </c>
      <c r="Z378">
        <v>330</v>
      </c>
      <c r="AA378">
        <v>270</v>
      </c>
      <c r="AB378">
        <v>0</v>
      </c>
      <c r="AD378">
        <v>430</v>
      </c>
      <c r="AE378">
        <v>260</v>
      </c>
    </row>
    <row r="379" spans="1:31" x14ac:dyDescent="0.25">
      <c r="A379" t="s">
        <v>717</v>
      </c>
      <c r="B379">
        <v>2014</v>
      </c>
      <c r="C379">
        <v>9</v>
      </c>
      <c r="D379">
        <v>9</v>
      </c>
      <c r="E379">
        <v>155</v>
      </c>
      <c r="F379">
        <v>74</v>
      </c>
      <c r="G379">
        <v>160</v>
      </c>
      <c r="H379">
        <v>25</v>
      </c>
      <c r="I379">
        <v>260</v>
      </c>
      <c r="K379">
        <v>240</v>
      </c>
      <c r="L379">
        <v>57</v>
      </c>
      <c r="M379">
        <v>140</v>
      </c>
      <c r="N379">
        <v>165</v>
      </c>
      <c r="O379">
        <v>175</v>
      </c>
      <c r="Q379">
        <v>135</v>
      </c>
      <c r="R379">
        <v>34</v>
      </c>
      <c r="S379">
        <v>182.5</v>
      </c>
      <c r="T379">
        <v>184</v>
      </c>
      <c r="U379">
        <v>225</v>
      </c>
      <c r="V379">
        <v>39</v>
      </c>
      <c r="W379">
        <v>270</v>
      </c>
      <c r="X379">
        <v>97</v>
      </c>
      <c r="Y379">
        <v>210</v>
      </c>
      <c r="Z379">
        <v>355</v>
      </c>
      <c r="AA379">
        <v>220</v>
      </c>
      <c r="AB379">
        <v>0</v>
      </c>
      <c r="AD379">
        <v>525</v>
      </c>
      <c r="AE379">
        <v>210</v>
      </c>
    </row>
    <row r="380" spans="1:31" x14ac:dyDescent="0.25">
      <c r="A380" t="s">
        <v>628</v>
      </c>
      <c r="B380">
        <v>2014</v>
      </c>
      <c r="C380">
        <v>9</v>
      </c>
      <c r="D380">
        <v>683</v>
      </c>
      <c r="E380">
        <v>240</v>
      </c>
      <c r="F380">
        <v>2067</v>
      </c>
      <c r="G380">
        <v>285</v>
      </c>
      <c r="H380">
        <v>568</v>
      </c>
      <c r="I380">
        <v>345</v>
      </c>
      <c r="J380">
        <v>29</v>
      </c>
      <c r="K380">
        <v>325</v>
      </c>
      <c r="L380">
        <v>1276</v>
      </c>
      <c r="M380">
        <v>260</v>
      </c>
      <c r="N380">
        <v>4625</v>
      </c>
      <c r="O380">
        <v>280</v>
      </c>
      <c r="P380">
        <v>83</v>
      </c>
      <c r="Q380">
        <v>225</v>
      </c>
      <c r="R380">
        <v>591</v>
      </c>
      <c r="S380">
        <v>316</v>
      </c>
      <c r="T380">
        <v>3229</v>
      </c>
      <c r="U380">
        <v>330</v>
      </c>
      <c r="V380">
        <v>736</v>
      </c>
      <c r="W380">
        <v>400</v>
      </c>
      <c r="X380">
        <v>2221</v>
      </c>
      <c r="Y380">
        <v>300</v>
      </c>
      <c r="Z380">
        <v>6860</v>
      </c>
      <c r="AA380">
        <v>325</v>
      </c>
      <c r="AB380">
        <v>128</v>
      </c>
      <c r="AC380">
        <v>175</v>
      </c>
      <c r="AD380">
        <v>11610</v>
      </c>
      <c r="AE380">
        <v>300</v>
      </c>
    </row>
    <row r="381" spans="1:31" x14ac:dyDescent="0.25">
      <c r="A381" t="s">
        <v>718</v>
      </c>
      <c r="B381">
        <v>2014</v>
      </c>
      <c r="C381">
        <v>9</v>
      </c>
      <c r="D381">
        <v>12</v>
      </c>
      <c r="E381">
        <v>135</v>
      </c>
      <c r="F381">
        <v>36</v>
      </c>
      <c r="G381">
        <v>170</v>
      </c>
      <c r="H381">
        <v>11</v>
      </c>
      <c r="I381">
        <v>250</v>
      </c>
      <c r="K381">
        <v>275</v>
      </c>
      <c r="L381">
        <v>42</v>
      </c>
      <c r="M381">
        <v>160</v>
      </c>
      <c r="N381">
        <v>105</v>
      </c>
      <c r="O381">
        <v>170</v>
      </c>
      <c r="Q381">
        <v>130</v>
      </c>
      <c r="R381">
        <v>37</v>
      </c>
      <c r="S381">
        <v>185</v>
      </c>
      <c r="T381">
        <v>179</v>
      </c>
      <c r="U381">
        <v>230</v>
      </c>
      <c r="V381">
        <v>56</v>
      </c>
      <c r="W381">
        <v>280</v>
      </c>
      <c r="X381">
        <v>169</v>
      </c>
      <c r="Y381">
        <v>232</v>
      </c>
      <c r="Z381">
        <v>445</v>
      </c>
      <c r="AA381">
        <v>230</v>
      </c>
      <c r="AB381">
        <v>0</v>
      </c>
      <c r="AD381">
        <v>545</v>
      </c>
      <c r="AE381">
        <v>220</v>
      </c>
    </row>
    <row r="382" spans="1:31" x14ac:dyDescent="0.25">
      <c r="A382" t="s">
        <v>719</v>
      </c>
      <c r="B382">
        <v>2014</v>
      </c>
      <c r="C382">
        <v>9</v>
      </c>
      <c r="D382">
        <v>75</v>
      </c>
      <c r="E382">
        <v>185</v>
      </c>
      <c r="F382">
        <v>334</v>
      </c>
      <c r="G382">
        <v>260</v>
      </c>
      <c r="H382">
        <v>146</v>
      </c>
      <c r="I382">
        <v>300</v>
      </c>
      <c r="J382">
        <v>6</v>
      </c>
      <c r="K382">
        <v>350</v>
      </c>
      <c r="L382">
        <v>249</v>
      </c>
      <c r="M382">
        <v>233.2</v>
      </c>
      <c r="N382">
        <v>810</v>
      </c>
      <c r="O382">
        <v>260</v>
      </c>
      <c r="P382">
        <v>7</v>
      </c>
      <c r="Q382">
        <v>220</v>
      </c>
      <c r="R382">
        <v>109</v>
      </c>
      <c r="S382">
        <v>280</v>
      </c>
      <c r="T382">
        <v>1359</v>
      </c>
      <c r="U382">
        <v>295</v>
      </c>
      <c r="V382">
        <v>256</v>
      </c>
      <c r="W382">
        <v>350</v>
      </c>
      <c r="X382">
        <v>946</v>
      </c>
      <c r="Y382">
        <v>280</v>
      </c>
      <c r="Z382">
        <v>2675</v>
      </c>
      <c r="AA382">
        <v>294</v>
      </c>
      <c r="AB382">
        <v>6</v>
      </c>
      <c r="AC382">
        <v>140</v>
      </c>
      <c r="AD382">
        <v>3495</v>
      </c>
      <c r="AE382">
        <v>285</v>
      </c>
    </row>
    <row r="383" spans="1:31" x14ac:dyDescent="0.25">
      <c r="A383" t="s">
        <v>720</v>
      </c>
      <c r="B383">
        <v>2014</v>
      </c>
      <c r="C383">
        <v>9</v>
      </c>
      <c r="D383">
        <v>67</v>
      </c>
      <c r="E383">
        <v>150</v>
      </c>
      <c r="F383">
        <v>301</v>
      </c>
      <c r="G383">
        <v>190</v>
      </c>
      <c r="H383">
        <v>132</v>
      </c>
      <c r="I383">
        <v>280</v>
      </c>
      <c r="J383">
        <v>24</v>
      </c>
      <c r="K383">
        <v>347.5</v>
      </c>
      <c r="L383">
        <v>238</v>
      </c>
      <c r="M383">
        <v>170</v>
      </c>
      <c r="N383">
        <v>760</v>
      </c>
      <c r="O383">
        <v>195</v>
      </c>
      <c r="P383">
        <v>26</v>
      </c>
      <c r="Q383">
        <v>165</v>
      </c>
      <c r="R383">
        <v>214</v>
      </c>
      <c r="S383">
        <v>215</v>
      </c>
      <c r="T383">
        <v>1307</v>
      </c>
      <c r="U383">
        <v>255</v>
      </c>
      <c r="V383">
        <v>435</v>
      </c>
      <c r="W383">
        <v>330</v>
      </c>
      <c r="X383">
        <v>874</v>
      </c>
      <c r="Y383">
        <v>245</v>
      </c>
      <c r="Z383">
        <v>2855</v>
      </c>
      <c r="AA383">
        <v>255</v>
      </c>
      <c r="AB383">
        <v>1</v>
      </c>
      <c r="AC383">
        <v>118</v>
      </c>
      <c r="AD383">
        <v>3620</v>
      </c>
      <c r="AE383">
        <v>248</v>
      </c>
    </row>
    <row r="384" spans="1:31" x14ac:dyDescent="0.25">
      <c r="A384" t="s">
        <v>724</v>
      </c>
      <c r="B384">
        <v>2014</v>
      </c>
      <c r="C384">
        <v>9</v>
      </c>
      <c r="D384">
        <v>750</v>
      </c>
      <c r="E384">
        <v>230</v>
      </c>
      <c r="F384">
        <v>2368</v>
      </c>
      <c r="G384">
        <v>275</v>
      </c>
      <c r="H384">
        <v>700</v>
      </c>
      <c r="I384">
        <v>330</v>
      </c>
      <c r="J384">
        <v>53</v>
      </c>
      <c r="K384">
        <v>330</v>
      </c>
      <c r="L384">
        <v>1514</v>
      </c>
      <c r="M384">
        <v>250</v>
      </c>
      <c r="N384">
        <v>5385</v>
      </c>
      <c r="O384">
        <v>270</v>
      </c>
      <c r="P384">
        <v>109</v>
      </c>
      <c r="Q384">
        <v>200</v>
      </c>
      <c r="R384">
        <v>805</v>
      </c>
      <c r="S384">
        <v>295</v>
      </c>
      <c r="T384">
        <v>4536</v>
      </c>
      <c r="U384">
        <v>305</v>
      </c>
      <c r="V384">
        <v>1171</v>
      </c>
      <c r="W384">
        <v>370</v>
      </c>
      <c r="X384">
        <v>3095</v>
      </c>
      <c r="Y384">
        <v>290</v>
      </c>
      <c r="Z384">
        <v>9715</v>
      </c>
      <c r="AA384">
        <v>300</v>
      </c>
      <c r="AB384">
        <v>129</v>
      </c>
      <c r="AC384">
        <v>175</v>
      </c>
      <c r="AD384">
        <v>15230</v>
      </c>
      <c r="AE384">
        <v>290</v>
      </c>
    </row>
    <row r="385" spans="1:31" x14ac:dyDescent="0.25">
      <c r="A385" t="s">
        <v>721</v>
      </c>
      <c r="B385">
        <v>2014</v>
      </c>
      <c r="C385">
        <v>9</v>
      </c>
      <c r="D385">
        <v>116</v>
      </c>
      <c r="E385">
        <v>230</v>
      </c>
      <c r="F385">
        <v>480</v>
      </c>
      <c r="G385">
        <v>280</v>
      </c>
      <c r="H385">
        <v>142</v>
      </c>
      <c r="I385">
        <v>320</v>
      </c>
      <c r="J385">
        <v>7</v>
      </c>
      <c r="K385">
        <v>332</v>
      </c>
      <c r="L385">
        <v>260</v>
      </c>
      <c r="M385">
        <v>270</v>
      </c>
      <c r="N385">
        <v>1005</v>
      </c>
      <c r="O385">
        <v>280</v>
      </c>
      <c r="P385">
        <v>20</v>
      </c>
      <c r="Q385">
        <v>197.5</v>
      </c>
      <c r="R385">
        <v>137</v>
      </c>
      <c r="S385">
        <v>300</v>
      </c>
      <c r="T385">
        <v>929</v>
      </c>
      <c r="U385">
        <v>340</v>
      </c>
      <c r="V385">
        <v>253</v>
      </c>
      <c r="W385">
        <v>410</v>
      </c>
      <c r="X385">
        <v>569</v>
      </c>
      <c r="Y385">
        <v>320</v>
      </c>
      <c r="Z385">
        <v>1910</v>
      </c>
      <c r="AA385">
        <v>340</v>
      </c>
      <c r="AB385">
        <v>16</v>
      </c>
      <c r="AC385">
        <v>148.5</v>
      </c>
      <c r="AD385">
        <v>2930</v>
      </c>
      <c r="AE385">
        <v>320</v>
      </c>
    </row>
    <row r="386" spans="1:31" x14ac:dyDescent="0.25">
      <c r="A386" t="s">
        <v>722</v>
      </c>
      <c r="B386">
        <v>2014</v>
      </c>
      <c r="C386">
        <v>9</v>
      </c>
      <c r="D386">
        <v>82</v>
      </c>
      <c r="E386">
        <v>222.5</v>
      </c>
      <c r="F386">
        <v>502</v>
      </c>
      <c r="G386">
        <v>270</v>
      </c>
      <c r="H386">
        <v>122</v>
      </c>
      <c r="I386">
        <v>370</v>
      </c>
      <c r="J386">
        <v>9</v>
      </c>
      <c r="K386">
        <v>330</v>
      </c>
      <c r="L386">
        <v>247</v>
      </c>
      <c r="M386">
        <v>260</v>
      </c>
      <c r="N386">
        <v>960</v>
      </c>
      <c r="O386">
        <v>270</v>
      </c>
      <c r="P386">
        <v>28</v>
      </c>
      <c r="Q386">
        <v>195</v>
      </c>
      <c r="R386">
        <v>171</v>
      </c>
      <c r="S386">
        <v>305</v>
      </c>
      <c r="T386">
        <v>564</v>
      </c>
      <c r="U386">
        <v>370</v>
      </c>
      <c r="V386">
        <v>109</v>
      </c>
      <c r="W386">
        <v>450</v>
      </c>
      <c r="X386">
        <v>398</v>
      </c>
      <c r="Y386">
        <v>330</v>
      </c>
      <c r="Z386">
        <v>1270</v>
      </c>
      <c r="AA386">
        <v>350</v>
      </c>
      <c r="AB386">
        <v>21</v>
      </c>
      <c r="AC386">
        <v>169</v>
      </c>
      <c r="AD386">
        <v>2255</v>
      </c>
      <c r="AE386">
        <v>310</v>
      </c>
    </row>
    <row r="387" spans="1:31" x14ac:dyDescent="0.25">
      <c r="A387" t="s">
        <v>723</v>
      </c>
      <c r="B387">
        <v>2014</v>
      </c>
      <c r="C387">
        <v>9</v>
      </c>
      <c r="E387">
        <v>150</v>
      </c>
      <c r="F387">
        <v>22</v>
      </c>
      <c r="G387">
        <v>185</v>
      </c>
      <c r="H387">
        <v>6</v>
      </c>
      <c r="I387">
        <v>245</v>
      </c>
      <c r="J387">
        <v>0</v>
      </c>
      <c r="L387">
        <v>27</v>
      </c>
      <c r="M387">
        <v>160</v>
      </c>
      <c r="N387">
        <v>60</v>
      </c>
      <c r="O387">
        <v>170</v>
      </c>
      <c r="Q387">
        <v>165</v>
      </c>
      <c r="R387">
        <v>40</v>
      </c>
      <c r="S387">
        <v>190</v>
      </c>
      <c r="T387">
        <v>218</v>
      </c>
      <c r="U387">
        <v>230</v>
      </c>
      <c r="V387">
        <v>63</v>
      </c>
      <c r="W387">
        <v>280</v>
      </c>
      <c r="X387">
        <v>147</v>
      </c>
      <c r="Y387">
        <v>210</v>
      </c>
      <c r="Z387">
        <v>470</v>
      </c>
      <c r="AA387">
        <v>225</v>
      </c>
      <c r="AB387">
        <v>0</v>
      </c>
      <c r="AD387">
        <v>530</v>
      </c>
      <c r="AE387">
        <v>220</v>
      </c>
    </row>
    <row r="388" spans="1:31" x14ac:dyDescent="0.25">
      <c r="A388" t="s">
        <v>711</v>
      </c>
      <c r="B388">
        <v>2014</v>
      </c>
      <c r="C388">
        <v>12</v>
      </c>
      <c r="E388">
        <v>195</v>
      </c>
      <c r="F388">
        <v>24</v>
      </c>
      <c r="G388">
        <v>270</v>
      </c>
      <c r="H388">
        <v>35</v>
      </c>
      <c r="I388">
        <v>299</v>
      </c>
      <c r="J388">
        <v>0</v>
      </c>
      <c r="L388">
        <v>6</v>
      </c>
      <c r="M388">
        <v>272.5</v>
      </c>
      <c r="N388">
        <v>65</v>
      </c>
      <c r="O388">
        <v>295</v>
      </c>
      <c r="Q388">
        <v>235</v>
      </c>
      <c r="R388">
        <v>14</v>
      </c>
      <c r="S388">
        <v>325</v>
      </c>
      <c r="T388">
        <v>138</v>
      </c>
      <c r="U388">
        <v>347.5</v>
      </c>
      <c r="V388">
        <v>84</v>
      </c>
      <c r="W388">
        <v>400</v>
      </c>
      <c r="X388">
        <v>45</v>
      </c>
      <c r="Y388">
        <v>330</v>
      </c>
      <c r="Z388">
        <v>285</v>
      </c>
      <c r="AA388">
        <v>360</v>
      </c>
      <c r="AC388">
        <v>85</v>
      </c>
      <c r="AD388">
        <v>350</v>
      </c>
      <c r="AE388">
        <v>340</v>
      </c>
    </row>
    <row r="389" spans="1:31" x14ac:dyDescent="0.25">
      <c r="A389" t="s">
        <v>712</v>
      </c>
      <c r="B389">
        <v>2014</v>
      </c>
      <c r="C389">
        <v>12</v>
      </c>
      <c r="E389">
        <v>363.15</v>
      </c>
      <c r="F389">
        <v>36</v>
      </c>
      <c r="G389">
        <v>220</v>
      </c>
      <c r="H389">
        <v>21</v>
      </c>
      <c r="I389">
        <v>275</v>
      </c>
      <c r="J389">
        <v>0</v>
      </c>
      <c r="L389">
        <v>15</v>
      </c>
      <c r="M389">
        <v>230</v>
      </c>
      <c r="N389">
        <v>75</v>
      </c>
      <c r="O389">
        <v>240</v>
      </c>
      <c r="Q389">
        <v>150</v>
      </c>
      <c r="R389">
        <v>20</v>
      </c>
      <c r="S389">
        <v>225</v>
      </c>
      <c r="T389">
        <v>179</v>
      </c>
      <c r="U389">
        <v>290</v>
      </c>
      <c r="V389">
        <v>59</v>
      </c>
      <c r="W389">
        <v>350</v>
      </c>
      <c r="X389">
        <v>81</v>
      </c>
      <c r="Y389">
        <v>270</v>
      </c>
      <c r="Z389">
        <v>340</v>
      </c>
      <c r="AA389">
        <v>290</v>
      </c>
      <c r="AB389">
        <v>0</v>
      </c>
      <c r="AD389">
        <v>420</v>
      </c>
      <c r="AE389">
        <v>280</v>
      </c>
    </row>
    <row r="390" spans="1:31" x14ac:dyDescent="0.25">
      <c r="A390" t="s">
        <v>713</v>
      </c>
      <c r="B390">
        <v>2014</v>
      </c>
      <c r="C390">
        <v>12</v>
      </c>
      <c r="D390">
        <v>243</v>
      </c>
      <c r="E390">
        <v>260</v>
      </c>
      <c r="F390">
        <v>615</v>
      </c>
      <c r="G390">
        <v>315</v>
      </c>
      <c r="H390">
        <v>98</v>
      </c>
      <c r="I390">
        <v>427.5</v>
      </c>
      <c r="J390">
        <v>6</v>
      </c>
      <c r="K390">
        <v>545</v>
      </c>
      <c r="L390">
        <v>428</v>
      </c>
      <c r="M390">
        <v>270</v>
      </c>
      <c r="N390">
        <v>1390</v>
      </c>
      <c r="O390">
        <v>300</v>
      </c>
      <c r="P390">
        <v>32</v>
      </c>
      <c r="Q390">
        <v>227.5</v>
      </c>
      <c r="R390">
        <v>155</v>
      </c>
      <c r="S390">
        <v>360</v>
      </c>
      <c r="T390">
        <v>371</v>
      </c>
      <c r="U390">
        <v>415</v>
      </c>
      <c r="V390">
        <v>132</v>
      </c>
      <c r="W390">
        <v>515</v>
      </c>
      <c r="X390">
        <v>308</v>
      </c>
      <c r="Y390">
        <v>362.5</v>
      </c>
      <c r="Z390">
        <v>1000</v>
      </c>
      <c r="AA390">
        <v>395</v>
      </c>
      <c r="AB390">
        <v>25</v>
      </c>
      <c r="AC390">
        <v>175</v>
      </c>
      <c r="AD390">
        <v>2415</v>
      </c>
      <c r="AE390">
        <v>335</v>
      </c>
    </row>
    <row r="391" spans="1:31" x14ac:dyDescent="0.25">
      <c r="A391" t="s">
        <v>714</v>
      </c>
      <c r="B391">
        <v>2014</v>
      </c>
      <c r="C391">
        <v>12</v>
      </c>
      <c r="D391">
        <v>9</v>
      </c>
      <c r="E391">
        <v>150</v>
      </c>
      <c r="F391">
        <v>40</v>
      </c>
      <c r="G391">
        <v>202.5</v>
      </c>
      <c r="H391">
        <v>12</v>
      </c>
      <c r="I391">
        <v>317.5</v>
      </c>
      <c r="K391">
        <v>560</v>
      </c>
      <c r="L391">
        <v>38</v>
      </c>
      <c r="M391">
        <v>186</v>
      </c>
      <c r="N391">
        <v>100</v>
      </c>
      <c r="O391">
        <v>210</v>
      </c>
      <c r="Q391">
        <v>160</v>
      </c>
      <c r="R391">
        <v>28</v>
      </c>
      <c r="S391">
        <v>222.5</v>
      </c>
      <c r="T391">
        <v>177</v>
      </c>
      <c r="U391">
        <v>250</v>
      </c>
      <c r="V391">
        <v>45</v>
      </c>
      <c r="W391">
        <v>350</v>
      </c>
      <c r="X391">
        <v>135</v>
      </c>
      <c r="Y391">
        <v>220</v>
      </c>
      <c r="Z391">
        <v>390</v>
      </c>
      <c r="AA391">
        <v>248.5</v>
      </c>
      <c r="AB391">
        <v>0</v>
      </c>
      <c r="AD391">
        <v>490</v>
      </c>
      <c r="AE391">
        <v>235</v>
      </c>
    </row>
    <row r="392" spans="1:31" x14ac:dyDescent="0.25">
      <c r="A392" t="s">
        <v>715</v>
      </c>
      <c r="B392">
        <v>2014</v>
      </c>
      <c r="C392">
        <v>12</v>
      </c>
      <c r="D392">
        <v>13</v>
      </c>
      <c r="E392">
        <v>119.8</v>
      </c>
      <c r="F392">
        <v>24</v>
      </c>
      <c r="G392">
        <v>180</v>
      </c>
      <c r="I392">
        <v>260</v>
      </c>
      <c r="J392">
        <v>0</v>
      </c>
      <c r="L392">
        <v>24</v>
      </c>
      <c r="M392">
        <v>146</v>
      </c>
      <c r="N392">
        <v>65</v>
      </c>
      <c r="O392">
        <v>160</v>
      </c>
      <c r="P392">
        <v>0</v>
      </c>
      <c r="R392">
        <v>15</v>
      </c>
      <c r="S392">
        <v>170</v>
      </c>
      <c r="T392">
        <v>77</v>
      </c>
      <c r="U392">
        <v>250</v>
      </c>
      <c r="V392">
        <v>21</v>
      </c>
      <c r="W392">
        <v>330</v>
      </c>
      <c r="X392">
        <v>85</v>
      </c>
      <c r="Y392">
        <v>235</v>
      </c>
      <c r="Z392">
        <v>200</v>
      </c>
      <c r="AA392">
        <v>250</v>
      </c>
      <c r="AB392">
        <v>0</v>
      </c>
      <c r="AD392">
        <v>260</v>
      </c>
      <c r="AE392">
        <v>220</v>
      </c>
    </row>
    <row r="393" spans="1:31" x14ac:dyDescent="0.25">
      <c r="A393" t="s">
        <v>716</v>
      </c>
      <c r="B393">
        <v>2014</v>
      </c>
      <c r="C393">
        <v>12</v>
      </c>
      <c r="D393">
        <v>17</v>
      </c>
      <c r="E393">
        <v>165</v>
      </c>
      <c r="F393">
        <v>28</v>
      </c>
      <c r="G393">
        <v>222.5</v>
      </c>
      <c r="H393">
        <v>17</v>
      </c>
      <c r="I393">
        <v>260</v>
      </c>
      <c r="K393">
        <v>280</v>
      </c>
      <c r="L393">
        <v>21</v>
      </c>
      <c r="M393">
        <v>205</v>
      </c>
      <c r="N393">
        <v>85</v>
      </c>
      <c r="O393">
        <v>220</v>
      </c>
      <c r="Q393">
        <v>115</v>
      </c>
      <c r="R393">
        <v>31</v>
      </c>
      <c r="S393">
        <v>225</v>
      </c>
      <c r="T393">
        <v>148</v>
      </c>
      <c r="U393">
        <v>270</v>
      </c>
      <c r="V393">
        <v>58</v>
      </c>
      <c r="W393">
        <v>330</v>
      </c>
      <c r="X393">
        <v>63</v>
      </c>
      <c r="Y393">
        <v>260</v>
      </c>
      <c r="Z393">
        <v>305</v>
      </c>
      <c r="AA393">
        <v>275</v>
      </c>
      <c r="AC393">
        <v>119</v>
      </c>
      <c r="AD393">
        <v>390</v>
      </c>
      <c r="AE393">
        <v>260</v>
      </c>
    </row>
    <row r="394" spans="1:31" x14ac:dyDescent="0.25">
      <c r="A394" t="s">
        <v>717</v>
      </c>
      <c r="B394">
        <v>2014</v>
      </c>
      <c r="C394">
        <v>12</v>
      </c>
      <c r="D394">
        <v>16</v>
      </c>
      <c r="E394">
        <v>125</v>
      </c>
      <c r="F394">
        <v>90</v>
      </c>
      <c r="G394">
        <v>160</v>
      </c>
      <c r="H394">
        <v>37</v>
      </c>
      <c r="I394">
        <v>270</v>
      </c>
      <c r="K394">
        <v>100</v>
      </c>
      <c r="L394">
        <v>60</v>
      </c>
      <c r="M394">
        <v>157.5</v>
      </c>
      <c r="N394">
        <v>205</v>
      </c>
      <c r="O394">
        <v>175</v>
      </c>
      <c r="Q394">
        <v>175</v>
      </c>
      <c r="R394">
        <v>35</v>
      </c>
      <c r="S394">
        <v>190</v>
      </c>
      <c r="T394">
        <v>169</v>
      </c>
      <c r="U394">
        <v>220</v>
      </c>
      <c r="V394">
        <v>45</v>
      </c>
      <c r="W394">
        <v>270</v>
      </c>
      <c r="X394">
        <v>140</v>
      </c>
      <c r="Y394">
        <v>220</v>
      </c>
      <c r="Z394">
        <v>395</v>
      </c>
      <c r="AA394">
        <v>220</v>
      </c>
      <c r="AB394">
        <v>0</v>
      </c>
      <c r="AD394">
        <v>600</v>
      </c>
      <c r="AE394">
        <v>210</v>
      </c>
    </row>
    <row r="395" spans="1:31" x14ac:dyDescent="0.25">
      <c r="A395" t="s">
        <v>628</v>
      </c>
      <c r="B395">
        <v>2014</v>
      </c>
      <c r="C395">
        <v>12</v>
      </c>
      <c r="D395">
        <v>497</v>
      </c>
      <c r="E395">
        <v>240</v>
      </c>
      <c r="F395">
        <v>1885</v>
      </c>
      <c r="G395">
        <v>280</v>
      </c>
      <c r="H395">
        <v>504</v>
      </c>
      <c r="I395">
        <v>340</v>
      </c>
      <c r="J395">
        <v>24</v>
      </c>
      <c r="K395">
        <v>367.5</v>
      </c>
      <c r="L395">
        <v>1233</v>
      </c>
      <c r="M395">
        <v>260</v>
      </c>
      <c r="N395">
        <v>4145</v>
      </c>
      <c r="O395">
        <v>280</v>
      </c>
      <c r="P395">
        <v>87</v>
      </c>
      <c r="Q395">
        <v>205</v>
      </c>
      <c r="R395">
        <v>613</v>
      </c>
      <c r="S395">
        <v>300</v>
      </c>
      <c r="T395">
        <v>3001</v>
      </c>
      <c r="U395">
        <v>330</v>
      </c>
      <c r="V395">
        <v>697</v>
      </c>
      <c r="W395">
        <v>400</v>
      </c>
      <c r="X395">
        <v>2141</v>
      </c>
      <c r="Y395">
        <v>310</v>
      </c>
      <c r="Z395">
        <v>6540</v>
      </c>
      <c r="AA395">
        <v>330</v>
      </c>
      <c r="AB395">
        <v>60</v>
      </c>
      <c r="AC395">
        <v>169.1</v>
      </c>
      <c r="AD395">
        <v>10740</v>
      </c>
      <c r="AE395">
        <v>300</v>
      </c>
    </row>
    <row r="396" spans="1:31" x14ac:dyDescent="0.25">
      <c r="A396" t="s">
        <v>718</v>
      </c>
      <c r="B396">
        <v>2014</v>
      </c>
      <c r="C396">
        <v>12</v>
      </c>
      <c r="D396">
        <v>9</v>
      </c>
      <c r="E396">
        <v>160</v>
      </c>
      <c r="F396">
        <v>45</v>
      </c>
      <c r="G396">
        <v>165</v>
      </c>
      <c r="H396">
        <v>13</v>
      </c>
      <c r="I396">
        <v>220</v>
      </c>
      <c r="K396">
        <v>250</v>
      </c>
      <c r="L396">
        <v>69</v>
      </c>
      <c r="M396">
        <v>150</v>
      </c>
      <c r="N396">
        <v>140</v>
      </c>
      <c r="O396">
        <v>165</v>
      </c>
      <c r="Q396">
        <v>170</v>
      </c>
      <c r="R396">
        <v>37</v>
      </c>
      <c r="S396">
        <v>180</v>
      </c>
      <c r="T396">
        <v>176</v>
      </c>
      <c r="U396">
        <v>231.5</v>
      </c>
      <c r="V396">
        <v>45</v>
      </c>
      <c r="W396">
        <v>270</v>
      </c>
      <c r="X396">
        <v>194</v>
      </c>
      <c r="Y396">
        <v>225</v>
      </c>
      <c r="Z396">
        <v>455</v>
      </c>
      <c r="AA396">
        <v>230</v>
      </c>
      <c r="AB396">
        <v>0</v>
      </c>
      <c r="AD396">
        <v>595</v>
      </c>
      <c r="AE396">
        <v>205</v>
      </c>
    </row>
    <row r="397" spans="1:31" x14ac:dyDescent="0.25">
      <c r="A397" t="s">
        <v>719</v>
      </c>
      <c r="B397">
        <v>2014</v>
      </c>
      <c r="C397">
        <v>12</v>
      </c>
      <c r="D397">
        <v>48</v>
      </c>
      <c r="E397">
        <v>153.5</v>
      </c>
      <c r="F397">
        <v>303</v>
      </c>
      <c r="G397">
        <v>255</v>
      </c>
      <c r="H397">
        <v>163</v>
      </c>
      <c r="I397">
        <v>310</v>
      </c>
      <c r="J397">
        <v>6</v>
      </c>
      <c r="K397">
        <v>322.5</v>
      </c>
      <c r="L397">
        <v>250</v>
      </c>
      <c r="M397">
        <v>253.95</v>
      </c>
      <c r="N397">
        <v>770</v>
      </c>
      <c r="O397">
        <v>260</v>
      </c>
      <c r="P397">
        <v>12</v>
      </c>
      <c r="Q397">
        <v>210</v>
      </c>
      <c r="R397">
        <v>134</v>
      </c>
      <c r="S397">
        <v>257.5</v>
      </c>
      <c r="T397">
        <v>1226</v>
      </c>
      <c r="U397">
        <v>295</v>
      </c>
      <c r="V397">
        <v>232</v>
      </c>
      <c r="W397">
        <v>350</v>
      </c>
      <c r="X397">
        <v>902</v>
      </c>
      <c r="Y397">
        <v>285</v>
      </c>
      <c r="Z397">
        <v>2505</v>
      </c>
      <c r="AA397">
        <v>290</v>
      </c>
      <c r="AC397">
        <v>176.8</v>
      </c>
      <c r="AD397">
        <v>3275</v>
      </c>
      <c r="AE397">
        <v>285</v>
      </c>
    </row>
    <row r="398" spans="1:31" x14ac:dyDescent="0.25">
      <c r="A398" t="s">
        <v>720</v>
      </c>
      <c r="B398">
        <v>2014</v>
      </c>
      <c r="C398">
        <v>12</v>
      </c>
      <c r="D398">
        <v>76</v>
      </c>
      <c r="E398">
        <v>150</v>
      </c>
      <c r="F398">
        <v>309</v>
      </c>
      <c r="G398">
        <v>190</v>
      </c>
      <c r="H398">
        <v>151</v>
      </c>
      <c r="I398">
        <v>280</v>
      </c>
      <c r="J398">
        <v>7</v>
      </c>
      <c r="K398">
        <v>280</v>
      </c>
      <c r="L398">
        <v>245</v>
      </c>
      <c r="M398">
        <v>165</v>
      </c>
      <c r="N398">
        <v>790</v>
      </c>
      <c r="O398">
        <v>190</v>
      </c>
      <c r="P398">
        <v>26</v>
      </c>
      <c r="Q398">
        <v>160</v>
      </c>
      <c r="R398">
        <v>222</v>
      </c>
      <c r="S398">
        <v>210</v>
      </c>
      <c r="T398">
        <v>1270</v>
      </c>
      <c r="U398">
        <v>255</v>
      </c>
      <c r="V398">
        <v>423</v>
      </c>
      <c r="W398">
        <v>330</v>
      </c>
      <c r="X398">
        <v>874</v>
      </c>
      <c r="Y398">
        <v>230</v>
      </c>
      <c r="Z398">
        <v>2815</v>
      </c>
      <c r="AA398">
        <v>250</v>
      </c>
      <c r="AB398">
        <v>3</v>
      </c>
      <c r="AC398">
        <v>109</v>
      </c>
      <c r="AD398">
        <v>3605</v>
      </c>
      <c r="AE398">
        <v>240</v>
      </c>
    </row>
    <row r="399" spans="1:31" x14ac:dyDescent="0.25">
      <c r="A399" t="s">
        <v>724</v>
      </c>
      <c r="B399">
        <v>2014</v>
      </c>
      <c r="C399">
        <v>12</v>
      </c>
      <c r="D399">
        <v>573</v>
      </c>
      <c r="E399">
        <v>230</v>
      </c>
      <c r="F399">
        <v>2194</v>
      </c>
      <c r="G399">
        <v>275</v>
      </c>
      <c r="H399">
        <v>655</v>
      </c>
      <c r="I399">
        <v>320</v>
      </c>
      <c r="J399">
        <v>31</v>
      </c>
      <c r="K399">
        <v>360</v>
      </c>
      <c r="L399">
        <v>1478</v>
      </c>
      <c r="M399">
        <v>250</v>
      </c>
      <c r="N399">
        <v>4930</v>
      </c>
      <c r="O399">
        <v>270</v>
      </c>
      <c r="P399">
        <v>113</v>
      </c>
      <c r="Q399">
        <v>190</v>
      </c>
      <c r="R399">
        <v>835</v>
      </c>
      <c r="S399">
        <v>280</v>
      </c>
      <c r="T399">
        <v>4271</v>
      </c>
      <c r="U399">
        <v>310</v>
      </c>
      <c r="V399">
        <v>1120</v>
      </c>
      <c r="W399">
        <v>380</v>
      </c>
      <c r="X399">
        <v>3015</v>
      </c>
      <c r="Y399">
        <v>285</v>
      </c>
      <c r="Z399">
        <v>9355</v>
      </c>
      <c r="AA399">
        <v>300</v>
      </c>
      <c r="AB399">
        <v>63</v>
      </c>
      <c r="AC399">
        <v>165</v>
      </c>
      <c r="AD399">
        <v>14350</v>
      </c>
      <c r="AE399">
        <v>290</v>
      </c>
    </row>
    <row r="400" spans="1:31" x14ac:dyDescent="0.25">
      <c r="A400" t="s">
        <v>721</v>
      </c>
      <c r="B400">
        <v>2014</v>
      </c>
      <c r="C400">
        <v>12</v>
      </c>
      <c r="D400">
        <v>105</v>
      </c>
      <c r="E400">
        <v>240</v>
      </c>
      <c r="F400">
        <v>462</v>
      </c>
      <c r="G400">
        <v>280</v>
      </c>
      <c r="H400">
        <v>142</v>
      </c>
      <c r="I400">
        <v>330</v>
      </c>
      <c r="J400">
        <v>6</v>
      </c>
      <c r="K400">
        <v>345</v>
      </c>
      <c r="L400">
        <v>260</v>
      </c>
      <c r="M400">
        <v>265</v>
      </c>
      <c r="N400">
        <v>975</v>
      </c>
      <c r="O400">
        <v>280</v>
      </c>
      <c r="P400">
        <v>20</v>
      </c>
      <c r="Q400">
        <v>190</v>
      </c>
      <c r="R400">
        <v>133</v>
      </c>
      <c r="S400">
        <v>300</v>
      </c>
      <c r="T400">
        <v>913</v>
      </c>
      <c r="U400">
        <v>340</v>
      </c>
      <c r="V400">
        <v>249</v>
      </c>
      <c r="W400">
        <v>400</v>
      </c>
      <c r="X400">
        <v>535</v>
      </c>
      <c r="Y400">
        <v>315</v>
      </c>
      <c r="Z400">
        <v>1850</v>
      </c>
      <c r="AA400">
        <v>335</v>
      </c>
      <c r="AB400">
        <v>18</v>
      </c>
      <c r="AC400">
        <v>125</v>
      </c>
      <c r="AD400">
        <v>2845</v>
      </c>
      <c r="AE400">
        <v>320</v>
      </c>
    </row>
    <row r="401" spans="1:31" x14ac:dyDescent="0.25">
      <c r="A401" t="s">
        <v>722</v>
      </c>
      <c r="B401">
        <v>2014</v>
      </c>
      <c r="C401">
        <v>12</v>
      </c>
      <c r="D401">
        <v>101</v>
      </c>
      <c r="E401">
        <v>225</v>
      </c>
      <c r="F401">
        <v>505</v>
      </c>
      <c r="G401">
        <v>270</v>
      </c>
      <c r="H401">
        <v>101</v>
      </c>
      <c r="I401">
        <v>360</v>
      </c>
      <c r="J401">
        <v>6</v>
      </c>
      <c r="K401">
        <v>397.5</v>
      </c>
      <c r="L401">
        <v>295</v>
      </c>
      <c r="M401">
        <v>260</v>
      </c>
      <c r="N401">
        <v>1010</v>
      </c>
      <c r="O401">
        <v>270</v>
      </c>
      <c r="P401">
        <v>23</v>
      </c>
      <c r="Q401">
        <v>175</v>
      </c>
      <c r="R401">
        <v>191</v>
      </c>
      <c r="S401">
        <v>300</v>
      </c>
      <c r="T401">
        <v>491</v>
      </c>
      <c r="U401">
        <v>370</v>
      </c>
      <c r="V401">
        <v>84</v>
      </c>
      <c r="W401">
        <v>435</v>
      </c>
      <c r="X401">
        <v>396</v>
      </c>
      <c r="Y401">
        <v>330</v>
      </c>
      <c r="Z401">
        <v>1185</v>
      </c>
      <c r="AA401">
        <v>350</v>
      </c>
      <c r="AB401">
        <v>16</v>
      </c>
      <c r="AC401">
        <v>171.4</v>
      </c>
      <c r="AD401">
        <v>2210</v>
      </c>
      <c r="AE401">
        <v>310</v>
      </c>
    </row>
    <row r="402" spans="1:31" x14ac:dyDescent="0.25">
      <c r="A402" t="s">
        <v>723</v>
      </c>
      <c r="B402">
        <v>2014</v>
      </c>
      <c r="C402">
        <v>12</v>
      </c>
      <c r="D402">
        <v>6</v>
      </c>
      <c r="E402">
        <v>143.5</v>
      </c>
      <c r="F402">
        <v>22</v>
      </c>
      <c r="G402">
        <v>165</v>
      </c>
      <c r="H402">
        <v>13</v>
      </c>
      <c r="I402">
        <v>240</v>
      </c>
      <c r="K402">
        <v>360</v>
      </c>
      <c r="L402">
        <v>12</v>
      </c>
      <c r="M402">
        <v>155</v>
      </c>
      <c r="N402">
        <v>55</v>
      </c>
      <c r="O402">
        <v>169.35</v>
      </c>
      <c r="Q402">
        <v>147.5</v>
      </c>
      <c r="R402">
        <v>42</v>
      </c>
      <c r="S402">
        <v>200</v>
      </c>
      <c r="T402">
        <v>206</v>
      </c>
      <c r="U402">
        <v>235</v>
      </c>
      <c r="V402">
        <v>66</v>
      </c>
      <c r="W402">
        <v>292.5</v>
      </c>
      <c r="X402">
        <v>131</v>
      </c>
      <c r="Y402">
        <v>200</v>
      </c>
      <c r="Z402">
        <v>450</v>
      </c>
      <c r="AA402">
        <v>230</v>
      </c>
      <c r="AB402">
        <v>0</v>
      </c>
      <c r="AD402">
        <v>505</v>
      </c>
      <c r="AE402">
        <v>220</v>
      </c>
    </row>
    <row r="403" spans="1:31" x14ac:dyDescent="0.25">
      <c r="A403" t="s">
        <v>711</v>
      </c>
      <c r="B403">
        <v>2015</v>
      </c>
      <c r="C403">
        <v>3</v>
      </c>
      <c r="E403">
        <v>207.5</v>
      </c>
      <c r="F403">
        <v>17</v>
      </c>
      <c r="G403">
        <v>260</v>
      </c>
      <c r="H403">
        <v>35</v>
      </c>
      <c r="I403">
        <v>310</v>
      </c>
      <c r="K403">
        <v>362.5</v>
      </c>
      <c r="L403">
        <v>9</v>
      </c>
      <c r="M403">
        <v>290</v>
      </c>
      <c r="N403">
        <v>70</v>
      </c>
      <c r="O403">
        <v>300</v>
      </c>
      <c r="P403">
        <v>7</v>
      </c>
      <c r="Q403">
        <v>230</v>
      </c>
      <c r="R403">
        <v>12</v>
      </c>
      <c r="S403">
        <v>305</v>
      </c>
      <c r="T403">
        <v>138</v>
      </c>
      <c r="U403">
        <v>340</v>
      </c>
      <c r="V403">
        <v>79</v>
      </c>
      <c r="W403">
        <v>420</v>
      </c>
      <c r="X403">
        <v>55</v>
      </c>
      <c r="Y403">
        <v>335</v>
      </c>
      <c r="Z403">
        <v>290</v>
      </c>
      <c r="AA403">
        <v>365</v>
      </c>
      <c r="AB403">
        <v>0</v>
      </c>
      <c r="AD403">
        <v>360</v>
      </c>
      <c r="AE403">
        <v>345</v>
      </c>
    </row>
    <row r="404" spans="1:31" x14ac:dyDescent="0.25">
      <c r="A404" t="s">
        <v>712</v>
      </c>
      <c r="B404">
        <v>2015</v>
      </c>
      <c r="C404">
        <v>3</v>
      </c>
      <c r="E404">
        <v>169.1</v>
      </c>
      <c r="F404">
        <v>46</v>
      </c>
      <c r="G404">
        <v>210</v>
      </c>
      <c r="H404">
        <v>30</v>
      </c>
      <c r="I404">
        <v>275</v>
      </c>
      <c r="K404">
        <v>370</v>
      </c>
      <c r="L404">
        <v>16</v>
      </c>
      <c r="M404">
        <v>237</v>
      </c>
      <c r="N404">
        <v>95</v>
      </c>
      <c r="O404">
        <v>235</v>
      </c>
      <c r="Q404">
        <v>205</v>
      </c>
      <c r="R404">
        <v>35</v>
      </c>
      <c r="S404">
        <v>230</v>
      </c>
      <c r="T404">
        <v>187</v>
      </c>
      <c r="U404">
        <v>285</v>
      </c>
      <c r="V404">
        <v>81</v>
      </c>
      <c r="W404">
        <v>370</v>
      </c>
      <c r="X404">
        <v>88</v>
      </c>
      <c r="Y404">
        <v>290</v>
      </c>
      <c r="Z404">
        <v>395</v>
      </c>
      <c r="AA404">
        <v>295</v>
      </c>
      <c r="AB404">
        <v>0</v>
      </c>
      <c r="AD404">
        <v>490</v>
      </c>
      <c r="AE404">
        <v>285</v>
      </c>
    </row>
    <row r="405" spans="1:31" x14ac:dyDescent="0.25">
      <c r="A405" t="s">
        <v>713</v>
      </c>
      <c r="B405">
        <v>2015</v>
      </c>
      <c r="C405">
        <v>3</v>
      </c>
      <c r="D405">
        <v>436</v>
      </c>
      <c r="E405">
        <v>268.5</v>
      </c>
      <c r="F405">
        <v>894</v>
      </c>
      <c r="G405">
        <v>320</v>
      </c>
      <c r="H405">
        <v>243</v>
      </c>
      <c r="I405">
        <v>400</v>
      </c>
      <c r="J405">
        <v>9</v>
      </c>
      <c r="K405">
        <v>490</v>
      </c>
      <c r="L405">
        <v>672</v>
      </c>
      <c r="M405">
        <v>280</v>
      </c>
      <c r="N405">
        <v>2255</v>
      </c>
      <c r="O405">
        <v>300</v>
      </c>
      <c r="P405">
        <v>34</v>
      </c>
      <c r="Q405">
        <v>265</v>
      </c>
      <c r="R405">
        <v>208</v>
      </c>
      <c r="S405">
        <v>380</v>
      </c>
      <c r="T405">
        <v>498</v>
      </c>
      <c r="U405">
        <v>420</v>
      </c>
      <c r="V405">
        <v>132</v>
      </c>
      <c r="W405">
        <v>500</v>
      </c>
      <c r="X405">
        <v>377</v>
      </c>
      <c r="Y405">
        <v>395</v>
      </c>
      <c r="Z405">
        <v>1250</v>
      </c>
      <c r="AA405">
        <v>400</v>
      </c>
      <c r="AB405">
        <v>37</v>
      </c>
      <c r="AC405">
        <v>175</v>
      </c>
      <c r="AD405">
        <v>3540</v>
      </c>
      <c r="AE405">
        <v>340</v>
      </c>
    </row>
    <row r="406" spans="1:31" x14ac:dyDescent="0.25">
      <c r="A406" t="s">
        <v>714</v>
      </c>
      <c r="B406">
        <v>2015</v>
      </c>
      <c r="C406">
        <v>3</v>
      </c>
      <c r="D406">
        <v>7</v>
      </c>
      <c r="E406">
        <v>140</v>
      </c>
      <c r="F406">
        <v>52</v>
      </c>
      <c r="G406">
        <v>200</v>
      </c>
      <c r="H406">
        <v>20</v>
      </c>
      <c r="I406">
        <v>310</v>
      </c>
      <c r="K406">
        <v>355</v>
      </c>
      <c r="L406">
        <v>45</v>
      </c>
      <c r="M406">
        <v>222.3</v>
      </c>
      <c r="N406">
        <v>130</v>
      </c>
      <c r="O406">
        <v>220</v>
      </c>
      <c r="Q406">
        <v>200</v>
      </c>
      <c r="R406">
        <v>47</v>
      </c>
      <c r="S406">
        <v>230</v>
      </c>
      <c r="T406">
        <v>163</v>
      </c>
      <c r="U406">
        <v>250</v>
      </c>
      <c r="V406">
        <v>50</v>
      </c>
      <c r="W406">
        <v>350</v>
      </c>
      <c r="X406">
        <v>138</v>
      </c>
      <c r="Y406">
        <v>250</v>
      </c>
      <c r="Z406">
        <v>400</v>
      </c>
      <c r="AA406">
        <v>250</v>
      </c>
      <c r="AB406">
        <v>0</v>
      </c>
      <c r="AD406">
        <v>530</v>
      </c>
      <c r="AE406">
        <v>250</v>
      </c>
    </row>
    <row r="407" spans="1:31" x14ac:dyDescent="0.25">
      <c r="A407" t="s">
        <v>715</v>
      </c>
      <c r="B407">
        <v>2015</v>
      </c>
      <c r="C407">
        <v>3</v>
      </c>
      <c r="D407">
        <v>10</v>
      </c>
      <c r="E407">
        <v>119.8</v>
      </c>
      <c r="F407">
        <v>18</v>
      </c>
      <c r="G407">
        <v>180</v>
      </c>
      <c r="H407">
        <v>9</v>
      </c>
      <c r="I407">
        <v>240</v>
      </c>
      <c r="K407">
        <v>315</v>
      </c>
      <c r="L407">
        <v>25</v>
      </c>
      <c r="M407">
        <v>150</v>
      </c>
      <c r="N407">
        <v>65</v>
      </c>
      <c r="O407">
        <v>170</v>
      </c>
      <c r="Q407">
        <v>160</v>
      </c>
      <c r="R407">
        <v>7</v>
      </c>
      <c r="S407">
        <v>230</v>
      </c>
      <c r="T407">
        <v>83</v>
      </c>
      <c r="U407">
        <v>250</v>
      </c>
      <c r="V407">
        <v>28</v>
      </c>
      <c r="W407">
        <v>315</v>
      </c>
      <c r="X407">
        <v>75</v>
      </c>
      <c r="Y407">
        <v>240</v>
      </c>
      <c r="Z407">
        <v>195</v>
      </c>
      <c r="AA407">
        <v>252.5</v>
      </c>
      <c r="AB407">
        <v>0</v>
      </c>
      <c r="AD407">
        <v>260</v>
      </c>
      <c r="AE407">
        <v>240</v>
      </c>
    </row>
    <row r="408" spans="1:31" x14ac:dyDescent="0.25">
      <c r="A408" t="s">
        <v>716</v>
      </c>
      <c r="B408">
        <v>2015</v>
      </c>
      <c r="C408">
        <v>3</v>
      </c>
      <c r="D408">
        <v>10</v>
      </c>
      <c r="E408">
        <v>162.5</v>
      </c>
      <c r="F408">
        <v>31</v>
      </c>
      <c r="G408">
        <v>230</v>
      </c>
      <c r="H408">
        <v>18</v>
      </c>
      <c r="I408">
        <v>280</v>
      </c>
      <c r="J408">
        <v>0</v>
      </c>
      <c r="L408">
        <v>26</v>
      </c>
      <c r="M408">
        <v>180</v>
      </c>
      <c r="N408">
        <v>85</v>
      </c>
      <c r="O408">
        <v>225</v>
      </c>
      <c r="Q408">
        <v>200</v>
      </c>
      <c r="R408">
        <v>31</v>
      </c>
      <c r="S408">
        <v>245</v>
      </c>
      <c r="T408">
        <v>153</v>
      </c>
      <c r="U408">
        <v>275</v>
      </c>
      <c r="V408">
        <v>65</v>
      </c>
      <c r="W408">
        <v>340</v>
      </c>
      <c r="X408">
        <v>91</v>
      </c>
      <c r="Y408">
        <v>255</v>
      </c>
      <c r="Z408">
        <v>345</v>
      </c>
      <c r="AA408">
        <v>275</v>
      </c>
      <c r="AC408">
        <v>109</v>
      </c>
      <c r="AD408">
        <v>430</v>
      </c>
      <c r="AE408">
        <v>270</v>
      </c>
    </row>
    <row r="409" spans="1:31" x14ac:dyDescent="0.25">
      <c r="A409" t="s">
        <v>717</v>
      </c>
      <c r="B409">
        <v>2015</v>
      </c>
      <c r="C409">
        <v>3</v>
      </c>
      <c r="D409">
        <v>13</v>
      </c>
      <c r="E409">
        <v>130</v>
      </c>
      <c r="F409">
        <v>90</v>
      </c>
      <c r="G409">
        <v>166.5</v>
      </c>
      <c r="H409">
        <v>23</v>
      </c>
      <c r="I409">
        <v>270</v>
      </c>
      <c r="J409">
        <v>0</v>
      </c>
      <c r="L409">
        <v>76</v>
      </c>
      <c r="M409">
        <v>152.5</v>
      </c>
      <c r="N409">
        <v>200</v>
      </c>
      <c r="O409">
        <v>170</v>
      </c>
      <c r="Q409">
        <v>155</v>
      </c>
      <c r="R409">
        <v>41</v>
      </c>
      <c r="S409">
        <v>180</v>
      </c>
      <c r="T409">
        <v>195</v>
      </c>
      <c r="U409">
        <v>220</v>
      </c>
      <c r="V409">
        <v>52</v>
      </c>
      <c r="W409">
        <v>300</v>
      </c>
      <c r="X409">
        <v>143</v>
      </c>
      <c r="Y409">
        <v>230</v>
      </c>
      <c r="Z409">
        <v>435</v>
      </c>
      <c r="AA409">
        <v>230</v>
      </c>
      <c r="AB409">
        <v>0</v>
      </c>
      <c r="AD409">
        <v>640</v>
      </c>
      <c r="AE409">
        <v>215</v>
      </c>
    </row>
    <row r="410" spans="1:31" x14ac:dyDescent="0.25">
      <c r="A410" t="s">
        <v>628</v>
      </c>
      <c r="B410">
        <v>2015</v>
      </c>
      <c r="C410">
        <v>3</v>
      </c>
      <c r="D410">
        <v>682</v>
      </c>
      <c r="E410">
        <v>250</v>
      </c>
      <c r="F410">
        <v>2332</v>
      </c>
      <c r="G410">
        <v>285</v>
      </c>
      <c r="H410">
        <v>699</v>
      </c>
      <c r="I410">
        <v>352</v>
      </c>
      <c r="J410">
        <v>24</v>
      </c>
      <c r="K410">
        <v>435</v>
      </c>
      <c r="L410">
        <v>1657</v>
      </c>
      <c r="M410">
        <v>270</v>
      </c>
      <c r="N410">
        <v>5395</v>
      </c>
      <c r="O410">
        <v>285</v>
      </c>
      <c r="P410">
        <v>91</v>
      </c>
      <c r="Q410">
        <v>220</v>
      </c>
      <c r="R410">
        <v>628</v>
      </c>
      <c r="S410">
        <v>320</v>
      </c>
      <c r="T410">
        <v>3503</v>
      </c>
      <c r="U410">
        <v>340</v>
      </c>
      <c r="V410">
        <v>772</v>
      </c>
      <c r="W410">
        <v>410</v>
      </c>
      <c r="X410">
        <v>2403</v>
      </c>
      <c r="Y410">
        <v>325</v>
      </c>
      <c r="Z410">
        <v>7395</v>
      </c>
      <c r="AA410">
        <v>340</v>
      </c>
      <c r="AB410">
        <v>74</v>
      </c>
      <c r="AC410">
        <v>155.75</v>
      </c>
      <c r="AD410">
        <v>12865</v>
      </c>
      <c r="AE410">
        <v>315</v>
      </c>
    </row>
    <row r="411" spans="1:31" x14ac:dyDescent="0.25">
      <c r="A411" t="s">
        <v>718</v>
      </c>
      <c r="B411">
        <v>2015</v>
      </c>
      <c r="C411">
        <v>3</v>
      </c>
      <c r="D411">
        <v>14</v>
      </c>
      <c r="E411">
        <v>140</v>
      </c>
      <c r="F411">
        <v>42</v>
      </c>
      <c r="G411">
        <v>162.5</v>
      </c>
      <c r="H411">
        <v>8</v>
      </c>
      <c r="I411">
        <v>247.5</v>
      </c>
      <c r="K411">
        <v>272.5</v>
      </c>
      <c r="L411">
        <v>53</v>
      </c>
      <c r="M411">
        <v>172.1</v>
      </c>
      <c r="N411">
        <v>120</v>
      </c>
      <c r="O411">
        <v>170</v>
      </c>
      <c r="Q411">
        <v>130</v>
      </c>
      <c r="R411">
        <v>28</v>
      </c>
      <c r="S411">
        <v>200</v>
      </c>
      <c r="T411">
        <v>176</v>
      </c>
      <c r="U411">
        <v>222.5</v>
      </c>
      <c r="V411">
        <v>59</v>
      </c>
      <c r="W411">
        <v>265</v>
      </c>
      <c r="X411">
        <v>191</v>
      </c>
      <c r="Y411">
        <v>235</v>
      </c>
      <c r="Z411">
        <v>460</v>
      </c>
      <c r="AA411">
        <v>235</v>
      </c>
      <c r="AB411">
        <v>0</v>
      </c>
      <c r="AD411">
        <v>580</v>
      </c>
      <c r="AE411">
        <v>220</v>
      </c>
    </row>
    <row r="412" spans="1:31" x14ac:dyDescent="0.25">
      <c r="A412" t="s">
        <v>719</v>
      </c>
      <c r="B412">
        <v>2015</v>
      </c>
      <c r="C412">
        <v>3</v>
      </c>
      <c r="D412">
        <v>58</v>
      </c>
      <c r="E412">
        <v>185</v>
      </c>
      <c r="F412">
        <v>327</v>
      </c>
      <c r="G412">
        <v>260</v>
      </c>
      <c r="H412">
        <v>149</v>
      </c>
      <c r="I412">
        <v>320</v>
      </c>
      <c r="K412">
        <v>360</v>
      </c>
      <c r="L412">
        <v>297</v>
      </c>
      <c r="M412">
        <v>260</v>
      </c>
      <c r="N412">
        <v>835</v>
      </c>
      <c r="O412">
        <v>265</v>
      </c>
      <c r="P412">
        <v>13</v>
      </c>
      <c r="Q412">
        <v>170</v>
      </c>
      <c r="R412">
        <v>153</v>
      </c>
      <c r="S412">
        <v>262</v>
      </c>
      <c r="T412">
        <v>1423</v>
      </c>
      <c r="U412">
        <v>300</v>
      </c>
      <c r="V412">
        <v>255</v>
      </c>
      <c r="W412">
        <v>380</v>
      </c>
      <c r="X412">
        <v>932</v>
      </c>
      <c r="Y412">
        <v>295</v>
      </c>
      <c r="Z412">
        <v>2775</v>
      </c>
      <c r="AA412">
        <v>300</v>
      </c>
      <c r="AB412">
        <v>0</v>
      </c>
      <c r="AD412">
        <v>3610</v>
      </c>
      <c r="AE412">
        <v>295</v>
      </c>
    </row>
    <row r="413" spans="1:31" x14ac:dyDescent="0.25">
      <c r="A413" t="s">
        <v>720</v>
      </c>
      <c r="B413">
        <v>2015</v>
      </c>
      <c r="C413">
        <v>3</v>
      </c>
      <c r="D413">
        <v>68</v>
      </c>
      <c r="E413">
        <v>142.5</v>
      </c>
      <c r="F413">
        <v>316</v>
      </c>
      <c r="G413">
        <v>190</v>
      </c>
      <c r="H413">
        <v>150</v>
      </c>
      <c r="I413">
        <v>280</v>
      </c>
      <c r="J413">
        <v>15</v>
      </c>
      <c r="K413">
        <v>350</v>
      </c>
      <c r="L413">
        <v>270</v>
      </c>
      <c r="M413">
        <v>180</v>
      </c>
      <c r="N413">
        <v>820</v>
      </c>
      <c r="O413">
        <v>200</v>
      </c>
      <c r="P413">
        <v>31</v>
      </c>
      <c r="Q413">
        <v>195</v>
      </c>
      <c r="R413">
        <v>247</v>
      </c>
      <c r="S413">
        <v>220</v>
      </c>
      <c r="T413">
        <v>1294</v>
      </c>
      <c r="U413">
        <v>255</v>
      </c>
      <c r="V413">
        <v>485</v>
      </c>
      <c r="W413">
        <v>340</v>
      </c>
      <c r="X413">
        <v>978</v>
      </c>
      <c r="Y413">
        <v>240</v>
      </c>
      <c r="Z413">
        <v>3035</v>
      </c>
      <c r="AA413">
        <v>255</v>
      </c>
      <c r="AB413">
        <v>3</v>
      </c>
      <c r="AC413">
        <v>109</v>
      </c>
      <c r="AD413">
        <v>3855</v>
      </c>
      <c r="AE413">
        <v>250</v>
      </c>
    </row>
    <row r="414" spans="1:31" x14ac:dyDescent="0.25">
      <c r="A414" t="s">
        <v>724</v>
      </c>
      <c r="B414">
        <v>2015</v>
      </c>
      <c r="C414">
        <v>3</v>
      </c>
      <c r="D414">
        <v>750</v>
      </c>
      <c r="E414">
        <v>245</v>
      </c>
      <c r="F414">
        <v>2648</v>
      </c>
      <c r="G414">
        <v>280</v>
      </c>
      <c r="H414">
        <v>849</v>
      </c>
      <c r="I414">
        <v>340</v>
      </c>
      <c r="J414">
        <v>39</v>
      </c>
      <c r="K414">
        <v>385</v>
      </c>
      <c r="L414">
        <v>1927</v>
      </c>
      <c r="M414">
        <v>260</v>
      </c>
      <c r="N414">
        <v>6215</v>
      </c>
      <c r="O414">
        <v>280</v>
      </c>
      <c r="P414">
        <v>122</v>
      </c>
      <c r="Q414">
        <v>210</v>
      </c>
      <c r="R414">
        <v>875</v>
      </c>
      <c r="S414">
        <v>295</v>
      </c>
      <c r="T414">
        <v>4797</v>
      </c>
      <c r="U414">
        <v>320</v>
      </c>
      <c r="V414">
        <v>1257</v>
      </c>
      <c r="W414">
        <v>390</v>
      </c>
      <c r="X414">
        <v>3381</v>
      </c>
      <c r="Y414">
        <v>300</v>
      </c>
      <c r="Z414">
        <v>10430</v>
      </c>
      <c r="AA414">
        <v>320</v>
      </c>
      <c r="AB414">
        <v>77</v>
      </c>
      <c r="AC414">
        <v>153.5</v>
      </c>
      <c r="AD414">
        <v>16720</v>
      </c>
      <c r="AE414">
        <v>300</v>
      </c>
    </row>
    <row r="415" spans="1:31" x14ac:dyDescent="0.25">
      <c r="A415" t="s">
        <v>721</v>
      </c>
      <c r="B415">
        <v>2015</v>
      </c>
      <c r="C415">
        <v>3</v>
      </c>
      <c r="D415">
        <v>104</v>
      </c>
      <c r="E415">
        <v>230</v>
      </c>
      <c r="F415">
        <v>551</v>
      </c>
      <c r="G415">
        <v>280</v>
      </c>
      <c r="H415">
        <v>169</v>
      </c>
      <c r="I415">
        <v>350</v>
      </c>
      <c r="J415">
        <v>8</v>
      </c>
      <c r="K415">
        <v>415</v>
      </c>
      <c r="L415">
        <v>320</v>
      </c>
      <c r="M415">
        <v>270</v>
      </c>
      <c r="N415">
        <v>1150</v>
      </c>
      <c r="O415">
        <v>280</v>
      </c>
      <c r="P415">
        <v>23</v>
      </c>
      <c r="Q415">
        <v>190</v>
      </c>
      <c r="R415">
        <v>130</v>
      </c>
      <c r="S415">
        <v>320</v>
      </c>
      <c r="T415">
        <v>982</v>
      </c>
      <c r="U415">
        <v>350</v>
      </c>
      <c r="V415">
        <v>272</v>
      </c>
      <c r="W415">
        <v>410</v>
      </c>
      <c r="X415">
        <v>664</v>
      </c>
      <c r="Y415">
        <v>330</v>
      </c>
      <c r="Z415">
        <v>2070</v>
      </c>
      <c r="AA415">
        <v>350</v>
      </c>
      <c r="AB415">
        <v>20</v>
      </c>
      <c r="AC415">
        <v>146.4</v>
      </c>
      <c r="AD415">
        <v>3245</v>
      </c>
      <c r="AE415">
        <v>320</v>
      </c>
    </row>
    <row r="416" spans="1:31" x14ac:dyDescent="0.25">
      <c r="A416" t="s">
        <v>722</v>
      </c>
      <c r="B416">
        <v>2015</v>
      </c>
      <c r="C416">
        <v>3</v>
      </c>
      <c r="D416">
        <v>84</v>
      </c>
      <c r="E416">
        <v>240</v>
      </c>
      <c r="F416">
        <v>560</v>
      </c>
      <c r="G416">
        <v>280</v>
      </c>
      <c r="H416">
        <v>138</v>
      </c>
      <c r="I416">
        <v>380</v>
      </c>
      <c r="K416">
        <v>450</v>
      </c>
      <c r="L416">
        <v>368</v>
      </c>
      <c r="M416">
        <v>270</v>
      </c>
      <c r="N416">
        <v>1155</v>
      </c>
      <c r="O416">
        <v>280</v>
      </c>
      <c r="P416">
        <v>21</v>
      </c>
      <c r="Q416">
        <v>260</v>
      </c>
      <c r="R416">
        <v>137</v>
      </c>
      <c r="S416">
        <v>320</v>
      </c>
      <c r="T416">
        <v>600</v>
      </c>
      <c r="U416">
        <v>380</v>
      </c>
      <c r="V416">
        <v>113</v>
      </c>
      <c r="W416">
        <v>450</v>
      </c>
      <c r="X416">
        <v>430</v>
      </c>
      <c r="Y416">
        <v>357.5</v>
      </c>
      <c r="Z416">
        <v>1300</v>
      </c>
      <c r="AA416">
        <v>370</v>
      </c>
      <c r="AB416">
        <v>17</v>
      </c>
      <c r="AC416">
        <v>150</v>
      </c>
      <c r="AD416">
        <v>2470</v>
      </c>
      <c r="AE416">
        <v>325</v>
      </c>
    </row>
    <row r="417" spans="1:31" x14ac:dyDescent="0.25">
      <c r="A417" t="s">
        <v>723</v>
      </c>
      <c r="B417">
        <v>2015</v>
      </c>
      <c r="C417">
        <v>3</v>
      </c>
      <c r="D417">
        <v>6</v>
      </c>
      <c r="E417">
        <v>142.5</v>
      </c>
      <c r="F417">
        <v>20</v>
      </c>
      <c r="G417">
        <v>175.25</v>
      </c>
      <c r="H417">
        <v>7</v>
      </c>
      <c r="I417">
        <v>270</v>
      </c>
      <c r="J417">
        <v>0</v>
      </c>
      <c r="L417">
        <v>20</v>
      </c>
      <c r="M417">
        <v>185</v>
      </c>
      <c r="N417">
        <v>55</v>
      </c>
      <c r="O417">
        <v>185</v>
      </c>
      <c r="Q417">
        <v>135</v>
      </c>
      <c r="R417">
        <v>46</v>
      </c>
      <c r="S417">
        <v>200</v>
      </c>
      <c r="T417">
        <v>199</v>
      </c>
      <c r="U417">
        <v>230</v>
      </c>
      <c r="V417">
        <v>71</v>
      </c>
      <c r="W417">
        <v>280</v>
      </c>
      <c r="X417">
        <v>197</v>
      </c>
      <c r="Y417">
        <v>224</v>
      </c>
      <c r="Z417">
        <v>515</v>
      </c>
      <c r="AA417">
        <v>230</v>
      </c>
      <c r="AB417">
        <v>0</v>
      </c>
      <c r="AD417">
        <v>570</v>
      </c>
      <c r="AE417">
        <v>230</v>
      </c>
    </row>
    <row r="418" spans="1:31" x14ac:dyDescent="0.25">
      <c r="A418" t="s">
        <v>711</v>
      </c>
      <c r="B418">
        <v>2015</v>
      </c>
      <c r="C418">
        <v>6</v>
      </c>
      <c r="E418">
        <v>230</v>
      </c>
      <c r="F418">
        <v>27</v>
      </c>
      <c r="G418">
        <v>270</v>
      </c>
      <c r="H418">
        <v>41</v>
      </c>
      <c r="I418">
        <v>320</v>
      </c>
      <c r="K418">
        <v>330</v>
      </c>
      <c r="L418">
        <v>10</v>
      </c>
      <c r="M418">
        <v>287.5</v>
      </c>
      <c r="N418">
        <v>85</v>
      </c>
      <c r="O418">
        <v>290</v>
      </c>
      <c r="P418">
        <v>12</v>
      </c>
      <c r="Q418">
        <v>255</v>
      </c>
      <c r="R418">
        <v>24</v>
      </c>
      <c r="S418">
        <v>300</v>
      </c>
      <c r="T418">
        <v>157</v>
      </c>
      <c r="U418">
        <v>330</v>
      </c>
      <c r="V418">
        <v>90</v>
      </c>
      <c r="W418">
        <v>427.5</v>
      </c>
      <c r="X418">
        <v>45</v>
      </c>
      <c r="Y418">
        <v>320</v>
      </c>
      <c r="Z418">
        <v>330</v>
      </c>
      <c r="AA418">
        <v>350</v>
      </c>
      <c r="AC418">
        <v>157.5</v>
      </c>
      <c r="AD418">
        <v>415</v>
      </c>
      <c r="AE418">
        <v>330</v>
      </c>
    </row>
    <row r="419" spans="1:31" x14ac:dyDescent="0.25">
      <c r="A419" t="s">
        <v>712</v>
      </c>
      <c r="B419">
        <v>2015</v>
      </c>
      <c r="C419">
        <v>6</v>
      </c>
      <c r="D419">
        <v>9</v>
      </c>
      <c r="E419">
        <v>165</v>
      </c>
      <c r="F419">
        <v>45</v>
      </c>
      <c r="G419">
        <v>213.5</v>
      </c>
      <c r="H419">
        <v>28</v>
      </c>
      <c r="I419">
        <v>270</v>
      </c>
      <c r="K419">
        <v>311</v>
      </c>
      <c r="L419">
        <v>16</v>
      </c>
      <c r="M419">
        <v>237</v>
      </c>
      <c r="N419">
        <v>100</v>
      </c>
      <c r="O419">
        <v>235</v>
      </c>
      <c r="Q419">
        <v>130</v>
      </c>
      <c r="R419">
        <v>28</v>
      </c>
      <c r="S419">
        <v>235</v>
      </c>
      <c r="T419">
        <v>202</v>
      </c>
      <c r="U419">
        <v>290.5</v>
      </c>
      <c r="V419">
        <v>76</v>
      </c>
      <c r="W419">
        <v>350</v>
      </c>
      <c r="X419">
        <v>75</v>
      </c>
      <c r="Y419">
        <v>290</v>
      </c>
      <c r="Z419">
        <v>385</v>
      </c>
      <c r="AA419">
        <v>295</v>
      </c>
      <c r="AB419">
        <v>0</v>
      </c>
      <c r="AD419">
        <v>485</v>
      </c>
      <c r="AE419">
        <v>285</v>
      </c>
    </row>
    <row r="420" spans="1:31" x14ac:dyDescent="0.25">
      <c r="A420" t="s">
        <v>713</v>
      </c>
      <c r="B420">
        <v>2015</v>
      </c>
      <c r="C420">
        <v>6</v>
      </c>
      <c r="D420">
        <v>593</v>
      </c>
      <c r="E420">
        <v>273</v>
      </c>
      <c r="F420">
        <v>961</v>
      </c>
      <c r="G420">
        <v>315</v>
      </c>
      <c r="H420">
        <v>171</v>
      </c>
      <c r="I420">
        <v>420</v>
      </c>
      <c r="K420">
        <v>450</v>
      </c>
      <c r="L420">
        <v>622</v>
      </c>
      <c r="M420">
        <v>270</v>
      </c>
      <c r="N420">
        <v>2350</v>
      </c>
      <c r="O420">
        <v>295</v>
      </c>
      <c r="P420">
        <v>38</v>
      </c>
      <c r="Q420">
        <v>287.5</v>
      </c>
      <c r="R420">
        <v>212</v>
      </c>
      <c r="S420">
        <v>385</v>
      </c>
      <c r="T420">
        <v>492</v>
      </c>
      <c r="U420">
        <v>430</v>
      </c>
      <c r="V420">
        <v>129</v>
      </c>
      <c r="W420">
        <v>500</v>
      </c>
      <c r="X420">
        <v>269</v>
      </c>
      <c r="Y420">
        <v>380</v>
      </c>
      <c r="Z420">
        <v>1140</v>
      </c>
      <c r="AA420">
        <v>410</v>
      </c>
      <c r="AB420">
        <v>47</v>
      </c>
      <c r="AC420">
        <v>200</v>
      </c>
      <c r="AD420">
        <v>3540</v>
      </c>
      <c r="AE420">
        <v>325</v>
      </c>
    </row>
    <row r="421" spans="1:31" x14ac:dyDescent="0.25">
      <c r="A421" t="s">
        <v>714</v>
      </c>
      <c r="B421">
        <v>2015</v>
      </c>
      <c r="C421">
        <v>6</v>
      </c>
      <c r="D421">
        <v>18</v>
      </c>
      <c r="E421">
        <v>155</v>
      </c>
      <c r="F421">
        <v>57</v>
      </c>
      <c r="G421">
        <v>200</v>
      </c>
      <c r="H421">
        <v>22</v>
      </c>
      <c r="I421">
        <v>327.5</v>
      </c>
      <c r="J421">
        <v>8</v>
      </c>
      <c r="K421">
        <v>422.5</v>
      </c>
      <c r="L421">
        <v>27</v>
      </c>
      <c r="M421">
        <v>200</v>
      </c>
      <c r="N421">
        <v>130</v>
      </c>
      <c r="O421">
        <v>220</v>
      </c>
      <c r="Q421">
        <v>180</v>
      </c>
      <c r="R421">
        <v>35</v>
      </c>
      <c r="S421">
        <v>225</v>
      </c>
      <c r="T421">
        <v>232</v>
      </c>
      <c r="U421">
        <v>260</v>
      </c>
      <c r="V421">
        <v>66</v>
      </c>
      <c r="W421">
        <v>340</v>
      </c>
      <c r="X421">
        <v>127</v>
      </c>
      <c r="Y421">
        <v>225</v>
      </c>
      <c r="Z421">
        <v>465</v>
      </c>
      <c r="AA421">
        <v>260</v>
      </c>
      <c r="AB421">
        <v>0</v>
      </c>
      <c r="AD421">
        <v>595</v>
      </c>
      <c r="AE421">
        <v>255</v>
      </c>
    </row>
    <row r="422" spans="1:31" x14ac:dyDescent="0.25">
      <c r="A422" t="s">
        <v>715</v>
      </c>
      <c r="B422">
        <v>2015</v>
      </c>
      <c r="C422">
        <v>6</v>
      </c>
      <c r="D422">
        <v>16</v>
      </c>
      <c r="E422">
        <v>130</v>
      </c>
      <c r="F422">
        <v>23</v>
      </c>
      <c r="G422">
        <v>170</v>
      </c>
      <c r="I422">
        <v>227.5</v>
      </c>
      <c r="J422">
        <v>0</v>
      </c>
      <c r="L422">
        <v>22</v>
      </c>
      <c r="M422">
        <v>170</v>
      </c>
      <c r="N422">
        <v>65</v>
      </c>
      <c r="O422">
        <v>160</v>
      </c>
      <c r="Q422">
        <v>160</v>
      </c>
      <c r="R422">
        <v>15</v>
      </c>
      <c r="S422">
        <v>200</v>
      </c>
      <c r="T422">
        <v>105</v>
      </c>
      <c r="U422">
        <v>250</v>
      </c>
      <c r="V422">
        <v>51</v>
      </c>
      <c r="W422">
        <v>340</v>
      </c>
      <c r="X422">
        <v>68</v>
      </c>
      <c r="Y422">
        <v>200</v>
      </c>
      <c r="Z422">
        <v>240</v>
      </c>
      <c r="AA422">
        <v>250</v>
      </c>
      <c r="AB422">
        <v>0</v>
      </c>
      <c r="AD422">
        <v>305</v>
      </c>
      <c r="AE422">
        <v>225</v>
      </c>
    </row>
    <row r="423" spans="1:31" x14ac:dyDescent="0.25">
      <c r="A423" t="s">
        <v>716</v>
      </c>
      <c r="B423">
        <v>2015</v>
      </c>
      <c r="C423">
        <v>6</v>
      </c>
      <c r="D423">
        <v>10</v>
      </c>
      <c r="E423">
        <v>150</v>
      </c>
      <c r="F423">
        <v>29</v>
      </c>
      <c r="G423">
        <v>220</v>
      </c>
      <c r="H423">
        <v>29</v>
      </c>
      <c r="I423">
        <v>250</v>
      </c>
      <c r="K423">
        <v>360</v>
      </c>
      <c r="L423">
        <v>20</v>
      </c>
      <c r="M423">
        <v>163.5</v>
      </c>
      <c r="N423">
        <v>90</v>
      </c>
      <c r="O423">
        <v>220</v>
      </c>
      <c r="Q423">
        <v>150</v>
      </c>
      <c r="R423">
        <v>45</v>
      </c>
      <c r="S423">
        <v>235</v>
      </c>
      <c r="T423">
        <v>168</v>
      </c>
      <c r="U423">
        <v>270</v>
      </c>
      <c r="V423">
        <v>97</v>
      </c>
      <c r="W423">
        <v>330</v>
      </c>
      <c r="X423">
        <v>60</v>
      </c>
      <c r="Y423">
        <v>287.5</v>
      </c>
      <c r="Z423">
        <v>375</v>
      </c>
      <c r="AA423">
        <v>280</v>
      </c>
      <c r="AB423">
        <v>0</v>
      </c>
      <c r="AD423">
        <v>460</v>
      </c>
      <c r="AE423">
        <v>270</v>
      </c>
    </row>
    <row r="424" spans="1:31" x14ac:dyDescent="0.25">
      <c r="A424" t="s">
        <v>717</v>
      </c>
      <c r="B424">
        <v>2015</v>
      </c>
      <c r="C424">
        <v>6</v>
      </c>
      <c r="D424">
        <v>19</v>
      </c>
      <c r="E424">
        <v>135</v>
      </c>
      <c r="F424">
        <v>127</v>
      </c>
      <c r="G424">
        <v>160</v>
      </c>
      <c r="H424">
        <v>33</v>
      </c>
      <c r="I424">
        <v>255</v>
      </c>
      <c r="K424">
        <v>200</v>
      </c>
      <c r="L424">
        <v>58</v>
      </c>
      <c r="M424">
        <v>170</v>
      </c>
      <c r="N424">
        <v>240</v>
      </c>
      <c r="O424">
        <v>170</v>
      </c>
      <c r="Q424">
        <v>110</v>
      </c>
      <c r="R424">
        <v>50</v>
      </c>
      <c r="S424">
        <v>200</v>
      </c>
      <c r="T424">
        <v>275</v>
      </c>
      <c r="U424">
        <v>220</v>
      </c>
      <c r="V424">
        <v>68</v>
      </c>
      <c r="W424">
        <v>285</v>
      </c>
      <c r="X424">
        <v>124</v>
      </c>
      <c r="Y424">
        <v>240</v>
      </c>
      <c r="Z424">
        <v>520</v>
      </c>
      <c r="AA424">
        <v>230</v>
      </c>
      <c r="AB424">
        <v>0</v>
      </c>
      <c r="AD424">
        <v>760</v>
      </c>
      <c r="AE424">
        <v>215</v>
      </c>
    </row>
    <row r="425" spans="1:31" x14ac:dyDescent="0.25">
      <c r="A425" t="s">
        <v>628</v>
      </c>
      <c r="B425">
        <v>2015</v>
      </c>
      <c r="C425">
        <v>6</v>
      </c>
      <c r="D425">
        <v>905</v>
      </c>
      <c r="E425">
        <v>255</v>
      </c>
      <c r="F425">
        <v>2530</v>
      </c>
      <c r="G425">
        <v>285</v>
      </c>
      <c r="H425">
        <v>635</v>
      </c>
      <c r="I425">
        <v>350</v>
      </c>
      <c r="J425">
        <v>18</v>
      </c>
      <c r="K425">
        <v>520</v>
      </c>
      <c r="L425">
        <v>1343</v>
      </c>
      <c r="M425">
        <v>265</v>
      </c>
      <c r="N425">
        <v>5430</v>
      </c>
      <c r="O425">
        <v>280</v>
      </c>
      <c r="P425">
        <v>93</v>
      </c>
      <c r="Q425">
        <v>225</v>
      </c>
      <c r="R425">
        <v>721</v>
      </c>
      <c r="S425">
        <v>320</v>
      </c>
      <c r="T425">
        <v>3915</v>
      </c>
      <c r="U425">
        <v>340</v>
      </c>
      <c r="V425">
        <v>889</v>
      </c>
      <c r="W425">
        <v>420</v>
      </c>
      <c r="X425">
        <v>1933</v>
      </c>
      <c r="Y425">
        <v>310</v>
      </c>
      <c r="Z425">
        <v>7550</v>
      </c>
      <c r="AA425">
        <v>340</v>
      </c>
      <c r="AB425">
        <v>102</v>
      </c>
      <c r="AC425">
        <v>166.65</v>
      </c>
      <c r="AD425">
        <v>13085</v>
      </c>
      <c r="AE425">
        <v>310</v>
      </c>
    </row>
    <row r="426" spans="1:31" x14ac:dyDescent="0.25">
      <c r="A426" t="s">
        <v>718</v>
      </c>
      <c r="B426">
        <v>2015</v>
      </c>
      <c r="C426">
        <v>6</v>
      </c>
      <c r="D426">
        <v>16</v>
      </c>
      <c r="E426">
        <v>150</v>
      </c>
      <c r="F426">
        <v>58</v>
      </c>
      <c r="G426">
        <v>170</v>
      </c>
      <c r="H426">
        <v>20</v>
      </c>
      <c r="I426">
        <v>227.5</v>
      </c>
      <c r="K426">
        <v>240</v>
      </c>
      <c r="L426">
        <v>58</v>
      </c>
      <c r="M426">
        <v>180</v>
      </c>
      <c r="N426">
        <v>155</v>
      </c>
      <c r="O426">
        <v>177.5</v>
      </c>
      <c r="Q426">
        <v>135</v>
      </c>
      <c r="R426">
        <v>53</v>
      </c>
      <c r="S426">
        <v>195</v>
      </c>
      <c r="T426">
        <v>231</v>
      </c>
      <c r="U426">
        <v>225</v>
      </c>
      <c r="V426">
        <v>43</v>
      </c>
      <c r="W426">
        <v>270</v>
      </c>
      <c r="X426">
        <v>188</v>
      </c>
      <c r="Y426">
        <v>235</v>
      </c>
      <c r="Z426">
        <v>520</v>
      </c>
      <c r="AA426">
        <v>230</v>
      </c>
      <c r="AC426">
        <v>170</v>
      </c>
      <c r="AD426">
        <v>675</v>
      </c>
      <c r="AE426">
        <v>215</v>
      </c>
    </row>
    <row r="427" spans="1:31" x14ac:dyDescent="0.25">
      <c r="A427" t="s">
        <v>719</v>
      </c>
      <c r="B427">
        <v>2015</v>
      </c>
      <c r="C427">
        <v>6</v>
      </c>
      <c r="D427">
        <v>62</v>
      </c>
      <c r="E427">
        <v>179.4</v>
      </c>
      <c r="F427">
        <v>350</v>
      </c>
      <c r="G427">
        <v>260</v>
      </c>
      <c r="H427">
        <v>173</v>
      </c>
      <c r="I427">
        <v>315</v>
      </c>
      <c r="K427">
        <v>300</v>
      </c>
      <c r="L427">
        <v>237</v>
      </c>
      <c r="M427">
        <v>255</v>
      </c>
      <c r="N427">
        <v>825</v>
      </c>
      <c r="O427">
        <v>270</v>
      </c>
      <c r="P427">
        <v>15</v>
      </c>
      <c r="Q427">
        <v>195</v>
      </c>
      <c r="R427">
        <v>164</v>
      </c>
      <c r="S427">
        <v>262</v>
      </c>
      <c r="T427">
        <v>1592</v>
      </c>
      <c r="U427">
        <v>300</v>
      </c>
      <c r="V427">
        <v>287</v>
      </c>
      <c r="W427">
        <v>360</v>
      </c>
      <c r="X427">
        <v>807</v>
      </c>
      <c r="Y427">
        <v>280</v>
      </c>
      <c r="Z427">
        <v>2865</v>
      </c>
      <c r="AA427">
        <v>300</v>
      </c>
      <c r="AB427">
        <v>6</v>
      </c>
      <c r="AC427">
        <v>150</v>
      </c>
      <c r="AD427">
        <v>3695</v>
      </c>
      <c r="AE427">
        <v>290</v>
      </c>
    </row>
    <row r="428" spans="1:31" x14ac:dyDescent="0.25">
      <c r="A428" t="s">
        <v>720</v>
      </c>
      <c r="B428">
        <v>2015</v>
      </c>
      <c r="C428">
        <v>6</v>
      </c>
      <c r="D428">
        <v>101</v>
      </c>
      <c r="E428">
        <v>150</v>
      </c>
      <c r="F428">
        <v>399</v>
      </c>
      <c r="G428">
        <v>185</v>
      </c>
      <c r="H428">
        <v>192</v>
      </c>
      <c r="I428">
        <v>270</v>
      </c>
      <c r="J428">
        <v>15</v>
      </c>
      <c r="K428">
        <v>360</v>
      </c>
      <c r="L428">
        <v>230</v>
      </c>
      <c r="M428">
        <v>180</v>
      </c>
      <c r="N428">
        <v>935</v>
      </c>
      <c r="O428">
        <v>195</v>
      </c>
      <c r="P428">
        <v>40</v>
      </c>
      <c r="Q428">
        <v>170</v>
      </c>
      <c r="R428">
        <v>300</v>
      </c>
      <c r="S428">
        <v>220</v>
      </c>
      <c r="T428">
        <v>1641</v>
      </c>
      <c r="U428">
        <v>250</v>
      </c>
      <c r="V428">
        <v>577</v>
      </c>
      <c r="W428">
        <v>330</v>
      </c>
      <c r="X428">
        <v>853</v>
      </c>
      <c r="Y428">
        <v>240</v>
      </c>
      <c r="Z428">
        <v>3410</v>
      </c>
      <c r="AA428">
        <v>250</v>
      </c>
      <c r="AB428">
        <v>3</v>
      </c>
      <c r="AC428">
        <v>165</v>
      </c>
      <c r="AD428">
        <v>4350</v>
      </c>
      <c r="AE428">
        <v>250</v>
      </c>
    </row>
    <row r="429" spans="1:31" x14ac:dyDescent="0.25">
      <c r="A429" t="s">
        <v>724</v>
      </c>
      <c r="B429">
        <v>2015</v>
      </c>
      <c r="C429">
        <v>6</v>
      </c>
      <c r="D429">
        <v>1006</v>
      </c>
      <c r="E429">
        <v>250</v>
      </c>
      <c r="F429">
        <v>2929</v>
      </c>
      <c r="G429">
        <v>280</v>
      </c>
      <c r="H429">
        <v>827</v>
      </c>
      <c r="I429">
        <v>330</v>
      </c>
      <c r="J429">
        <v>33</v>
      </c>
      <c r="K429">
        <v>435</v>
      </c>
      <c r="L429">
        <v>1573</v>
      </c>
      <c r="M429">
        <v>255</v>
      </c>
      <c r="N429">
        <v>6370</v>
      </c>
      <c r="O429">
        <v>275</v>
      </c>
      <c r="P429">
        <v>133</v>
      </c>
      <c r="Q429">
        <v>200</v>
      </c>
      <c r="R429">
        <v>1021</v>
      </c>
      <c r="S429">
        <v>290</v>
      </c>
      <c r="T429">
        <v>5556</v>
      </c>
      <c r="U429">
        <v>315</v>
      </c>
      <c r="V429">
        <v>1466</v>
      </c>
      <c r="W429">
        <v>375</v>
      </c>
      <c r="X429">
        <v>2786</v>
      </c>
      <c r="Y429">
        <v>285</v>
      </c>
      <c r="Z429">
        <v>10960</v>
      </c>
      <c r="AA429">
        <v>310</v>
      </c>
      <c r="AB429">
        <v>105</v>
      </c>
      <c r="AC429">
        <v>165</v>
      </c>
      <c r="AD429">
        <v>17435</v>
      </c>
      <c r="AE429">
        <v>295</v>
      </c>
    </row>
    <row r="430" spans="1:31" x14ac:dyDescent="0.25">
      <c r="A430" t="s">
        <v>721</v>
      </c>
      <c r="B430">
        <v>2015</v>
      </c>
      <c r="C430">
        <v>6</v>
      </c>
      <c r="D430">
        <v>131</v>
      </c>
      <c r="E430">
        <v>235</v>
      </c>
      <c r="F430">
        <v>570</v>
      </c>
      <c r="G430">
        <v>280</v>
      </c>
      <c r="H430">
        <v>147</v>
      </c>
      <c r="I430">
        <v>340</v>
      </c>
      <c r="K430">
        <v>495</v>
      </c>
      <c r="L430">
        <v>220</v>
      </c>
      <c r="M430">
        <v>265</v>
      </c>
      <c r="N430">
        <v>1070</v>
      </c>
      <c r="O430">
        <v>280</v>
      </c>
      <c r="P430">
        <v>22</v>
      </c>
      <c r="Q430">
        <v>197.5</v>
      </c>
      <c r="R430">
        <v>170</v>
      </c>
      <c r="S430">
        <v>317.5</v>
      </c>
      <c r="T430">
        <v>1130</v>
      </c>
      <c r="U430">
        <v>350</v>
      </c>
      <c r="V430">
        <v>341</v>
      </c>
      <c r="W430">
        <v>400</v>
      </c>
      <c r="X430">
        <v>528</v>
      </c>
      <c r="Y430">
        <v>320</v>
      </c>
      <c r="Z430">
        <v>2190</v>
      </c>
      <c r="AA430">
        <v>350</v>
      </c>
      <c r="AB430">
        <v>29</v>
      </c>
      <c r="AC430">
        <v>133</v>
      </c>
      <c r="AD430">
        <v>3290</v>
      </c>
      <c r="AE430">
        <v>320</v>
      </c>
    </row>
    <row r="431" spans="1:31" x14ac:dyDescent="0.25">
      <c r="A431" t="s">
        <v>722</v>
      </c>
      <c r="B431">
        <v>2015</v>
      </c>
      <c r="C431">
        <v>6</v>
      </c>
      <c r="D431">
        <v>119</v>
      </c>
      <c r="E431">
        <v>220</v>
      </c>
      <c r="F431">
        <v>649</v>
      </c>
      <c r="G431">
        <v>275</v>
      </c>
      <c r="H431">
        <v>144</v>
      </c>
      <c r="I431">
        <v>377.5</v>
      </c>
      <c r="J431">
        <v>8</v>
      </c>
      <c r="K431">
        <v>600</v>
      </c>
      <c r="L431">
        <v>264</v>
      </c>
      <c r="M431">
        <v>262.5</v>
      </c>
      <c r="N431">
        <v>1185</v>
      </c>
      <c r="O431">
        <v>275</v>
      </c>
      <c r="P431">
        <v>18</v>
      </c>
      <c r="Q431">
        <v>227.5</v>
      </c>
      <c r="R431">
        <v>175</v>
      </c>
      <c r="S431">
        <v>310</v>
      </c>
      <c r="T431">
        <v>701</v>
      </c>
      <c r="U431">
        <v>380</v>
      </c>
      <c r="V431">
        <v>132</v>
      </c>
      <c r="W431">
        <v>450</v>
      </c>
      <c r="X431">
        <v>329</v>
      </c>
      <c r="Y431">
        <v>350</v>
      </c>
      <c r="Z431">
        <v>1355</v>
      </c>
      <c r="AA431">
        <v>370</v>
      </c>
      <c r="AB431">
        <v>20</v>
      </c>
      <c r="AC431">
        <v>160</v>
      </c>
      <c r="AD431">
        <v>2560</v>
      </c>
      <c r="AE431">
        <v>320</v>
      </c>
    </row>
    <row r="432" spans="1:31" x14ac:dyDescent="0.25">
      <c r="A432" t="s">
        <v>723</v>
      </c>
      <c r="B432">
        <v>2015</v>
      </c>
      <c r="C432">
        <v>6</v>
      </c>
      <c r="D432">
        <v>9</v>
      </c>
      <c r="E432">
        <v>150</v>
      </c>
      <c r="F432">
        <v>33</v>
      </c>
      <c r="G432">
        <v>170</v>
      </c>
      <c r="H432">
        <v>15</v>
      </c>
      <c r="I432">
        <v>235</v>
      </c>
      <c r="J432">
        <v>0</v>
      </c>
      <c r="L432">
        <v>19</v>
      </c>
      <c r="M432">
        <v>164.5</v>
      </c>
      <c r="N432">
        <v>75</v>
      </c>
      <c r="O432">
        <v>168.86500000000001</v>
      </c>
      <c r="P432">
        <v>6</v>
      </c>
      <c r="Q432">
        <v>162</v>
      </c>
      <c r="R432">
        <v>50</v>
      </c>
      <c r="S432">
        <v>200</v>
      </c>
      <c r="T432">
        <v>271</v>
      </c>
      <c r="U432">
        <v>235</v>
      </c>
      <c r="V432">
        <v>86</v>
      </c>
      <c r="W432">
        <v>280</v>
      </c>
      <c r="X432">
        <v>166</v>
      </c>
      <c r="Y432">
        <v>220</v>
      </c>
      <c r="Z432">
        <v>580</v>
      </c>
      <c r="AA432">
        <v>230</v>
      </c>
      <c r="AB432">
        <v>0</v>
      </c>
      <c r="AD432">
        <v>655</v>
      </c>
      <c r="AE432">
        <v>230</v>
      </c>
    </row>
    <row r="433" spans="1:31" x14ac:dyDescent="0.25">
      <c r="A433" t="s">
        <v>711</v>
      </c>
      <c r="B433">
        <v>2015</v>
      </c>
      <c r="C433">
        <v>9</v>
      </c>
      <c r="E433">
        <v>210</v>
      </c>
      <c r="F433">
        <v>21</v>
      </c>
      <c r="G433">
        <v>275</v>
      </c>
      <c r="H433">
        <v>29</v>
      </c>
      <c r="I433">
        <v>300</v>
      </c>
      <c r="J433">
        <v>6</v>
      </c>
      <c r="K433">
        <v>387.5</v>
      </c>
      <c r="L433">
        <v>8</v>
      </c>
      <c r="M433">
        <v>277.5</v>
      </c>
      <c r="N433">
        <v>65</v>
      </c>
      <c r="O433">
        <v>296</v>
      </c>
      <c r="P433">
        <v>7</v>
      </c>
      <c r="Q433">
        <v>250</v>
      </c>
      <c r="R433">
        <v>15</v>
      </c>
      <c r="S433">
        <v>300</v>
      </c>
      <c r="T433">
        <v>163</v>
      </c>
      <c r="U433">
        <v>340</v>
      </c>
      <c r="V433">
        <v>95</v>
      </c>
      <c r="W433">
        <v>400</v>
      </c>
      <c r="X433">
        <v>42</v>
      </c>
      <c r="Y433">
        <v>347.5</v>
      </c>
      <c r="Z433">
        <v>320</v>
      </c>
      <c r="AA433">
        <v>350</v>
      </c>
      <c r="AB433">
        <v>0</v>
      </c>
      <c r="AD433">
        <v>385</v>
      </c>
      <c r="AE433">
        <v>350</v>
      </c>
    </row>
    <row r="434" spans="1:31" x14ac:dyDescent="0.25">
      <c r="A434" t="s">
        <v>712</v>
      </c>
      <c r="B434">
        <v>2015</v>
      </c>
      <c r="C434">
        <v>9</v>
      </c>
      <c r="D434">
        <v>15</v>
      </c>
      <c r="E434">
        <v>180</v>
      </c>
      <c r="F434">
        <v>46</v>
      </c>
      <c r="G434">
        <v>225</v>
      </c>
      <c r="H434">
        <v>21</v>
      </c>
      <c r="I434">
        <v>285</v>
      </c>
      <c r="K434">
        <v>230</v>
      </c>
      <c r="L434">
        <v>17</v>
      </c>
      <c r="M434">
        <v>200</v>
      </c>
      <c r="N434">
        <v>100</v>
      </c>
      <c r="O434">
        <v>230</v>
      </c>
      <c r="Q434">
        <v>157.5</v>
      </c>
      <c r="R434">
        <v>24</v>
      </c>
      <c r="S434">
        <v>247.5</v>
      </c>
      <c r="T434">
        <v>240</v>
      </c>
      <c r="U434">
        <v>295</v>
      </c>
      <c r="V434">
        <v>82</v>
      </c>
      <c r="W434">
        <v>370</v>
      </c>
      <c r="X434">
        <v>64</v>
      </c>
      <c r="Y434">
        <v>242.5</v>
      </c>
      <c r="Z434">
        <v>415</v>
      </c>
      <c r="AA434">
        <v>300</v>
      </c>
      <c r="AB434">
        <v>0</v>
      </c>
      <c r="AD434">
        <v>515</v>
      </c>
      <c r="AE434">
        <v>280</v>
      </c>
    </row>
    <row r="435" spans="1:31" x14ac:dyDescent="0.25">
      <c r="A435" t="s">
        <v>713</v>
      </c>
      <c r="B435">
        <v>2015</v>
      </c>
      <c r="C435">
        <v>9</v>
      </c>
      <c r="D435">
        <v>462</v>
      </c>
      <c r="E435">
        <v>270</v>
      </c>
      <c r="F435">
        <v>956</v>
      </c>
      <c r="G435">
        <v>320</v>
      </c>
      <c r="H435">
        <v>212</v>
      </c>
      <c r="I435">
        <v>400</v>
      </c>
      <c r="J435">
        <v>8</v>
      </c>
      <c r="K435">
        <v>552.5</v>
      </c>
      <c r="L435">
        <v>458</v>
      </c>
      <c r="M435">
        <v>280</v>
      </c>
      <c r="N435">
        <v>2095</v>
      </c>
      <c r="O435">
        <v>300</v>
      </c>
      <c r="P435">
        <v>49</v>
      </c>
      <c r="Q435">
        <v>200</v>
      </c>
      <c r="R435">
        <v>201</v>
      </c>
      <c r="S435">
        <v>385</v>
      </c>
      <c r="T435">
        <v>531</v>
      </c>
      <c r="U435">
        <v>410</v>
      </c>
      <c r="V435">
        <v>164</v>
      </c>
      <c r="W435">
        <v>500</v>
      </c>
      <c r="X435">
        <v>249</v>
      </c>
      <c r="Y435">
        <v>370</v>
      </c>
      <c r="Z435">
        <v>1195</v>
      </c>
      <c r="AA435">
        <v>400</v>
      </c>
      <c r="AB435">
        <v>107</v>
      </c>
      <c r="AC435">
        <v>185</v>
      </c>
      <c r="AD435">
        <v>3395</v>
      </c>
      <c r="AE435">
        <v>335</v>
      </c>
    </row>
    <row r="436" spans="1:31" x14ac:dyDescent="0.25">
      <c r="A436" t="s">
        <v>714</v>
      </c>
      <c r="B436">
        <v>2015</v>
      </c>
      <c r="C436">
        <v>9</v>
      </c>
      <c r="D436">
        <v>28</v>
      </c>
      <c r="E436">
        <v>230</v>
      </c>
      <c r="F436">
        <v>52</v>
      </c>
      <c r="G436">
        <v>190</v>
      </c>
      <c r="H436">
        <v>19</v>
      </c>
      <c r="I436">
        <v>340</v>
      </c>
      <c r="K436">
        <v>380</v>
      </c>
      <c r="L436">
        <v>29</v>
      </c>
      <c r="M436">
        <v>190</v>
      </c>
      <c r="N436">
        <v>130</v>
      </c>
      <c r="O436">
        <v>202.5</v>
      </c>
      <c r="Q436">
        <v>165</v>
      </c>
      <c r="R436">
        <v>35</v>
      </c>
      <c r="S436">
        <v>245</v>
      </c>
      <c r="T436">
        <v>264</v>
      </c>
      <c r="U436">
        <v>240</v>
      </c>
      <c r="V436">
        <v>68</v>
      </c>
      <c r="W436">
        <v>300</v>
      </c>
      <c r="X436">
        <v>134</v>
      </c>
      <c r="Y436">
        <v>250</v>
      </c>
      <c r="Z436">
        <v>505</v>
      </c>
      <c r="AA436">
        <v>250</v>
      </c>
      <c r="AC436">
        <v>212.5</v>
      </c>
      <c r="AD436">
        <v>640</v>
      </c>
      <c r="AE436">
        <v>250</v>
      </c>
    </row>
    <row r="437" spans="1:31" x14ac:dyDescent="0.25">
      <c r="A437" t="s">
        <v>715</v>
      </c>
      <c r="B437">
        <v>2015</v>
      </c>
      <c r="C437">
        <v>9</v>
      </c>
      <c r="D437">
        <v>13</v>
      </c>
      <c r="E437">
        <v>120</v>
      </c>
      <c r="F437">
        <v>14</v>
      </c>
      <c r="G437">
        <v>175</v>
      </c>
      <c r="H437">
        <v>6</v>
      </c>
      <c r="I437">
        <v>330</v>
      </c>
      <c r="K437">
        <v>300</v>
      </c>
      <c r="L437">
        <v>21</v>
      </c>
      <c r="M437">
        <v>150</v>
      </c>
      <c r="N437">
        <v>60</v>
      </c>
      <c r="O437">
        <v>162.5</v>
      </c>
      <c r="P437">
        <v>7</v>
      </c>
      <c r="Q437">
        <v>175</v>
      </c>
      <c r="R437">
        <v>21</v>
      </c>
      <c r="S437">
        <v>160</v>
      </c>
      <c r="T437">
        <v>108</v>
      </c>
      <c r="U437">
        <v>225</v>
      </c>
      <c r="V437">
        <v>53</v>
      </c>
      <c r="W437">
        <v>320</v>
      </c>
      <c r="X437">
        <v>53</v>
      </c>
      <c r="Y437">
        <v>200</v>
      </c>
      <c r="Z437">
        <v>240</v>
      </c>
      <c r="AA437">
        <v>220</v>
      </c>
      <c r="AC437">
        <v>250</v>
      </c>
      <c r="AD437">
        <v>300</v>
      </c>
      <c r="AE437">
        <v>205</v>
      </c>
    </row>
    <row r="438" spans="1:31" x14ac:dyDescent="0.25">
      <c r="A438" t="s">
        <v>716</v>
      </c>
      <c r="B438">
        <v>2015</v>
      </c>
      <c r="C438">
        <v>9</v>
      </c>
      <c r="D438">
        <v>15</v>
      </c>
      <c r="E438">
        <v>180</v>
      </c>
      <c r="F438">
        <v>34</v>
      </c>
      <c r="G438">
        <v>217.5</v>
      </c>
      <c r="H438">
        <v>16</v>
      </c>
      <c r="I438">
        <v>270</v>
      </c>
      <c r="K438">
        <v>340</v>
      </c>
      <c r="L438">
        <v>20</v>
      </c>
      <c r="M438">
        <v>204.45</v>
      </c>
      <c r="N438">
        <v>85</v>
      </c>
      <c r="O438">
        <v>215</v>
      </c>
      <c r="Q438">
        <v>209.5</v>
      </c>
      <c r="R438">
        <v>34</v>
      </c>
      <c r="S438">
        <v>240</v>
      </c>
      <c r="T438">
        <v>162</v>
      </c>
      <c r="U438">
        <v>275</v>
      </c>
      <c r="V438">
        <v>73</v>
      </c>
      <c r="W438">
        <v>320</v>
      </c>
      <c r="X438">
        <v>72</v>
      </c>
      <c r="Y438">
        <v>270</v>
      </c>
      <c r="Z438">
        <v>345</v>
      </c>
      <c r="AA438">
        <v>280</v>
      </c>
      <c r="AC438">
        <v>230</v>
      </c>
      <c r="AD438">
        <v>430</v>
      </c>
      <c r="AE438">
        <v>270</v>
      </c>
    </row>
    <row r="439" spans="1:31" x14ac:dyDescent="0.25">
      <c r="A439" t="s">
        <v>717</v>
      </c>
      <c r="B439">
        <v>2015</v>
      </c>
      <c r="C439">
        <v>9</v>
      </c>
      <c r="D439">
        <v>15</v>
      </c>
      <c r="E439">
        <v>125</v>
      </c>
      <c r="F439">
        <v>124</v>
      </c>
      <c r="G439">
        <v>175</v>
      </c>
      <c r="H439">
        <v>28</v>
      </c>
      <c r="I439">
        <v>220</v>
      </c>
      <c r="K439">
        <v>255</v>
      </c>
      <c r="L439">
        <v>28</v>
      </c>
      <c r="M439">
        <v>145</v>
      </c>
      <c r="N439">
        <v>200</v>
      </c>
      <c r="O439">
        <v>170</v>
      </c>
      <c r="P439">
        <v>6</v>
      </c>
      <c r="Q439">
        <v>135</v>
      </c>
      <c r="R439">
        <v>67</v>
      </c>
      <c r="S439">
        <v>190</v>
      </c>
      <c r="T439">
        <v>245</v>
      </c>
      <c r="U439">
        <v>220</v>
      </c>
      <c r="V439">
        <v>53</v>
      </c>
      <c r="W439">
        <v>280</v>
      </c>
      <c r="X439">
        <v>48</v>
      </c>
      <c r="Y439">
        <v>197.5</v>
      </c>
      <c r="Z439">
        <v>420</v>
      </c>
      <c r="AA439">
        <v>220</v>
      </c>
      <c r="AB439">
        <v>0</v>
      </c>
      <c r="AD439">
        <v>615</v>
      </c>
      <c r="AE439">
        <v>205</v>
      </c>
    </row>
    <row r="440" spans="1:31" x14ac:dyDescent="0.25">
      <c r="A440" t="s">
        <v>628</v>
      </c>
      <c r="B440">
        <v>2015</v>
      </c>
      <c r="C440">
        <v>9</v>
      </c>
      <c r="D440">
        <v>809</v>
      </c>
      <c r="E440">
        <v>245</v>
      </c>
      <c r="F440">
        <v>2563</v>
      </c>
      <c r="G440">
        <v>290</v>
      </c>
      <c r="H440">
        <v>658</v>
      </c>
      <c r="I440">
        <v>350</v>
      </c>
      <c r="J440">
        <v>27</v>
      </c>
      <c r="K440">
        <v>420</v>
      </c>
      <c r="L440">
        <v>1141</v>
      </c>
      <c r="M440">
        <v>265</v>
      </c>
      <c r="N440">
        <v>5200</v>
      </c>
      <c r="O440">
        <v>285</v>
      </c>
      <c r="P440">
        <v>130</v>
      </c>
      <c r="Q440">
        <v>188.5</v>
      </c>
      <c r="R440">
        <v>729</v>
      </c>
      <c r="S440">
        <v>320</v>
      </c>
      <c r="T440">
        <v>4071</v>
      </c>
      <c r="U440">
        <v>340</v>
      </c>
      <c r="V440">
        <v>923</v>
      </c>
      <c r="W440">
        <v>400</v>
      </c>
      <c r="X440">
        <v>1838</v>
      </c>
      <c r="Y440">
        <v>310</v>
      </c>
      <c r="Z440">
        <v>7690</v>
      </c>
      <c r="AA440">
        <v>335</v>
      </c>
      <c r="AB440">
        <v>184</v>
      </c>
      <c r="AC440">
        <v>170</v>
      </c>
      <c r="AD440">
        <v>13075</v>
      </c>
      <c r="AE440">
        <v>310</v>
      </c>
    </row>
    <row r="441" spans="1:31" x14ac:dyDescent="0.25">
      <c r="A441" t="s">
        <v>718</v>
      </c>
      <c r="B441">
        <v>2015</v>
      </c>
      <c r="C441">
        <v>9</v>
      </c>
      <c r="D441">
        <v>15</v>
      </c>
      <c r="E441">
        <v>150</v>
      </c>
      <c r="F441">
        <v>49</v>
      </c>
      <c r="G441">
        <v>170</v>
      </c>
      <c r="H441">
        <v>15</v>
      </c>
      <c r="I441">
        <v>225</v>
      </c>
      <c r="J441">
        <v>0</v>
      </c>
      <c r="L441">
        <v>34</v>
      </c>
      <c r="M441">
        <v>158</v>
      </c>
      <c r="N441">
        <v>115</v>
      </c>
      <c r="O441">
        <v>170</v>
      </c>
      <c r="P441">
        <v>11</v>
      </c>
      <c r="Q441">
        <v>190</v>
      </c>
      <c r="R441">
        <v>32</v>
      </c>
      <c r="S441">
        <v>180</v>
      </c>
      <c r="T441">
        <v>261</v>
      </c>
      <c r="U441">
        <v>230</v>
      </c>
      <c r="V441">
        <v>57</v>
      </c>
      <c r="W441">
        <v>285</v>
      </c>
      <c r="X441">
        <v>165</v>
      </c>
      <c r="Y441">
        <v>235</v>
      </c>
      <c r="Z441">
        <v>525</v>
      </c>
      <c r="AA441">
        <v>235</v>
      </c>
      <c r="AC441">
        <v>260</v>
      </c>
      <c r="AD441">
        <v>640</v>
      </c>
      <c r="AE441">
        <v>220</v>
      </c>
    </row>
    <row r="442" spans="1:31" x14ac:dyDescent="0.25">
      <c r="A442" t="s">
        <v>719</v>
      </c>
      <c r="B442">
        <v>2015</v>
      </c>
      <c r="C442">
        <v>9</v>
      </c>
      <c r="D442">
        <v>62</v>
      </c>
      <c r="E442">
        <v>173</v>
      </c>
      <c r="F442">
        <v>359</v>
      </c>
      <c r="G442">
        <v>260</v>
      </c>
      <c r="H442">
        <v>124</v>
      </c>
      <c r="I442">
        <v>302.5</v>
      </c>
      <c r="J442">
        <v>7</v>
      </c>
      <c r="K442">
        <v>375</v>
      </c>
      <c r="L442">
        <v>236</v>
      </c>
      <c r="M442">
        <v>252.5</v>
      </c>
      <c r="N442">
        <v>790</v>
      </c>
      <c r="O442">
        <v>260</v>
      </c>
      <c r="P442">
        <v>17</v>
      </c>
      <c r="Q442">
        <v>180</v>
      </c>
      <c r="R442">
        <v>155</v>
      </c>
      <c r="S442">
        <v>260</v>
      </c>
      <c r="T442">
        <v>1731</v>
      </c>
      <c r="U442">
        <v>300</v>
      </c>
      <c r="V442">
        <v>320</v>
      </c>
      <c r="W442">
        <v>350</v>
      </c>
      <c r="X442">
        <v>806</v>
      </c>
      <c r="Y442">
        <v>285</v>
      </c>
      <c r="Z442">
        <v>3030</v>
      </c>
      <c r="AA442">
        <v>300</v>
      </c>
      <c r="AB442">
        <v>7</v>
      </c>
      <c r="AC442">
        <v>155</v>
      </c>
      <c r="AD442">
        <v>3825</v>
      </c>
      <c r="AE442">
        <v>290</v>
      </c>
    </row>
    <row r="443" spans="1:31" x14ac:dyDescent="0.25">
      <c r="A443" t="s">
        <v>720</v>
      </c>
      <c r="B443">
        <v>2015</v>
      </c>
      <c r="C443">
        <v>9</v>
      </c>
      <c r="D443">
        <v>111</v>
      </c>
      <c r="E443">
        <v>160</v>
      </c>
      <c r="F443">
        <v>367</v>
      </c>
      <c r="G443">
        <v>190</v>
      </c>
      <c r="H443">
        <v>144</v>
      </c>
      <c r="I443">
        <v>280</v>
      </c>
      <c r="J443">
        <v>20</v>
      </c>
      <c r="K443">
        <v>350</v>
      </c>
      <c r="L443">
        <v>181</v>
      </c>
      <c r="M443">
        <v>165</v>
      </c>
      <c r="N443">
        <v>825</v>
      </c>
      <c r="O443">
        <v>195</v>
      </c>
      <c r="P443">
        <v>56</v>
      </c>
      <c r="Q443">
        <v>170</v>
      </c>
      <c r="R443">
        <v>293</v>
      </c>
      <c r="S443">
        <v>200</v>
      </c>
      <c r="T443">
        <v>1687</v>
      </c>
      <c r="U443">
        <v>250</v>
      </c>
      <c r="V443">
        <v>579</v>
      </c>
      <c r="W443">
        <v>330</v>
      </c>
      <c r="X443">
        <v>720</v>
      </c>
      <c r="Y443">
        <v>235</v>
      </c>
      <c r="Z443">
        <v>3335</v>
      </c>
      <c r="AA443">
        <v>250</v>
      </c>
      <c r="AB443">
        <v>8</v>
      </c>
      <c r="AC443">
        <v>240</v>
      </c>
      <c r="AD443">
        <v>4165</v>
      </c>
      <c r="AE443">
        <v>245</v>
      </c>
    </row>
    <row r="444" spans="1:31" x14ac:dyDescent="0.25">
      <c r="A444" t="s">
        <v>724</v>
      </c>
      <c r="B444">
        <v>2015</v>
      </c>
      <c r="C444">
        <v>9</v>
      </c>
      <c r="D444">
        <v>920</v>
      </c>
      <c r="E444">
        <v>240</v>
      </c>
      <c r="F444">
        <v>2930</v>
      </c>
      <c r="G444">
        <v>280</v>
      </c>
      <c r="H444">
        <v>802</v>
      </c>
      <c r="I444">
        <v>330</v>
      </c>
      <c r="J444">
        <v>47</v>
      </c>
      <c r="K444">
        <v>370</v>
      </c>
      <c r="L444">
        <v>1322</v>
      </c>
      <c r="M444">
        <v>255</v>
      </c>
      <c r="N444">
        <v>6020</v>
      </c>
      <c r="O444">
        <v>275</v>
      </c>
      <c r="P444">
        <v>186</v>
      </c>
      <c r="Q444">
        <v>180</v>
      </c>
      <c r="R444">
        <v>1022</v>
      </c>
      <c r="S444">
        <v>285</v>
      </c>
      <c r="T444">
        <v>5758</v>
      </c>
      <c r="U444">
        <v>310</v>
      </c>
      <c r="V444">
        <v>1502</v>
      </c>
      <c r="W444">
        <v>370</v>
      </c>
      <c r="X444">
        <v>2558</v>
      </c>
      <c r="Y444">
        <v>290</v>
      </c>
      <c r="Z444">
        <v>11025</v>
      </c>
      <c r="AA444">
        <v>310</v>
      </c>
      <c r="AB444">
        <v>192</v>
      </c>
      <c r="AC444">
        <v>170</v>
      </c>
      <c r="AD444">
        <v>17240</v>
      </c>
      <c r="AE444">
        <v>295</v>
      </c>
    </row>
    <row r="445" spans="1:31" x14ac:dyDescent="0.25">
      <c r="A445" t="s">
        <v>721</v>
      </c>
      <c r="B445">
        <v>2015</v>
      </c>
      <c r="C445">
        <v>9</v>
      </c>
      <c r="D445">
        <v>149</v>
      </c>
      <c r="E445">
        <v>230</v>
      </c>
      <c r="F445">
        <v>561</v>
      </c>
      <c r="G445">
        <v>280</v>
      </c>
      <c r="H445">
        <v>195</v>
      </c>
      <c r="I445">
        <v>340</v>
      </c>
      <c r="K445">
        <v>345</v>
      </c>
      <c r="L445">
        <v>212</v>
      </c>
      <c r="M445">
        <v>260</v>
      </c>
      <c r="N445">
        <v>1120</v>
      </c>
      <c r="O445">
        <v>280</v>
      </c>
      <c r="P445">
        <v>24</v>
      </c>
      <c r="Q445">
        <v>195</v>
      </c>
      <c r="R445">
        <v>155</v>
      </c>
      <c r="S445">
        <v>310</v>
      </c>
      <c r="T445">
        <v>1122</v>
      </c>
      <c r="U445">
        <v>350</v>
      </c>
      <c r="V445">
        <v>312</v>
      </c>
      <c r="W445">
        <v>405</v>
      </c>
      <c r="X445">
        <v>462</v>
      </c>
      <c r="Y445">
        <v>330</v>
      </c>
      <c r="Z445">
        <v>2075</v>
      </c>
      <c r="AA445">
        <v>350</v>
      </c>
      <c r="AB445">
        <v>24</v>
      </c>
      <c r="AC445">
        <v>150</v>
      </c>
      <c r="AD445">
        <v>3220</v>
      </c>
      <c r="AE445">
        <v>325</v>
      </c>
    </row>
    <row r="446" spans="1:31" x14ac:dyDescent="0.25">
      <c r="A446" t="s">
        <v>722</v>
      </c>
      <c r="B446">
        <v>2015</v>
      </c>
      <c r="C446">
        <v>9</v>
      </c>
      <c r="D446">
        <v>136</v>
      </c>
      <c r="E446">
        <v>235</v>
      </c>
      <c r="F446">
        <v>687</v>
      </c>
      <c r="G446">
        <v>275</v>
      </c>
      <c r="H446">
        <v>127</v>
      </c>
      <c r="I446">
        <v>375</v>
      </c>
      <c r="J446">
        <v>8</v>
      </c>
      <c r="K446">
        <v>348</v>
      </c>
      <c r="L446">
        <v>235</v>
      </c>
      <c r="M446">
        <v>265</v>
      </c>
      <c r="N446">
        <v>1195</v>
      </c>
      <c r="O446">
        <v>270</v>
      </c>
      <c r="P446">
        <v>40</v>
      </c>
      <c r="Q446">
        <v>178.5</v>
      </c>
      <c r="R446">
        <v>218</v>
      </c>
      <c r="S446">
        <v>312.5</v>
      </c>
      <c r="T446">
        <v>687</v>
      </c>
      <c r="U446">
        <v>380</v>
      </c>
      <c r="V446">
        <v>127</v>
      </c>
      <c r="W446">
        <v>440</v>
      </c>
      <c r="X446">
        <v>321</v>
      </c>
      <c r="Y446">
        <v>320</v>
      </c>
      <c r="Z446">
        <v>1395</v>
      </c>
      <c r="AA446">
        <v>360</v>
      </c>
      <c r="AB446">
        <v>46</v>
      </c>
      <c r="AC446">
        <v>155</v>
      </c>
      <c r="AD446">
        <v>2630</v>
      </c>
      <c r="AE446">
        <v>310</v>
      </c>
    </row>
    <row r="447" spans="1:31" x14ac:dyDescent="0.25">
      <c r="A447" t="s">
        <v>723</v>
      </c>
      <c r="B447">
        <v>2015</v>
      </c>
      <c r="C447">
        <v>9</v>
      </c>
      <c r="D447">
        <v>9</v>
      </c>
      <c r="E447">
        <v>150</v>
      </c>
      <c r="F447">
        <v>27</v>
      </c>
      <c r="G447">
        <v>180</v>
      </c>
      <c r="H447">
        <v>10</v>
      </c>
      <c r="I447">
        <v>252.5</v>
      </c>
      <c r="K447">
        <v>360</v>
      </c>
      <c r="L447">
        <v>24</v>
      </c>
      <c r="M447">
        <v>155</v>
      </c>
      <c r="N447">
        <v>70</v>
      </c>
      <c r="O447">
        <v>190</v>
      </c>
      <c r="P447">
        <v>13</v>
      </c>
      <c r="Q447">
        <v>135</v>
      </c>
      <c r="R447">
        <v>65</v>
      </c>
      <c r="S447">
        <v>200</v>
      </c>
      <c r="T447">
        <v>244</v>
      </c>
      <c r="U447">
        <v>230</v>
      </c>
      <c r="V447">
        <v>98</v>
      </c>
      <c r="W447">
        <v>300</v>
      </c>
      <c r="X447">
        <v>142</v>
      </c>
      <c r="Y447">
        <v>207</v>
      </c>
      <c r="Z447">
        <v>560</v>
      </c>
      <c r="AA447">
        <v>230</v>
      </c>
      <c r="AC447">
        <v>160</v>
      </c>
      <c r="AD447">
        <v>635</v>
      </c>
      <c r="AE447">
        <v>220</v>
      </c>
    </row>
    <row r="448" spans="1:31" x14ac:dyDescent="0.25">
      <c r="A448" t="s">
        <v>711</v>
      </c>
      <c r="B448">
        <v>2015</v>
      </c>
      <c r="C448">
        <v>12</v>
      </c>
      <c r="E448">
        <v>195</v>
      </c>
      <c r="F448">
        <v>17</v>
      </c>
      <c r="G448">
        <v>270</v>
      </c>
      <c r="H448">
        <v>39</v>
      </c>
      <c r="I448">
        <v>305</v>
      </c>
      <c r="J448">
        <v>7</v>
      </c>
      <c r="K448">
        <v>390</v>
      </c>
      <c r="L448">
        <v>7</v>
      </c>
      <c r="M448">
        <v>135</v>
      </c>
      <c r="N448">
        <v>75</v>
      </c>
      <c r="O448">
        <v>295</v>
      </c>
      <c r="P448">
        <v>0</v>
      </c>
      <c r="R448">
        <v>16</v>
      </c>
      <c r="S448">
        <v>315</v>
      </c>
      <c r="T448">
        <v>178</v>
      </c>
      <c r="U448">
        <v>342.5</v>
      </c>
      <c r="V448">
        <v>95</v>
      </c>
      <c r="W448">
        <v>420</v>
      </c>
      <c r="X448">
        <v>27</v>
      </c>
      <c r="Y448">
        <v>310</v>
      </c>
      <c r="Z448">
        <v>315</v>
      </c>
      <c r="AA448">
        <v>360</v>
      </c>
      <c r="AC448">
        <v>165</v>
      </c>
      <c r="AD448">
        <v>390</v>
      </c>
      <c r="AE448">
        <v>350</v>
      </c>
    </row>
    <row r="449" spans="1:31" x14ac:dyDescent="0.25">
      <c r="A449" t="s">
        <v>712</v>
      </c>
      <c r="B449">
        <v>2015</v>
      </c>
      <c r="C449">
        <v>12</v>
      </c>
      <c r="D449">
        <v>6</v>
      </c>
      <c r="E449">
        <v>177.5</v>
      </c>
      <c r="F449">
        <v>38</v>
      </c>
      <c r="G449">
        <v>230</v>
      </c>
      <c r="H449">
        <v>23</v>
      </c>
      <c r="I449">
        <v>295</v>
      </c>
      <c r="K449">
        <v>330</v>
      </c>
      <c r="L449">
        <v>19</v>
      </c>
      <c r="M449">
        <v>175</v>
      </c>
      <c r="N449">
        <v>90</v>
      </c>
      <c r="O449">
        <v>237.5</v>
      </c>
      <c r="Q449">
        <v>180</v>
      </c>
      <c r="R449">
        <v>19</v>
      </c>
      <c r="S449">
        <v>240</v>
      </c>
      <c r="T449">
        <v>213</v>
      </c>
      <c r="U449">
        <v>290</v>
      </c>
      <c r="V449">
        <v>73</v>
      </c>
      <c r="W449">
        <v>360</v>
      </c>
      <c r="X449">
        <v>47</v>
      </c>
      <c r="Y449">
        <v>250</v>
      </c>
      <c r="Z449">
        <v>355</v>
      </c>
      <c r="AA449">
        <v>300</v>
      </c>
      <c r="AB449">
        <v>0</v>
      </c>
      <c r="AD449">
        <v>445</v>
      </c>
      <c r="AE449">
        <v>285</v>
      </c>
    </row>
    <row r="450" spans="1:31" x14ac:dyDescent="0.25">
      <c r="A450" t="s">
        <v>713</v>
      </c>
      <c r="B450">
        <v>2015</v>
      </c>
      <c r="C450">
        <v>12</v>
      </c>
      <c r="D450">
        <v>527</v>
      </c>
      <c r="E450">
        <v>270</v>
      </c>
      <c r="F450">
        <v>838</v>
      </c>
      <c r="G450">
        <v>310</v>
      </c>
      <c r="H450">
        <v>180</v>
      </c>
      <c r="I450">
        <v>420</v>
      </c>
      <c r="J450">
        <v>7</v>
      </c>
      <c r="K450">
        <v>465</v>
      </c>
      <c r="L450">
        <v>184</v>
      </c>
      <c r="M450">
        <v>261</v>
      </c>
      <c r="N450">
        <v>1735</v>
      </c>
      <c r="O450">
        <v>300</v>
      </c>
      <c r="P450">
        <v>36</v>
      </c>
      <c r="Q450">
        <v>165</v>
      </c>
      <c r="R450">
        <v>199</v>
      </c>
      <c r="S450">
        <v>380</v>
      </c>
      <c r="T450">
        <v>514</v>
      </c>
      <c r="U450">
        <v>420</v>
      </c>
      <c r="V450">
        <v>154</v>
      </c>
      <c r="W450">
        <v>537.5</v>
      </c>
      <c r="X450">
        <v>152</v>
      </c>
      <c r="Y450">
        <v>350</v>
      </c>
      <c r="Z450">
        <v>1055</v>
      </c>
      <c r="AA450">
        <v>410</v>
      </c>
      <c r="AB450">
        <v>66</v>
      </c>
      <c r="AC450">
        <v>190</v>
      </c>
      <c r="AD450">
        <v>2855</v>
      </c>
      <c r="AE450">
        <v>335</v>
      </c>
    </row>
    <row r="451" spans="1:31" x14ac:dyDescent="0.25">
      <c r="A451" t="s">
        <v>714</v>
      </c>
      <c r="B451">
        <v>2015</v>
      </c>
      <c r="C451">
        <v>12</v>
      </c>
      <c r="D451">
        <v>9</v>
      </c>
      <c r="E451">
        <v>170</v>
      </c>
      <c r="F451">
        <v>63</v>
      </c>
      <c r="G451">
        <v>200</v>
      </c>
      <c r="H451">
        <v>20</v>
      </c>
      <c r="I451">
        <v>262.5</v>
      </c>
      <c r="K451">
        <v>545</v>
      </c>
      <c r="L451">
        <v>12</v>
      </c>
      <c r="M451">
        <v>167.5</v>
      </c>
      <c r="N451">
        <v>105</v>
      </c>
      <c r="O451">
        <v>220</v>
      </c>
      <c r="P451">
        <v>7</v>
      </c>
      <c r="Q451">
        <v>70</v>
      </c>
      <c r="R451">
        <v>25</v>
      </c>
      <c r="S451">
        <v>200</v>
      </c>
      <c r="T451">
        <v>188</v>
      </c>
      <c r="U451">
        <v>240</v>
      </c>
      <c r="V451">
        <v>69</v>
      </c>
      <c r="W451">
        <v>300</v>
      </c>
      <c r="X451">
        <v>78</v>
      </c>
      <c r="Y451">
        <v>225</v>
      </c>
      <c r="Z451">
        <v>365</v>
      </c>
      <c r="AA451">
        <v>250</v>
      </c>
      <c r="AC451">
        <v>275</v>
      </c>
      <c r="AD451">
        <v>475</v>
      </c>
      <c r="AE451">
        <v>240</v>
      </c>
    </row>
    <row r="452" spans="1:31" x14ac:dyDescent="0.25">
      <c r="A452" t="s">
        <v>715</v>
      </c>
      <c r="B452">
        <v>2015</v>
      </c>
      <c r="C452">
        <v>12</v>
      </c>
      <c r="D452">
        <v>9</v>
      </c>
      <c r="E452">
        <v>130</v>
      </c>
      <c r="F452">
        <v>20</v>
      </c>
      <c r="G452">
        <v>165</v>
      </c>
      <c r="H452">
        <v>11</v>
      </c>
      <c r="I452">
        <v>175</v>
      </c>
      <c r="K452">
        <v>287.5</v>
      </c>
      <c r="L452">
        <v>12</v>
      </c>
      <c r="M452">
        <v>156</v>
      </c>
      <c r="N452">
        <v>55</v>
      </c>
      <c r="O452">
        <v>165</v>
      </c>
      <c r="Q452">
        <v>105</v>
      </c>
      <c r="R452">
        <v>15</v>
      </c>
      <c r="S452">
        <v>180</v>
      </c>
      <c r="T452">
        <v>113</v>
      </c>
      <c r="U452">
        <v>220</v>
      </c>
      <c r="V452">
        <v>60</v>
      </c>
      <c r="W452">
        <v>300</v>
      </c>
      <c r="X452">
        <v>30</v>
      </c>
      <c r="Y452">
        <v>190</v>
      </c>
      <c r="Z452">
        <v>220</v>
      </c>
      <c r="AA452">
        <v>250</v>
      </c>
      <c r="AB452">
        <v>0</v>
      </c>
      <c r="AD452">
        <v>275</v>
      </c>
      <c r="AE452">
        <v>220</v>
      </c>
    </row>
    <row r="453" spans="1:31" x14ac:dyDescent="0.25">
      <c r="A453" t="s">
        <v>716</v>
      </c>
      <c r="B453">
        <v>2015</v>
      </c>
      <c r="C453">
        <v>12</v>
      </c>
      <c r="D453">
        <v>20</v>
      </c>
      <c r="E453">
        <v>150</v>
      </c>
      <c r="F453">
        <v>38</v>
      </c>
      <c r="G453">
        <v>230</v>
      </c>
      <c r="H453">
        <v>24</v>
      </c>
      <c r="I453">
        <v>287.5</v>
      </c>
      <c r="J453">
        <v>0</v>
      </c>
      <c r="L453">
        <v>6</v>
      </c>
      <c r="M453">
        <v>165</v>
      </c>
      <c r="N453">
        <v>90</v>
      </c>
      <c r="O453">
        <v>225</v>
      </c>
      <c r="Q453">
        <v>200</v>
      </c>
      <c r="R453">
        <v>22</v>
      </c>
      <c r="S453">
        <v>245</v>
      </c>
      <c r="T453">
        <v>161</v>
      </c>
      <c r="U453">
        <v>280</v>
      </c>
      <c r="V453">
        <v>76</v>
      </c>
      <c r="W453">
        <v>320</v>
      </c>
      <c r="X453">
        <v>21</v>
      </c>
      <c r="Y453">
        <v>270</v>
      </c>
      <c r="Z453">
        <v>285</v>
      </c>
      <c r="AA453">
        <v>280</v>
      </c>
      <c r="AB453">
        <v>0</v>
      </c>
      <c r="AD453">
        <v>370</v>
      </c>
      <c r="AE453">
        <v>275</v>
      </c>
    </row>
    <row r="454" spans="1:31" x14ac:dyDescent="0.25">
      <c r="A454" t="s">
        <v>717</v>
      </c>
      <c r="B454">
        <v>2015</v>
      </c>
      <c r="C454">
        <v>12</v>
      </c>
      <c r="D454">
        <v>20</v>
      </c>
      <c r="E454">
        <v>103.5</v>
      </c>
      <c r="F454">
        <v>102</v>
      </c>
      <c r="G454">
        <v>180</v>
      </c>
      <c r="H454">
        <v>16</v>
      </c>
      <c r="I454">
        <v>250</v>
      </c>
      <c r="K454">
        <v>177.5</v>
      </c>
      <c r="L454">
        <v>23</v>
      </c>
      <c r="M454">
        <v>175</v>
      </c>
      <c r="N454">
        <v>165</v>
      </c>
      <c r="O454">
        <v>170</v>
      </c>
      <c r="P454">
        <v>6</v>
      </c>
      <c r="Q454">
        <v>120</v>
      </c>
      <c r="R454">
        <v>47</v>
      </c>
      <c r="S454">
        <v>190</v>
      </c>
      <c r="T454">
        <v>235</v>
      </c>
      <c r="U454">
        <v>220</v>
      </c>
      <c r="V454">
        <v>62</v>
      </c>
      <c r="W454">
        <v>280</v>
      </c>
      <c r="X454">
        <v>41</v>
      </c>
      <c r="Y454">
        <v>210</v>
      </c>
      <c r="Z454">
        <v>390</v>
      </c>
      <c r="AA454">
        <v>225</v>
      </c>
      <c r="AC454">
        <v>170</v>
      </c>
      <c r="AD454">
        <v>555</v>
      </c>
      <c r="AE454">
        <v>215</v>
      </c>
    </row>
    <row r="455" spans="1:31" x14ac:dyDescent="0.25">
      <c r="A455" t="s">
        <v>628</v>
      </c>
      <c r="B455">
        <v>2015</v>
      </c>
      <c r="C455">
        <v>12</v>
      </c>
      <c r="D455">
        <v>910</v>
      </c>
      <c r="E455">
        <v>250</v>
      </c>
      <c r="F455">
        <v>2485</v>
      </c>
      <c r="G455">
        <v>285</v>
      </c>
      <c r="H455">
        <v>725</v>
      </c>
      <c r="I455">
        <v>350</v>
      </c>
      <c r="J455">
        <v>18</v>
      </c>
      <c r="K455">
        <v>427.5</v>
      </c>
      <c r="L455">
        <v>636</v>
      </c>
      <c r="M455">
        <v>250</v>
      </c>
      <c r="N455">
        <v>4775</v>
      </c>
      <c r="O455">
        <v>280</v>
      </c>
      <c r="P455">
        <v>135</v>
      </c>
      <c r="Q455">
        <v>180</v>
      </c>
      <c r="R455">
        <v>800</v>
      </c>
      <c r="S455">
        <v>300</v>
      </c>
      <c r="T455">
        <v>4141</v>
      </c>
      <c r="U455">
        <v>330</v>
      </c>
      <c r="V455">
        <v>856</v>
      </c>
      <c r="W455">
        <v>410</v>
      </c>
      <c r="X455">
        <v>1248</v>
      </c>
      <c r="Y455">
        <v>300</v>
      </c>
      <c r="Z455">
        <v>7180</v>
      </c>
      <c r="AA455">
        <v>330</v>
      </c>
      <c r="AB455">
        <v>142</v>
      </c>
      <c r="AC455">
        <v>169</v>
      </c>
      <c r="AD455">
        <v>12095</v>
      </c>
      <c r="AE455">
        <v>305</v>
      </c>
    </row>
    <row r="456" spans="1:31" x14ac:dyDescent="0.25">
      <c r="A456" t="s">
        <v>718</v>
      </c>
      <c r="B456">
        <v>2015</v>
      </c>
      <c r="C456">
        <v>12</v>
      </c>
      <c r="D456">
        <v>9</v>
      </c>
      <c r="E456">
        <v>130</v>
      </c>
      <c r="F456">
        <v>42</v>
      </c>
      <c r="G456">
        <v>170</v>
      </c>
      <c r="H456">
        <v>13</v>
      </c>
      <c r="I456">
        <v>245</v>
      </c>
      <c r="K456">
        <v>260</v>
      </c>
      <c r="L456">
        <v>22</v>
      </c>
      <c r="M456">
        <v>164</v>
      </c>
      <c r="N456">
        <v>85</v>
      </c>
      <c r="O456">
        <v>170</v>
      </c>
      <c r="Q456">
        <v>145</v>
      </c>
      <c r="R456">
        <v>40</v>
      </c>
      <c r="S456">
        <v>195</v>
      </c>
      <c r="T456">
        <v>225</v>
      </c>
      <c r="U456">
        <v>230</v>
      </c>
      <c r="V456">
        <v>70</v>
      </c>
      <c r="W456">
        <v>272.5</v>
      </c>
      <c r="X456">
        <v>106</v>
      </c>
      <c r="Y456">
        <v>240</v>
      </c>
      <c r="Z456">
        <v>445</v>
      </c>
      <c r="AA456">
        <v>235</v>
      </c>
      <c r="AC456">
        <v>130</v>
      </c>
      <c r="AD456">
        <v>535</v>
      </c>
      <c r="AE456">
        <v>227.4</v>
      </c>
    </row>
    <row r="457" spans="1:31" x14ac:dyDescent="0.25">
      <c r="A457" t="s">
        <v>719</v>
      </c>
      <c r="B457">
        <v>2015</v>
      </c>
      <c r="C457">
        <v>12</v>
      </c>
      <c r="D457">
        <v>100</v>
      </c>
      <c r="E457">
        <v>157</v>
      </c>
      <c r="F457">
        <v>440</v>
      </c>
      <c r="G457">
        <v>251</v>
      </c>
      <c r="H457">
        <v>170</v>
      </c>
      <c r="I457">
        <v>310</v>
      </c>
      <c r="K457">
        <v>420</v>
      </c>
      <c r="L457">
        <v>148</v>
      </c>
      <c r="M457">
        <v>232.5</v>
      </c>
      <c r="N457">
        <v>860</v>
      </c>
      <c r="O457">
        <v>251</v>
      </c>
      <c r="P457">
        <v>46</v>
      </c>
      <c r="Q457">
        <v>162</v>
      </c>
      <c r="R457">
        <v>208</v>
      </c>
      <c r="S457">
        <v>240</v>
      </c>
      <c r="T457">
        <v>1760</v>
      </c>
      <c r="U457">
        <v>295</v>
      </c>
      <c r="V457">
        <v>287</v>
      </c>
      <c r="W457">
        <v>370</v>
      </c>
      <c r="X457">
        <v>478</v>
      </c>
      <c r="Y457">
        <v>285</v>
      </c>
      <c r="Z457">
        <v>2780</v>
      </c>
      <c r="AA457">
        <v>295</v>
      </c>
      <c r="AB457">
        <v>12</v>
      </c>
      <c r="AC457">
        <v>130</v>
      </c>
      <c r="AD457">
        <v>3650</v>
      </c>
      <c r="AE457">
        <v>285</v>
      </c>
    </row>
    <row r="458" spans="1:31" x14ac:dyDescent="0.25">
      <c r="A458" t="s">
        <v>720</v>
      </c>
      <c r="B458">
        <v>2015</v>
      </c>
      <c r="C458">
        <v>12</v>
      </c>
      <c r="D458">
        <v>82</v>
      </c>
      <c r="E458">
        <v>148.80000000000001</v>
      </c>
      <c r="F458">
        <v>339</v>
      </c>
      <c r="G458">
        <v>195</v>
      </c>
      <c r="H458">
        <v>155</v>
      </c>
      <c r="I458">
        <v>290</v>
      </c>
      <c r="J458">
        <v>19</v>
      </c>
      <c r="K458">
        <v>325</v>
      </c>
      <c r="L458">
        <v>115</v>
      </c>
      <c r="M458">
        <v>160</v>
      </c>
      <c r="N458">
        <v>710</v>
      </c>
      <c r="O458">
        <v>200</v>
      </c>
      <c r="P458">
        <v>33</v>
      </c>
      <c r="Q458">
        <v>140</v>
      </c>
      <c r="R458">
        <v>227</v>
      </c>
      <c r="S458">
        <v>210</v>
      </c>
      <c r="T458">
        <v>1532</v>
      </c>
      <c r="U458">
        <v>250</v>
      </c>
      <c r="V458">
        <v>597</v>
      </c>
      <c r="W458">
        <v>320</v>
      </c>
      <c r="X458">
        <v>432</v>
      </c>
      <c r="Y458">
        <v>230</v>
      </c>
      <c r="Z458">
        <v>2820</v>
      </c>
      <c r="AA458">
        <v>255</v>
      </c>
      <c r="AB458">
        <v>6</v>
      </c>
      <c r="AC458">
        <v>167.5</v>
      </c>
      <c r="AD458">
        <v>3535</v>
      </c>
      <c r="AE458">
        <v>250</v>
      </c>
    </row>
    <row r="459" spans="1:31" x14ac:dyDescent="0.25">
      <c r="A459" t="s">
        <v>724</v>
      </c>
      <c r="B459">
        <v>2015</v>
      </c>
      <c r="C459">
        <v>12</v>
      </c>
      <c r="D459">
        <v>992</v>
      </c>
      <c r="E459">
        <v>240</v>
      </c>
      <c r="F459">
        <v>2824</v>
      </c>
      <c r="G459">
        <v>275</v>
      </c>
      <c r="H459">
        <v>880</v>
      </c>
      <c r="I459">
        <v>332.5</v>
      </c>
      <c r="J459">
        <v>37</v>
      </c>
      <c r="K459">
        <v>385</v>
      </c>
      <c r="L459">
        <v>751</v>
      </c>
      <c r="M459">
        <v>237.9</v>
      </c>
      <c r="N459">
        <v>5485</v>
      </c>
      <c r="O459">
        <v>275</v>
      </c>
      <c r="P459">
        <v>168</v>
      </c>
      <c r="Q459">
        <v>170</v>
      </c>
      <c r="R459">
        <v>1027</v>
      </c>
      <c r="S459">
        <v>280</v>
      </c>
      <c r="T459">
        <v>5673</v>
      </c>
      <c r="U459">
        <v>310</v>
      </c>
      <c r="V459">
        <v>1453</v>
      </c>
      <c r="W459">
        <v>375</v>
      </c>
      <c r="X459">
        <v>1680</v>
      </c>
      <c r="Y459">
        <v>280</v>
      </c>
      <c r="Z459">
        <v>10000</v>
      </c>
      <c r="AA459">
        <v>310</v>
      </c>
      <c r="AB459">
        <v>148</v>
      </c>
      <c r="AC459">
        <v>169</v>
      </c>
      <c r="AD459">
        <v>15635</v>
      </c>
      <c r="AE459">
        <v>295</v>
      </c>
    </row>
    <row r="460" spans="1:31" x14ac:dyDescent="0.25">
      <c r="A460" t="s">
        <v>721</v>
      </c>
      <c r="B460">
        <v>2015</v>
      </c>
      <c r="C460">
        <v>12</v>
      </c>
      <c r="D460">
        <v>162</v>
      </c>
      <c r="E460">
        <v>210</v>
      </c>
      <c r="F460">
        <v>579</v>
      </c>
      <c r="G460">
        <v>280</v>
      </c>
      <c r="H460">
        <v>228</v>
      </c>
      <c r="I460">
        <v>320</v>
      </c>
      <c r="K460">
        <v>495</v>
      </c>
      <c r="L460">
        <v>142</v>
      </c>
      <c r="M460">
        <v>240</v>
      </c>
      <c r="N460">
        <v>1115</v>
      </c>
      <c r="O460">
        <v>275</v>
      </c>
      <c r="P460">
        <v>27</v>
      </c>
      <c r="Q460">
        <v>180</v>
      </c>
      <c r="R460">
        <v>203</v>
      </c>
      <c r="S460">
        <v>280</v>
      </c>
      <c r="T460">
        <v>1183</v>
      </c>
      <c r="U460">
        <v>340</v>
      </c>
      <c r="V460">
        <v>273</v>
      </c>
      <c r="W460">
        <v>400</v>
      </c>
      <c r="X460">
        <v>331</v>
      </c>
      <c r="Y460">
        <v>300</v>
      </c>
      <c r="Z460">
        <v>2015</v>
      </c>
      <c r="AA460">
        <v>335</v>
      </c>
      <c r="AB460">
        <v>38</v>
      </c>
      <c r="AC460">
        <v>150</v>
      </c>
      <c r="AD460">
        <v>3170</v>
      </c>
      <c r="AE460">
        <v>310</v>
      </c>
    </row>
    <row r="461" spans="1:31" x14ac:dyDescent="0.25">
      <c r="A461" t="s">
        <v>722</v>
      </c>
      <c r="B461">
        <v>2015</v>
      </c>
      <c r="C461">
        <v>12</v>
      </c>
      <c r="D461">
        <v>121</v>
      </c>
      <c r="E461">
        <v>230</v>
      </c>
      <c r="F461">
        <v>628</v>
      </c>
      <c r="G461">
        <v>280</v>
      </c>
      <c r="H461">
        <v>147</v>
      </c>
      <c r="I461">
        <v>385</v>
      </c>
      <c r="K461">
        <v>360</v>
      </c>
      <c r="L461">
        <v>162</v>
      </c>
      <c r="M461">
        <v>250</v>
      </c>
      <c r="N461">
        <v>1060</v>
      </c>
      <c r="O461">
        <v>280</v>
      </c>
      <c r="P461">
        <v>26</v>
      </c>
      <c r="Q461">
        <v>220</v>
      </c>
      <c r="R461">
        <v>190</v>
      </c>
      <c r="S461">
        <v>320</v>
      </c>
      <c r="T461">
        <v>684</v>
      </c>
      <c r="U461">
        <v>375</v>
      </c>
      <c r="V461">
        <v>142</v>
      </c>
      <c r="W461">
        <v>460</v>
      </c>
      <c r="X461">
        <v>287</v>
      </c>
      <c r="Y461">
        <v>320</v>
      </c>
      <c r="Z461">
        <v>1330</v>
      </c>
      <c r="AA461">
        <v>360</v>
      </c>
      <c r="AB461">
        <v>26</v>
      </c>
      <c r="AC461">
        <v>180</v>
      </c>
      <c r="AD461">
        <v>2415</v>
      </c>
      <c r="AE461">
        <v>320</v>
      </c>
    </row>
    <row r="462" spans="1:31" x14ac:dyDescent="0.25">
      <c r="A462" t="s">
        <v>723</v>
      </c>
      <c r="B462">
        <v>2015</v>
      </c>
      <c r="C462">
        <v>12</v>
      </c>
      <c r="E462">
        <v>150</v>
      </c>
      <c r="F462">
        <v>19</v>
      </c>
      <c r="G462">
        <v>175</v>
      </c>
      <c r="H462">
        <v>9</v>
      </c>
      <c r="I462">
        <v>235</v>
      </c>
      <c r="K462">
        <v>225</v>
      </c>
      <c r="L462">
        <v>14</v>
      </c>
      <c r="M462">
        <v>127.5</v>
      </c>
      <c r="N462">
        <v>50</v>
      </c>
      <c r="O462">
        <v>175</v>
      </c>
      <c r="P462">
        <v>7</v>
      </c>
      <c r="Q462">
        <v>150</v>
      </c>
      <c r="R462">
        <v>43</v>
      </c>
      <c r="S462">
        <v>210</v>
      </c>
      <c r="T462">
        <v>219</v>
      </c>
      <c r="U462">
        <v>230</v>
      </c>
      <c r="V462">
        <v>92</v>
      </c>
      <c r="W462">
        <v>297.5</v>
      </c>
      <c r="X462">
        <v>82</v>
      </c>
      <c r="Y462">
        <v>200</v>
      </c>
      <c r="Z462">
        <v>445</v>
      </c>
      <c r="AA462">
        <v>235</v>
      </c>
      <c r="AC462">
        <v>150</v>
      </c>
      <c r="AD462">
        <v>495</v>
      </c>
      <c r="AE462">
        <v>230</v>
      </c>
    </row>
    <row r="463" spans="1:31" x14ac:dyDescent="0.25">
      <c r="A463" t="s">
        <v>711</v>
      </c>
      <c r="B463">
        <v>2016</v>
      </c>
      <c r="C463">
        <v>3</v>
      </c>
      <c r="E463">
        <v>180</v>
      </c>
      <c r="F463">
        <v>33</v>
      </c>
      <c r="G463">
        <v>260</v>
      </c>
      <c r="H463">
        <v>41</v>
      </c>
      <c r="I463">
        <v>320</v>
      </c>
      <c r="K463">
        <v>650</v>
      </c>
      <c r="M463">
        <v>175</v>
      </c>
      <c r="N463">
        <v>85</v>
      </c>
      <c r="O463">
        <v>295</v>
      </c>
      <c r="P463">
        <v>11</v>
      </c>
      <c r="Q463">
        <v>240</v>
      </c>
      <c r="R463">
        <v>14</v>
      </c>
      <c r="S463">
        <v>330</v>
      </c>
      <c r="T463">
        <v>165</v>
      </c>
      <c r="U463">
        <v>350</v>
      </c>
      <c r="V463">
        <v>106</v>
      </c>
      <c r="W463">
        <v>420</v>
      </c>
      <c r="X463">
        <v>24</v>
      </c>
      <c r="Y463">
        <v>280</v>
      </c>
      <c r="Z463">
        <v>320</v>
      </c>
      <c r="AA463">
        <v>367.5</v>
      </c>
      <c r="AC463">
        <v>160</v>
      </c>
      <c r="AD463">
        <v>405</v>
      </c>
      <c r="AE463">
        <v>350</v>
      </c>
    </row>
    <row r="464" spans="1:31" x14ac:dyDescent="0.25">
      <c r="A464" t="s">
        <v>712</v>
      </c>
      <c r="B464">
        <v>2016</v>
      </c>
      <c r="C464">
        <v>3</v>
      </c>
      <c r="E464">
        <v>160</v>
      </c>
      <c r="F464">
        <v>48</v>
      </c>
      <c r="G464">
        <v>230</v>
      </c>
      <c r="H464">
        <v>23</v>
      </c>
      <c r="I464">
        <v>295</v>
      </c>
      <c r="J464">
        <v>0</v>
      </c>
      <c r="L464">
        <v>6</v>
      </c>
      <c r="M464">
        <v>140</v>
      </c>
      <c r="N464">
        <v>80</v>
      </c>
      <c r="O464">
        <v>240</v>
      </c>
      <c r="Q464">
        <v>175</v>
      </c>
      <c r="R464">
        <v>27</v>
      </c>
      <c r="S464">
        <v>260</v>
      </c>
      <c r="T464">
        <v>241</v>
      </c>
      <c r="U464">
        <v>300</v>
      </c>
      <c r="V464">
        <v>86</v>
      </c>
      <c r="W464">
        <v>360</v>
      </c>
      <c r="X464">
        <v>39</v>
      </c>
      <c r="Y464">
        <v>255</v>
      </c>
      <c r="Z464">
        <v>395</v>
      </c>
      <c r="AA464">
        <v>300</v>
      </c>
      <c r="AC464">
        <v>145</v>
      </c>
      <c r="AD464">
        <v>480</v>
      </c>
      <c r="AE464">
        <v>300</v>
      </c>
    </row>
    <row r="465" spans="1:31" x14ac:dyDescent="0.25">
      <c r="A465" t="s">
        <v>713</v>
      </c>
      <c r="B465">
        <v>2016</v>
      </c>
      <c r="C465">
        <v>3</v>
      </c>
      <c r="D465">
        <v>929</v>
      </c>
      <c r="E465">
        <v>270</v>
      </c>
      <c r="F465">
        <v>1348</v>
      </c>
      <c r="G465">
        <v>325</v>
      </c>
      <c r="H465">
        <v>290</v>
      </c>
      <c r="I465">
        <v>435</v>
      </c>
      <c r="J465">
        <v>15</v>
      </c>
      <c r="K465">
        <v>480</v>
      </c>
      <c r="L465">
        <v>132</v>
      </c>
      <c r="M465">
        <v>285</v>
      </c>
      <c r="N465">
        <v>2715</v>
      </c>
      <c r="O465">
        <v>300</v>
      </c>
      <c r="P465">
        <v>53</v>
      </c>
      <c r="Q465">
        <v>179</v>
      </c>
      <c r="R465">
        <v>295</v>
      </c>
      <c r="S465">
        <v>385</v>
      </c>
      <c r="T465">
        <v>747</v>
      </c>
      <c r="U465">
        <v>420</v>
      </c>
      <c r="V465">
        <v>217</v>
      </c>
      <c r="W465">
        <v>550</v>
      </c>
      <c r="X465">
        <v>157</v>
      </c>
      <c r="Y465">
        <v>330</v>
      </c>
      <c r="Z465">
        <v>1470</v>
      </c>
      <c r="AA465">
        <v>410</v>
      </c>
      <c r="AB465">
        <v>122</v>
      </c>
      <c r="AC465">
        <v>185</v>
      </c>
      <c r="AD465">
        <v>4305</v>
      </c>
      <c r="AE465">
        <v>340</v>
      </c>
    </row>
    <row r="466" spans="1:31" x14ac:dyDescent="0.25">
      <c r="A466" t="s">
        <v>714</v>
      </c>
      <c r="B466">
        <v>2016</v>
      </c>
      <c r="C466">
        <v>3</v>
      </c>
      <c r="D466">
        <v>25</v>
      </c>
      <c r="E466">
        <v>180</v>
      </c>
      <c r="F466">
        <v>84</v>
      </c>
      <c r="G466">
        <v>200</v>
      </c>
      <c r="H466">
        <v>29</v>
      </c>
      <c r="I466">
        <v>305</v>
      </c>
      <c r="J466">
        <v>7</v>
      </c>
      <c r="K466">
        <v>350</v>
      </c>
      <c r="L466">
        <v>9</v>
      </c>
      <c r="M466">
        <v>180</v>
      </c>
      <c r="N466">
        <v>155</v>
      </c>
      <c r="O466">
        <v>220</v>
      </c>
      <c r="Q466">
        <v>140</v>
      </c>
      <c r="R466">
        <v>63</v>
      </c>
      <c r="S466">
        <v>200</v>
      </c>
      <c r="T466">
        <v>294</v>
      </c>
      <c r="U466">
        <v>240</v>
      </c>
      <c r="V466">
        <v>93</v>
      </c>
      <c r="W466">
        <v>300</v>
      </c>
      <c r="X466">
        <v>36</v>
      </c>
      <c r="Y466">
        <v>242.5</v>
      </c>
      <c r="Z466">
        <v>490</v>
      </c>
      <c r="AA466">
        <v>250</v>
      </c>
      <c r="AC466">
        <v>150</v>
      </c>
      <c r="AD466">
        <v>650</v>
      </c>
      <c r="AE466">
        <v>240</v>
      </c>
    </row>
    <row r="467" spans="1:31" x14ac:dyDescent="0.25">
      <c r="A467" t="s">
        <v>715</v>
      </c>
      <c r="B467">
        <v>2016</v>
      </c>
      <c r="C467">
        <v>3</v>
      </c>
      <c r="D467">
        <v>7</v>
      </c>
      <c r="E467">
        <v>130</v>
      </c>
      <c r="F467">
        <v>38</v>
      </c>
      <c r="G467">
        <v>180</v>
      </c>
      <c r="H467">
        <v>11</v>
      </c>
      <c r="I467">
        <v>180</v>
      </c>
      <c r="K467">
        <v>250</v>
      </c>
      <c r="M467">
        <v>100</v>
      </c>
      <c r="N467">
        <v>65</v>
      </c>
      <c r="O467">
        <v>172.5</v>
      </c>
      <c r="Q467">
        <v>76.900000000000006</v>
      </c>
      <c r="R467">
        <v>10</v>
      </c>
      <c r="S467">
        <v>210</v>
      </c>
      <c r="T467">
        <v>137</v>
      </c>
      <c r="U467">
        <v>230</v>
      </c>
      <c r="V467">
        <v>87</v>
      </c>
      <c r="W467">
        <v>300</v>
      </c>
      <c r="X467">
        <v>9</v>
      </c>
      <c r="Y467">
        <v>179.7</v>
      </c>
      <c r="Z467">
        <v>245</v>
      </c>
      <c r="AA467">
        <v>250</v>
      </c>
      <c r="AB467">
        <v>0</v>
      </c>
      <c r="AD467">
        <v>310</v>
      </c>
      <c r="AE467">
        <v>230</v>
      </c>
    </row>
    <row r="468" spans="1:31" x14ac:dyDescent="0.25">
      <c r="A468" t="s">
        <v>716</v>
      </c>
      <c r="B468">
        <v>2016</v>
      </c>
      <c r="C468">
        <v>3</v>
      </c>
      <c r="D468">
        <v>16</v>
      </c>
      <c r="E468">
        <v>185</v>
      </c>
      <c r="F468">
        <v>46</v>
      </c>
      <c r="G468">
        <v>222.5</v>
      </c>
      <c r="H468">
        <v>19</v>
      </c>
      <c r="I468">
        <v>280</v>
      </c>
      <c r="J468">
        <v>6</v>
      </c>
      <c r="K468">
        <v>340</v>
      </c>
      <c r="M468">
        <v>150</v>
      </c>
      <c r="N468">
        <v>90</v>
      </c>
      <c r="O468">
        <v>227.5</v>
      </c>
      <c r="Q468">
        <v>150</v>
      </c>
      <c r="R468">
        <v>39</v>
      </c>
      <c r="S468">
        <v>245</v>
      </c>
      <c r="T468">
        <v>188</v>
      </c>
      <c r="U468">
        <v>280</v>
      </c>
      <c r="V468">
        <v>88</v>
      </c>
      <c r="W468">
        <v>340</v>
      </c>
      <c r="X468">
        <v>13</v>
      </c>
      <c r="Y468">
        <v>280</v>
      </c>
      <c r="Z468">
        <v>330</v>
      </c>
      <c r="AA468">
        <v>285</v>
      </c>
      <c r="AB468">
        <v>0</v>
      </c>
      <c r="AD468">
        <v>420</v>
      </c>
      <c r="AE468">
        <v>280</v>
      </c>
    </row>
    <row r="469" spans="1:31" x14ac:dyDescent="0.25">
      <c r="A469" t="s">
        <v>717</v>
      </c>
      <c r="B469">
        <v>2016</v>
      </c>
      <c r="C469">
        <v>3</v>
      </c>
      <c r="D469">
        <v>20</v>
      </c>
      <c r="E469">
        <v>130</v>
      </c>
      <c r="F469">
        <v>160</v>
      </c>
      <c r="G469">
        <v>170</v>
      </c>
      <c r="H469">
        <v>46</v>
      </c>
      <c r="I469">
        <v>270</v>
      </c>
      <c r="K469">
        <v>145</v>
      </c>
      <c r="M469">
        <v>190</v>
      </c>
      <c r="N469">
        <v>230</v>
      </c>
      <c r="O469">
        <v>185</v>
      </c>
      <c r="Q469">
        <v>152.5</v>
      </c>
      <c r="R469">
        <v>60</v>
      </c>
      <c r="S469">
        <v>190</v>
      </c>
      <c r="T469">
        <v>282</v>
      </c>
      <c r="U469">
        <v>230</v>
      </c>
      <c r="V469">
        <v>98</v>
      </c>
      <c r="W469">
        <v>315</v>
      </c>
      <c r="X469">
        <v>23</v>
      </c>
      <c r="Y469">
        <v>230</v>
      </c>
      <c r="Z469">
        <v>465</v>
      </c>
      <c r="AA469">
        <v>235</v>
      </c>
      <c r="AB469">
        <v>0</v>
      </c>
      <c r="AD469">
        <v>700</v>
      </c>
      <c r="AE469">
        <v>220</v>
      </c>
    </row>
    <row r="470" spans="1:31" x14ac:dyDescent="0.25">
      <c r="A470" t="s">
        <v>628</v>
      </c>
      <c r="B470">
        <v>2016</v>
      </c>
      <c r="C470">
        <v>3</v>
      </c>
      <c r="D470">
        <v>1439</v>
      </c>
      <c r="E470">
        <v>250</v>
      </c>
      <c r="F470">
        <v>3569</v>
      </c>
      <c r="G470">
        <v>290</v>
      </c>
      <c r="H470">
        <v>982</v>
      </c>
      <c r="I470">
        <v>353.5</v>
      </c>
      <c r="J470">
        <v>42</v>
      </c>
      <c r="K470">
        <v>437.5</v>
      </c>
      <c r="L470">
        <v>419</v>
      </c>
      <c r="M470">
        <v>245</v>
      </c>
      <c r="N470">
        <v>6450</v>
      </c>
      <c r="O470">
        <v>290</v>
      </c>
      <c r="P470">
        <v>195</v>
      </c>
      <c r="Q470">
        <v>170</v>
      </c>
      <c r="R470">
        <v>950</v>
      </c>
      <c r="S470">
        <v>312.5</v>
      </c>
      <c r="T470">
        <v>5373</v>
      </c>
      <c r="U470">
        <v>341</v>
      </c>
      <c r="V470">
        <v>1165</v>
      </c>
      <c r="W470">
        <v>420</v>
      </c>
      <c r="X470">
        <v>795</v>
      </c>
      <c r="Y470">
        <v>286.60000000000002</v>
      </c>
      <c r="Z470">
        <v>8480</v>
      </c>
      <c r="AA470">
        <v>340</v>
      </c>
      <c r="AB470">
        <v>260</v>
      </c>
      <c r="AC470">
        <v>172.3</v>
      </c>
      <c r="AD470">
        <v>15190</v>
      </c>
      <c r="AE470">
        <v>315</v>
      </c>
    </row>
    <row r="471" spans="1:31" x14ac:dyDescent="0.25">
      <c r="A471" t="s">
        <v>718</v>
      </c>
      <c r="B471">
        <v>2016</v>
      </c>
      <c r="C471">
        <v>3</v>
      </c>
      <c r="D471">
        <v>18</v>
      </c>
      <c r="E471">
        <v>145</v>
      </c>
      <c r="F471">
        <v>73</v>
      </c>
      <c r="G471">
        <v>170</v>
      </c>
      <c r="H471">
        <v>31</v>
      </c>
      <c r="I471">
        <v>235</v>
      </c>
      <c r="K471">
        <v>250</v>
      </c>
      <c r="L471">
        <v>12</v>
      </c>
      <c r="M471">
        <v>160</v>
      </c>
      <c r="N471">
        <v>135</v>
      </c>
      <c r="O471">
        <v>170</v>
      </c>
      <c r="Q471">
        <v>180</v>
      </c>
      <c r="R471">
        <v>58</v>
      </c>
      <c r="S471">
        <v>200</v>
      </c>
      <c r="T471">
        <v>344</v>
      </c>
      <c r="U471">
        <v>240</v>
      </c>
      <c r="V471">
        <v>85</v>
      </c>
      <c r="W471">
        <v>280</v>
      </c>
      <c r="X471">
        <v>28</v>
      </c>
      <c r="Y471">
        <v>220</v>
      </c>
      <c r="Z471">
        <v>520</v>
      </c>
      <c r="AA471">
        <v>240</v>
      </c>
      <c r="AB471">
        <v>6</v>
      </c>
      <c r="AC471">
        <v>107.5</v>
      </c>
      <c r="AD471">
        <v>660</v>
      </c>
      <c r="AE471">
        <v>225</v>
      </c>
    </row>
    <row r="472" spans="1:31" x14ac:dyDescent="0.25">
      <c r="A472" t="s">
        <v>719</v>
      </c>
      <c r="B472">
        <v>2016</v>
      </c>
      <c r="C472">
        <v>3</v>
      </c>
      <c r="D472">
        <v>137</v>
      </c>
      <c r="E472">
        <v>180</v>
      </c>
      <c r="F472">
        <v>486</v>
      </c>
      <c r="G472">
        <v>269</v>
      </c>
      <c r="H472">
        <v>251</v>
      </c>
      <c r="I472">
        <v>325</v>
      </c>
      <c r="J472">
        <v>7</v>
      </c>
      <c r="K472">
        <v>375</v>
      </c>
      <c r="L472">
        <v>81</v>
      </c>
      <c r="M472">
        <v>200</v>
      </c>
      <c r="N472">
        <v>960</v>
      </c>
      <c r="O472">
        <v>270</v>
      </c>
      <c r="P472">
        <v>37</v>
      </c>
      <c r="Q472">
        <v>170</v>
      </c>
      <c r="R472">
        <v>226</v>
      </c>
      <c r="S472">
        <v>260</v>
      </c>
      <c r="T472">
        <v>2155</v>
      </c>
      <c r="U472">
        <v>300</v>
      </c>
      <c r="V472">
        <v>339</v>
      </c>
      <c r="W472">
        <v>375</v>
      </c>
      <c r="X472">
        <v>284</v>
      </c>
      <c r="Y472">
        <v>280</v>
      </c>
      <c r="Z472">
        <v>3040</v>
      </c>
      <c r="AA472">
        <v>300</v>
      </c>
      <c r="AB472">
        <v>37</v>
      </c>
      <c r="AC472">
        <v>150</v>
      </c>
      <c r="AD472">
        <v>4040</v>
      </c>
      <c r="AE472">
        <v>295</v>
      </c>
    </row>
    <row r="473" spans="1:31" x14ac:dyDescent="0.25">
      <c r="A473" t="s">
        <v>720</v>
      </c>
      <c r="B473">
        <v>2016</v>
      </c>
      <c r="C473">
        <v>3</v>
      </c>
      <c r="D473">
        <v>110</v>
      </c>
      <c r="E473">
        <v>150</v>
      </c>
      <c r="F473">
        <v>500</v>
      </c>
      <c r="G473">
        <v>190</v>
      </c>
      <c r="H473">
        <v>214</v>
      </c>
      <c r="I473">
        <v>278</v>
      </c>
      <c r="J473">
        <v>21</v>
      </c>
      <c r="K473">
        <v>340</v>
      </c>
      <c r="L473">
        <v>50</v>
      </c>
      <c r="M473">
        <v>153.05000000000001</v>
      </c>
      <c r="N473">
        <v>895</v>
      </c>
      <c r="O473">
        <v>200</v>
      </c>
      <c r="P473">
        <v>38</v>
      </c>
      <c r="Q473">
        <v>175</v>
      </c>
      <c r="R473">
        <v>323</v>
      </c>
      <c r="S473">
        <v>220</v>
      </c>
      <c r="T473">
        <v>1976</v>
      </c>
      <c r="U473">
        <v>250</v>
      </c>
      <c r="V473">
        <v>764</v>
      </c>
      <c r="W473">
        <v>320</v>
      </c>
      <c r="X473">
        <v>214</v>
      </c>
      <c r="Y473">
        <v>225</v>
      </c>
      <c r="Z473">
        <v>3315</v>
      </c>
      <c r="AA473">
        <v>260</v>
      </c>
      <c r="AB473">
        <v>11</v>
      </c>
      <c r="AC473">
        <v>150</v>
      </c>
      <c r="AD473">
        <v>4220</v>
      </c>
      <c r="AE473">
        <v>250</v>
      </c>
    </row>
    <row r="474" spans="1:31" x14ac:dyDescent="0.25">
      <c r="A474" t="s">
        <v>724</v>
      </c>
      <c r="B474">
        <v>2016</v>
      </c>
      <c r="C474">
        <v>3</v>
      </c>
      <c r="D474">
        <v>1549</v>
      </c>
      <c r="E474">
        <v>245</v>
      </c>
      <c r="F474">
        <v>4069</v>
      </c>
      <c r="G474">
        <v>280</v>
      </c>
      <c r="H474">
        <v>1196</v>
      </c>
      <c r="I474">
        <v>340</v>
      </c>
      <c r="J474">
        <v>63</v>
      </c>
      <c r="K474">
        <v>410</v>
      </c>
      <c r="L474">
        <v>469</v>
      </c>
      <c r="M474">
        <v>230</v>
      </c>
      <c r="N474">
        <v>7345</v>
      </c>
      <c r="O474">
        <v>280</v>
      </c>
      <c r="P474">
        <v>233</v>
      </c>
      <c r="Q474">
        <v>170</v>
      </c>
      <c r="R474">
        <v>1273</v>
      </c>
      <c r="S474">
        <v>285</v>
      </c>
      <c r="T474">
        <v>7349</v>
      </c>
      <c r="U474">
        <v>320</v>
      </c>
      <c r="V474">
        <v>1929</v>
      </c>
      <c r="W474">
        <v>380</v>
      </c>
      <c r="X474">
        <v>1009</v>
      </c>
      <c r="Y474">
        <v>270</v>
      </c>
      <c r="Z474">
        <v>11795</v>
      </c>
      <c r="AA474">
        <v>320</v>
      </c>
      <c r="AB474">
        <v>271</v>
      </c>
      <c r="AC474">
        <v>170</v>
      </c>
      <c r="AD474">
        <v>19410</v>
      </c>
      <c r="AE474">
        <v>300</v>
      </c>
    </row>
    <row r="475" spans="1:31" x14ac:dyDescent="0.25">
      <c r="A475" t="s">
        <v>721</v>
      </c>
      <c r="B475">
        <v>2016</v>
      </c>
      <c r="C475">
        <v>3</v>
      </c>
      <c r="D475">
        <v>199</v>
      </c>
      <c r="E475">
        <v>220</v>
      </c>
      <c r="F475">
        <v>899</v>
      </c>
      <c r="G475">
        <v>280</v>
      </c>
      <c r="H475">
        <v>232</v>
      </c>
      <c r="I475">
        <v>322.5</v>
      </c>
      <c r="J475">
        <v>7</v>
      </c>
      <c r="K475">
        <v>370</v>
      </c>
      <c r="L475">
        <v>103</v>
      </c>
      <c r="M475">
        <v>220</v>
      </c>
      <c r="N475">
        <v>1440</v>
      </c>
      <c r="O475">
        <v>280</v>
      </c>
      <c r="P475">
        <v>79</v>
      </c>
      <c r="Q475">
        <v>165</v>
      </c>
      <c r="R475">
        <v>227</v>
      </c>
      <c r="S475">
        <v>290</v>
      </c>
      <c r="T475">
        <v>1525</v>
      </c>
      <c r="U475">
        <v>350</v>
      </c>
      <c r="V475">
        <v>407</v>
      </c>
      <c r="W475">
        <v>410</v>
      </c>
      <c r="X475">
        <v>176</v>
      </c>
      <c r="Y475">
        <v>300</v>
      </c>
      <c r="Z475">
        <v>2415</v>
      </c>
      <c r="AA475">
        <v>350</v>
      </c>
      <c r="AB475">
        <v>50</v>
      </c>
      <c r="AC475">
        <v>157.5</v>
      </c>
      <c r="AD475">
        <v>3905</v>
      </c>
      <c r="AE475">
        <v>320</v>
      </c>
    </row>
    <row r="476" spans="1:31" x14ac:dyDescent="0.25">
      <c r="A476" t="s">
        <v>722</v>
      </c>
      <c r="B476">
        <v>2016</v>
      </c>
      <c r="C476">
        <v>3</v>
      </c>
      <c r="D476">
        <v>174</v>
      </c>
      <c r="E476">
        <v>230</v>
      </c>
      <c r="F476">
        <v>836</v>
      </c>
      <c r="G476">
        <v>275</v>
      </c>
      <c r="H476">
        <v>209</v>
      </c>
      <c r="I476">
        <v>390</v>
      </c>
      <c r="J476">
        <v>13</v>
      </c>
      <c r="K476">
        <v>435</v>
      </c>
      <c r="L476">
        <v>103</v>
      </c>
      <c r="M476">
        <v>230</v>
      </c>
      <c r="N476">
        <v>1335</v>
      </c>
      <c r="O476">
        <v>280</v>
      </c>
      <c r="P476">
        <v>26</v>
      </c>
      <c r="Q476">
        <v>222.5</v>
      </c>
      <c r="R476">
        <v>202</v>
      </c>
      <c r="S476">
        <v>320</v>
      </c>
      <c r="T476">
        <v>946</v>
      </c>
      <c r="U476">
        <v>380</v>
      </c>
      <c r="V476">
        <v>202</v>
      </c>
      <c r="W476">
        <v>470</v>
      </c>
      <c r="X476">
        <v>178</v>
      </c>
      <c r="Y476">
        <v>270</v>
      </c>
      <c r="Z476">
        <v>1555</v>
      </c>
      <c r="AA476">
        <v>370</v>
      </c>
      <c r="AB476">
        <v>51</v>
      </c>
      <c r="AC476">
        <v>160</v>
      </c>
      <c r="AD476">
        <v>2940</v>
      </c>
      <c r="AE476">
        <v>325</v>
      </c>
    </row>
    <row r="477" spans="1:31" x14ac:dyDescent="0.25">
      <c r="A477" t="s">
        <v>723</v>
      </c>
      <c r="B477">
        <v>2016</v>
      </c>
      <c r="C477">
        <v>3</v>
      </c>
      <c r="D477">
        <v>16</v>
      </c>
      <c r="E477">
        <v>135</v>
      </c>
      <c r="F477">
        <v>18</v>
      </c>
      <c r="G477">
        <v>182.5</v>
      </c>
      <c r="H477">
        <v>14</v>
      </c>
      <c r="I477">
        <v>222</v>
      </c>
      <c r="K477">
        <v>330</v>
      </c>
      <c r="M477">
        <v>120</v>
      </c>
      <c r="N477">
        <v>55</v>
      </c>
      <c r="O477">
        <v>165</v>
      </c>
      <c r="P477">
        <v>8</v>
      </c>
      <c r="Q477">
        <v>145</v>
      </c>
      <c r="R477">
        <v>52</v>
      </c>
      <c r="S477">
        <v>200</v>
      </c>
      <c r="T477">
        <v>325</v>
      </c>
      <c r="U477">
        <v>240</v>
      </c>
      <c r="V477">
        <v>121</v>
      </c>
      <c r="W477">
        <v>290</v>
      </c>
      <c r="X477">
        <v>42</v>
      </c>
      <c r="Y477">
        <v>195</v>
      </c>
      <c r="Z477">
        <v>550</v>
      </c>
      <c r="AA477">
        <v>240</v>
      </c>
      <c r="AB477">
        <v>0</v>
      </c>
      <c r="AD477">
        <v>605</v>
      </c>
      <c r="AE477">
        <v>230</v>
      </c>
    </row>
    <row r="478" spans="1:31" x14ac:dyDescent="0.25">
      <c r="A478" t="s">
        <v>711</v>
      </c>
      <c r="B478">
        <v>2016</v>
      </c>
      <c r="C478">
        <v>6</v>
      </c>
      <c r="E478">
        <v>200</v>
      </c>
      <c r="F478">
        <v>27</v>
      </c>
      <c r="G478">
        <v>270</v>
      </c>
      <c r="H478">
        <v>28</v>
      </c>
      <c r="I478">
        <v>302.5</v>
      </c>
      <c r="K478">
        <v>387.5</v>
      </c>
      <c r="L478">
        <v>6</v>
      </c>
      <c r="M478">
        <v>285</v>
      </c>
      <c r="N478">
        <v>65</v>
      </c>
      <c r="O478">
        <v>290</v>
      </c>
      <c r="P478">
        <v>0</v>
      </c>
      <c r="R478">
        <v>23</v>
      </c>
      <c r="S478">
        <v>310</v>
      </c>
      <c r="T478">
        <v>161</v>
      </c>
      <c r="U478">
        <v>340</v>
      </c>
      <c r="V478">
        <v>121</v>
      </c>
      <c r="W478">
        <v>400</v>
      </c>
      <c r="X478">
        <v>17</v>
      </c>
      <c r="Y478">
        <v>300</v>
      </c>
      <c r="Z478">
        <v>320</v>
      </c>
      <c r="AA478">
        <v>360</v>
      </c>
      <c r="AC478">
        <v>165</v>
      </c>
      <c r="AD478">
        <v>390</v>
      </c>
      <c r="AE478">
        <v>350</v>
      </c>
    </row>
    <row r="479" spans="1:31" x14ac:dyDescent="0.25">
      <c r="A479" t="s">
        <v>712</v>
      </c>
      <c r="B479">
        <v>2016</v>
      </c>
      <c r="C479">
        <v>6</v>
      </c>
      <c r="D479">
        <v>8</v>
      </c>
      <c r="E479">
        <v>172.5</v>
      </c>
      <c r="F479">
        <v>52</v>
      </c>
      <c r="G479">
        <v>220</v>
      </c>
      <c r="H479">
        <v>31</v>
      </c>
      <c r="I479">
        <v>285</v>
      </c>
      <c r="J479">
        <v>0</v>
      </c>
      <c r="L479">
        <v>10</v>
      </c>
      <c r="M479">
        <v>195</v>
      </c>
      <c r="N479">
        <v>100</v>
      </c>
      <c r="O479">
        <v>230</v>
      </c>
      <c r="Q479">
        <v>180</v>
      </c>
      <c r="R479">
        <v>22</v>
      </c>
      <c r="S479">
        <v>237.5</v>
      </c>
      <c r="T479">
        <v>227</v>
      </c>
      <c r="U479">
        <v>300</v>
      </c>
      <c r="V479">
        <v>73</v>
      </c>
      <c r="W479">
        <v>380</v>
      </c>
      <c r="X479">
        <v>35</v>
      </c>
      <c r="Y479">
        <v>230</v>
      </c>
      <c r="Z479">
        <v>360</v>
      </c>
      <c r="AA479">
        <v>300</v>
      </c>
      <c r="AB479">
        <v>0</v>
      </c>
      <c r="AD479">
        <v>465</v>
      </c>
      <c r="AE479">
        <v>290</v>
      </c>
    </row>
    <row r="480" spans="1:31" x14ac:dyDescent="0.25">
      <c r="A480" t="s">
        <v>713</v>
      </c>
      <c r="B480">
        <v>2016</v>
      </c>
      <c r="C480">
        <v>6</v>
      </c>
      <c r="D480">
        <v>515</v>
      </c>
      <c r="E480">
        <v>282</v>
      </c>
      <c r="F480">
        <v>977</v>
      </c>
      <c r="G480">
        <v>300</v>
      </c>
      <c r="H480">
        <v>184</v>
      </c>
      <c r="I480">
        <v>427.5</v>
      </c>
      <c r="K480">
        <v>525</v>
      </c>
      <c r="L480">
        <v>86</v>
      </c>
      <c r="M480">
        <v>280</v>
      </c>
      <c r="N480">
        <v>1765</v>
      </c>
      <c r="O480">
        <v>300</v>
      </c>
      <c r="P480">
        <v>44</v>
      </c>
      <c r="Q480">
        <v>180.4</v>
      </c>
      <c r="R480">
        <v>195</v>
      </c>
      <c r="S480">
        <v>380</v>
      </c>
      <c r="T480">
        <v>564</v>
      </c>
      <c r="U480">
        <v>410</v>
      </c>
      <c r="V480">
        <v>152</v>
      </c>
      <c r="W480">
        <v>515</v>
      </c>
      <c r="X480">
        <v>80</v>
      </c>
      <c r="Y480">
        <v>325</v>
      </c>
      <c r="Z480">
        <v>1035</v>
      </c>
      <c r="AA480">
        <v>400</v>
      </c>
      <c r="AB480">
        <v>57</v>
      </c>
      <c r="AC480">
        <v>160</v>
      </c>
      <c r="AD480">
        <v>2855</v>
      </c>
      <c r="AE480">
        <v>330</v>
      </c>
    </row>
    <row r="481" spans="1:31" x14ac:dyDescent="0.25">
      <c r="A481" t="s">
        <v>714</v>
      </c>
      <c r="B481">
        <v>2016</v>
      </c>
      <c r="C481">
        <v>6</v>
      </c>
      <c r="D481">
        <v>18</v>
      </c>
      <c r="E481">
        <v>165</v>
      </c>
      <c r="F481">
        <v>64</v>
      </c>
      <c r="G481">
        <v>197.5</v>
      </c>
      <c r="H481">
        <v>31</v>
      </c>
      <c r="I481">
        <v>300</v>
      </c>
      <c r="J481">
        <v>9</v>
      </c>
      <c r="K481">
        <v>370</v>
      </c>
      <c r="L481">
        <v>7</v>
      </c>
      <c r="M481">
        <v>180</v>
      </c>
      <c r="N481">
        <v>130</v>
      </c>
      <c r="O481">
        <v>220</v>
      </c>
      <c r="Q481">
        <v>190</v>
      </c>
      <c r="R481">
        <v>38</v>
      </c>
      <c r="S481">
        <v>197.5</v>
      </c>
      <c r="T481">
        <v>271</v>
      </c>
      <c r="U481">
        <v>235</v>
      </c>
      <c r="V481">
        <v>71</v>
      </c>
      <c r="W481">
        <v>290</v>
      </c>
      <c r="X481">
        <v>18</v>
      </c>
      <c r="Y481">
        <v>200</v>
      </c>
      <c r="Z481">
        <v>400</v>
      </c>
      <c r="AA481">
        <v>240</v>
      </c>
      <c r="AB481">
        <v>0</v>
      </c>
      <c r="AD481">
        <v>530</v>
      </c>
      <c r="AE481">
        <v>235</v>
      </c>
    </row>
    <row r="482" spans="1:31" x14ac:dyDescent="0.25">
      <c r="A482" t="s">
        <v>715</v>
      </c>
      <c r="B482">
        <v>2016</v>
      </c>
      <c r="C482">
        <v>6</v>
      </c>
      <c r="D482">
        <v>19</v>
      </c>
      <c r="E482">
        <v>119.8</v>
      </c>
      <c r="F482">
        <v>34</v>
      </c>
      <c r="G482">
        <v>160</v>
      </c>
      <c r="H482">
        <v>10</v>
      </c>
      <c r="I482">
        <v>177.5</v>
      </c>
      <c r="K482">
        <v>135</v>
      </c>
      <c r="M482">
        <v>90</v>
      </c>
      <c r="N482">
        <v>65</v>
      </c>
      <c r="O482">
        <v>150</v>
      </c>
      <c r="Q482">
        <v>73.3</v>
      </c>
      <c r="R482">
        <v>32</v>
      </c>
      <c r="S482">
        <v>167.5</v>
      </c>
      <c r="T482">
        <v>122</v>
      </c>
      <c r="U482">
        <v>220</v>
      </c>
      <c r="V482">
        <v>70</v>
      </c>
      <c r="W482">
        <v>280</v>
      </c>
      <c r="Y482">
        <v>225</v>
      </c>
      <c r="Z482">
        <v>230</v>
      </c>
      <c r="AA482">
        <v>230</v>
      </c>
      <c r="AB482">
        <v>0</v>
      </c>
      <c r="AD482">
        <v>295</v>
      </c>
      <c r="AE482">
        <v>200</v>
      </c>
    </row>
    <row r="483" spans="1:31" x14ac:dyDescent="0.25">
      <c r="A483" t="s">
        <v>716</v>
      </c>
      <c r="B483">
        <v>2016</v>
      </c>
      <c r="C483">
        <v>6</v>
      </c>
      <c r="D483">
        <v>6</v>
      </c>
      <c r="E483">
        <v>160</v>
      </c>
      <c r="F483">
        <v>37</v>
      </c>
      <c r="G483">
        <v>235</v>
      </c>
      <c r="H483">
        <v>20</v>
      </c>
      <c r="I483">
        <v>272.5</v>
      </c>
      <c r="K483">
        <v>325</v>
      </c>
      <c r="L483">
        <v>7</v>
      </c>
      <c r="M483">
        <v>170</v>
      </c>
      <c r="N483">
        <v>75</v>
      </c>
      <c r="O483">
        <v>240</v>
      </c>
      <c r="Q483">
        <v>220</v>
      </c>
      <c r="R483">
        <v>36</v>
      </c>
      <c r="S483">
        <v>247.5</v>
      </c>
      <c r="T483">
        <v>180</v>
      </c>
      <c r="U483">
        <v>280</v>
      </c>
      <c r="V483">
        <v>98</v>
      </c>
      <c r="W483">
        <v>340</v>
      </c>
      <c r="X483">
        <v>20</v>
      </c>
      <c r="Y483">
        <v>270</v>
      </c>
      <c r="Z483">
        <v>335</v>
      </c>
      <c r="AA483">
        <v>285</v>
      </c>
      <c r="AB483">
        <v>0</v>
      </c>
      <c r="AD483">
        <v>410</v>
      </c>
      <c r="AE483">
        <v>280</v>
      </c>
    </row>
    <row r="484" spans="1:31" x14ac:dyDescent="0.25">
      <c r="A484" t="s">
        <v>717</v>
      </c>
      <c r="B484">
        <v>2016</v>
      </c>
      <c r="C484">
        <v>6</v>
      </c>
      <c r="D484">
        <v>24</v>
      </c>
      <c r="E484">
        <v>135</v>
      </c>
      <c r="F484">
        <v>109</v>
      </c>
      <c r="G484">
        <v>165</v>
      </c>
      <c r="H484">
        <v>30</v>
      </c>
      <c r="I484">
        <v>265</v>
      </c>
      <c r="J484">
        <v>0</v>
      </c>
      <c r="L484">
        <v>7</v>
      </c>
      <c r="M484">
        <v>190</v>
      </c>
      <c r="N484">
        <v>170</v>
      </c>
      <c r="O484">
        <v>174.5</v>
      </c>
      <c r="P484">
        <v>6</v>
      </c>
      <c r="Q484">
        <v>130</v>
      </c>
      <c r="R484">
        <v>58</v>
      </c>
      <c r="S484">
        <v>180</v>
      </c>
      <c r="T484">
        <v>274</v>
      </c>
      <c r="U484">
        <v>230</v>
      </c>
      <c r="V484">
        <v>64</v>
      </c>
      <c r="W484">
        <v>282.5</v>
      </c>
      <c r="X484">
        <v>29</v>
      </c>
      <c r="Y484">
        <v>213.5</v>
      </c>
      <c r="Z484">
        <v>430</v>
      </c>
      <c r="AA484">
        <v>225</v>
      </c>
      <c r="AC484">
        <v>260</v>
      </c>
      <c r="AD484">
        <v>600</v>
      </c>
      <c r="AE484">
        <v>210</v>
      </c>
    </row>
    <row r="485" spans="1:31" x14ac:dyDescent="0.25">
      <c r="A485" t="s">
        <v>628</v>
      </c>
      <c r="B485">
        <v>2016</v>
      </c>
      <c r="C485">
        <v>6</v>
      </c>
      <c r="D485">
        <v>875</v>
      </c>
      <c r="E485">
        <v>250</v>
      </c>
      <c r="F485">
        <v>2772</v>
      </c>
      <c r="G485">
        <v>280</v>
      </c>
      <c r="H485">
        <v>708</v>
      </c>
      <c r="I485">
        <v>350</v>
      </c>
      <c r="J485">
        <v>20</v>
      </c>
      <c r="K485">
        <v>330</v>
      </c>
      <c r="L485">
        <v>342</v>
      </c>
      <c r="M485">
        <v>250</v>
      </c>
      <c r="N485">
        <v>4715</v>
      </c>
      <c r="O485">
        <v>282</v>
      </c>
      <c r="P485">
        <v>156</v>
      </c>
      <c r="Q485">
        <v>180</v>
      </c>
      <c r="R485">
        <v>793</v>
      </c>
      <c r="S485">
        <v>310</v>
      </c>
      <c r="T485">
        <v>4835</v>
      </c>
      <c r="U485">
        <v>335</v>
      </c>
      <c r="V485">
        <v>942</v>
      </c>
      <c r="W485">
        <v>400</v>
      </c>
      <c r="X485">
        <v>718</v>
      </c>
      <c r="Y485">
        <v>287.5</v>
      </c>
      <c r="Z485">
        <v>7445</v>
      </c>
      <c r="AA485">
        <v>330</v>
      </c>
      <c r="AB485">
        <v>178</v>
      </c>
      <c r="AC485">
        <v>160</v>
      </c>
      <c r="AD485">
        <v>12340</v>
      </c>
      <c r="AE485">
        <v>310</v>
      </c>
    </row>
    <row r="486" spans="1:31" x14ac:dyDescent="0.25">
      <c r="A486" t="s">
        <v>718</v>
      </c>
      <c r="B486">
        <v>2016</v>
      </c>
      <c r="C486">
        <v>6</v>
      </c>
      <c r="D486">
        <v>23</v>
      </c>
      <c r="E486">
        <v>145</v>
      </c>
      <c r="F486">
        <v>57</v>
      </c>
      <c r="G486">
        <v>175</v>
      </c>
      <c r="H486">
        <v>23</v>
      </c>
      <c r="I486">
        <v>230</v>
      </c>
      <c r="K486">
        <v>400</v>
      </c>
      <c r="L486">
        <v>10</v>
      </c>
      <c r="M486">
        <v>154</v>
      </c>
      <c r="N486">
        <v>115</v>
      </c>
      <c r="O486">
        <v>170</v>
      </c>
      <c r="Q486">
        <v>185</v>
      </c>
      <c r="R486">
        <v>37</v>
      </c>
      <c r="S486">
        <v>205</v>
      </c>
      <c r="T486">
        <v>297</v>
      </c>
      <c r="U486">
        <v>240</v>
      </c>
      <c r="V486">
        <v>89</v>
      </c>
      <c r="W486">
        <v>280</v>
      </c>
      <c r="X486">
        <v>37</v>
      </c>
      <c r="Y486">
        <v>186</v>
      </c>
      <c r="Z486">
        <v>465</v>
      </c>
      <c r="AA486">
        <v>240</v>
      </c>
      <c r="AC486">
        <v>175</v>
      </c>
      <c r="AD486">
        <v>580</v>
      </c>
      <c r="AE486">
        <v>230</v>
      </c>
    </row>
    <row r="487" spans="1:31" x14ac:dyDescent="0.25">
      <c r="A487" t="s">
        <v>719</v>
      </c>
      <c r="B487">
        <v>2016</v>
      </c>
      <c r="C487">
        <v>6</v>
      </c>
      <c r="D487">
        <v>113</v>
      </c>
      <c r="E487">
        <v>200</v>
      </c>
      <c r="F487">
        <v>436</v>
      </c>
      <c r="G487">
        <v>260</v>
      </c>
      <c r="H487">
        <v>194</v>
      </c>
      <c r="I487">
        <v>310</v>
      </c>
      <c r="J487">
        <v>8</v>
      </c>
      <c r="K487">
        <v>330</v>
      </c>
      <c r="L487">
        <v>68</v>
      </c>
      <c r="M487">
        <v>202.25</v>
      </c>
      <c r="N487">
        <v>820</v>
      </c>
      <c r="O487">
        <v>265</v>
      </c>
      <c r="P487">
        <v>34</v>
      </c>
      <c r="Q487">
        <v>170</v>
      </c>
      <c r="R487">
        <v>194</v>
      </c>
      <c r="S487">
        <v>275</v>
      </c>
      <c r="T487">
        <v>2081</v>
      </c>
      <c r="U487">
        <v>300</v>
      </c>
      <c r="V487">
        <v>351</v>
      </c>
      <c r="W487">
        <v>350</v>
      </c>
      <c r="X487">
        <v>270</v>
      </c>
      <c r="Y487">
        <v>280</v>
      </c>
      <c r="Z487">
        <v>2930</v>
      </c>
      <c r="AA487">
        <v>300</v>
      </c>
      <c r="AB487">
        <v>28</v>
      </c>
      <c r="AC487">
        <v>155</v>
      </c>
      <c r="AD487">
        <v>3775</v>
      </c>
      <c r="AE487">
        <v>295</v>
      </c>
    </row>
    <row r="488" spans="1:31" x14ac:dyDescent="0.25">
      <c r="A488" t="s">
        <v>720</v>
      </c>
      <c r="B488">
        <v>2016</v>
      </c>
      <c r="C488">
        <v>6</v>
      </c>
      <c r="D488">
        <v>107</v>
      </c>
      <c r="E488">
        <v>140</v>
      </c>
      <c r="F488">
        <v>405</v>
      </c>
      <c r="G488">
        <v>195</v>
      </c>
      <c r="H488">
        <v>183</v>
      </c>
      <c r="I488">
        <v>275</v>
      </c>
      <c r="J488">
        <v>20</v>
      </c>
      <c r="K488">
        <v>350</v>
      </c>
      <c r="L488">
        <v>53</v>
      </c>
      <c r="M488">
        <v>170</v>
      </c>
      <c r="N488">
        <v>770</v>
      </c>
      <c r="O488">
        <v>200</v>
      </c>
      <c r="P488">
        <v>26</v>
      </c>
      <c r="Q488">
        <v>162.5</v>
      </c>
      <c r="R488">
        <v>295</v>
      </c>
      <c r="S488">
        <v>200</v>
      </c>
      <c r="T488">
        <v>1791</v>
      </c>
      <c r="U488">
        <v>250</v>
      </c>
      <c r="V488">
        <v>691</v>
      </c>
      <c r="W488">
        <v>320</v>
      </c>
      <c r="X488">
        <v>188</v>
      </c>
      <c r="Y488">
        <v>220.5</v>
      </c>
      <c r="Z488">
        <v>2990</v>
      </c>
      <c r="AA488">
        <v>260</v>
      </c>
      <c r="AB488">
        <v>7</v>
      </c>
      <c r="AC488">
        <v>165</v>
      </c>
      <c r="AD488">
        <v>3765</v>
      </c>
      <c r="AE488">
        <v>250</v>
      </c>
    </row>
    <row r="489" spans="1:31" x14ac:dyDescent="0.25">
      <c r="A489" t="s">
        <v>724</v>
      </c>
      <c r="B489">
        <v>2016</v>
      </c>
      <c r="C489">
        <v>6</v>
      </c>
      <c r="D489">
        <v>982</v>
      </c>
      <c r="E489">
        <v>245</v>
      </c>
      <c r="F489">
        <v>3177</v>
      </c>
      <c r="G489">
        <v>275</v>
      </c>
      <c r="H489">
        <v>891</v>
      </c>
      <c r="I489">
        <v>330</v>
      </c>
      <c r="J489">
        <v>40</v>
      </c>
      <c r="K489">
        <v>350</v>
      </c>
      <c r="L489">
        <v>395</v>
      </c>
      <c r="M489">
        <v>250</v>
      </c>
      <c r="N489">
        <v>5485</v>
      </c>
      <c r="O489">
        <v>276</v>
      </c>
      <c r="P489">
        <v>182</v>
      </c>
      <c r="Q489">
        <v>175</v>
      </c>
      <c r="R489">
        <v>1088</v>
      </c>
      <c r="S489">
        <v>285</v>
      </c>
      <c r="T489">
        <v>6626</v>
      </c>
      <c r="U489">
        <v>310</v>
      </c>
      <c r="V489">
        <v>1633</v>
      </c>
      <c r="W489">
        <v>360</v>
      </c>
      <c r="X489">
        <v>906</v>
      </c>
      <c r="Y489">
        <v>270</v>
      </c>
      <c r="Z489">
        <v>10435</v>
      </c>
      <c r="AA489">
        <v>310</v>
      </c>
      <c r="AB489">
        <v>185</v>
      </c>
      <c r="AC489">
        <v>160</v>
      </c>
      <c r="AD489">
        <v>16105</v>
      </c>
      <c r="AE489">
        <v>300</v>
      </c>
    </row>
    <row r="490" spans="1:31" x14ac:dyDescent="0.25">
      <c r="A490" t="s">
        <v>721</v>
      </c>
      <c r="B490">
        <v>2016</v>
      </c>
      <c r="C490">
        <v>6</v>
      </c>
      <c r="D490">
        <v>127</v>
      </c>
      <c r="E490">
        <v>240</v>
      </c>
      <c r="F490">
        <v>668</v>
      </c>
      <c r="G490">
        <v>275</v>
      </c>
      <c r="H490">
        <v>182</v>
      </c>
      <c r="I490">
        <v>335</v>
      </c>
      <c r="K490">
        <v>230</v>
      </c>
      <c r="L490">
        <v>65</v>
      </c>
      <c r="M490">
        <v>275</v>
      </c>
      <c r="N490">
        <v>1045</v>
      </c>
      <c r="O490">
        <v>280</v>
      </c>
      <c r="P490">
        <v>55</v>
      </c>
      <c r="Q490">
        <v>185</v>
      </c>
      <c r="R490">
        <v>179</v>
      </c>
      <c r="S490">
        <v>300</v>
      </c>
      <c r="T490">
        <v>1418</v>
      </c>
      <c r="U490">
        <v>340</v>
      </c>
      <c r="V490">
        <v>308</v>
      </c>
      <c r="W490">
        <v>402.5</v>
      </c>
      <c r="X490">
        <v>170</v>
      </c>
      <c r="Y490">
        <v>290</v>
      </c>
      <c r="Z490">
        <v>2130</v>
      </c>
      <c r="AA490">
        <v>340</v>
      </c>
      <c r="AB490">
        <v>28</v>
      </c>
      <c r="AC490">
        <v>157.5</v>
      </c>
      <c r="AD490">
        <v>3205</v>
      </c>
      <c r="AE490">
        <v>320</v>
      </c>
    </row>
    <row r="491" spans="1:31" x14ac:dyDescent="0.25">
      <c r="A491" t="s">
        <v>722</v>
      </c>
      <c r="B491">
        <v>2016</v>
      </c>
      <c r="C491">
        <v>6</v>
      </c>
      <c r="D491">
        <v>120</v>
      </c>
      <c r="E491">
        <v>227.5</v>
      </c>
      <c r="F491">
        <v>691</v>
      </c>
      <c r="G491">
        <v>275</v>
      </c>
      <c r="H491">
        <v>148</v>
      </c>
      <c r="I491">
        <v>365</v>
      </c>
      <c r="K491">
        <v>495</v>
      </c>
      <c r="L491">
        <v>123</v>
      </c>
      <c r="M491">
        <v>250</v>
      </c>
      <c r="N491">
        <v>1085</v>
      </c>
      <c r="O491">
        <v>270</v>
      </c>
      <c r="P491">
        <v>23</v>
      </c>
      <c r="Q491">
        <v>190</v>
      </c>
      <c r="R491">
        <v>225</v>
      </c>
      <c r="S491">
        <v>305</v>
      </c>
      <c r="T491">
        <v>772</v>
      </c>
      <c r="U491">
        <v>380</v>
      </c>
      <c r="V491">
        <v>131</v>
      </c>
      <c r="W491">
        <v>450</v>
      </c>
      <c r="X491">
        <v>198</v>
      </c>
      <c r="Y491">
        <v>240</v>
      </c>
      <c r="Z491">
        <v>1350</v>
      </c>
      <c r="AA491">
        <v>360</v>
      </c>
      <c r="AB491">
        <v>65</v>
      </c>
      <c r="AC491">
        <v>217.6</v>
      </c>
      <c r="AD491">
        <v>2500</v>
      </c>
      <c r="AE491">
        <v>310</v>
      </c>
    </row>
    <row r="492" spans="1:31" x14ac:dyDescent="0.25">
      <c r="A492" t="s">
        <v>723</v>
      </c>
      <c r="B492">
        <v>2016</v>
      </c>
      <c r="C492">
        <v>6</v>
      </c>
      <c r="D492">
        <v>8</v>
      </c>
      <c r="E492">
        <v>111</v>
      </c>
      <c r="F492">
        <v>25</v>
      </c>
      <c r="G492">
        <v>175</v>
      </c>
      <c r="H492">
        <v>10</v>
      </c>
      <c r="I492">
        <v>237.5</v>
      </c>
      <c r="J492">
        <v>0</v>
      </c>
      <c r="M492">
        <v>111.25</v>
      </c>
      <c r="N492">
        <v>45</v>
      </c>
      <c r="O492">
        <v>168.7</v>
      </c>
      <c r="Q492">
        <v>170</v>
      </c>
      <c r="R492">
        <v>49</v>
      </c>
      <c r="S492">
        <v>185</v>
      </c>
      <c r="T492">
        <v>259</v>
      </c>
      <c r="U492">
        <v>230</v>
      </c>
      <c r="V492">
        <v>105</v>
      </c>
      <c r="W492">
        <v>280</v>
      </c>
      <c r="X492">
        <v>28</v>
      </c>
      <c r="Y492">
        <v>222</v>
      </c>
      <c r="Z492">
        <v>445</v>
      </c>
      <c r="AA492">
        <v>240</v>
      </c>
      <c r="AC492">
        <v>155</v>
      </c>
      <c r="AD492">
        <v>495</v>
      </c>
      <c r="AE492">
        <v>230</v>
      </c>
    </row>
    <row r="493" spans="1:31" x14ac:dyDescent="0.25">
      <c r="A493" t="s">
        <v>711</v>
      </c>
      <c r="B493">
        <v>2016</v>
      </c>
      <c r="C493">
        <v>9</v>
      </c>
      <c r="E493">
        <v>200</v>
      </c>
      <c r="F493">
        <v>29</v>
      </c>
      <c r="G493">
        <v>260</v>
      </c>
      <c r="H493">
        <v>28</v>
      </c>
      <c r="I493">
        <v>317.5</v>
      </c>
      <c r="K493">
        <v>460</v>
      </c>
      <c r="L493">
        <v>8</v>
      </c>
      <c r="M493">
        <v>295</v>
      </c>
      <c r="N493">
        <v>70</v>
      </c>
      <c r="O493">
        <v>295</v>
      </c>
      <c r="Q493">
        <v>250</v>
      </c>
      <c r="R493">
        <v>18</v>
      </c>
      <c r="S493">
        <v>305</v>
      </c>
      <c r="T493">
        <v>156</v>
      </c>
      <c r="U493">
        <v>350</v>
      </c>
      <c r="V493">
        <v>94</v>
      </c>
      <c r="W493">
        <v>400</v>
      </c>
      <c r="X493">
        <v>15</v>
      </c>
      <c r="Y493">
        <v>300</v>
      </c>
      <c r="Z493">
        <v>285</v>
      </c>
      <c r="AA493">
        <v>360</v>
      </c>
      <c r="AC493">
        <v>186.25</v>
      </c>
      <c r="AD493">
        <v>360</v>
      </c>
      <c r="AE493">
        <v>350</v>
      </c>
    </row>
    <row r="494" spans="1:31" x14ac:dyDescent="0.25">
      <c r="A494" t="s">
        <v>712</v>
      </c>
      <c r="B494">
        <v>2016</v>
      </c>
      <c r="C494">
        <v>9</v>
      </c>
      <c r="D494">
        <v>11</v>
      </c>
      <c r="E494">
        <v>170</v>
      </c>
      <c r="F494">
        <v>42</v>
      </c>
      <c r="G494">
        <v>230</v>
      </c>
      <c r="H494">
        <v>19</v>
      </c>
      <c r="I494">
        <v>285</v>
      </c>
      <c r="K494">
        <v>385</v>
      </c>
      <c r="L494">
        <v>6</v>
      </c>
      <c r="M494">
        <v>187.5</v>
      </c>
      <c r="N494">
        <v>80</v>
      </c>
      <c r="O494">
        <v>230</v>
      </c>
      <c r="Q494">
        <v>150</v>
      </c>
      <c r="R494">
        <v>24</v>
      </c>
      <c r="S494">
        <v>255</v>
      </c>
      <c r="T494">
        <v>250</v>
      </c>
      <c r="U494">
        <v>300</v>
      </c>
      <c r="V494">
        <v>72</v>
      </c>
      <c r="W494">
        <v>360</v>
      </c>
      <c r="X494">
        <v>30</v>
      </c>
      <c r="Y494">
        <v>197.25</v>
      </c>
      <c r="Z494">
        <v>380</v>
      </c>
      <c r="AA494">
        <v>300</v>
      </c>
      <c r="AB494">
        <v>0</v>
      </c>
      <c r="AD494">
        <v>460</v>
      </c>
      <c r="AE494">
        <v>290</v>
      </c>
    </row>
    <row r="495" spans="1:31" x14ac:dyDescent="0.25">
      <c r="A495" t="s">
        <v>713</v>
      </c>
      <c r="B495">
        <v>2016</v>
      </c>
      <c r="C495">
        <v>9</v>
      </c>
      <c r="D495">
        <v>708</v>
      </c>
      <c r="E495">
        <v>264.5</v>
      </c>
      <c r="F495">
        <v>995</v>
      </c>
      <c r="G495">
        <v>320</v>
      </c>
      <c r="H495">
        <v>191</v>
      </c>
      <c r="I495">
        <v>420</v>
      </c>
      <c r="K495">
        <v>570</v>
      </c>
      <c r="L495">
        <v>97</v>
      </c>
      <c r="M495">
        <v>270</v>
      </c>
      <c r="N495">
        <v>1995</v>
      </c>
      <c r="O495">
        <v>300</v>
      </c>
      <c r="P495">
        <v>54</v>
      </c>
      <c r="Q495">
        <v>170</v>
      </c>
      <c r="R495">
        <v>180</v>
      </c>
      <c r="S495">
        <v>390</v>
      </c>
      <c r="T495">
        <v>577</v>
      </c>
      <c r="U495">
        <v>425</v>
      </c>
      <c r="V495">
        <v>162</v>
      </c>
      <c r="W495">
        <v>520</v>
      </c>
      <c r="X495">
        <v>64</v>
      </c>
      <c r="Y495">
        <v>327.5</v>
      </c>
      <c r="Z495">
        <v>1035</v>
      </c>
      <c r="AA495">
        <v>415</v>
      </c>
      <c r="AB495">
        <v>103</v>
      </c>
      <c r="AC495">
        <v>190</v>
      </c>
      <c r="AD495">
        <v>3135</v>
      </c>
      <c r="AE495">
        <v>337.5</v>
      </c>
    </row>
    <row r="496" spans="1:31" x14ac:dyDescent="0.25">
      <c r="A496" t="s">
        <v>714</v>
      </c>
      <c r="B496">
        <v>2016</v>
      </c>
      <c r="C496">
        <v>9</v>
      </c>
      <c r="D496">
        <v>25</v>
      </c>
      <c r="E496">
        <v>160</v>
      </c>
      <c r="F496">
        <v>55</v>
      </c>
      <c r="G496">
        <v>185</v>
      </c>
      <c r="H496">
        <v>20</v>
      </c>
      <c r="I496">
        <v>295</v>
      </c>
      <c r="J496">
        <v>7</v>
      </c>
      <c r="K496">
        <v>300</v>
      </c>
      <c r="L496">
        <v>6</v>
      </c>
      <c r="M496">
        <v>190</v>
      </c>
      <c r="N496">
        <v>115</v>
      </c>
      <c r="O496">
        <v>200</v>
      </c>
      <c r="Q496">
        <v>160</v>
      </c>
      <c r="R496">
        <v>48</v>
      </c>
      <c r="S496">
        <v>195</v>
      </c>
      <c r="T496">
        <v>226</v>
      </c>
      <c r="U496">
        <v>220</v>
      </c>
      <c r="V496">
        <v>69</v>
      </c>
      <c r="W496">
        <v>300</v>
      </c>
      <c r="X496">
        <v>12</v>
      </c>
      <c r="Y496">
        <v>192.5</v>
      </c>
      <c r="Z496">
        <v>360</v>
      </c>
      <c r="AA496">
        <v>220</v>
      </c>
      <c r="AC496">
        <v>135</v>
      </c>
      <c r="AD496">
        <v>475</v>
      </c>
      <c r="AE496">
        <v>220</v>
      </c>
    </row>
    <row r="497" spans="1:31" x14ac:dyDescent="0.25">
      <c r="A497" t="s">
        <v>715</v>
      </c>
      <c r="B497">
        <v>2016</v>
      </c>
      <c r="C497">
        <v>9</v>
      </c>
      <c r="D497">
        <v>15</v>
      </c>
      <c r="E497">
        <v>119.8</v>
      </c>
      <c r="F497">
        <v>34</v>
      </c>
      <c r="G497">
        <v>175</v>
      </c>
      <c r="H497">
        <v>15</v>
      </c>
      <c r="I497">
        <v>200</v>
      </c>
      <c r="J497">
        <v>8</v>
      </c>
      <c r="K497">
        <v>350</v>
      </c>
      <c r="M497">
        <v>185</v>
      </c>
      <c r="N497">
        <v>75</v>
      </c>
      <c r="O497">
        <v>180</v>
      </c>
      <c r="Q497">
        <v>100</v>
      </c>
      <c r="R497">
        <v>19</v>
      </c>
      <c r="S497">
        <v>180</v>
      </c>
      <c r="T497">
        <v>145</v>
      </c>
      <c r="U497">
        <v>220</v>
      </c>
      <c r="V497">
        <v>68</v>
      </c>
      <c r="W497">
        <v>300</v>
      </c>
      <c r="Y497">
        <v>125</v>
      </c>
      <c r="Z497">
        <v>240</v>
      </c>
      <c r="AA497">
        <v>232.5</v>
      </c>
      <c r="AB497">
        <v>0</v>
      </c>
      <c r="AD497">
        <v>315</v>
      </c>
      <c r="AE497">
        <v>220</v>
      </c>
    </row>
    <row r="498" spans="1:31" x14ac:dyDescent="0.25">
      <c r="A498" t="s">
        <v>716</v>
      </c>
      <c r="B498">
        <v>2016</v>
      </c>
      <c r="C498">
        <v>9</v>
      </c>
      <c r="D498">
        <v>20</v>
      </c>
      <c r="E498">
        <v>155</v>
      </c>
      <c r="F498">
        <v>45</v>
      </c>
      <c r="G498">
        <v>220</v>
      </c>
      <c r="H498">
        <v>19</v>
      </c>
      <c r="I498">
        <v>260</v>
      </c>
      <c r="K498">
        <v>280</v>
      </c>
      <c r="M498">
        <v>136</v>
      </c>
      <c r="N498">
        <v>90</v>
      </c>
      <c r="O498">
        <v>215</v>
      </c>
      <c r="Q498">
        <v>200</v>
      </c>
      <c r="R498">
        <v>37</v>
      </c>
      <c r="S498">
        <v>240</v>
      </c>
      <c r="T498">
        <v>166</v>
      </c>
      <c r="U498">
        <v>275</v>
      </c>
      <c r="V498">
        <v>71</v>
      </c>
      <c r="W498">
        <v>350</v>
      </c>
      <c r="X498">
        <v>25</v>
      </c>
      <c r="Y498">
        <v>216.5</v>
      </c>
      <c r="Z498">
        <v>305</v>
      </c>
      <c r="AA498">
        <v>280</v>
      </c>
      <c r="AB498">
        <v>0</v>
      </c>
      <c r="AD498">
        <v>390</v>
      </c>
      <c r="AE498">
        <v>270</v>
      </c>
    </row>
    <row r="499" spans="1:31" x14ac:dyDescent="0.25">
      <c r="A499" t="s">
        <v>717</v>
      </c>
      <c r="B499">
        <v>2016</v>
      </c>
      <c r="C499">
        <v>9</v>
      </c>
      <c r="D499">
        <v>22</v>
      </c>
      <c r="E499">
        <v>132.5</v>
      </c>
      <c r="F499">
        <v>120</v>
      </c>
      <c r="G499">
        <v>162.5</v>
      </c>
      <c r="H499">
        <v>24</v>
      </c>
      <c r="I499">
        <v>265</v>
      </c>
      <c r="J499">
        <v>0</v>
      </c>
      <c r="L499">
        <v>11</v>
      </c>
      <c r="M499">
        <v>138</v>
      </c>
      <c r="N499">
        <v>175</v>
      </c>
      <c r="O499">
        <v>170</v>
      </c>
      <c r="P499">
        <v>6</v>
      </c>
      <c r="Q499">
        <v>139</v>
      </c>
      <c r="R499">
        <v>53</v>
      </c>
      <c r="S499">
        <v>190</v>
      </c>
      <c r="T499">
        <v>276</v>
      </c>
      <c r="U499">
        <v>225</v>
      </c>
      <c r="V499">
        <v>50</v>
      </c>
      <c r="W499">
        <v>285</v>
      </c>
      <c r="X499">
        <v>17</v>
      </c>
      <c r="Y499">
        <v>191.4</v>
      </c>
      <c r="Z499">
        <v>400</v>
      </c>
      <c r="AA499">
        <v>225</v>
      </c>
      <c r="AC499">
        <v>130</v>
      </c>
      <c r="AD499">
        <v>580</v>
      </c>
      <c r="AE499">
        <v>210</v>
      </c>
    </row>
    <row r="500" spans="1:31" x14ac:dyDescent="0.25">
      <c r="A500" t="s">
        <v>628</v>
      </c>
      <c r="B500">
        <v>2016</v>
      </c>
      <c r="C500">
        <v>9</v>
      </c>
      <c r="D500">
        <v>1066</v>
      </c>
      <c r="E500">
        <v>250</v>
      </c>
      <c r="F500">
        <v>2712</v>
      </c>
      <c r="G500">
        <v>285</v>
      </c>
      <c r="H500">
        <v>773</v>
      </c>
      <c r="I500">
        <v>350</v>
      </c>
      <c r="J500">
        <v>25</v>
      </c>
      <c r="K500">
        <v>365</v>
      </c>
      <c r="L500">
        <v>300</v>
      </c>
      <c r="M500">
        <v>250</v>
      </c>
      <c r="N500">
        <v>4875</v>
      </c>
      <c r="O500">
        <v>285</v>
      </c>
      <c r="P500">
        <v>164</v>
      </c>
      <c r="Q500">
        <v>169.5</v>
      </c>
      <c r="R500">
        <v>688</v>
      </c>
      <c r="S500">
        <v>315</v>
      </c>
      <c r="T500">
        <v>4591</v>
      </c>
      <c r="U500">
        <v>340</v>
      </c>
      <c r="V500">
        <v>915</v>
      </c>
      <c r="W500">
        <v>400</v>
      </c>
      <c r="X500">
        <v>552</v>
      </c>
      <c r="Y500">
        <v>300</v>
      </c>
      <c r="Z500">
        <v>6910</v>
      </c>
      <c r="AA500">
        <v>340</v>
      </c>
      <c r="AB500">
        <v>202</v>
      </c>
      <c r="AC500">
        <v>170</v>
      </c>
      <c r="AD500">
        <v>11990</v>
      </c>
      <c r="AE500">
        <v>315</v>
      </c>
    </row>
    <row r="501" spans="1:31" x14ac:dyDescent="0.25">
      <c r="A501" t="s">
        <v>718</v>
      </c>
      <c r="B501">
        <v>2016</v>
      </c>
      <c r="C501">
        <v>9</v>
      </c>
      <c r="D501">
        <v>15</v>
      </c>
      <c r="E501">
        <v>155</v>
      </c>
      <c r="F501">
        <v>66</v>
      </c>
      <c r="G501">
        <v>175</v>
      </c>
      <c r="H501">
        <v>20</v>
      </c>
      <c r="I501">
        <v>240</v>
      </c>
      <c r="K501">
        <v>280</v>
      </c>
      <c r="L501">
        <v>10</v>
      </c>
      <c r="M501">
        <v>154</v>
      </c>
      <c r="N501">
        <v>115</v>
      </c>
      <c r="O501">
        <v>180</v>
      </c>
      <c r="Q501">
        <v>145</v>
      </c>
      <c r="R501">
        <v>42</v>
      </c>
      <c r="S501">
        <v>203.75</v>
      </c>
      <c r="T501">
        <v>276</v>
      </c>
      <c r="U501">
        <v>240</v>
      </c>
      <c r="V501">
        <v>107</v>
      </c>
      <c r="W501">
        <v>280</v>
      </c>
      <c r="X501">
        <v>28</v>
      </c>
      <c r="Y501">
        <v>185</v>
      </c>
      <c r="Z501">
        <v>455</v>
      </c>
      <c r="AA501">
        <v>240</v>
      </c>
      <c r="AB501">
        <v>0</v>
      </c>
      <c r="AD501">
        <v>570</v>
      </c>
      <c r="AE501">
        <v>230</v>
      </c>
    </row>
    <row r="502" spans="1:31" x14ac:dyDescent="0.25">
      <c r="A502" t="s">
        <v>719</v>
      </c>
      <c r="B502">
        <v>2016</v>
      </c>
      <c r="C502">
        <v>9</v>
      </c>
      <c r="D502">
        <v>82</v>
      </c>
      <c r="E502">
        <v>187</v>
      </c>
      <c r="F502">
        <v>432</v>
      </c>
      <c r="G502">
        <v>260</v>
      </c>
      <c r="H502">
        <v>200</v>
      </c>
      <c r="I502">
        <v>300</v>
      </c>
      <c r="K502">
        <v>357.5</v>
      </c>
      <c r="L502">
        <v>61</v>
      </c>
      <c r="M502">
        <v>230</v>
      </c>
      <c r="N502">
        <v>780</v>
      </c>
      <c r="O502">
        <v>260</v>
      </c>
      <c r="P502">
        <v>33</v>
      </c>
      <c r="Q502">
        <v>168</v>
      </c>
      <c r="R502">
        <v>179</v>
      </c>
      <c r="S502">
        <v>265</v>
      </c>
      <c r="T502">
        <v>1924</v>
      </c>
      <c r="U502">
        <v>300</v>
      </c>
      <c r="V502">
        <v>320</v>
      </c>
      <c r="W502">
        <v>360</v>
      </c>
      <c r="X502">
        <v>213</v>
      </c>
      <c r="Y502">
        <v>290</v>
      </c>
      <c r="Z502">
        <v>2670</v>
      </c>
      <c r="AA502">
        <v>300</v>
      </c>
      <c r="AB502">
        <v>19</v>
      </c>
      <c r="AC502">
        <v>155</v>
      </c>
      <c r="AD502">
        <v>3465</v>
      </c>
      <c r="AE502">
        <v>295</v>
      </c>
    </row>
    <row r="503" spans="1:31" x14ac:dyDescent="0.25">
      <c r="A503" t="s">
        <v>720</v>
      </c>
      <c r="B503">
        <v>2016</v>
      </c>
      <c r="C503">
        <v>9</v>
      </c>
      <c r="D503">
        <v>119</v>
      </c>
      <c r="E503">
        <v>150</v>
      </c>
      <c r="F503">
        <v>422</v>
      </c>
      <c r="G503">
        <v>190</v>
      </c>
      <c r="H503">
        <v>162</v>
      </c>
      <c r="I503">
        <v>270</v>
      </c>
      <c r="J503">
        <v>23</v>
      </c>
      <c r="K503">
        <v>350</v>
      </c>
      <c r="L503">
        <v>47</v>
      </c>
      <c r="M503">
        <v>150</v>
      </c>
      <c r="N503">
        <v>775</v>
      </c>
      <c r="O503">
        <v>200</v>
      </c>
      <c r="P503">
        <v>34</v>
      </c>
      <c r="Q503">
        <v>150</v>
      </c>
      <c r="R503">
        <v>287</v>
      </c>
      <c r="S503">
        <v>220</v>
      </c>
      <c r="T503">
        <v>1765</v>
      </c>
      <c r="U503">
        <v>250</v>
      </c>
      <c r="V503">
        <v>622</v>
      </c>
      <c r="W503">
        <v>320</v>
      </c>
      <c r="X503">
        <v>153</v>
      </c>
      <c r="Y503">
        <v>199.1</v>
      </c>
      <c r="Z503">
        <v>2860</v>
      </c>
      <c r="AA503">
        <v>251</v>
      </c>
      <c r="AB503">
        <v>6</v>
      </c>
      <c r="AC503">
        <v>137.5</v>
      </c>
      <c r="AD503">
        <v>3640</v>
      </c>
      <c r="AE503">
        <v>250</v>
      </c>
    </row>
    <row r="504" spans="1:31" x14ac:dyDescent="0.25">
      <c r="A504" t="s">
        <v>724</v>
      </c>
      <c r="B504">
        <v>2016</v>
      </c>
      <c r="C504">
        <v>9</v>
      </c>
      <c r="D504">
        <v>1185</v>
      </c>
      <c r="E504">
        <v>240</v>
      </c>
      <c r="F504">
        <v>3134</v>
      </c>
      <c r="G504">
        <v>280</v>
      </c>
      <c r="H504">
        <v>935</v>
      </c>
      <c r="I504">
        <v>330</v>
      </c>
      <c r="J504">
        <v>48</v>
      </c>
      <c r="K504">
        <v>350</v>
      </c>
      <c r="L504">
        <v>347</v>
      </c>
      <c r="M504">
        <v>240</v>
      </c>
      <c r="N504">
        <v>5650</v>
      </c>
      <c r="O504">
        <v>280</v>
      </c>
      <c r="P504">
        <v>198</v>
      </c>
      <c r="Q504">
        <v>165</v>
      </c>
      <c r="R504">
        <v>975</v>
      </c>
      <c r="S504">
        <v>280</v>
      </c>
      <c r="T504">
        <v>6356</v>
      </c>
      <c r="U504">
        <v>320</v>
      </c>
      <c r="V504">
        <v>1537</v>
      </c>
      <c r="W504">
        <v>365</v>
      </c>
      <c r="X504">
        <v>705</v>
      </c>
      <c r="Y504">
        <v>270</v>
      </c>
      <c r="Z504">
        <v>9770</v>
      </c>
      <c r="AA504">
        <v>320</v>
      </c>
      <c r="AB504">
        <v>208</v>
      </c>
      <c r="AC504">
        <v>170</v>
      </c>
      <c r="AD504">
        <v>15630</v>
      </c>
      <c r="AE504">
        <v>300</v>
      </c>
    </row>
    <row r="505" spans="1:31" x14ac:dyDescent="0.25">
      <c r="A505" t="s">
        <v>721</v>
      </c>
      <c r="B505">
        <v>2016</v>
      </c>
      <c r="C505">
        <v>9</v>
      </c>
      <c r="D505">
        <v>148</v>
      </c>
      <c r="E505">
        <v>232.5</v>
      </c>
      <c r="F505">
        <v>591</v>
      </c>
      <c r="G505">
        <v>280</v>
      </c>
      <c r="H505">
        <v>212</v>
      </c>
      <c r="I505">
        <v>345</v>
      </c>
      <c r="J505">
        <v>11</v>
      </c>
      <c r="K505">
        <v>370</v>
      </c>
      <c r="L505">
        <v>54</v>
      </c>
      <c r="M505">
        <v>245</v>
      </c>
      <c r="N505">
        <v>1015</v>
      </c>
      <c r="O505">
        <v>285</v>
      </c>
      <c r="P505">
        <v>49</v>
      </c>
      <c r="Q505">
        <v>163</v>
      </c>
      <c r="R505">
        <v>148</v>
      </c>
      <c r="S505">
        <v>325</v>
      </c>
      <c r="T505">
        <v>1269</v>
      </c>
      <c r="U505">
        <v>350</v>
      </c>
      <c r="V505">
        <v>284</v>
      </c>
      <c r="W505">
        <v>400</v>
      </c>
      <c r="X505">
        <v>123</v>
      </c>
      <c r="Y505">
        <v>300</v>
      </c>
      <c r="Z505">
        <v>1875</v>
      </c>
      <c r="AA505">
        <v>350</v>
      </c>
      <c r="AB505">
        <v>38</v>
      </c>
      <c r="AC505">
        <v>161.5</v>
      </c>
      <c r="AD505">
        <v>2925</v>
      </c>
      <c r="AE505">
        <v>325</v>
      </c>
    </row>
    <row r="506" spans="1:31" x14ac:dyDescent="0.25">
      <c r="A506" t="s">
        <v>722</v>
      </c>
      <c r="B506">
        <v>2016</v>
      </c>
      <c r="C506">
        <v>9</v>
      </c>
      <c r="D506">
        <v>128</v>
      </c>
      <c r="E506">
        <v>230</v>
      </c>
      <c r="F506">
        <v>694</v>
      </c>
      <c r="G506">
        <v>275</v>
      </c>
      <c r="H506">
        <v>170</v>
      </c>
      <c r="I506">
        <v>365</v>
      </c>
      <c r="J506">
        <v>7</v>
      </c>
      <c r="K506">
        <v>210</v>
      </c>
      <c r="L506">
        <v>88</v>
      </c>
      <c r="M506">
        <v>250</v>
      </c>
      <c r="N506">
        <v>1085</v>
      </c>
      <c r="O506">
        <v>280</v>
      </c>
      <c r="P506">
        <v>28</v>
      </c>
      <c r="Q506">
        <v>170</v>
      </c>
      <c r="R506">
        <v>181</v>
      </c>
      <c r="S506">
        <v>310</v>
      </c>
      <c r="T506">
        <v>821</v>
      </c>
      <c r="U506">
        <v>375</v>
      </c>
      <c r="V506">
        <v>149</v>
      </c>
      <c r="W506">
        <v>450</v>
      </c>
      <c r="X506">
        <v>152</v>
      </c>
      <c r="Y506">
        <v>277.5</v>
      </c>
      <c r="Z506">
        <v>1330</v>
      </c>
      <c r="AA506">
        <v>360</v>
      </c>
      <c r="AB506">
        <v>42</v>
      </c>
      <c r="AC506">
        <v>170</v>
      </c>
      <c r="AD506">
        <v>2460</v>
      </c>
      <c r="AE506">
        <v>320</v>
      </c>
    </row>
    <row r="507" spans="1:31" x14ac:dyDescent="0.25">
      <c r="A507" t="s">
        <v>723</v>
      </c>
      <c r="B507">
        <v>2016</v>
      </c>
      <c r="C507">
        <v>9</v>
      </c>
      <c r="D507">
        <v>10</v>
      </c>
      <c r="E507">
        <v>135</v>
      </c>
      <c r="F507">
        <v>31</v>
      </c>
      <c r="G507">
        <v>180</v>
      </c>
      <c r="H507">
        <v>17</v>
      </c>
      <c r="I507">
        <v>235</v>
      </c>
      <c r="J507">
        <v>0</v>
      </c>
      <c r="M507">
        <v>149.25</v>
      </c>
      <c r="N507">
        <v>60</v>
      </c>
      <c r="O507">
        <v>190</v>
      </c>
      <c r="P507">
        <v>7</v>
      </c>
      <c r="Q507">
        <v>150</v>
      </c>
      <c r="R507">
        <v>46</v>
      </c>
      <c r="S507">
        <v>200</v>
      </c>
      <c r="T507">
        <v>270</v>
      </c>
      <c r="U507">
        <v>230</v>
      </c>
      <c r="V507">
        <v>91</v>
      </c>
      <c r="W507">
        <v>300</v>
      </c>
      <c r="X507">
        <v>23</v>
      </c>
      <c r="Y507">
        <v>165</v>
      </c>
      <c r="Z507">
        <v>435</v>
      </c>
      <c r="AA507">
        <v>235</v>
      </c>
      <c r="AC507">
        <v>150</v>
      </c>
      <c r="AD507">
        <v>500</v>
      </c>
      <c r="AE507">
        <v>230</v>
      </c>
    </row>
    <row r="508" spans="1:31" x14ac:dyDescent="0.25">
      <c r="A508" t="s">
        <v>711</v>
      </c>
      <c r="B508">
        <v>2016</v>
      </c>
      <c r="C508">
        <v>12</v>
      </c>
      <c r="E508">
        <v>200</v>
      </c>
      <c r="F508">
        <v>12</v>
      </c>
      <c r="G508">
        <v>265</v>
      </c>
      <c r="H508">
        <v>26</v>
      </c>
      <c r="I508">
        <v>327.5</v>
      </c>
      <c r="K508">
        <v>327.5</v>
      </c>
      <c r="L508">
        <v>7</v>
      </c>
      <c r="M508">
        <v>210</v>
      </c>
      <c r="N508">
        <v>50</v>
      </c>
      <c r="O508">
        <v>307.5</v>
      </c>
      <c r="Q508">
        <v>260</v>
      </c>
      <c r="R508">
        <v>15</v>
      </c>
      <c r="S508">
        <v>290</v>
      </c>
      <c r="T508">
        <v>125</v>
      </c>
      <c r="U508">
        <v>350</v>
      </c>
      <c r="V508">
        <v>66</v>
      </c>
      <c r="W508">
        <v>407.5</v>
      </c>
      <c r="X508">
        <v>7</v>
      </c>
      <c r="Y508">
        <v>300</v>
      </c>
      <c r="Z508">
        <v>215</v>
      </c>
      <c r="AA508">
        <v>350</v>
      </c>
      <c r="AC508">
        <v>155</v>
      </c>
      <c r="AD508">
        <v>265</v>
      </c>
      <c r="AE508">
        <v>340</v>
      </c>
    </row>
    <row r="509" spans="1:31" x14ac:dyDescent="0.25">
      <c r="A509" t="s">
        <v>712</v>
      </c>
      <c r="B509">
        <v>2016</v>
      </c>
      <c r="C509">
        <v>12</v>
      </c>
      <c r="D509">
        <v>10</v>
      </c>
      <c r="E509">
        <v>172.5</v>
      </c>
      <c r="F509">
        <v>28</v>
      </c>
      <c r="G509">
        <v>230</v>
      </c>
      <c r="H509">
        <v>14</v>
      </c>
      <c r="I509">
        <v>280</v>
      </c>
      <c r="K509">
        <v>395</v>
      </c>
      <c r="M509">
        <v>290</v>
      </c>
      <c r="N509">
        <v>55</v>
      </c>
      <c r="O509">
        <v>232.5</v>
      </c>
      <c r="P509">
        <v>0</v>
      </c>
      <c r="R509">
        <v>13</v>
      </c>
      <c r="S509">
        <v>224</v>
      </c>
      <c r="T509">
        <v>172</v>
      </c>
      <c r="U509">
        <v>295</v>
      </c>
      <c r="V509">
        <v>52</v>
      </c>
      <c r="W509">
        <v>355</v>
      </c>
      <c r="X509">
        <v>20</v>
      </c>
      <c r="Y509">
        <v>255</v>
      </c>
      <c r="Z509">
        <v>255</v>
      </c>
      <c r="AA509">
        <v>300</v>
      </c>
      <c r="AB509">
        <v>0</v>
      </c>
      <c r="AD509">
        <v>315</v>
      </c>
      <c r="AE509">
        <v>290</v>
      </c>
    </row>
    <row r="510" spans="1:31" x14ac:dyDescent="0.25">
      <c r="A510" t="s">
        <v>713</v>
      </c>
      <c r="B510">
        <v>2016</v>
      </c>
      <c r="C510">
        <v>12</v>
      </c>
      <c r="D510">
        <v>373</v>
      </c>
      <c r="E510">
        <v>280</v>
      </c>
      <c r="F510">
        <v>653</v>
      </c>
      <c r="G510">
        <v>320</v>
      </c>
      <c r="H510">
        <v>132</v>
      </c>
      <c r="I510">
        <v>377.5</v>
      </c>
      <c r="J510">
        <v>7</v>
      </c>
      <c r="K510">
        <v>600</v>
      </c>
      <c r="L510">
        <v>54</v>
      </c>
      <c r="M510">
        <v>270</v>
      </c>
      <c r="N510">
        <v>1220</v>
      </c>
      <c r="O510">
        <v>310</v>
      </c>
      <c r="P510">
        <v>31</v>
      </c>
      <c r="Q510">
        <v>170</v>
      </c>
      <c r="R510">
        <v>142</v>
      </c>
      <c r="S510">
        <v>390</v>
      </c>
      <c r="T510">
        <v>414</v>
      </c>
      <c r="U510">
        <v>400</v>
      </c>
      <c r="V510">
        <v>119</v>
      </c>
      <c r="W510">
        <v>590</v>
      </c>
      <c r="X510">
        <v>52</v>
      </c>
      <c r="Y510">
        <v>340</v>
      </c>
      <c r="Z510">
        <v>760</v>
      </c>
      <c r="AA510">
        <v>400</v>
      </c>
      <c r="AB510">
        <v>33</v>
      </c>
      <c r="AC510">
        <v>190</v>
      </c>
      <c r="AD510">
        <v>2010</v>
      </c>
      <c r="AE510">
        <v>345</v>
      </c>
    </row>
    <row r="511" spans="1:31" x14ac:dyDescent="0.25">
      <c r="A511" t="s">
        <v>714</v>
      </c>
      <c r="B511">
        <v>2016</v>
      </c>
      <c r="C511">
        <v>12</v>
      </c>
      <c r="D511">
        <v>10</v>
      </c>
      <c r="E511">
        <v>162.5</v>
      </c>
      <c r="F511">
        <v>39</v>
      </c>
      <c r="G511">
        <v>180</v>
      </c>
      <c r="H511">
        <v>16</v>
      </c>
      <c r="I511">
        <v>320</v>
      </c>
      <c r="K511">
        <v>295</v>
      </c>
      <c r="L511">
        <v>7</v>
      </c>
      <c r="M511">
        <v>175</v>
      </c>
      <c r="N511">
        <v>75</v>
      </c>
      <c r="O511">
        <v>185</v>
      </c>
      <c r="Q511">
        <v>180</v>
      </c>
      <c r="R511">
        <v>29</v>
      </c>
      <c r="S511">
        <v>165</v>
      </c>
      <c r="T511">
        <v>187</v>
      </c>
      <c r="U511">
        <v>220</v>
      </c>
      <c r="V511">
        <v>68</v>
      </c>
      <c r="W511">
        <v>300</v>
      </c>
      <c r="X511">
        <v>15</v>
      </c>
      <c r="Y511">
        <v>180</v>
      </c>
      <c r="Z511">
        <v>305</v>
      </c>
      <c r="AA511">
        <v>230</v>
      </c>
      <c r="AC511">
        <v>150</v>
      </c>
      <c r="AD511">
        <v>380</v>
      </c>
      <c r="AE511">
        <v>225</v>
      </c>
    </row>
    <row r="512" spans="1:31" x14ac:dyDescent="0.25">
      <c r="A512" t="s">
        <v>715</v>
      </c>
      <c r="B512">
        <v>2016</v>
      </c>
      <c r="C512">
        <v>12</v>
      </c>
      <c r="D512">
        <v>8</v>
      </c>
      <c r="E512">
        <v>114</v>
      </c>
      <c r="F512">
        <v>25</v>
      </c>
      <c r="G512">
        <v>180</v>
      </c>
      <c r="H512">
        <v>7</v>
      </c>
      <c r="I512">
        <v>165</v>
      </c>
      <c r="K512">
        <v>215</v>
      </c>
      <c r="M512">
        <v>210</v>
      </c>
      <c r="N512">
        <v>45</v>
      </c>
      <c r="O512">
        <v>175</v>
      </c>
      <c r="Q512">
        <v>74</v>
      </c>
      <c r="R512">
        <v>22</v>
      </c>
      <c r="S512">
        <v>172.13499999999999</v>
      </c>
      <c r="T512">
        <v>89</v>
      </c>
      <c r="U512">
        <v>200</v>
      </c>
      <c r="V512">
        <v>44</v>
      </c>
      <c r="W512">
        <v>275</v>
      </c>
      <c r="Y512">
        <v>250</v>
      </c>
      <c r="Z512">
        <v>160</v>
      </c>
      <c r="AA512">
        <v>220</v>
      </c>
      <c r="AB512">
        <v>0</v>
      </c>
      <c r="AD512">
        <v>205</v>
      </c>
      <c r="AE512">
        <v>200</v>
      </c>
    </row>
    <row r="513" spans="1:31" x14ac:dyDescent="0.25">
      <c r="A513" t="s">
        <v>716</v>
      </c>
      <c r="B513">
        <v>2016</v>
      </c>
      <c r="C513">
        <v>12</v>
      </c>
      <c r="D513">
        <v>9</v>
      </c>
      <c r="E513">
        <v>190</v>
      </c>
      <c r="F513">
        <v>23</v>
      </c>
      <c r="G513">
        <v>230</v>
      </c>
      <c r="I513">
        <v>240</v>
      </c>
      <c r="J513">
        <v>0</v>
      </c>
      <c r="M513">
        <v>129.19999999999999</v>
      </c>
      <c r="N513">
        <v>40</v>
      </c>
      <c r="O513">
        <v>200</v>
      </c>
      <c r="Q513">
        <v>200</v>
      </c>
      <c r="R513">
        <v>24</v>
      </c>
      <c r="S513">
        <v>250</v>
      </c>
      <c r="T513">
        <v>114</v>
      </c>
      <c r="U513">
        <v>280</v>
      </c>
      <c r="V513">
        <v>61</v>
      </c>
      <c r="W513">
        <v>345</v>
      </c>
      <c r="X513">
        <v>21</v>
      </c>
      <c r="Y513">
        <v>250</v>
      </c>
      <c r="Z513">
        <v>225</v>
      </c>
      <c r="AA513">
        <v>285</v>
      </c>
      <c r="AC513">
        <v>290</v>
      </c>
      <c r="AD513">
        <v>265</v>
      </c>
      <c r="AE513">
        <v>270</v>
      </c>
    </row>
    <row r="514" spans="1:31" x14ac:dyDescent="0.25">
      <c r="A514" t="s">
        <v>717</v>
      </c>
      <c r="B514">
        <v>2016</v>
      </c>
      <c r="C514">
        <v>12</v>
      </c>
      <c r="D514">
        <v>15</v>
      </c>
      <c r="E514">
        <v>125</v>
      </c>
      <c r="F514">
        <v>77</v>
      </c>
      <c r="G514">
        <v>175</v>
      </c>
      <c r="H514">
        <v>15</v>
      </c>
      <c r="I514">
        <v>260</v>
      </c>
      <c r="K514">
        <v>350</v>
      </c>
      <c r="L514">
        <v>7</v>
      </c>
      <c r="M514">
        <v>155.32</v>
      </c>
      <c r="N514">
        <v>115</v>
      </c>
      <c r="O514">
        <v>175</v>
      </c>
      <c r="Q514">
        <v>307.5</v>
      </c>
      <c r="R514">
        <v>38</v>
      </c>
      <c r="S514">
        <v>187.5</v>
      </c>
      <c r="T514">
        <v>185</v>
      </c>
      <c r="U514">
        <v>225</v>
      </c>
      <c r="V514">
        <v>31</v>
      </c>
      <c r="W514">
        <v>285</v>
      </c>
      <c r="X514">
        <v>7</v>
      </c>
      <c r="Y514">
        <v>145</v>
      </c>
      <c r="Z514">
        <v>265</v>
      </c>
      <c r="AA514">
        <v>220</v>
      </c>
      <c r="AB514">
        <v>0</v>
      </c>
      <c r="AD514">
        <v>380</v>
      </c>
      <c r="AE514">
        <v>210</v>
      </c>
    </row>
    <row r="515" spans="1:31" x14ac:dyDescent="0.25">
      <c r="A515" t="s">
        <v>628</v>
      </c>
      <c r="B515">
        <v>2016</v>
      </c>
      <c r="C515">
        <v>12</v>
      </c>
      <c r="D515">
        <v>624</v>
      </c>
      <c r="E515">
        <v>250</v>
      </c>
      <c r="F515">
        <v>1926</v>
      </c>
      <c r="G515">
        <v>290</v>
      </c>
      <c r="H515">
        <v>492</v>
      </c>
      <c r="I515">
        <v>350</v>
      </c>
      <c r="J515">
        <v>12</v>
      </c>
      <c r="K515">
        <v>300</v>
      </c>
      <c r="L515">
        <v>220</v>
      </c>
      <c r="M515">
        <v>245</v>
      </c>
      <c r="N515">
        <v>3275</v>
      </c>
      <c r="O515">
        <v>290</v>
      </c>
      <c r="P515">
        <v>101</v>
      </c>
      <c r="Q515">
        <v>170</v>
      </c>
      <c r="R515">
        <v>516</v>
      </c>
      <c r="S515">
        <v>320</v>
      </c>
      <c r="T515">
        <v>3235</v>
      </c>
      <c r="U515">
        <v>340</v>
      </c>
      <c r="V515">
        <v>608</v>
      </c>
      <c r="W515">
        <v>420</v>
      </c>
      <c r="X515">
        <v>494</v>
      </c>
      <c r="Y515">
        <v>300</v>
      </c>
      <c r="Z515">
        <v>4955</v>
      </c>
      <c r="AA515">
        <v>340</v>
      </c>
      <c r="AB515">
        <v>91</v>
      </c>
      <c r="AC515">
        <v>160</v>
      </c>
      <c r="AD515">
        <v>8320</v>
      </c>
      <c r="AE515">
        <v>320</v>
      </c>
    </row>
    <row r="516" spans="1:31" x14ac:dyDescent="0.25">
      <c r="A516" t="s">
        <v>718</v>
      </c>
      <c r="B516">
        <v>2016</v>
      </c>
      <c r="C516">
        <v>12</v>
      </c>
      <c r="D516">
        <v>8</v>
      </c>
      <c r="E516">
        <v>160</v>
      </c>
      <c r="F516">
        <v>39</v>
      </c>
      <c r="G516">
        <v>180</v>
      </c>
      <c r="H516">
        <v>8</v>
      </c>
      <c r="I516">
        <v>250</v>
      </c>
      <c r="K516">
        <v>250</v>
      </c>
      <c r="M516">
        <v>216</v>
      </c>
      <c r="N516">
        <v>60</v>
      </c>
      <c r="O516">
        <v>180</v>
      </c>
      <c r="Q516">
        <v>137.5</v>
      </c>
      <c r="R516">
        <v>28</v>
      </c>
      <c r="S516">
        <v>210</v>
      </c>
      <c r="T516">
        <v>194</v>
      </c>
      <c r="U516">
        <v>240</v>
      </c>
      <c r="V516">
        <v>52</v>
      </c>
      <c r="W516">
        <v>280</v>
      </c>
      <c r="X516">
        <v>29</v>
      </c>
      <c r="Y516">
        <v>200</v>
      </c>
      <c r="Z516">
        <v>305</v>
      </c>
      <c r="AA516">
        <v>240</v>
      </c>
      <c r="AC516">
        <v>52.75</v>
      </c>
      <c r="AD516">
        <v>365</v>
      </c>
      <c r="AE516">
        <v>230</v>
      </c>
    </row>
    <row r="517" spans="1:31" x14ac:dyDescent="0.25">
      <c r="A517" t="s">
        <v>719</v>
      </c>
      <c r="B517">
        <v>2016</v>
      </c>
      <c r="C517">
        <v>12</v>
      </c>
      <c r="D517">
        <v>53</v>
      </c>
      <c r="E517">
        <v>200</v>
      </c>
      <c r="F517">
        <v>301</v>
      </c>
      <c r="G517">
        <v>265</v>
      </c>
      <c r="H517">
        <v>131</v>
      </c>
      <c r="I517">
        <v>310</v>
      </c>
      <c r="K517">
        <v>165</v>
      </c>
      <c r="L517">
        <v>57</v>
      </c>
      <c r="M517">
        <v>189</v>
      </c>
      <c r="N517">
        <v>545</v>
      </c>
      <c r="O517">
        <v>270</v>
      </c>
      <c r="P517">
        <v>20</v>
      </c>
      <c r="Q517">
        <v>163</v>
      </c>
      <c r="R517">
        <v>120</v>
      </c>
      <c r="S517">
        <v>267.5</v>
      </c>
      <c r="T517">
        <v>1375</v>
      </c>
      <c r="U517">
        <v>300</v>
      </c>
      <c r="V517">
        <v>176</v>
      </c>
      <c r="W517">
        <v>360</v>
      </c>
      <c r="X517">
        <v>192</v>
      </c>
      <c r="Y517">
        <v>285</v>
      </c>
      <c r="Z517">
        <v>1885</v>
      </c>
      <c r="AA517">
        <v>300</v>
      </c>
      <c r="AC517">
        <v>147.5</v>
      </c>
      <c r="AD517">
        <v>2430</v>
      </c>
      <c r="AE517">
        <v>295</v>
      </c>
    </row>
    <row r="518" spans="1:31" x14ac:dyDescent="0.25">
      <c r="A518" t="s">
        <v>720</v>
      </c>
      <c r="B518">
        <v>2016</v>
      </c>
      <c r="C518">
        <v>12</v>
      </c>
      <c r="D518">
        <v>69</v>
      </c>
      <c r="E518">
        <v>155</v>
      </c>
      <c r="F518">
        <v>262</v>
      </c>
      <c r="G518">
        <v>190</v>
      </c>
      <c r="H518">
        <v>100</v>
      </c>
      <c r="I518">
        <v>295</v>
      </c>
      <c r="J518">
        <v>12</v>
      </c>
      <c r="K518">
        <v>322.5</v>
      </c>
      <c r="L518">
        <v>38</v>
      </c>
      <c r="M518">
        <v>185</v>
      </c>
      <c r="N518">
        <v>480</v>
      </c>
      <c r="O518">
        <v>200</v>
      </c>
      <c r="P518">
        <v>23</v>
      </c>
      <c r="Q518">
        <v>155</v>
      </c>
      <c r="R518">
        <v>197</v>
      </c>
      <c r="S518">
        <v>210</v>
      </c>
      <c r="T518">
        <v>1267</v>
      </c>
      <c r="U518">
        <v>250</v>
      </c>
      <c r="V518">
        <v>444</v>
      </c>
      <c r="W518">
        <v>330</v>
      </c>
      <c r="X518">
        <v>128</v>
      </c>
      <c r="Y518">
        <v>210</v>
      </c>
      <c r="Z518">
        <v>2060</v>
      </c>
      <c r="AA518">
        <v>255</v>
      </c>
      <c r="AB518">
        <v>5</v>
      </c>
      <c r="AC518">
        <v>155</v>
      </c>
      <c r="AD518">
        <v>2545</v>
      </c>
      <c r="AE518">
        <v>250</v>
      </c>
    </row>
    <row r="519" spans="1:31" x14ac:dyDescent="0.25">
      <c r="A519" t="s">
        <v>724</v>
      </c>
      <c r="B519">
        <v>2016</v>
      </c>
      <c r="C519">
        <v>12</v>
      </c>
      <c r="D519">
        <v>693</v>
      </c>
      <c r="E519">
        <v>245</v>
      </c>
      <c r="F519">
        <v>2188</v>
      </c>
      <c r="G519">
        <v>280</v>
      </c>
      <c r="H519">
        <v>592</v>
      </c>
      <c r="I519">
        <v>340</v>
      </c>
      <c r="J519">
        <v>24</v>
      </c>
      <c r="K519">
        <v>315</v>
      </c>
      <c r="L519">
        <v>258</v>
      </c>
      <c r="M519">
        <v>231</v>
      </c>
      <c r="N519">
        <v>3755</v>
      </c>
      <c r="O519">
        <v>280</v>
      </c>
      <c r="P519">
        <v>124</v>
      </c>
      <c r="Q519">
        <v>167.5</v>
      </c>
      <c r="R519">
        <v>713</v>
      </c>
      <c r="S519">
        <v>285</v>
      </c>
      <c r="T519">
        <v>4502</v>
      </c>
      <c r="U519">
        <v>318</v>
      </c>
      <c r="V519">
        <v>1052</v>
      </c>
      <c r="W519">
        <v>370</v>
      </c>
      <c r="X519">
        <v>622</v>
      </c>
      <c r="Y519">
        <v>280</v>
      </c>
      <c r="Z519">
        <v>7015</v>
      </c>
      <c r="AA519">
        <v>320</v>
      </c>
      <c r="AB519">
        <v>96</v>
      </c>
      <c r="AC519">
        <v>160</v>
      </c>
      <c r="AD519">
        <v>10865</v>
      </c>
      <c r="AE519">
        <v>300</v>
      </c>
    </row>
    <row r="520" spans="1:31" x14ac:dyDescent="0.25">
      <c r="A520" t="s">
        <v>721</v>
      </c>
      <c r="B520">
        <v>2016</v>
      </c>
      <c r="C520">
        <v>12</v>
      </c>
      <c r="D520">
        <v>97</v>
      </c>
      <c r="E520">
        <v>235</v>
      </c>
      <c r="F520">
        <v>437</v>
      </c>
      <c r="G520">
        <v>280</v>
      </c>
      <c r="H520">
        <v>126</v>
      </c>
      <c r="I520">
        <v>350</v>
      </c>
      <c r="K520">
        <v>320</v>
      </c>
      <c r="L520">
        <v>37</v>
      </c>
      <c r="M520">
        <v>245</v>
      </c>
      <c r="N520">
        <v>700</v>
      </c>
      <c r="O520">
        <v>290</v>
      </c>
      <c r="P520">
        <v>32</v>
      </c>
      <c r="Q520">
        <v>175</v>
      </c>
      <c r="R520">
        <v>120</v>
      </c>
      <c r="S520">
        <v>300</v>
      </c>
      <c r="T520">
        <v>876</v>
      </c>
      <c r="U520">
        <v>350</v>
      </c>
      <c r="V520">
        <v>187</v>
      </c>
      <c r="W520">
        <v>400</v>
      </c>
      <c r="X520">
        <v>133</v>
      </c>
      <c r="Y520">
        <v>300</v>
      </c>
      <c r="Z520">
        <v>1350</v>
      </c>
      <c r="AA520">
        <v>350</v>
      </c>
      <c r="AB520">
        <v>26</v>
      </c>
      <c r="AC520">
        <v>150</v>
      </c>
      <c r="AD520">
        <v>2075</v>
      </c>
      <c r="AE520">
        <v>325</v>
      </c>
    </row>
    <row r="521" spans="1:31" x14ac:dyDescent="0.25">
      <c r="A521" t="s">
        <v>722</v>
      </c>
      <c r="B521">
        <v>2016</v>
      </c>
      <c r="C521">
        <v>12</v>
      </c>
      <c r="D521">
        <v>101</v>
      </c>
      <c r="E521">
        <v>230</v>
      </c>
      <c r="F521">
        <v>535</v>
      </c>
      <c r="G521">
        <v>285</v>
      </c>
      <c r="H521">
        <v>103</v>
      </c>
      <c r="I521">
        <v>390</v>
      </c>
      <c r="K521">
        <v>260</v>
      </c>
      <c r="L521">
        <v>72</v>
      </c>
      <c r="M521">
        <v>242.5</v>
      </c>
      <c r="N521">
        <v>810</v>
      </c>
      <c r="O521">
        <v>280</v>
      </c>
      <c r="P521">
        <v>18</v>
      </c>
      <c r="Q521">
        <v>170</v>
      </c>
      <c r="R521">
        <v>134</v>
      </c>
      <c r="S521">
        <v>312.5</v>
      </c>
      <c r="T521">
        <v>570</v>
      </c>
      <c r="U521">
        <v>380</v>
      </c>
      <c r="V521">
        <v>126</v>
      </c>
      <c r="W521">
        <v>465</v>
      </c>
      <c r="X521">
        <v>117</v>
      </c>
      <c r="Y521">
        <v>300</v>
      </c>
      <c r="Z521">
        <v>965</v>
      </c>
      <c r="AA521">
        <v>370</v>
      </c>
      <c r="AB521">
        <v>28</v>
      </c>
      <c r="AC521">
        <v>155</v>
      </c>
      <c r="AD521">
        <v>1805</v>
      </c>
      <c r="AE521">
        <v>330</v>
      </c>
    </row>
    <row r="522" spans="1:31" x14ac:dyDescent="0.25">
      <c r="A522" t="s">
        <v>723</v>
      </c>
      <c r="B522">
        <v>2016</v>
      </c>
      <c r="C522">
        <v>12</v>
      </c>
      <c r="D522">
        <v>6</v>
      </c>
      <c r="E522">
        <v>165</v>
      </c>
      <c r="F522">
        <v>19</v>
      </c>
      <c r="G522">
        <v>164</v>
      </c>
      <c r="H522">
        <v>11</v>
      </c>
      <c r="I522">
        <v>250</v>
      </c>
      <c r="K522">
        <v>330</v>
      </c>
      <c r="M522">
        <v>115</v>
      </c>
      <c r="N522">
        <v>40</v>
      </c>
      <c r="O522">
        <v>180</v>
      </c>
      <c r="Q522">
        <v>120</v>
      </c>
      <c r="R522">
        <v>28</v>
      </c>
      <c r="S522">
        <v>197.5</v>
      </c>
      <c r="T522">
        <v>201</v>
      </c>
      <c r="U522">
        <v>240</v>
      </c>
      <c r="V522">
        <v>70</v>
      </c>
      <c r="W522">
        <v>300</v>
      </c>
      <c r="X522">
        <v>26</v>
      </c>
      <c r="Y522">
        <v>200</v>
      </c>
      <c r="Z522">
        <v>330</v>
      </c>
      <c r="AA522">
        <v>240</v>
      </c>
      <c r="AB522">
        <v>0</v>
      </c>
      <c r="AD522">
        <v>370</v>
      </c>
      <c r="AE522">
        <v>235</v>
      </c>
    </row>
    <row r="523" spans="1:31" x14ac:dyDescent="0.25">
      <c r="A523" t="s">
        <v>711</v>
      </c>
      <c r="B523">
        <v>2017</v>
      </c>
      <c r="C523">
        <v>3</v>
      </c>
      <c r="E523">
        <v>190</v>
      </c>
      <c r="F523">
        <v>17</v>
      </c>
      <c r="G523">
        <v>280</v>
      </c>
      <c r="H523">
        <v>38</v>
      </c>
      <c r="I523">
        <v>317.5</v>
      </c>
      <c r="J523">
        <v>6</v>
      </c>
      <c r="K523">
        <v>420</v>
      </c>
      <c r="L523">
        <v>14</v>
      </c>
      <c r="M523">
        <v>290</v>
      </c>
      <c r="N523">
        <v>75</v>
      </c>
      <c r="O523">
        <v>302.5</v>
      </c>
      <c r="P523">
        <v>11</v>
      </c>
      <c r="Q523">
        <v>240</v>
      </c>
      <c r="R523">
        <v>19</v>
      </c>
      <c r="S523">
        <v>300</v>
      </c>
      <c r="T523">
        <v>190</v>
      </c>
      <c r="U523">
        <v>350</v>
      </c>
      <c r="V523">
        <v>96</v>
      </c>
      <c r="W523">
        <v>410</v>
      </c>
      <c r="X523">
        <v>19</v>
      </c>
      <c r="Y523">
        <v>300</v>
      </c>
      <c r="Z523">
        <v>335</v>
      </c>
      <c r="AA523">
        <v>360</v>
      </c>
      <c r="AB523">
        <v>0</v>
      </c>
      <c r="AD523">
        <v>410</v>
      </c>
      <c r="AE523">
        <v>350</v>
      </c>
    </row>
    <row r="524" spans="1:31" x14ac:dyDescent="0.25">
      <c r="A524" t="s">
        <v>712</v>
      </c>
      <c r="B524">
        <v>2017</v>
      </c>
      <c r="C524">
        <v>3</v>
      </c>
      <c r="D524">
        <v>8</v>
      </c>
      <c r="E524">
        <v>197.5</v>
      </c>
      <c r="F524">
        <v>50</v>
      </c>
      <c r="G524">
        <v>232.5</v>
      </c>
      <c r="H524">
        <v>27</v>
      </c>
      <c r="I524">
        <v>285</v>
      </c>
      <c r="K524">
        <v>450</v>
      </c>
      <c r="L524">
        <v>9</v>
      </c>
      <c r="M524">
        <v>250</v>
      </c>
      <c r="N524">
        <v>95</v>
      </c>
      <c r="O524">
        <v>250</v>
      </c>
      <c r="P524">
        <v>6</v>
      </c>
      <c r="Q524">
        <v>182.5</v>
      </c>
      <c r="R524">
        <v>31</v>
      </c>
      <c r="S524">
        <v>260</v>
      </c>
      <c r="T524">
        <v>244</v>
      </c>
      <c r="U524">
        <v>300</v>
      </c>
      <c r="V524">
        <v>87</v>
      </c>
      <c r="W524">
        <v>370</v>
      </c>
      <c r="X524">
        <v>31</v>
      </c>
      <c r="Y524">
        <v>250</v>
      </c>
      <c r="Z524">
        <v>400</v>
      </c>
      <c r="AA524">
        <v>310</v>
      </c>
      <c r="AB524">
        <v>0</v>
      </c>
      <c r="AD524">
        <v>495</v>
      </c>
      <c r="AE524">
        <v>295</v>
      </c>
    </row>
    <row r="525" spans="1:31" x14ac:dyDescent="0.25">
      <c r="A525" t="s">
        <v>713</v>
      </c>
      <c r="B525">
        <v>2017</v>
      </c>
      <c r="C525">
        <v>3</v>
      </c>
      <c r="D525">
        <v>965</v>
      </c>
      <c r="E525">
        <v>283.25</v>
      </c>
      <c r="F525">
        <v>1254</v>
      </c>
      <c r="G525">
        <v>330</v>
      </c>
      <c r="H525">
        <v>318</v>
      </c>
      <c r="I525">
        <v>420</v>
      </c>
      <c r="J525">
        <v>8</v>
      </c>
      <c r="K525">
        <v>712.5</v>
      </c>
      <c r="L525">
        <v>103</v>
      </c>
      <c r="M525">
        <v>290</v>
      </c>
      <c r="N525">
        <v>2650</v>
      </c>
      <c r="O525">
        <v>310</v>
      </c>
      <c r="P525">
        <v>57</v>
      </c>
      <c r="Q525">
        <v>170</v>
      </c>
      <c r="R525">
        <v>249</v>
      </c>
      <c r="S525">
        <v>390</v>
      </c>
      <c r="T525">
        <v>770</v>
      </c>
      <c r="U525">
        <v>430</v>
      </c>
      <c r="V525">
        <v>214</v>
      </c>
      <c r="W525">
        <v>525</v>
      </c>
      <c r="X525">
        <v>99</v>
      </c>
      <c r="Y525">
        <v>340</v>
      </c>
      <c r="Z525">
        <v>1390</v>
      </c>
      <c r="AA525">
        <v>420</v>
      </c>
      <c r="AB525">
        <v>120</v>
      </c>
      <c r="AC525">
        <v>190</v>
      </c>
      <c r="AD525">
        <v>4155</v>
      </c>
      <c r="AE525">
        <v>350</v>
      </c>
    </row>
    <row r="526" spans="1:31" x14ac:dyDescent="0.25">
      <c r="A526" t="s">
        <v>714</v>
      </c>
      <c r="B526">
        <v>2017</v>
      </c>
      <c r="C526">
        <v>3</v>
      </c>
      <c r="D526">
        <v>24</v>
      </c>
      <c r="E526">
        <v>147.5</v>
      </c>
      <c r="F526">
        <v>84</v>
      </c>
      <c r="G526">
        <v>180</v>
      </c>
      <c r="H526">
        <v>35</v>
      </c>
      <c r="I526">
        <v>310</v>
      </c>
      <c r="K526">
        <v>350</v>
      </c>
      <c r="L526">
        <v>8</v>
      </c>
      <c r="M526">
        <v>235</v>
      </c>
      <c r="N526">
        <v>155</v>
      </c>
      <c r="O526">
        <v>200</v>
      </c>
      <c r="P526">
        <v>6</v>
      </c>
      <c r="Q526">
        <v>137.5</v>
      </c>
      <c r="R526">
        <v>52</v>
      </c>
      <c r="S526">
        <v>195</v>
      </c>
      <c r="T526">
        <v>312</v>
      </c>
      <c r="U526">
        <v>230</v>
      </c>
      <c r="V526">
        <v>83</v>
      </c>
      <c r="W526">
        <v>290</v>
      </c>
      <c r="X526">
        <v>30</v>
      </c>
      <c r="Y526">
        <v>210</v>
      </c>
      <c r="Z526">
        <v>485</v>
      </c>
      <c r="AA526">
        <v>240</v>
      </c>
      <c r="AB526">
        <v>0</v>
      </c>
      <c r="AD526">
        <v>640</v>
      </c>
      <c r="AE526">
        <v>230</v>
      </c>
    </row>
    <row r="527" spans="1:31" x14ac:dyDescent="0.25">
      <c r="A527" t="s">
        <v>715</v>
      </c>
      <c r="B527">
        <v>2017</v>
      </c>
      <c r="C527">
        <v>3</v>
      </c>
      <c r="D527">
        <v>27</v>
      </c>
      <c r="E527">
        <v>180</v>
      </c>
      <c r="F527">
        <v>54</v>
      </c>
      <c r="G527">
        <v>161.5</v>
      </c>
      <c r="H527">
        <v>17</v>
      </c>
      <c r="I527">
        <v>150</v>
      </c>
      <c r="K527">
        <v>180</v>
      </c>
      <c r="M527">
        <v>180</v>
      </c>
      <c r="N527">
        <v>105</v>
      </c>
      <c r="O527">
        <v>163</v>
      </c>
      <c r="Q527">
        <v>117.7</v>
      </c>
      <c r="R527">
        <v>25</v>
      </c>
      <c r="S527">
        <v>180</v>
      </c>
      <c r="T527">
        <v>201</v>
      </c>
      <c r="U527">
        <v>200</v>
      </c>
      <c r="V527">
        <v>69</v>
      </c>
      <c r="W527">
        <v>260</v>
      </c>
      <c r="Y527">
        <v>210</v>
      </c>
      <c r="Z527">
        <v>300</v>
      </c>
      <c r="AA527">
        <v>210</v>
      </c>
      <c r="AB527">
        <v>0</v>
      </c>
      <c r="AD527">
        <v>405</v>
      </c>
      <c r="AE527">
        <v>195</v>
      </c>
    </row>
    <row r="528" spans="1:31" x14ac:dyDescent="0.25">
      <c r="A528" t="s">
        <v>716</v>
      </c>
      <c r="B528">
        <v>2017</v>
      </c>
      <c r="C528">
        <v>3</v>
      </c>
      <c r="D528">
        <v>10</v>
      </c>
      <c r="E528">
        <v>152.5</v>
      </c>
      <c r="F528">
        <v>40</v>
      </c>
      <c r="G528">
        <v>230</v>
      </c>
      <c r="H528">
        <v>27</v>
      </c>
      <c r="I528">
        <v>290</v>
      </c>
      <c r="J528">
        <v>0</v>
      </c>
      <c r="M528">
        <v>165</v>
      </c>
      <c r="N528">
        <v>80</v>
      </c>
      <c r="O528">
        <v>237.5</v>
      </c>
      <c r="Q528">
        <v>140</v>
      </c>
      <c r="R528">
        <v>36</v>
      </c>
      <c r="S528">
        <v>250</v>
      </c>
      <c r="T528">
        <v>175</v>
      </c>
      <c r="U528">
        <v>280</v>
      </c>
      <c r="V528">
        <v>81</v>
      </c>
      <c r="W528">
        <v>335</v>
      </c>
      <c r="X528">
        <v>17</v>
      </c>
      <c r="Y528">
        <v>260</v>
      </c>
      <c r="Z528">
        <v>310</v>
      </c>
      <c r="AA528">
        <v>290</v>
      </c>
      <c r="AB528">
        <v>0</v>
      </c>
      <c r="AD528">
        <v>390</v>
      </c>
      <c r="AE528">
        <v>280</v>
      </c>
    </row>
    <row r="529" spans="1:31" x14ac:dyDescent="0.25">
      <c r="A529" t="s">
        <v>717</v>
      </c>
      <c r="B529">
        <v>2017</v>
      </c>
      <c r="C529">
        <v>3</v>
      </c>
      <c r="D529">
        <v>13</v>
      </c>
      <c r="E529">
        <v>135</v>
      </c>
      <c r="F529">
        <v>111</v>
      </c>
      <c r="G529">
        <v>170</v>
      </c>
      <c r="H529">
        <v>30</v>
      </c>
      <c r="I529">
        <v>279</v>
      </c>
      <c r="J529">
        <v>0</v>
      </c>
      <c r="L529">
        <v>6</v>
      </c>
      <c r="M529">
        <v>149.99</v>
      </c>
      <c r="N529">
        <v>160</v>
      </c>
      <c r="O529">
        <v>180</v>
      </c>
      <c r="Q529">
        <v>110</v>
      </c>
      <c r="R529">
        <v>57</v>
      </c>
      <c r="S529">
        <v>185</v>
      </c>
      <c r="T529">
        <v>297</v>
      </c>
      <c r="U529">
        <v>235</v>
      </c>
      <c r="V529">
        <v>79</v>
      </c>
      <c r="W529">
        <v>295</v>
      </c>
      <c r="X529">
        <v>17</v>
      </c>
      <c r="Y529">
        <v>200</v>
      </c>
      <c r="Z529">
        <v>455</v>
      </c>
      <c r="AA529">
        <v>240</v>
      </c>
      <c r="AB529">
        <v>0</v>
      </c>
      <c r="AD529">
        <v>615</v>
      </c>
      <c r="AE529">
        <v>220</v>
      </c>
    </row>
    <row r="530" spans="1:31" x14ac:dyDescent="0.25">
      <c r="A530" t="s">
        <v>628</v>
      </c>
      <c r="B530">
        <v>2017</v>
      </c>
      <c r="C530">
        <v>3</v>
      </c>
      <c r="D530">
        <v>1365</v>
      </c>
      <c r="E530">
        <v>260</v>
      </c>
      <c r="F530">
        <v>3332</v>
      </c>
      <c r="G530">
        <v>295</v>
      </c>
      <c r="H530">
        <v>998</v>
      </c>
      <c r="I530">
        <v>355</v>
      </c>
      <c r="J530">
        <v>35</v>
      </c>
      <c r="K530">
        <v>460</v>
      </c>
      <c r="L530">
        <v>382</v>
      </c>
      <c r="M530">
        <v>265</v>
      </c>
      <c r="N530">
        <v>6110</v>
      </c>
      <c r="O530">
        <v>295</v>
      </c>
      <c r="P530">
        <v>187</v>
      </c>
      <c r="Q530">
        <v>170</v>
      </c>
      <c r="R530">
        <v>806</v>
      </c>
      <c r="S530">
        <v>330</v>
      </c>
      <c r="T530">
        <v>5443</v>
      </c>
      <c r="U530">
        <v>350</v>
      </c>
      <c r="V530">
        <v>1101</v>
      </c>
      <c r="W530">
        <v>425</v>
      </c>
      <c r="X530">
        <v>761</v>
      </c>
      <c r="Y530">
        <v>300</v>
      </c>
      <c r="Z530">
        <v>8300</v>
      </c>
      <c r="AA530">
        <v>350</v>
      </c>
      <c r="AB530">
        <v>251</v>
      </c>
      <c r="AC530">
        <v>165</v>
      </c>
      <c r="AD530">
        <v>14660</v>
      </c>
      <c r="AE530">
        <v>320</v>
      </c>
    </row>
    <row r="531" spans="1:31" x14ac:dyDescent="0.25">
      <c r="A531" t="s">
        <v>718</v>
      </c>
      <c r="B531">
        <v>2017</v>
      </c>
      <c r="C531">
        <v>3</v>
      </c>
      <c r="D531">
        <v>28</v>
      </c>
      <c r="E531">
        <v>150</v>
      </c>
      <c r="F531">
        <v>60</v>
      </c>
      <c r="G531">
        <v>185</v>
      </c>
      <c r="H531">
        <v>22</v>
      </c>
      <c r="I531">
        <v>247.5</v>
      </c>
      <c r="K531">
        <v>255</v>
      </c>
      <c r="L531">
        <v>15</v>
      </c>
      <c r="M531">
        <v>164</v>
      </c>
      <c r="N531">
        <v>125</v>
      </c>
      <c r="O531">
        <v>180</v>
      </c>
      <c r="P531">
        <v>7</v>
      </c>
      <c r="Q531">
        <v>190</v>
      </c>
      <c r="R531">
        <v>44</v>
      </c>
      <c r="S531">
        <v>212.5</v>
      </c>
      <c r="T531">
        <v>314</v>
      </c>
      <c r="U531">
        <v>250</v>
      </c>
      <c r="V531">
        <v>92</v>
      </c>
      <c r="W531">
        <v>280</v>
      </c>
      <c r="X531">
        <v>47</v>
      </c>
      <c r="Y531">
        <v>210</v>
      </c>
      <c r="Z531">
        <v>505</v>
      </c>
      <c r="AA531">
        <v>250</v>
      </c>
      <c r="AC531">
        <v>52.4</v>
      </c>
      <c r="AD531">
        <v>635</v>
      </c>
      <c r="AE531">
        <v>240</v>
      </c>
    </row>
    <row r="532" spans="1:31" x14ac:dyDescent="0.25">
      <c r="A532" t="s">
        <v>719</v>
      </c>
      <c r="B532">
        <v>2017</v>
      </c>
      <c r="C532">
        <v>3</v>
      </c>
      <c r="D532">
        <v>77</v>
      </c>
      <c r="E532">
        <v>200</v>
      </c>
      <c r="F532">
        <v>480</v>
      </c>
      <c r="G532">
        <v>270</v>
      </c>
      <c r="H532">
        <v>225</v>
      </c>
      <c r="I532">
        <v>320</v>
      </c>
      <c r="J532">
        <v>10</v>
      </c>
      <c r="K532">
        <v>430</v>
      </c>
      <c r="L532">
        <v>73</v>
      </c>
      <c r="M532">
        <v>260</v>
      </c>
      <c r="N532">
        <v>865</v>
      </c>
      <c r="O532">
        <v>275</v>
      </c>
      <c r="P532">
        <v>30</v>
      </c>
      <c r="Q532">
        <v>162</v>
      </c>
      <c r="R532">
        <v>189</v>
      </c>
      <c r="S532">
        <v>260</v>
      </c>
      <c r="T532">
        <v>2231</v>
      </c>
      <c r="U532">
        <v>301</v>
      </c>
      <c r="V532">
        <v>362</v>
      </c>
      <c r="W532">
        <v>370</v>
      </c>
      <c r="X532">
        <v>329</v>
      </c>
      <c r="Y532">
        <v>300</v>
      </c>
      <c r="Z532">
        <v>3140</v>
      </c>
      <c r="AA532">
        <v>310</v>
      </c>
      <c r="AB532">
        <v>30</v>
      </c>
      <c r="AC532">
        <v>160</v>
      </c>
      <c r="AD532">
        <v>4035</v>
      </c>
      <c r="AE532">
        <v>300</v>
      </c>
    </row>
    <row r="533" spans="1:31" x14ac:dyDescent="0.25">
      <c r="A533" t="s">
        <v>720</v>
      </c>
      <c r="B533">
        <v>2017</v>
      </c>
      <c r="C533">
        <v>3</v>
      </c>
      <c r="D533">
        <v>121</v>
      </c>
      <c r="E533">
        <v>155</v>
      </c>
      <c r="F533">
        <v>451</v>
      </c>
      <c r="G533">
        <v>190</v>
      </c>
      <c r="H533">
        <v>202</v>
      </c>
      <c r="I533">
        <v>290</v>
      </c>
      <c r="J533">
        <v>17</v>
      </c>
      <c r="K533">
        <v>350</v>
      </c>
      <c r="L533">
        <v>61</v>
      </c>
      <c r="M533">
        <v>185</v>
      </c>
      <c r="N533">
        <v>850</v>
      </c>
      <c r="O533">
        <v>200</v>
      </c>
      <c r="P533">
        <v>46</v>
      </c>
      <c r="Q533">
        <v>177.5</v>
      </c>
      <c r="R533">
        <v>311</v>
      </c>
      <c r="S533">
        <v>215</v>
      </c>
      <c r="T533">
        <v>2051</v>
      </c>
      <c r="U533">
        <v>250</v>
      </c>
      <c r="V533">
        <v>689</v>
      </c>
      <c r="W533">
        <v>320</v>
      </c>
      <c r="X533">
        <v>196</v>
      </c>
      <c r="Y533">
        <v>230</v>
      </c>
      <c r="Z533">
        <v>3295</v>
      </c>
      <c r="AA533">
        <v>260</v>
      </c>
      <c r="AB533">
        <v>6</v>
      </c>
      <c r="AC533">
        <v>106.2</v>
      </c>
      <c r="AD533">
        <v>4150</v>
      </c>
      <c r="AE533">
        <v>250</v>
      </c>
    </row>
    <row r="534" spans="1:31" x14ac:dyDescent="0.25">
      <c r="A534" t="s">
        <v>724</v>
      </c>
      <c r="B534">
        <v>2017</v>
      </c>
      <c r="C534">
        <v>3</v>
      </c>
      <c r="D534">
        <v>1486</v>
      </c>
      <c r="E534">
        <v>250</v>
      </c>
      <c r="F534">
        <v>3783</v>
      </c>
      <c r="G534">
        <v>285</v>
      </c>
      <c r="H534">
        <v>1200</v>
      </c>
      <c r="I534">
        <v>340</v>
      </c>
      <c r="J534">
        <v>52</v>
      </c>
      <c r="K534">
        <v>407.5</v>
      </c>
      <c r="L534">
        <v>443</v>
      </c>
      <c r="M534">
        <v>260</v>
      </c>
      <c r="N534">
        <v>6965</v>
      </c>
      <c r="O534">
        <v>290</v>
      </c>
      <c r="P534">
        <v>233</v>
      </c>
      <c r="Q534">
        <v>170</v>
      </c>
      <c r="R534">
        <v>1117</v>
      </c>
      <c r="S534">
        <v>290</v>
      </c>
      <c r="T534">
        <v>7494</v>
      </c>
      <c r="U534">
        <v>320</v>
      </c>
      <c r="V534">
        <v>1790</v>
      </c>
      <c r="W534">
        <v>380</v>
      </c>
      <c r="X534">
        <v>957</v>
      </c>
      <c r="Y534">
        <v>295</v>
      </c>
      <c r="Z534">
        <v>11590</v>
      </c>
      <c r="AA534">
        <v>320</v>
      </c>
      <c r="AB534">
        <v>257</v>
      </c>
      <c r="AC534">
        <v>165</v>
      </c>
      <c r="AD534">
        <v>18810</v>
      </c>
      <c r="AE534">
        <v>304.5</v>
      </c>
    </row>
    <row r="535" spans="1:31" x14ac:dyDescent="0.25">
      <c r="A535" t="s">
        <v>721</v>
      </c>
      <c r="B535">
        <v>2017</v>
      </c>
      <c r="C535">
        <v>3</v>
      </c>
      <c r="D535">
        <v>153</v>
      </c>
      <c r="E535">
        <v>232</v>
      </c>
      <c r="F535">
        <v>784</v>
      </c>
      <c r="G535">
        <v>280</v>
      </c>
      <c r="H535">
        <v>248</v>
      </c>
      <c r="I535">
        <v>350</v>
      </c>
      <c r="J535">
        <v>6</v>
      </c>
      <c r="K535">
        <v>397.5</v>
      </c>
      <c r="L535">
        <v>80</v>
      </c>
      <c r="M535">
        <v>270</v>
      </c>
      <c r="N535">
        <v>1270</v>
      </c>
      <c r="O535">
        <v>290</v>
      </c>
      <c r="P535">
        <v>60</v>
      </c>
      <c r="Q535">
        <v>165</v>
      </c>
      <c r="R535">
        <v>171</v>
      </c>
      <c r="S535">
        <v>315</v>
      </c>
      <c r="T535">
        <v>1434</v>
      </c>
      <c r="U535">
        <v>355</v>
      </c>
      <c r="V535">
        <v>327</v>
      </c>
      <c r="W535">
        <v>435</v>
      </c>
      <c r="X535">
        <v>177</v>
      </c>
      <c r="Y535">
        <v>320</v>
      </c>
      <c r="Z535">
        <v>2170</v>
      </c>
      <c r="AA535">
        <v>360</v>
      </c>
      <c r="AB535">
        <v>60</v>
      </c>
      <c r="AC535">
        <v>155</v>
      </c>
      <c r="AD535">
        <v>3500</v>
      </c>
      <c r="AE535">
        <v>330</v>
      </c>
    </row>
    <row r="536" spans="1:31" x14ac:dyDescent="0.25">
      <c r="A536" t="s">
        <v>722</v>
      </c>
      <c r="B536">
        <v>2017</v>
      </c>
      <c r="C536">
        <v>3</v>
      </c>
      <c r="D536">
        <v>170</v>
      </c>
      <c r="E536">
        <v>237.5</v>
      </c>
      <c r="F536">
        <v>814</v>
      </c>
      <c r="G536">
        <v>280</v>
      </c>
      <c r="H536">
        <v>207</v>
      </c>
      <c r="I536">
        <v>375</v>
      </c>
      <c r="J536">
        <v>11</v>
      </c>
      <c r="K536">
        <v>435</v>
      </c>
      <c r="L536">
        <v>126</v>
      </c>
      <c r="M536">
        <v>260</v>
      </c>
      <c r="N536">
        <v>1330</v>
      </c>
      <c r="O536">
        <v>285</v>
      </c>
      <c r="P536">
        <v>40</v>
      </c>
      <c r="Q536">
        <v>180</v>
      </c>
      <c r="R536">
        <v>197</v>
      </c>
      <c r="S536">
        <v>330</v>
      </c>
      <c r="T536">
        <v>1008</v>
      </c>
      <c r="U536">
        <v>390</v>
      </c>
      <c r="V536">
        <v>198</v>
      </c>
      <c r="W536">
        <v>450</v>
      </c>
      <c r="X536">
        <v>156</v>
      </c>
      <c r="Y536">
        <v>300</v>
      </c>
      <c r="Z536">
        <v>1600</v>
      </c>
      <c r="AA536">
        <v>375</v>
      </c>
      <c r="AB536">
        <v>41</v>
      </c>
      <c r="AC536">
        <v>155</v>
      </c>
      <c r="AD536">
        <v>2970</v>
      </c>
      <c r="AE536">
        <v>330</v>
      </c>
    </row>
    <row r="537" spans="1:31" x14ac:dyDescent="0.25">
      <c r="A537" t="s">
        <v>723</v>
      </c>
      <c r="B537">
        <v>2017</v>
      </c>
      <c r="C537">
        <v>3</v>
      </c>
      <c r="D537">
        <v>10</v>
      </c>
      <c r="E537">
        <v>142.5</v>
      </c>
      <c r="F537">
        <v>35</v>
      </c>
      <c r="G537">
        <v>170</v>
      </c>
      <c r="H537">
        <v>6</v>
      </c>
      <c r="I537">
        <v>224.5</v>
      </c>
      <c r="J537">
        <v>0</v>
      </c>
      <c r="M537">
        <v>117.6</v>
      </c>
      <c r="N537">
        <v>55</v>
      </c>
      <c r="O537">
        <v>160</v>
      </c>
      <c r="P537">
        <v>10</v>
      </c>
      <c r="Q537">
        <v>157.5</v>
      </c>
      <c r="R537">
        <v>47</v>
      </c>
      <c r="S537">
        <v>200</v>
      </c>
      <c r="T537">
        <v>318</v>
      </c>
      <c r="U537">
        <v>240</v>
      </c>
      <c r="V537">
        <v>102</v>
      </c>
      <c r="W537">
        <v>300</v>
      </c>
      <c r="X537">
        <v>32</v>
      </c>
      <c r="Y537">
        <v>245</v>
      </c>
      <c r="Z537">
        <v>510</v>
      </c>
      <c r="AA537">
        <v>250</v>
      </c>
      <c r="AC537">
        <v>360</v>
      </c>
      <c r="AD537">
        <v>565</v>
      </c>
      <c r="AE537">
        <v>240</v>
      </c>
    </row>
    <row r="538" spans="1:31" x14ac:dyDescent="0.25">
      <c r="A538" t="s">
        <v>711</v>
      </c>
      <c r="B538">
        <v>2017</v>
      </c>
      <c r="C538">
        <v>6</v>
      </c>
      <c r="E538">
        <v>200</v>
      </c>
      <c r="F538">
        <v>20</v>
      </c>
      <c r="G538">
        <v>277.5</v>
      </c>
      <c r="H538">
        <v>38</v>
      </c>
      <c r="I538">
        <v>327.5</v>
      </c>
      <c r="J538">
        <v>6</v>
      </c>
      <c r="K538">
        <v>380</v>
      </c>
      <c r="L538">
        <v>12</v>
      </c>
      <c r="M538">
        <v>300</v>
      </c>
      <c r="N538">
        <v>80</v>
      </c>
      <c r="O538">
        <v>300</v>
      </c>
      <c r="Q538">
        <v>245</v>
      </c>
      <c r="R538">
        <v>20</v>
      </c>
      <c r="S538">
        <v>295</v>
      </c>
      <c r="T538">
        <v>163</v>
      </c>
      <c r="U538">
        <v>350</v>
      </c>
      <c r="V538">
        <v>96</v>
      </c>
      <c r="W538">
        <v>420</v>
      </c>
      <c r="X538">
        <v>21</v>
      </c>
      <c r="Y538">
        <v>280</v>
      </c>
      <c r="Z538">
        <v>305</v>
      </c>
      <c r="AA538">
        <v>365</v>
      </c>
      <c r="AC538">
        <v>150</v>
      </c>
      <c r="AD538">
        <v>385</v>
      </c>
      <c r="AE538">
        <v>350</v>
      </c>
    </row>
    <row r="539" spans="1:31" x14ac:dyDescent="0.25">
      <c r="A539" t="s">
        <v>712</v>
      </c>
      <c r="B539">
        <v>2017</v>
      </c>
      <c r="C539">
        <v>6</v>
      </c>
      <c r="D539">
        <v>9</v>
      </c>
      <c r="E539">
        <v>170</v>
      </c>
      <c r="F539">
        <v>32</v>
      </c>
      <c r="G539">
        <v>217.5</v>
      </c>
      <c r="H539">
        <v>24</v>
      </c>
      <c r="I539">
        <v>287.5</v>
      </c>
      <c r="J539">
        <v>0</v>
      </c>
      <c r="M539">
        <v>180</v>
      </c>
      <c r="N539">
        <v>70</v>
      </c>
      <c r="O539">
        <v>235</v>
      </c>
      <c r="Q539">
        <v>177.5</v>
      </c>
      <c r="R539">
        <v>24</v>
      </c>
      <c r="S539">
        <v>260</v>
      </c>
      <c r="T539">
        <v>238</v>
      </c>
      <c r="U539">
        <v>300</v>
      </c>
      <c r="V539">
        <v>68</v>
      </c>
      <c r="W539">
        <v>380</v>
      </c>
      <c r="X539">
        <v>34</v>
      </c>
      <c r="Y539">
        <v>260</v>
      </c>
      <c r="Z539">
        <v>365</v>
      </c>
      <c r="AA539">
        <v>300</v>
      </c>
      <c r="AB539">
        <v>0</v>
      </c>
      <c r="AD539">
        <v>435</v>
      </c>
      <c r="AE539">
        <v>295</v>
      </c>
    </row>
    <row r="540" spans="1:31" x14ac:dyDescent="0.25">
      <c r="A540" t="s">
        <v>713</v>
      </c>
      <c r="B540">
        <v>2017</v>
      </c>
      <c r="C540">
        <v>6</v>
      </c>
      <c r="D540">
        <v>552</v>
      </c>
      <c r="E540">
        <v>292.5</v>
      </c>
      <c r="F540">
        <v>895</v>
      </c>
      <c r="G540">
        <v>315</v>
      </c>
      <c r="H540">
        <v>186</v>
      </c>
      <c r="I540">
        <v>415</v>
      </c>
      <c r="J540">
        <v>6</v>
      </c>
      <c r="K540">
        <v>655</v>
      </c>
      <c r="L540">
        <v>65</v>
      </c>
      <c r="M540">
        <v>280</v>
      </c>
      <c r="N540">
        <v>1705</v>
      </c>
      <c r="O540">
        <v>310</v>
      </c>
      <c r="P540">
        <v>68</v>
      </c>
      <c r="Q540">
        <v>170</v>
      </c>
      <c r="R540">
        <v>187</v>
      </c>
      <c r="S540">
        <v>380</v>
      </c>
      <c r="T540">
        <v>553</v>
      </c>
      <c r="U540">
        <v>420</v>
      </c>
      <c r="V540">
        <v>169</v>
      </c>
      <c r="W540">
        <v>560</v>
      </c>
      <c r="X540">
        <v>115</v>
      </c>
      <c r="Y540">
        <v>350</v>
      </c>
      <c r="Z540">
        <v>1090</v>
      </c>
      <c r="AA540">
        <v>410</v>
      </c>
      <c r="AB540">
        <v>59</v>
      </c>
      <c r="AC540">
        <v>165</v>
      </c>
      <c r="AD540">
        <v>2855</v>
      </c>
      <c r="AE540">
        <v>340</v>
      </c>
    </row>
    <row r="541" spans="1:31" x14ac:dyDescent="0.25">
      <c r="A541" t="s">
        <v>714</v>
      </c>
      <c r="B541">
        <v>2017</v>
      </c>
      <c r="C541">
        <v>6</v>
      </c>
      <c r="D541">
        <v>17</v>
      </c>
      <c r="E541">
        <v>160</v>
      </c>
      <c r="F541">
        <v>72</v>
      </c>
      <c r="G541">
        <v>200</v>
      </c>
      <c r="H541">
        <v>24</v>
      </c>
      <c r="I541">
        <v>300</v>
      </c>
      <c r="K541">
        <v>310</v>
      </c>
      <c r="L541">
        <v>6</v>
      </c>
      <c r="M541">
        <v>245</v>
      </c>
      <c r="N541">
        <v>125</v>
      </c>
      <c r="O541">
        <v>220</v>
      </c>
      <c r="P541">
        <v>8</v>
      </c>
      <c r="Q541">
        <v>155</v>
      </c>
      <c r="R541">
        <v>38</v>
      </c>
      <c r="S541">
        <v>197.5</v>
      </c>
      <c r="T541">
        <v>237</v>
      </c>
      <c r="U541">
        <v>225</v>
      </c>
      <c r="V541">
        <v>59</v>
      </c>
      <c r="W541">
        <v>300</v>
      </c>
      <c r="X541">
        <v>40</v>
      </c>
      <c r="Y541">
        <v>237.5</v>
      </c>
      <c r="Z541">
        <v>380</v>
      </c>
      <c r="AA541">
        <v>230</v>
      </c>
      <c r="AC541">
        <v>85</v>
      </c>
      <c r="AD541">
        <v>510</v>
      </c>
      <c r="AE541">
        <v>225</v>
      </c>
    </row>
    <row r="542" spans="1:31" x14ac:dyDescent="0.25">
      <c r="A542" t="s">
        <v>715</v>
      </c>
      <c r="B542">
        <v>2017</v>
      </c>
      <c r="C542">
        <v>6</v>
      </c>
      <c r="D542">
        <v>19</v>
      </c>
      <c r="E542">
        <v>120</v>
      </c>
      <c r="F542">
        <v>35</v>
      </c>
      <c r="G542">
        <v>160</v>
      </c>
      <c r="H542">
        <v>19</v>
      </c>
      <c r="I542">
        <v>175</v>
      </c>
      <c r="K542">
        <v>350</v>
      </c>
      <c r="M542">
        <v>175</v>
      </c>
      <c r="N542">
        <v>75</v>
      </c>
      <c r="O542">
        <v>170</v>
      </c>
      <c r="Q542">
        <v>89.6</v>
      </c>
      <c r="R542">
        <v>24</v>
      </c>
      <c r="S542">
        <v>179.85</v>
      </c>
      <c r="T542">
        <v>177</v>
      </c>
      <c r="U542">
        <v>210</v>
      </c>
      <c r="V542">
        <v>57</v>
      </c>
      <c r="W542">
        <v>300</v>
      </c>
      <c r="Y542">
        <v>170</v>
      </c>
      <c r="Z542">
        <v>265</v>
      </c>
      <c r="AA542">
        <v>220</v>
      </c>
      <c r="AB542">
        <v>0</v>
      </c>
      <c r="AD542">
        <v>340</v>
      </c>
      <c r="AE542">
        <v>200</v>
      </c>
    </row>
    <row r="543" spans="1:31" x14ac:dyDescent="0.25">
      <c r="A543" t="s">
        <v>716</v>
      </c>
      <c r="B543">
        <v>2017</v>
      </c>
      <c r="C543">
        <v>6</v>
      </c>
      <c r="D543">
        <v>15</v>
      </c>
      <c r="E543">
        <v>160</v>
      </c>
      <c r="F543">
        <v>37</v>
      </c>
      <c r="G543">
        <v>220</v>
      </c>
      <c r="H543">
        <v>14</v>
      </c>
      <c r="I543">
        <v>295</v>
      </c>
      <c r="J543">
        <v>0</v>
      </c>
      <c r="L543">
        <v>8</v>
      </c>
      <c r="M543">
        <v>250</v>
      </c>
      <c r="N543">
        <v>75</v>
      </c>
      <c r="O543">
        <v>230</v>
      </c>
      <c r="Q543">
        <v>212.5</v>
      </c>
      <c r="R543">
        <v>34</v>
      </c>
      <c r="S543">
        <v>250</v>
      </c>
      <c r="T543">
        <v>174</v>
      </c>
      <c r="U543">
        <v>300</v>
      </c>
      <c r="V543">
        <v>92</v>
      </c>
      <c r="W543">
        <v>350</v>
      </c>
      <c r="X543">
        <v>14</v>
      </c>
      <c r="Y543">
        <v>250</v>
      </c>
      <c r="Z543">
        <v>320</v>
      </c>
      <c r="AA543">
        <v>300</v>
      </c>
      <c r="AB543">
        <v>0</v>
      </c>
      <c r="AD543">
        <v>390</v>
      </c>
      <c r="AE543">
        <v>290</v>
      </c>
    </row>
    <row r="544" spans="1:31" x14ac:dyDescent="0.25">
      <c r="A544" t="s">
        <v>717</v>
      </c>
      <c r="B544">
        <v>2017</v>
      </c>
      <c r="C544">
        <v>6</v>
      </c>
      <c r="D544">
        <v>26</v>
      </c>
      <c r="E544">
        <v>157.49</v>
      </c>
      <c r="F544">
        <v>121</v>
      </c>
      <c r="G544">
        <v>175</v>
      </c>
      <c r="H544">
        <v>35</v>
      </c>
      <c r="I544">
        <v>250</v>
      </c>
      <c r="J544">
        <v>0</v>
      </c>
      <c r="L544">
        <v>9</v>
      </c>
      <c r="M544">
        <v>159.97999999999999</v>
      </c>
      <c r="N544">
        <v>190</v>
      </c>
      <c r="O544">
        <v>185</v>
      </c>
      <c r="Q544">
        <v>160</v>
      </c>
      <c r="R544">
        <v>47</v>
      </c>
      <c r="S544">
        <v>185</v>
      </c>
      <c r="T544">
        <v>269</v>
      </c>
      <c r="U544">
        <v>220</v>
      </c>
      <c r="V544">
        <v>73</v>
      </c>
      <c r="W544">
        <v>295</v>
      </c>
      <c r="X544">
        <v>9</v>
      </c>
      <c r="Y544">
        <v>140</v>
      </c>
      <c r="Z544">
        <v>400</v>
      </c>
      <c r="AA544">
        <v>230</v>
      </c>
      <c r="AB544">
        <v>0</v>
      </c>
      <c r="AD544">
        <v>590</v>
      </c>
      <c r="AE544">
        <v>220</v>
      </c>
    </row>
    <row r="545" spans="1:31" x14ac:dyDescent="0.25">
      <c r="A545" t="s">
        <v>628</v>
      </c>
      <c r="B545">
        <v>2017</v>
      </c>
      <c r="C545">
        <v>6</v>
      </c>
      <c r="D545">
        <v>930</v>
      </c>
      <c r="E545">
        <v>250</v>
      </c>
      <c r="F545">
        <v>2558</v>
      </c>
      <c r="G545">
        <v>290</v>
      </c>
      <c r="H545">
        <v>691</v>
      </c>
      <c r="I545">
        <v>350</v>
      </c>
      <c r="J545">
        <v>17</v>
      </c>
      <c r="K545">
        <v>490</v>
      </c>
      <c r="L545">
        <v>323</v>
      </c>
      <c r="M545">
        <v>260</v>
      </c>
      <c r="N545">
        <v>4519</v>
      </c>
      <c r="O545">
        <v>290</v>
      </c>
      <c r="P545">
        <v>166</v>
      </c>
      <c r="Q545">
        <v>170</v>
      </c>
      <c r="R545">
        <v>751</v>
      </c>
      <c r="S545">
        <v>320</v>
      </c>
      <c r="T545">
        <v>4838</v>
      </c>
      <c r="U545">
        <v>340</v>
      </c>
      <c r="V545">
        <v>934</v>
      </c>
      <c r="W545">
        <v>420</v>
      </c>
      <c r="X545">
        <v>840</v>
      </c>
      <c r="Y545">
        <v>305.58</v>
      </c>
      <c r="Z545">
        <v>7529</v>
      </c>
      <c r="AA545">
        <v>340</v>
      </c>
      <c r="AB545">
        <v>152</v>
      </c>
      <c r="AC545">
        <v>165</v>
      </c>
      <c r="AD545">
        <v>12200</v>
      </c>
      <c r="AE545">
        <v>320</v>
      </c>
    </row>
    <row r="546" spans="1:31" x14ac:dyDescent="0.25">
      <c r="A546" t="s">
        <v>718</v>
      </c>
      <c r="B546">
        <v>2017</v>
      </c>
      <c r="C546">
        <v>6</v>
      </c>
      <c r="D546">
        <v>21</v>
      </c>
      <c r="E546">
        <v>155</v>
      </c>
      <c r="F546">
        <v>58</v>
      </c>
      <c r="G546">
        <v>180</v>
      </c>
      <c r="H546">
        <v>18</v>
      </c>
      <c r="I546">
        <v>242.5</v>
      </c>
      <c r="J546">
        <v>0</v>
      </c>
      <c r="L546">
        <v>14</v>
      </c>
      <c r="M546">
        <v>157</v>
      </c>
      <c r="N546">
        <v>110</v>
      </c>
      <c r="O546">
        <v>180</v>
      </c>
      <c r="P546">
        <v>8</v>
      </c>
      <c r="Q546">
        <v>172.5</v>
      </c>
      <c r="R546">
        <v>43</v>
      </c>
      <c r="S546">
        <v>195</v>
      </c>
      <c r="T546">
        <v>291</v>
      </c>
      <c r="U546">
        <v>240</v>
      </c>
      <c r="V546">
        <v>60</v>
      </c>
      <c r="W546">
        <v>287.5</v>
      </c>
      <c r="X546">
        <v>69</v>
      </c>
      <c r="Y546">
        <v>210</v>
      </c>
      <c r="Z546">
        <v>470</v>
      </c>
      <c r="AA546">
        <v>235</v>
      </c>
      <c r="AB546">
        <v>9</v>
      </c>
      <c r="AC546">
        <v>110</v>
      </c>
      <c r="AD546">
        <v>590</v>
      </c>
      <c r="AE546">
        <v>225</v>
      </c>
    </row>
    <row r="547" spans="1:31" x14ac:dyDescent="0.25">
      <c r="A547" t="s">
        <v>719</v>
      </c>
      <c r="B547">
        <v>2017</v>
      </c>
      <c r="C547">
        <v>6</v>
      </c>
      <c r="D547">
        <v>101</v>
      </c>
      <c r="E547">
        <v>200</v>
      </c>
      <c r="F547">
        <v>418</v>
      </c>
      <c r="G547">
        <v>270</v>
      </c>
      <c r="H547">
        <v>189</v>
      </c>
      <c r="I547">
        <v>310</v>
      </c>
      <c r="K547">
        <v>425</v>
      </c>
      <c r="L547">
        <v>62</v>
      </c>
      <c r="M547">
        <v>240</v>
      </c>
      <c r="N547">
        <v>775</v>
      </c>
      <c r="O547">
        <v>270</v>
      </c>
      <c r="P547">
        <v>27</v>
      </c>
      <c r="Q547">
        <v>165</v>
      </c>
      <c r="R547">
        <v>183</v>
      </c>
      <c r="S547">
        <v>265</v>
      </c>
      <c r="T547">
        <v>2042</v>
      </c>
      <c r="U547">
        <v>300</v>
      </c>
      <c r="V547">
        <v>317</v>
      </c>
      <c r="W547">
        <v>370</v>
      </c>
      <c r="X547">
        <v>325</v>
      </c>
      <c r="Y547">
        <v>300</v>
      </c>
      <c r="Z547">
        <v>2895</v>
      </c>
      <c r="AA547">
        <v>300</v>
      </c>
      <c r="AB547">
        <v>19</v>
      </c>
      <c r="AC547">
        <v>160</v>
      </c>
      <c r="AD547">
        <v>3685</v>
      </c>
      <c r="AE547">
        <v>300</v>
      </c>
    </row>
    <row r="548" spans="1:31" x14ac:dyDescent="0.25">
      <c r="A548" t="s">
        <v>720</v>
      </c>
      <c r="B548">
        <v>2017</v>
      </c>
      <c r="C548">
        <v>6</v>
      </c>
      <c r="D548">
        <v>117</v>
      </c>
      <c r="E548">
        <v>160</v>
      </c>
      <c r="F548">
        <v>399</v>
      </c>
      <c r="G548">
        <v>190</v>
      </c>
      <c r="H548">
        <v>179</v>
      </c>
      <c r="I548">
        <v>280</v>
      </c>
      <c r="J548">
        <v>14</v>
      </c>
      <c r="K548">
        <v>350</v>
      </c>
      <c r="L548">
        <v>68</v>
      </c>
      <c r="M548">
        <v>185</v>
      </c>
      <c r="N548">
        <v>777</v>
      </c>
      <c r="O548">
        <v>200</v>
      </c>
      <c r="P548">
        <v>49</v>
      </c>
      <c r="Q548">
        <v>155</v>
      </c>
      <c r="R548">
        <v>285</v>
      </c>
      <c r="S548">
        <v>210</v>
      </c>
      <c r="T548">
        <v>1863</v>
      </c>
      <c r="U548">
        <v>250</v>
      </c>
      <c r="V548">
        <v>606</v>
      </c>
      <c r="W548">
        <v>330</v>
      </c>
      <c r="X548">
        <v>220</v>
      </c>
      <c r="Y548">
        <v>225</v>
      </c>
      <c r="Z548">
        <v>3023</v>
      </c>
      <c r="AA548">
        <v>255</v>
      </c>
      <c r="AB548">
        <v>14</v>
      </c>
      <c r="AC548">
        <v>125</v>
      </c>
      <c r="AD548">
        <v>3814</v>
      </c>
      <c r="AE548">
        <v>250</v>
      </c>
    </row>
    <row r="549" spans="1:31" x14ac:dyDescent="0.25">
      <c r="A549" t="s">
        <v>724</v>
      </c>
      <c r="B549">
        <v>2017</v>
      </c>
      <c r="C549">
        <v>6</v>
      </c>
      <c r="D549">
        <v>1047</v>
      </c>
      <c r="E549">
        <v>245</v>
      </c>
      <c r="F549">
        <v>2957</v>
      </c>
      <c r="G549">
        <v>280</v>
      </c>
      <c r="H549">
        <v>870</v>
      </c>
      <c r="I549">
        <v>335</v>
      </c>
      <c r="J549">
        <v>31</v>
      </c>
      <c r="K549">
        <v>400</v>
      </c>
      <c r="L549">
        <v>391</v>
      </c>
      <c r="M549">
        <v>250</v>
      </c>
      <c r="N549">
        <v>5296</v>
      </c>
      <c r="O549">
        <v>290</v>
      </c>
      <c r="P549">
        <v>215</v>
      </c>
      <c r="Q549">
        <v>165</v>
      </c>
      <c r="R549">
        <v>1036</v>
      </c>
      <c r="S549">
        <v>287.5</v>
      </c>
      <c r="T549">
        <v>6701</v>
      </c>
      <c r="U549">
        <v>320</v>
      </c>
      <c r="V549">
        <v>1540</v>
      </c>
      <c r="W549">
        <v>380</v>
      </c>
      <c r="X549">
        <v>1060</v>
      </c>
      <c r="Y549">
        <v>297.87</v>
      </c>
      <c r="Z549">
        <v>10552</v>
      </c>
      <c r="AA549">
        <v>320</v>
      </c>
      <c r="AB549">
        <v>166</v>
      </c>
      <c r="AC549">
        <v>162.5</v>
      </c>
      <c r="AD549">
        <v>16014</v>
      </c>
      <c r="AE549">
        <v>300</v>
      </c>
    </row>
    <row r="550" spans="1:31" x14ac:dyDescent="0.25">
      <c r="A550" t="s">
        <v>721</v>
      </c>
      <c r="B550">
        <v>2017</v>
      </c>
      <c r="C550">
        <v>6</v>
      </c>
      <c r="D550">
        <v>146</v>
      </c>
      <c r="E550">
        <v>235</v>
      </c>
      <c r="F550">
        <v>565</v>
      </c>
      <c r="G550">
        <v>285</v>
      </c>
      <c r="H550">
        <v>179</v>
      </c>
      <c r="I550">
        <v>340</v>
      </c>
      <c r="K550">
        <v>380</v>
      </c>
      <c r="L550">
        <v>90</v>
      </c>
      <c r="M550">
        <v>260</v>
      </c>
      <c r="N550">
        <v>985</v>
      </c>
      <c r="O550">
        <v>285</v>
      </c>
      <c r="P550">
        <v>45</v>
      </c>
      <c r="Q550">
        <v>175</v>
      </c>
      <c r="R550">
        <v>174</v>
      </c>
      <c r="S550">
        <v>310</v>
      </c>
      <c r="T550">
        <v>1377</v>
      </c>
      <c r="U550">
        <v>350</v>
      </c>
      <c r="V550">
        <v>290</v>
      </c>
      <c r="W550">
        <v>400</v>
      </c>
      <c r="X550">
        <v>196</v>
      </c>
      <c r="Y550">
        <v>320</v>
      </c>
      <c r="Z550">
        <v>2080</v>
      </c>
      <c r="AA550">
        <v>350</v>
      </c>
      <c r="AB550">
        <v>39</v>
      </c>
      <c r="AC550">
        <v>160</v>
      </c>
      <c r="AD550">
        <v>3105</v>
      </c>
      <c r="AE550">
        <v>325</v>
      </c>
    </row>
    <row r="551" spans="1:31" x14ac:dyDescent="0.25">
      <c r="A551" t="s">
        <v>722</v>
      </c>
      <c r="B551">
        <v>2017</v>
      </c>
      <c r="C551">
        <v>6</v>
      </c>
      <c r="D551">
        <v>131</v>
      </c>
      <c r="E551">
        <v>225</v>
      </c>
      <c r="F551">
        <v>680</v>
      </c>
      <c r="G551">
        <v>280</v>
      </c>
      <c r="H551">
        <v>137</v>
      </c>
      <c r="I551">
        <v>375</v>
      </c>
      <c r="K551">
        <v>515</v>
      </c>
      <c r="L551">
        <v>106</v>
      </c>
      <c r="M551">
        <v>250</v>
      </c>
      <c r="N551">
        <v>1060</v>
      </c>
      <c r="O551">
        <v>275</v>
      </c>
      <c r="P551">
        <v>26</v>
      </c>
      <c r="Q551">
        <v>150</v>
      </c>
      <c r="R551">
        <v>207</v>
      </c>
      <c r="S551">
        <v>320</v>
      </c>
      <c r="T551">
        <v>866</v>
      </c>
      <c r="U551">
        <v>380</v>
      </c>
      <c r="V551">
        <v>158</v>
      </c>
      <c r="W551">
        <v>450</v>
      </c>
      <c r="X551">
        <v>204</v>
      </c>
      <c r="Y551">
        <v>300</v>
      </c>
      <c r="Z551">
        <v>1460</v>
      </c>
      <c r="AA551">
        <v>365</v>
      </c>
      <c r="AB551">
        <v>35</v>
      </c>
      <c r="AC551">
        <v>160</v>
      </c>
      <c r="AD551">
        <v>2555</v>
      </c>
      <c r="AE551">
        <v>330</v>
      </c>
    </row>
    <row r="552" spans="1:31" x14ac:dyDescent="0.25">
      <c r="A552" t="s">
        <v>723</v>
      </c>
      <c r="B552">
        <v>2017</v>
      </c>
      <c r="C552">
        <v>6</v>
      </c>
      <c r="D552">
        <v>7</v>
      </c>
      <c r="E552">
        <v>150</v>
      </c>
      <c r="F552">
        <v>24</v>
      </c>
      <c r="G552">
        <v>172.5</v>
      </c>
      <c r="H552">
        <v>7</v>
      </c>
      <c r="I552">
        <v>209</v>
      </c>
      <c r="K552">
        <v>270</v>
      </c>
      <c r="L552">
        <v>13</v>
      </c>
      <c r="M552">
        <v>140</v>
      </c>
      <c r="N552">
        <v>50</v>
      </c>
      <c r="O552">
        <v>166.75</v>
      </c>
      <c r="P552">
        <v>18</v>
      </c>
      <c r="Q552">
        <v>117.5</v>
      </c>
      <c r="R552">
        <v>55</v>
      </c>
      <c r="S552">
        <v>200</v>
      </c>
      <c r="T552">
        <v>314</v>
      </c>
      <c r="U552">
        <v>240</v>
      </c>
      <c r="V552">
        <v>101</v>
      </c>
      <c r="W552">
        <v>280</v>
      </c>
      <c r="X552">
        <v>28</v>
      </c>
      <c r="Y552">
        <v>225</v>
      </c>
      <c r="Z552">
        <v>515</v>
      </c>
      <c r="AA552">
        <v>240</v>
      </c>
      <c r="AB552">
        <v>0</v>
      </c>
      <c r="AD552">
        <v>570</v>
      </c>
      <c r="AE552">
        <v>230</v>
      </c>
    </row>
    <row r="553" spans="1:31" x14ac:dyDescent="0.25">
      <c r="A553" t="s">
        <v>711</v>
      </c>
      <c r="B553">
        <v>2017</v>
      </c>
      <c r="C553">
        <v>9</v>
      </c>
      <c r="E553">
        <v>220</v>
      </c>
      <c r="F553">
        <v>27</v>
      </c>
      <c r="G553">
        <v>275</v>
      </c>
      <c r="H553">
        <v>32</v>
      </c>
      <c r="I553">
        <v>330</v>
      </c>
      <c r="J553">
        <v>6</v>
      </c>
      <c r="K553">
        <v>422.5</v>
      </c>
      <c r="L553">
        <v>6</v>
      </c>
      <c r="M553">
        <v>265</v>
      </c>
      <c r="N553">
        <v>70</v>
      </c>
      <c r="O553">
        <v>307.5</v>
      </c>
      <c r="Q553">
        <v>210</v>
      </c>
      <c r="R553">
        <v>26</v>
      </c>
      <c r="S553">
        <v>320</v>
      </c>
      <c r="T553">
        <v>142</v>
      </c>
      <c r="U553">
        <v>350</v>
      </c>
      <c r="V553">
        <v>90</v>
      </c>
      <c r="W553">
        <v>420</v>
      </c>
      <c r="X553">
        <v>17</v>
      </c>
      <c r="Y553">
        <v>335</v>
      </c>
      <c r="Z553">
        <v>280</v>
      </c>
      <c r="AA553">
        <v>370</v>
      </c>
      <c r="AB553">
        <v>0</v>
      </c>
      <c r="AD553">
        <v>350</v>
      </c>
      <c r="AE553">
        <v>350</v>
      </c>
    </row>
    <row r="554" spans="1:31" x14ac:dyDescent="0.25">
      <c r="A554" t="s">
        <v>712</v>
      </c>
      <c r="B554">
        <v>2017</v>
      </c>
      <c r="C554">
        <v>9</v>
      </c>
      <c r="E554">
        <v>200</v>
      </c>
      <c r="F554">
        <v>46</v>
      </c>
      <c r="G554">
        <v>242.5</v>
      </c>
      <c r="H554">
        <v>27</v>
      </c>
      <c r="I554">
        <v>275</v>
      </c>
      <c r="K554">
        <v>327.5</v>
      </c>
      <c r="M554">
        <v>195</v>
      </c>
      <c r="N554">
        <v>80</v>
      </c>
      <c r="O554">
        <v>250</v>
      </c>
      <c r="Q554">
        <v>180</v>
      </c>
      <c r="R554">
        <v>25</v>
      </c>
      <c r="S554">
        <v>255</v>
      </c>
      <c r="T554">
        <v>226</v>
      </c>
      <c r="U554">
        <v>300</v>
      </c>
      <c r="V554">
        <v>80</v>
      </c>
      <c r="W554">
        <v>367.5</v>
      </c>
      <c r="X554">
        <v>21</v>
      </c>
      <c r="Y554">
        <v>290</v>
      </c>
      <c r="Z554">
        <v>355</v>
      </c>
      <c r="AA554">
        <v>310</v>
      </c>
      <c r="AB554">
        <v>0</v>
      </c>
      <c r="AD554">
        <v>435</v>
      </c>
      <c r="AE554">
        <v>295</v>
      </c>
    </row>
    <row r="555" spans="1:31" x14ac:dyDescent="0.25">
      <c r="A555" t="s">
        <v>713</v>
      </c>
      <c r="B555">
        <v>2017</v>
      </c>
      <c r="C555">
        <v>9</v>
      </c>
      <c r="D555">
        <v>657</v>
      </c>
      <c r="E555">
        <v>275</v>
      </c>
      <c r="F555">
        <v>1054</v>
      </c>
      <c r="G555">
        <v>330</v>
      </c>
      <c r="H555">
        <v>224</v>
      </c>
      <c r="I555">
        <v>455</v>
      </c>
      <c r="J555">
        <v>16</v>
      </c>
      <c r="K555">
        <v>430</v>
      </c>
      <c r="L555">
        <v>91</v>
      </c>
      <c r="M555">
        <v>280</v>
      </c>
      <c r="N555">
        <v>2040</v>
      </c>
      <c r="O555">
        <v>315</v>
      </c>
      <c r="P555">
        <v>52</v>
      </c>
      <c r="Q555">
        <v>169.5</v>
      </c>
      <c r="R555">
        <v>201</v>
      </c>
      <c r="S555">
        <v>380</v>
      </c>
      <c r="T555">
        <v>626</v>
      </c>
      <c r="U555">
        <v>420</v>
      </c>
      <c r="V555">
        <v>195</v>
      </c>
      <c r="W555">
        <v>590</v>
      </c>
      <c r="X555">
        <v>126</v>
      </c>
      <c r="Y555">
        <v>290</v>
      </c>
      <c r="Z555">
        <v>1200</v>
      </c>
      <c r="AA555">
        <v>410</v>
      </c>
      <c r="AB555">
        <v>88</v>
      </c>
      <c r="AC555">
        <v>195</v>
      </c>
      <c r="AD555">
        <v>3330</v>
      </c>
      <c r="AE555">
        <v>345</v>
      </c>
    </row>
    <row r="556" spans="1:31" x14ac:dyDescent="0.25">
      <c r="A556" t="s">
        <v>714</v>
      </c>
      <c r="B556">
        <v>2017</v>
      </c>
      <c r="C556">
        <v>9</v>
      </c>
      <c r="D556">
        <v>40</v>
      </c>
      <c r="E556">
        <v>160</v>
      </c>
      <c r="F556">
        <v>57</v>
      </c>
      <c r="G556">
        <v>180</v>
      </c>
      <c r="H556">
        <v>23</v>
      </c>
      <c r="I556">
        <v>300</v>
      </c>
      <c r="K556">
        <v>350</v>
      </c>
      <c r="L556">
        <v>12</v>
      </c>
      <c r="M556">
        <v>197.5</v>
      </c>
      <c r="N556">
        <v>135</v>
      </c>
      <c r="O556">
        <v>190</v>
      </c>
      <c r="Q556">
        <v>185</v>
      </c>
      <c r="R556">
        <v>31</v>
      </c>
      <c r="S556">
        <v>200</v>
      </c>
      <c r="T556">
        <v>261</v>
      </c>
      <c r="U556">
        <v>210</v>
      </c>
      <c r="V556">
        <v>75</v>
      </c>
      <c r="W556">
        <v>300</v>
      </c>
      <c r="X556">
        <v>32</v>
      </c>
      <c r="Y556">
        <v>200</v>
      </c>
      <c r="Z556">
        <v>400</v>
      </c>
      <c r="AA556">
        <v>230</v>
      </c>
      <c r="AC556">
        <v>105</v>
      </c>
      <c r="AD556">
        <v>540</v>
      </c>
      <c r="AE556">
        <v>220</v>
      </c>
    </row>
    <row r="557" spans="1:31" x14ac:dyDescent="0.25">
      <c r="A557" t="s">
        <v>715</v>
      </c>
      <c r="B557">
        <v>2017</v>
      </c>
      <c r="C557">
        <v>9</v>
      </c>
      <c r="D557">
        <v>18</v>
      </c>
      <c r="E557">
        <v>157.5</v>
      </c>
      <c r="F557">
        <v>42</v>
      </c>
      <c r="G557">
        <v>190</v>
      </c>
      <c r="H557">
        <v>13</v>
      </c>
      <c r="I557">
        <v>200</v>
      </c>
      <c r="K557">
        <v>242.5</v>
      </c>
      <c r="L557">
        <v>0</v>
      </c>
      <c r="N557">
        <v>75</v>
      </c>
      <c r="O557">
        <v>180</v>
      </c>
      <c r="Q557">
        <v>160</v>
      </c>
      <c r="R557">
        <v>22</v>
      </c>
      <c r="S557">
        <v>194</v>
      </c>
      <c r="T557">
        <v>138</v>
      </c>
      <c r="U557">
        <v>220</v>
      </c>
      <c r="V557">
        <v>44</v>
      </c>
      <c r="W557">
        <v>340</v>
      </c>
      <c r="Y557">
        <v>300</v>
      </c>
      <c r="Z557">
        <v>210</v>
      </c>
      <c r="AA557">
        <v>240</v>
      </c>
      <c r="AB557">
        <v>0</v>
      </c>
      <c r="AD557">
        <v>285</v>
      </c>
      <c r="AE557">
        <v>220</v>
      </c>
    </row>
    <row r="558" spans="1:31" x14ac:dyDescent="0.25">
      <c r="A558" t="s">
        <v>716</v>
      </c>
      <c r="B558">
        <v>2017</v>
      </c>
      <c r="C558">
        <v>9</v>
      </c>
      <c r="D558">
        <v>15</v>
      </c>
      <c r="E558">
        <v>170</v>
      </c>
      <c r="F558">
        <v>36</v>
      </c>
      <c r="G558">
        <v>230</v>
      </c>
      <c r="H558">
        <v>20</v>
      </c>
      <c r="I558">
        <v>270</v>
      </c>
      <c r="J558">
        <v>0</v>
      </c>
      <c r="M558">
        <v>245</v>
      </c>
      <c r="N558">
        <v>75</v>
      </c>
      <c r="O558">
        <v>230</v>
      </c>
      <c r="Q558">
        <v>160</v>
      </c>
      <c r="R558">
        <v>30</v>
      </c>
      <c r="S558">
        <v>257.5</v>
      </c>
      <c r="T558">
        <v>184</v>
      </c>
      <c r="U558">
        <v>290</v>
      </c>
      <c r="V558">
        <v>73</v>
      </c>
      <c r="W558">
        <v>350</v>
      </c>
      <c r="X558">
        <v>19</v>
      </c>
      <c r="Y558">
        <v>290</v>
      </c>
      <c r="Z558">
        <v>310</v>
      </c>
      <c r="AA558">
        <v>295</v>
      </c>
      <c r="AB558">
        <v>0</v>
      </c>
      <c r="AD558">
        <v>385</v>
      </c>
      <c r="AE558">
        <v>285</v>
      </c>
    </row>
    <row r="559" spans="1:31" x14ac:dyDescent="0.25">
      <c r="A559" t="s">
        <v>717</v>
      </c>
      <c r="B559">
        <v>2017</v>
      </c>
      <c r="C559">
        <v>9</v>
      </c>
      <c r="D559">
        <v>28</v>
      </c>
      <c r="E559">
        <v>159.97999999999999</v>
      </c>
      <c r="F559">
        <v>109</v>
      </c>
      <c r="G559">
        <v>165</v>
      </c>
      <c r="H559">
        <v>29</v>
      </c>
      <c r="I559">
        <v>256</v>
      </c>
      <c r="J559">
        <v>0</v>
      </c>
      <c r="M559">
        <v>150</v>
      </c>
      <c r="N559">
        <v>165</v>
      </c>
      <c r="O559">
        <v>180</v>
      </c>
      <c r="P559">
        <v>0</v>
      </c>
      <c r="R559">
        <v>46</v>
      </c>
      <c r="S559">
        <v>200</v>
      </c>
      <c r="T559">
        <v>288</v>
      </c>
      <c r="U559">
        <v>230</v>
      </c>
      <c r="V559">
        <v>52</v>
      </c>
      <c r="W559">
        <v>297.5</v>
      </c>
      <c r="X559">
        <v>8</v>
      </c>
      <c r="Y559">
        <v>200</v>
      </c>
      <c r="Z559">
        <v>395</v>
      </c>
      <c r="AA559">
        <v>230</v>
      </c>
      <c r="AC559">
        <v>155</v>
      </c>
      <c r="AD559">
        <v>565</v>
      </c>
      <c r="AE559">
        <v>220</v>
      </c>
    </row>
    <row r="560" spans="1:31" x14ac:dyDescent="0.25">
      <c r="A560" t="s">
        <v>628</v>
      </c>
      <c r="B560">
        <v>2017</v>
      </c>
      <c r="C560">
        <v>9</v>
      </c>
      <c r="D560">
        <v>1025</v>
      </c>
      <c r="E560">
        <v>255</v>
      </c>
      <c r="F560">
        <v>2795</v>
      </c>
      <c r="G560">
        <v>295</v>
      </c>
      <c r="H560">
        <v>807</v>
      </c>
      <c r="I560">
        <v>350</v>
      </c>
      <c r="J560">
        <v>29</v>
      </c>
      <c r="K560">
        <v>430</v>
      </c>
      <c r="L560">
        <v>325</v>
      </c>
      <c r="M560">
        <v>255</v>
      </c>
      <c r="N560">
        <v>4980</v>
      </c>
      <c r="O560">
        <v>295</v>
      </c>
      <c r="P560">
        <v>146</v>
      </c>
      <c r="Q560">
        <v>165</v>
      </c>
      <c r="R560">
        <v>722</v>
      </c>
      <c r="S560">
        <v>320</v>
      </c>
      <c r="T560">
        <v>4831</v>
      </c>
      <c r="U560">
        <v>345</v>
      </c>
      <c r="V560">
        <v>1055</v>
      </c>
      <c r="W560">
        <v>420</v>
      </c>
      <c r="X560">
        <v>644</v>
      </c>
      <c r="Y560">
        <v>300</v>
      </c>
      <c r="Z560">
        <v>7400</v>
      </c>
      <c r="AA560">
        <v>345</v>
      </c>
      <c r="AB560">
        <v>166</v>
      </c>
      <c r="AC560">
        <v>175</v>
      </c>
      <c r="AD560">
        <v>12545</v>
      </c>
      <c r="AE560">
        <v>320</v>
      </c>
    </row>
    <row r="561" spans="1:31" x14ac:dyDescent="0.25">
      <c r="A561" t="s">
        <v>718</v>
      </c>
      <c r="B561">
        <v>2017</v>
      </c>
      <c r="C561">
        <v>9</v>
      </c>
      <c r="D561">
        <v>28</v>
      </c>
      <c r="E561">
        <v>160</v>
      </c>
      <c r="F561">
        <v>50</v>
      </c>
      <c r="G561">
        <v>185</v>
      </c>
      <c r="H561">
        <v>24</v>
      </c>
      <c r="I561">
        <v>240</v>
      </c>
      <c r="J561">
        <v>0</v>
      </c>
      <c r="L561">
        <v>8</v>
      </c>
      <c r="M561">
        <v>152.5</v>
      </c>
      <c r="N561">
        <v>110</v>
      </c>
      <c r="O561">
        <v>180</v>
      </c>
      <c r="P561">
        <v>8</v>
      </c>
      <c r="Q561">
        <v>152.5</v>
      </c>
      <c r="R561">
        <v>50</v>
      </c>
      <c r="S561">
        <v>217.5</v>
      </c>
      <c r="T561">
        <v>306</v>
      </c>
      <c r="U561">
        <v>250</v>
      </c>
      <c r="V561">
        <v>84</v>
      </c>
      <c r="W561">
        <v>287.5</v>
      </c>
      <c r="X561">
        <v>43</v>
      </c>
      <c r="Y561">
        <v>225</v>
      </c>
      <c r="Z561">
        <v>490</v>
      </c>
      <c r="AA561">
        <v>250</v>
      </c>
      <c r="AB561">
        <v>8</v>
      </c>
      <c r="AC561">
        <v>195</v>
      </c>
      <c r="AD561">
        <v>610</v>
      </c>
      <c r="AE561">
        <v>240</v>
      </c>
    </row>
    <row r="562" spans="1:31" x14ac:dyDescent="0.25">
      <c r="A562" t="s">
        <v>719</v>
      </c>
      <c r="B562">
        <v>2017</v>
      </c>
      <c r="C562">
        <v>9</v>
      </c>
      <c r="D562">
        <v>90</v>
      </c>
      <c r="E562">
        <v>185</v>
      </c>
      <c r="F562">
        <v>426</v>
      </c>
      <c r="G562">
        <v>264.5</v>
      </c>
      <c r="H562">
        <v>207</v>
      </c>
      <c r="I562">
        <v>315</v>
      </c>
      <c r="K562">
        <v>295</v>
      </c>
      <c r="L562">
        <v>71</v>
      </c>
      <c r="M562">
        <v>250</v>
      </c>
      <c r="N562">
        <v>795</v>
      </c>
      <c r="O562">
        <v>270</v>
      </c>
      <c r="P562">
        <v>30</v>
      </c>
      <c r="Q562">
        <v>162</v>
      </c>
      <c r="R562">
        <v>175</v>
      </c>
      <c r="S562">
        <v>260</v>
      </c>
      <c r="T562">
        <v>2092</v>
      </c>
      <c r="U562">
        <v>305</v>
      </c>
      <c r="V562">
        <v>346</v>
      </c>
      <c r="W562">
        <v>360</v>
      </c>
      <c r="X562">
        <v>234</v>
      </c>
      <c r="Y562">
        <v>300</v>
      </c>
      <c r="Z562">
        <v>2875</v>
      </c>
      <c r="AA562">
        <v>310</v>
      </c>
      <c r="AB562">
        <v>17</v>
      </c>
      <c r="AC562">
        <v>170</v>
      </c>
      <c r="AD562">
        <v>3690</v>
      </c>
      <c r="AE562">
        <v>300</v>
      </c>
    </row>
    <row r="563" spans="1:31" x14ac:dyDescent="0.25">
      <c r="A563" t="s">
        <v>720</v>
      </c>
      <c r="B563">
        <v>2017</v>
      </c>
      <c r="C563">
        <v>9</v>
      </c>
      <c r="D563">
        <v>148</v>
      </c>
      <c r="E563">
        <v>160</v>
      </c>
      <c r="F563">
        <v>394</v>
      </c>
      <c r="G563">
        <v>200</v>
      </c>
      <c r="H563">
        <v>179</v>
      </c>
      <c r="I563">
        <v>275</v>
      </c>
      <c r="J563">
        <v>16</v>
      </c>
      <c r="K563">
        <v>345</v>
      </c>
      <c r="L563">
        <v>41</v>
      </c>
      <c r="M563">
        <v>200</v>
      </c>
      <c r="N563">
        <v>780</v>
      </c>
      <c r="O563">
        <v>205</v>
      </c>
      <c r="P563">
        <v>43</v>
      </c>
      <c r="Q563">
        <v>160</v>
      </c>
      <c r="R563">
        <v>286</v>
      </c>
      <c r="S563">
        <v>220</v>
      </c>
      <c r="T563">
        <v>1826</v>
      </c>
      <c r="U563">
        <v>250</v>
      </c>
      <c r="V563">
        <v>599</v>
      </c>
      <c r="W563">
        <v>330</v>
      </c>
      <c r="X563">
        <v>177</v>
      </c>
      <c r="Y563">
        <v>240</v>
      </c>
      <c r="Z563">
        <v>2930</v>
      </c>
      <c r="AA563">
        <v>260</v>
      </c>
      <c r="AB563">
        <v>14</v>
      </c>
      <c r="AC563">
        <v>150</v>
      </c>
      <c r="AD563">
        <v>3725</v>
      </c>
      <c r="AE563">
        <v>250</v>
      </c>
    </row>
    <row r="564" spans="1:31" x14ac:dyDescent="0.25">
      <c r="A564" t="s">
        <v>724</v>
      </c>
      <c r="B564">
        <v>2017</v>
      </c>
      <c r="C564">
        <v>9</v>
      </c>
      <c r="D564">
        <v>1173</v>
      </c>
      <c r="E564">
        <v>250</v>
      </c>
      <c r="F564">
        <v>3189</v>
      </c>
      <c r="G564">
        <v>285</v>
      </c>
      <c r="H564">
        <v>986</v>
      </c>
      <c r="I564">
        <v>335</v>
      </c>
      <c r="J564">
        <v>45</v>
      </c>
      <c r="K564">
        <v>410</v>
      </c>
      <c r="L564">
        <v>366</v>
      </c>
      <c r="M564">
        <v>250</v>
      </c>
      <c r="N564">
        <v>5760</v>
      </c>
      <c r="O564">
        <v>285</v>
      </c>
      <c r="P564">
        <v>189</v>
      </c>
      <c r="Q564">
        <v>165</v>
      </c>
      <c r="R564">
        <v>1008</v>
      </c>
      <c r="S564">
        <v>285</v>
      </c>
      <c r="T564">
        <v>6657</v>
      </c>
      <c r="U564">
        <v>320</v>
      </c>
      <c r="V564">
        <v>1654</v>
      </c>
      <c r="W564">
        <v>380</v>
      </c>
      <c r="X564">
        <v>821</v>
      </c>
      <c r="Y564">
        <v>290</v>
      </c>
      <c r="Z564">
        <v>10330</v>
      </c>
      <c r="AA564">
        <v>320</v>
      </c>
      <c r="AB564">
        <v>180</v>
      </c>
      <c r="AC564">
        <v>175</v>
      </c>
      <c r="AD564">
        <v>16270</v>
      </c>
      <c r="AE564">
        <v>300</v>
      </c>
    </row>
    <row r="565" spans="1:31" x14ac:dyDescent="0.25">
      <c r="A565" t="s">
        <v>721</v>
      </c>
      <c r="B565">
        <v>2017</v>
      </c>
      <c r="C565">
        <v>9</v>
      </c>
      <c r="D565">
        <v>143</v>
      </c>
      <c r="E565">
        <v>240</v>
      </c>
      <c r="F565">
        <v>603</v>
      </c>
      <c r="G565">
        <v>285</v>
      </c>
      <c r="H565">
        <v>207</v>
      </c>
      <c r="I565">
        <v>340</v>
      </c>
      <c r="K565">
        <v>420</v>
      </c>
      <c r="L565">
        <v>57</v>
      </c>
      <c r="M565">
        <v>260</v>
      </c>
      <c r="N565">
        <v>1015</v>
      </c>
      <c r="O565">
        <v>290</v>
      </c>
      <c r="P565">
        <v>27</v>
      </c>
      <c r="Q565">
        <v>182</v>
      </c>
      <c r="R565">
        <v>150</v>
      </c>
      <c r="S565">
        <v>315</v>
      </c>
      <c r="T565">
        <v>1304</v>
      </c>
      <c r="U565">
        <v>350</v>
      </c>
      <c r="V565">
        <v>344</v>
      </c>
      <c r="W565">
        <v>400</v>
      </c>
      <c r="X565">
        <v>155</v>
      </c>
      <c r="Y565">
        <v>320</v>
      </c>
      <c r="Z565">
        <v>1980</v>
      </c>
      <c r="AA565">
        <v>350</v>
      </c>
      <c r="AB565">
        <v>33</v>
      </c>
      <c r="AC565">
        <v>155</v>
      </c>
      <c r="AD565">
        <v>3030</v>
      </c>
      <c r="AE565">
        <v>330</v>
      </c>
    </row>
    <row r="566" spans="1:31" x14ac:dyDescent="0.25">
      <c r="A566" t="s">
        <v>722</v>
      </c>
      <c r="B566">
        <v>2017</v>
      </c>
      <c r="C566">
        <v>9</v>
      </c>
      <c r="D566">
        <v>135</v>
      </c>
      <c r="E566">
        <v>235</v>
      </c>
      <c r="F566">
        <v>712</v>
      </c>
      <c r="G566">
        <v>285</v>
      </c>
      <c r="H566">
        <v>169</v>
      </c>
      <c r="I566">
        <v>365</v>
      </c>
      <c r="J566">
        <v>6</v>
      </c>
      <c r="K566">
        <v>547.5</v>
      </c>
      <c r="L566">
        <v>106</v>
      </c>
      <c r="M566">
        <v>257.5</v>
      </c>
      <c r="N566">
        <v>1130</v>
      </c>
      <c r="O566">
        <v>285</v>
      </c>
      <c r="P566">
        <v>37</v>
      </c>
      <c r="Q566">
        <v>160</v>
      </c>
      <c r="R566">
        <v>196</v>
      </c>
      <c r="S566">
        <v>320</v>
      </c>
      <c r="T566">
        <v>809</v>
      </c>
      <c r="U566">
        <v>385</v>
      </c>
      <c r="V566">
        <v>170</v>
      </c>
      <c r="W566">
        <v>472.5</v>
      </c>
      <c r="X566">
        <v>129</v>
      </c>
      <c r="Y566">
        <v>300</v>
      </c>
      <c r="Z566">
        <v>1340</v>
      </c>
      <c r="AA566">
        <v>370</v>
      </c>
      <c r="AB566">
        <v>28</v>
      </c>
      <c r="AC566">
        <v>175</v>
      </c>
      <c r="AD566">
        <v>2495</v>
      </c>
      <c r="AE566">
        <v>330</v>
      </c>
    </row>
    <row r="567" spans="1:31" x14ac:dyDescent="0.25">
      <c r="A567" t="s">
        <v>723</v>
      </c>
      <c r="B567">
        <v>2017</v>
      </c>
      <c r="C567">
        <v>9</v>
      </c>
      <c r="D567">
        <v>15</v>
      </c>
      <c r="E567">
        <v>110</v>
      </c>
      <c r="F567">
        <v>27</v>
      </c>
      <c r="G567">
        <v>185</v>
      </c>
      <c r="H567">
        <v>11</v>
      </c>
      <c r="I567">
        <v>250</v>
      </c>
      <c r="K567">
        <v>300</v>
      </c>
      <c r="L567">
        <v>6</v>
      </c>
      <c r="M567">
        <v>160</v>
      </c>
      <c r="N567">
        <v>60</v>
      </c>
      <c r="O567">
        <v>182.5</v>
      </c>
      <c r="P567">
        <v>20</v>
      </c>
      <c r="Q567">
        <v>112</v>
      </c>
      <c r="R567">
        <v>56</v>
      </c>
      <c r="S567">
        <v>205</v>
      </c>
      <c r="T567">
        <v>281</v>
      </c>
      <c r="U567">
        <v>230</v>
      </c>
      <c r="V567">
        <v>101</v>
      </c>
      <c r="W567">
        <v>297.5</v>
      </c>
      <c r="X567">
        <v>34</v>
      </c>
      <c r="Y567">
        <v>235</v>
      </c>
      <c r="Z567">
        <v>490</v>
      </c>
      <c r="AA567">
        <v>240</v>
      </c>
      <c r="AB567">
        <v>0</v>
      </c>
      <c r="AD567">
        <v>550</v>
      </c>
      <c r="AE567">
        <v>230</v>
      </c>
    </row>
    <row r="568" spans="1:31" x14ac:dyDescent="0.25">
      <c r="A568" t="s">
        <v>711</v>
      </c>
      <c r="B568">
        <v>2017</v>
      </c>
      <c r="C568">
        <v>12</v>
      </c>
      <c r="E568">
        <v>200</v>
      </c>
      <c r="F568">
        <v>20</v>
      </c>
      <c r="G568">
        <v>280</v>
      </c>
      <c r="H568">
        <v>25</v>
      </c>
      <c r="I568">
        <v>320</v>
      </c>
      <c r="J568">
        <v>6</v>
      </c>
      <c r="K568">
        <v>370</v>
      </c>
      <c r="M568">
        <v>323</v>
      </c>
      <c r="N568">
        <v>55</v>
      </c>
      <c r="O568">
        <v>301</v>
      </c>
      <c r="P568">
        <v>9</v>
      </c>
      <c r="Q568">
        <v>270</v>
      </c>
      <c r="R568">
        <v>21</v>
      </c>
      <c r="S568">
        <v>310</v>
      </c>
      <c r="T568">
        <v>163</v>
      </c>
      <c r="U568">
        <v>350</v>
      </c>
      <c r="V568">
        <v>105</v>
      </c>
      <c r="W568">
        <v>440</v>
      </c>
      <c r="X568">
        <v>12</v>
      </c>
      <c r="Y568">
        <v>243</v>
      </c>
      <c r="Z568">
        <v>310</v>
      </c>
      <c r="AA568">
        <v>365</v>
      </c>
      <c r="AC568">
        <v>158</v>
      </c>
      <c r="AD568">
        <v>365</v>
      </c>
      <c r="AE568">
        <v>355</v>
      </c>
    </row>
    <row r="569" spans="1:31" x14ac:dyDescent="0.25">
      <c r="A569" t="s">
        <v>712</v>
      </c>
      <c r="B569">
        <v>2017</v>
      </c>
      <c r="C569">
        <v>12</v>
      </c>
      <c r="E569">
        <v>200</v>
      </c>
      <c r="F569">
        <v>32</v>
      </c>
      <c r="G569">
        <v>230</v>
      </c>
      <c r="H569">
        <v>24</v>
      </c>
      <c r="I569">
        <v>275</v>
      </c>
      <c r="K569">
        <v>395</v>
      </c>
      <c r="L569">
        <v>0</v>
      </c>
      <c r="N569">
        <v>60</v>
      </c>
      <c r="O569">
        <v>255</v>
      </c>
      <c r="Q569">
        <v>180</v>
      </c>
      <c r="R569">
        <v>15</v>
      </c>
      <c r="S569">
        <v>240</v>
      </c>
      <c r="T569">
        <v>210</v>
      </c>
      <c r="U569">
        <v>300</v>
      </c>
      <c r="V569">
        <v>71</v>
      </c>
      <c r="W569">
        <v>380</v>
      </c>
      <c r="X569">
        <v>16</v>
      </c>
      <c r="Y569">
        <v>278</v>
      </c>
      <c r="Z569">
        <v>315</v>
      </c>
      <c r="AA569">
        <v>300</v>
      </c>
      <c r="AB569">
        <v>0</v>
      </c>
      <c r="AD569">
        <v>375</v>
      </c>
      <c r="AE569">
        <v>300</v>
      </c>
    </row>
    <row r="570" spans="1:31" x14ac:dyDescent="0.25">
      <c r="A570" t="s">
        <v>713</v>
      </c>
      <c r="B570">
        <v>2017</v>
      </c>
      <c r="C570">
        <v>12</v>
      </c>
      <c r="D570">
        <v>588</v>
      </c>
      <c r="E570">
        <v>299</v>
      </c>
      <c r="F570">
        <v>933</v>
      </c>
      <c r="G570">
        <v>325</v>
      </c>
      <c r="H570">
        <v>172</v>
      </c>
      <c r="I570">
        <v>455</v>
      </c>
      <c r="K570">
        <v>600</v>
      </c>
      <c r="L570">
        <v>96</v>
      </c>
      <c r="M570">
        <v>310</v>
      </c>
      <c r="N570">
        <v>1795</v>
      </c>
      <c r="O570">
        <v>320</v>
      </c>
      <c r="P570">
        <v>67</v>
      </c>
      <c r="Q570">
        <v>190</v>
      </c>
      <c r="R570">
        <v>222</v>
      </c>
      <c r="S570">
        <v>390</v>
      </c>
      <c r="T570">
        <v>597</v>
      </c>
      <c r="U570">
        <v>440</v>
      </c>
      <c r="V570">
        <v>162</v>
      </c>
      <c r="W570">
        <v>560</v>
      </c>
      <c r="X570">
        <v>91</v>
      </c>
      <c r="Y570">
        <v>295</v>
      </c>
      <c r="Z570">
        <v>1140</v>
      </c>
      <c r="AA570">
        <v>420</v>
      </c>
      <c r="AB570">
        <v>71</v>
      </c>
      <c r="AC570">
        <v>200</v>
      </c>
      <c r="AD570">
        <v>3005</v>
      </c>
      <c r="AE570">
        <v>350</v>
      </c>
    </row>
    <row r="571" spans="1:31" x14ac:dyDescent="0.25">
      <c r="A571" t="s">
        <v>714</v>
      </c>
      <c r="B571">
        <v>2017</v>
      </c>
      <c r="C571">
        <v>12</v>
      </c>
      <c r="D571">
        <v>23</v>
      </c>
      <c r="E571">
        <v>160</v>
      </c>
      <c r="F571">
        <v>56</v>
      </c>
      <c r="G571">
        <v>200</v>
      </c>
      <c r="H571">
        <v>31</v>
      </c>
      <c r="I571">
        <v>320</v>
      </c>
      <c r="K571">
        <v>333</v>
      </c>
      <c r="L571">
        <v>7</v>
      </c>
      <c r="M571">
        <v>185</v>
      </c>
      <c r="N571">
        <v>120</v>
      </c>
      <c r="O571">
        <v>200</v>
      </c>
      <c r="Q571">
        <v>155</v>
      </c>
      <c r="R571">
        <v>41</v>
      </c>
      <c r="S571">
        <v>170</v>
      </c>
      <c r="T571">
        <v>240</v>
      </c>
      <c r="U571">
        <v>220</v>
      </c>
      <c r="V571">
        <v>57</v>
      </c>
      <c r="W571">
        <v>300</v>
      </c>
      <c r="X571">
        <v>33</v>
      </c>
      <c r="Y571">
        <v>260</v>
      </c>
      <c r="Z571">
        <v>375</v>
      </c>
      <c r="AA571">
        <v>230</v>
      </c>
      <c r="AB571">
        <v>0</v>
      </c>
      <c r="AD571">
        <v>495</v>
      </c>
      <c r="AE571">
        <v>229</v>
      </c>
    </row>
    <row r="572" spans="1:31" x14ac:dyDescent="0.25">
      <c r="A572" t="s">
        <v>715</v>
      </c>
      <c r="B572">
        <v>2017</v>
      </c>
      <c r="C572">
        <v>12</v>
      </c>
      <c r="D572">
        <v>15</v>
      </c>
      <c r="E572">
        <v>155</v>
      </c>
      <c r="F572">
        <v>33</v>
      </c>
      <c r="G572">
        <v>180</v>
      </c>
      <c r="H572">
        <v>10</v>
      </c>
      <c r="I572">
        <v>260</v>
      </c>
      <c r="J572">
        <v>0</v>
      </c>
      <c r="M572">
        <v>190</v>
      </c>
      <c r="N572">
        <v>60</v>
      </c>
      <c r="O572">
        <v>200</v>
      </c>
      <c r="Q572">
        <v>92</v>
      </c>
      <c r="R572">
        <v>25</v>
      </c>
      <c r="S572">
        <v>180</v>
      </c>
      <c r="T572">
        <v>107</v>
      </c>
      <c r="U572">
        <v>239</v>
      </c>
      <c r="V572">
        <v>64</v>
      </c>
      <c r="W572">
        <v>355</v>
      </c>
      <c r="X572">
        <v>11</v>
      </c>
      <c r="Y572">
        <v>200</v>
      </c>
      <c r="Z572">
        <v>210</v>
      </c>
      <c r="AA572">
        <v>250</v>
      </c>
      <c r="AB572">
        <v>0</v>
      </c>
      <c r="AD572">
        <v>270</v>
      </c>
      <c r="AE572">
        <v>240</v>
      </c>
    </row>
    <row r="573" spans="1:31" x14ac:dyDescent="0.25">
      <c r="A573" t="s">
        <v>716</v>
      </c>
      <c r="B573">
        <v>2017</v>
      </c>
      <c r="C573">
        <v>12</v>
      </c>
      <c r="D573">
        <v>15</v>
      </c>
      <c r="E573">
        <v>170</v>
      </c>
      <c r="F573">
        <v>66</v>
      </c>
      <c r="G573">
        <v>223</v>
      </c>
      <c r="H573">
        <v>23</v>
      </c>
      <c r="I573">
        <v>275</v>
      </c>
      <c r="K573">
        <v>395</v>
      </c>
      <c r="L573">
        <v>7</v>
      </c>
      <c r="M573">
        <v>220</v>
      </c>
      <c r="N573">
        <v>110</v>
      </c>
      <c r="O573">
        <v>225</v>
      </c>
      <c r="Q573">
        <v>208</v>
      </c>
      <c r="R573">
        <v>28</v>
      </c>
      <c r="S573">
        <v>255</v>
      </c>
      <c r="T573">
        <v>293</v>
      </c>
      <c r="U573">
        <v>260</v>
      </c>
      <c r="V573">
        <v>70</v>
      </c>
      <c r="W573">
        <v>350</v>
      </c>
      <c r="X573">
        <v>31</v>
      </c>
      <c r="Y573">
        <v>270</v>
      </c>
      <c r="Z573">
        <v>425</v>
      </c>
      <c r="AA573">
        <v>275</v>
      </c>
      <c r="AB573">
        <v>0</v>
      </c>
      <c r="AD573">
        <v>540</v>
      </c>
      <c r="AE573">
        <v>260</v>
      </c>
    </row>
    <row r="574" spans="1:31" x14ac:dyDescent="0.25">
      <c r="A574" t="s">
        <v>717</v>
      </c>
      <c r="B574">
        <v>2017</v>
      </c>
      <c r="C574">
        <v>12</v>
      </c>
      <c r="D574">
        <v>24</v>
      </c>
      <c r="E574">
        <v>168</v>
      </c>
      <c r="F574">
        <v>114</v>
      </c>
      <c r="G574">
        <v>175</v>
      </c>
      <c r="H574">
        <v>34</v>
      </c>
      <c r="I574">
        <v>255</v>
      </c>
      <c r="J574">
        <v>0</v>
      </c>
      <c r="L574">
        <v>10</v>
      </c>
      <c r="M574">
        <v>167</v>
      </c>
      <c r="N574">
        <v>180</v>
      </c>
      <c r="O574">
        <v>185</v>
      </c>
      <c r="Q574">
        <v>178</v>
      </c>
      <c r="R574">
        <v>36</v>
      </c>
      <c r="S574">
        <v>198</v>
      </c>
      <c r="T574">
        <v>287</v>
      </c>
      <c r="U574">
        <v>240</v>
      </c>
      <c r="V574">
        <v>59</v>
      </c>
      <c r="W574">
        <v>300</v>
      </c>
      <c r="X574">
        <v>19</v>
      </c>
      <c r="Y574">
        <v>250</v>
      </c>
      <c r="Z574">
        <v>405</v>
      </c>
      <c r="AA574">
        <v>250</v>
      </c>
      <c r="AC574">
        <v>200</v>
      </c>
      <c r="AD574">
        <v>590</v>
      </c>
      <c r="AE574">
        <v>230</v>
      </c>
    </row>
    <row r="575" spans="1:31" x14ac:dyDescent="0.25">
      <c r="A575" t="s">
        <v>628</v>
      </c>
      <c r="B575">
        <v>2017</v>
      </c>
      <c r="C575">
        <v>12</v>
      </c>
      <c r="D575">
        <v>915</v>
      </c>
      <c r="E575">
        <v>260</v>
      </c>
      <c r="F575">
        <v>2696</v>
      </c>
      <c r="G575">
        <v>290</v>
      </c>
      <c r="H575">
        <v>662</v>
      </c>
      <c r="I575">
        <v>360</v>
      </c>
      <c r="J575">
        <v>28</v>
      </c>
      <c r="K575">
        <v>418</v>
      </c>
      <c r="L575">
        <v>304</v>
      </c>
      <c r="M575">
        <v>270</v>
      </c>
      <c r="N575">
        <v>4605</v>
      </c>
      <c r="O575">
        <v>295</v>
      </c>
      <c r="P575">
        <v>175</v>
      </c>
      <c r="Q575">
        <v>175</v>
      </c>
      <c r="R575">
        <v>891</v>
      </c>
      <c r="S575">
        <v>300</v>
      </c>
      <c r="T575">
        <v>4783</v>
      </c>
      <c r="U575">
        <v>345</v>
      </c>
      <c r="V575">
        <v>955</v>
      </c>
      <c r="W575">
        <v>420</v>
      </c>
      <c r="X575">
        <v>755</v>
      </c>
      <c r="Y575">
        <v>300</v>
      </c>
      <c r="Z575">
        <v>7560</v>
      </c>
      <c r="AA575">
        <v>340</v>
      </c>
      <c r="AB575">
        <v>180</v>
      </c>
      <c r="AC575">
        <v>180</v>
      </c>
      <c r="AD575">
        <v>12345</v>
      </c>
      <c r="AE575">
        <v>320</v>
      </c>
    </row>
    <row r="576" spans="1:31" x14ac:dyDescent="0.25">
      <c r="A576" t="s">
        <v>718</v>
      </c>
      <c r="B576">
        <v>2017</v>
      </c>
      <c r="C576">
        <v>12</v>
      </c>
      <c r="D576">
        <v>30</v>
      </c>
      <c r="E576">
        <v>150</v>
      </c>
      <c r="F576">
        <v>57</v>
      </c>
      <c r="G576">
        <v>180</v>
      </c>
      <c r="H576">
        <v>18</v>
      </c>
      <c r="I576">
        <v>230</v>
      </c>
      <c r="K576">
        <v>295</v>
      </c>
      <c r="L576">
        <v>12</v>
      </c>
      <c r="M576">
        <v>170</v>
      </c>
      <c r="N576">
        <v>120</v>
      </c>
      <c r="O576">
        <v>178</v>
      </c>
      <c r="P576">
        <v>12</v>
      </c>
      <c r="Q576">
        <v>170</v>
      </c>
      <c r="R576">
        <v>45</v>
      </c>
      <c r="S576">
        <v>218</v>
      </c>
      <c r="T576">
        <v>291</v>
      </c>
      <c r="U576">
        <v>250</v>
      </c>
      <c r="V576">
        <v>62</v>
      </c>
      <c r="W576">
        <v>288</v>
      </c>
      <c r="X576">
        <v>49</v>
      </c>
      <c r="Y576">
        <v>220</v>
      </c>
      <c r="Z576">
        <v>460</v>
      </c>
      <c r="AA576">
        <v>241</v>
      </c>
      <c r="AB576">
        <v>6</v>
      </c>
      <c r="AC576">
        <v>150</v>
      </c>
      <c r="AD576">
        <v>585</v>
      </c>
      <c r="AE576">
        <v>230</v>
      </c>
    </row>
    <row r="577" spans="1:31" x14ac:dyDescent="0.25">
      <c r="A577" t="s">
        <v>719</v>
      </c>
      <c r="B577">
        <v>2017</v>
      </c>
      <c r="C577">
        <v>12</v>
      </c>
      <c r="D577">
        <v>84</v>
      </c>
      <c r="E577">
        <v>193</v>
      </c>
      <c r="F577">
        <v>399</v>
      </c>
      <c r="G577">
        <v>265</v>
      </c>
      <c r="H577">
        <v>176</v>
      </c>
      <c r="I577">
        <v>310</v>
      </c>
      <c r="K577">
        <v>400</v>
      </c>
      <c r="L577">
        <v>65</v>
      </c>
      <c r="M577">
        <v>250</v>
      </c>
      <c r="N577">
        <v>725</v>
      </c>
      <c r="O577">
        <v>270</v>
      </c>
      <c r="P577">
        <v>26</v>
      </c>
      <c r="Q577">
        <v>178</v>
      </c>
      <c r="R577">
        <v>195</v>
      </c>
      <c r="S577">
        <v>270</v>
      </c>
      <c r="T577">
        <v>1885</v>
      </c>
      <c r="U577">
        <v>310</v>
      </c>
      <c r="V577">
        <v>317</v>
      </c>
      <c r="W577">
        <v>380</v>
      </c>
      <c r="X577">
        <v>295</v>
      </c>
      <c r="Y577">
        <v>295</v>
      </c>
      <c r="Z577">
        <v>2720</v>
      </c>
      <c r="AA577">
        <v>310</v>
      </c>
      <c r="AB577">
        <v>17</v>
      </c>
      <c r="AC577">
        <v>165</v>
      </c>
      <c r="AD577">
        <v>3460</v>
      </c>
      <c r="AE577">
        <v>300</v>
      </c>
    </row>
    <row r="578" spans="1:31" x14ac:dyDescent="0.25">
      <c r="A578" t="s">
        <v>720</v>
      </c>
      <c r="B578">
        <v>2017</v>
      </c>
      <c r="C578">
        <v>12</v>
      </c>
      <c r="D578">
        <v>127</v>
      </c>
      <c r="E578">
        <v>160</v>
      </c>
      <c r="F578">
        <v>396</v>
      </c>
      <c r="G578">
        <v>193</v>
      </c>
      <c r="H578">
        <v>175</v>
      </c>
      <c r="I578">
        <v>275</v>
      </c>
      <c r="J578">
        <v>11</v>
      </c>
      <c r="K578">
        <v>370</v>
      </c>
      <c r="L578">
        <v>46</v>
      </c>
      <c r="M578">
        <v>178</v>
      </c>
      <c r="N578">
        <v>755</v>
      </c>
      <c r="O578">
        <v>200</v>
      </c>
      <c r="P578">
        <v>48</v>
      </c>
      <c r="Q578">
        <v>170</v>
      </c>
      <c r="R578">
        <v>259</v>
      </c>
      <c r="S578">
        <v>220</v>
      </c>
      <c r="T578">
        <v>1845</v>
      </c>
      <c r="U578">
        <v>255</v>
      </c>
      <c r="V578">
        <v>571</v>
      </c>
      <c r="W578">
        <v>340</v>
      </c>
      <c r="X578">
        <v>229</v>
      </c>
      <c r="Y578">
        <v>250</v>
      </c>
      <c r="Z578">
        <v>2950</v>
      </c>
      <c r="AA578">
        <v>260</v>
      </c>
      <c r="AB578">
        <v>9</v>
      </c>
      <c r="AC578">
        <v>160</v>
      </c>
      <c r="AD578">
        <v>3715</v>
      </c>
      <c r="AE578">
        <v>250</v>
      </c>
    </row>
    <row r="579" spans="1:31" x14ac:dyDescent="0.25">
      <c r="A579" t="s">
        <v>724</v>
      </c>
      <c r="B579">
        <v>2017</v>
      </c>
      <c r="C579">
        <v>12</v>
      </c>
      <c r="D579">
        <v>1042</v>
      </c>
      <c r="E579">
        <v>250</v>
      </c>
      <c r="F579">
        <v>3092</v>
      </c>
      <c r="G579">
        <v>280</v>
      </c>
      <c r="H579">
        <v>837</v>
      </c>
      <c r="I579">
        <v>340</v>
      </c>
      <c r="J579">
        <v>39</v>
      </c>
      <c r="K579">
        <v>395</v>
      </c>
      <c r="L579">
        <v>350</v>
      </c>
      <c r="M579">
        <v>260</v>
      </c>
      <c r="N579">
        <v>5360</v>
      </c>
      <c r="O579">
        <v>285</v>
      </c>
      <c r="P579">
        <v>223</v>
      </c>
      <c r="Q579">
        <v>175</v>
      </c>
      <c r="R579">
        <v>1150</v>
      </c>
      <c r="S579">
        <v>285</v>
      </c>
      <c r="T579">
        <v>6628</v>
      </c>
      <c r="U579">
        <v>320</v>
      </c>
      <c r="V579">
        <v>1526</v>
      </c>
      <c r="W579">
        <v>390</v>
      </c>
      <c r="X579">
        <v>984</v>
      </c>
      <c r="Y579">
        <v>280</v>
      </c>
      <c r="Z579">
        <v>10510</v>
      </c>
      <c r="AA579">
        <v>320</v>
      </c>
      <c r="AB579">
        <v>189</v>
      </c>
      <c r="AC579">
        <v>180</v>
      </c>
      <c r="AD579">
        <v>16060</v>
      </c>
      <c r="AE579">
        <v>300</v>
      </c>
    </row>
    <row r="580" spans="1:31" x14ac:dyDescent="0.25">
      <c r="A580" t="s">
        <v>721</v>
      </c>
      <c r="B580">
        <v>2017</v>
      </c>
      <c r="C580">
        <v>12</v>
      </c>
      <c r="D580">
        <v>124</v>
      </c>
      <c r="E580">
        <v>238</v>
      </c>
      <c r="F580">
        <v>659</v>
      </c>
      <c r="G580">
        <v>280</v>
      </c>
      <c r="H580">
        <v>169</v>
      </c>
      <c r="I580">
        <v>350</v>
      </c>
      <c r="J580">
        <v>11</v>
      </c>
      <c r="K580">
        <v>390</v>
      </c>
      <c r="L580">
        <v>58</v>
      </c>
      <c r="M580">
        <v>265</v>
      </c>
      <c r="N580">
        <v>1020</v>
      </c>
      <c r="O580">
        <v>285</v>
      </c>
      <c r="P580">
        <v>51</v>
      </c>
      <c r="Q580">
        <v>165</v>
      </c>
      <c r="R580">
        <v>150</v>
      </c>
      <c r="S580">
        <v>318</v>
      </c>
      <c r="T580">
        <v>1460</v>
      </c>
      <c r="U580">
        <v>340</v>
      </c>
      <c r="V580">
        <v>307</v>
      </c>
      <c r="W580">
        <v>420</v>
      </c>
      <c r="X580">
        <v>181</v>
      </c>
      <c r="Y580">
        <v>300</v>
      </c>
      <c r="Z580">
        <v>2150</v>
      </c>
      <c r="AA580">
        <v>345</v>
      </c>
      <c r="AB580">
        <v>50</v>
      </c>
      <c r="AC580">
        <v>165</v>
      </c>
      <c r="AD580">
        <v>3220</v>
      </c>
      <c r="AE580">
        <v>325</v>
      </c>
    </row>
    <row r="581" spans="1:31" x14ac:dyDescent="0.25">
      <c r="A581" t="s">
        <v>722</v>
      </c>
      <c r="B581">
        <v>2017</v>
      </c>
      <c r="C581">
        <v>12</v>
      </c>
      <c r="D581">
        <v>119</v>
      </c>
      <c r="E581">
        <v>225</v>
      </c>
      <c r="F581">
        <v>705</v>
      </c>
      <c r="G581">
        <v>280</v>
      </c>
      <c r="H581">
        <v>145</v>
      </c>
      <c r="I581">
        <v>380</v>
      </c>
      <c r="J581">
        <v>11</v>
      </c>
      <c r="K581">
        <v>420</v>
      </c>
      <c r="L581">
        <v>85</v>
      </c>
      <c r="M581">
        <v>260</v>
      </c>
      <c r="N581">
        <v>1065</v>
      </c>
      <c r="O581">
        <v>285</v>
      </c>
      <c r="P581">
        <v>31</v>
      </c>
      <c r="Q581">
        <v>182</v>
      </c>
      <c r="R581">
        <v>324</v>
      </c>
      <c r="S581">
        <v>288</v>
      </c>
      <c r="T581">
        <v>841</v>
      </c>
      <c r="U581">
        <v>390</v>
      </c>
      <c r="V581">
        <v>169</v>
      </c>
      <c r="W581">
        <v>450</v>
      </c>
      <c r="X581">
        <v>188</v>
      </c>
      <c r="Y581">
        <v>298</v>
      </c>
      <c r="Z581">
        <v>1555</v>
      </c>
      <c r="AA581">
        <v>360</v>
      </c>
      <c r="AB581">
        <v>42</v>
      </c>
      <c r="AC581">
        <v>160</v>
      </c>
      <c r="AD581">
        <v>2660</v>
      </c>
      <c r="AE581">
        <v>320</v>
      </c>
    </row>
    <row r="582" spans="1:31" x14ac:dyDescent="0.25">
      <c r="A582" t="s">
        <v>723</v>
      </c>
      <c r="B582">
        <v>2017</v>
      </c>
      <c r="C582">
        <v>12</v>
      </c>
      <c r="D582">
        <v>16</v>
      </c>
      <c r="E582">
        <v>143</v>
      </c>
      <c r="F582">
        <v>18</v>
      </c>
      <c r="G582">
        <v>162</v>
      </c>
      <c r="H582">
        <v>10</v>
      </c>
      <c r="I582">
        <v>285</v>
      </c>
      <c r="J582">
        <v>0</v>
      </c>
      <c r="L582">
        <v>6</v>
      </c>
      <c r="M582">
        <v>140</v>
      </c>
      <c r="N582">
        <v>50</v>
      </c>
      <c r="O582">
        <v>160</v>
      </c>
      <c r="P582">
        <v>10</v>
      </c>
      <c r="Q582">
        <v>112</v>
      </c>
      <c r="R582">
        <v>48</v>
      </c>
      <c r="S582">
        <v>200</v>
      </c>
      <c r="T582">
        <v>254</v>
      </c>
      <c r="U582">
        <v>240</v>
      </c>
      <c r="V582">
        <v>83</v>
      </c>
      <c r="W582">
        <v>300</v>
      </c>
      <c r="X582">
        <v>58</v>
      </c>
      <c r="Y582">
        <v>250</v>
      </c>
      <c r="Z582">
        <v>455</v>
      </c>
      <c r="AA582">
        <v>240</v>
      </c>
      <c r="AB582">
        <v>0</v>
      </c>
      <c r="AD582">
        <v>505</v>
      </c>
      <c r="AE582">
        <v>240</v>
      </c>
    </row>
    <row r="583" spans="1:31" x14ac:dyDescent="0.25">
      <c r="A583" t="s">
        <v>711</v>
      </c>
      <c r="B583">
        <v>2018</v>
      </c>
      <c r="C583">
        <v>3</v>
      </c>
      <c r="E583">
        <v>250</v>
      </c>
      <c r="F583">
        <v>24</v>
      </c>
      <c r="G583">
        <v>285</v>
      </c>
      <c r="H583">
        <v>23</v>
      </c>
      <c r="I583">
        <v>340</v>
      </c>
      <c r="K583">
        <v>420</v>
      </c>
      <c r="M583">
        <v>205</v>
      </c>
      <c r="N583">
        <v>60</v>
      </c>
      <c r="O583">
        <v>305</v>
      </c>
      <c r="P583">
        <v>6</v>
      </c>
      <c r="Q583">
        <v>270</v>
      </c>
      <c r="R583">
        <v>15</v>
      </c>
      <c r="S583">
        <v>340</v>
      </c>
      <c r="T583">
        <v>198</v>
      </c>
      <c r="U583">
        <v>340</v>
      </c>
      <c r="V583">
        <v>107</v>
      </c>
      <c r="W583">
        <v>440</v>
      </c>
      <c r="X583">
        <v>28</v>
      </c>
      <c r="Y583">
        <v>310</v>
      </c>
      <c r="Z583">
        <v>355</v>
      </c>
      <c r="AA583">
        <v>365</v>
      </c>
      <c r="AC583">
        <v>187.5</v>
      </c>
      <c r="AD583">
        <v>415</v>
      </c>
      <c r="AE583">
        <v>350</v>
      </c>
    </row>
    <row r="584" spans="1:31" x14ac:dyDescent="0.25">
      <c r="A584" t="s">
        <v>712</v>
      </c>
      <c r="B584">
        <v>2018</v>
      </c>
      <c r="C584">
        <v>3</v>
      </c>
      <c r="E584">
        <v>185</v>
      </c>
      <c r="F584">
        <v>37</v>
      </c>
      <c r="G584">
        <v>230</v>
      </c>
      <c r="H584">
        <v>13</v>
      </c>
      <c r="I584">
        <v>290</v>
      </c>
      <c r="K584">
        <v>400</v>
      </c>
      <c r="M584">
        <v>240</v>
      </c>
      <c r="N584">
        <v>60</v>
      </c>
      <c r="O584">
        <v>245</v>
      </c>
      <c r="P584">
        <v>6</v>
      </c>
      <c r="Q584">
        <v>187.5</v>
      </c>
      <c r="R584">
        <v>19</v>
      </c>
      <c r="S584">
        <v>250</v>
      </c>
      <c r="T584">
        <v>212</v>
      </c>
      <c r="U584">
        <v>305</v>
      </c>
      <c r="V584">
        <v>79</v>
      </c>
      <c r="W584">
        <v>390</v>
      </c>
      <c r="X584">
        <v>33</v>
      </c>
      <c r="Y584">
        <v>270</v>
      </c>
      <c r="Z584">
        <v>350</v>
      </c>
      <c r="AA584">
        <v>315</v>
      </c>
      <c r="AB584">
        <v>0</v>
      </c>
      <c r="AD584">
        <v>410</v>
      </c>
      <c r="AE584">
        <v>300</v>
      </c>
    </row>
    <row r="585" spans="1:31" x14ac:dyDescent="0.25">
      <c r="A585" t="s">
        <v>713</v>
      </c>
      <c r="B585">
        <v>2018</v>
      </c>
      <c r="C585">
        <v>3</v>
      </c>
      <c r="D585">
        <v>1358</v>
      </c>
      <c r="E585">
        <v>290</v>
      </c>
      <c r="F585">
        <v>1231</v>
      </c>
      <c r="G585">
        <v>330</v>
      </c>
      <c r="H585">
        <v>279</v>
      </c>
      <c r="I585">
        <v>450</v>
      </c>
      <c r="J585">
        <v>17</v>
      </c>
      <c r="K585">
        <v>495</v>
      </c>
      <c r="L585">
        <v>111</v>
      </c>
      <c r="M585">
        <v>285</v>
      </c>
      <c r="N585">
        <v>2995</v>
      </c>
      <c r="O585">
        <v>315</v>
      </c>
      <c r="P585">
        <v>77</v>
      </c>
      <c r="Q585">
        <v>170</v>
      </c>
      <c r="R585">
        <v>240</v>
      </c>
      <c r="S585">
        <v>390</v>
      </c>
      <c r="T585">
        <v>716</v>
      </c>
      <c r="U585">
        <v>430</v>
      </c>
      <c r="V585">
        <v>200</v>
      </c>
      <c r="W585">
        <v>550</v>
      </c>
      <c r="X585">
        <v>103</v>
      </c>
      <c r="Y585">
        <v>340</v>
      </c>
      <c r="Z585">
        <v>1335</v>
      </c>
      <c r="AA585">
        <v>420</v>
      </c>
      <c r="AB585">
        <v>143</v>
      </c>
      <c r="AC585">
        <v>190</v>
      </c>
      <c r="AD585">
        <v>4475</v>
      </c>
      <c r="AE585">
        <v>340</v>
      </c>
    </row>
    <row r="586" spans="1:31" x14ac:dyDescent="0.25">
      <c r="A586" t="s">
        <v>714</v>
      </c>
      <c r="B586">
        <v>2018</v>
      </c>
      <c r="C586">
        <v>3</v>
      </c>
      <c r="D586">
        <v>23</v>
      </c>
      <c r="E586">
        <v>180</v>
      </c>
      <c r="F586">
        <v>66</v>
      </c>
      <c r="G586">
        <v>182.5</v>
      </c>
      <c r="H586">
        <v>31</v>
      </c>
      <c r="I586">
        <v>305</v>
      </c>
      <c r="K586">
        <v>400</v>
      </c>
      <c r="L586">
        <v>8</v>
      </c>
      <c r="M586">
        <v>242.5</v>
      </c>
      <c r="N586">
        <v>130</v>
      </c>
      <c r="O586">
        <v>195</v>
      </c>
      <c r="Q586">
        <v>295</v>
      </c>
      <c r="R586">
        <v>42</v>
      </c>
      <c r="S586">
        <v>190</v>
      </c>
      <c r="T586">
        <v>243</v>
      </c>
      <c r="U586">
        <v>230</v>
      </c>
      <c r="V586">
        <v>75</v>
      </c>
      <c r="W586">
        <v>300</v>
      </c>
      <c r="X586">
        <v>30</v>
      </c>
      <c r="Y586">
        <v>250</v>
      </c>
      <c r="Z586">
        <v>395</v>
      </c>
      <c r="AA586">
        <v>250</v>
      </c>
      <c r="AB586">
        <v>0</v>
      </c>
      <c r="AD586">
        <v>525</v>
      </c>
      <c r="AE586">
        <v>240</v>
      </c>
    </row>
    <row r="587" spans="1:31" x14ac:dyDescent="0.25">
      <c r="A587" t="s">
        <v>715</v>
      </c>
      <c r="B587">
        <v>2018</v>
      </c>
      <c r="C587">
        <v>3</v>
      </c>
      <c r="D587">
        <v>24</v>
      </c>
      <c r="E587">
        <v>170</v>
      </c>
      <c r="F587">
        <v>38</v>
      </c>
      <c r="G587">
        <v>192.5</v>
      </c>
      <c r="H587">
        <v>7</v>
      </c>
      <c r="I587">
        <v>330</v>
      </c>
      <c r="K587">
        <v>380</v>
      </c>
      <c r="L587">
        <v>0</v>
      </c>
      <c r="N587">
        <v>70</v>
      </c>
      <c r="O587">
        <v>177.5</v>
      </c>
      <c r="Q587">
        <v>180</v>
      </c>
      <c r="R587">
        <v>19</v>
      </c>
      <c r="S587">
        <v>160</v>
      </c>
      <c r="T587">
        <v>148</v>
      </c>
      <c r="U587">
        <v>250</v>
      </c>
      <c r="V587">
        <v>50</v>
      </c>
      <c r="W587">
        <v>417.5</v>
      </c>
      <c r="X587">
        <v>9</v>
      </c>
      <c r="Y587">
        <v>215</v>
      </c>
      <c r="Z587">
        <v>230</v>
      </c>
      <c r="AA587">
        <v>260</v>
      </c>
      <c r="AB587">
        <v>0</v>
      </c>
      <c r="AD587">
        <v>300</v>
      </c>
      <c r="AE587">
        <v>247.5</v>
      </c>
    </row>
    <row r="588" spans="1:31" x14ac:dyDescent="0.25">
      <c r="A588" t="s">
        <v>716</v>
      </c>
      <c r="B588">
        <v>2018</v>
      </c>
      <c r="C588">
        <v>3</v>
      </c>
      <c r="D588">
        <v>14</v>
      </c>
      <c r="E588">
        <v>185</v>
      </c>
      <c r="F588">
        <v>47</v>
      </c>
      <c r="G588">
        <v>235</v>
      </c>
      <c r="H588">
        <v>6</v>
      </c>
      <c r="I588">
        <v>310</v>
      </c>
      <c r="K588">
        <v>365</v>
      </c>
      <c r="M588">
        <v>200</v>
      </c>
      <c r="N588">
        <v>70</v>
      </c>
      <c r="O588">
        <v>222.4</v>
      </c>
      <c r="Q588">
        <v>150</v>
      </c>
      <c r="R588">
        <v>22</v>
      </c>
      <c r="S588">
        <v>272.5</v>
      </c>
      <c r="T588">
        <v>178</v>
      </c>
      <c r="U588">
        <v>300</v>
      </c>
      <c r="V588">
        <v>79</v>
      </c>
      <c r="W588">
        <v>340</v>
      </c>
      <c r="X588">
        <v>20</v>
      </c>
      <c r="Y588">
        <v>285</v>
      </c>
      <c r="Z588">
        <v>300</v>
      </c>
      <c r="AA588">
        <v>300</v>
      </c>
      <c r="AB588">
        <v>0</v>
      </c>
      <c r="AD588">
        <v>370</v>
      </c>
      <c r="AE588">
        <v>290</v>
      </c>
    </row>
    <row r="589" spans="1:31" x14ac:dyDescent="0.25">
      <c r="A589" t="s">
        <v>717</v>
      </c>
      <c r="B589">
        <v>2018</v>
      </c>
      <c r="C589">
        <v>3</v>
      </c>
      <c r="D589">
        <v>29</v>
      </c>
      <c r="E589">
        <v>140</v>
      </c>
      <c r="F589">
        <v>119</v>
      </c>
      <c r="G589">
        <v>175</v>
      </c>
      <c r="H589">
        <v>32</v>
      </c>
      <c r="I589">
        <v>270</v>
      </c>
      <c r="J589">
        <v>0</v>
      </c>
      <c r="L589">
        <v>10</v>
      </c>
      <c r="M589">
        <v>166.25</v>
      </c>
      <c r="N589">
        <v>190</v>
      </c>
      <c r="O589">
        <v>180</v>
      </c>
      <c r="Q589">
        <v>150</v>
      </c>
      <c r="R589">
        <v>47</v>
      </c>
      <c r="S589">
        <v>190</v>
      </c>
      <c r="T589">
        <v>285</v>
      </c>
      <c r="U589">
        <v>250</v>
      </c>
      <c r="V589">
        <v>74</v>
      </c>
      <c r="W589">
        <v>305</v>
      </c>
      <c r="X589">
        <v>15</v>
      </c>
      <c r="Y589">
        <v>255</v>
      </c>
      <c r="Z589">
        <v>425</v>
      </c>
      <c r="AA589">
        <v>250</v>
      </c>
      <c r="AC589">
        <v>160</v>
      </c>
      <c r="AD589">
        <v>620</v>
      </c>
      <c r="AE589">
        <v>230</v>
      </c>
    </row>
    <row r="590" spans="1:31" x14ac:dyDescent="0.25">
      <c r="A590" t="s">
        <v>628</v>
      </c>
      <c r="B590">
        <v>2018</v>
      </c>
      <c r="C590">
        <v>3</v>
      </c>
      <c r="D590">
        <v>1718</v>
      </c>
      <c r="E590">
        <v>279</v>
      </c>
      <c r="F590">
        <v>3157</v>
      </c>
      <c r="G590">
        <v>300</v>
      </c>
      <c r="H590">
        <v>921</v>
      </c>
      <c r="I590">
        <v>375</v>
      </c>
      <c r="J590">
        <v>33</v>
      </c>
      <c r="K590">
        <v>460</v>
      </c>
      <c r="L590">
        <v>396</v>
      </c>
      <c r="M590">
        <v>267.5</v>
      </c>
      <c r="N590">
        <v>6225</v>
      </c>
      <c r="O590">
        <v>300</v>
      </c>
      <c r="P590">
        <v>203</v>
      </c>
      <c r="Q590">
        <v>170</v>
      </c>
      <c r="R590">
        <v>1052</v>
      </c>
      <c r="S590">
        <v>300</v>
      </c>
      <c r="T590">
        <v>4975</v>
      </c>
      <c r="U590">
        <v>360</v>
      </c>
      <c r="V590">
        <v>1035</v>
      </c>
      <c r="W590">
        <v>445</v>
      </c>
      <c r="X590">
        <v>685</v>
      </c>
      <c r="Y590">
        <v>310</v>
      </c>
      <c r="Z590">
        <v>7950</v>
      </c>
      <c r="AA590">
        <v>350</v>
      </c>
      <c r="AB590">
        <v>320</v>
      </c>
      <c r="AC590">
        <v>177.315</v>
      </c>
      <c r="AD590">
        <v>14495</v>
      </c>
      <c r="AE590">
        <v>325</v>
      </c>
    </row>
    <row r="591" spans="1:31" x14ac:dyDescent="0.25">
      <c r="A591" t="s">
        <v>718</v>
      </c>
      <c r="B591">
        <v>2018</v>
      </c>
      <c r="C591">
        <v>3</v>
      </c>
      <c r="D591">
        <v>26</v>
      </c>
      <c r="E591">
        <v>155</v>
      </c>
      <c r="F591">
        <v>61</v>
      </c>
      <c r="G591">
        <v>190</v>
      </c>
      <c r="H591">
        <v>20</v>
      </c>
      <c r="I591">
        <v>237.5</v>
      </c>
      <c r="K591">
        <v>260</v>
      </c>
      <c r="L591">
        <v>15</v>
      </c>
      <c r="M591">
        <v>175</v>
      </c>
      <c r="N591">
        <v>125</v>
      </c>
      <c r="O591">
        <v>185</v>
      </c>
      <c r="P591">
        <v>14</v>
      </c>
      <c r="Q591">
        <v>162.5</v>
      </c>
      <c r="R591">
        <v>43</v>
      </c>
      <c r="S591">
        <v>200</v>
      </c>
      <c r="T591">
        <v>336</v>
      </c>
      <c r="U591">
        <v>250</v>
      </c>
      <c r="V591">
        <v>98</v>
      </c>
      <c r="W591">
        <v>300</v>
      </c>
      <c r="X591">
        <v>47</v>
      </c>
      <c r="Y591">
        <v>230</v>
      </c>
      <c r="Z591">
        <v>540</v>
      </c>
      <c r="AA591">
        <v>250</v>
      </c>
      <c r="AC591">
        <v>106.375</v>
      </c>
      <c r="AD591">
        <v>665</v>
      </c>
      <c r="AE591">
        <v>245</v>
      </c>
    </row>
    <row r="592" spans="1:31" x14ac:dyDescent="0.25">
      <c r="A592" t="s">
        <v>719</v>
      </c>
      <c r="B592">
        <v>2018</v>
      </c>
      <c r="C592">
        <v>3</v>
      </c>
      <c r="D592">
        <v>86</v>
      </c>
      <c r="E592">
        <v>212.5</v>
      </c>
      <c r="F592">
        <v>472</v>
      </c>
      <c r="G592">
        <v>270</v>
      </c>
      <c r="H592">
        <v>189</v>
      </c>
      <c r="I592">
        <v>325</v>
      </c>
      <c r="K592">
        <v>405</v>
      </c>
      <c r="L592">
        <v>70</v>
      </c>
      <c r="M592">
        <v>250</v>
      </c>
      <c r="N592">
        <v>820</v>
      </c>
      <c r="O592">
        <v>275</v>
      </c>
      <c r="P592">
        <v>48</v>
      </c>
      <c r="Q592">
        <v>165</v>
      </c>
      <c r="R592">
        <v>175</v>
      </c>
      <c r="S592">
        <v>295</v>
      </c>
      <c r="T592">
        <v>1953</v>
      </c>
      <c r="U592">
        <v>320</v>
      </c>
      <c r="V592">
        <v>335</v>
      </c>
      <c r="W592">
        <v>385</v>
      </c>
      <c r="X592">
        <v>282</v>
      </c>
      <c r="Y592">
        <v>295</v>
      </c>
      <c r="Z592">
        <v>2795</v>
      </c>
      <c r="AA592">
        <v>320</v>
      </c>
      <c r="AB592">
        <v>29</v>
      </c>
      <c r="AC592">
        <v>150</v>
      </c>
      <c r="AD592">
        <v>3645</v>
      </c>
      <c r="AE592">
        <v>310</v>
      </c>
    </row>
    <row r="593" spans="1:31" x14ac:dyDescent="0.25">
      <c r="A593" t="s">
        <v>720</v>
      </c>
      <c r="B593">
        <v>2018</v>
      </c>
      <c r="C593">
        <v>3</v>
      </c>
      <c r="D593">
        <v>145</v>
      </c>
      <c r="E593">
        <v>160</v>
      </c>
      <c r="F593">
        <v>421</v>
      </c>
      <c r="G593">
        <v>200</v>
      </c>
      <c r="H593">
        <v>148</v>
      </c>
      <c r="I593">
        <v>290</v>
      </c>
      <c r="J593">
        <v>12</v>
      </c>
      <c r="K593">
        <v>387.5</v>
      </c>
      <c r="L593">
        <v>50</v>
      </c>
      <c r="M593">
        <v>179.25</v>
      </c>
      <c r="N593">
        <v>775</v>
      </c>
      <c r="O593">
        <v>200</v>
      </c>
      <c r="P593">
        <v>57</v>
      </c>
      <c r="Q593">
        <v>165</v>
      </c>
      <c r="R593">
        <v>255</v>
      </c>
      <c r="S593">
        <v>220</v>
      </c>
      <c r="T593">
        <v>1894</v>
      </c>
      <c r="U593">
        <v>260</v>
      </c>
      <c r="V593">
        <v>654</v>
      </c>
      <c r="W593">
        <v>345</v>
      </c>
      <c r="X593">
        <v>232</v>
      </c>
      <c r="Y593">
        <v>250</v>
      </c>
      <c r="Z593">
        <v>3090</v>
      </c>
      <c r="AA593">
        <v>270</v>
      </c>
      <c r="AB593">
        <v>10</v>
      </c>
      <c r="AC593">
        <v>162.5</v>
      </c>
      <c r="AD593">
        <v>3880</v>
      </c>
      <c r="AE593">
        <v>260</v>
      </c>
    </row>
    <row r="594" spans="1:31" x14ac:dyDescent="0.25">
      <c r="A594" t="s">
        <v>724</v>
      </c>
      <c r="B594">
        <v>2018</v>
      </c>
      <c r="C594">
        <v>3</v>
      </c>
      <c r="D594">
        <v>1863</v>
      </c>
      <c r="E594">
        <v>270</v>
      </c>
      <c r="F594">
        <v>3578</v>
      </c>
      <c r="G594">
        <v>290</v>
      </c>
      <c r="H594">
        <v>1069</v>
      </c>
      <c r="I594">
        <v>360</v>
      </c>
      <c r="J594">
        <v>45</v>
      </c>
      <c r="K594">
        <v>440</v>
      </c>
      <c r="L594">
        <v>446</v>
      </c>
      <c r="M594">
        <v>260</v>
      </c>
      <c r="N594">
        <v>7000</v>
      </c>
      <c r="O594">
        <v>295</v>
      </c>
      <c r="P594">
        <v>260</v>
      </c>
      <c r="Q594">
        <v>170</v>
      </c>
      <c r="R594">
        <v>1307</v>
      </c>
      <c r="S594">
        <v>280</v>
      </c>
      <c r="T594">
        <v>6869</v>
      </c>
      <c r="U594">
        <v>330</v>
      </c>
      <c r="V594">
        <v>1689</v>
      </c>
      <c r="W594">
        <v>400</v>
      </c>
      <c r="X594">
        <v>917</v>
      </c>
      <c r="Y594">
        <v>300</v>
      </c>
      <c r="Z594">
        <v>11040</v>
      </c>
      <c r="AA594">
        <v>330</v>
      </c>
      <c r="AB594">
        <v>330</v>
      </c>
      <c r="AC594">
        <v>175</v>
      </c>
      <c r="AD594">
        <v>18375</v>
      </c>
      <c r="AE594">
        <v>310</v>
      </c>
    </row>
    <row r="595" spans="1:31" x14ac:dyDescent="0.25">
      <c r="A595" t="s">
        <v>721</v>
      </c>
      <c r="B595">
        <v>2018</v>
      </c>
      <c r="C595">
        <v>3</v>
      </c>
      <c r="D595">
        <v>131</v>
      </c>
      <c r="E595">
        <v>235</v>
      </c>
      <c r="F595">
        <v>652</v>
      </c>
      <c r="G595">
        <v>295</v>
      </c>
      <c r="H595">
        <v>225</v>
      </c>
      <c r="I595">
        <v>350</v>
      </c>
      <c r="J595">
        <v>7</v>
      </c>
      <c r="K595">
        <v>420</v>
      </c>
      <c r="L595">
        <v>91</v>
      </c>
      <c r="M595">
        <v>260</v>
      </c>
      <c r="N595">
        <v>1105</v>
      </c>
      <c r="O595">
        <v>295</v>
      </c>
      <c r="P595">
        <v>50</v>
      </c>
      <c r="Q595">
        <v>177</v>
      </c>
      <c r="R595">
        <v>152</v>
      </c>
      <c r="S595">
        <v>322.5</v>
      </c>
      <c r="T595">
        <v>1329</v>
      </c>
      <c r="U595">
        <v>360</v>
      </c>
      <c r="V595">
        <v>325</v>
      </c>
      <c r="W595">
        <v>445</v>
      </c>
      <c r="X595">
        <v>153</v>
      </c>
      <c r="Y595">
        <v>305</v>
      </c>
      <c r="Z595">
        <v>2010</v>
      </c>
      <c r="AA595">
        <v>365</v>
      </c>
      <c r="AB595">
        <v>76</v>
      </c>
      <c r="AC595">
        <v>170</v>
      </c>
      <c r="AD595">
        <v>3190</v>
      </c>
      <c r="AE595">
        <v>340</v>
      </c>
    </row>
    <row r="596" spans="1:31" x14ac:dyDescent="0.25">
      <c r="A596" t="s">
        <v>722</v>
      </c>
      <c r="B596">
        <v>2018</v>
      </c>
      <c r="C596">
        <v>3</v>
      </c>
      <c r="D596">
        <v>143</v>
      </c>
      <c r="E596">
        <v>220</v>
      </c>
      <c r="F596">
        <v>802</v>
      </c>
      <c r="G596">
        <v>285</v>
      </c>
      <c r="H596">
        <v>228</v>
      </c>
      <c r="I596">
        <v>390</v>
      </c>
      <c r="K596">
        <v>455</v>
      </c>
      <c r="L596">
        <v>124</v>
      </c>
      <c r="M596">
        <v>260</v>
      </c>
      <c r="N596">
        <v>1300</v>
      </c>
      <c r="O596">
        <v>290</v>
      </c>
      <c r="P596">
        <v>28</v>
      </c>
      <c r="Q596">
        <v>185</v>
      </c>
      <c r="R596">
        <v>485</v>
      </c>
      <c r="S596">
        <v>202.1</v>
      </c>
      <c r="T596">
        <v>977</v>
      </c>
      <c r="U596">
        <v>395</v>
      </c>
      <c r="V596">
        <v>175</v>
      </c>
      <c r="W596">
        <v>480</v>
      </c>
      <c r="X596">
        <v>147</v>
      </c>
      <c r="Y596">
        <v>340</v>
      </c>
      <c r="Z596">
        <v>1810</v>
      </c>
      <c r="AA596">
        <v>370</v>
      </c>
      <c r="AB596">
        <v>72</v>
      </c>
      <c r="AC596">
        <v>170</v>
      </c>
      <c r="AD596">
        <v>3185</v>
      </c>
      <c r="AE596">
        <v>330</v>
      </c>
    </row>
    <row r="597" spans="1:31" x14ac:dyDescent="0.25">
      <c r="A597" t="s">
        <v>723</v>
      </c>
      <c r="B597">
        <v>2018</v>
      </c>
      <c r="C597">
        <v>3</v>
      </c>
      <c r="D597">
        <v>21</v>
      </c>
      <c r="E597">
        <v>120</v>
      </c>
      <c r="F597">
        <v>29</v>
      </c>
      <c r="G597">
        <v>180</v>
      </c>
      <c r="H597">
        <v>16</v>
      </c>
      <c r="I597">
        <v>232.5</v>
      </c>
      <c r="K597">
        <v>320</v>
      </c>
      <c r="L597">
        <v>6</v>
      </c>
      <c r="M597">
        <v>127.5</v>
      </c>
      <c r="N597">
        <v>75</v>
      </c>
      <c r="O597">
        <v>170</v>
      </c>
      <c r="P597">
        <v>16</v>
      </c>
      <c r="Q597">
        <v>123.5</v>
      </c>
      <c r="R597">
        <v>48</v>
      </c>
      <c r="S597">
        <v>200</v>
      </c>
      <c r="T597">
        <v>294</v>
      </c>
      <c r="U597">
        <v>232.5</v>
      </c>
      <c r="V597">
        <v>92</v>
      </c>
      <c r="W597">
        <v>300</v>
      </c>
      <c r="X597">
        <v>50</v>
      </c>
      <c r="Y597">
        <v>217.5</v>
      </c>
      <c r="Z597">
        <v>500</v>
      </c>
      <c r="AA597">
        <v>240</v>
      </c>
      <c r="AB597">
        <v>0</v>
      </c>
      <c r="AD597">
        <v>575</v>
      </c>
      <c r="AE597">
        <v>230</v>
      </c>
    </row>
    <row r="598" spans="1:31" x14ac:dyDescent="0.25">
      <c r="A598" t="s">
        <v>711</v>
      </c>
      <c r="B598">
        <v>2018</v>
      </c>
      <c r="C598">
        <v>6</v>
      </c>
      <c r="E598">
        <v>257.5</v>
      </c>
      <c r="F598">
        <v>31</v>
      </c>
      <c r="G598">
        <v>285</v>
      </c>
      <c r="H598">
        <v>24</v>
      </c>
      <c r="I598">
        <v>340</v>
      </c>
      <c r="K598">
        <v>475</v>
      </c>
      <c r="M598">
        <v>224</v>
      </c>
      <c r="N598">
        <v>70</v>
      </c>
      <c r="O598">
        <v>307.5</v>
      </c>
      <c r="Q598">
        <v>275</v>
      </c>
      <c r="R598">
        <v>21</v>
      </c>
      <c r="S598">
        <v>330</v>
      </c>
      <c r="T598">
        <v>193</v>
      </c>
      <c r="U598">
        <v>360</v>
      </c>
      <c r="V598">
        <v>99</v>
      </c>
      <c r="W598">
        <v>430</v>
      </c>
      <c r="X598">
        <v>14</v>
      </c>
      <c r="Y598">
        <v>247.5</v>
      </c>
      <c r="Z598">
        <v>330</v>
      </c>
      <c r="AA598">
        <v>375</v>
      </c>
      <c r="AC598">
        <v>180</v>
      </c>
      <c r="AD598">
        <v>400</v>
      </c>
      <c r="AE598">
        <v>362.5</v>
      </c>
    </row>
    <row r="599" spans="1:31" x14ac:dyDescent="0.25">
      <c r="A599" t="s">
        <v>712</v>
      </c>
      <c r="B599">
        <v>2018</v>
      </c>
      <c r="C599">
        <v>6</v>
      </c>
      <c r="E599">
        <v>185</v>
      </c>
      <c r="F599">
        <v>47</v>
      </c>
      <c r="G599">
        <v>245</v>
      </c>
      <c r="H599">
        <v>24</v>
      </c>
      <c r="I599">
        <v>300</v>
      </c>
      <c r="J599">
        <v>0</v>
      </c>
      <c r="L599">
        <v>7</v>
      </c>
      <c r="M599">
        <v>250</v>
      </c>
      <c r="N599">
        <v>80</v>
      </c>
      <c r="O599">
        <v>250</v>
      </c>
      <c r="Q599">
        <v>210</v>
      </c>
      <c r="R599">
        <v>20</v>
      </c>
      <c r="S599">
        <v>252.5</v>
      </c>
      <c r="T599">
        <v>211</v>
      </c>
      <c r="U599">
        <v>305</v>
      </c>
      <c r="V599">
        <v>75</v>
      </c>
      <c r="W599">
        <v>370</v>
      </c>
      <c r="X599">
        <v>17</v>
      </c>
      <c r="Y599">
        <v>260</v>
      </c>
      <c r="Z599">
        <v>325</v>
      </c>
      <c r="AA599">
        <v>315</v>
      </c>
      <c r="AC599">
        <v>171.5</v>
      </c>
      <c r="AD599">
        <v>405</v>
      </c>
      <c r="AE599">
        <v>300</v>
      </c>
    </row>
    <row r="600" spans="1:31" x14ac:dyDescent="0.25">
      <c r="A600" t="s">
        <v>713</v>
      </c>
      <c r="B600">
        <v>2018</v>
      </c>
      <c r="C600">
        <v>6</v>
      </c>
      <c r="D600">
        <v>734</v>
      </c>
      <c r="E600">
        <v>299</v>
      </c>
      <c r="F600">
        <v>952</v>
      </c>
      <c r="G600">
        <v>330</v>
      </c>
      <c r="H600">
        <v>195</v>
      </c>
      <c r="I600">
        <v>440</v>
      </c>
      <c r="J600">
        <v>11</v>
      </c>
      <c r="K600">
        <v>600</v>
      </c>
      <c r="L600">
        <v>55</v>
      </c>
      <c r="M600">
        <v>285</v>
      </c>
      <c r="N600">
        <v>1945</v>
      </c>
      <c r="O600">
        <v>325</v>
      </c>
      <c r="P600">
        <v>73</v>
      </c>
      <c r="Q600">
        <v>170.65</v>
      </c>
      <c r="R600">
        <v>212</v>
      </c>
      <c r="S600">
        <v>385</v>
      </c>
      <c r="T600">
        <v>667</v>
      </c>
      <c r="U600">
        <v>440</v>
      </c>
      <c r="V600">
        <v>169</v>
      </c>
      <c r="W600">
        <v>560</v>
      </c>
      <c r="X600">
        <v>77</v>
      </c>
      <c r="Y600">
        <v>295</v>
      </c>
      <c r="Z600">
        <v>1200</v>
      </c>
      <c r="AA600">
        <v>420</v>
      </c>
      <c r="AB600">
        <v>70</v>
      </c>
      <c r="AC600">
        <v>185</v>
      </c>
      <c r="AD600">
        <v>3215</v>
      </c>
      <c r="AE600">
        <v>350</v>
      </c>
    </row>
    <row r="601" spans="1:31" x14ac:dyDescent="0.25">
      <c r="A601" t="s">
        <v>714</v>
      </c>
      <c r="B601">
        <v>2018</v>
      </c>
      <c r="C601">
        <v>6</v>
      </c>
      <c r="D601">
        <v>29</v>
      </c>
      <c r="E601">
        <v>160</v>
      </c>
      <c r="F601">
        <v>78</v>
      </c>
      <c r="G601">
        <v>190</v>
      </c>
      <c r="H601">
        <v>24</v>
      </c>
      <c r="I601">
        <v>320</v>
      </c>
      <c r="J601">
        <v>7</v>
      </c>
      <c r="K601">
        <v>400</v>
      </c>
      <c r="L601">
        <v>14</v>
      </c>
      <c r="M601">
        <v>235</v>
      </c>
      <c r="N601">
        <v>150</v>
      </c>
      <c r="O601">
        <v>200</v>
      </c>
      <c r="P601">
        <v>8</v>
      </c>
      <c r="Q601">
        <v>190</v>
      </c>
      <c r="R601">
        <v>39</v>
      </c>
      <c r="S601">
        <v>180</v>
      </c>
      <c r="T601">
        <v>221</v>
      </c>
      <c r="U601">
        <v>240</v>
      </c>
      <c r="V601">
        <v>62</v>
      </c>
      <c r="W601">
        <v>320</v>
      </c>
      <c r="X601">
        <v>38</v>
      </c>
      <c r="Y601">
        <v>215</v>
      </c>
      <c r="Z601">
        <v>370</v>
      </c>
      <c r="AA601">
        <v>240</v>
      </c>
      <c r="AB601">
        <v>0</v>
      </c>
      <c r="AD601">
        <v>520</v>
      </c>
      <c r="AE601">
        <v>230</v>
      </c>
    </row>
    <row r="602" spans="1:31" x14ac:dyDescent="0.25">
      <c r="A602" t="s">
        <v>715</v>
      </c>
      <c r="B602">
        <v>2018</v>
      </c>
      <c r="C602">
        <v>6</v>
      </c>
      <c r="D602">
        <v>17</v>
      </c>
      <c r="E602">
        <v>120</v>
      </c>
      <c r="F602">
        <v>40</v>
      </c>
      <c r="G602">
        <v>180</v>
      </c>
      <c r="H602">
        <v>14</v>
      </c>
      <c r="I602">
        <v>300</v>
      </c>
      <c r="K602">
        <v>350</v>
      </c>
      <c r="M602">
        <v>85</v>
      </c>
      <c r="N602">
        <v>75</v>
      </c>
      <c r="O602">
        <v>180</v>
      </c>
      <c r="Q602">
        <v>87.4</v>
      </c>
      <c r="R602">
        <v>28</v>
      </c>
      <c r="S602">
        <v>194.5</v>
      </c>
      <c r="T602">
        <v>130</v>
      </c>
      <c r="U602">
        <v>252.5</v>
      </c>
      <c r="V602">
        <v>52</v>
      </c>
      <c r="W602">
        <v>365</v>
      </c>
      <c r="X602">
        <v>7</v>
      </c>
      <c r="Y602">
        <v>180</v>
      </c>
      <c r="Z602">
        <v>220</v>
      </c>
      <c r="AA602">
        <v>260</v>
      </c>
      <c r="AB602">
        <v>0</v>
      </c>
      <c r="AD602">
        <v>300</v>
      </c>
      <c r="AE602">
        <v>250</v>
      </c>
    </row>
    <row r="603" spans="1:31" x14ac:dyDescent="0.25">
      <c r="A603" t="s">
        <v>716</v>
      </c>
      <c r="B603">
        <v>2018</v>
      </c>
      <c r="C603">
        <v>6</v>
      </c>
      <c r="D603">
        <v>13</v>
      </c>
      <c r="E603">
        <v>190</v>
      </c>
      <c r="F603">
        <v>54</v>
      </c>
      <c r="G603">
        <v>220</v>
      </c>
      <c r="H603">
        <v>24</v>
      </c>
      <c r="I603">
        <v>277</v>
      </c>
      <c r="K603">
        <v>360</v>
      </c>
      <c r="M603">
        <v>217.5</v>
      </c>
      <c r="N603">
        <v>95</v>
      </c>
      <c r="O603">
        <v>230</v>
      </c>
      <c r="Q603">
        <v>135</v>
      </c>
      <c r="R603">
        <v>17</v>
      </c>
      <c r="S603">
        <v>255</v>
      </c>
      <c r="T603">
        <v>176</v>
      </c>
      <c r="U603">
        <v>285</v>
      </c>
      <c r="V603">
        <v>82</v>
      </c>
      <c r="W603">
        <v>347.5</v>
      </c>
      <c r="X603">
        <v>21</v>
      </c>
      <c r="Y603">
        <v>270</v>
      </c>
      <c r="Z603">
        <v>300</v>
      </c>
      <c r="AA603">
        <v>290</v>
      </c>
      <c r="AB603">
        <v>0</v>
      </c>
      <c r="AD603">
        <v>395</v>
      </c>
      <c r="AE603">
        <v>285</v>
      </c>
    </row>
    <row r="604" spans="1:31" x14ac:dyDescent="0.25">
      <c r="A604" t="s">
        <v>717</v>
      </c>
      <c r="B604">
        <v>2018</v>
      </c>
      <c r="C604">
        <v>6</v>
      </c>
      <c r="D604">
        <v>21</v>
      </c>
      <c r="E604">
        <v>140</v>
      </c>
      <c r="F604">
        <v>104</v>
      </c>
      <c r="G604">
        <v>180</v>
      </c>
      <c r="H604">
        <v>31</v>
      </c>
      <c r="I604">
        <v>230</v>
      </c>
      <c r="J604">
        <v>0</v>
      </c>
      <c r="M604">
        <v>145</v>
      </c>
      <c r="N604">
        <v>155</v>
      </c>
      <c r="O604">
        <v>187.85</v>
      </c>
      <c r="P604">
        <v>10</v>
      </c>
      <c r="Q604">
        <v>160</v>
      </c>
      <c r="R604">
        <v>48</v>
      </c>
      <c r="S604">
        <v>205</v>
      </c>
      <c r="T604">
        <v>257</v>
      </c>
      <c r="U604">
        <v>245</v>
      </c>
      <c r="V604">
        <v>70</v>
      </c>
      <c r="W604">
        <v>312.5</v>
      </c>
      <c r="X604">
        <v>11</v>
      </c>
      <c r="Y604">
        <v>285</v>
      </c>
      <c r="Z604">
        <v>395</v>
      </c>
      <c r="AA604">
        <v>250</v>
      </c>
      <c r="AC604">
        <v>170</v>
      </c>
      <c r="AD604">
        <v>555</v>
      </c>
      <c r="AE604">
        <v>230</v>
      </c>
    </row>
    <row r="605" spans="1:31" x14ac:dyDescent="0.25">
      <c r="A605" t="s">
        <v>628</v>
      </c>
      <c r="B605">
        <v>2018</v>
      </c>
      <c r="C605">
        <v>6</v>
      </c>
      <c r="D605">
        <v>1069</v>
      </c>
      <c r="E605">
        <v>279</v>
      </c>
      <c r="F605">
        <v>2691</v>
      </c>
      <c r="G605">
        <v>295</v>
      </c>
      <c r="H605">
        <v>690</v>
      </c>
      <c r="I605">
        <v>365</v>
      </c>
      <c r="J605">
        <v>26</v>
      </c>
      <c r="K605">
        <v>430</v>
      </c>
      <c r="L605">
        <v>249</v>
      </c>
      <c r="M605">
        <v>260</v>
      </c>
      <c r="N605">
        <v>4725</v>
      </c>
      <c r="O605">
        <v>299</v>
      </c>
      <c r="P605">
        <v>173</v>
      </c>
      <c r="Q605">
        <v>170</v>
      </c>
      <c r="R605">
        <v>803</v>
      </c>
      <c r="S605">
        <v>330</v>
      </c>
      <c r="T605">
        <v>4704</v>
      </c>
      <c r="U605">
        <v>350</v>
      </c>
      <c r="V605">
        <v>915</v>
      </c>
      <c r="W605">
        <v>435</v>
      </c>
      <c r="X605">
        <v>655</v>
      </c>
      <c r="Y605">
        <v>300</v>
      </c>
      <c r="Z605">
        <v>7250</v>
      </c>
      <c r="AA605">
        <v>350</v>
      </c>
      <c r="AB605">
        <v>195</v>
      </c>
      <c r="AC605">
        <v>180</v>
      </c>
      <c r="AD605">
        <v>12170</v>
      </c>
      <c r="AE605">
        <v>330</v>
      </c>
    </row>
    <row r="606" spans="1:31" x14ac:dyDescent="0.25">
      <c r="A606" t="s">
        <v>718</v>
      </c>
      <c r="B606">
        <v>2018</v>
      </c>
      <c r="C606">
        <v>6</v>
      </c>
      <c r="D606">
        <v>10</v>
      </c>
      <c r="E606">
        <v>160</v>
      </c>
      <c r="F606">
        <v>57</v>
      </c>
      <c r="G606">
        <v>185</v>
      </c>
      <c r="H606">
        <v>26</v>
      </c>
      <c r="I606">
        <v>245</v>
      </c>
      <c r="K606">
        <v>285</v>
      </c>
      <c r="L606">
        <v>13</v>
      </c>
      <c r="M606">
        <v>180</v>
      </c>
      <c r="N606">
        <v>105</v>
      </c>
      <c r="O606">
        <v>190</v>
      </c>
      <c r="P606">
        <v>10</v>
      </c>
      <c r="Q606">
        <v>145</v>
      </c>
      <c r="R606">
        <v>37</v>
      </c>
      <c r="S606">
        <v>210</v>
      </c>
      <c r="T606">
        <v>294</v>
      </c>
      <c r="U606">
        <v>250</v>
      </c>
      <c r="V606">
        <v>83</v>
      </c>
      <c r="W606">
        <v>305</v>
      </c>
      <c r="X606">
        <v>50</v>
      </c>
      <c r="Y606">
        <v>235</v>
      </c>
      <c r="Z606">
        <v>475</v>
      </c>
      <c r="AA606">
        <v>250</v>
      </c>
      <c r="AB606">
        <v>6</v>
      </c>
      <c r="AC606">
        <v>177.5</v>
      </c>
      <c r="AD606">
        <v>585</v>
      </c>
      <c r="AE606">
        <v>240</v>
      </c>
    </row>
    <row r="607" spans="1:31" x14ac:dyDescent="0.25">
      <c r="A607" t="s">
        <v>719</v>
      </c>
      <c r="B607">
        <v>2018</v>
      </c>
      <c r="C607">
        <v>6</v>
      </c>
      <c r="D607">
        <v>101</v>
      </c>
      <c r="E607">
        <v>195</v>
      </c>
      <c r="F607">
        <v>406</v>
      </c>
      <c r="G607">
        <v>265</v>
      </c>
      <c r="H607">
        <v>191</v>
      </c>
      <c r="I607">
        <v>315</v>
      </c>
      <c r="K607">
        <v>335</v>
      </c>
      <c r="L607">
        <v>60</v>
      </c>
      <c r="M607">
        <v>229.5</v>
      </c>
      <c r="N607">
        <v>760</v>
      </c>
      <c r="O607">
        <v>270</v>
      </c>
      <c r="P607">
        <v>28</v>
      </c>
      <c r="Q607">
        <v>166</v>
      </c>
      <c r="R607">
        <v>178</v>
      </c>
      <c r="S607">
        <v>275</v>
      </c>
      <c r="T607">
        <v>1896</v>
      </c>
      <c r="U607">
        <v>315</v>
      </c>
      <c r="V607">
        <v>311</v>
      </c>
      <c r="W607">
        <v>390</v>
      </c>
      <c r="X607">
        <v>276</v>
      </c>
      <c r="Y607">
        <v>300</v>
      </c>
      <c r="Z607">
        <v>2690</v>
      </c>
      <c r="AA607">
        <v>320</v>
      </c>
      <c r="AB607">
        <v>34</v>
      </c>
      <c r="AC607">
        <v>150</v>
      </c>
      <c r="AD607">
        <v>3485</v>
      </c>
      <c r="AE607">
        <v>300</v>
      </c>
    </row>
    <row r="608" spans="1:31" x14ac:dyDescent="0.25">
      <c r="A608" t="s">
        <v>720</v>
      </c>
      <c r="B608">
        <v>2018</v>
      </c>
      <c r="C608">
        <v>6</v>
      </c>
      <c r="D608">
        <v>123</v>
      </c>
      <c r="E608">
        <v>150</v>
      </c>
      <c r="F608">
        <v>435</v>
      </c>
      <c r="G608">
        <v>200</v>
      </c>
      <c r="H608">
        <v>179</v>
      </c>
      <c r="I608">
        <v>295</v>
      </c>
      <c r="J608">
        <v>18</v>
      </c>
      <c r="K608">
        <v>380</v>
      </c>
      <c r="L608">
        <v>48</v>
      </c>
      <c r="M608">
        <v>185</v>
      </c>
      <c r="N608">
        <v>805</v>
      </c>
      <c r="O608">
        <v>210</v>
      </c>
      <c r="P608">
        <v>63</v>
      </c>
      <c r="Q608">
        <v>150</v>
      </c>
      <c r="R608">
        <v>253</v>
      </c>
      <c r="S608">
        <v>220</v>
      </c>
      <c r="T608">
        <v>1754</v>
      </c>
      <c r="U608">
        <v>260</v>
      </c>
      <c r="V608">
        <v>609</v>
      </c>
      <c r="W608">
        <v>340</v>
      </c>
      <c r="X608">
        <v>190</v>
      </c>
      <c r="Y608">
        <v>230</v>
      </c>
      <c r="Z608">
        <v>2870</v>
      </c>
      <c r="AA608">
        <v>270</v>
      </c>
      <c r="AB608">
        <v>13</v>
      </c>
      <c r="AC608">
        <v>171.5</v>
      </c>
      <c r="AD608">
        <v>3685</v>
      </c>
      <c r="AE608">
        <v>260</v>
      </c>
    </row>
    <row r="609" spans="1:31" x14ac:dyDescent="0.25">
      <c r="A609" t="s">
        <v>724</v>
      </c>
      <c r="B609">
        <v>2018</v>
      </c>
      <c r="C609">
        <v>6</v>
      </c>
      <c r="D609">
        <v>1192</v>
      </c>
      <c r="E609">
        <v>265</v>
      </c>
      <c r="F609">
        <v>3126</v>
      </c>
      <c r="G609">
        <v>285</v>
      </c>
      <c r="H609">
        <v>869</v>
      </c>
      <c r="I609">
        <v>350</v>
      </c>
      <c r="J609">
        <v>44</v>
      </c>
      <c r="K609">
        <v>420</v>
      </c>
      <c r="L609">
        <v>297</v>
      </c>
      <c r="M609">
        <v>250</v>
      </c>
      <c r="N609">
        <v>5530</v>
      </c>
      <c r="O609">
        <v>290</v>
      </c>
      <c r="P609">
        <v>236</v>
      </c>
      <c r="Q609">
        <v>165</v>
      </c>
      <c r="R609">
        <v>1056</v>
      </c>
      <c r="S609">
        <v>295</v>
      </c>
      <c r="T609">
        <v>6458</v>
      </c>
      <c r="U609">
        <v>330</v>
      </c>
      <c r="V609">
        <v>1524</v>
      </c>
      <c r="W609">
        <v>400</v>
      </c>
      <c r="X609">
        <v>845</v>
      </c>
      <c r="Y609">
        <v>280</v>
      </c>
      <c r="Z609">
        <v>10120</v>
      </c>
      <c r="AA609">
        <v>330</v>
      </c>
      <c r="AB609">
        <v>208</v>
      </c>
      <c r="AC609">
        <v>180</v>
      </c>
      <c r="AD609">
        <v>15855</v>
      </c>
      <c r="AE609">
        <v>310</v>
      </c>
    </row>
    <row r="610" spans="1:31" x14ac:dyDescent="0.25">
      <c r="A610" t="s">
        <v>721</v>
      </c>
      <c r="B610">
        <v>2018</v>
      </c>
      <c r="C610">
        <v>6</v>
      </c>
      <c r="D610">
        <v>113</v>
      </c>
      <c r="E610">
        <v>240</v>
      </c>
      <c r="F610">
        <v>601</v>
      </c>
      <c r="G610">
        <v>285</v>
      </c>
      <c r="H610">
        <v>147</v>
      </c>
      <c r="I610">
        <v>345</v>
      </c>
      <c r="J610">
        <v>9</v>
      </c>
      <c r="K610">
        <v>430</v>
      </c>
      <c r="L610">
        <v>59</v>
      </c>
      <c r="M610">
        <v>270</v>
      </c>
      <c r="N610">
        <v>930</v>
      </c>
      <c r="O610">
        <v>290</v>
      </c>
      <c r="P610">
        <v>43</v>
      </c>
      <c r="Q610">
        <v>175</v>
      </c>
      <c r="R610">
        <v>154</v>
      </c>
      <c r="S610">
        <v>342.5</v>
      </c>
      <c r="T610">
        <v>1328</v>
      </c>
      <c r="U610">
        <v>350</v>
      </c>
      <c r="V610">
        <v>270</v>
      </c>
      <c r="W610">
        <v>430</v>
      </c>
      <c r="X610">
        <v>169</v>
      </c>
      <c r="Y610">
        <v>300</v>
      </c>
      <c r="Z610">
        <v>1965</v>
      </c>
      <c r="AA610">
        <v>355</v>
      </c>
      <c r="AB610">
        <v>42</v>
      </c>
      <c r="AC610">
        <v>170</v>
      </c>
      <c r="AD610">
        <v>2935</v>
      </c>
      <c r="AE610">
        <v>340</v>
      </c>
    </row>
    <row r="611" spans="1:31" x14ac:dyDescent="0.25">
      <c r="A611" t="s">
        <v>722</v>
      </c>
      <c r="B611">
        <v>2018</v>
      </c>
      <c r="C611">
        <v>6</v>
      </c>
      <c r="D611">
        <v>121</v>
      </c>
      <c r="E611">
        <v>230</v>
      </c>
      <c r="F611">
        <v>732</v>
      </c>
      <c r="G611">
        <v>280</v>
      </c>
      <c r="H611">
        <v>157</v>
      </c>
      <c r="I611">
        <v>395</v>
      </c>
      <c r="K611">
        <v>422.5</v>
      </c>
      <c r="L611">
        <v>75</v>
      </c>
      <c r="M611">
        <v>260</v>
      </c>
      <c r="N611">
        <v>1090</v>
      </c>
      <c r="O611">
        <v>285</v>
      </c>
      <c r="P611">
        <v>29</v>
      </c>
      <c r="Q611">
        <v>170</v>
      </c>
      <c r="R611">
        <v>259</v>
      </c>
      <c r="S611">
        <v>300</v>
      </c>
      <c r="T611">
        <v>813</v>
      </c>
      <c r="U611">
        <v>390</v>
      </c>
      <c r="V611">
        <v>165</v>
      </c>
      <c r="W611">
        <v>450</v>
      </c>
      <c r="X611">
        <v>133</v>
      </c>
      <c r="Y611">
        <v>300</v>
      </c>
      <c r="Z611">
        <v>1400</v>
      </c>
      <c r="AA611">
        <v>375</v>
      </c>
      <c r="AB611">
        <v>49</v>
      </c>
      <c r="AC611">
        <v>180</v>
      </c>
      <c r="AD611">
        <v>2535</v>
      </c>
      <c r="AE611">
        <v>330</v>
      </c>
    </row>
    <row r="612" spans="1:31" x14ac:dyDescent="0.25">
      <c r="A612" t="s">
        <v>723</v>
      </c>
      <c r="B612">
        <v>2018</v>
      </c>
      <c r="C612">
        <v>6</v>
      </c>
      <c r="D612">
        <v>26</v>
      </c>
      <c r="E612">
        <v>99.95</v>
      </c>
      <c r="F612">
        <v>24</v>
      </c>
      <c r="G612">
        <v>164.7</v>
      </c>
      <c r="H612">
        <v>12</v>
      </c>
      <c r="I612">
        <v>225</v>
      </c>
      <c r="K612">
        <v>350</v>
      </c>
      <c r="M612">
        <v>165</v>
      </c>
      <c r="N612">
        <v>70</v>
      </c>
      <c r="O612">
        <v>155</v>
      </c>
      <c r="P612">
        <v>19</v>
      </c>
      <c r="Q612">
        <v>112</v>
      </c>
      <c r="R612">
        <v>43</v>
      </c>
      <c r="S612">
        <v>215</v>
      </c>
      <c r="T612">
        <v>272</v>
      </c>
      <c r="U612">
        <v>240</v>
      </c>
      <c r="V612">
        <v>86</v>
      </c>
      <c r="W612">
        <v>310</v>
      </c>
      <c r="X612">
        <v>32</v>
      </c>
      <c r="Y612">
        <v>225</v>
      </c>
      <c r="Z612">
        <v>450</v>
      </c>
      <c r="AA612">
        <v>240</v>
      </c>
      <c r="AB612">
        <v>0</v>
      </c>
      <c r="AD612">
        <v>520</v>
      </c>
      <c r="AE612">
        <v>230</v>
      </c>
    </row>
    <row r="613" spans="1:31" x14ac:dyDescent="0.25">
      <c r="A613" t="s">
        <v>711</v>
      </c>
      <c r="B613">
        <v>2018</v>
      </c>
      <c r="C613">
        <v>9</v>
      </c>
      <c r="E613">
        <v>210</v>
      </c>
      <c r="F613">
        <v>27</v>
      </c>
      <c r="G613">
        <v>280</v>
      </c>
      <c r="H613">
        <v>19</v>
      </c>
      <c r="I613">
        <v>330</v>
      </c>
      <c r="K613">
        <v>450</v>
      </c>
      <c r="L613">
        <v>8</v>
      </c>
      <c r="M613">
        <v>262.5</v>
      </c>
      <c r="N613">
        <v>65</v>
      </c>
      <c r="O613">
        <v>300</v>
      </c>
      <c r="Q613">
        <v>282.5</v>
      </c>
      <c r="R613">
        <v>34</v>
      </c>
      <c r="S613">
        <v>310</v>
      </c>
      <c r="T613">
        <v>155</v>
      </c>
      <c r="U613">
        <v>370</v>
      </c>
      <c r="V613">
        <v>78</v>
      </c>
      <c r="W613">
        <v>425</v>
      </c>
      <c r="X613">
        <v>18</v>
      </c>
      <c r="Y613">
        <v>345</v>
      </c>
      <c r="Z613">
        <v>285</v>
      </c>
      <c r="AA613">
        <v>380</v>
      </c>
      <c r="AC613">
        <v>170</v>
      </c>
      <c r="AD613">
        <v>350</v>
      </c>
      <c r="AE613">
        <v>365</v>
      </c>
    </row>
    <row r="614" spans="1:31" x14ac:dyDescent="0.25">
      <c r="A614" t="s">
        <v>712</v>
      </c>
      <c r="B614">
        <v>2018</v>
      </c>
      <c r="C614">
        <v>9</v>
      </c>
      <c r="D614">
        <v>7</v>
      </c>
      <c r="E614">
        <v>200</v>
      </c>
      <c r="F614">
        <v>37</v>
      </c>
      <c r="G614">
        <v>230</v>
      </c>
      <c r="H614">
        <v>16</v>
      </c>
      <c r="I614">
        <v>290</v>
      </c>
      <c r="K614">
        <v>350</v>
      </c>
      <c r="M614">
        <v>160</v>
      </c>
      <c r="N614">
        <v>65</v>
      </c>
      <c r="O614">
        <v>235</v>
      </c>
      <c r="Q614">
        <v>242.5</v>
      </c>
      <c r="R614">
        <v>29</v>
      </c>
      <c r="S614">
        <v>255</v>
      </c>
      <c r="T614">
        <v>199</v>
      </c>
      <c r="U614">
        <v>305</v>
      </c>
      <c r="V614">
        <v>64</v>
      </c>
      <c r="W614">
        <v>380</v>
      </c>
      <c r="X614">
        <v>27</v>
      </c>
      <c r="Y614">
        <v>250</v>
      </c>
      <c r="Z614">
        <v>325</v>
      </c>
      <c r="AA614">
        <v>310</v>
      </c>
      <c r="AB614">
        <v>0</v>
      </c>
      <c r="AD614">
        <v>385</v>
      </c>
      <c r="AE614">
        <v>300</v>
      </c>
    </row>
    <row r="615" spans="1:31" x14ac:dyDescent="0.25">
      <c r="A615" t="s">
        <v>713</v>
      </c>
      <c r="B615">
        <v>2018</v>
      </c>
      <c r="C615">
        <v>9</v>
      </c>
      <c r="D615">
        <v>1004</v>
      </c>
      <c r="E615">
        <v>299</v>
      </c>
      <c r="F615">
        <v>1061</v>
      </c>
      <c r="G615">
        <v>340</v>
      </c>
      <c r="H615">
        <v>230</v>
      </c>
      <c r="I615">
        <v>437.5</v>
      </c>
      <c r="J615">
        <v>11</v>
      </c>
      <c r="K615">
        <v>450</v>
      </c>
      <c r="L615">
        <v>72</v>
      </c>
      <c r="M615">
        <v>280</v>
      </c>
      <c r="N615">
        <v>2380</v>
      </c>
      <c r="O615">
        <v>322</v>
      </c>
      <c r="P615">
        <v>64</v>
      </c>
      <c r="Q615">
        <v>162.75</v>
      </c>
      <c r="R615">
        <v>225</v>
      </c>
      <c r="S615">
        <v>395</v>
      </c>
      <c r="T615">
        <v>644</v>
      </c>
      <c r="U615">
        <v>430</v>
      </c>
      <c r="V615">
        <v>189</v>
      </c>
      <c r="W615">
        <v>530</v>
      </c>
      <c r="X615">
        <v>104</v>
      </c>
      <c r="Y615">
        <v>300</v>
      </c>
      <c r="Z615">
        <v>1225</v>
      </c>
      <c r="AA615">
        <v>420</v>
      </c>
      <c r="AB615">
        <v>89</v>
      </c>
      <c r="AC615">
        <v>190</v>
      </c>
      <c r="AD615">
        <v>3695</v>
      </c>
      <c r="AE615">
        <v>350</v>
      </c>
    </row>
    <row r="616" spans="1:31" x14ac:dyDescent="0.25">
      <c r="A616" t="s">
        <v>714</v>
      </c>
      <c r="B616">
        <v>2018</v>
      </c>
      <c r="C616">
        <v>9</v>
      </c>
      <c r="D616">
        <v>30</v>
      </c>
      <c r="E616">
        <v>160</v>
      </c>
      <c r="F616">
        <v>51</v>
      </c>
      <c r="G616">
        <v>190</v>
      </c>
      <c r="H616">
        <v>22</v>
      </c>
      <c r="I616">
        <v>317.5</v>
      </c>
      <c r="K616">
        <v>350</v>
      </c>
      <c r="L616">
        <v>9</v>
      </c>
      <c r="M616">
        <v>185</v>
      </c>
      <c r="N616">
        <v>115</v>
      </c>
      <c r="O616">
        <v>200</v>
      </c>
      <c r="P616">
        <v>6</v>
      </c>
      <c r="Q616">
        <v>177.5</v>
      </c>
      <c r="R616">
        <v>34</v>
      </c>
      <c r="S616">
        <v>150</v>
      </c>
      <c r="T616">
        <v>244</v>
      </c>
      <c r="U616">
        <v>233</v>
      </c>
      <c r="V616">
        <v>59</v>
      </c>
      <c r="W616">
        <v>300</v>
      </c>
      <c r="X616">
        <v>25</v>
      </c>
      <c r="Y616">
        <v>250</v>
      </c>
      <c r="Z616">
        <v>370</v>
      </c>
      <c r="AA616">
        <v>240</v>
      </c>
      <c r="AC616">
        <v>160</v>
      </c>
      <c r="AD616">
        <v>485</v>
      </c>
      <c r="AE616">
        <v>230</v>
      </c>
    </row>
    <row r="617" spans="1:31" x14ac:dyDescent="0.25">
      <c r="A617" t="s">
        <v>715</v>
      </c>
      <c r="B617">
        <v>2018</v>
      </c>
      <c r="C617">
        <v>9</v>
      </c>
      <c r="D617">
        <v>19</v>
      </c>
      <c r="E617">
        <v>170</v>
      </c>
      <c r="F617">
        <v>29</v>
      </c>
      <c r="G617">
        <v>245</v>
      </c>
      <c r="H617">
        <v>9</v>
      </c>
      <c r="I617">
        <v>300</v>
      </c>
      <c r="K617">
        <v>245</v>
      </c>
      <c r="M617">
        <v>132.5</v>
      </c>
      <c r="N617">
        <v>65</v>
      </c>
      <c r="O617">
        <v>210</v>
      </c>
      <c r="Q617">
        <v>110</v>
      </c>
      <c r="R617">
        <v>24</v>
      </c>
      <c r="S617">
        <v>180</v>
      </c>
      <c r="T617">
        <v>139</v>
      </c>
      <c r="U617">
        <v>250</v>
      </c>
      <c r="V617">
        <v>53</v>
      </c>
      <c r="W617">
        <v>350</v>
      </c>
      <c r="Y617">
        <v>222.5</v>
      </c>
      <c r="Z617">
        <v>220</v>
      </c>
      <c r="AA617">
        <v>260</v>
      </c>
      <c r="AB617">
        <v>0</v>
      </c>
      <c r="AD617">
        <v>285</v>
      </c>
      <c r="AE617">
        <v>250</v>
      </c>
    </row>
    <row r="618" spans="1:31" x14ac:dyDescent="0.25">
      <c r="A618" t="s">
        <v>716</v>
      </c>
      <c r="B618">
        <v>2018</v>
      </c>
      <c r="C618">
        <v>9</v>
      </c>
      <c r="D618">
        <v>14</v>
      </c>
      <c r="E618">
        <v>182.5</v>
      </c>
      <c r="F618">
        <v>33</v>
      </c>
      <c r="G618">
        <v>245</v>
      </c>
      <c r="H618">
        <v>17</v>
      </c>
      <c r="I618">
        <v>295</v>
      </c>
      <c r="K618">
        <v>315</v>
      </c>
      <c r="M618">
        <v>200</v>
      </c>
      <c r="N618">
        <v>70</v>
      </c>
      <c r="O618">
        <v>250</v>
      </c>
      <c r="Q618">
        <v>230</v>
      </c>
      <c r="R618">
        <v>25</v>
      </c>
      <c r="S618">
        <v>255</v>
      </c>
      <c r="T618">
        <v>158</v>
      </c>
      <c r="U618">
        <v>300</v>
      </c>
      <c r="V618">
        <v>70</v>
      </c>
      <c r="W618">
        <v>350</v>
      </c>
      <c r="X618">
        <v>21</v>
      </c>
      <c r="Y618">
        <v>300</v>
      </c>
      <c r="Z618">
        <v>275</v>
      </c>
      <c r="AA618">
        <v>300</v>
      </c>
      <c r="AB618">
        <v>0</v>
      </c>
      <c r="AD618">
        <v>345</v>
      </c>
      <c r="AE618">
        <v>292.5</v>
      </c>
    </row>
    <row r="619" spans="1:31" x14ac:dyDescent="0.25">
      <c r="A619" t="s">
        <v>717</v>
      </c>
      <c r="B619">
        <v>2018</v>
      </c>
      <c r="C619">
        <v>9</v>
      </c>
      <c r="D619">
        <v>21</v>
      </c>
      <c r="E619">
        <v>140</v>
      </c>
      <c r="F619">
        <v>99</v>
      </c>
      <c r="G619">
        <v>170</v>
      </c>
      <c r="H619">
        <v>37</v>
      </c>
      <c r="I619">
        <v>272</v>
      </c>
      <c r="J619">
        <v>0</v>
      </c>
      <c r="M619">
        <v>147.5</v>
      </c>
      <c r="N619">
        <v>160</v>
      </c>
      <c r="O619">
        <v>175</v>
      </c>
      <c r="Q619">
        <v>150</v>
      </c>
      <c r="R619">
        <v>45</v>
      </c>
      <c r="S619">
        <v>200</v>
      </c>
      <c r="T619">
        <v>237</v>
      </c>
      <c r="U619">
        <v>240</v>
      </c>
      <c r="V619">
        <v>65</v>
      </c>
      <c r="W619">
        <v>310</v>
      </c>
      <c r="X619">
        <v>7</v>
      </c>
      <c r="Y619">
        <v>225</v>
      </c>
      <c r="Z619">
        <v>355</v>
      </c>
      <c r="AA619">
        <v>242</v>
      </c>
      <c r="AC619">
        <v>150</v>
      </c>
      <c r="AD619">
        <v>520</v>
      </c>
      <c r="AE619">
        <v>230</v>
      </c>
    </row>
    <row r="620" spans="1:31" x14ac:dyDescent="0.25">
      <c r="A620" t="s">
        <v>628</v>
      </c>
      <c r="B620">
        <v>2018</v>
      </c>
      <c r="C620">
        <v>9</v>
      </c>
      <c r="D620">
        <v>1353</v>
      </c>
      <c r="E620">
        <v>280</v>
      </c>
      <c r="F620">
        <v>2760</v>
      </c>
      <c r="G620">
        <v>300</v>
      </c>
      <c r="H620">
        <v>788</v>
      </c>
      <c r="I620">
        <v>360</v>
      </c>
      <c r="J620">
        <v>33</v>
      </c>
      <c r="K620">
        <v>410</v>
      </c>
      <c r="L620">
        <v>263</v>
      </c>
      <c r="M620">
        <v>270</v>
      </c>
      <c r="N620">
        <v>5195</v>
      </c>
      <c r="O620">
        <v>300</v>
      </c>
      <c r="P620">
        <v>165</v>
      </c>
      <c r="Q620">
        <v>165</v>
      </c>
      <c r="R620">
        <v>812</v>
      </c>
      <c r="S620">
        <v>320</v>
      </c>
      <c r="T620">
        <v>4707</v>
      </c>
      <c r="U620">
        <v>350</v>
      </c>
      <c r="V620">
        <v>948</v>
      </c>
      <c r="W620">
        <v>430</v>
      </c>
      <c r="X620">
        <v>697</v>
      </c>
      <c r="Y620">
        <v>300</v>
      </c>
      <c r="Z620">
        <v>7330</v>
      </c>
      <c r="AA620">
        <v>350</v>
      </c>
      <c r="AB620">
        <v>228</v>
      </c>
      <c r="AC620">
        <v>180</v>
      </c>
      <c r="AD620">
        <v>12755</v>
      </c>
      <c r="AE620">
        <v>330</v>
      </c>
    </row>
    <row r="621" spans="1:31" x14ac:dyDescent="0.25">
      <c r="A621" t="s">
        <v>718</v>
      </c>
      <c r="B621">
        <v>2018</v>
      </c>
      <c r="C621">
        <v>9</v>
      </c>
      <c r="D621">
        <v>22</v>
      </c>
      <c r="E621">
        <v>165</v>
      </c>
      <c r="F621">
        <v>52</v>
      </c>
      <c r="G621">
        <v>185</v>
      </c>
      <c r="H621">
        <v>19</v>
      </c>
      <c r="I621">
        <v>240</v>
      </c>
      <c r="K621">
        <v>260</v>
      </c>
      <c r="L621">
        <v>10</v>
      </c>
      <c r="M621">
        <v>170</v>
      </c>
      <c r="N621">
        <v>105</v>
      </c>
      <c r="O621">
        <v>185</v>
      </c>
      <c r="P621">
        <v>13</v>
      </c>
      <c r="Q621">
        <v>165</v>
      </c>
      <c r="R621">
        <v>45</v>
      </c>
      <c r="S621">
        <v>230</v>
      </c>
      <c r="T621">
        <v>333</v>
      </c>
      <c r="U621">
        <v>245</v>
      </c>
      <c r="V621">
        <v>103</v>
      </c>
      <c r="W621">
        <v>300</v>
      </c>
      <c r="X621">
        <v>31</v>
      </c>
      <c r="Y621">
        <v>220</v>
      </c>
      <c r="Z621">
        <v>525</v>
      </c>
      <c r="AA621">
        <v>250</v>
      </c>
      <c r="AC621">
        <v>52.4</v>
      </c>
      <c r="AD621">
        <v>635</v>
      </c>
      <c r="AE621">
        <v>240</v>
      </c>
    </row>
    <row r="622" spans="1:31" x14ac:dyDescent="0.25">
      <c r="A622" t="s">
        <v>719</v>
      </c>
      <c r="B622">
        <v>2018</v>
      </c>
      <c r="C622">
        <v>9</v>
      </c>
      <c r="D622">
        <v>88</v>
      </c>
      <c r="E622">
        <v>190</v>
      </c>
      <c r="F622">
        <v>410</v>
      </c>
      <c r="G622">
        <v>265.7</v>
      </c>
      <c r="H622">
        <v>188</v>
      </c>
      <c r="I622">
        <v>325</v>
      </c>
      <c r="J622">
        <v>7</v>
      </c>
      <c r="K622">
        <v>375</v>
      </c>
      <c r="L622">
        <v>46</v>
      </c>
      <c r="M622">
        <v>260</v>
      </c>
      <c r="N622">
        <v>740</v>
      </c>
      <c r="O622">
        <v>275</v>
      </c>
      <c r="P622">
        <v>33</v>
      </c>
      <c r="Q622">
        <v>165</v>
      </c>
      <c r="R622">
        <v>188</v>
      </c>
      <c r="S622">
        <v>270</v>
      </c>
      <c r="T622">
        <v>1945</v>
      </c>
      <c r="U622">
        <v>320</v>
      </c>
      <c r="V622">
        <v>291</v>
      </c>
      <c r="W622">
        <v>380</v>
      </c>
      <c r="X622">
        <v>283</v>
      </c>
      <c r="Y622">
        <v>300</v>
      </c>
      <c r="Z622">
        <v>2740</v>
      </c>
      <c r="AA622">
        <v>320</v>
      </c>
      <c r="AB622">
        <v>23</v>
      </c>
      <c r="AC622">
        <v>155</v>
      </c>
      <c r="AD622">
        <v>3500</v>
      </c>
      <c r="AE622">
        <v>310</v>
      </c>
    </row>
    <row r="623" spans="1:31" x14ac:dyDescent="0.25">
      <c r="A623" t="s">
        <v>720</v>
      </c>
      <c r="B623">
        <v>2018</v>
      </c>
      <c r="C623">
        <v>9</v>
      </c>
      <c r="D623">
        <v>133</v>
      </c>
      <c r="E623">
        <v>160</v>
      </c>
      <c r="F623">
        <v>353</v>
      </c>
      <c r="G623">
        <v>200</v>
      </c>
      <c r="H623">
        <v>153</v>
      </c>
      <c r="I623">
        <v>285</v>
      </c>
      <c r="J623">
        <v>17</v>
      </c>
      <c r="K623">
        <v>350</v>
      </c>
      <c r="L623">
        <v>44</v>
      </c>
      <c r="M623">
        <v>182.5</v>
      </c>
      <c r="N623">
        <v>700</v>
      </c>
      <c r="O623">
        <v>200</v>
      </c>
      <c r="P623">
        <v>47</v>
      </c>
      <c r="Q623">
        <v>165</v>
      </c>
      <c r="R623">
        <v>281</v>
      </c>
      <c r="S623">
        <v>230</v>
      </c>
      <c r="T623">
        <v>1756</v>
      </c>
      <c r="U623">
        <v>260</v>
      </c>
      <c r="V623">
        <v>583</v>
      </c>
      <c r="W623">
        <v>335</v>
      </c>
      <c r="X623">
        <v>166</v>
      </c>
      <c r="Y623">
        <v>240</v>
      </c>
      <c r="Z623">
        <v>2835</v>
      </c>
      <c r="AA623">
        <v>265</v>
      </c>
      <c r="AB623">
        <v>8</v>
      </c>
      <c r="AC623">
        <v>160</v>
      </c>
      <c r="AD623">
        <v>3540</v>
      </c>
      <c r="AE623">
        <v>255</v>
      </c>
    </row>
    <row r="624" spans="1:31" x14ac:dyDescent="0.25">
      <c r="A624" t="s">
        <v>724</v>
      </c>
      <c r="B624">
        <v>2018</v>
      </c>
      <c r="C624">
        <v>9</v>
      </c>
      <c r="D624">
        <v>1486</v>
      </c>
      <c r="E624">
        <v>265</v>
      </c>
      <c r="F624">
        <v>3113</v>
      </c>
      <c r="G624">
        <v>290</v>
      </c>
      <c r="H624">
        <v>941</v>
      </c>
      <c r="I624">
        <v>350</v>
      </c>
      <c r="J624">
        <v>50</v>
      </c>
      <c r="K624">
        <v>395</v>
      </c>
      <c r="L624">
        <v>307</v>
      </c>
      <c r="M624">
        <v>260</v>
      </c>
      <c r="N624">
        <v>5895</v>
      </c>
      <c r="O624">
        <v>295</v>
      </c>
      <c r="P624">
        <v>212</v>
      </c>
      <c r="Q624">
        <v>165</v>
      </c>
      <c r="R624">
        <v>1093</v>
      </c>
      <c r="S624">
        <v>295</v>
      </c>
      <c r="T624">
        <v>6463</v>
      </c>
      <c r="U624">
        <v>330</v>
      </c>
      <c r="V624">
        <v>1531</v>
      </c>
      <c r="W624">
        <v>390</v>
      </c>
      <c r="X624">
        <v>863</v>
      </c>
      <c r="Y624">
        <v>290</v>
      </c>
      <c r="Z624">
        <v>10160</v>
      </c>
      <c r="AA624">
        <v>330</v>
      </c>
      <c r="AB624">
        <v>236</v>
      </c>
      <c r="AC624">
        <v>180</v>
      </c>
      <c r="AD624">
        <v>16295</v>
      </c>
      <c r="AE624">
        <v>315</v>
      </c>
    </row>
    <row r="625" spans="1:31" x14ac:dyDescent="0.25">
      <c r="A625" t="s">
        <v>721</v>
      </c>
      <c r="B625">
        <v>2018</v>
      </c>
      <c r="C625">
        <v>9</v>
      </c>
      <c r="D625">
        <v>137</v>
      </c>
      <c r="E625">
        <v>235</v>
      </c>
      <c r="F625">
        <v>569</v>
      </c>
      <c r="G625">
        <v>290</v>
      </c>
      <c r="H625">
        <v>195</v>
      </c>
      <c r="I625">
        <v>350</v>
      </c>
      <c r="J625">
        <v>13</v>
      </c>
      <c r="K625">
        <v>410</v>
      </c>
      <c r="L625">
        <v>58</v>
      </c>
      <c r="M625">
        <v>280</v>
      </c>
      <c r="N625">
        <v>970</v>
      </c>
      <c r="O625">
        <v>295</v>
      </c>
      <c r="P625">
        <v>38</v>
      </c>
      <c r="Q625">
        <v>167.5</v>
      </c>
      <c r="R625">
        <v>146</v>
      </c>
      <c r="S625">
        <v>315</v>
      </c>
      <c r="T625">
        <v>1293</v>
      </c>
      <c r="U625">
        <v>355</v>
      </c>
      <c r="V625">
        <v>300</v>
      </c>
      <c r="W625">
        <v>430</v>
      </c>
      <c r="X625">
        <v>170</v>
      </c>
      <c r="Y625">
        <v>282.5</v>
      </c>
      <c r="Z625">
        <v>1945</v>
      </c>
      <c r="AA625">
        <v>360</v>
      </c>
      <c r="AB625">
        <v>57</v>
      </c>
      <c r="AC625">
        <v>165</v>
      </c>
      <c r="AD625">
        <v>2975</v>
      </c>
      <c r="AE625">
        <v>330</v>
      </c>
    </row>
    <row r="626" spans="1:31" x14ac:dyDescent="0.25">
      <c r="A626" t="s">
        <v>722</v>
      </c>
      <c r="B626">
        <v>2018</v>
      </c>
      <c r="C626">
        <v>9</v>
      </c>
      <c r="D626">
        <v>124</v>
      </c>
      <c r="E626">
        <v>232.5</v>
      </c>
      <c r="F626">
        <v>720</v>
      </c>
      <c r="G626">
        <v>285</v>
      </c>
      <c r="H626">
        <v>175</v>
      </c>
      <c r="I626">
        <v>380</v>
      </c>
      <c r="K626">
        <v>475</v>
      </c>
      <c r="L626">
        <v>87</v>
      </c>
      <c r="M626">
        <v>270</v>
      </c>
      <c r="N626">
        <v>1110</v>
      </c>
      <c r="O626">
        <v>290</v>
      </c>
      <c r="P626">
        <v>30</v>
      </c>
      <c r="Q626">
        <v>175</v>
      </c>
      <c r="R626">
        <v>253</v>
      </c>
      <c r="S626">
        <v>310</v>
      </c>
      <c r="T626">
        <v>825</v>
      </c>
      <c r="U626">
        <v>390</v>
      </c>
      <c r="V626">
        <v>168</v>
      </c>
      <c r="W626">
        <v>450</v>
      </c>
      <c r="X626">
        <v>140</v>
      </c>
      <c r="Y626">
        <v>320</v>
      </c>
      <c r="Z626">
        <v>1415</v>
      </c>
      <c r="AA626">
        <v>375.5</v>
      </c>
      <c r="AB626">
        <v>59</v>
      </c>
      <c r="AC626">
        <v>170</v>
      </c>
      <c r="AD626">
        <v>2585</v>
      </c>
      <c r="AE626">
        <v>335</v>
      </c>
    </row>
    <row r="627" spans="1:31" x14ac:dyDescent="0.25">
      <c r="A627" t="s">
        <v>723</v>
      </c>
      <c r="B627">
        <v>2018</v>
      </c>
      <c r="C627">
        <v>9</v>
      </c>
      <c r="D627">
        <v>16</v>
      </c>
      <c r="E627">
        <v>86.9</v>
      </c>
      <c r="F627">
        <v>25</v>
      </c>
      <c r="G627">
        <v>190</v>
      </c>
      <c r="H627">
        <v>14</v>
      </c>
      <c r="I627">
        <v>238</v>
      </c>
      <c r="K627">
        <v>240</v>
      </c>
      <c r="M627">
        <v>161.35</v>
      </c>
      <c r="N627">
        <v>60</v>
      </c>
      <c r="O627">
        <v>185</v>
      </c>
      <c r="P627">
        <v>14</v>
      </c>
      <c r="Q627">
        <v>112</v>
      </c>
      <c r="R627">
        <v>45</v>
      </c>
      <c r="S627">
        <v>200</v>
      </c>
      <c r="T627">
        <v>291</v>
      </c>
      <c r="U627">
        <v>250</v>
      </c>
      <c r="V627">
        <v>91</v>
      </c>
      <c r="W627">
        <v>300</v>
      </c>
      <c r="X627">
        <v>35</v>
      </c>
      <c r="Y627">
        <v>200</v>
      </c>
      <c r="Z627">
        <v>475</v>
      </c>
      <c r="AA627">
        <v>240</v>
      </c>
      <c r="AB627">
        <v>0</v>
      </c>
      <c r="AD627">
        <v>535</v>
      </c>
      <c r="AE627">
        <v>235</v>
      </c>
    </row>
    <row r="628" spans="1:31" x14ac:dyDescent="0.25">
      <c r="A628" t="s">
        <v>711</v>
      </c>
      <c r="B628">
        <v>2018</v>
      </c>
      <c r="C628">
        <v>12</v>
      </c>
      <c r="E628">
        <v>195</v>
      </c>
      <c r="F628">
        <v>14</v>
      </c>
      <c r="G628">
        <v>272.5</v>
      </c>
      <c r="H628">
        <v>31</v>
      </c>
      <c r="I628">
        <v>340</v>
      </c>
      <c r="K628">
        <v>380</v>
      </c>
      <c r="M628">
        <v>187.5</v>
      </c>
      <c r="N628">
        <v>50</v>
      </c>
      <c r="O628">
        <v>325</v>
      </c>
      <c r="Q628">
        <v>247.5</v>
      </c>
      <c r="R628">
        <v>36</v>
      </c>
      <c r="S628">
        <v>330</v>
      </c>
      <c r="T628">
        <v>167</v>
      </c>
      <c r="U628">
        <v>355</v>
      </c>
      <c r="V628">
        <v>75</v>
      </c>
      <c r="W628">
        <v>440</v>
      </c>
      <c r="X628">
        <v>17</v>
      </c>
      <c r="Y628">
        <v>330</v>
      </c>
      <c r="Z628">
        <v>300</v>
      </c>
      <c r="AA628">
        <v>375</v>
      </c>
      <c r="AC628">
        <v>165</v>
      </c>
      <c r="AD628">
        <v>355</v>
      </c>
      <c r="AE628">
        <v>360</v>
      </c>
    </row>
    <row r="629" spans="1:31" x14ac:dyDescent="0.25">
      <c r="A629" t="s">
        <v>712</v>
      </c>
      <c r="B629">
        <v>2018</v>
      </c>
      <c r="C629">
        <v>12</v>
      </c>
      <c r="E629">
        <v>185</v>
      </c>
      <c r="F629">
        <v>41</v>
      </c>
      <c r="G629">
        <v>245</v>
      </c>
      <c r="H629">
        <v>14</v>
      </c>
      <c r="I629">
        <v>297.5</v>
      </c>
      <c r="J629">
        <v>0</v>
      </c>
      <c r="L629">
        <v>6</v>
      </c>
      <c r="M629">
        <v>197.5</v>
      </c>
      <c r="N629">
        <v>65</v>
      </c>
      <c r="O629">
        <v>245</v>
      </c>
      <c r="Q629">
        <v>190</v>
      </c>
      <c r="S629">
        <v>260</v>
      </c>
      <c r="T629">
        <v>212</v>
      </c>
      <c r="U629">
        <v>315</v>
      </c>
      <c r="V629">
        <v>85</v>
      </c>
      <c r="W629">
        <v>390</v>
      </c>
      <c r="X629">
        <v>27</v>
      </c>
      <c r="Y629">
        <v>230</v>
      </c>
      <c r="Z629">
        <v>330</v>
      </c>
      <c r="AA629">
        <v>320</v>
      </c>
      <c r="AB629">
        <v>0</v>
      </c>
      <c r="AD629">
        <v>395</v>
      </c>
      <c r="AE629">
        <v>310</v>
      </c>
    </row>
    <row r="630" spans="1:31" x14ac:dyDescent="0.25">
      <c r="A630" t="s">
        <v>713</v>
      </c>
      <c r="B630">
        <v>2018</v>
      </c>
      <c r="C630">
        <v>12</v>
      </c>
      <c r="D630">
        <v>855</v>
      </c>
      <c r="E630">
        <v>309</v>
      </c>
      <c r="F630">
        <v>951</v>
      </c>
      <c r="G630">
        <v>330</v>
      </c>
      <c r="H630">
        <v>182</v>
      </c>
      <c r="I630">
        <v>440</v>
      </c>
      <c r="J630">
        <v>6</v>
      </c>
      <c r="K630">
        <v>630</v>
      </c>
      <c r="L630">
        <v>99</v>
      </c>
      <c r="M630">
        <v>295</v>
      </c>
      <c r="N630">
        <v>2095</v>
      </c>
      <c r="O630">
        <v>329</v>
      </c>
      <c r="P630">
        <v>49</v>
      </c>
      <c r="Q630">
        <v>171.5</v>
      </c>
      <c r="R630">
        <v>205</v>
      </c>
      <c r="S630">
        <v>395</v>
      </c>
      <c r="T630">
        <v>566</v>
      </c>
      <c r="U630">
        <v>440</v>
      </c>
      <c r="V630">
        <v>153</v>
      </c>
      <c r="W630">
        <v>620</v>
      </c>
      <c r="X630">
        <v>95</v>
      </c>
      <c r="Y630">
        <v>300</v>
      </c>
      <c r="Z630">
        <v>1070</v>
      </c>
      <c r="AA630">
        <v>430</v>
      </c>
      <c r="AB630">
        <v>52</v>
      </c>
      <c r="AC630">
        <v>185</v>
      </c>
      <c r="AD630">
        <v>3215</v>
      </c>
      <c r="AE630">
        <v>350</v>
      </c>
    </row>
    <row r="631" spans="1:31" x14ac:dyDescent="0.25">
      <c r="A631" t="s">
        <v>714</v>
      </c>
      <c r="B631">
        <v>2018</v>
      </c>
      <c r="C631">
        <v>12</v>
      </c>
      <c r="D631">
        <v>18</v>
      </c>
      <c r="E631">
        <v>165</v>
      </c>
      <c r="F631">
        <v>66</v>
      </c>
      <c r="G631">
        <v>200</v>
      </c>
      <c r="H631">
        <v>19</v>
      </c>
      <c r="I631">
        <v>320</v>
      </c>
      <c r="K631">
        <v>320</v>
      </c>
      <c r="L631">
        <v>14</v>
      </c>
      <c r="M631">
        <v>185</v>
      </c>
      <c r="N631">
        <v>120</v>
      </c>
      <c r="O631">
        <v>210</v>
      </c>
      <c r="Q631">
        <v>200</v>
      </c>
      <c r="R631">
        <v>39</v>
      </c>
      <c r="S631">
        <v>180</v>
      </c>
      <c r="T631">
        <v>258</v>
      </c>
      <c r="U631">
        <v>240</v>
      </c>
      <c r="V631">
        <v>57</v>
      </c>
      <c r="W631">
        <v>300</v>
      </c>
      <c r="X631">
        <v>17</v>
      </c>
      <c r="Y631">
        <v>185</v>
      </c>
      <c r="Z631">
        <v>375</v>
      </c>
      <c r="AA631">
        <v>245</v>
      </c>
      <c r="AC631">
        <v>160</v>
      </c>
      <c r="AD631">
        <v>500</v>
      </c>
      <c r="AE631">
        <v>230</v>
      </c>
    </row>
    <row r="632" spans="1:31" x14ac:dyDescent="0.25">
      <c r="A632" t="s">
        <v>715</v>
      </c>
      <c r="B632">
        <v>2018</v>
      </c>
      <c r="C632">
        <v>12</v>
      </c>
      <c r="D632">
        <v>17</v>
      </c>
      <c r="E632">
        <v>175</v>
      </c>
      <c r="F632">
        <v>42</v>
      </c>
      <c r="G632">
        <v>170</v>
      </c>
      <c r="H632">
        <v>8</v>
      </c>
      <c r="I632">
        <v>300</v>
      </c>
      <c r="K632">
        <v>275</v>
      </c>
      <c r="M632">
        <v>206</v>
      </c>
      <c r="N632">
        <v>75</v>
      </c>
      <c r="O632">
        <v>192.5</v>
      </c>
      <c r="Q632">
        <v>150</v>
      </c>
      <c r="R632">
        <v>20</v>
      </c>
      <c r="S632">
        <v>179.9</v>
      </c>
      <c r="T632">
        <v>121</v>
      </c>
      <c r="U632">
        <v>260</v>
      </c>
      <c r="V632">
        <v>58</v>
      </c>
      <c r="W632">
        <v>390</v>
      </c>
      <c r="X632">
        <v>6</v>
      </c>
      <c r="Y632">
        <v>237.5</v>
      </c>
      <c r="Z632">
        <v>205</v>
      </c>
      <c r="AA632">
        <v>270</v>
      </c>
      <c r="AC632">
        <v>250</v>
      </c>
      <c r="AD632">
        <v>280</v>
      </c>
      <c r="AE632">
        <v>250</v>
      </c>
    </row>
    <row r="633" spans="1:31" x14ac:dyDescent="0.25">
      <c r="A633" t="s">
        <v>716</v>
      </c>
      <c r="B633">
        <v>2018</v>
      </c>
      <c r="C633">
        <v>12</v>
      </c>
      <c r="D633">
        <v>21</v>
      </c>
      <c r="E633">
        <v>190</v>
      </c>
      <c r="F633">
        <v>40</v>
      </c>
      <c r="G633">
        <v>242.5</v>
      </c>
      <c r="H633">
        <v>19</v>
      </c>
      <c r="I633">
        <v>295</v>
      </c>
      <c r="K633">
        <v>295</v>
      </c>
      <c r="M633">
        <v>185</v>
      </c>
      <c r="N633">
        <v>85</v>
      </c>
      <c r="O633">
        <v>240</v>
      </c>
      <c r="Q633">
        <v>230</v>
      </c>
      <c r="R633">
        <v>33</v>
      </c>
      <c r="S633">
        <v>260</v>
      </c>
      <c r="T633">
        <v>129</v>
      </c>
      <c r="U633">
        <v>290</v>
      </c>
      <c r="V633">
        <v>63</v>
      </c>
      <c r="W633">
        <v>360</v>
      </c>
      <c r="X633">
        <v>23</v>
      </c>
      <c r="Y633">
        <v>320</v>
      </c>
      <c r="Z633">
        <v>250</v>
      </c>
      <c r="AA633">
        <v>300</v>
      </c>
      <c r="AB633">
        <v>0</v>
      </c>
      <c r="AD633">
        <v>340</v>
      </c>
      <c r="AE633">
        <v>285</v>
      </c>
    </row>
    <row r="634" spans="1:31" x14ac:dyDescent="0.25">
      <c r="A634" t="s">
        <v>717</v>
      </c>
      <c r="B634">
        <v>2018</v>
      </c>
      <c r="C634">
        <v>12</v>
      </c>
      <c r="D634">
        <v>19</v>
      </c>
      <c r="E634">
        <v>150</v>
      </c>
      <c r="F634">
        <v>86</v>
      </c>
      <c r="G634">
        <v>180</v>
      </c>
      <c r="H634">
        <v>24</v>
      </c>
      <c r="I634">
        <v>271</v>
      </c>
      <c r="J634">
        <v>0</v>
      </c>
      <c r="L634">
        <v>6</v>
      </c>
      <c r="M634">
        <v>142.9</v>
      </c>
      <c r="N634">
        <v>135</v>
      </c>
      <c r="O634">
        <v>180</v>
      </c>
      <c r="P634">
        <v>7</v>
      </c>
      <c r="Q634">
        <v>165</v>
      </c>
      <c r="R634">
        <v>51</v>
      </c>
      <c r="S634">
        <v>195</v>
      </c>
      <c r="T634">
        <v>251</v>
      </c>
      <c r="U634">
        <v>245</v>
      </c>
      <c r="V634">
        <v>59</v>
      </c>
      <c r="W634">
        <v>300</v>
      </c>
      <c r="X634">
        <v>19</v>
      </c>
      <c r="Y634">
        <v>250</v>
      </c>
      <c r="Z634">
        <v>385</v>
      </c>
      <c r="AA634">
        <v>245</v>
      </c>
      <c r="AC634">
        <v>170</v>
      </c>
      <c r="AD634">
        <v>525</v>
      </c>
      <c r="AE634">
        <v>230</v>
      </c>
    </row>
    <row r="635" spans="1:31" x14ac:dyDescent="0.25">
      <c r="A635" t="s">
        <v>628</v>
      </c>
      <c r="B635">
        <v>2018</v>
      </c>
      <c r="C635">
        <v>12</v>
      </c>
      <c r="D635">
        <v>1155</v>
      </c>
      <c r="E635">
        <v>290</v>
      </c>
      <c r="F635">
        <v>2519</v>
      </c>
      <c r="G635">
        <v>300</v>
      </c>
      <c r="H635">
        <v>673</v>
      </c>
      <c r="I635">
        <v>375</v>
      </c>
      <c r="J635">
        <v>23</v>
      </c>
      <c r="K635">
        <v>460</v>
      </c>
      <c r="L635">
        <v>307</v>
      </c>
      <c r="M635">
        <v>265</v>
      </c>
      <c r="N635">
        <v>4675</v>
      </c>
      <c r="O635">
        <v>305</v>
      </c>
      <c r="P635">
        <v>130</v>
      </c>
      <c r="Q635">
        <v>165</v>
      </c>
      <c r="R635">
        <v>757</v>
      </c>
      <c r="S635">
        <v>330</v>
      </c>
      <c r="T635">
        <v>4440</v>
      </c>
      <c r="U635">
        <v>355</v>
      </c>
      <c r="V635">
        <v>902</v>
      </c>
      <c r="W635">
        <v>450</v>
      </c>
      <c r="X635">
        <v>588</v>
      </c>
      <c r="Y635">
        <v>300</v>
      </c>
      <c r="Z635">
        <v>6815</v>
      </c>
      <c r="AA635">
        <v>355</v>
      </c>
      <c r="AB635">
        <v>166</v>
      </c>
      <c r="AC635">
        <v>170.75</v>
      </c>
      <c r="AD635">
        <v>11660</v>
      </c>
      <c r="AE635">
        <v>330</v>
      </c>
    </row>
    <row r="636" spans="1:31" x14ac:dyDescent="0.25">
      <c r="A636" t="s">
        <v>718</v>
      </c>
      <c r="B636">
        <v>2018</v>
      </c>
      <c r="C636">
        <v>12</v>
      </c>
      <c r="D636">
        <v>22</v>
      </c>
      <c r="E636">
        <v>160</v>
      </c>
      <c r="F636">
        <v>43</v>
      </c>
      <c r="G636">
        <v>185</v>
      </c>
      <c r="H636">
        <v>21</v>
      </c>
      <c r="I636">
        <v>240</v>
      </c>
      <c r="J636">
        <v>0</v>
      </c>
      <c r="L636">
        <v>7</v>
      </c>
      <c r="M636">
        <v>160</v>
      </c>
      <c r="N636">
        <v>95</v>
      </c>
      <c r="O636">
        <v>185</v>
      </c>
      <c r="P636">
        <v>20</v>
      </c>
      <c r="Q636">
        <v>160</v>
      </c>
      <c r="R636">
        <v>41</v>
      </c>
      <c r="S636">
        <v>230</v>
      </c>
      <c r="T636">
        <v>270</v>
      </c>
      <c r="U636">
        <v>245</v>
      </c>
      <c r="V636">
        <v>64</v>
      </c>
      <c r="W636">
        <v>300</v>
      </c>
      <c r="X636">
        <v>46</v>
      </c>
      <c r="Y636">
        <v>222.5</v>
      </c>
      <c r="Z636">
        <v>440</v>
      </c>
      <c r="AA636">
        <v>245</v>
      </c>
      <c r="AC636">
        <v>260</v>
      </c>
      <c r="AD636">
        <v>540</v>
      </c>
      <c r="AE636">
        <v>240</v>
      </c>
    </row>
    <row r="637" spans="1:31" x14ac:dyDescent="0.25">
      <c r="A637" t="s">
        <v>719</v>
      </c>
      <c r="B637">
        <v>2018</v>
      </c>
      <c r="C637">
        <v>12</v>
      </c>
      <c r="D637">
        <v>71</v>
      </c>
      <c r="E637">
        <v>220</v>
      </c>
      <c r="F637">
        <v>387</v>
      </c>
      <c r="G637">
        <v>275</v>
      </c>
      <c r="H637">
        <v>158</v>
      </c>
      <c r="I637">
        <v>327.5</v>
      </c>
      <c r="J637">
        <v>7</v>
      </c>
      <c r="K637">
        <v>460</v>
      </c>
      <c r="L637">
        <v>38</v>
      </c>
      <c r="M637">
        <v>260</v>
      </c>
      <c r="N637">
        <v>660</v>
      </c>
      <c r="O637">
        <v>280</v>
      </c>
      <c r="P637">
        <v>28</v>
      </c>
      <c r="Q637">
        <v>165</v>
      </c>
      <c r="R637">
        <v>174</v>
      </c>
      <c r="S637">
        <v>275</v>
      </c>
      <c r="T637">
        <v>1878</v>
      </c>
      <c r="U637">
        <v>320</v>
      </c>
      <c r="V637">
        <v>290</v>
      </c>
      <c r="W637">
        <v>385</v>
      </c>
      <c r="X637">
        <v>240</v>
      </c>
      <c r="Y637">
        <v>300</v>
      </c>
      <c r="Z637">
        <v>2610</v>
      </c>
      <c r="AA637">
        <v>320</v>
      </c>
      <c r="AB637">
        <v>22</v>
      </c>
      <c r="AC637">
        <v>150</v>
      </c>
      <c r="AD637">
        <v>3295</v>
      </c>
      <c r="AE637">
        <v>310</v>
      </c>
    </row>
    <row r="638" spans="1:31" x14ac:dyDescent="0.25">
      <c r="A638" t="s">
        <v>720</v>
      </c>
      <c r="B638">
        <v>2018</v>
      </c>
      <c r="C638">
        <v>12</v>
      </c>
      <c r="D638">
        <v>122</v>
      </c>
      <c r="E638">
        <v>160</v>
      </c>
      <c r="F638">
        <v>352</v>
      </c>
      <c r="G638">
        <v>200</v>
      </c>
      <c r="H638">
        <v>140</v>
      </c>
      <c r="I638">
        <v>297.5</v>
      </c>
      <c r="J638">
        <v>15</v>
      </c>
      <c r="K638">
        <v>320</v>
      </c>
      <c r="L638">
        <v>47</v>
      </c>
      <c r="M638">
        <v>180</v>
      </c>
      <c r="N638">
        <v>675</v>
      </c>
      <c r="O638">
        <v>205.5</v>
      </c>
      <c r="P638">
        <v>56</v>
      </c>
      <c r="Q638">
        <v>165</v>
      </c>
      <c r="R638">
        <v>271</v>
      </c>
      <c r="S638">
        <v>220</v>
      </c>
      <c r="T638">
        <v>1654</v>
      </c>
      <c r="U638">
        <v>260</v>
      </c>
      <c r="V638">
        <v>541</v>
      </c>
      <c r="W638">
        <v>350</v>
      </c>
      <c r="X638">
        <v>195</v>
      </c>
      <c r="Y638">
        <v>250</v>
      </c>
      <c r="Z638">
        <v>2715</v>
      </c>
      <c r="AA638">
        <v>270</v>
      </c>
      <c r="AB638">
        <v>15</v>
      </c>
      <c r="AC638">
        <v>170</v>
      </c>
      <c r="AD638">
        <v>3410</v>
      </c>
      <c r="AE638">
        <v>258</v>
      </c>
    </row>
    <row r="639" spans="1:31" x14ac:dyDescent="0.25">
      <c r="A639" t="s">
        <v>724</v>
      </c>
      <c r="B639">
        <v>2018</v>
      </c>
      <c r="C639">
        <v>12</v>
      </c>
      <c r="D639">
        <v>1277</v>
      </c>
      <c r="E639">
        <v>280</v>
      </c>
      <c r="F639">
        <v>2871</v>
      </c>
      <c r="G639">
        <v>295</v>
      </c>
      <c r="H639">
        <v>813</v>
      </c>
      <c r="I639">
        <v>360</v>
      </c>
      <c r="J639">
        <v>38</v>
      </c>
      <c r="K639">
        <v>385</v>
      </c>
      <c r="L639">
        <v>354</v>
      </c>
      <c r="M639">
        <v>260</v>
      </c>
      <c r="N639">
        <v>5355</v>
      </c>
      <c r="O639">
        <v>300</v>
      </c>
      <c r="P639">
        <v>186</v>
      </c>
      <c r="Q639">
        <v>165</v>
      </c>
      <c r="R639">
        <v>1028</v>
      </c>
      <c r="S639">
        <v>300</v>
      </c>
      <c r="T639">
        <v>6094</v>
      </c>
      <c r="U639">
        <v>330</v>
      </c>
      <c r="V639">
        <v>1443</v>
      </c>
      <c r="W639">
        <v>400</v>
      </c>
      <c r="X639">
        <v>783</v>
      </c>
      <c r="Y639">
        <v>300</v>
      </c>
      <c r="Z639">
        <v>9535</v>
      </c>
      <c r="AA639">
        <v>330</v>
      </c>
      <c r="AB639">
        <v>181</v>
      </c>
      <c r="AC639">
        <v>170</v>
      </c>
      <c r="AD639">
        <v>15070</v>
      </c>
      <c r="AE639">
        <v>320</v>
      </c>
    </row>
    <row r="640" spans="1:31" x14ac:dyDescent="0.25">
      <c r="A640" t="s">
        <v>721</v>
      </c>
      <c r="B640">
        <v>2018</v>
      </c>
      <c r="C640">
        <v>12</v>
      </c>
      <c r="D640">
        <v>109</v>
      </c>
      <c r="E640">
        <v>235</v>
      </c>
      <c r="F640">
        <v>552</v>
      </c>
      <c r="G640">
        <v>295</v>
      </c>
      <c r="H640">
        <v>163</v>
      </c>
      <c r="I640">
        <v>360</v>
      </c>
      <c r="J640">
        <v>8</v>
      </c>
      <c r="K640">
        <v>395</v>
      </c>
      <c r="L640">
        <v>79</v>
      </c>
      <c r="M640">
        <v>255</v>
      </c>
      <c r="N640">
        <v>910</v>
      </c>
      <c r="O640">
        <v>295</v>
      </c>
      <c r="P640">
        <v>36</v>
      </c>
      <c r="Q640">
        <v>162.5</v>
      </c>
      <c r="R640">
        <v>176</v>
      </c>
      <c r="S640">
        <v>315</v>
      </c>
      <c r="T640">
        <v>1190</v>
      </c>
      <c r="U640">
        <v>360</v>
      </c>
      <c r="V640">
        <v>300</v>
      </c>
      <c r="W640">
        <v>442.5</v>
      </c>
      <c r="X640">
        <v>145</v>
      </c>
      <c r="Y640">
        <v>300</v>
      </c>
      <c r="Z640">
        <v>1845</v>
      </c>
      <c r="AA640">
        <v>360</v>
      </c>
      <c r="AB640">
        <v>50</v>
      </c>
      <c r="AC640">
        <v>172.5</v>
      </c>
      <c r="AD640">
        <v>2810</v>
      </c>
      <c r="AE640">
        <v>340</v>
      </c>
    </row>
    <row r="641" spans="1:31" x14ac:dyDescent="0.25">
      <c r="A641" t="s">
        <v>722</v>
      </c>
      <c r="B641">
        <v>2018</v>
      </c>
      <c r="C641">
        <v>12</v>
      </c>
      <c r="D641">
        <v>120</v>
      </c>
      <c r="E641">
        <v>237.5</v>
      </c>
      <c r="F641">
        <v>629</v>
      </c>
      <c r="G641">
        <v>295</v>
      </c>
      <c r="H641">
        <v>170</v>
      </c>
      <c r="I641">
        <v>400</v>
      </c>
      <c r="K641">
        <v>325</v>
      </c>
      <c r="L641">
        <v>91</v>
      </c>
      <c r="M641">
        <v>260</v>
      </c>
      <c r="N641">
        <v>1010</v>
      </c>
      <c r="O641">
        <v>295</v>
      </c>
      <c r="P641">
        <v>17</v>
      </c>
      <c r="Q641">
        <v>200</v>
      </c>
      <c r="R641">
        <v>202</v>
      </c>
      <c r="S641">
        <v>330</v>
      </c>
      <c r="T641">
        <v>806</v>
      </c>
      <c r="U641">
        <v>400</v>
      </c>
      <c r="V641">
        <v>159</v>
      </c>
      <c r="W641">
        <v>470</v>
      </c>
      <c r="X641">
        <v>108</v>
      </c>
      <c r="Y641">
        <v>300</v>
      </c>
      <c r="Z641">
        <v>1290</v>
      </c>
      <c r="AA641">
        <v>380</v>
      </c>
      <c r="AB641">
        <v>42</v>
      </c>
      <c r="AC641">
        <v>170</v>
      </c>
      <c r="AD641">
        <v>2345</v>
      </c>
      <c r="AE641">
        <v>350</v>
      </c>
    </row>
    <row r="642" spans="1:31" x14ac:dyDescent="0.25">
      <c r="A642" t="s">
        <v>723</v>
      </c>
      <c r="B642">
        <v>2018</v>
      </c>
      <c r="C642">
        <v>12</v>
      </c>
      <c r="D642">
        <v>21</v>
      </c>
      <c r="E642">
        <v>130</v>
      </c>
      <c r="F642">
        <v>20</v>
      </c>
      <c r="G642">
        <v>172.5</v>
      </c>
      <c r="I642">
        <v>245</v>
      </c>
      <c r="K642">
        <v>340</v>
      </c>
      <c r="M642">
        <v>137.5</v>
      </c>
      <c r="N642">
        <v>50</v>
      </c>
      <c r="O642">
        <v>152.5</v>
      </c>
      <c r="P642">
        <v>12</v>
      </c>
      <c r="Q642">
        <v>112</v>
      </c>
      <c r="R642">
        <v>46</v>
      </c>
      <c r="S642">
        <v>215</v>
      </c>
      <c r="T642">
        <v>246</v>
      </c>
      <c r="U642">
        <v>237.5</v>
      </c>
      <c r="V642">
        <v>80</v>
      </c>
      <c r="W642">
        <v>292.5</v>
      </c>
      <c r="X642">
        <v>40</v>
      </c>
      <c r="Y642">
        <v>240</v>
      </c>
      <c r="Z642">
        <v>425</v>
      </c>
      <c r="AA642">
        <v>240</v>
      </c>
      <c r="AB642">
        <v>0</v>
      </c>
      <c r="AD642">
        <v>475</v>
      </c>
      <c r="AE642">
        <v>230</v>
      </c>
    </row>
    <row r="643" spans="1:31" x14ac:dyDescent="0.25">
      <c r="A643" t="s">
        <v>711</v>
      </c>
      <c r="B643">
        <v>2019</v>
      </c>
      <c r="C643">
        <v>3</v>
      </c>
      <c r="E643">
        <v>260</v>
      </c>
      <c r="F643">
        <v>32</v>
      </c>
      <c r="G643">
        <v>282.5</v>
      </c>
      <c r="H643">
        <v>35</v>
      </c>
      <c r="I643">
        <v>330</v>
      </c>
      <c r="J643">
        <v>9</v>
      </c>
      <c r="K643">
        <v>390</v>
      </c>
      <c r="L643">
        <v>9</v>
      </c>
      <c r="M643">
        <v>270</v>
      </c>
      <c r="N643">
        <v>85</v>
      </c>
      <c r="O643">
        <v>315</v>
      </c>
      <c r="Q643">
        <v>275</v>
      </c>
      <c r="R643">
        <v>28</v>
      </c>
      <c r="S643">
        <v>382.5</v>
      </c>
      <c r="T643">
        <v>189</v>
      </c>
      <c r="U643">
        <v>360</v>
      </c>
      <c r="V643">
        <v>112</v>
      </c>
      <c r="W643">
        <v>440</v>
      </c>
      <c r="X643">
        <v>10</v>
      </c>
      <c r="Y643">
        <v>345</v>
      </c>
      <c r="Z643">
        <v>345</v>
      </c>
      <c r="AA643">
        <v>380</v>
      </c>
      <c r="AC643">
        <v>170</v>
      </c>
      <c r="AD643">
        <v>435</v>
      </c>
      <c r="AE643">
        <v>370</v>
      </c>
    </row>
    <row r="644" spans="1:31" x14ac:dyDescent="0.25">
      <c r="A644" t="s">
        <v>712</v>
      </c>
      <c r="B644">
        <v>2019</v>
      </c>
      <c r="C644">
        <v>3</v>
      </c>
      <c r="E644">
        <v>205</v>
      </c>
      <c r="F644">
        <v>38</v>
      </c>
      <c r="G644">
        <v>240</v>
      </c>
      <c r="H644">
        <v>16</v>
      </c>
      <c r="I644">
        <v>290</v>
      </c>
      <c r="J644">
        <v>0</v>
      </c>
      <c r="M644">
        <v>216.75</v>
      </c>
      <c r="N644">
        <v>60</v>
      </c>
      <c r="O644">
        <v>245</v>
      </c>
      <c r="Q644">
        <v>180</v>
      </c>
      <c r="R644">
        <v>21</v>
      </c>
      <c r="S644">
        <v>270</v>
      </c>
      <c r="T644">
        <v>237</v>
      </c>
      <c r="U644">
        <v>310</v>
      </c>
      <c r="V644">
        <v>100</v>
      </c>
      <c r="W644">
        <v>387.5</v>
      </c>
      <c r="X644">
        <v>41</v>
      </c>
      <c r="Y644">
        <v>240</v>
      </c>
      <c r="Z644">
        <v>400</v>
      </c>
      <c r="AA644">
        <v>320</v>
      </c>
      <c r="AB644">
        <v>0</v>
      </c>
      <c r="AD644">
        <v>460</v>
      </c>
      <c r="AE644">
        <v>305</v>
      </c>
    </row>
    <row r="645" spans="1:31" x14ac:dyDescent="0.25">
      <c r="A645" t="s">
        <v>713</v>
      </c>
      <c r="B645">
        <v>2019</v>
      </c>
      <c r="C645">
        <v>3</v>
      </c>
      <c r="D645">
        <v>1581</v>
      </c>
      <c r="E645">
        <v>309</v>
      </c>
      <c r="F645">
        <v>1283</v>
      </c>
      <c r="G645">
        <v>350</v>
      </c>
      <c r="H645">
        <v>292</v>
      </c>
      <c r="I645">
        <v>450</v>
      </c>
      <c r="J645">
        <v>17</v>
      </c>
      <c r="K645">
        <v>625</v>
      </c>
      <c r="L645">
        <v>116</v>
      </c>
      <c r="M645">
        <v>320</v>
      </c>
      <c r="N645">
        <v>3290</v>
      </c>
      <c r="O645">
        <v>330</v>
      </c>
      <c r="P645">
        <v>65</v>
      </c>
      <c r="Q645">
        <v>168</v>
      </c>
      <c r="R645">
        <v>257</v>
      </c>
      <c r="S645">
        <v>390</v>
      </c>
      <c r="T645">
        <v>705</v>
      </c>
      <c r="U645">
        <v>450</v>
      </c>
      <c r="V645">
        <v>213</v>
      </c>
      <c r="W645">
        <v>580</v>
      </c>
      <c r="X645">
        <v>136</v>
      </c>
      <c r="Y645">
        <v>350</v>
      </c>
      <c r="Z645">
        <v>1375</v>
      </c>
      <c r="AA645">
        <v>435</v>
      </c>
      <c r="AB645">
        <v>99</v>
      </c>
      <c r="AC645">
        <v>185</v>
      </c>
      <c r="AD645">
        <v>4765</v>
      </c>
      <c r="AE645">
        <v>355</v>
      </c>
    </row>
    <row r="646" spans="1:31" x14ac:dyDescent="0.25">
      <c r="A646" t="s">
        <v>714</v>
      </c>
      <c r="B646">
        <v>2019</v>
      </c>
      <c r="C646">
        <v>3</v>
      </c>
      <c r="D646">
        <v>24</v>
      </c>
      <c r="E646">
        <v>182.5</v>
      </c>
      <c r="F646">
        <v>62</v>
      </c>
      <c r="G646">
        <v>190</v>
      </c>
      <c r="H646">
        <v>33</v>
      </c>
      <c r="I646">
        <v>300</v>
      </c>
      <c r="K646">
        <v>420</v>
      </c>
      <c r="L646">
        <v>11</v>
      </c>
      <c r="M646">
        <v>185</v>
      </c>
      <c r="N646">
        <v>135</v>
      </c>
      <c r="O646">
        <v>205</v>
      </c>
      <c r="Q646">
        <v>187.5</v>
      </c>
      <c r="R646">
        <v>34</v>
      </c>
      <c r="S646">
        <v>212.5</v>
      </c>
      <c r="T646">
        <v>239</v>
      </c>
      <c r="U646">
        <v>245</v>
      </c>
      <c r="V646">
        <v>62</v>
      </c>
      <c r="W646">
        <v>330</v>
      </c>
      <c r="X646">
        <v>38</v>
      </c>
      <c r="Y646">
        <v>240</v>
      </c>
      <c r="Z646">
        <v>375</v>
      </c>
      <c r="AA646">
        <v>255</v>
      </c>
      <c r="AC646">
        <v>145</v>
      </c>
      <c r="AD646">
        <v>510</v>
      </c>
      <c r="AE646">
        <v>250</v>
      </c>
    </row>
    <row r="647" spans="1:31" x14ac:dyDescent="0.25">
      <c r="A647" t="s">
        <v>715</v>
      </c>
      <c r="B647">
        <v>2019</v>
      </c>
      <c r="C647">
        <v>3</v>
      </c>
      <c r="D647">
        <v>22</v>
      </c>
      <c r="E647">
        <v>165</v>
      </c>
      <c r="F647">
        <v>37</v>
      </c>
      <c r="G647">
        <v>190</v>
      </c>
      <c r="H647">
        <v>24</v>
      </c>
      <c r="I647">
        <v>270</v>
      </c>
      <c r="J647">
        <v>0</v>
      </c>
      <c r="M647">
        <v>122.5</v>
      </c>
      <c r="N647">
        <v>85</v>
      </c>
      <c r="O647">
        <v>200</v>
      </c>
      <c r="Q647">
        <v>154</v>
      </c>
      <c r="R647">
        <v>31</v>
      </c>
      <c r="S647">
        <v>190</v>
      </c>
      <c r="T647">
        <v>134</v>
      </c>
      <c r="U647">
        <v>265</v>
      </c>
      <c r="V647">
        <v>42</v>
      </c>
      <c r="W647">
        <v>385</v>
      </c>
      <c r="X647">
        <v>6</v>
      </c>
      <c r="Y647">
        <v>300</v>
      </c>
      <c r="Z647">
        <v>215</v>
      </c>
      <c r="AA647">
        <v>270</v>
      </c>
      <c r="AC647">
        <v>130</v>
      </c>
      <c r="AD647">
        <v>305</v>
      </c>
      <c r="AE647">
        <v>250</v>
      </c>
    </row>
    <row r="648" spans="1:31" x14ac:dyDescent="0.25">
      <c r="A648" t="s">
        <v>716</v>
      </c>
      <c r="B648">
        <v>2019</v>
      </c>
      <c r="C648">
        <v>3</v>
      </c>
      <c r="D648">
        <v>19</v>
      </c>
      <c r="E648">
        <v>175</v>
      </c>
      <c r="F648">
        <v>40</v>
      </c>
      <c r="G648">
        <v>245</v>
      </c>
      <c r="H648">
        <v>11</v>
      </c>
      <c r="I648">
        <v>275</v>
      </c>
      <c r="K648">
        <v>310</v>
      </c>
      <c r="M648">
        <v>235</v>
      </c>
      <c r="N648">
        <v>75</v>
      </c>
      <c r="O648">
        <v>230</v>
      </c>
      <c r="Q648">
        <v>197.5</v>
      </c>
      <c r="R648">
        <v>24</v>
      </c>
      <c r="S648">
        <v>257.5</v>
      </c>
      <c r="T648">
        <v>147</v>
      </c>
      <c r="U648">
        <v>295</v>
      </c>
      <c r="V648">
        <v>75</v>
      </c>
      <c r="W648">
        <v>370</v>
      </c>
      <c r="X648">
        <v>31</v>
      </c>
      <c r="Y648">
        <v>298</v>
      </c>
      <c r="Z648">
        <v>280</v>
      </c>
      <c r="AA648">
        <v>300</v>
      </c>
      <c r="AB648">
        <v>0</v>
      </c>
      <c r="AD648">
        <v>355</v>
      </c>
      <c r="AE648">
        <v>295</v>
      </c>
    </row>
    <row r="649" spans="1:31" x14ac:dyDescent="0.25">
      <c r="A649" t="s">
        <v>717</v>
      </c>
      <c r="B649">
        <v>2019</v>
      </c>
      <c r="C649">
        <v>3</v>
      </c>
      <c r="D649">
        <v>18</v>
      </c>
      <c r="E649">
        <v>140</v>
      </c>
      <c r="F649">
        <v>109</v>
      </c>
      <c r="G649">
        <v>190</v>
      </c>
      <c r="H649">
        <v>38</v>
      </c>
      <c r="I649">
        <v>272</v>
      </c>
      <c r="J649">
        <v>0</v>
      </c>
      <c r="L649">
        <v>7</v>
      </c>
      <c r="M649">
        <v>182.5</v>
      </c>
      <c r="N649">
        <v>170</v>
      </c>
      <c r="O649">
        <v>200</v>
      </c>
      <c r="Q649">
        <v>147.5</v>
      </c>
      <c r="R649">
        <v>41</v>
      </c>
      <c r="S649">
        <v>200</v>
      </c>
      <c r="T649">
        <v>245</v>
      </c>
      <c r="U649">
        <v>250</v>
      </c>
      <c r="V649">
        <v>59</v>
      </c>
      <c r="W649">
        <v>330</v>
      </c>
      <c r="X649">
        <v>21</v>
      </c>
      <c r="Y649">
        <v>200</v>
      </c>
      <c r="Z649">
        <v>370</v>
      </c>
      <c r="AA649">
        <v>250</v>
      </c>
      <c r="AC649">
        <v>170</v>
      </c>
      <c r="AD649">
        <v>545</v>
      </c>
      <c r="AE649">
        <v>240</v>
      </c>
    </row>
    <row r="650" spans="1:31" x14ac:dyDescent="0.25">
      <c r="A650" t="s">
        <v>628</v>
      </c>
      <c r="B650">
        <v>2019</v>
      </c>
      <c r="C650">
        <v>3</v>
      </c>
      <c r="D650">
        <v>1935</v>
      </c>
      <c r="E650">
        <v>299</v>
      </c>
      <c r="F650">
        <v>3018</v>
      </c>
      <c r="G650">
        <v>305</v>
      </c>
      <c r="H650">
        <v>876</v>
      </c>
      <c r="I650">
        <v>390</v>
      </c>
      <c r="J650">
        <v>41</v>
      </c>
      <c r="K650">
        <v>470</v>
      </c>
      <c r="L650">
        <v>411</v>
      </c>
      <c r="M650">
        <v>275</v>
      </c>
      <c r="N650">
        <v>6280</v>
      </c>
      <c r="O650">
        <v>310</v>
      </c>
      <c r="P650">
        <v>149</v>
      </c>
      <c r="Q650">
        <v>173</v>
      </c>
      <c r="R650">
        <v>808</v>
      </c>
      <c r="S650">
        <v>330</v>
      </c>
      <c r="T650">
        <v>5082</v>
      </c>
      <c r="U650">
        <v>370</v>
      </c>
      <c r="V650">
        <v>1122</v>
      </c>
      <c r="W650">
        <v>450</v>
      </c>
      <c r="X650">
        <v>816</v>
      </c>
      <c r="Y650">
        <v>312.5</v>
      </c>
      <c r="Z650">
        <v>7975</v>
      </c>
      <c r="AA650">
        <v>370</v>
      </c>
      <c r="AB650">
        <v>306</v>
      </c>
      <c r="AC650">
        <v>185</v>
      </c>
      <c r="AD650">
        <v>14565</v>
      </c>
      <c r="AE650">
        <v>340</v>
      </c>
    </row>
    <row r="651" spans="1:31" x14ac:dyDescent="0.25">
      <c r="A651" t="s">
        <v>718</v>
      </c>
      <c r="B651">
        <v>2019</v>
      </c>
      <c r="C651">
        <v>3</v>
      </c>
      <c r="D651">
        <v>22</v>
      </c>
      <c r="E651">
        <v>160</v>
      </c>
      <c r="F651">
        <v>70</v>
      </c>
      <c r="G651">
        <v>197.5</v>
      </c>
      <c r="H651">
        <v>28</v>
      </c>
      <c r="I651">
        <v>240</v>
      </c>
      <c r="J651">
        <v>0</v>
      </c>
      <c r="L651">
        <v>6</v>
      </c>
      <c r="M651">
        <v>157.5</v>
      </c>
      <c r="N651">
        <v>125</v>
      </c>
      <c r="O651">
        <v>195</v>
      </c>
      <c r="P651">
        <v>25</v>
      </c>
      <c r="Q651">
        <v>160</v>
      </c>
      <c r="R651">
        <v>47</v>
      </c>
      <c r="S651">
        <v>215</v>
      </c>
      <c r="T651">
        <v>342</v>
      </c>
      <c r="U651">
        <v>250</v>
      </c>
      <c r="V651">
        <v>79</v>
      </c>
      <c r="W651">
        <v>290</v>
      </c>
      <c r="X651">
        <v>69</v>
      </c>
      <c r="Y651">
        <v>220</v>
      </c>
      <c r="Z651">
        <v>560</v>
      </c>
      <c r="AA651">
        <v>250</v>
      </c>
      <c r="AC651">
        <v>285</v>
      </c>
      <c r="AD651">
        <v>690</v>
      </c>
      <c r="AE651">
        <v>245</v>
      </c>
    </row>
    <row r="652" spans="1:31" x14ac:dyDescent="0.25">
      <c r="A652" t="s">
        <v>719</v>
      </c>
      <c r="B652">
        <v>2019</v>
      </c>
      <c r="C652">
        <v>3</v>
      </c>
      <c r="D652">
        <v>79</v>
      </c>
      <c r="E652">
        <v>215</v>
      </c>
      <c r="F652">
        <v>439</v>
      </c>
      <c r="G652">
        <v>280</v>
      </c>
      <c r="H652">
        <v>172</v>
      </c>
      <c r="I652">
        <v>320</v>
      </c>
      <c r="J652">
        <v>6</v>
      </c>
      <c r="K652">
        <v>435</v>
      </c>
      <c r="L652">
        <v>68</v>
      </c>
      <c r="M652">
        <v>270</v>
      </c>
      <c r="N652">
        <v>765</v>
      </c>
      <c r="O652">
        <v>285</v>
      </c>
      <c r="P652">
        <v>17</v>
      </c>
      <c r="Q652">
        <v>170</v>
      </c>
      <c r="R652">
        <v>188</v>
      </c>
      <c r="S652">
        <v>282.5</v>
      </c>
      <c r="T652">
        <v>2003</v>
      </c>
      <c r="U652">
        <v>330</v>
      </c>
      <c r="V652">
        <v>362</v>
      </c>
      <c r="W652">
        <v>400</v>
      </c>
      <c r="X652">
        <v>289</v>
      </c>
      <c r="Y652">
        <v>300</v>
      </c>
      <c r="Z652">
        <v>2860</v>
      </c>
      <c r="AA652">
        <v>330</v>
      </c>
      <c r="AB652">
        <v>75</v>
      </c>
      <c r="AC652">
        <v>200</v>
      </c>
      <c r="AD652">
        <v>3700</v>
      </c>
      <c r="AE652">
        <v>315</v>
      </c>
    </row>
    <row r="653" spans="1:31" x14ac:dyDescent="0.25">
      <c r="A653" t="s">
        <v>720</v>
      </c>
      <c r="B653">
        <v>2019</v>
      </c>
      <c r="C653">
        <v>3</v>
      </c>
      <c r="D653">
        <v>120</v>
      </c>
      <c r="E653">
        <v>160</v>
      </c>
      <c r="F653">
        <v>419</v>
      </c>
      <c r="G653">
        <v>210</v>
      </c>
      <c r="H653">
        <v>200</v>
      </c>
      <c r="I653">
        <v>280</v>
      </c>
      <c r="J653">
        <v>14</v>
      </c>
      <c r="K653">
        <v>390</v>
      </c>
      <c r="L653">
        <v>46</v>
      </c>
      <c r="M653">
        <v>184.25</v>
      </c>
      <c r="N653">
        <v>800</v>
      </c>
      <c r="O653">
        <v>220</v>
      </c>
      <c r="P653">
        <v>62</v>
      </c>
      <c r="Q653">
        <v>160</v>
      </c>
      <c r="R653">
        <v>278</v>
      </c>
      <c r="S653">
        <v>230</v>
      </c>
      <c r="T653">
        <v>1825</v>
      </c>
      <c r="U653">
        <v>270</v>
      </c>
      <c r="V653">
        <v>622</v>
      </c>
      <c r="W653">
        <v>357.5</v>
      </c>
      <c r="X653">
        <v>270</v>
      </c>
      <c r="Y653">
        <v>250</v>
      </c>
      <c r="Z653">
        <v>3055</v>
      </c>
      <c r="AA653">
        <v>270</v>
      </c>
      <c r="AB653">
        <v>10</v>
      </c>
      <c r="AC653">
        <v>165</v>
      </c>
      <c r="AD653">
        <v>3865</v>
      </c>
      <c r="AE653">
        <v>260</v>
      </c>
    </row>
    <row r="654" spans="1:31" x14ac:dyDescent="0.25">
      <c r="A654" t="s">
        <v>724</v>
      </c>
      <c r="B654">
        <v>2019</v>
      </c>
      <c r="C654">
        <v>3</v>
      </c>
      <c r="D654">
        <v>2055</v>
      </c>
      <c r="E654">
        <v>299</v>
      </c>
      <c r="F654">
        <v>3437</v>
      </c>
      <c r="G654">
        <v>300</v>
      </c>
      <c r="H654">
        <v>1076</v>
      </c>
      <c r="I654">
        <v>365</v>
      </c>
      <c r="J654">
        <v>55</v>
      </c>
      <c r="K654">
        <v>435</v>
      </c>
      <c r="L654">
        <v>457</v>
      </c>
      <c r="M654">
        <v>270</v>
      </c>
      <c r="N654">
        <v>7080</v>
      </c>
      <c r="O654">
        <v>300</v>
      </c>
      <c r="P654">
        <v>211</v>
      </c>
      <c r="Q654">
        <v>168</v>
      </c>
      <c r="R654">
        <v>1086</v>
      </c>
      <c r="S654">
        <v>305</v>
      </c>
      <c r="T654">
        <v>6907</v>
      </c>
      <c r="U654">
        <v>348</v>
      </c>
      <c r="V654">
        <v>1744</v>
      </c>
      <c r="W654">
        <v>410</v>
      </c>
      <c r="X654">
        <v>1086</v>
      </c>
      <c r="Y654">
        <v>300</v>
      </c>
      <c r="Z654">
        <v>11035</v>
      </c>
      <c r="AA654">
        <v>345</v>
      </c>
      <c r="AB654">
        <v>316</v>
      </c>
      <c r="AC654">
        <v>185</v>
      </c>
      <c r="AD654">
        <v>18430</v>
      </c>
      <c r="AE654">
        <v>325</v>
      </c>
    </row>
    <row r="655" spans="1:31" x14ac:dyDescent="0.25">
      <c r="A655" t="s">
        <v>721</v>
      </c>
      <c r="B655">
        <v>2019</v>
      </c>
      <c r="C655">
        <v>3</v>
      </c>
      <c r="D655">
        <v>138</v>
      </c>
      <c r="E655">
        <v>250</v>
      </c>
      <c r="F655">
        <v>609</v>
      </c>
      <c r="G655">
        <v>295</v>
      </c>
      <c r="H655">
        <v>212</v>
      </c>
      <c r="I655">
        <v>357.5</v>
      </c>
      <c r="J655">
        <v>9</v>
      </c>
      <c r="K655">
        <v>440</v>
      </c>
      <c r="L655">
        <v>102</v>
      </c>
      <c r="M655">
        <v>265</v>
      </c>
      <c r="N655">
        <v>1070</v>
      </c>
      <c r="O655">
        <v>300</v>
      </c>
      <c r="P655">
        <v>36</v>
      </c>
      <c r="Q655">
        <v>195</v>
      </c>
      <c r="R655">
        <v>152</v>
      </c>
      <c r="S655">
        <v>320</v>
      </c>
      <c r="T655">
        <v>1338</v>
      </c>
      <c r="U655">
        <v>370</v>
      </c>
      <c r="V655">
        <v>346</v>
      </c>
      <c r="W655">
        <v>440</v>
      </c>
      <c r="X655">
        <v>205</v>
      </c>
      <c r="Y655">
        <v>310</v>
      </c>
      <c r="Z655">
        <v>2075</v>
      </c>
      <c r="AA655">
        <v>370</v>
      </c>
      <c r="AB655">
        <v>65</v>
      </c>
      <c r="AC655">
        <v>170</v>
      </c>
      <c r="AD655">
        <v>3210</v>
      </c>
      <c r="AE655">
        <v>345</v>
      </c>
    </row>
    <row r="656" spans="1:31" x14ac:dyDescent="0.25">
      <c r="A656" t="s">
        <v>722</v>
      </c>
      <c r="B656">
        <v>2019</v>
      </c>
      <c r="C656">
        <v>3</v>
      </c>
      <c r="D656">
        <v>137</v>
      </c>
      <c r="E656">
        <v>250</v>
      </c>
      <c r="F656">
        <v>687</v>
      </c>
      <c r="G656">
        <v>290</v>
      </c>
      <c r="H656">
        <v>200</v>
      </c>
      <c r="I656">
        <v>400</v>
      </c>
      <c r="J656">
        <v>9</v>
      </c>
      <c r="K656">
        <v>450</v>
      </c>
      <c r="L656">
        <v>125</v>
      </c>
      <c r="M656">
        <v>265</v>
      </c>
      <c r="N656">
        <v>1160</v>
      </c>
      <c r="O656">
        <v>295</v>
      </c>
      <c r="P656">
        <v>31</v>
      </c>
      <c r="Q656">
        <v>175</v>
      </c>
      <c r="R656">
        <v>211</v>
      </c>
      <c r="S656">
        <v>320</v>
      </c>
      <c r="T656">
        <v>1036</v>
      </c>
      <c r="U656">
        <v>410</v>
      </c>
      <c r="V656">
        <v>201</v>
      </c>
      <c r="W656">
        <v>480</v>
      </c>
      <c r="X656">
        <v>186</v>
      </c>
      <c r="Y656">
        <v>322.5</v>
      </c>
      <c r="Z656">
        <v>1665</v>
      </c>
      <c r="AA656">
        <v>395</v>
      </c>
      <c r="AB656">
        <v>67</v>
      </c>
      <c r="AC656">
        <v>185</v>
      </c>
      <c r="AD656">
        <v>2890</v>
      </c>
      <c r="AE656">
        <v>350</v>
      </c>
    </row>
    <row r="657" spans="1:31" x14ac:dyDescent="0.25">
      <c r="A657" t="s">
        <v>723</v>
      </c>
      <c r="B657">
        <v>2019</v>
      </c>
      <c r="C657">
        <v>3</v>
      </c>
      <c r="D657">
        <v>11</v>
      </c>
      <c r="E657">
        <v>129.5</v>
      </c>
      <c r="F657">
        <v>31</v>
      </c>
      <c r="G657">
        <v>185</v>
      </c>
      <c r="H657">
        <v>15</v>
      </c>
      <c r="I657">
        <v>245</v>
      </c>
      <c r="K657">
        <v>355</v>
      </c>
      <c r="M657">
        <v>132.69999999999999</v>
      </c>
      <c r="N657">
        <v>60</v>
      </c>
      <c r="O657">
        <v>200</v>
      </c>
      <c r="P657">
        <v>16</v>
      </c>
      <c r="Q657">
        <v>112</v>
      </c>
      <c r="R657">
        <v>52</v>
      </c>
      <c r="S657">
        <v>200</v>
      </c>
      <c r="T657">
        <v>292</v>
      </c>
      <c r="U657">
        <v>250</v>
      </c>
      <c r="V657">
        <v>93</v>
      </c>
      <c r="W657">
        <v>320</v>
      </c>
      <c r="X657">
        <v>54</v>
      </c>
      <c r="Y657">
        <v>230</v>
      </c>
      <c r="Z657">
        <v>505</v>
      </c>
      <c r="AA657">
        <v>250</v>
      </c>
      <c r="AB657">
        <v>0</v>
      </c>
      <c r="AD657">
        <v>570</v>
      </c>
      <c r="AE657">
        <v>240</v>
      </c>
    </row>
    <row r="658" spans="1:31" x14ac:dyDescent="0.25">
      <c r="A658" t="s">
        <v>711</v>
      </c>
      <c r="B658">
        <v>2019</v>
      </c>
      <c r="C658">
        <v>6</v>
      </c>
      <c r="D658">
        <v>0</v>
      </c>
      <c r="F658">
        <v>20</v>
      </c>
      <c r="G658">
        <v>272.5</v>
      </c>
      <c r="H658">
        <v>29</v>
      </c>
      <c r="I658">
        <v>340</v>
      </c>
      <c r="J658">
        <v>0</v>
      </c>
      <c r="L658">
        <v>6</v>
      </c>
      <c r="M658">
        <v>172.02500000000001</v>
      </c>
      <c r="N658">
        <v>55</v>
      </c>
      <c r="O658">
        <v>310</v>
      </c>
      <c r="P658">
        <v>7</v>
      </c>
      <c r="Q658">
        <v>320</v>
      </c>
      <c r="R658">
        <v>29</v>
      </c>
      <c r="S658">
        <v>330</v>
      </c>
      <c r="T658">
        <v>145</v>
      </c>
      <c r="U658">
        <v>370</v>
      </c>
      <c r="V658">
        <v>93</v>
      </c>
      <c r="W658">
        <v>430</v>
      </c>
      <c r="X658">
        <v>24</v>
      </c>
      <c r="Y658">
        <v>300</v>
      </c>
      <c r="Z658">
        <v>300</v>
      </c>
      <c r="AA658">
        <v>380</v>
      </c>
      <c r="AC658">
        <v>242.5</v>
      </c>
      <c r="AD658">
        <v>355</v>
      </c>
      <c r="AE658">
        <v>370</v>
      </c>
    </row>
    <row r="659" spans="1:31" x14ac:dyDescent="0.25">
      <c r="A659" t="s">
        <v>712</v>
      </c>
      <c r="B659">
        <v>2019</v>
      </c>
      <c r="C659">
        <v>6</v>
      </c>
      <c r="E659">
        <v>200</v>
      </c>
      <c r="F659">
        <v>44</v>
      </c>
      <c r="G659">
        <v>250</v>
      </c>
      <c r="H659">
        <v>20</v>
      </c>
      <c r="I659">
        <v>295</v>
      </c>
      <c r="J659">
        <v>0</v>
      </c>
      <c r="M659">
        <v>175</v>
      </c>
      <c r="N659">
        <v>70</v>
      </c>
      <c r="O659">
        <v>252.5</v>
      </c>
      <c r="Q659">
        <v>200</v>
      </c>
      <c r="R659">
        <v>23</v>
      </c>
      <c r="S659">
        <v>260</v>
      </c>
      <c r="T659">
        <v>209</v>
      </c>
      <c r="U659">
        <v>310</v>
      </c>
      <c r="V659">
        <v>61</v>
      </c>
      <c r="W659">
        <v>400</v>
      </c>
      <c r="X659">
        <v>33</v>
      </c>
      <c r="Y659">
        <v>253.65</v>
      </c>
      <c r="Z659">
        <v>330</v>
      </c>
      <c r="AA659">
        <v>310</v>
      </c>
      <c r="AB659">
        <v>0</v>
      </c>
      <c r="AD659">
        <v>395</v>
      </c>
      <c r="AE659">
        <v>300</v>
      </c>
    </row>
    <row r="660" spans="1:31" x14ac:dyDescent="0.25">
      <c r="A660" t="s">
        <v>713</v>
      </c>
      <c r="B660">
        <v>2019</v>
      </c>
      <c r="C660">
        <v>6</v>
      </c>
      <c r="D660">
        <v>706</v>
      </c>
      <c r="E660">
        <v>315</v>
      </c>
      <c r="F660">
        <v>917</v>
      </c>
      <c r="G660">
        <v>330</v>
      </c>
      <c r="H660">
        <v>212</v>
      </c>
      <c r="I660">
        <v>450</v>
      </c>
      <c r="K660">
        <v>459</v>
      </c>
      <c r="L660">
        <v>101</v>
      </c>
      <c r="M660">
        <v>290</v>
      </c>
      <c r="N660">
        <v>1940</v>
      </c>
      <c r="O660">
        <v>330</v>
      </c>
      <c r="P660">
        <v>61</v>
      </c>
      <c r="Q660">
        <v>164.5</v>
      </c>
      <c r="R660">
        <v>201</v>
      </c>
      <c r="S660">
        <v>395</v>
      </c>
      <c r="T660">
        <v>628</v>
      </c>
      <c r="U660">
        <v>440</v>
      </c>
      <c r="V660">
        <v>158</v>
      </c>
      <c r="W660">
        <v>582.5</v>
      </c>
      <c r="X660">
        <v>92</v>
      </c>
      <c r="Y660">
        <v>327.5</v>
      </c>
      <c r="Z660">
        <v>1140</v>
      </c>
      <c r="AA660">
        <v>425</v>
      </c>
      <c r="AB660">
        <v>58</v>
      </c>
      <c r="AC660">
        <v>225</v>
      </c>
      <c r="AD660">
        <v>3140</v>
      </c>
      <c r="AE660">
        <v>360</v>
      </c>
    </row>
    <row r="661" spans="1:31" x14ac:dyDescent="0.25">
      <c r="A661" t="s">
        <v>714</v>
      </c>
      <c r="B661">
        <v>2019</v>
      </c>
      <c r="C661">
        <v>6</v>
      </c>
      <c r="D661">
        <v>17</v>
      </c>
      <c r="E661">
        <v>170</v>
      </c>
      <c r="F661">
        <v>65</v>
      </c>
      <c r="G661">
        <v>205</v>
      </c>
      <c r="H661">
        <v>24</v>
      </c>
      <c r="I661">
        <v>320</v>
      </c>
      <c r="K661">
        <v>420</v>
      </c>
      <c r="L661">
        <v>10</v>
      </c>
      <c r="M661">
        <v>195</v>
      </c>
      <c r="N661">
        <v>120</v>
      </c>
      <c r="O661">
        <v>220</v>
      </c>
      <c r="Q661">
        <v>120</v>
      </c>
      <c r="R661">
        <v>36</v>
      </c>
      <c r="S661">
        <v>180</v>
      </c>
      <c r="T661">
        <v>207</v>
      </c>
      <c r="U661">
        <v>250</v>
      </c>
      <c r="V661">
        <v>54</v>
      </c>
      <c r="W661">
        <v>312.5</v>
      </c>
      <c r="X661">
        <v>32</v>
      </c>
      <c r="Y661">
        <v>260</v>
      </c>
      <c r="Z661">
        <v>335</v>
      </c>
      <c r="AA661">
        <v>260</v>
      </c>
      <c r="AC661">
        <v>160</v>
      </c>
      <c r="AD661">
        <v>455</v>
      </c>
      <c r="AE661">
        <v>250</v>
      </c>
    </row>
    <row r="662" spans="1:31" x14ac:dyDescent="0.25">
      <c r="A662" t="s">
        <v>715</v>
      </c>
      <c r="B662">
        <v>2019</v>
      </c>
      <c r="C662">
        <v>6</v>
      </c>
      <c r="D662">
        <v>25</v>
      </c>
      <c r="E662">
        <v>195</v>
      </c>
      <c r="F662">
        <v>36</v>
      </c>
      <c r="G662">
        <v>172.5</v>
      </c>
      <c r="H662">
        <v>13</v>
      </c>
      <c r="I662">
        <v>250</v>
      </c>
      <c r="K662">
        <v>200</v>
      </c>
      <c r="M662">
        <v>180</v>
      </c>
      <c r="N662">
        <v>80</v>
      </c>
      <c r="O662">
        <v>190</v>
      </c>
      <c r="Q662">
        <v>180</v>
      </c>
      <c r="R662">
        <v>15</v>
      </c>
      <c r="S662">
        <v>210</v>
      </c>
      <c r="T662">
        <v>123</v>
      </c>
      <c r="U662">
        <v>250</v>
      </c>
      <c r="V662">
        <v>36</v>
      </c>
      <c r="W662">
        <v>360</v>
      </c>
      <c r="X662">
        <v>18</v>
      </c>
      <c r="Y662">
        <v>240</v>
      </c>
      <c r="Z662">
        <v>195</v>
      </c>
      <c r="AA662">
        <v>260</v>
      </c>
      <c r="AB662">
        <v>0</v>
      </c>
      <c r="AD662">
        <v>275</v>
      </c>
      <c r="AE662">
        <v>240</v>
      </c>
    </row>
    <row r="663" spans="1:31" x14ac:dyDescent="0.25">
      <c r="A663" t="s">
        <v>716</v>
      </c>
      <c r="B663">
        <v>2019</v>
      </c>
      <c r="C663">
        <v>6</v>
      </c>
      <c r="D663">
        <v>17</v>
      </c>
      <c r="E663">
        <v>185</v>
      </c>
      <c r="F663">
        <v>27</v>
      </c>
      <c r="G663">
        <v>245</v>
      </c>
      <c r="H663">
        <v>20</v>
      </c>
      <c r="I663">
        <v>295</v>
      </c>
      <c r="K663">
        <v>315</v>
      </c>
      <c r="L663">
        <v>6</v>
      </c>
      <c r="M663">
        <v>247.5</v>
      </c>
      <c r="N663">
        <v>75</v>
      </c>
      <c r="O663">
        <v>250</v>
      </c>
      <c r="Q663">
        <v>235</v>
      </c>
      <c r="R663">
        <v>32</v>
      </c>
      <c r="S663">
        <v>267.5</v>
      </c>
      <c r="T663">
        <v>170</v>
      </c>
      <c r="U663">
        <v>310</v>
      </c>
      <c r="V663">
        <v>71</v>
      </c>
      <c r="W663">
        <v>360</v>
      </c>
      <c r="X663">
        <v>34</v>
      </c>
      <c r="Y663">
        <v>285</v>
      </c>
      <c r="Z663">
        <v>310</v>
      </c>
      <c r="AA663">
        <v>315</v>
      </c>
      <c r="AB663">
        <v>0</v>
      </c>
      <c r="AD663">
        <v>380</v>
      </c>
      <c r="AE663">
        <v>300</v>
      </c>
    </row>
    <row r="664" spans="1:31" x14ac:dyDescent="0.25">
      <c r="A664" t="s">
        <v>717</v>
      </c>
      <c r="B664">
        <v>2019</v>
      </c>
      <c r="C664">
        <v>6</v>
      </c>
      <c r="D664">
        <v>20</v>
      </c>
      <c r="E664">
        <v>150</v>
      </c>
      <c r="F664">
        <v>94</v>
      </c>
      <c r="G664">
        <v>170</v>
      </c>
      <c r="H664">
        <v>33</v>
      </c>
      <c r="I664">
        <v>255</v>
      </c>
      <c r="K664">
        <v>200</v>
      </c>
      <c r="L664">
        <v>8</v>
      </c>
      <c r="M664">
        <v>188.75</v>
      </c>
      <c r="N664">
        <v>155</v>
      </c>
      <c r="O664">
        <v>183.75</v>
      </c>
      <c r="Q664">
        <v>170</v>
      </c>
      <c r="R664">
        <v>41</v>
      </c>
      <c r="S664">
        <v>200</v>
      </c>
      <c r="T664">
        <v>233</v>
      </c>
      <c r="U664">
        <v>250</v>
      </c>
      <c r="V664">
        <v>54</v>
      </c>
      <c r="W664">
        <v>297.5</v>
      </c>
      <c r="X664">
        <v>14</v>
      </c>
      <c r="Y664">
        <v>220</v>
      </c>
      <c r="Z664">
        <v>345</v>
      </c>
      <c r="AA664">
        <v>250</v>
      </c>
      <c r="AB664">
        <v>0</v>
      </c>
      <c r="AD664">
        <v>500</v>
      </c>
      <c r="AE664">
        <v>240</v>
      </c>
    </row>
    <row r="665" spans="1:31" x14ac:dyDescent="0.25">
      <c r="A665" t="s">
        <v>628</v>
      </c>
      <c r="B665">
        <v>2019</v>
      </c>
      <c r="C665">
        <v>6</v>
      </c>
      <c r="D665">
        <v>978</v>
      </c>
      <c r="E665">
        <v>282</v>
      </c>
      <c r="F665">
        <v>2373</v>
      </c>
      <c r="G665">
        <v>300</v>
      </c>
      <c r="H665">
        <v>718</v>
      </c>
      <c r="I665">
        <v>370</v>
      </c>
      <c r="J665">
        <v>20</v>
      </c>
      <c r="K665">
        <v>420</v>
      </c>
      <c r="L665">
        <v>305</v>
      </c>
      <c r="M665">
        <v>275</v>
      </c>
      <c r="N665">
        <v>4395</v>
      </c>
      <c r="O665">
        <v>305</v>
      </c>
      <c r="P665">
        <v>141</v>
      </c>
      <c r="Q665">
        <v>170</v>
      </c>
      <c r="R665">
        <v>706</v>
      </c>
      <c r="S665">
        <v>340</v>
      </c>
      <c r="T665">
        <v>4367</v>
      </c>
      <c r="U665">
        <v>360</v>
      </c>
      <c r="V665">
        <v>928</v>
      </c>
      <c r="W665">
        <v>440</v>
      </c>
      <c r="X665">
        <v>631</v>
      </c>
      <c r="Y665">
        <v>315</v>
      </c>
      <c r="Z665">
        <v>6775</v>
      </c>
      <c r="AA665">
        <v>360</v>
      </c>
      <c r="AB665">
        <v>193</v>
      </c>
      <c r="AC665">
        <v>190</v>
      </c>
      <c r="AD665">
        <v>11360</v>
      </c>
      <c r="AE665">
        <v>340</v>
      </c>
    </row>
    <row r="666" spans="1:31" x14ac:dyDescent="0.25">
      <c r="A666" t="s">
        <v>718</v>
      </c>
      <c r="B666">
        <v>2019</v>
      </c>
      <c r="C666">
        <v>6</v>
      </c>
      <c r="D666">
        <v>21</v>
      </c>
      <c r="E666">
        <v>160</v>
      </c>
      <c r="F666">
        <v>57</v>
      </c>
      <c r="G666">
        <v>190</v>
      </c>
      <c r="H666">
        <v>10</v>
      </c>
      <c r="I666">
        <v>240</v>
      </c>
      <c r="K666">
        <v>260</v>
      </c>
      <c r="L666">
        <v>6</v>
      </c>
      <c r="M666">
        <v>220</v>
      </c>
      <c r="N666">
        <v>95</v>
      </c>
      <c r="O666">
        <v>185</v>
      </c>
      <c r="P666">
        <v>16</v>
      </c>
      <c r="Q666">
        <v>160</v>
      </c>
      <c r="R666">
        <v>62</v>
      </c>
      <c r="S666">
        <v>210</v>
      </c>
      <c r="T666">
        <v>268</v>
      </c>
      <c r="U666">
        <v>250</v>
      </c>
      <c r="V666">
        <v>82</v>
      </c>
      <c r="W666">
        <v>295</v>
      </c>
      <c r="X666">
        <v>41</v>
      </c>
      <c r="Y666">
        <v>250</v>
      </c>
      <c r="Z666">
        <v>470</v>
      </c>
      <c r="AA666">
        <v>250</v>
      </c>
      <c r="AB666">
        <v>6</v>
      </c>
      <c r="AC666">
        <v>160</v>
      </c>
      <c r="AD666">
        <v>570</v>
      </c>
      <c r="AE666">
        <v>245</v>
      </c>
    </row>
    <row r="667" spans="1:31" x14ac:dyDescent="0.25">
      <c r="A667" t="s">
        <v>719</v>
      </c>
      <c r="B667">
        <v>2019</v>
      </c>
      <c r="C667">
        <v>6</v>
      </c>
      <c r="D667">
        <v>64</v>
      </c>
      <c r="E667">
        <v>196.5</v>
      </c>
      <c r="F667">
        <v>356</v>
      </c>
      <c r="G667">
        <v>270</v>
      </c>
      <c r="H667">
        <v>176</v>
      </c>
      <c r="I667">
        <v>335</v>
      </c>
      <c r="J667">
        <v>6</v>
      </c>
      <c r="K667">
        <v>155</v>
      </c>
      <c r="L667">
        <v>47</v>
      </c>
      <c r="M667">
        <v>250</v>
      </c>
      <c r="N667">
        <v>650</v>
      </c>
      <c r="O667">
        <v>280</v>
      </c>
      <c r="P667">
        <v>17</v>
      </c>
      <c r="Q667">
        <v>178</v>
      </c>
      <c r="R667">
        <v>161</v>
      </c>
      <c r="S667">
        <v>280</v>
      </c>
      <c r="T667">
        <v>1837</v>
      </c>
      <c r="U667">
        <v>320</v>
      </c>
      <c r="V667">
        <v>343</v>
      </c>
      <c r="W667">
        <v>390</v>
      </c>
      <c r="X667">
        <v>232</v>
      </c>
      <c r="Y667">
        <v>300</v>
      </c>
      <c r="Z667">
        <v>2590</v>
      </c>
      <c r="AA667">
        <v>320</v>
      </c>
      <c r="AB667">
        <v>45</v>
      </c>
      <c r="AC667">
        <v>225</v>
      </c>
      <c r="AD667">
        <v>3285</v>
      </c>
      <c r="AE667">
        <v>310</v>
      </c>
    </row>
    <row r="668" spans="1:31" x14ac:dyDescent="0.25">
      <c r="A668" t="s">
        <v>720</v>
      </c>
      <c r="B668">
        <v>2019</v>
      </c>
      <c r="C668">
        <v>6</v>
      </c>
      <c r="D668">
        <v>114</v>
      </c>
      <c r="E668">
        <v>165</v>
      </c>
      <c r="F668">
        <v>363</v>
      </c>
      <c r="G668">
        <v>200</v>
      </c>
      <c r="H668">
        <v>158</v>
      </c>
      <c r="I668">
        <v>295</v>
      </c>
      <c r="J668">
        <v>10</v>
      </c>
      <c r="K668">
        <v>280</v>
      </c>
      <c r="L668">
        <v>44</v>
      </c>
      <c r="M668">
        <v>185</v>
      </c>
      <c r="N668">
        <v>690</v>
      </c>
      <c r="O668">
        <v>210</v>
      </c>
      <c r="P668">
        <v>49</v>
      </c>
      <c r="Q668">
        <v>160</v>
      </c>
      <c r="R668">
        <v>273</v>
      </c>
      <c r="S668">
        <v>220</v>
      </c>
      <c r="T668">
        <v>1626</v>
      </c>
      <c r="U668">
        <v>267.5</v>
      </c>
      <c r="V668">
        <v>510</v>
      </c>
      <c r="W668">
        <v>350</v>
      </c>
      <c r="X668">
        <v>233</v>
      </c>
      <c r="Y668">
        <v>250</v>
      </c>
      <c r="Z668">
        <v>2690</v>
      </c>
      <c r="AA668">
        <v>270</v>
      </c>
      <c r="AB668">
        <v>12</v>
      </c>
      <c r="AC668">
        <v>167.5</v>
      </c>
      <c r="AD668">
        <v>3390</v>
      </c>
      <c r="AE668">
        <v>260</v>
      </c>
    </row>
    <row r="669" spans="1:31" x14ac:dyDescent="0.25">
      <c r="A669" t="s">
        <v>724</v>
      </c>
      <c r="B669">
        <v>2019</v>
      </c>
      <c r="C669">
        <v>6</v>
      </c>
      <c r="D669">
        <v>1092</v>
      </c>
      <c r="E669">
        <v>260</v>
      </c>
      <c r="F669">
        <v>2736</v>
      </c>
      <c r="G669">
        <v>295</v>
      </c>
      <c r="H669">
        <v>876</v>
      </c>
      <c r="I669">
        <v>352.5</v>
      </c>
      <c r="J669">
        <v>30</v>
      </c>
      <c r="K669">
        <v>370</v>
      </c>
      <c r="L669">
        <v>349</v>
      </c>
      <c r="M669">
        <v>270</v>
      </c>
      <c r="N669">
        <v>5085</v>
      </c>
      <c r="O669">
        <v>300</v>
      </c>
      <c r="P669">
        <v>190</v>
      </c>
      <c r="Q669">
        <v>165</v>
      </c>
      <c r="R669">
        <v>979</v>
      </c>
      <c r="S669">
        <v>300</v>
      </c>
      <c r="T669">
        <v>5993</v>
      </c>
      <c r="U669">
        <v>335</v>
      </c>
      <c r="V669">
        <v>1438</v>
      </c>
      <c r="W669">
        <v>400</v>
      </c>
      <c r="X669">
        <v>864</v>
      </c>
      <c r="Y669">
        <v>297.7</v>
      </c>
      <c r="Z669">
        <v>9465</v>
      </c>
      <c r="AA669">
        <v>340</v>
      </c>
      <c r="AB669">
        <v>205</v>
      </c>
      <c r="AC669">
        <v>185</v>
      </c>
      <c r="AD669">
        <v>14750</v>
      </c>
      <c r="AE669">
        <v>320</v>
      </c>
    </row>
    <row r="670" spans="1:31" x14ac:dyDescent="0.25">
      <c r="A670" t="s">
        <v>721</v>
      </c>
      <c r="B670">
        <v>2019</v>
      </c>
      <c r="C670">
        <v>6</v>
      </c>
      <c r="D670">
        <v>96</v>
      </c>
      <c r="E670">
        <v>238</v>
      </c>
      <c r="F670">
        <v>469</v>
      </c>
      <c r="G670">
        <v>295</v>
      </c>
      <c r="H670">
        <v>173</v>
      </c>
      <c r="I670">
        <v>350</v>
      </c>
      <c r="K670">
        <v>360</v>
      </c>
      <c r="L670">
        <v>74</v>
      </c>
      <c r="M670">
        <v>290</v>
      </c>
      <c r="N670">
        <v>815</v>
      </c>
      <c r="O670">
        <v>300</v>
      </c>
      <c r="P670">
        <v>36</v>
      </c>
      <c r="Q670">
        <v>167</v>
      </c>
      <c r="R670">
        <v>149</v>
      </c>
      <c r="S670">
        <v>335</v>
      </c>
      <c r="T670">
        <v>1155</v>
      </c>
      <c r="U670">
        <v>365</v>
      </c>
      <c r="V670">
        <v>290</v>
      </c>
      <c r="W670">
        <v>430</v>
      </c>
      <c r="X670">
        <v>175</v>
      </c>
      <c r="Y670">
        <v>310</v>
      </c>
      <c r="Z670">
        <v>1805</v>
      </c>
      <c r="AA670">
        <v>365</v>
      </c>
      <c r="AB670">
        <v>48</v>
      </c>
      <c r="AC670">
        <v>172.5</v>
      </c>
      <c r="AD670">
        <v>2670</v>
      </c>
      <c r="AE670">
        <v>342.5</v>
      </c>
    </row>
    <row r="671" spans="1:31" x14ac:dyDescent="0.25">
      <c r="A671" t="s">
        <v>722</v>
      </c>
      <c r="B671">
        <v>2019</v>
      </c>
      <c r="C671">
        <v>6</v>
      </c>
      <c r="D671">
        <v>112</v>
      </c>
      <c r="E671">
        <v>240</v>
      </c>
      <c r="F671">
        <v>631</v>
      </c>
      <c r="G671">
        <v>290</v>
      </c>
      <c r="H671">
        <v>157</v>
      </c>
      <c r="I671">
        <v>390</v>
      </c>
      <c r="J671">
        <v>7</v>
      </c>
      <c r="K671">
        <v>520</v>
      </c>
      <c r="L671">
        <v>83</v>
      </c>
      <c r="M671">
        <v>270</v>
      </c>
      <c r="N671">
        <v>990</v>
      </c>
      <c r="O671">
        <v>300</v>
      </c>
      <c r="P671">
        <v>27</v>
      </c>
      <c r="Q671">
        <v>175</v>
      </c>
      <c r="R671">
        <v>195</v>
      </c>
      <c r="S671">
        <v>330</v>
      </c>
      <c r="T671">
        <v>747</v>
      </c>
      <c r="U671">
        <v>400</v>
      </c>
      <c r="V671">
        <v>137</v>
      </c>
      <c r="W671">
        <v>460</v>
      </c>
      <c r="X671">
        <v>132</v>
      </c>
      <c r="Y671">
        <v>350</v>
      </c>
      <c r="Z671">
        <v>1240</v>
      </c>
      <c r="AA671">
        <v>390</v>
      </c>
      <c r="AB671">
        <v>42</v>
      </c>
      <c r="AC671">
        <v>165</v>
      </c>
      <c r="AD671">
        <v>2270</v>
      </c>
      <c r="AE671">
        <v>350</v>
      </c>
    </row>
    <row r="672" spans="1:31" x14ac:dyDescent="0.25">
      <c r="A672" t="s">
        <v>723</v>
      </c>
      <c r="B672">
        <v>2019</v>
      </c>
      <c r="C672">
        <v>6</v>
      </c>
      <c r="D672">
        <v>11</v>
      </c>
      <c r="E672">
        <v>132.69999999999999</v>
      </c>
      <c r="F672">
        <v>20</v>
      </c>
      <c r="G672">
        <v>175</v>
      </c>
      <c r="H672">
        <v>9</v>
      </c>
      <c r="I672">
        <v>234</v>
      </c>
      <c r="J672">
        <v>0</v>
      </c>
      <c r="M672">
        <v>113.85</v>
      </c>
      <c r="N672">
        <v>40</v>
      </c>
      <c r="O672">
        <v>180</v>
      </c>
      <c r="P672">
        <v>14</v>
      </c>
      <c r="Q672">
        <v>112</v>
      </c>
      <c r="R672">
        <v>35</v>
      </c>
      <c r="S672">
        <v>200</v>
      </c>
      <c r="T672">
        <v>271</v>
      </c>
      <c r="U672">
        <v>240</v>
      </c>
      <c r="V672">
        <v>59</v>
      </c>
      <c r="W672">
        <v>300</v>
      </c>
      <c r="X672">
        <v>37</v>
      </c>
      <c r="Y672">
        <v>220</v>
      </c>
      <c r="Z672">
        <v>415</v>
      </c>
      <c r="AA672">
        <v>240</v>
      </c>
      <c r="AC672">
        <v>180</v>
      </c>
      <c r="AD672">
        <v>460</v>
      </c>
      <c r="AE672">
        <v>235</v>
      </c>
    </row>
    <row r="673" spans="1:31" x14ac:dyDescent="0.25">
      <c r="A673" t="s">
        <v>711</v>
      </c>
      <c r="B673">
        <v>2019</v>
      </c>
      <c r="C673">
        <v>9</v>
      </c>
      <c r="E673">
        <v>260</v>
      </c>
      <c r="F673">
        <v>19</v>
      </c>
      <c r="G673">
        <v>275</v>
      </c>
      <c r="H673">
        <v>57</v>
      </c>
      <c r="I673">
        <v>340</v>
      </c>
      <c r="J673">
        <v>11</v>
      </c>
      <c r="K673">
        <v>370</v>
      </c>
      <c r="L673">
        <v>9</v>
      </c>
      <c r="M673">
        <v>270</v>
      </c>
      <c r="N673">
        <v>100</v>
      </c>
      <c r="O673">
        <v>330</v>
      </c>
      <c r="Q673">
        <v>260</v>
      </c>
      <c r="R673">
        <v>26</v>
      </c>
      <c r="S673">
        <v>355</v>
      </c>
      <c r="T673">
        <v>166</v>
      </c>
      <c r="U673">
        <v>360</v>
      </c>
      <c r="V673">
        <v>71</v>
      </c>
      <c r="W673">
        <v>440</v>
      </c>
      <c r="X673">
        <v>13</v>
      </c>
      <c r="Y673">
        <v>380</v>
      </c>
      <c r="Z673">
        <v>280</v>
      </c>
      <c r="AA673">
        <v>380</v>
      </c>
      <c r="AB673">
        <v>0</v>
      </c>
      <c r="AD673">
        <v>380</v>
      </c>
      <c r="AE673">
        <v>365</v>
      </c>
    </row>
    <row r="674" spans="1:31" x14ac:dyDescent="0.25">
      <c r="A674" t="s">
        <v>712</v>
      </c>
      <c r="B674">
        <v>2019</v>
      </c>
      <c r="C674">
        <v>9</v>
      </c>
      <c r="D674">
        <v>7</v>
      </c>
      <c r="E674">
        <v>190</v>
      </c>
      <c r="F674">
        <v>31</v>
      </c>
      <c r="G674">
        <v>250</v>
      </c>
      <c r="H674">
        <v>21</v>
      </c>
      <c r="I674">
        <v>305</v>
      </c>
      <c r="K674">
        <v>350</v>
      </c>
      <c r="M674">
        <v>260</v>
      </c>
      <c r="N674">
        <v>60</v>
      </c>
      <c r="O674">
        <v>252.5</v>
      </c>
      <c r="Q674">
        <v>210</v>
      </c>
      <c r="R674">
        <v>30</v>
      </c>
      <c r="S674">
        <v>257.5</v>
      </c>
      <c r="T674">
        <v>195</v>
      </c>
      <c r="U674">
        <v>315</v>
      </c>
      <c r="V674">
        <v>64</v>
      </c>
      <c r="W674">
        <v>380</v>
      </c>
      <c r="X674">
        <v>25</v>
      </c>
      <c r="Y674">
        <v>246.12</v>
      </c>
      <c r="Z674">
        <v>315</v>
      </c>
      <c r="AA674">
        <v>317.5</v>
      </c>
      <c r="AB674">
        <v>0</v>
      </c>
      <c r="AD674">
        <v>380</v>
      </c>
      <c r="AE674">
        <v>305</v>
      </c>
    </row>
    <row r="675" spans="1:31" x14ac:dyDescent="0.25">
      <c r="A675" t="s">
        <v>713</v>
      </c>
      <c r="B675">
        <v>2019</v>
      </c>
      <c r="C675">
        <v>9</v>
      </c>
      <c r="D675">
        <v>1118</v>
      </c>
      <c r="E675">
        <v>315</v>
      </c>
      <c r="F675">
        <v>1109</v>
      </c>
      <c r="G675">
        <v>345</v>
      </c>
      <c r="H675">
        <v>242</v>
      </c>
      <c r="I675">
        <v>450</v>
      </c>
      <c r="J675">
        <v>14</v>
      </c>
      <c r="K675">
        <v>600</v>
      </c>
      <c r="L675">
        <v>75</v>
      </c>
      <c r="M675">
        <v>300</v>
      </c>
      <c r="N675">
        <v>2560</v>
      </c>
      <c r="O675">
        <v>335</v>
      </c>
      <c r="P675">
        <v>55</v>
      </c>
      <c r="Q675">
        <v>175</v>
      </c>
      <c r="R675">
        <v>217</v>
      </c>
      <c r="S675">
        <v>400</v>
      </c>
      <c r="T675">
        <v>641</v>
      </c>
      <c r="U675">
        <v>440</v>
      </c>
      <c r="V675">
        <v>185</v>
      </c>
      <c r="W675">
        <v>540</v>
      </c>
      <c r="X675">
        <v>86</v>
      </c>
      <c r="Y675">
        <v>300</v>
      </c>
      <c r="Z675">
        <v>1185</v>
      </c>
      <c r="AA675">
        <v>430</v>
      </c>
      <c r="AB675">
        <v>171</v>
      </c>
      <c r="AC675">
        <v>235</v>
      </c>
      <c r="AD675">
        <v>3915</v>
      </c>
      <c r="AE675">
        <v>359</v>
      </c>
    </row>
    <row r="676" spans="1:31" x14ac:dyDescent="0.25">
      <c r="A676" t="s">
        <v>714</v>
      </c>
      <c r="B676">
        <v>2019</v>
      </c>
      <c r="C676">
        <v>9</v>
      </c>
      <c r="D676">
        <v>35</v>
      </c>
      <c r="E676">
        <v>185</v>
      </c>
      <c r="F676">
        <v>52</v>
      </c>
      <c r="G676">
        <v>202.5</v>
      </c>
      <c r="H676">
        <v>21</v>
      </c>
      <c r="I676">
        <v>315</v>
      </c>
      <c r="K676">
        <v>375</v>
      </c>
      <c r="L676">
        <v>16</v>
      </c>
      <c r="M676">
        <v>267.5</v>
      </c>
      <c r="N676">
        <v>125</v>
      </c>
      <c r="O676">
        <v>210</v>
      </c>
      <c r="Q676">
        <v>150</v>
      </c>
      <c r="R676">
        <v>47</v>
      </c>
      <c r="S676">
        <v>180</v>
      </c>
      <c r="T676">
        <v>222</v>
      </c>
      <c r="U676">
        <v>235</v>
      </c>
      <c r="V676">
        <v>65</v>
      </c>
      <c r="W676">
        <v>330</v>
      </c>
      <c r="X676">
        <v>22</v>
      </c>
      <c r="Y676">
        <v>220</v>
      </c>
      <c r="Z676">
        <v>360</v>
      </c>
      <c r="AA676">
        <v>240</v>
      </c>
      <c r="AC676">
        <v>168</v>
      </c>
      <c r="AD676">
        <v>485</v>
      </c>
      <c r="AE676">
        <v>230</v>
      </c>
    </row>
    <row r="677" spans="1:31" x14ac:dyDescent="0.25">
      <c r="A677" t="s">
        <v>715</v>
      </c>
      <c r="B677">
        <v>2019</v>
      </c>
      <c r="C677">
        <v>9</v>
      </c>
      <c r="D677">
        <v>20</v>
      </c>
      <c r="E677">
        <v>150</v>
      </c>
      <c r="F677">
        <v>37</v>
      </c>
      <c r="G677">
        <v>220</v>
      </c>
      <c r="H677">
        <v>12</v>
      </c>
      <c r="I677">
        <v>262.5</v>
      </c>
      <c r="K677">
        <v>165</v>
      </c>
      <c r="L677">
        <v>6</v>
      </c>
      <c r="M677">
        <v>187.5</v>
      </c>
      <c r="N677">
        <v>75</v>
      </c>
      <c r="O677">
        <v>210</v>
      </c>
      <c r="Q677">
        <v>205</v>
      </c>
      <c r="R677">
        <v>20</v>
      </c>
      <c r="S677">
        <v>180</v>
      </c>
      <c r="T677">
        <v>135</v>
      </c>
      <c r="U677">
        <v>240</v>
      </c>
      <c r="V677">
        <v>35</v>
      </c>
      <c r="W677">
        <v>380</v>
      </c>
      <c r="X677">
        <v>12</v>
      </c>
      <c r="Y677">
        <v>185</v>
      </c>
      <c r="Z677">
        <v>205</v>
      </c>
      <c r="AA677">
        <v>240</v>
      </c>
      <c r="AB677">
        <v>0</v>
      </c>
      <c r="AD677">
        <v>280</v>
      </c>
      <c r="AE677">
        <v>225</v>
      </c>
    </row>
    <row r="678" spans="1:31" x14ac:dyDescent="0.25">
      <c r="A678" t="s">
        <v>716</v>
      </c>
      <c r="B678">
        <v>2019</v>
      </c>
      <c r="C678">
        <v>9</v>
      </c>
      <c r="D678">
        <v>19</v>
      </c>
      <c r="E678">
        <v>185</v>
      </c>
      <c r="F678">
        <v>40</v>
      </c>
      <c r="G678">
        <v>245</v>
      </c>
      <c r="H678">
        <v>22</v>
      </c>
      <c r="I678">
        <v>300</v>
      </c>
      <c r="K678">
        <v>280</v>
      </c>
      <c r="L678">
        <v>11</v>
      </c>
      <c r="M678">
        <v>210</v>
      </c>
      <c r="N678">
        <v>95</v>
      </c>
      <c r="O678">
        <v>250</v>
      </c>
      <c r="Q678">
        <v>227.5</v>
      </c>
      <c r="R678">
        <v>29</v>
      </c>
      <c r="S678">
        <v>260</v>
      </c>
      <c r="T678">
        <v>160</v>
      </c>
      <c r="U678">
        <v>300</v>
      </c>
      <c r="V678">
        <v>70</v>
      </c>
      <c r="W678">
        <v>350</v>
      </c>
      <c r="X678">
        <v>12</v>
      </c>
      <c r="Y678">
        <v>290</v>
      </c>
      <c r="Z678">
        <v>275</v>
      </c>
      <c r="AA678">
        <v>310</v>
      </c>
      <c r="AB678">
        <v>0</v>
      </c>
      <c r="AD678">
        <v>370</v>
      </c>
      <c r="AE678">
        <v>295</v>
      </c>
    </row>
    <row r="679" spans="1:31" x14ac:dyDescent="0.25">
      <c r="A679" t="s">
        <v>717</v>
      </c>
      <c r="B679">
        <v>2019</v>
      </c>
      <c r="C679">
        <v>9</v>
      </c>
      <c r="D679">
        <v>20</v>
      </c>
      <c r="E679">
        <v>155</v>
      </c>
      <c r="F679">
        <v>110</v>
      </c>
      <c r="G679">
        <v>180</v>
      </c>
      <c r="H679">
        <v>27</v>
      </c>
      <c r="I679">
        <v>272</v>
      </c>
      <c r="K679">
        <v>370</v>
      </c>
      <c r="M679">
        <v>200</v>
      </c>
      <c r="N679">
        <v>160</v>
      </c>
      <c r="O679">
        <v>188</v>
      </c>
      <c r="Q679">
        <v>145</v>
      </c>
      <c r="R679">
        <v>38</v>
      </c>
      <c r="S679">
        <v>200</v>
      </c>
      <c r="T679">
        <v>243</v>
      </c>
      <c r="U679">
        <v>240</v>
      </c>
      <c r="V679">
        <v>66</v>
      </c>
      <c r="W679">
        <v>330</v>
      </c>
      <c r="X679">
        <v>8</v>
      </c>
      <c r="Y679">
        <v>230</v>
      </c>
      <c r="Z679">
        <v>360</v>
      </c>
      <c r="AA679">
        <v>250</v>
      </c>
      <c r="AC679">
        <v>67.900000000000006</v>
      </c>
      <c r="AD679">
        <v>520</v>
      </c>
      <c r="AE679">
        <v>230</v>
      </c>
    </row>
    <row r="680" spans="1:31" x14ac:dyDescent="0.25">
      <c r="A680" t="s">
        <v>628</v>
      </c>
      <c r="B680">
        <v>2019</v>
      </c>
      <c r="C680">
        <v>9</v>
      </c>
      <c r="D680">
        <v>1453</v>
      </c>
      <c r="E680">
        <v>299</v>
      </c>
      <c r="F680">
        <v>2786</v>
      </c>
      <c r="G680">
        <v>305</v>
      </c>
      <c r="H680">
        <v>785</v>
      </c>
      <c r="I680">
        <v>380</v>
      </c>
      <c r="J680">
        <v>34</v>
      </c>
      <c r="K680">
        <v>500</v>
      </c>
      <c r="L680">
        <v>290</v>
      </c>
      <c r="M680">
        <v>275</v>
      </c>
      <c r="N680">
        <v>5350</v>
      </c>
      <c r="O680">
        <v>310</v>
      </c>
      <c r="P680">
        <v>162</v>
      </c>
      <c r="Q680">
        <v>179</v>
      </c>
      <c r="R680">
        <v>750</v>
      </c>
      <c r="S680">
        <v>340</v>
      </c>
      <c r="T680">
        <v>4704</v>
      </c>
      <c r="U680">
        <v>360</v>
      </c>
      <c r="V680">
        <v>1007</v>
      </c>
      <c r="W680">
        <v>440</v>
      </c>
      <c r="X680">
        <v>565</v>
      </c>
      <c r="Y680">
        <v>320</v>
      </c>
      <c r="Z680">
        <v>7190</v>
      </c>
      <c r="AA680">
        <v>360</v>
      </c>
      <c r="AB680">
        <v>352</v>
      </c>
      <c r="AC680">
        <v>200</v>
      </c>
      <c r="AD680">
        <v>12890</v>
      </c>
      <c r="AE680">
        <v>340</v>
      </c>
    </row>
    <row r="681" spans="1:31" x14ac:dyDescent="0.25">
      <c r="A681" t="s">
        <v>718</v>
      </c>
      <c r="B681">
        <v>2019</v>
      </c>
      <c r="C681">
        <v>9</v>
      </c>
      <c r="D681">
        <v>23</v>
      </c>
      <c r="E681">
        <v>160</v>
      </c>
      <c r="F681">
        <v>73</v>
      </c>
      <c r="G681">
        <v>185</v>
      </c>
      <c r="H681">
        <v>12</v>
      </c>
      <c r="I681">
        <v>247.5</v>
      </c>
      <c r="K681">
        <v>310</v>
      </c>
      <c r="L681">
        <v>14</v>
      </c>
      <c r="M681">
        <v>183.97499999999999</v>
      </c>
      <c r="N681">
        <v>125</v>
      </c>
      <c r="O681">
        <v>190</v>
      </c>
      <c r="P681">
        <v>24</v>
      </c>
      <c r="Q681">
        <v>160</v>
      </c>
      <c r="R681">
        <v>49</v>
      </c>
      <c r="S681">
        <v>230</v>
      </c>
      <c r="T681">
        <v>250</v>
      </c>
      <c r="U681">
        <v>255</v>
      </c>
      <c r="V681">
        <v>77</v>
      </c>
      <c r="W681">
        <v>300</v>
      </c>
      <c r="X681">
        <v>40</v>
      </c>
      <c r="Y681">
        <v>210</v>
      </c>
      <c r="Z681">
        <v>440</v>
      </c>
      <c r="AA681">
        <v>255</v>
      </c>
      <c r="AB681">
        <v>0</v>
      </c>
      <c r="AD681">
        <v>565</v>
      </c>
      <c r="AE681">
        <v>240</v>
      </c>
    </row>
    <row r="682" spans="1:31" x14ac:dyDescent="0.25">
      <c r="A682" t="s">
        <v>719</v>
      </c>
      <c r="B682">
        <v>2019</v>
      </c>
      <c r="C682">
        <v>9</v>
      </c>
      <c r="D682">
        <v>83</v>
      </c>
      <c r="E682">
        <v>195</v>
      </c>
      <c r="F682">
        <v>425</v>
      </c>
      <c r="G682">
        <v>270</v>
      </c>
      <c r="H682">
        <v>170</v>
      </c>
      <c r="I682">
        <v>330</v>
      </c>
      <c r="J682">
        <v>6</v>
      </c>
      <c r="K682">
        <v>430</v>
      </c>
      <c r="L682">
        <v>74</v>
      </c>
      <c r="M682">
        <v>265</v>
      </c>
      <c r="N682">
        <v>760</v>
      </c>
      <c r="O682">
        <v>280</v>
      </c>
      <c r="P682">
        <v>38</v>
      </c>
      <c r="Q682">
        <v>177</v>
      </c>
      <c r="R682">
        <v>163</v>
      </c>
      <c r="S682">
        <v>270</v>
      </c>
      <c r="T682">
        <v>2008</v>
      </c>
      <c r="U682">
        <v>320</v>
      </c>
      <c r="V682">
        <v>339</v>
      </c>
      <c r="W682">
        <v>390</v>
      </c>
      <c r="X682">
        <v>214</v>
      </c>
      <c r="Y682">
        <v>300</v>
      </c>
      <c r="Z682">
        <v>2760</v>
      </c>
      <c r="AA682">
        <v>325</v>
      </c>
      <c r="AB682">
        <v>64</v>
      </c>
      <c r="AC682">
        <v>225</v>
      </c>
      <c r="AD682">
        <v>3585</v>
      </c>
      <c r="AE682">
        <v>310</v>
      </c>
    </row>
    <row r="683" spans="1:31" x14ac:dyDescent="0.25">
      <c r="A683" t="s">
        <v>720</v>
      </c>
      <c r="B683">
        <v>2019</v>
      </c>
      <c r="C683">
        <v>9</v>
      </c>
      <c r="D683">
        <v>136</v>
      </c>
      <c r="E683">
        <v>170</v>
      </c>
      <c r="F683">
        <v>385</v>
      </c>
      <c r="G683">
        <v>205</v>
      </c>
      <c r="H683">
        <v>182</v>
      </c>
      <c r="I683">
        <v>300</v>
      </c>
      <c r="J683">
        <v>23</v>
      </c>
      <c r="K683">
        <v>370</v>
      </c>
      <c r="L683">
        <v>66</v>
      </c>
      <c r="M683">
        <v>200</v>
      </c>
      <c r="N683">
        <v>790</v>
      </c>
      <c r="O683">
        <v>220</v>
      </c>
      <c r="P683">
        <v>59</v>
      </c>
      <c r="Q683">
        <v>160</v>
      </c>
      <c r="R683">
        <v>293</v>
      </c>
      <c r="S683">
        <v>220</v>
      </c>
      <c r="T683">
        <v>1621</v>
      </c>
      <c r="U683">
        <v>270</v>
      </c>
      <c r="V683">
        <v>522</v>
      </c>
      <c r="W683">
        <v>350</v>
      </c>
      <c r="X683">
        <v>156</v>
      </c>
      <c r="Y683">
        <v>230</v>
      </c>
      <c r="Z683">
        <v>2650</v>
      </c>
      <c r="AA683">
        <v>270</v>
      </c>
      <c r="AB683">
        <v>2</v>
      </c>
      <c r="AC683">
        <v>117.95</v>
      </c>
      <c r="AD683">
        <v>3445</v>
      </c>
      <c r="AE683">
        <v>260</v>
      </c>
    </row>
    <row r="684" spans="1:31" x14ac:dyDescent="0.25">
      <c r="A684" t="s">
        <v>724</v>
      </c>
      <c r="B684">
        <v>2019</v>
      </c>
      <c r="C684">
        <v>9</v>
      </c>
      <c r="D684">
        <v>1589</v>
      </c>
      <c r="E684">
        <v>290</v>
      </c>
      <c r="F684">
        <v>3171</v>
      </c>
      <c r="G684">
        <v>300</v>
      </c>
      <c r="H684">
        <v>967</v>
      </c>
      <c r="I684">
        <v>360</v>
      </c>
      <c r="J684">
        <v>57</v>
      </c>
      <c r="K684">
        <v>420</v>
      </c>
      <c r="L684">
        <v>356</v>
      </c>
      <c r="M684">
        <v>265</v>
      </c>
      <c r="N684">
        <v>6140</v>
      </c>
      <c r="O684">
        <v>300</v>
      </c>
      <c r="P684">
        <v>221</v>
      </c>
      <c r="Q684">
        <v>175</v>
      </c>
      <c r="R684">
        <v>1043</v>
      </c>
      <c r="S684">
        <v>300</v>
      </c>
      <c r="T684">
        <v>6325</v>
      </c>
      <c r="U684">
        <v>340</v>
      </c>
      <c r="V684">
        <v>1529</v>
      </c>
      <c r="W684">
        <v>400</v>
      </c>
      <c r="X684">
        <v>721</v>
      </c>
      <c r="Y684">
        <v>300</v>
      </c>
      <c r="Z684">
        <v>9840</v>
      </c>
      <c r="AA684">
        <v>340</v>
      </c>
      <c r="AB684">
        <v>354</v>
      </c>
      <c r="AC684">
        <v>197.5</v>
      </c>
      <c r="AD684">
        <v>16335</v>
      </c>
      <c r="AE684">
        <v>320</v>
      </c>
    </row>
    <row r="685" spans="1:31" x14ac:dyDescent="0.25">
      <c r="A685" t="s">
        <v>721</v>
      </c>
      <c r="B685">
        <v>2019</v>
      </c>
      <c r="C685">
        <v>9</v>
      </c>
      <c r="D685">
        <v>117</v>
      </c>
      <c r="E685">
        <v>240</v>
      </c>
      <c r="F685">
        <v>556</v>
      </c>
      <c r="G685">
        <v>300</v>
      </c>
      <c r="H685">
        <v>197</v>
      </c>
      <c r="I685">
        <v>360</v>
      </c>
      <c r="J685">
        <v>8</v>
      </c>
      <c r="K685">
        <v>432.5</v>
      </c>
      <c r="L685">
        <v>72</v>
      </c>
      <c r="M685">
        <v>260</v>
      </c>
      <c r="N685">
        <v>950</v>
      </c>
      <c r="O685">
        <v>300</v>
      </c>
      <c r="P685">
        <v>25</v>
      </c>
      <c r="Q685">
        <v>200</v>
      </c>
      <c r="R685">
        <v>157</v>
      </c>
      <c r="S685">
        <v>340</v>
      </c>
      <c r="T685">
        <v>1224</v>
      </c>
      <c r="U685">
        <v>365</v>
      </c>
      <c r="V685">
        <v>304</v>
      </c>
      <c r="W685">
        <v>460</v>
      </c>
      <c r="X685">
        <v>139</v>
      </c>
      <c r="Y685">
        <v>330</v>
      </c>
      <c r="Z685">
        <v>1850</v>
      </c>
      <c r="AA685">
        <v>370</v>
      </c>
      <c r="AB685">
        <v>65</v>
      </c>
      <c r="AC685">
        <v>170</v>
      </c>
      <c r="AD685">
        <v>2865</v>
      </c>
      <c r="AE685">
        <v>350</v>
      </c>
    </row>
    <row r="686" spans="1:31" x14ac:dyDescent="0.25">
      <c r="A686" t="s">
        <v>722</v>
      </c>
      <c r="B686">
        <v>2019</v>
      </c>
      <c r="C686">
        <v>9</v>
      </c>
      <c r="D686">
        <v>135</v>
      </c>
      <c r="E686">
        <v>240</v>
      </c>
      <c r="F686">
        <v>696</v>
      </c>
      <c r="G686">
        <v>300</v>
      </c>
      <c r="H686">
        <v>176</v>
      </c>
      <c r="I686">
        <v>390</v>
      </c>
      <c r="J686">
        <v>6</v>
      </c>
      <c r="K686">
        <v>500</v>
      </c>
      <c r="L686">
        <v>69</v>
      </c>
      <c r="M686">
        <v>280</v>
      </c>
      <c r="N686">
        <v>1080</v>
      </c>
      <c r="O686">
        <v>300</v>
      </c>
      <c r="P686">
        <v>44</v>
      </c>
      <c r="Q686">
        <v>175</v>
      </c>
      <c r="R686">
        <v>213</v>
      </c>
      <c r="S686">
        <v>330</v>
      </c>
      <c r="T686">
        <v>831</v>
      </c>
      <c r="U686">
        <v>400</v>
      </c>
      <c r="V686">
        <v>179</v>
      </c>
      <c r="W686">
        <v>460</v>
      </c>
      <c r="X686">
        <v>126</v>
      </c>
      <c r="Y686">
        <v>338</v>
      </c>
      <c r="Z686">
        <v>1395</v>
      </c>
      <c r="AA686">
        <v>390</v>
      </c>
      <c r="AB686">
        <v>52</v>
      </c>
      <c r="AC686">
        <v>180</v>
      </c>
      <c r="AD686">
        <v>2525</v>
      </c>
      <c r="AE686">
        <v>350</v>
      </c>
    </row>
    <row r="687" spans="1:31" x14ac:dyDescent="0.25">
      <c r="A687" t="s">
        <v>723</v>
      </c>
      <c r="B687">
        <v>2019</v>
      </c>
      <c r="C687">
        <v>9</v>
      </c>
      <c r="D687">
        <v>9</v>
      </c>
      <c r="E687">
        <v>126.9</v>
      </c>
      <c r="F687">
        <v>23</v>
      </c>
      <c r="G687">
        <v>202.5</v>
      </c>
      <c r="H687">
        <v>10</v>
      </c>
      <c r="I687">
        <v>239.5</v>
      </c>
      <c r="K687">
        <v>320</v>
      </c>
      <c r="M687">
        <v>136.35</v>
      </c>
      <c r="N687">
        <v>50</v>
      </c>
      <c r="O687">
        <v>205</v>
      </c>
      <c r="P687">
        <v>17</v>
      </c>
      <c r="Q687">
        <v>130</v>
      </c>
      <c r="R687">
        <v>54</v>
      </c>
      <c r="S687">
        <v>200</v>
      </c>
      <c r="T687">
        <v>250</v>
      </c>
      <c r="U687">
        <v>250</v>
      </c>
      <c r="V687">
        <v>74</v>
      </c>
      <c r="W687">
        <v>305</v>
      </c>
      <c r="X687">
        <v>24</v>
      </c>
      <c r="Y687">
        <v>227.5</v>
      </c>
      <c r="Z687">
        <v>420</v>
      </c>
      <c r="AA687">
        <v>250</v>
      </c>
      <c r="AB687">
        <v>0</v>
      </c>
      <c r="AD687">
        <v>470</v>
      </c>
      <c r="AE687">
        <v>247.5</v>
      </c>
    </row>
    <row r="688" spans="1:31" x14ac:dyDescent="0.25">
      <c r="A688" t="s">
        <v>711</v>
      </c>
      <c r="B688">
        <v>2019</v>
      </c>
      <c r="C688">
        <v>12</v>
      </c>
      <c r="D688">
        <v>7</v>
      </c>
      <c r="E688">
        <v>245</v>
      </c>
      <c r="F688">
        <v>14</v>
      </c>
      <c r="G688">
        <v>282.5</v>
      </c>
      <c r="H688">
        <v>36</v>
      </c>
      <c r="I688">
        <v>355</v>
      </c>
      <c r="K688">
        <v>550</v>
      </c>
      <c r="L688">
        <v>7</v>
      </c>
      <c r="M688">
        <v>310</v>
      </c>
      <c r="N688">
        <v>65</v>
      </c>
      <c r="O688">
        <v>320</v>
      </c>
      <c r="Q688">
        <v>370</v>
      </c>
      <c r="R688">
        <v>21</v>
      </c>
      <c r="S688">
        <v>360</v>
      </c>
      <c r="T688">
        <v>183</v>
      </c>
      <c r="U688">
        <v>375</v>
      </c>
      <c r="V688">
        <v>89</v>
      </c>
      <c r="W688">
        <v>440</v>
      </c>
      <c r="X688">
        <v>15</v>
      </c>
      <c r="Y688">
        <v>335</v>
      </c>
      <c r="Z688">
        <v>310</v>
      </c>
      <c r="AA688">
        <v>385</v>
      </c>
      <c r="AC688">
        <v>170</v>
      </c>
      <c r="AD688">
        <v>375</v>
      </c>
      <c r="AE688">
        <v>375</v>
      </c>
    </row>
    <row r="689" spans="1:31" x14ac:dyDescent="0.25">
      <c r="A689" t="s">
        <v>712</v>
      </c>
      <c r="B689">
        <v>2019</v>
      </c>
      <c r="C689">
        <v>12</v>
      </c>
      <c r="D689">
        <v>6</v>
      </c>
      <c r="E689">
        <v>187.5</v>
      </c>
      <c r="F689">
        <v>34</v>
      </c>
      <c r="G689">
        <v>242.5</v>
      </c>
      <c r="H689">
        <v>21</v>
      </c>
      <c r="I689">
        <v>315</v>
      </c>
      <c r="J689">
        <v>0</v>
      </c>
      <c r="M689">
        <v>221</v>
      </c>
      <c r="N689">
        <v>65</v>
      </c>
      <c r="O689">
        <v>255.5</v>
      </c>
      <c r="Q689">
        <v>168.2</v>
      </c>
      <c r="R689">
        <v>9</v>
      </c>
      <c r="S689">
        <v>270</v>
      </c>
      <c r="T689">
        <v>188</v>
      </c>
      <c r="U689">
        <v>320</v>
      </c>
      <c r="V689">
        <v>83</v>
      </c>
      <c r="W689">
        <v>400</v>
      </c>
      <c r="X689">
        <v>15</v>
      </c>
      <c r="Y689">
        <v>264</v>
      </c>
      <c r="Z689">
        <v>295</v>
      </c>
      <c r="AA689">
        <v>335</v>
      </c>
      <c r="AB689">
        <v>0</v>
      </c>
      <c r="AD689">
        <v>365</v>
      </c>
      <c r="AE689">
        <v>325</v>
      </c>
    </row>
    <row r="690" spans="1:31" x14ac:dyDescent="0.25">
      <c r="A690" t="s">
        <v>713</v>
      </c>
      <c r="B690">
        <v>2019</v>
      </c>
      <c r="C690">
        <v>12</v>
      </c>
      <c r="D690">
        <v>875</v>
      </c>
      <c r="E690">
        <v>329</v>
      </c>
      <c r="F690">
        <v>797</v>
      </c>
      <c r="G690">
        <v>345</v>
      </c>
      <c r="H690">
        <v>225</v>
      </c>
      <c r="I690">
        <v>465</v>
      </c>
      <c r="J690">
        <v>7</v>
      </c>
      <c r="K690">
        <v>525</v>
      </c>
      <c r="L690">
        <v>86</v>
      </c>
      <c r="M690">
        <v>300</v>
      </c>
      <c r="N690">
        <v>1990</v>
      </c>
      <c r="O690">
        <v>340</v>
      </c>
      <c r="P690">
        <v>62</v>
      </c>
      <c r="Q690">
        <v>175</v>
      </c>
      <c r="R690">
        <v>188</v>
      </c>
      <c r="S690">
        <v>400</v>
      </c>
      <c r="T690">
        <v>597</v>
      </c>
      <c r="U690">
        <v>450</v>
      </c>
      <c r="V690">
        <v>183</v>
      </c>
      <c r="W690">
        <v>640</v>
      </c>
      <c r="X690">
        <v>89</v>
      </c>
      <c r="Y690">
        <v>330</v>
      </c>
      <c r="Z690">
        <v>1120</v>
      </c>
      <c r="AA690">
        <v>440</v>
      </c>
      <c r="AB690">
        <v>121</v>
      </c>
      <c r="AC690">
        <v>259</v>
      </c>
      <c r="AD690">
        <v>3230</v>
      </c>
      <c r="AE690">
        <v>365</v>
      </c>
    </row>
    <row r="691" spans="1:31" x14ac:dyDescent="0.25">
      <c r="A691" t="s">
        <v>714</v>
      </c>
      <c r="B691">
        <v>2019</v>
      </c>
      <c r="C691">
        <v>12</v>
      </c>
      <c r="D691">
        <v>24</v>
      </c>
      <c r="E691">
        <v>158.75</v>
      </c>
      <c r="F691">
        <v>47</v>
      </c>
      <c r="G691">
        <v>200</v>
      </c>
      <c r="H691">
        <v>31</v>
      </c>
      <c r="I691">
        <v>315</v>
      </c>
      <c r="K691">
        <v>365</v>
      </c>
      <c r="L691">
        <v>12</v>
      </c>
      <c r="M691">
        <v>210</v>
      </c>
      <c r="N691">
        <v>120</v>
      </c>
      <c r="O691">
        <v>220</v>
      </c>
      <c r="P691">
        <v>7</v>
      </c>
      <c r="Q691">
        <v>150</v>
      </c>
      <c r="R691">
        <v>37</v>
      </c>
      <c r="S691">
        <v>202</v>
      </c>
      <c r="T691">
        <v>208</v>
      </c>
      <c r="U691">
        <v>230</v>
      </c>
      <c r="V691">
        <v>40</v>
      </c>
      <c r="W691">
        <v>340</v>
      </c>
      <c r="X691">
        <v>22</v>
      </c>
      <c r="Y691">
        <v>230</v>
      </c>
      <c r="Z691">
        <v>315</v>
      </c>
      <c r="AA691">
        <v>240</v>
      </c>
      <c r="AB691">
        <v>0</v>
      </c>
      <c r="AD691">
        <v>430</v>
      </c>
      <c r="AE691">
        <v>230</v>
      </c>
    </row>
    <row r="692" spans="1:31" x14ac:dyDescent="0.25">
      <c r="A692" t="s">
        <v>715</v>
      </c>
      <c r="B692">
        <v>2019</v>
      </c>
      <c r="C692">
        <v>12</v>
      </c>
      <c r="D692">
        <v>32</v>
      </c>
      <c r="E692">
        <v>200</v>
      </c>
      <c r="F692">
        <v>30</v>
      </c>
      <c r="G692">
        <v>160</v>
      </c>
      <c r="H692">
        <v>15</v>
      </c>
      <c r="I692">
        <v>280</v>
      </c>
      <c r="K692">
        <v>380</v>
      </c>
      <c r="M692">
        <v>122.5</v>
      </c>
      <c r="N692">
        <v>80</v>
      </c>
      <c r="O692">
        <v>200</v>
      </c>
      <c r="Q692">
        <v>143.5</v>
      </c>
      <c r="R692">
        <v>17</v>
      </c>
      <c r="S692">
        <v>202.23</v>
      </c>
      <c r="T692">
        <v>125</v>
      </c>
      <c r="U692">
        <v>260</v>
      </c>
      <c r="V692">
        <v>45</v>
      </c>
      <c r="W692">
        <v>360</v>
      </c>
      <c r="X692">
        <v>8</v>
      </c>
      <c r="Y692">
        <v>255</v>
      </c>
      <c r="Z692">
        <v>200</v>
      </c>
      <c r="AA692">
        <v>280</v>
      </c>
      <c r="AB692">
        <v>0</v>
      </c>
      <c r="AD692">
        <v>280</v>
      </c>
      <c r="AE692">
        <v>255</v>
      </c>
    </row>
    <row r="693" spans="1:31" x14ac:dyDescent="0.25">
      <c r="A693" t="s">
        <v>716</v>
      </c>
      <c r="B693">
        <v>2019</v>
      </c>
      <c r="C693">
        <v>12</v>
      </c>
      <c r="D693">
        <v>23</v>
      </c>
      <c r="E693">
        <v>180</v>
      </c>
      <c r="F693">
        <v>28</v>
      </c>
      <c r="G693">
        <v>229.55</v>
      </c>
      <c r="H693">
        <v>26</v>
      </c>
      <c r="I693">
        <v>295</v>
      </c>
      <c r="K693">
        <v>355</v>
      </c>
      <c r="M693">
        <v>280</v>
      </c>
      <c r="N693">
        <v>80</v>
      </c>
      <c r="O693">
        <v>235</v>
      </c>
      <c r="Q693">
        <v>220</v>
      </c>
      <c r="R693">
        <v>12</v>
      </c>
      <c r="S693">
        <v>272.5</v>
      </c>
      <c r="T693">
        <v>146</v>
      </c>
      <c r="U693">
        <v>307.5</v>
      </c>
      <c r="V693">
        <v>74</v>
      </c>
      <c r="W693">
        <v>360</v>
      </c>
      <c r="X693">
        <v>22</v>
      </c>
      <c r="Y693">
        <v>320</v>
      </c>
      <c r="Z693">
        <v>260</v>
      </c>
      <c r="AA693">
        <v>320</v>
      </c>
      <c r="AB693">
        <v>0</v>
      </c>
      <c r="AD693">
        <v>340</v>
      </c>
      <c r="AE693">
        <v>310</v>
      </c>
    </row>
    <row r="694" spans="1:31" x14ac:dyDescent="0.25">
      <c r="A694" t="s">
        <v>717</v>
      </c>
      <c r="B694">
        <v>2019</v>
      </c>
      <c r="C694">
        <v>12</v>
      </c>
      <c r="D694">
        <v>23</v>
      </c>
      <c r="E694">
        <v>160</v>
      </c>
      <c r="F694">
        <v>84</v>
      </c>
      <c r="G694">
        <v>180</v>
      </c>
      <c r="H694">
        <v>30</v>
      </c>
      <c r="I694">
        <v>274</v>
      </c>
      <c r="K694">
        <v>230</v>
      </c>
      <c r="M694">
        <v>252.5</v>
      </c>
      <c r="N694">
        <v>140</v>
      </c>
      <c r="O694">
        <v>185</v>
      </c>
      <c r="Q694">
        <v>160</v>
      </c>
      <c r="R694">
        <v>44</v>
      </c>
      <c r="S694">
        <v>214</v>
      </c>
      <c r="T694">
        <v>220</v>
      </c>
      <c r="U694">
        <v>255</v>
      </c>
      <c r="V694">
        <v>54</v>
      </c>
      <c r="W694">
        <v>300</v>
      </c>
      <c r="X694">
        <v>10</v>
      </c>
      <c r="Y694">
        <v>270</v>
      </c>
      <c r="Z694">
        <v>330</v>
      </c>
      <c r="AA694">
        <v>255</v>
      </c>
      <c r="AC694">
        <v>200</v>
      </c>
      <c r="AD694">
        <v>475</v>
      </c>
      <c r="AE694">
        <v>240</v>
      </c>
    </row>
    <row r="695" spans="1:31" x14ac:dyDescent="0.25">
      <c r="A695" t="s">
        <v>628</v>
      </c>
      <c r="B695">
        <v>2019</v>
      </c>
      <c r="C695">
        <v>12</v>
      </c>
      <c r="D695">
        <v>1172</v>
      </c>
      <c r="E695">
        <v>299</v>
      </c>
      <c r="F695">
        <v>2235</v>
      </c>
      <c r="G695">
        <v>310</v>
      </c>
      <c r="H695">
        <v>737</v>
      </c>
      <c r="I695">
        <v>380</v>
      </c>
      <c r="J695">
        <v>24</v>
      </c>
      <c r="K695">
        <v>477.5</v>
      </c>
      <c r="L695">
        <v>264</v>
      </c>
      <c r="M695">
        <v>270</v>
      </c>
      <c r="N695">
        <v>4430</v>
      </c>
      <c r="O695">
        <v>317.5</v>
      </c>
      <c r="P695">
        <v>151</v>
      </c>
      <c r="Q695">
        <v>175</v>
      </c>
      <c r="R695">
        <v>689</v>
      </c>
      <c r="S695">
        <v>330</v>
      </c>
      <c r="T695">
        <v>4369</v>
      </c>
      <c r="U695">
        <v>370</v>
      </c>
      <c r="V695">
        <v>922</v>
      </c>
      <c r="W695">
        <v>450</v>
      </c>
      <c r="X695">
        <v>575</v>
      </c>
      <c r="Y695">
        <v>300</v>
      </c>
      <c r="Z695">
        <v>6705</v>
      </c>
      <c r="AA695">
        <v>370</v>
      </c>
      <c r="AB695">
        <v>289</v>
      </c>
      <c r="AC695">
        <v>200</v>
      </c>
      <c r="AD695">
        <v>11425</v>
      </c>
      <c r="AE695">
        <v>340</v>
      </c>
    </row>
    <row r="696" spans="1:31" x14ac:dyDescent="0.25">
      <c r="A696" t="s">
        <v>718</v>
      </c>
      <c r="B696">
        <v>2019</v>
      </c>
      <c r="C696">
        <v>12</v>
      </c>
      <c r="D696">
        <v>28</v>
      </c>
      <c r="E696">
        <v>170</v>
      </c>
      <c r="F696">
        <v>55</v>
      </c>
      <c r="G696">
        <v>190</v>
      </c>
      <c r="H696">
        <v>13</v>
      </c>
      <c r="I696">
        <v>245</v>
      </c>
      <c r="K696">
        <v>270</v>
      </c>
      <c r="M696">
        <v>140.5</v>
      </c>
      <c r="N696">
        <v>100</v>
      </c>
      <c r="O696">
        <v>180</v>
      </c>
      <c r="P696">
        <v>29</v>
      </c>
      <c r="Q696">
        <v>170</v>
      </c>
      <c r="R696">
        <v>48</v>
      </c>
      <c r="S696">
        <v>225</v>
      </c>
      <c r="T696">
        <v>265</v>
      </c>
      <c r="U696">
        <v>250</v>
      </c>
      <c r="V696">
        <v>74</v>
      </c>
      <c r="W696">
        <v>290</v>
      </c>
      <c r="X696">
        <v>42</v>
      </c>
      <c r="Y696">
        <v>250</v>
      </c>
      <c r="Z696">
        <v>460</v>
      </c>
      <c r="AA696">
        <v>250</v>
      </c>
      <c r="AC696">
        <v>170</v>
      </c>
      <c r="AD696">
        <v>565</v>
      </c>
      <c r="AE696">
        <v>245</v>
      </c>
    </row>
    <row r="697" spans="1:31" x14ac:dyDescent="0.25">
      <c r="A697" t="s">
        <v>719</v>
      </c>
      <c r="B697">
        <v>2019</v>
      </c>
      <c r="C697">
        <v>12</v>
      </c>
      <c r="D697">
        <v>73</v>
      </c>
      <c r="E697">
        <v>176</v>
      </c>
      <c r="F697">
        <v>339</v>
      </c>
      <c r="G697">
        <v>280</v>
      </c>
      <c r="H697">
        <v>168</v>
      </c>
      <c r="I697">
        <v>325</v>
      </c>
      <c r="K697">
        <v>360</v>
      </c>
      <c r="L697">
        <v>40</v>
      </c>
      <c r="M697">
        <v>265</v>
      </c>
      <c r="N697">
        <v>625</v>
      </c>
      <c r="O697">
        <v>290</v>
      </c>
      <c r="P697">
        <v>28</v>
      </c>
      <c r="Q697">
        <v>176.5</v>
      </c>
      <c r="R697">
        <v>169</v>
      </c>
      <c r="S697">
        <v>295</v>
      </c>
      <c r="T697">
        <v>1795</v>
      </c>
      <c r="U697">
        <v>330</v>
      </c>
      <c r="V697">
        <v>272</v>
      </c>
      <c r="W697">
        <v>395</v>
      </c>
      <c r="X697">
        <v>213</v>
      </c>
      <c r="Y697">
        <v>300</v>
      </c>
      <c r="Z697">
        <v>2475</v>
      </c>
      <c r="AA697">
        <v>330</v>
      </c>
      <c r="AB697">
        <v>54</v>
      </c>
      <c r="AC697">
        <v>260</v>
      </c>
      <c r="AD697">
        <v>3155</v>
      </c>
      <c r="AE697">
        <v>320</v>
      </c>
    </row>
    <row r="698" spans="1:31" x14ac:dyDescent="0.25">
      <c r="A698" t="s">
        <v>720</v>
      </c>
      <c r="B698">
        <v>2019</v>
      </c>
      <c r="C698">
        <v>12</v>
      </c>
      <c r="D698">
        <v>160</v>
      </c>
      <c r="E698">
        <v>170</v>
      </c>
      <c r="F698">
        <v>308</v>
      </c>
      <c r="G698">
        <v>200</v>
      </c>
      <c r="H698">
        <v>185</v>
      </c>
      <c r="I698">
        <v>300</v>
      </c>
      <c r="J698">
        <v>13</v>
      </c>
      <c r="K698">
        <v>350</v>
      </c>
      <c r="L698">
        <v>42</v>
      </c>
      <c r="M698">
        <v>200</v>
      </c>
      <c r="N698">
        <v>710</v>
      </c>
      <c r="O698">
        <v>210</v>
      </c>
      <c r="P698">
        <v>66</v>
      </c>
      <c r="Q698">
        <v>170</v>
      </c>
      <c r="R698">
        <v>227</v>
      </c>
      <c r="S698">
        <v>225</v>
      </c>
      <c r="T698">
        <v>1608</v>
      </c>
      <c r="U698">
        <v>270</v>
      </c>
      <c r="V698">
        <v>535</v>
      </c>
      <c r="W698">
        <v>355</v>
      </c>
      <c r="X698">
        <v>153</v>
      </c>
      <c r="Y698">
        <v>255</v>
      </c>
      <c r="Z698">
        <v>2590</v>
      </c>
      <c r="AA698">
        <v>280</v>
      </c>
      <c r="AB698">
        <v>5</v>
      </c>
      <c r="AC698">
        <v>170</v>
      </c>
      <c r="AD698">
        <v>3300</v>
      </c>
      <c r="AE698">
        <v>265</v>
      </c>
    </row>
    <row r="699" spans="1:31" x14ac:dyDescent="0.25">
      <c r="A699" t="s">
        <v>724</v>
      </c>
      <c r="B699">
        <v>2019</v>
      </c>
      <c r="C699">
        <v>12</v>
      </c>
      <c r="D699">
        <v>1332</v>
      </c>
      <c r="E699">
        <v>299</v>
      </c>
      <c r="F699">
        <v>2543</v>
      </c>
      <c r="G699">
        <v>300</v>
      </c>
      <c r="H699">
        <v>922</v>
      </c>
      <c r="I699">
        <v>360</v>
      </c>
      <c r="J699">
        <v>37</v>
      </c>
      <c r="K699">
        <v>430</v>
      </c>
      <c r="L699">
        <v>306</v>
      </c>
      <c r="M699">
        <v>260</v>
      </c>
      <c r="N699">
        <v>5140</v>
      </c>
      <c r="O699">
        <v>300</v>
      </c>
      <c r="P699">
        <v>217</v>
      </c>
      <c r="Q699">
        <v>175</v>
      </c>
      <c r="R699">
        <v>916</v>
      </c>
      <c r="S699">
        <v>310</v>
      </c>
      <c r="T699">
        <v>5977</v>
      </c>
      <c r="U699">
        <v>345</v>
      </c>
      <c r="V699">
        <v>1457</v>
      </c>
      <c r="W699">
        <v>410</v>
      </c>
      <c r="X699">
        <v>728</v>
      </c>
      <c r="Y699">
        <v>300</v>
      </c>
      <c r="Z699">
        <v>9295</v>
      </c>
      <c r="AA699">
        <v>350</v>
      </c>
      <c r="AB699">
        <v>294</v>
      </c>
      <c r="AC699">
        <v>200</v>
      </c>
      <c r="AD699">
        <v>14730</v>
      </c>
      <c r="AE699">
        <v>329</v>
      </c>
    </row>
    <row r="700" spans="1:31" x14ac:dyDescent="0.25">
      <c r="A700" t="s">
        <v>721</v>
      </c>
      <c r="B700">
        <v>2019</v>
      </c>
      <c r="C700">
        <v>12</v>
      </c>
      <c r="D700">
        <v>105</v>
      </c>
      <c r="E700">
        <v>250</v>
      </c>
      <c r="F700">
        <v>495</v>
      </c>
      <c r="G700">
        <v>300</v>
      </c>
      <c r="H700">
        <v>179</v>
      </c>
      <c r="I700">
        <v>358</v>
      </c>
      <c r="J700">
        <v>7</v>
      </c>
      <c r="K700">
        <v>450</v>
      </c>
      <c r="L700">
        <v>65</v>
      </c>
      <c r="M700">
        <v>265</v>
      </c>
      <c r="N700">
        <v>850</v>
      </c>
      <c r="O700">
        <v>300</v>
      </c>
      <c r="P700">
        <v>32</v>
      </c>
      <c r="Q700">
        <v>192.5</v>
      </c>
      <c r="R700">
        <v>130</v>
      </c>
      <c r="S700">
        <v>310</v>
      </c>
      <c r="T700">
        <v>1193</v>
      </c>
      <c r="U700">
        <v>370</v>
      </c>
      <c r="V700">
        <v>295</v>
      </c>
      <c r="W700">
        <v>450</v>
      </c>
      <c r="X700">
        <v>150</v>
      </c>
      <c r="Y700">
        <v>305</v>
      </c>
      <c r="Z700">
        <v>1800</v>
      </c>
      <c r="AA700">
        <v>375</v>
      </c>
      <c r="AB700">
        <v>70</v>
      </c>
      <c r="AC700">
        <v>160</v>
      </c>
      <c r="AD700">
        <v>2720</v>
      </c>
      <c r="AE700">
        <v>350</v>
      </c>
    </row>
    <row r="701" spans="1:31" x14ac:dyDescent="0.25">
      <c r="A701" t="s">
        <v>722</v>
      </c>
      <c r="B701">
        <v>2019</v>
      </c>
      <c r="C701">
        <v>12</v>
      </c>
      <c r="D701">
        <v>119</v>
      </c>
      <c r="E701">
        <v>240</v>
      </c>
      <c r="F701">
        <v>604</v>
      </c>
      <c r="G701">
        <v>295</v>
      </c>
      <c r="H701">
        <v>165</v>
      </c>
      <c r="I701">
        <v>410</v>
      </c>
      <c r="J701">
        <v>6</v>
      </c>
      <c r="K701">
        <v>500</v>
      </c>
      <c r="L701">
        <v>73</v>
      </c>
      <c r="M701">
        <v>250</v>
      </c>
      <c r="N701">
        <v>965</v>
      </c>
      <c r="O701">
        <v>300</v>
      </c>
      <c r="P701">
        <v>29</v>
      </c>
      <c r="Q701">
        <v>175</v>
      </c>
      <c r="R701">
        <v>202</v>
      </c>
      <c r="S701">
        <v>332.5</v>
      </c>
      <c r="T701">
        <v>784</v>
      </c>
      <c r="U701">
        <v>410</v>
      </c>
      <c r="V701">
        <v>172</v>
      </c>
      <c r="W701">
        <v>495</v>
      </c>
      <c r="X701">
        <v>123</v>
      </c>
      <c r="Y701">
        <v>320</v>
      </c>
      <c r="Z701">
        <v>1310</v>
      </c>
      <c r="AA701">
        <v>400</v>
      </c>
      <c r="AB701">
        <v>44</v>
      </c>
      <c r="AC701">
        <v>177.5</v>
      </c>
      <c r="AD701">
        <v>2320</v>
      </c>
      <c r="AE701">
        <v>350</v>
      </c>
    </row>
    <row r="702" spans="1:31" x14ac:dyDescent="0.25">
      <c r="A702" t="s">
        <v>723</v>
      </c>
      <c r="B702">
        <v>2019</v>
      </c>
      <c r="C702">
        <v>12</v>
      </c>
      <c r="D702">
        <v>17</v>
      </c>
      <c r="E702">
        <v>124</v>
      </c>
      <c r="F702">
        <v>16</v>
      </c>
      <c r="G702">
        <v>210</v>
      </c>
      <c r="H702">
        <v>13</v>
      </c>
      <c r="I702">
        <v>235</v>
      </c>
      <c r="K702">
        <v>350</v>
      </c>
      <c r="M702">
        <v>176.7</v>
      </c>
      <c r="N702">
        <v>50</v>
      </c>
      <c r="O702">
        <v>181.97499999999999</v>
      </c>
      <c r="P702">
        <v>15</v>
      </c>
      <c r="Q702">
        <v>145</v>
      </c>
      <c r="R702">
        <v>39</v>
      </c>
      <c r="S702">
        <v>220</v>
      </c>
      <c r="T702">
        <v>273</v>
      </c>
      <c r="U702">
        <v>250</v>
      </c>
      <c r="V702">
        <v>76</v>
      </c>
      <c r="W702">
        <v>280</v>
      </c>
      <c r="X702">
        <v>19</v>
      </c>
      <c r="Y702">
        <v>215</v>
      </c>
      <c r="Z702">
        <v>420</v>
      </c>
      <c r="AA702">
        <v>250</v>
      </c>
      <c r="AB702">
        <v>0</v>
      </c>
      <c r="AD702">
        <v>475</v>
      </c>
      <c r="AE702">
        <v>240</v>
      </c>
    </row>
    <row r="703" spans="1:31" x14ac:dyDescent="0.25">
      <c r="A703" t="s">
        <v>711</v>
      </c>
      <c r="B703">
        <v>2020</v>
      </c>
      <c r="C703">
        <v>3</v>
      </c>
      <c r="D703">
        <v>9</v>
      </c>
      <c r="E703">
        <v>320</v>
      </c>
      <c r="F703">
        <v>28</v>
      </c>
      <c r="G703">
        <v>290</v>
      </c>
      <c r="H703">
        <v>37</v>
      </c>
      <c r="I703">
        <v>355</v>
      </c>
      <c r="K703">
        <v>445</v>
      </c>
      <c r="L703">
        <v>6</v>
      </c>
      <c r="M703">
        <v>252.5</v>
      </c>
      <c r="N703">
        <v>85</v>
      </c>
      <c r="O703">
        <v>332.5</v>
      </c>
      <c r="P703">
        <v>10</v>
      </c>
      <c r="Q703">
        <v>272.5</v>
      </c>
      <c r="R703">
        <v>33</v>
      </c>
      <c r="S703">
        <v>340</v>
      </c>
      <c r="T703">
        <v>199</v>
      </c>
      <c r="U703">
        <v>370</v>
      </c>
      <c r="V703">
        <v>114</v>
      </c>
      <c r="W703">
        <v>450</v>
      </c>
      <c r="X703">
        <v>15</v>
      </c>
      <c r="Y703">
        <v>395</v>
      </c>
      <c r="Z703">
        <v>370</v>
      </c>
      <c r="AA703">
        <v>395</v>
      </c>
      <c r="AB703">
        <v>0</v>
      </c>
      <c r="AD703">
        <v>455</v>
      </c>
      <c r="AE703">
        <v>380</v>
      </c>
    </row>
    <row r="704" spans="1:31" x14ac:dyDescent="0.25">
      <c r="A704" t="s">
        <v>712</v>
      </c>
      <c r="B704">
        <v>2020</v>
      </c>
      <c r="C704">
        <v>3</v>
      </c>
      <c r="D704">
        <v>8</v>
      </c>
      <c r="E704">
        <v>197.5</v>
      </c>
      <c r="F704">
        <v>47</v>
      </c>
      <c r="G704">
        <v>250</v>
      </c>
      <c r="H704">
        <v>13</v>
      </c>
      <c r="I704">
        <v>280</v>
      </c>
      <c r="K704">
        <v>600</v>
      </c>
      <c r="M704">
        <v>200</v>
      </c>
      <c r="N704">
        <v>70</v>
      </c>
      <c r="O704">
        <v>250</v>
      </c>
      <c r="Q704">
        <v>260</v>
      </c>
      <c r="R704">
        <v>13</v>
      </c>
      <c r="S704">
        <v>260</v>
      </c>
      <c r="T704">
        <v>219</v>
      </c>
      <c r="U704">
        <v>320</v>
      </c>
      <c r="V704">
        <v>88</v>
      </c>
      <c r="W704">
        <v>422.5</v>
      </c>
      <c r="X704">
        <v>24</v>
      </c>
      <c r="Y704">
        <v>285</v>
      </c>
      <c r="Z704">
        <v>345</v>
      </c>
      <c r="AA704">
        <v>330</v>
      </c>
      <c r="AB704">
        <v>0</v>
      </c>
      <c r="AD704">
        <v>415</v>
      </c>
      <c r="AE704">
        <v>320</v>
      </c>
    </row>
    <row r="705" spans="1:31" x14ac:dyDescent="0.25">
      <c r="A705" t="s">
        <v>713</v>
      </c>
      <c r="B705">
        <v>2020</v>
      </c>
      <c r="C705">
        <v>3</v>
      </c>
      <c r="D705">
        <v>1513</v>
      </c>
      <c r="E705">
        <v>329</v>
      </c>
      <c r="F705">
        <v>1215</v>
      </c>
      <c r="G705">
        <v>360</v>
      </c>
      <c r="H705">
        <v>364</v>
      </c>
      <c r="I705">
        <v>457.5</v>
      </c>
      <c r="J705">
        <v>21</v>
      </c>
      <c r="K705">
        <v>640</v>
      </c>
      <c r="L705">
        <v>83</v>
      </c>
      <c r="M705">
        <v>300</v>
      </c>
      <c r="N705">
        <v>3195</v>
      </c>
      <c r="O705">
        <v>349</v>
      </c>
      <c r="P705">
        <v>77</v>
      </c>
      <c r="Q705">
        <v>180</v>
      </c>
      <c r="R705">
        <v>236</v>
      </c>
      <c r="S705">
        <v>400</v>
      </c>
      <c r="T705">
        <v>751</v>
      </c>
      <c r="U705">
        <v>465</v>
      </c>
      <c r="V705">
        <v>188</v>
      </c>
      <c r="W705">
        <v>615</v>
      </c>
      <c r="X705">
        <v>138</v>
      </c>
      <c r="Y705">
        <v>300</v>
      </c>
      <c r="Z705">
        <v>1390</v>
      </c>
      <c r="AA705">
        <v>445</v>
      </c>
      <c r="AB705">
        <v>159</v>
      </c>
      <c r="AC705">
        <v>230</v>
      </c>
      <c r="AD705">
        <v>4745</v>
      </c>
      <c r="AE705">
        <v>365</v>
      </c>
    </row>
    <row r="706" spans="1:31" x14ac:dyDescent="0.25">
      <c r="A706" t="s">
        <v>714</v>
      </c>
      <c r="B706">
        <v>2020</v>
      </c>
      <c r="C706">
        <v>3</v>
      </c>
      <c r="D706">
        <v>31</v>
      </c>
      <c r="E706">
        <v>200</v>
      </c>
      <c r="F706">
        <v>56</v>
      </c>
      <c r="G706">
        <v>230</v>
      </c>
      <c r="H706">
        <v>23</v>
      </c>
      <c r="I706">
        <v>350</v>
      </c>
      <c r="K706">
        <v>460</v>
      </c>
      <c r="L706">
        <v>10</v>
      </c>
      <c r="M706">
        <v>220</v>
      </c>
      <c r="N706">
        <v>120</v>
      </c>
      <c r="O706">
        <v>230</v>
      </c>
      <c r="Q706">
        <v>175</v>
      </c>
      <c r="R706">
        <v>43</v>
      </c>
      <c r="S706">
        <v>202</v>
      </c>
      <c r="T706">
        <v>209</v>
      </c>
      <c r="U706">
        <v>265</v>
      </c>
      <c r="V706">
        <v>60</v>
      </c>
      <c r="W706">
        <v>355</v>
      </c>
      <c r="X706">
        <v>29</v>
      </c>
      <c r="Y706">
        <v>240</v>
      </c>
      <c r="Z706">
        <v>345</v>
      </c>
      <c r="AA706">
        <v>270</v>
      </c>
      <c r="AC706">
        <v>155</v>
      </c>
      <c r="AD706">
        <v>470</v>
      </c>
      <c r="AE706">
        <v>260</v>
      </c>
    </row>
    <row r="707" spans="1:31" x14ac:dyDescent="0.25">
      <c r="A707" t="s">
        <v>715</v>
      </c>
      <c r="B707">
        <v>2020</v>
      </c>
      <c r="C707">
        <v>3</v>
      </c>
      <c r="D707">
        <v>32</v>
      </c>
      <c r="E707">
        <v>172.5</v>
      </c>
      <c r="F707">
        <v>28</v>
      </c>
      <c r="G707">
        <v>195</v>
      </c>
      <c r="I707">
        <v>255</v>
      </c>
      <c r="J707">
        <v>0</v>
      </c>
      <c r="M707">
        <v>112.5</v>
      </c>
      <c r="N707">
        <v>65</v>
      </c>
      <c r="O707">
        <v>180</v>
      </c>
      <c r="Q707">
        <v>205</v>
      </c>
      <c r="R707">
        <v>22</v>
      </c>
      <c r="S707">
        <v>230</v>
      </c>
      <c r="T707">
        <v>139</v>
      </c>
      <c r="U707">
        <v>250</v>
      </c>
      <c r="V707">
        <v>50</v>
      </c>
      <c r="W707">
        <v>360</v>
      </c>
      <c r="Y707">
        <v>190</v>
      </c>
      <c r="Z707">
        <v>215</v>
      </c>
      <c r="AA707">
        <v>250</v>
      </c>
      <c r="AB707">
        <v>0</v>
      </c>
      <c r="AD707">
        <v>285</v>
      </c>
      <c r="AE707">
        <v>240</v>
      </c>
    </row>
    <row r="708" spans="1:31" x14ac:dyDescent="0.25">
      <c r="A708" t="s">
        <v>716</v>
      </c>
      <c r="B708">
        <v>2020</v>
      </c>
      <c r="C708">
        <v>3</v>
      </c>
      <c r="D708">
        <v>11</v>
      </c>
      <c r="E708">
        <v>200</v>
      </c>
      <c r="F708">
        <v>34</v>
      </c>
      <c r="G708">
        <v>247.5</v>
      </c>
      <c r="H708">
        <v>17</v>
      </c>
      <c r="I708">
        <v>330</v>
      </c>
      <c r="K708">
        <v>280</v>
      </c>
      <c r="M708">
        <v>175</v>
      </c>
      <c r="N708">
        <v>70</v>
      </c>
      <c r="O708">
        <v>250</v>
      </c>
      <c r="Q708">
        <v>220</v>
      </c>
      <c r="R708">
        <v>26</v>
      </c>
      <c r="S708">
        <v>252.5</v>
      </c>
      <c r="T708">
        <v>154</v>
      </c>
      <c r="U708">
        <v>310</v>
      </c>
      <c r="V708">
        <v>60</v>
      </c>
      <c r="W708">
        <v>370</v>
      </c>
      <c r="X708">
        <v>11</v>
      </c>
      <c r="Y708">
        <v>290</v>
      </c>
      <c r="Z708">
        <v>255</v>
      </c>
      <c r="AA708">
        <v>320</v>
      </c>
      <c r="AB708">
        <v>0</v>
      </c>
      <c r="AD708">
        <v>325</v>
      </c>
      <c r="AE708">
        <v>310</v>
      </c>
    </row>
    <row r="709" spans="1:31" x14ac:dyDescent="0.25">
      <c r="A709" t="s">
        <v>717</v>
      </c>
      <c r="B709">
        <v>2020</v>
      </c>
      <c r="C709">
        <v>3</v>
      </c>
      <c r="D709">
        <v>31</v>
      </c>
      <c r="E709">
        <v>160</v>
      </c>
      <c r="F709">
        <v>136</v>
      </c>
      <c r="G709">
        <v>180</v>
      </c>
      <c r="H709">
        <v>24</v>
      </c>
      <c r="I709">
        <v>271</v>
      </c>
      <c r="K709">
        <v>550</v>
      </c>
      <c r="M709">
        <v>185</v>
      </c>
      <c r="N709">
        <v>195</v>
      </c>
      <c r="O709">
        <v>185</v>
      </c>
      <c r="P709">
        <v>7</v>
      </c>
      <c r="Q709">
        <v>160</v>
      </c>
      <c r="R709">
        <v>77</v>
      </c>
      <c r="S709">
        <v>250</v>
      </c>
      <c r="T709">
        <v>235</v>
      </c>
      <c r="U709">
        <v>250</v>
      </c>
      <c r="V709">
        <v>61</v>
      </c>
      <c r="W709">
        <v>300</v>
      </c>
      <c r="X709">
        <v>12</v>
      </c>
      <c r="Y709">
        <v>265</v>
      </c>
      <c r="Z709">
        <v>390</v>
      </c>
      <c r="AA709">
        <v>260</v>
      </c>
      <c r="AC709">
        <v>200</v>
      </c>
      <c r="AD709">
        <v>590</v>
      </c>
      <c r="AE709">
        <v>250</v>
      </c>
    </row>
    <row r="710" spans="1:31" x14ac:dyDescent="0.25">
      <c r="A710" t="s">
        <v>628</v>
      </c>
      <c r="B710">
        <v>2020</v>
      </c>
      <c r="C710">
        <v>3</v>
      </c>
      <c r="D710">
        <v>1861</v>
      </c>
      <c r="E710">
        <v>310</v>
      </c>
      <c r="F710">
        <v>2925</v>
      </c>
      <c r="G710">
        <v>320</v>
      </c>
      <c r="H710">
        <v>956</v>
      </c>
      <c r="I710">
        <v>395</v>
      </c>
      <c r="J710">
        <v>35</v>
      </c>
      <c r="K710">
        <v>530</v>
      </c>
      <c r="L710">
        <v>258</v>
      </c>
      <c r="M710">
        <v>270</v>
      </c>
      <c r="N710">
        <v>6035</v>
      </c>
      <c r="O710">
        <v>325</v>
      </c>
      <c r="P710">
        <v>205</v>
      </c>
      <c r="Q710">
        <v>180</v>
      </c>
      <c r="R710">
        <v>764</v>
      </c>
      <c r="S710">
        <v>350</v>
      </c>
      <c r="T710">
        <v>4865</v>
      </c>
      <c r="U710">
        <v>380</v>
      </c>
      <c r="V710">
        <v>1044</v>
      </c>
      <c r="W710">
        <v>450</v>
      </c>
      <c r="X710">
        <v>571</v>
      </c>
      <c r="Y710">
        <v>300</v>
      </c>
      <c r="Z710">
        <v>7450</v>
      </c>
      <c r="AA710">
        <v>380</v>
      </c>
      <c r="AB710">
        <v>414</v>
      </c>
      <c r="AC710">
        <v>185</v>
      </c>
      <c r="AD710">
        <v>13900</v>
      </c>
      <c r="AE710">
        <v>350</v>
      </c>
    </row>
    <row r="711" spans="1:31" x14ac:dyDescent="0.25">
      <c r="A711" t="s">
        <v>718</v>
      </c>
      <c r="B711">
        <v>2020</v>
      </c>
      <c r="C711">
        <v>3</v>
      </c>
      <c r="D711">
        <v>35</v>
      </c>
      <c r="E711">
        <v>170</v>
      </c>
      <c r="F711">
        <v>51</v>
      </c>
      <c r="G711">
        <v>195</v>
      </c>
      <c r="H711">
        <v>21</v>
      </c>
      <c r="I711">
        <v>250</v>
      </c>
      <c r="J711">
        <v>0</v>
      </c>
      <c r="L711">
        <v>8</v>
      </c>
      <c r="M711">
        <v>157.5</v>
      </c>
      <c r="N711">
        <v>115</v>
      </c>
      <c r="O711">
        <v>190</v>
      </c>
      <c r="P711">
        <v>26</v>
      </c>
      <c r="Q711">
        <v>170</v>
      </c>
      <c r="R711">
        <v>39</v>
      </c>
      <c r="S711">
        <v>230</v>
      </c>
      <c r="T711">
        <v>271</v>
      </c>
      <c r="U711">
        <v>255</v>
      </c>
      <c r="V711">
        <v>77</v>
      </c>
      <c r="W711">
        <v>300</v>
      </c>
      <c r="X711">
        <v>43</v>
      </c>
      <c r="Y711">
        <v>265</v>
      </c>
      <c r="Z711">
        <v>455</v>
      </c>
      <c r="AA711">
        <v>260</v>
      </c>
      <c r="AC711">
        <v>160</v>
      </c>
      <c r="AD711">
        <v>575</v>
      </c>
      <c r="AE711">
        <v>250</v>
      </c>
    </row>
    <row r="712" spans="1:31" x14ac:dyDescent="0.25">
      <c r="A712" t="s">
        <v>719</v>
      </c>
      <c r="B712">
        <v>2020</v>
      </c>
      <c r="C712">
        <v>3</v>
      </c>
      <c r="D712">
        <v>82</v>
      </c>
      <c r="E712">
        <v>220</v>
      </c>
      <c r="F712">
        <v>438</v>
      </c>
      <c r="G712">
        <v>290</v>
      </c>
      <c r="H712">
        <v>182</v>
      </c>
      <c r="I712">
        <v>340</v>
      </c>
      <c r="K712">
        <v>285</v>
      </c>
      <c r="L712">
        <v>57</v>
      </c>
      <c r="M712">
        <v>260</v>
      </c>
      <c r="N712">
        <v>765</v>
      </c>
      <c r="O712">
        <v>295</v>
      </c>
      <c r="P712">
        <v>45</v>
      </c>
      <c r="Q712">
        <v>185</v>
      </c>
      <c r="R712">
        <v>164</v>
      </c>
      <c r="S712">
        <v>295</v>
      </c>
      <c r="T712">
        <v>1900</v>
      </c>
      <c r="U712">
        <v>330</v>
      </c>
      <c r="V712">
        <v>360</v>
      </c>
      <c r="W712">
        <v>400</v>
      </c>
      <c r="X712">
        <v>171</v>
      </c>
      <c r="Y712">
        <v>300</v>
      </c>
      <c r="Z712">
        <v>2640</v>
      </c>
      <c r="AA712">
        <v>335</v>
      </c>
      <c r="AB712">
        <v>75</v>
      </c>
      <c r="AC712">
        <v>180</v>
      </c>
      <c r="AD712">
        <v>3480</v>
      </c>
      <c r="AE712">
        <v>320</v>
      </c>
    </row>
    <row r="713" spans="1:31" x14ac:dyDescent="0.25">
      <c r="A713" t="s">
        <v>720</v>
      </c>
      <c r="B713">
        <v>2020</v>
      </c>
      <c r="C713">
        <v>3</v>
      </c>
      <c r="D713">
        <v>169</v>
      </c>
      <c r="E713">
        <v>180</v>
      </c>
      <c r="F713">
        <v>407</v>
      </c>
      <c r="G713">
        <v>210</v>
      </c>
      <c r="H713">
        <v>154</v>
      </c>
      <c r="I713">
        <v>312.5</v>
      </c>
      <c r="J713">
        <v>13</v>
      </c>
      <c r="K713">
        <v>400</v>
      </c>
      <c r="L713">
        <v>35</v>
      </c>
      <c r="M713">
        <v>190</v>
      </c>
      <c r="N713">
        <v>780</v>
      </c>
      <c r="O713">
        <v>218.5</v>
      </c>
      <c r="P713">
        <v>72</v>
      </c>
      <c r="Q713">
        <v>177.5</v>
      </c>
      <c r="R713">
        <v>287</v>
      </c>
      <c r="S713">
        <v>245</v>
      </c>
      <c r="T713">
        <v>1686</v>
      </c>
      <c r="U713">
        <v>280</v>
      </c>
      <c r="V713">
        <v>585</v>
      </c>
      <c r="W713">
        <v>365</v>
      </c>
      <c r="X713">
        <v>167</v>
      </c>
      <c r="Y713">
        <v>260</v>
      </c>
      <c r="Z713">
        <v>2795</v>
      </c>
      <c r="AA713">
        <v>280</v>
      </c>
      <c r="AB713">
        <v>11</v>
      </c>
      <c r="AC713">
        <v>165</v>
      </c>
      <c r="AD713">
        <v>3585</v>
      </c>
      <c r="AE713">
        <v>270</v>
      </c>
    </row>
    <row r="714" spans="1:31" x14ac:dyDescent="0.25">
      <c r="A714" t="s">
        <v>724</v>
      </c>
      <c r="B714">
        <v>2020</v>
      </c>
      <c r="C714">
        <v>3</v>
      </c>
      <c r="D714">
        <v>2030</v>
      </c>
      <c r="E714">
        <v>300</v>
      </c>
      <c r="F714">
        <v>3332</v>
      </c>
      <c r="G714">
        <v>305</v>
      </c>
      <c r="H714">
        <v>1110</v>
      </c>
      <c r="I714">
        <v>380</v>
      </c>
      <c r="J714">
        <v>48</v>
      </c>
      <c r="K714">
        <v>460</v>
      </c>
      <c r="L714">
        <v>293</v>
      </c>
      <c r="M714">
        <v>265</v>
      </c>
      <c r="N714">
        <v>6815</v>
      </c>
      <c r="O714">
        <v>315</v>
      </c>
      <c r="P714">
        <v>277</v>
      </c>
      <c r="Q714">
        <v>180</v>
      </c>
      <c r="R714">
        <v>1051</v>
      </c>
      <c r="S714">
        <v>320</v>
      </c>
      <c r="T714">
        <v>6551</v>
      </c>
      <c r="U714">
        <v>350</v>
      </c>
      <c r="V714">
        <v>1629</v>
      </c>
      <c r="W714">
        <v>420</v>
      </c>
      <c r="X714">
        <v>738</v>
      </c>
      <c r="Y714">
        <v>295</v>
      </c>
      <c r="Z714">
        <v>10245</v>
      </c>
      <c r="AA714">
        <v>350</v>
      </c>
      <c r="AB714">
        <v>425</v>
      </c>
      <c r="AC714">
        <v>185</v>
      </c>
      <c r="AD714">
        <v>17485</v>
      </c>
      <c r="AE714">
        <v>330</v>
      </c>
    </row>
    <row r="715" spans="1:31" x14ac:dyDescent="0.25">
      <c r="A715" t="s">
        <v>721</v>
      </c>
      <c r="B715">
        <v>2020</v>
      </c>
      <c r="C715">
        <v>3</v>
      </c>
      <c r="D715">
        <v>131</v>
      </c>
      <c r="E715">
        <v>255</v>
      </c>
      <c r="F715">
        <v>585</v>
      </c>
      <c r="G715">
        <v>300</v>
      </c>
      <c r="H715">
        <v>203</v>
      </c>
      <c r="I715">
        <v>355</v>
      </c>
      <c r="K715">
        <v>400</v>
      </c>
      <c r="L715">
        <v>44</v>
      </c>
      <c r="M715">
        <v>310</v>
      </c>
      <c r="N715">
        <v>965</v>
      </c>
      <c r="O715">
        <v>310</v>
      </c>
      <c r="P715">
        <v>51</v>
      </c>
      <c r="Q715">
        <v>175</v>
      </c>
      <c r="R715">
        <v>139</v>
      </c>
      <c r="S715">
        <v>340</v>
      </c>
      <c r="T715">
        <v>1302</v>
      </c>
      <c r="U715">
        <v>380</v>
      </c>
      <c r="V715">
        <v>321</v>
      </c>
      <c r="W715">
        <v>450</v>
      </c>
      <c r="X715">
        <v>145</v>
      </c>
      <c r="Y715">
        <v>330</v>
      </c>
      <c r="Z715">
        <v>1960</v>
      </c>
      <c r="AA715">
        <v>385</v>
      </c>
      <c r="AB715">
        <v>94</v>
      </c>
      <c r="AC715">
        <v>170</v>
      </c>
      <c r="AD715">
        <v>3020</v>
      </c>
      <c r="AE715">
        <v>350</v>
      </c>
    </row>
    <row r="716" spans="1:31" x14ac:dyDescent="0.25">
      <c r="A716" t="s">
        <v>722</v>
      </c>
      <c r="B716">
        <v>2020</v>
      </c>
      <c r="C716">
        <v>3</v>
      </c>
      <c r="D716">
        <v>135</v>
      </c>
      <c r="E716">
        <v>250</v>
      </c>
      <c r="F716">
        <v>687</v>
      </c>
      <c r="G716">
        <v>300</v>
      </c>
      <c r="H716">
        <v>207</v>
      </c>
      <c r="I716">
        <v>410</v>
      </c>
      <c r="J716">
        <v>7</v>
      </c>
      <c r="K716">
        <v>530</v>
      </c>
      <c r="L716">
        <v>74</v>
      </c>
      <c r="M716">
        <v>260</v>
      </c>
      <c r="N716">
        <v>1110</v>
      </c>
      <c r="O716">
        <v>300</v>
      </c>
      <c r="P716">
        <v>32</v>
      </c>
      <c r="Q716">
        <v>185</v>
      </c>
      <c r="R716">
        <v>225</v>
      </c>
      <c r="S716">
        <v>340</v>
      </c>
      <c r="T716">
        <v>912</v>
      </c>
      <c r="U716">
        <v>415</v>
      </c>
      <c r="V716">
        <v>175</v>
      </c>
      <c r="W716">
        <v>480</v>
      </c>
      <c r="X716">
        <v>117</v>
      </c>
      <c r="Y716">
        <v>295</v>
      </c>
      <c r="Z716">
        <v>1460</v>
      </c>
      <c r="AA716">
        <v>400</v>
      </c>
      <c r="AB716">
        <v>86</v>
      </c>
      <c r="AC716">
        <v>180</v>
      </c>
      <c r="AD716">
        <v>2655</v>
      </c>
      <c r="AE716">
        <v>360</v>
      </c>
    </row>
    <row r="717" spans="1:31" x14ac:dyDescent="0.25">
      <c r="A717" t="s">
        <v>723</v>
      </c>
      <c r="B717">
        <v>2020</v>
      </c>
      <c r="C717">
        <v>3</v>
      </c>
      <c r="D717">
        <v>12</v>
      </c>
      <c r="E717">
        <v>145</v>
      </c>
      <c r="F717">
        <v>27</v>
      </c>
      <c r="G717">
        <v>180.2</v>
      </c>
      <c r="H717">
        <v>15</v>
      </c>
      <c r="I717">
        <v>235</v>
      </c>
      <c r="K717">
        <v>320</v>
      </c>
      <c r="M717">
        <v>170</v>
      </c>
      <c r="N717">
        <v>55</v>
      </c>
      <c r="O717">
        <v>190</v>
      </c>
      <c r="P717">
        <v>20</v>
      </c>
      <c r="Q717">
        <v>137.5</v>
      </c>
      <c r="R717">
        <v>34</v>
      </c>
      <c r="S717">
        <v>210</v>
      </c>
      <c r="T717">
        <v>260</v>
      </c>
      <c r="U717">
        <v>250</v>
      </c>
      <c r="V717">
        <v>75</v>
      </c>
      <c r="W717">
        <v>300</v>
      </c>
      <c r="X717">
        <v>29</v>
      </c>
      <c r="Y717">
        <v>200</v>
      </c>
      <c r="Z717">
        <v>420</v>
      </c>
      <c r="AA717">
        <v>250</v>
      </c>
      <c r="AB717">
        <v>0</v>
      </c>
      <c r="AD717">
        <v>475</v>
      </c>
      <c r="AE717">
        <v>240</v>
      </c>
    </row>
    <row r="718" spans="1:31" x14ac:dyDescent="0.25">
      <c r="A718" t="s">
        <v>711</v>
      </c>
      <c r="B718">
        <v>2020</v>
      </c>
      <c r="C718">
        <v>6</v>
      </c>
      <c r="D718">
        <v>10</v>
      </c>
      <c r="E718">
        <v>330</v>
      </c>
      <c r="F718">
        <v>30</v>
      </c>
      <c r="G718">
        <v>285</v>
      </c>
      <c r="H718">
        <v>30</v>
      </c>
      <c r="I718">
        <v>330</v>
      </c>
      <c r="K718">
        <v>400</v>
      </c>
      <c r="M718">
        <v>285</v>
      </c>
      <c r="N718">
        <v>75</v>
      </c>
      <c r="O718">
        <v>320</v>
      </c>
      <c r="Q718">
        <v>227.5</v>
      </c>
      <c r="R718">
        <v>25</v>
      </c>
      <c r="S718">
        <v>340</v>
      </c>
      <c r="T718">
        <v>197</v>
      </c>
      <c r="U718">
        <v>365</v>
      </c>
      <c r="V718">
        <v>95</v>
      </c>
      <c r="W718">
        <v>450</v>
      </c>
      <c r="X718">
        <v>23</v>
      </c>
      <c r="Y718">
        <v>330</v>
      </c>
      <c r="Z718">
        <v>340</v>
      </c>
      <c r="AA718">
        <v>380</v>
      </c>
      <c r="AB718">
        <v>0</v>
      </c>
      <c r="AD718">
        <v>415</v>
      </c>
      <c r="AE718">
        <v>370</v>
      </c>
    </row>
    <row r="719" spans="1:31" x14ac:dyDescent="0.25">
      <c r="A719" t="s">
        <v>712</v>
      </c>
      <c r="B719">
        <v>2020</v>
      </c>
      <c r="C719">
        <v>6</v>
      </c>
      <c r="D719">
        <v>9</v>
      </c>
      <c r="E719">
        <v>240</v>
      </c>
      <c r="F719">
        <v>36</v>
      </c>
      <c r="G719">
        <v>245</v>
      </c>
      <c r="H719">
        <v>22</v>
      </c>
      <c r="I719">
        <v>312.5</v>
      </c>
      <c r="K719">
        <v>360</v>
      </c>
      <c r="M719">
        <v>250</v>
      </c>
      <c r="N719">
        <v>70</v>
      </c>
      <c r="O719">
        <v>260</v>
      </c>
      <c r="Q719">
        <v>212.5</v>
      </c>
      <c r="R719">
        <v>22</v>
      </c>
      <c r="S719">
        <v>257.5</v>
      </c>
      <c r="T719">
        <v>179</v>
      </c>
      <c r="U719">
        <v>320</v>
      </c>
      <c r="V719">
        <v>78</v>
      </c>
      <c r="W719">
        <v>390</v>
      </c>
      <c r="X719">
        <v>27</v>
      </c>
      <c r="Y719">
        <v>320</v>
      </c>
      <c r="Z719">
        <v>310</v>
      </c>
      <c r="AA719">
        <v>330</v>
      </c>
      <c r="AB719">
        <v>0</v>
      </c>
      <c r="AD719">
        <v>375</v>
      </c>
      <c r="AE719">
        <v>320</v>
      </c>
    </row>
    <row r="720" spans="1:31" x14ac:dyDescent="0.25">
      <c r="A720" t="s">
        <v>713</v>
      </c>
      <c r="B720">
        <v>2020</v>
      </c>
      <c r="C720">
        <v>6</v>
      </c>
      <c r="D720">
        <v>520</v>
      </c>
      <c r="E720">
        <v>320</v>
      </c>
      <c r="F720">
        <v>739</v>
      </c>
      <c r="G720">
        <v>345</v>
      </c>
      <c r="H720">
        <v>179</v>
      </c>
      <c r="I720">
        <v>450</v>
      </c>
      <c r="J720">
        <v>9</v>
      </c>
      <c r="K720">
        <v>530</v>
      </c>
      <c r="L720">
        <v>96</v>
      </c>
      <c r="M720">
        <v>300</v>
      </c>
      <c r="N720">
        <v>1545</v>
      </c>
      <c r="O720">
        <v>340</v>
      </c>
      <c r="P720">
        <v>48</v>
      </c>
      <c r="Q720">
        <v>175</v>
      </c>
      <c r="R720">
        <v>169</v>
      </c>
      <c r="S720">
        <v>400</v>
      </c>
      <c r="T720">
        <v>533</v>
      </c>
      <c r="U720">
        <v>445</v>
      </c>
      <c r="V720">
        <v>145</v>
      </c>
      <c r="W720">
        <v>600</v>
      </c>
      <c r="X720">
        <v>99</v>
      </c>
      <c r="Y720">
        <v>365</v>
      </c>
      <c r="Z720">
        <v>995</v>
      </c>
      <c r="AA720">
        <v>430</v>
      </c>
      <c r="AB720">
        <v>68</v>
      </c>
      <c r="AC720">
        <v>200</v>
      </c>
      <c r="AD720">
        <v>2605</v>
      </c>
      <c r="AE720">
        <v>370</v>
      </c>
    </row>
    <row r="721" spans="1:31" x14ac:dyDescent="0.25">
      <c r="A721" t="s">
        <v>714</v>
      </c>
      <c r="B721">
        <v>2020</v>
      </c>
      <c r="C721">
        <v>6</v>
      </c>
      <c r="D721">
        <v>25</v>
      </c>
      <c r="E721">
        <v>165</v>
      </c>
      <c r="F721">
        <v>53</v>
      </c>
      <c r="G721">
        <v>210</v>
      </c>
      <c r="H721">
        <v>22</v>
      </c>
      <c r="I721">
        <v>330</v>
      </c>
      <c r="J721">
        <v>8</v>
      </c>
      <c r="K721">
        <v>380</v>
      </c>
      <c r="L721">
        <v>13</v>
      </c>
      <c r="M721">
        <v>205</v>
      </c>
      <c r="N721">
        <v>120</v>
      </c>
      <c r="O721">
        <v>225</v>
      </c>
      <c r="Q721">
        <v>175</v>
      </c>
      <c r="R721">
        <v>36</v>
      </c>
      <c r="S721">
        <v>230</v>
      </c>
      <c r="T721">
        <v>212</v>
      </c>
      <c r="U721">
        <v>250</v>
      </c>
      <c r="V721">
        <v>55</v>
      </c>
      <c r="W721">
        <v>360</v>
      </c>
      <c r="X721">
        <v>35</v>
      </c>
      <c r="Y721">
        <v>270</v>
      </c>
      <c r="Z721">
        <v>340</v>
      </c>
      <c r="AA721">
        <v>260</v>
      </c>
      <c r="AC721">
        <v>175</v>
      </c>
      <c r="AD721">
        <v>465</v>
      </c>
      <c r="AE721">
        <v>250</v>
      </c>
    </row>
    <row r="722" spans="1:31" x14ac:dyDescent="0.25">
      <c r="A722" t="s">
        <v>715</v>
      </c>
      <c r="B722">
        <v>2020</v>
      </c>
      <c r="C722">
        <v>6</v>
      </c>
      <c r="D722">
        <v>28</v>
      </c>
      <c r="E722">
        <v>167.5</v>
      </c>
      <c r="F722">
        <v>35</v>
      </c>
      <c r="G722">
        <v>200</v>
      </c>
      <c r="H722">
        <v>20</v>
      </c>
      <c r="I722">
        <v>270</v>
      </c>
      <c r="J722">
        <v>0</v>
      </c>
      <c r="M722">
        <v>142.5</v>
      </c>
      <c r="N722">
        <v>85</v>
      </c>
      <c r="O722">
        <v>200</v>
      </c>
      <c r="Q722">
        <v>150</v>
      </c>
      <c r="R722">
        <v>19</v>
      </c>
      <c r="S722">
        <v>230</v>
      </c>
      <c r="T722">
        <v>181</v>
      </c>
      <c r="U722">
        <v>250</v>
      </c>
      <c r="V722">
        <v>42</v>
      </c>
      <c r="W722">
        <v>380</v>
      </c>
      <c r="X722">
        <v>6</v>
      </c>
      <c r="Y722">
        <v>195</v>
      </c>
      <c r="Z722">
        <v>250</v>
      </c>
      <c r="AA722">
        <v>255</v>
      </c>
      <c r="AB722">
        <v>0</v>
      </c>
      <c r="AD722">
        <v>340</v>
      </c>
      <c r="AE722">
        <v>245</v>
      </c>
    </row>
    <row r="723" spans="1:31" x14ac:dyDescent="0.25">
      <c r="A723" t="s">
        <v>716</v>
      </c>
      <c r="B723">
        <v>2020</v>
      </c>
      <c r="C723">
        <v>6</v>
      </c>
      <c r="D723">
        <v>17</v>
      </c>
      <c r="E723">
        <v>200</v>
      </c>
      <c r="F723">
        <v>23</v>
      </c>
      <c r="G723">
        <v>242</v>
      </c>
      <c r="H723">
        <v>20</v>
      </c>
      <c r="I723">
        <v>320</v>
      </c>
      <c r="K723">
        <v>315</v>
      </c>
      <c r="L723">
        <v>6</v>
      </c>
      <c r="M723">
        <v>192.5</v>
      </c>
      <c r="N723">
        <v>70</v>
      </c>
      <c r="O723">
        <v>257.5</v>
      </c>
      <c r="Q723">
        <v>162.5</v>
      </c>
      <c r="R723">
        <v>29</v>
      </c>
      <c r="S723">
        <v>250</v>
      </c>
      <c r="T723">
        <v>120</v>
      </c>
      <c r="U723">
        <v>310</v>
      </c>
      <c r="V723">
        <v>50</v>
      </c>
      <c r="W723">
        <v>367.5</v>
      </c>
      <c r="X723">
        <v>21</v>
      </c>
      <c r="Y723">
        <v>295</v>
      </c>
      <c r="Z723">
        <v>220</v>
      </c>
      <c r="AA723">
        <v>310</v>
      </c>
      <c r="AB723">
        <v>0</v>
      </c>
      <c r="AD723">
        <v>290</v>
      </c>
      <c r="AE723">
        <v>300</v>
      </c>
    </row>
    <row r="724" spans="1:31" x14ac:dyDescent="0.25">
      <c r="A724" t="s">
        <v>717</v>
      </c>
      <c r="B724">
        <v>2020</v>
      </c>
      <c r="C724">
        <v>6</v>
      </c>
      <c r="D724">
        <v>29</v>
      </c>
      <c r="E724">
        <v>140</v>
      </c>
      <c r="F724">
        <v>79</v>
      </c>
      <c r="G724">
        <v>195</v>
      </c>
      <c r="H724">
        <v>12</v>
      </c>
      <c r="I724">
        <v>260</v>
      </c>
      <c r="J724">
        <v>0</v>
      </c>
      <c r="L724">
        <v>8</v>
      </c>
      <c r="M724">
        <v>165</v>
      </c>
      <c r="N724">
        <v>130</v>
      </c>
      <c r="O724">
        <v>185</v>
      </c>
      <c r="Q724">
        <v>135</v>
      </c>
      <c r="R724">
        <v>56</v>
      </c>
      <c r="S724">
        <v>216.5</v>
      </c>
      <c r="T724">
        <v>186</v>
      </c>
      <c r="U724">
        <v>250</v>
      </c>
      <c r="V724">
        <v>49</v>
      </c>
      <c r="W724">
        <v>315</v>
      </c>
      <c r="X724">
        <v>7</v>
      </c>
      <c r="Y724">
        <v>250</v>
      </c>
      <c r="Z724">
        <v>300</v>
      </c>
      <c r="AA724">
        <v>250</v>
      </c>
      <c r="AC724">
        <v>170</v>
      </c>
      <c r="AD724">
        <v>430</v>
      </c>
      <c r="AE724">
        <v>247</v>
      </c>
    </row>
    <row r="725" spans="1:31" x14ac:dyDescent="0.25">
      <c r="A725" t="s">
        <v>628</v>
      </c>
      <c r="B725">
        <v>2020</v>
      </c>
      <c r="C725">
        <v>6</v>
      </c>
      <c r="D725">
        <v>793</v>
      </c>
      <c r="E725">
        <v>280</v>
      </c>
      <c r="F725">
        <v>2000</v>
      </c>
      <c r="G725">
        <v>310</v>
      </c>
      <c r="H725">
        <v>655</v>
      </c>
      <c r="I725">
        <v>380</v>
      </c>
      <c r="J725">
        <v>21</v>
      </c>
      <c r="K725">
        <v>530</v>
      </c>
      <c r="L725">
        <v>308</v>
      </c>
      <c r="M725">
        <v>277.5</v>
      </c>
      <c r="N725">
        <v>3775</v>
      </c>
      <c r="O725">
        <v>315</v>
      </c>
      <c r="P725">
        <v>118</v>
      </c>
      <c r="Q725">
        <v>175</v>
      </c>
      <c r="R725">
        <v>594</v>
      </c>
      <c r="S725">
        <v>335</v>
      </c>
      <c r="T725">
        <v>3890</v>
      </c>
      <c r="U725">
        <v>360</v>
      </c>
      <c r="V725">
        <v>817</v>
      </c>
      <c r="W725">
        <v>450</v>
      </c>
      <c r="X725">
        <v>515</v>
      </c>
      <c r="Y725">
        <v>330</v>
      </c>
      <c r="Z725">
        <v>5935</v>
      </c>
      <c r="AA725">
        <v>365</v>
      </c>
      <c r="AB725">
        <v>191</v>
      </c>
      <c r="AC725">
        <v>180.45</v>
      </c>
      <c r="AD725">
        <v>9900</v>
      </c>
      <c r="AE725">
        <v>345</v>
      </c>
    </row>
    <row r="726" spans="1:31" x14ac:dyDescent="0.25">
      <c r="A726" t="s">
        <v>718</v>
      </c>
      <c r="B726">
        <v>2020</v>
      </c>
      <c r="C726">
        <v>6</v>
      </c>
      <c r="D726">
        <v>36</v>
      </c>
      <c r="E726">
        <v>170</v>
      </c>
      <c r="F726">
        <v>75</v>
      </c>
      <c r="G726">
        <v>200</v>
      </c>
      <c r="H726">
        <v>19</v>
      </c>
      <c r="I726">
        <v>255</v>
      </c>
      <c r="K726">
        <v>280</v>
      </c>
      <c r="L726">
        <v>10</v>
      </c>
      <c r="M726">
        <v>200</v>
      </c>
      <c r="N726">
        <v>140</v>
      </c>
      <c r="O726">
        <v>195</v>
      </c>
      <c r="P726">
        <v>20</v>
      </c>
      <c r="Q726">
        <v>170</v>
      </c>
      <c r="R726">
        <v>75</v>
      </c>
      <c r="S726">
        <v>209.5</v>
      </c>
      <c r="T726">
        <v>237</v>
      </c>
      <c r="U726">
        <v>250</v>
      </c>
      <c r="V726">
        <v>72</v>
      </c>
      <c r="W726">
        <v>292.5</v>
      </c>
      <c r="X726">
        <v>35</v>
      </c>
      <c r="Y726">
        <v>250</v>
      </c>
      <c r="Z726">
        <v>440</v>
      </c>
      <c r="AA726">
        <v>250</v>
      </c>
      <c r="AC726">
        <v>160</v>
      </c>
      <c r="AD726">
        <v>585</v>
      </c>
      <c r="AE726">
        <v>231</v>
      </c>
    </row>
    <row r="727" spans="1:31" x14ac:dyDescent="0.25">
      <c r="A727" t="s">
        <v>719</v>
      </c>
      <c r="B727">
        <v>2020</v>
      </c>
      <c r="C727">
        <v>6</v>
      </c>
      <c r="D727">
        <v>74</v>
      </c>
      <c r="E727">
        <v>215</v>
      </c>
      <c r="F727">
        <v>307</v>
      </c>
      <c r="G727">
        <v>270</v>
      </c>
      <c r="H727">
        <v>191</v>
      </c>
      <c r="I727">
        <v>340</v>
      </c>
      <c r="K727">
        <v>450</v>
      </c>
      <c r="L727">
        <v>45</v>
      </c>
      <c r="M727">
        <v>255</v>
      </c>
      <c r="N727">
        <v>620</v>
      </c>
      <c r="O727">
        <v>290</v>
      </c>
      <c r="P727">
        <v>23</v>
      </c>
      <c r="Q727">
        <v>175</v>
      </c>
      <c r="R727">
        <v>152</v>
      </c>
      <c r="S727">
        <v>285</v>
      </c>
      <c r="T727">
        <v>1716</v>
      </c>
      <c r="U727">
        <v>325</v>
      </c>
      <c r="V727">
        <v>296</v>
      </c>
      <c r="W727">
        <v>395</v>
      </c>
      <c r="X727">
        <v>158</v>
      </c>
      <c r="Y727">
        <v>310</v>
      </c>
      <c r="Z727">
        <v>2345</v>
      </c>
      <c r="AA727">
        <v>330</v>
      </c>
      <c r="AB727">
        <v>43</v>
      </c>
      <c r="AC727">
        <v>185</v>
      </c>
      <c r="AD727">
        <v>3005</v>
      </c>
      <c r="AE727">
        <v>320</v>
      </c>
    </row>
    <row r="728" spans="1:31" x14ac:dyDescent="0.25">
      <c r="A728" t="s">
        <v>720</v>
      </c>
      <c r="B728">
        <v>2020</v>
      </c>
      <c r="C728">
        <v>6</v>
      </c>
      <c r="D728">
        <v>167</v>
      </c>
      <c r="E728">
        <v>170</v>
      </c>
      <c r="F728">
        <v>354</v>
      </c>
      <c r="G728">
        <v>210</v>
      </c>
      <c r="H728">
        <v>155</v>
      </c>
      <c r="I728">
        <v>300</v>
      </c>
      <c r="J728">
        <v>17</v>
      </c>
      <c r="K728">
        <v>370</v>
      </c>
      <c r="L728">
        <v>50</v>
      </c>
      <c r="M728">
        <v>200</v>
      </c>
      <c r="N728">
        <v>745</v>
      </c>
      <c r="O728">
        <v>215</v>
      </c>
      <c r="P728">
        <v>48</v>
      </c>
      <c r="Q728">
        <v>170</v>
      </c>
      <c r="R728">
        <v>298</v>
      </c>
      <c r="S728">
        <v>225</v>
      </c>
      <c r="T728">
        <v>1516</v>
      </c>
      <c r="U728">
        <v>270</v>
      </c>
      <c r="V728">
        <v>503</v>
      </c>
      <c r="W728">
        <v>360</v>
      </c>
      <c r="X728">
        <v>176</v>
      </c>
      <c r="Y728">
        <v>265</v>
      </c>
      <c r="Z728">
        <v>2540</v>
      </c>
      <c r="AA728">
        <v>280</v>
      </c>
      <c r="AB728">
        <v>5</v>
      </c>
      <c r="AC728">
        <v>170</v>
      </c>
      <c r="AD728">
        <v>3290</v>
      </c>
      <c r="AE728">
        <v>265</v>
      </c>
    </row>
    <row r="729" spans="1:31" x14ac:dyDescent="0.25">
      <c r="A729" t="s">
        <v>724</v>
      </c>
      <c r="B729">
        <v>2020</v>
      </c>
      <c r="C729">
        <v>6</v>
      </c>
      <c r="D729">
        <v>960</v>
      </c>
      <c r="E729">
        <v>260</v>
      </c>
      <c r="F729">
        <v>2354</v>
      </c>
      <c r="G729">
        <v>300</v>
      </c>
      <c r="H729">
        <v>810</v>
      </c>
      <c r="I729">
        <v>360</v>
      </c>
      <c r="J729">
        <v>38</v>
      </c>
      <c r="K729">
        <v>422.5</v>
      </c>
      <c r="L729">
        <v>358</v>
      </c>
      <c r="M729">
        <v>270</v>
      </c>
      <c r="N729">
        <v>4520</v>
      </c>
      <c r="O729">
        <v>300</v>
      </c>
      <c r="P729">
        <v>166</v>
      </c>
      <c r="Q729">
        <v>175</v>
      </c>
      <c r="R729">
        <v>892</v>
      </c>
      <c r="S729">
        <v>295</v>
      </c>
      <c r="T729">
        <v>5406</v>
      </c>
      <c r="U729">
        <v>340</v>
      </c>
      <c r="V729">
        <v>1320</v>
      </c>
      <c r="W729">
        <v>410</v>
      </c>
      <c r="X729">
        <v>691</v>
      </c>
      <c r="Y729">
        <v>310</v>
      </c>
      <c r="Z729">
        <v>8475</v>
      </c>
      <c r="AA729">
        <v>345</v>
      </c>
      <c r="AB729">
        <v>196</v>
      </c>
      <c r="AC729">
        <v>180</v>
      </c>
      <c r="AD729">
        <v>13190</v>
      </c>
      <c r="AE729">
        <v>325</v>
      </c>
    </row>
    <row r="730" spans="1:31" x14ac:dyDescent="0.25">
      <c r="A730" t="s">
        <v>721</v>
      </c>
      <c r="B730">
        <v>2020</v>
      </c>
      <c r="C730">
        <v>6</v>
      </c>
      <c r="D730">
        <v>94</v>
      </c>
      <c r="E730">
        <v>250</v>
      </c>
      <c r="F730">
        <v>448</v>
      </c>
      <c r="G730">
        <v>300</v>
      </c>
      <c r="H730">
        <v>161</v>
      </c>
      <c r="I730">
        <v>370</v>
      </c>
      <c r="K730">
        <v>360</v>
      </c>
      <c r="L730">
        <v>71</v>
      </c>
      <c r="M730">
        <v>280</v>
      </c>
      <c r="N730">
        <v>775</v>
      </c>
      <c r="O730">
        <v>305</v>
      </c>
      <c r="P730">
        <v>32</v>
      </c>
      <c r="Q730">
        <v>177.5</v>
      </c>
      <c r="R730">
        <v>125</v>
      </c>
      <c r="S730">
        <v>330</v>
      </c>
      <c r="T730">
        <v>972</v>
      </c>
      <c r="U730">
        <v>375</v>
      </c>
      <c r="V730">
        <v>228</v>
      </c>
      <c r="W730">
        <v>430</v>
      </c>
      <c r="X730">
        <v>139</v>
      </c>
      <c r="Y730">
        <v>315</v>
      </c>
      <c r="Z730">
        <v>1495</v>
      </c>
      <c r="AA730">
        <v>375</v>
      </c>
      <c r="AB730">
        <v>34</v>
      </c>
      <c r="AC730">
        <v>175</v>
      </c>
      <c r="AD730">
        <v>2305</v>
      </c>
      <c r="AE730">
        <v>350</v>
      </c>
    </row>
    <row r="731" spans="1:31" x14ac:dyDescent="0.25">
      <c r="A731" t="s">
        <v>722</v>
      </c>
      <c r="B731">
        <v>2020</v>
      </c>
      <c r="C731">
        <v>6</v>
      </c>
      <c r="D731">
        <v>105</v>
      </c>
      <c r="E731">
        <v>240</v>
      </c>
      <c r="F731">
        <v>506</v>
      </c>
      <c r="G731">
        <v>300</v>
      </c>
      <c r="H731">
        <v>124</v>
      </c>
      <c r="I731">
        <v>400</v>
      </c>
      <c r="J731">
        <v>10</v>
      </c>
      <c r="K731">
        <v>587.5</v>
      </c>
      <c r="L731">
        <v>96</v>
      </c>
      <c r="M731">
        <v>265</v>
      </c>
      <c r="N731">
        <v>840</v>
      </c>
      <c r="O731">
        <v>300</v>
      </c>
      <c r="P731">
        <v>15</v>
      </c>
      <c r="Q731">
        <v>175</v>
      </c>
      <c r="R731">
        <v>148</v>
      </c>
      <c r="S731">
        <v>332.5</v>
      </c>
      <c r="T731">
        <v>669</v>
      </c>
      <c r="U731">
        <v>400</v>
      </c>
      <c r="V731">
        <v>148</v>
      </c>
      <c r="W731">
        <v>500</v>
      </c>
      <c r="X731">
        <v>119</v>
      </c>
      <c r="Y731">
        <v>360</v>
      </c>
      <c r="Z731">
        <v>1100</v>
      </c>
      <c r="AA731">
        <v>400</v>
      </c>
      <c r="AB731">
        <v>46</v>
      </c>
      <c r="AC731">
        <v>175</v>
      </c>
      <c r="AD731">
        <v>1985</v>
      </c>
      <c r="AE731">
        <v>350</v>
      </c>
    </row>
    <row r="732" spans="1:31" x14ac:dyDescent="0.25">
      <c r="A732" t="s">
        <v>723</v>
      </c>
      <c r="B732">
        <v>2020</v>
      </c>
      <c r="C732">
        <v>6</v>
      </c>
      <c r="D732">
        <v>13</v>
      </c>
      <c r="E732">
        <v>124</v>
      </c>
      <c r="F732">
        <v>23</v>
      </c>
      <c r="G732">
        <v>200</v>
      </c>
      <c r="H732">
        <v>10</v>
      </c>
      <c r="I732">
        <v>230</v>
      </c>
      <c r="K732">
        <v>380</v>
      </c>
      <c r="L732">
        <v>6</v>
      </c>
      <c r="M732">
        <v>164.5</v>
      </c>
      <c r="N732">
        <v>55</v>
      </c>
      <c r="O732">
        <v>185</v>
      </c>
      <c r="P732">
        <v>14</v>
      </c>
      <c r="Q732">
        <v>117</v>
      </c>
      <c r="R732">
        <v>36</v>
      </c>
      <c r="S732">
        <v>200</v>
      </c>
      <c r="T732">
        <v>204</v>
      </c>
      <c r="U732">
        <v>250</v>
      </c>
      <c r="V732">
        <v>62</v>
      </c>
      <c r="W732">
        <v>315</v>
      </c>
      <c r="X732">
        <v>22</v>
      </c>
      <c r="Y732">
        <v>250</v>
      </c>
      <c r="Z732">
        <v>340</v>
      </c>
      <c r="AA732">
        <v>250</v>
      </c>
      <c r="AB732">
        <v>0</v>
      </c>
      <c r="AD732">
        <v>390</v>
      </c>
      <c r="AE732">
        <v>240</v>
      </c>
    </row>
    <row r="733" spans="1:31" x14ac:dyDescent="0.25">
      <c r="A733" t="s">
        <v>711</v>
      </c>
      <c r="B733">
        <v>2020</v>
      </c>
      <c r="C733">
        <v>9</v>
      </c>
      <c r="E733">
        <v>360</v>
      </c>
      <c r="F733">
        <v>22</v>
      </c>
      <c r="G733">
        <v>300</v>
      </c>
      <c r="H733">
        <v>30</v>
      </c>
      <c r="I733">
        <v>350</v>
      </c>
      <c r="K733">
        <v>380</v>
      </c>
      <c r="M733">
        <v>335</v>
      </c>
      <c r="N733">
        <v>60</v>
      </c>
      <c r="O733">
        <v>345</v>
      </c>
      <c r="Q733">
        <v>245</v>
      </c>
      <c r="R733">
        <v>22</v>
      </c>
      <c r="S733">
        <v>365</v>
      </c>
      <c r="T733">
        <v>177</v>
      </c>
      <c r="U733">
        <v>375</v>
      </c>
      <c r="V733">
        <v>77</v>
      </c>
      <c r="W733">
        <v>440</v>
      </c>
      <c r="X733">
        <v>12</v>
      </c>
      <c r="Y733">
        <v>312.5</v>
      </c>
      <c r="Z733">
        <v>290</v>
      </c>
      <c r="AA733">
        <v>380</v>
      </c>
      <c r="AC733">
        <v>165</v>
      </c>
      <c r="AD733">
        <v>350</v>
      </c>
      <c r="AE733">
        <v>375</v>
      </c>
    </row>
    <row r="734" spans="1:31" x14ac:dyDescent="0.25">
      <c r="A734" t="s">
        <v>712</v>
      </c>
      <c r="B734">
        <v>2020</v>
      </c>
      <c r="C734">
        <v>9</v>
      </c>
      <c r="D734">
        <v>0</v>
      </c>
      <c r="F734">
        <v>33</v>
      </c>
      <c r="G734">
        <v>255</v>
      </c>
      <c r="H734">
        <v>21</v>
      </c>
      <c r="I734">
        <v>320</v>
      </c>
      <c r="K734">
        <v>350</v>
      </c>
      <c r="M734">
        <v>236</v>
      </c>
      <c r="N734">
        <v>60</v>
      </c>
      <c r="O734">
        <v>265</v>
      </c>
      <c r="Q734">
        <v>217</v>
      </c>
      <c r="R734">
        <v>18</v>
      </c>
      <c r="S734">
        <v>257.5</v>
      </c>
      <c r="T734">
        <v>167</v>
      </c>
      <c r="U734">
        <v>320</v>
      </c>
      <c r="V734">
        <v>59</v>
      </c>
      <c r="W734">
        <v>415</v>
      </c>
      <c r="X734">
        <v>15</v>
      </c>
      <c r="Y734">
        <v>280</v>
      </c>
      <c r="Z734">
        <v>260</v>
      </c>
      <c r="AA734">
        <v>330</v>
      </c>
      <c r="AC734">
        <v>250</v>
      </c>
      <c r="AD734">
        <v>320</v>
      </c>
      <c r="AE734">
        <v>320</v>
      </c>
    </row>
    <row r="735" spans="1:31" x14ac:dyDescent="0.25">
      <c r="A735" t="s">
        <v>713</v>
      </c>
      <c r="B735">
        <v>2020</v>
      </c>
      <c r="C735">
        <v>9</v>
      </c>
      <c r="D735">
        <v>653</v>
      </c>
      <c r="E735">
        <v>320</v>
      </c>
      <c r="F735">
        <v>972</v>
      </c>
      <c r="G735">
        <v>350</v>
      </c>
      <c r="H735">
        <v>250</v>
      </c>
      <c r="I735">
        <v>450</v>
      </c>
      <c r="J735">
        <v>11</v>
      </c>
      <c r="K735">
        <v>680</v>
      </c>
      <c r="L735">
        <v>103</v>
      </c>
      <c r="M735">
        <v>320</v>
      </c>
      <c r="N735">
        <v>1990</v>
      </c>
      <c r="O735">
        <v>350</v>
      </c>
      <c r="P735">
        <v>44</v>
      </c>
      <c r="Q735">
        <v>175</v>
      </c>
      <c r="R735">
        <v>161</v>
      </c>
      <c r="S735">
        <v>420</v>
      </c>
      <c r="T735">
        <v>578</v>
      </c>
      <c r="U735">
        <v>450</v>
      </c>
      <c r="V735">
        <v>152</v>
      </c>
      <c r="W735">
        <v>622.5</v>
      </c>
      <c r="X735">
        <v>96</v>
      </c>
      <c r="Y735">
        <v>342.5</v>
      </c>
      <c r="Z735">
        <v>1030</v>
      </c>
      <c r="AA735">
        <v>450</v>
      </c>
      <c r="AB735">
        <v>49</v>
      </c>
      <c r="AC735">
        <v>170</v>
      </c>
      <c r="AD735">
        <v>3070</v>
      </c>
      <c r="AE735">
        <v>380</v>
      </c>
    </row>
    <row r="736" spans="1:31" x14ac:dyDescent="0.25">
      <c r="A736" t="s">
        <v>714</v>
      </c>
      <c r="B736">
        <v>2020</v>
      </c>
      <c r="C736">
        <v>9</v>
      </c>
      <c r="D736">
        <v>19</v>
      </c>
      <c r="E736">
        <v>175</v>
      </c>
      <c r="F736">
        <v>74</v>
      </c>
      <c r="G736">
        <v>200</v>
      </c>
      <c r="H736">
        <v>28</v>
      </c>
      <c r="I736">
        <v>332.5</v>
      </c>
      <c r="K736">
        <v>340</v>
      </c>
      <c r="L736">
        <v>8</v>
      </c>
      <c r="M736">
        <v>230</v>
      </c>
      <c r="N736">
        <v>130</v>
      </c>
      <c r="O736">
        <v>220</v>
      </c>
      <c r="P736">
        <v>0</v>
      </c>
      <c r="R736">
        <v>31</v>
      </c>
      <c r="S736">
        <v>200</v>
      </c>
      <c r="T736">
        <v>197</v>
      </c>
      <c r="U736">
        <v>260</v>
      </c>
      <c r="V736">
        <v>41</v>
      </c>
      <c r="W736">
        <v>320</v>
      </c>
      <c r="X736">
        <v>15</v>
      </c>
      <c r="Y736">
        <v>250</v>
      </c>
      <c r="Z736">
        <v>285</v>
      </c>
      <c r="AA736">
        <v>262.5</v>
      </c>
      <c r="AC736">
        <v>172.5</v>
      </c>
      <c r="AD736">
        <v>420</v>
      </c>
      <c r="AE736">
        <v>250</v>
      </c>
    </row>
    <row r="737" spans="1:71" x14ac:dyDescent="0.25">
      <c r="A737" t="s">
        <v>715</v>
      </c>
      <c r="B737">
        <v>2020</v>
      </c>
      <c r="C737">
        <v>9</v>
      </c>
      <c r="D737">
        <v>37</v>
      </c>
      <c r="E737">
        <v>200</v>
      </c>
      <c r="F737">
        <v>35</v>
      </c>
      <c r="G737">
        <v>210</v>
      </c>
      <c r="H737">
        <v>24</v>
      </c>
      <c r="I737">
        <v>240</v>
      </c>
      <c r="K737">
        <v>395</v>
      </c>
      <c r="M737">
        <v>150</v>
      </c>
      <c r="N737">
        <v>100</v>
      </c>
      <c r="O737">
        <v>210</v>
      </c>
      <c r="Q737">
        <v>140.9</v>
      </c>
      <c r="R737">
        <v>15</v>
      </c>
      <c r="S737">
        <v>250</v>
      </c>
      <c r="T737">
        <v>120</v>
      </c>
      <c r="U737">
        <v>240</v>
      </c>
      <c r="V737">
        <v>38</v>
      </c>
      <c r="W737">
        <v>365</v>
      </c>
      <c r="X737">
        <v>6</v>
      </c>
      <c r="Y737">
        <v>160</v>
      </c>
      <c r="Z737">
        <v>180</v>
      </c>
      <c r="AA737">
        <v>250</v>
      </c>
      <c r="AB737">
        <v>0</v>
      </c>
      <c r="AD737">
        <v>280</v>
      </c>
      <c r="AE737">
        <v>230</v>
      </c>
    </row>
    <row r="738" spans="1:71" x14ac:dyDescent="0.25">
      <c r="A738" t="s">
        <v>716</v>
      </c>
      <c r="B738">
        <v>2020</v>
      </c>
      <c r="C738">
        <v>9</v>
      </c>
      <c r="D738">
        <v>17</v>
      </c>
      <c r="E738">
        <v>200</v>
      </c>
      <c r="F738">
        <v>28</v>
      </c>
      <c r="G738">
        <v>250</v>
      </c>
      <c r="H738">
        <v>20</v>
      </c>
      <c r="I738">
        <v>315</v>
      </c>
      <c r="K738">
        <v>400</v>
      </c>
      <c r="L738">
        <v>6</v>
      </c>
      <c r="M738">
        <v>255</v>
      </c>
      <c r="N738">
        <v>75</v>
      </c>
      <c r="O738">
        <v>250</v>
      </c>
      <c r="Q738">
        <v>222.5</v>
      </c>
      <c r="R738">
        <v>18</v>
      </c>
      <c r="S738">
        <v>272.5</v>
      </c>
      <c r="T738">
        <v>114</v>
      </c>
      <c r="U738">
        <v>320</v>
      </c>
      <c r="V738">
        <v>71</v>
      </c>
      <c r="W738">
        <v>365</v>
      </c>
      <c r="X738">
        <v>19</v>
      </c>
      <c r="Y738">
        <v>325</v>
      </c>
      <c r="Z738">
        <v>225</v>
      </c>
      <c r="AA738">
        <v>330</v>
      </c>
      <c r="AB738">
        <v>0</v>
      </c>
      <c r="AD738">
        <v>300</v>
      </c>
      <c r="AE738">
        <v>320</v>
      </c>
    </row>
    <row r="739" spans="1:71" x14ac:dyDescent="0.25">
      <c r="A739" t="s">
        <v>717</v>
      </c>
      <c r="B739">
        <v>2020</v>
      </c>
      <c r="C739">
        <v>9</v>
      </c>
      <c r="D739">
        <v>39</v>
      </c>
      <c r="E739">
        <v>175</v>
      </c>
      <c r="F739">
        <v>113</v>
      </c>
      <c r="G739">
        <v>195</v>
      </c>
      <c r="H739">
        <v>32</v>
      </c>
      <c r="I739">
        <v>279.5</v>
      </c>
      <c r="J739">
        <v>0</v>
      </c>
      <c r="L739">
        <v>10</v>
      </c>
      <c r="M739">
        <v>185</v>
      </c>
      <c r="N739">
        <v>195</v>
      </c>
      <c r="O739">
        <v>197.5</v>
      </c>
      <c r="Q739">
        <v>160</v>
      </c>
      <c r="R739">
        <v>54</v>
      </c>
      <c r="S739">
        <v>230</v>
      </c>
      <c r="T739">
        <v>183</v>
      </c>
      <c r="U739">
        <v>255</v>
      </c>
      <c r="V739">
        <v>46</v>
      </c>
      <c r="W739">
        <v>320</v>
      </c>
      <c r="X739">
        <v>7</v>
      </c>
      <c r="Y739">
        <v>245</v>
      </c>
      <c r="Z739">
        <v>295</v>
      </c>
      <c r="AA739">
        <v>250</v>
      </c>
      <c r="AC739">
        <v>170</v>
      </c>
      <c r="AD739">
        <v>490</v>
      </c>
      <c r="AE739">
        <v>240</v>
      </c>
    </row>
    <row r="740" spans="1:71" x14ac:dyDescent="0.25">
      <c r="A740" t="s">
        <v>628</v>
      </c>
      <c r="B740">
        <v>2020</v>
      </c>
      <c r="C740">
        <v>9</v>
      </c>
      <c r="D740">
        <v>941</v>
      </c>
      <c r="E740">
        <v>290</v>
      </c>
      <c r="F740">
        <v>2288</v>
      </c>
      <c r="G740">
        <v>320</v>
      </c>
      <c r="H740">
        <v>753</v>
      </c>
      <c r="I740">
        <v>395</v>
      </c>
      <c r="J740">
        <v>26</v>
      </c>
      <c r="K740">
        <v>575</v>
      </c>
      <c r="L740">
        <v>269</v>
      </c>
      <c r="M740">
        <v>290</v>
      </c>
      <c r="N740">
        <v>4275</v>
      </c>
      <c r="O740">
        <v>325</v>
      </c>
      <c r="P740">
        <v>120</v>
      </c>
      <c r="Q740">
        <v>175</v>
      </c>
      <c r="R740">
        <v>546</v>
      </c>
      <c r="S740">
        <v>350</v>
      </c>
      <c r="T740">
        <v>3900</v>
      </c>
      <c r="U740">
        <v>375</v>
      </c>
      <c r="V740">
        <v>790</v>
      </c>
      <c r="W740">
        <v>470</v>
      </c>
      <c r="X740">
        <v>501</v>
      </c>
      <c r="Y740">
        <v>330</v>
      </c>
      <c r="Z740">
        <v>5855</v>
      </c>
      <c r="AA740">
        <v>380</v>
      </c>
      <c r="AB740">
        <v>159</v>
      </c>
      <c r="AC740">
        <v>175</v>
      </c>
      <c r="AD740">
        <v>10295</v>
      </c>
      <c r="AE740">
        <v>350</v>
      </c>
    </row>
    <row r="741" spans="1:71" x14ac:dyDescent="0.25">
      <c r="A741" t="s">
        <v>718</v>
      </c>
      <c r="B741">
        <v>2020</v>
      </c>
      <c r="C741">
        <v>9</v>
      </c>
      <c r="D741">
        <v>22</v>
      </c>
      <c r="E741">
        <v>152.5</v>
      </c>
      <c r="F741">
        <v>51</v>
      </c>
      <c r="G741">
        <v>200</v>
      </c>
      <c r="H741">
        <v>12</v>
      </c>
      <c r="I741">
        <v>247.5</v>
      </c>
      <c r="J741">
        <v>0</v>
      </c>
      <c r="L741">
        <v>8</v>
      </c>
      <c r="M741">
        <v>190</v>
      </c>
      <c r="N741">
        <v>95</v>
      </c>
      <c r="O741">
        <v>195</v>
      </c>
      <c r="P741">
        <v>17</v>
      </c>
      <c r="Q741">
        <v>170</v>
      </c>
      <c r="R741">
        <v>35</v>
      </c>
      <c r="S741">
        <v>220</v>
      </c>
      <c r="T741">
        <v>238</v>
      </c>
      <c r="U741">
        <v>253</v>
      </c>
      <c r="V741">
        <v>59</v>
      </c>
      <c r="W741">
        <v>300</v>
      </c>
      <c r="X741">
        <v>42</v>
      </c>
      <c r="Y741">
        <v>217.5</v>
      </c>
      <c r="Z741">
        <v>390</v>
      </c>
      <c r="AA741">
        <v>250</v>
      </c>
      <c r="AC741">
        <v>150</v>
      </c>
      <c r="AD741">
        <v>485</v>
      </c>
      <c r="AE741">
        <v>240</v>
      </c>
    </row>
    <row r="742" spans="1:71" x14ac:dyDescent="0.25">
      <c r="A742" t="s">
        <v>719</v>
      </c>
      <c r="B742">
        <v>2020</v>
      </c>
      <c r="C742">
        <v>9</v>
      </c>
      <c r="D742">
        <v>74</v>
      </c>
      <c r="E742">
        <v>195</v>
      </c>
      <c r="F742">
        <v>303</v>
      </c>
      <c r="G742">
        <v>280</v>
      </c>
      <c r="H742">
        <v>154</v>
      </c>
      <c r="I742">
        <v>342.5</v>
      </c>
      <c r="K742">
        <v>400</v>
      </c>
      <c r="L742">
        <v>41</v>
      </c>
      <c r="M742">
        <v>270</v>
      </c>
      <c r="N742">
        <v>575</v>
      </c>
      <c r="O742">
        <v>292.5</v>
      </c>
      <c r="P742">
        <v>23</v>
      </c>
      <c r="Q742">
        <v>175</v>
      </c>
      <c r="R742">
        <v>122</v>
      </c>
      <c r="S742">
        <v>300</v>
      </c>
      <c r="T742">
        <v>1622</v>
      </c>
      <c r="U742">
        <v>330</v>
      </c>
      <c r="V742">
        <v>270</v>
      </c>
      <c r="W742">
        <v>395</v>
      </c>
      <c r="X742">
        <v>166</v>
      </c>
      <c r="Y742">
        <v>300</v>
      </c>
      <c r="Z742">
        <v>2205</v>
      </c>
      <c r="AA742">
        <v>335</v>
      </c>
      <c r="AB742">
        <v>31</v>
      </c>
      <c r="AC742">
        <v>175</v>
      </c>
      <c r="AD742">
        <v>2810</v>
      </c>
      <c r="AE742">
        <v>320</v>
      </c>
    </row>
    <row r="743" spans="1:71" x14ac:dyDescent="0.25">
      <c r="A743" t="s">
        <v>720</v>
      </c>
      <c r="B743">
        <v>2020</v>
      </c>
      <c r="C743">
        <v>9</v>
      </c>
      <c r="D743">
        <v>153</v>
      </c>
      <c r="E743">
        <v>175</v>
      </c>
      <c r="F743">
        <v>370</v>
      </c>
      <c r="G743">
        <v>210</v>
      </c>
      <c r="H743">
        <v>184</v>
      </c>
      <c r="I743">
        <v>300</v>
      </c>
      <c r="J743">
        <v>14</v>
      </c>
      <c r="K743">
        <v>365</v>
      </c>
      <c r="L743">
        <v>49</v>
      </c>
      <c r="M743">
        <v>200</v>
      </c>
      <c r="N743">
        <v>770</v>
      </c>
      <c r="O743">
        <v>220</v>
      </c>
      <c r="P743">
        <v>43</v>
      </c>
      <c r="Q743">
        <v>170</v>
      </c>
      <c r="R743">
        <v>238</v>
      </c>
      <c r="S743">
        <v>230</v>
      </c>
      <c r="T743">
        <v>1382</v>
      </c>
      <c r="U743">
        <v>280</v>
      </c>
      <c r="V743">
        <v>458</v>
      </c>
      <c r="W743">
        <v>360</v>
      </c>
      <c r="X743">
        <v>155</v>
      </c>
      <c r="Y743">
        <v>250</v>
      </c>
      <c r="Z743">
        <v>2275</v>
      </c>
      <c r="AA743">
        <v>280</v>
      </c>
      <c r="AB743">
        <v>9</v>
      </c>
      <c r="AC743">
        <v>170</v>
      </c>
      <c r="AD743">
        <v>3055</v>
      </c>
      <c r="AE743">
        <v>265</v>
      </c>
    </row>
    <row r="744" spans="1:71" x14ac:dyDescent="0.25">
      <c r="A744" t="s">
        <v>724</v>
      </c>
      <c r="B744">
        <v>2020</v>
      </c>
      <c r="C744">
        <v>9</v>
      </c>
      <c r="D744">
        <v>1094</v>
      </c>
      <c r="E744">
        <v>260</v>
      </c>
      <c r="F744">
        <v>2658</v>
      </c>
      <c r="G744">
        <v>310</v>
      </c>
      <c r="H744">
        <v>937</v>
      </c>
      <c r="I744">
        <v>375</v>
      </c>
      <c r="J744">
        <v>40</v>
      </c>
      <c r="K744">
        <v>425</v>
      </c>
      <c r="L744">
        <v>318</v>
      </c>
      <c r="M744">
        <v>280</v>
      </c>
      <c r="N744">
        <v>5045</v>
      </c>
      <c r="O744">
        <v>310</v>
      </c>
      <c r="P744">
        <v>163</v>
      </c>
      <c r="Q744">
        <v>175</v>
      </c>
      <c r="R744">
        <v>784</v>
      </c>
      <c r="S744">
        <v>310</v>
      </c>
      <c r="T744">
        <v>5282</v>
      </c>
      <c r="U744">
        <v>350</v>
      </c>
      <c r="V744">
        <v>1248</v>
      </c>
      <c r="W744">
        <v>420</v>
      </c>
      <c r="X744">
        <v>656</v>
      </c>
      <c r="Y744">
        <v>300</v>
      </c>
      <c r="Z744">
        <v>8135</v>
      </c>
      <c r="AA744">
        <v>350</v>
      </c>
      <c r="AB744">
        <v>168</v>
      </c>
      <c r="AC744">
        <v>173.7</v>
      </c>
      <c r="AD744">
        <v>13350</v>
      </c>
      <c r="AE744">
        <v>335</v>
      </c>
    </row>
    <row r="745" spans="1:71" x14ac:dyDescent="0.25">
      <c r="A745" t="s">
        <v>721</v>
      </c>
      <c r="B745">
        <v>2020</v>
      </c>
      <c r="C745">
        <v>9</v>
      </c>
      <c r="D745">
        <v>106</v>
      </c>
      <c r="E745">
        <v>260</v>
      </c>
      <c r="F745">
        <v>458</v>
      </c>
      <c r="G745">
        <v>310</v>
      </c>
      <c r="H745">
        <v>175</v>
      </c>
      <c r="I745">
        <v>365</v>
      </c>
      <c r="K745">
        <v>375</v>
      </c>
      <c r="L745">
        <v>57</v>
      </c>
      <c r="M745">
        <v>285</v>
      </c>
      <c r="N745">
        <v>800</v>
      </c>
      <c r="O745">
        <v>310</v>
      </c>
      <c r="P745">
        <v>23</v>
      </c>
      <c r="Q745">
        <v>175</v>
      </c>
      <c r="R745">
        <v>135</v>
      </c>
      <c r="S745">
        <v>350</v>
      </c>
      <c r="T745">
        <v>995</v>
      </c>
      <c r="U745">
        <v>380</v>
      </c>
      <c r="V745">
        <v>234</v>
      </c>
      <c r="W745">
        <v>490</v>
      </c>
      <c r="X745">
        <v>131</v>
      </c>
      <c r="Y745">
        <v>348</v>
      </c>
      <c r="Z745">
        <v>1520</v>
      </c>
      <c r="AA745">
        <v>385</v>
      </c>
      <c r="AB745">
        <v>41</v>
      </c>
      <c r="AC745">
        <v>175</v>
      </c>
      <c r="AD745">
        <v>2355</v>
      </c>
      <c r="AE745">
        <v>360</v>
      </c>
    </row>
    <row r="746" spans="1:71" x14ac:dyDescent="0.25">
      <c r="A746" t="s">
        <v>722</v>
      </c>
      <c r="B746">
        <v>2020</v>
      </c>
      <c r="C746">
        <v>9</v>
      </c>
      <c r="D746">
        <v>108</v>
      </c>
      <c r="E746">
        <v>245</v>
      </c>
      <c r="F746">
        <v>555</v>
      </c>
      <c r="G746">
        <v>300</v>
      </c>
      <c r="H746">
        <v>174</v>
      </c>
      <c r="I746">
        <v>400</v>
      </c>
      <c r="J746">
        <v>11</v>
      </c>
      <c r="K746">
        <v>530</v>
      </c>
      <c r="L746">
        <v>68</v>
      </c>
      <c r="M746">
        <v>272.5</v>
      </c>
      <c r="N746">
        <v>915</v>
      </c>
      <c r="O746">
        <v>310</v>
      </c>
      <c r="P746">
        <v>30</v>
      </c>
      <c r="Q746">
        <v>186</v>
      </c>
      <c r="R746">
        <v>128</v>
      </c>
      <c r="S746">
        <v>340</v>
      </c>
      <c r="T746">
        <v>705</v>
      </c>
      <c r="U746">
        <v>410</v>
      </c>
      <c r="V746">
        <v>134</v>
      </c>
      <c r="W746">
        <v>527.5</v>
      </c>
      <c r="X746">
        <v>108</v>
      </c>
      <c r="Y746">
        <v>360</v>
      </c>
      <c r="Z746">
        <v>1105</v>
      </c>
      <c r="AA746">
        <v>400</v>
      </c>
      <c r="AB746">
        <v>38</v>
      </c>
      <c r="AC746">
        <v>175</v>
      </c>
      <c r="AD746">
        <v>2060</v>
      </c>
      <c r="AE746">
        <v>360</v>
      </c>
    </row>
    <row r="747" spans="1:71" x14ac:dyDescent="0.25">
      <c r="A747" t="s">
        <v>723</v>
      </c>
      <c r="B747">
        <v>2020</v>
      </c>
      <c r="C747">
        <v>9</v>
      </c>
      <c r="D747">
        <v>18</v>
      </c>
      <c r="E747">
        <v>142.5</v>
      </c>
      <c r="F747">
        <v>14</v>
      </c>
      <c r="G747">
        <v>187.5</v>
      </c>
      <c r="H747">
        <v>17</v>
      </c>
      <c r="I747">
        <v>245</v>
      </c>
      <c r="K747">
        <v>350</v>
      </c>
      <c r="L747">
        <v>8</v>
      </c>
      <c r="M747">
        <v>162</v>
      </c>
      <c r="N747">
        <v>60</v>
      </c>
      <c r="O747">
        <v>182.5</v>
      </c>
      <c r="P747">
        <v>11</v>
      </c>
      <c r="Q747">
        <v>112</v>
      </c>
      <c r="R747">
        <v>45</v>
      </c>
      <c r="S747">
        <v>210</v>
      </c>
      <c r="T747">
        <v>186</v>
      </c>
      <c r="U747">
        <v>240</v>
      </c>
      <c r="V747">
        <v>67</v>
      </c>
      <c r="W747">
        <v>310</v>
      </c>
      <c r="X747">
        <v>39</v>
      </c>
      <c r="Y747">
        <v>240</v>
      </c>
      <c r="Z747">
        <v>350</v>
      </c>
      <c r="AA747">
        <v>240</v>
      </c>
      <c r="AC747">
        <v>130.1</v>
      </c>
      <c r="AD747">
        <v>410</v>
      </c>
      <c r="AE747">
        <v>240</v>
      </c>
    </row>
    <row r="748" spans="1:71" x14ac:dyDescent="0.25">
      <c r="A748" t="s">
        <v>711</v>
      </c>
      <c r="B748">
        <v>2020</v>
      </c>
      <c r="C748">
        <v>12</v>
      </c>
      <c r="E748">
        <v>260</v>
      </c>
      <c r="F748">
        <v>19</v>
      </c>
      <c r="G748">
        <v>320</v>
      </c>
      <c r="H748">
        <v>33</v>
      </c>
      <c r="I748">
        <v>360</v>
      </c>
      <c r="K748">
        <v>450</v>
      </c>
      <c r="Q748">
        <v>220</v>
      </c>
      <c r="R748">
        <v>18</v>
      </c>
      <c r="S748">
        <v>370</v>
      </c>
      <c r="T748">
        <v>168</v>
      </c>
      <c r="U748">
        <v>380</v>
      </c>
      <c r="V748">
        <v>93</v>
      </c>
      <c r="W748">
        <v>440</v>
      </c>
      <c r="BF748">
        <v>450</v>
      </c>
      <c r="BG748">
        <v>450</v>
      </c>
      <c r="BH748">
        <v>60</v>
      </c>
      <c r="BI748">
        <v>355</v>
      </c>
      <c r="BJ748">
        <v>7</v>
      </c>
      <c r="BK748">
        <v>410</v>
      </c>
      <c r="BL748">
        <v>290</v>
      </c>
      <c r="BM748">
        <v>400</v>
      </c>
      <c r="BO748">
        <v>165</v>
      </c>
      <c r="BQ748">
        <v>165</v>
      </c>
      <c r="BR748">
        <v>355</v>
      </c>
      <c r="BS748">
        <v>390</v>
      </c>
    </row>
    <row r="749" spans="1:71" x14ac:dyDescent="0.25">
      <c r="A749" t="s">
        <v>712</v>
      </c>
      <c r="B749">
        <v>2020</v>
      </c>
      <c r="C749">
        <v>12</v>
      </c>
      <c r="E749">
        <v>217.5</v>
      </c>
      <c r="F749">
        <v>25</v>
      </c>
      <c r="G749">
        <v>250</v>
      </c>
      <c r="H749">
        <v>22</v>
      </c>
      <c r="I749">
        <v>317.5</v>
      </c>
      <c r="J749">
        <v>317.5</v>
      </c>
      <c r="K749">
        <v>317.5</v>
      </c>
      <c r="Q749">
        <v>210</v>
      </c>
      <c r="R749">
        <v>20</v>
      </c>
      <c r="S749">
        <v>280</v>
      </c>
      <c r="T749">
        <v>166</v>
      </c>
      <c r="U749">
        <v>330</v>
      </c>
      <c r="V749">
        <v>57</v>
      </c>
      <c r="W749">
        <v>410</v>
      </c>
      <c r="BG749">
        <v>180</v>
      </c>
      <c r="BH749">
        <v>55</v>
      </c>
      <c r="BI749">
        <v>255</v>
      </c>
      <c r="BK749">
        <v>280</v>
      </c>
      <c r="BL749">
        <v>250</v>
      </c>
      <c r="BM749">
        <v>340</v>
      </c>
      <c r="BN749">
        <v>340</v>
      </c>
      <c r="BO749">
        <v>340</v>
      </c>
      <c r="BP749">
        <v>340</v>
      </c>
      <c r="BQ749">
        <v>340</v>
      </c>
      <c r="BR749">
        <v>305</v>
      </c>
      <c r="BS749">
        <v>330</v>
      </c>
    </row>
    <row r="750" spans="1:71" x14ac:dyDescent="0.25">
      <c r="A750" t="s">
        <v>713</v>
      </c>
      <c r="B750">
        <v>2020</v>
      </c>
      <c r="C750">
        <v>12</v>
      </c>
      <c r="D750">
        <v>502</v>
      </c>
      <c r="E750">
        <v>319.5</v>
      </c>
      <c r="F750">
        <v>984</v>
      </c>
      <c r="G750">
        <v>360</v>
      </c>
      <c r="H750">
        <v>220</v>
      </c>
      <c r="I750">
        <v>470</v>
      </c>
      <c r="K750">
        <v>550</v>
      </c>
      <c r="P750">
        <v>41</v>
      </c>
      <c r="Q750">
        <v>175</v>
      </c>
      <c r="R750">
        <v>176</v>
      </c>
      <c r="S750">
        <v>410</v>
      </c>
      <c r="T750">
        <v>540</v>
      </c>
      <c r="U750">
        <v>470</v>
      </c>
      <c r="V750">
        <v>184</v>
      </c>
      <c r="W750">
        <v>622.5</v>
      </c>
      <c r="BF750">
        <v>87</v>
      </c>
      <c r="BG750">
        <v>325</v>
      </c>
      <c r="BH750">
        <v>1800</v>
      </c>
      <c r="BI750">
        <v>355</v>
      </c>
      <c r="BJ750">
        <v>69</v>
      </c>
      <c r="BK750">
        <v>380</v>
      </c>
      <c r="BL750">
        <v>1010</v>
      </c>
      <c r="BM750">
        <v>460</v>
      </c>
      <c r="BN750">
        <v>65</v>
      </c>
      <c r="BO750">
        <v>180</v>
      </c>
      <c r="BP750">
        <v>65</v>
      </c>
      <c r="BQ750">
        <v>180</v>
      </c>
      <c r="BR750">
        <v>2875</v>
      </c>
      <c r="BS750">
        <v>390</v>
      </c>
    </row>
    <row r="751" spans="1:71" x14ac:dyDescent="0.25">
      <c r="A751" t="s">
        <v>714</v>
      </c>
      <c r="B751">
        <v>2020</v>
      </c>
      <c r="C751">
        <v>12</v>
      </c>
      <c r="D751">
        <v>23</v>
      </c>
      <c r="E751">
        <v>190</v>
      </c>
      <c r="F751">
        <v>56</v>
      </c>
      <c r="G751">
        <v>200</v>
      </c>
      <c r="H751">
        <v>26</v>
      </c>
      <c r="I751">
        <v>305</v>
      </c>
      <c r="K751">
        <v>380</v>
      </c>
      <c r="P751">
        <v>6</v>
      </c>
      <c r="Q751">
        <v>265</v>
      </c>
      <c r="R751">
        <v>27</v>
      </c>
      <c r="S751">
        <v>200</v>
      </c>
      <c r="T751">
        <v>178</v>
      </c>
      <c r="U751">
        <v>270</v>
      </c>
      <c r="V751">
        <v>47</v>
      </c>
      <c r="W751">
        <v>360</v>
      </c>
      <c r="BG751">
        <v>200</v>
      </c>
      <c r="BH751">
        <v>115</v>
      </c>
      <c r="BI751">
        <v>220</v>
      </c>
      <c r="BJ751">
        <v>7</v>
      </c>
      <c r="BK751">
        <v>270</v>
      </c>
      <c r="BL751">
        <v>265</v>
      </c>
      <c r="BM751">
        <v>280</v>
      </c>
      <c r="BO751">
        <v>170</v>
      </c>
      <c r="BQ751">
        <v>170</v>
      </c>
      <c r="BR751">
        <v>380</v>
      </c>
      <c r="BS751">
        <v>255</v>
      </c>
    </row>
    <row r="752" spans="1:71" x14ac:dyDescent="0.25">
      <c r="A752" t="s">
        <v>715</v>
      </c>
      <c r="B752">
        <v>2020</v>
      </c>
      <c r="C752">
        <v>12</v>
      </c>
      <c r="D752">
        <v>28</v>
      </c>
      <c r="E752">
        <v>180</v>
      </c>
      <c r="F752">
        <v>27</v>
      </c>
      <c r="G752">
        <v>240</v>
      </c>
      <c r="H752">
        <v>7</v>
      </c>
      <c r="I752">
        <v>320</v>
      </c>
      <c r="K752">
        <v>380</v>
      </c>
      <c r="Q752">
        <v>235</v>
      </c>
      <c r="R752">
        <v>22</v>
      </c>
      <c r="S752">
        <v>280</v>
      </c>
      <c r="T752">
        <v>115</v>
      </c>
      <c r="U752">
        <v>280</v>
      </c>
      <c r="V752">
        <v>30</v>
      </c>
      <c r="W752">
        <v>415</v>
      </c>
      <c r="BF752">
        <v>380</v>
      </c>
      <c r="BG752">
        <v>380</v>
      </c>
      <c r="BH752">
        <v>65</v>
      </c>
      <c r="BI752">
        <v>220</v>
      </c>
      <c r="BK752">
        <v>295</v>
      </c>
      <c r="BL752">
        <v>170</v>
      </c>
      <c r="BM752">
        <v>290</v>
      </c>
      <c r="BN752">
        <v>290</v>
      </c>
      <c r="BO752">
        <v>290</v>
      </c>
      <c r="BP752">
        <v>290</v>
      </c>
      <c r="BQ752">
        <v>290</v>
      </c>
      <c r="BR752">
        <v>235</v>
      </c>
      <c r="BS752">
        <v>277.5</v>
      </c>
    </row>
    <row r="753" spans="1:71" x14ac:dyDescent="0.25">
      <c r="A753" t="s">
        <v>716</v>
      </c>
      <c r="B753">
        <v>2020</v>
      </c>
      <c r="C753">
        <v>12</v>
      </c>
      <c r="D753">
        <v>16</v>
      </c>
      <c r="E753">
        <v>200</v>
      </c>
      <c r="F753">
        <v>28</v>
      </c>
      <c r="G753">
        <v>250</v>
      </c>
      <c r="H753">
        <v>13</v>
      </c>
      <c r="I753">
        <v>310</v>
      </c>
      <c r="K753">
        <v>280</v>
      </c>
      <c r="Q753">
        <v>235</v>
      </c>
      <c r="R753">
        <v>18</v>
      </c>
      <c r="S753">
        <v>240</v>
      </c>
      <c r="T753">
        <v>113</v>
      </c>
      <c r="U753">
        <v>330</v>
      </c>
      <c r="V753">
        <v>55</v>
      </c>
      <c r="W753">
        <v>370</v>
      </c>
      <c r="BF753">
        <v>7</v>
      </c>
      <c r="BG753">
        <v>260</v>
      </c>
      <c r="BH753">
        <v>65</v>
      </c>
      <c r="BI753">
        <v>260</v>
      </c>
      <c r="BJ753">
        <v>17</v>
      </c>
      <c r="BK753">
        <v>315</v>
      </c>
      <c r="BL753">
        <v>205</v>
      </c>
      <c r="BM753">
        <v>335</v>
      </c>
      <c r="BN753">
        <v>335</v>
      </c>
      <c r="BO753">
        <v>335</v>
      </c>
      <c r="BP753">
        <v>335</v>
      </c>
      <c r="BQ753">
        <v>335</v>
      </c>
      <c r="BR753">
        <v>270</v>
      </c>
      <c r="BS753">
        <v>310</v>
      </c>
    </row>
    <row r="754" spans="1:71" x14ac:dyDescent="0.25">
      <c r="A754" t="s">
        <v>717</v>
      </c>
      <c r="B754">
        <v>2020</v>
      </c>
      <c r="C754">
        <v>12</v>
      </c>
      <c r="D754">
        <v>20</v>
      </c>
      <c r="E754">
        <v>175</v>
      </c>
      <c r="F754">
        <v>85</v>
      </c>
      <c r="G754">
        <v>190</v>
      </c>
      <c r="H754">
        <v>22</v>
      </c>
      <c r="I754">
        <v>285.5</v>
      </c>
      <c r="K754">
        <v>350</v>
      </c>
      <c r="P754">
        <v>6</v>
      </c>
      <c r="Q754">
        <v>185</v>
      </c>
      <c r="R754">
        <v>26</v>
      </c>
      <c r="S754">
        <v>205</v>
      </c>
      <c r="T754">
        <v>185</v>
      </c>
      <c r="U754">
        <v>260</v>
      </c>
      <c r="V754">
        <v>59</v>
      </c>
      <c r="W754">
        <v>330</v>
      </c>
      <c r="BF754">
        <v>6</v>
      </c>
      <c r="BG754">
        <v>179.5</v>
      </c>
      <c r="BH754">
        <v>135</v>
      </c>
      <c r="BI754">
        <v>204</v>
      </c>
      <c r="BJ754">
        <v>11</v>
      </c>
      <c r="BK754">
        <v>270</v>
      </c>
      <c r="BL754">
        <v>285</v>
      </c>
      <c r="BM754">
        <v>265</v>
      </c>
      <c r="BO754">
        <v>170</v>
      </c>
      <c r="BQ754">
        <v>170</v>
      </c>
      <c r="BR754">
        <v>430</v>
      </c>
      <c r="BS754">
        <v>250</v>
      </c>
    </row>
    <row r="755" spans="1:71" x14ac:dyDescent="0.25">
      <c r="A755" t="s">
        <v>725</v>
      </c>
      <c r="B755">
        <v>2020</v>
      </c>
      <c r="C755">
        <v>12</v>
      </c>
      <c r="D755">
        <v>772</v>
      </c>
      <c r="E755">
        <v>285</v>
      </c>
      <c r="F755">
        <v>2338</v>
      </c>
      <c r="G755">
        <v>325</v>
      </c>
      <c r="H755">
        <v>663</v>
      </c>
      <c r="I755">
        <v>395</v>
      </c>
      <c r="J755">
        <v>15</v>
      </c>
      <c r="K755">
        <v>450</v>
      </c>
      <c r="P755">
        <v>120</v>
      </c>
      <c r="Q755">
        <v>175</v>
      </c>
      <c r="R755">
        <v>592</v>
      </c>
      <c r="S755">
        <v>355</v>
      </c>
      <c r="T755">
        <v>3529</v>
      </c>
      <c r="U755">
        <v>390</v>
      </c>
      <c r="V755">
        <v>804</v>
      </c>
      <c r="W755">
        <v>480</v>
      </c>
      <c r="BF755">
        <v>262</v>
      </c>
      <c r="BG755">
        <v>300</v>
      </c>
      <c r="BH755">
        <v>4050</v>
      </c>
      <c r="BI755">
        <v>330</v>
      </c>
      <c r="BJ755">
        <v>381</v>
      </c>
      <c r="BK755">
        <v>325</v>
      </c>
      <c r="BL755">
        <v>5425</v>
      </c>
      <c r="BM755">
        <v>390</v>
      </c>
      <c r="BN755">
        <v>191</v>
      </c>
      <c r="BO755">
        <v>180</v>
      </c>
      <c r="BP755">
        <v>191</v>
      </c>
      <c r="BQ755">
        <v>180</v>
      </c>
      <c r="BR755">
        <v>9665</v>
      </c>
      <c r="BS755">
        <v>360</v>
      </c>
    </row>
    <row r="756" spans="1:71" x14ac:dyDescent="0.25">
      <c r="A756" t="s">
        <v>718</v>
      </c>
      <c r="B756">
        <v>2020</v>
      </c>
      <c r="C756">
        <v>12</v>
      </c>
      <c r="D756">
        <v>22</v>
      </c>
      <c r="E756">
        <v>160</v>
      </c>
      <c r="F756">
        <v>54</v>
      </c>
      <c r="G756">
        <v>200</v>
      </c>
      <c r="H756">
        <v>6</v>
      </c>
      <c r="I756">
        <v>245</v>
      </c>
      <c r="J756">
        <v>245</v>
      </c>
      <c r="K756">
        <v>245</v>
      </c>
      <c r="P756">
        <v>9</v>
      </c>
      <c r="Q756">
        <v>166</v>
      </c>
      <c r="R756">
        <v>38</v>
      </c>
      <c r="S756">
        <v>225</v>
      </c>
      <c r="T756">
        <v>210</v>
      </c>
      <c r="U756">
        <v>260</v>
      </c>
      <c r="V756">
        <v>64</v>
      </c>
      <c r="W756">
        <v>320</v>
      </c>
      <c r="BF756">
        <v>245</v>
      </c>
      <c r="BG756">
        <v>245</v>
      </c>
      <c r="BH756">
        <v>80</v>
      </c>
      <c r="BI756">
        <v>200</v>
      </c>
      <c r="BJ756">
        <v>33</v>
      </c>
      <c r="BK756">
        <v>260</v>
      </c>
      <c r="BL756">
        <v>355</v>
      </c>
      <c r="BM756">
        <v>260</v>
      </c>
      <c r="BN756">
        <v>26</v>
      </c>
      <c r="BO756">
        <v>170</v>
      </c>
      <c r="BP756">
        <v>26</v>
      </c>
      <c r="BQ756">
        <v>170</v>
      </c>
      <c r="BR756">
        <v>460</v>
      </c>
      <c r="BS756">
        <v>250</v>
      </c>
    </row>
    <row r="757" spans="1:71" x14ac:dyDescent="0.25">
      <c r="A757" t="s">
        <v>719</v>
      </c>
      <c r="B757">
        <v>2020</v>
      </c>
      <c r="C757">
        <v>12</v>
      </c>
      <c r="D757">
        <v>69</v>
      </c>
      <c r="E757">
        <v>230</v>
      </c>
      <c r="F757">
        <v>339</v>
      </c>
      <c r="G757">
        <v>290</v>
      </c>
      <c r="H757">
        <v>145</v>
      </c>
      <c r="I757">
        <v>340</v>
      </c>
      <c r="K757">
        <v>400</v>
      </c>
      <c r="P757">
        <v>29</v>
      </c>
      <c r="Q757">
        <v>175</v>
      </c>
      <c r="R757">
        <v>129</v>
      </c>
      <c r="S757">
        <v>290</v>
      </c>
      <c r="T757">
        <v>1396</v>
      </c>
      <c r="U757">
        <v>350</v>
      </c>
      <c r="V757">
        <v>268</v>
      </c>
      <c r="W757">
        <v>400</v>
      </c>
      <c r="BF757">
        <v>39</v>
      </c>
      <c r="BG757">
        <v>270</v>
      </c>
      <c r="BH757">
        <v>595</v>
      </c>
      <c r="BI757">
        <v>295</v>
      </c>
      <c r="BJ757">
        <v>139</v>
      </c>
      <c r="BK757">
        <v>315</v>
      </c>
      <c r="BL757">
        <v>1960</v>
      </c>
      <c r="BM757">
        <v>350</v>
      </c>
      <c r="BN757">
        <v>37</v>
      </c>
      <c r="BO757">
        <v>180</v>
      </c>
      <c r="BP757">
        <v>37</v>
      </c>
      <c r="BQ757">
        <v>180</v>
      </c>
      <c r="BR757">
        <v>2595</v>
      </c>
      <c r="BS757">
        <v>330</v>
      </c>
    </row>
    <row r="758" spans="1:71" x14ac:dyDescent="0.25">
      <c r="A758" t="s">
        <v>726</v>
      </c>
      <c r="B758">
        <v>2020</v>
      </c>
      <c r="C758">
        <v>12</v>
      </c>
      <c r="D758">
        <v>127</v>
      </c>
      <c r="E758">
        <v>180</v>
      </c>
      <c r="F758">
        <v>312</v>
      </c>
      <c r="G758">
        <v>220</v>
      </c>
      <c r="H758">
        <v>143</v>
      </c>
      <c r="I758">
        <v>320</v>
      </c>
      <c r="J758">
        <v>15</v>
      </c>
      <c r="K758">
        <v>380</v>
      </c>
      <c r="P758">
        <v>44</v>
      </c>
      <c r="Q758">
        <v>192.5</v>
      </c>
      <c r="R758">
        <v>192</v>
      </c>
      <c r="S758">
        <v>240</v>
      </c>
      <c r="T758">
        <v>1355</v>
      </c>
      <c r="U758">
        <v>280</v>
      </c>
      <c r="V758">
        <v>453</v>
      </c>
      <c r="W758">
        <v>375</v>
      </c>
      <c r="BF758">
        <v>24</v>
      </c>
      <c r="BG758">
        <v>215</v>
      </c>
      <c r="BH758">
        <v>620</v>
      </c>
      <c r="BI758">
        <v>225</v>
      </c>
      <c r="BJ758">
        <v>109</v>
      </c>
      <c r="BK758">
        <v>270</v>
      </c>
      <c r="BL758">
        <v>2155</v>
      </c>
      <c r="BM758">
        <v>290</v>
      </c>
      <c r="BN758">
        <v>37</v>
      </c>
      <c r="BO758">
        <v>170</v>
      </c>
      <c r="BP758">
        <v>37</v>
      </c>
      <c r="BQ758">
        <v>170</v>
      </c>
      <c r="BR758">
        <v>2810</v>
      </c>
      <c r="BS758">
        <v>280</v>
      </c>
    </row>
    <row r="759" spans="1:71" x14ac:dyDescent="0.25">
      <c r="A759" t="s">
        <v>721</v>
      </c>
      <c r="B759">
        <v>2020</v>
      </c>
      <c r="C759">
        <v>12</v>
      </c>
      <c r="D759">
        <v>89</v>
      </c>
      <c r="E759">
        <v>255</v>
      </c>
      <c r="F759">
        <v>408</v>
      </c>
      <c r="G759">
        <v>310</v>
      </c>
      <c r="H759">
        <v>164</v>
      </c>
      <c r="I759">
        <v>360</v>
      </c>
      <c r="K759">
        <v>360</v>
      </c>
      <c r="P759">
        <v>35</v>
      </c>
      <c r="Q759">
        <v>200</v>
      </c>
      <c r="R759">
        <v>120</v>
      </c>
      <c r="S759">
        <v>350</v>
      </c>
      <c r="T759">
        <v>908</v>
      </c>
      <c r="U759">
        <v>400</v>
      </c>
      <c r="V759">
        <v>204</v>
      </c>
      <c r="W759">
        <v>480</v>
      </c>
      <c r="BF759">
        <v>56</v>
      </c>
      <c r="BG759">
        <v>300</v>
      </c>
      <c r="BH759">
        <v>720</v>
      </c>
      <c r="BI759">
        <v>315</v>
      </c>
      <c r="BJ759">
        <v>95</v>
      </c>
      <c r="BK759">
        <v>320</v>
      </c>
      <c r="BL759">
        <v>1360</v>
      </c>
      <c r="BM759">
        <v>400</v>
      </c>
      <c r="BN759">
        <v>43</v>
      </c>
      <c r="BO759">
        <v>175</v>
      </c>
      <c r="BP759">
        <v>43</v>
      </c>
      <c r="BQ759">
        <v>175</v>
      </c>
      <c r="BR759">
        <v>2125</v>
      </c>
      <c r="BS759">
        <v>365</v>
      </c>
    </row>
    <row r="760" spans="1:71" x14ac:dyDescent="0.25">
      <c r="A760" t="s">
        <v>722</v>
      </c>
      <c r="B760">
        <v>2020</v>
      </c>
      <c r="C760">
        <v>12</v>
      </c>
      <c r="D760">
        <v>112</v>
      </c>
      <c r="E760">
        <v>252</v>
      </c>
      <c r="F760">
        <v>607</v>
      </c>
      <c r="G760">
        <v>310</v>
      </c>
      <c r="H760">
        <v>134</v>
      </c>
      <c r="I760">
        <v>415</v>
      </c>
      <c r="K760">
        <v>475</v>
      </c>
      <c r="P760">
        <v>15</v>
      </c>
      <c r="Q760">
        <v>185</v>
      </c>
      <c r="R760">
        <v>167</v>
      </c>
      <c r="S760">
        <v>350</v>
      </c>
      <c r="T760">
        <v>685</v>
      </c>
      <c r="U760">
        <v>420</v>
      </c>
      <c r="V760">
        <v>148</v>
      </c>
      <c r="W760">
        <v>530</v>
      </c>
      <c r="BF760">
        <v>80</v>
      </c>
      <c r="BG760">
        <v>282.5</v>
      </c>
      <c r="BH760">
        <v>935</v>
      </c>
      <c r="BI760">
        <v>315</v>
      </c>
      <c r="BJ760">
        <v>78</v>
      </c>
      <c r="BK760">
        <v>333</v>
      </c>
      <c r="BL760">
        <v>1095</v>
      </c>
      <c r="BM760">
        <v>410</v>
      </c>
      <c r="BN760">
        <v>46</v>
      </c>
      <c r="BO760">
        <v>177.5</v>
      </c>
      <c r="BP760">
        <v>46</v>
      </c>
      <c r="BQ760">
        <v>177.5</v>
      </c>
      <c r="BR760">
        <v>2075</v>
      </c>
      <c r="BS760">
        <v>365</v>
      </c>
    </row>
    <row r="761" spans="1:71" x14ac:dyDescent="0.25">
      <c r="A761" t="s">
        <v>723</v>
      </c>
      <c r="B761">
        <v>2020</v>
      </c>
      <c r="C761">
        <v>12</v>
      </c>
      <c r="D761">
        <v>11</v>
      </c>
      <c r="E761">
        <v>160</v>
      </c>
      <c r="F761">
        <v>18</v>
      </c>
      <c r="G761">
        <v>200</v>
      </c>
      <c r="H761">
        <v>14</v>
      </c>
      <c r="I761">
        <v>280</v>
      </c>
      <c r="J761">
        <v>280</v>
      </c>
      <c r="K761">
        <v>280</v>
      </c>
      <c r="P761">
        <v>10</v>
      </c>
      <c r="Q761">
        <v>131</v>
      </c>
      <c r="R761">
        <v>23</v>
      </c>
      <c r="S761">
        <v>225</v>
      </c>
      <c r="T761">
        <v>220</v>
      </c>
      <c r="U761">
        <v>250</v>
      </c>
      <c r="V761">
        <v>48</v>
      </c>
      <c r="W761">
        <v>310</v>
      </c>
      <c r="BG761">
        <v>220</v>
      </c>
      <c r="BH761">
        <v>45</v>
      </c>
      <c r="BI761">
        <v>200</v>
      </c>
      <c r="BJ761">
        <v>27</v>
      </c>
      <c r="BK761">
        <v>240</v>
      </c>
      <c r="BL761">
        <v>330</v>
      </c>
      <c r="BM761">
        <v>250</v>
      </c>
      <c r="BN761">
        <v>250</v>
      </c>
      <c r="BO761">
        <v>250</v>
      </c>
      <c r="BP761">
        <v>250</v>
      </c>
      <c r="BQ761">
        <v>250</v>
      </c>
      <c r="BR761">
        <v>375</v>
      </c>
      <c r="BS761">
        <v>250</v>
      </c>
    </row>
    <row r="762" spans="1:71" x14ac:dyDescent="0.25">
      <c r="A762" t="s">
        <v>711</v>
      </c>
      <c r="B762">
        <v>2021</v>
      </c>
      <c r="C762">
        <v>3</v>
      </c>
      <c r="E762">
        <v>320</v>
      </c>
      <c r="F762">
        <v>25</v>
      </c>
      <c r="G762">
        <v>310</v>
      </c>
      <c r="H762">
        <v>24</v>
      </c>
      <c r="I762">
        <v>352.5</v>
      </c>
      <c r="K762">
        <v>380</v>
      </c>
      <c r="Q762">
        <v>300</v>
      </c>
      <c r="R762">
        <v>19</v>
      </c>
      <c r="S762">
        <v>400</v>
      </c>
      <c r="T762">
        <v>159</v>
      </c>
      <c r="U762">
        <v>390</v>
      </c>
      <c r="V762">
        <v>88</v>
      </c>
      <c r="W762">
        <v>450</v>
      </c>
      <c r="BF762">
        <v>7</v>
      </c>
      <c r="BG762">
        <v>220</v>
      </c>
      <c r="BH762">
        <v>65</v>
      </c>
      <c r="BI762">
        <v>340</v>
      </c>
      <c r="BJ762">
        <v>6</v>
      </c>
      <c r="BK762">
        <v>395</v>
      </c>
      <c r="BL762">
        <v>275</v>
      </c>
      <c r="BM762">
        <v>410</v>
      </c>
      <c r="BO762">
        <v>165</v>
      </c>
      <c r="BQ762">
        <v>165</v>
      </c>
      <c r="BR762">
        <v>340</v>
      </c>
      <c r="BS762">
        <v>392.5</v>
      </c>
    </row>
    <row r="763" spans="1:71" x14ac:dyDescent="0.25">
      <c r="A763" t="s">
        <v>712</v>
      </c>
      <c r="B763">
        <v>2021</v>
      </c>
      <c r="C763">
        <v>3</v>
      </c>
      <c r="E763">
        <v>202.5</v>
      </c>
      <c r="F763">
        <v>16</v>
      </c>
      <c r="G763">
        <v>260</v>
      </c>
      <c r="H763">
        <v>11</v>
      </c>
      <c r="I763">
        <v>305</v>
      </c>
      <c r="J763">
        <v>305</v>
      </c>
      <c r="K763">
        <v>305</v>
      </c>
      <c r="Q763">
        <v>195</v>
      </c>
      <c r="R763">
        <v>22</v>
      </c>
      <c r="S763">
        <v>280</v>
      </c>
      <c r="T763">
        <v>166</v>
      </c>
      <c r="U763">
        <v>330</v>
      </c>
      <c r="V763">
        <v>62</v>
      </c>
      <c r="W763">
        <v>420</v>
      </c>
      <c r="BG763">
        <v>174</v>
      </c>
      <c r="BH763">
        <v>30</v>
      </c>
      <c r="BI763">
        <v>272.5</v>
      </c>
      <c r="BJ763">
        <v>6</v>
      </c>
      <c r="BK763">
        <v>265</v>
      </c>
      <c r="BL763">
        <v>260</v>
      </c>
      <c r="BM763">
        <v>350</v>
      </c>
      <c r="BN763">
        <v>350</v>
      </c>
      <c r="BO763">
        <v>350</v>
      </c>
      <c r="BP763">
        <v>350</v>
      </c>
      <c r="BQ763">
        <v>350</v>
      </c>
      <c r="BR763">
        <v>290</v>
      </c>
      <c r="BS763">
        <v>330</v>
      </c>
    </row>
    <row r="764" spans="1:71" x14ac:dyDescent="0.25">
      <c r="A764" t="s">
        <v>713</v>
      </c>
      <c r="B764">
        <v>2021</v>
      </c>
      <c r="C764">
        <v>3</v>
      </c>
      <c r="D764">
        <v>827</v>
      </c>
      <c r="E764">
        <v>300</v>
      </c>
      <c r="F764">
        <v>1298</v>
      </c>
      <c r="G764">
        <v>385</v>
      </c>
      <c r="H764">
        <v>312</v>
      </c>
      <c r="I764">
        <v>465</v>
      </c>
      <c r="J764">
        <v>7</v>
      </c>
      <c r="K764">
        <v>650</v>
      </c>
      <c r="P764">
        <v>49</v>
      </c>
      <c r="Q764">
        <v>178</v>
      </c>
      <c r="R764">
        <v>230</v>
      </c>
      <c r="S764">
        <v>430</v>
      </c>
      <c r="T764">
        <v>637</v>
      </c>
      <c r="U764">
        <v>480</v>
      </c>
      <c r="V764">
        <v>194</v>
      </c>
      <c r="W764">
        <v>630</v>
      </c>
      <c r="BF764">
        <v>74</v>
      </c>
      <c r="BG764">
        <v>290</v>
      </c>
      <c r="BH764">
        <v>2520</v>
      </c>
      <c r="BI764">
        <v>365</v>
      </c>
      <c r="BJ764">
        <v>49</v>
      </c>
      <c r="BK764">
        <v>390</v>
      </c>
      <c r="BL764">
        <v>1160</v>
      </c>
      <c r="BM764">
        <v>470</v>
      </c>
      <c r="BN764">
        <v>106</v>
      </c>
      <c r="BO764">
        <v>185</v>
      </c>
      <c r="BP764">
        <v>106</v>
      </c>
      <c r="BQ764">
        <v>185</v>
      </c>
      <c r="BR764">
        <v>3785</v>
      </c>
      <c r="BS764">
        <v>395</v>
      </c>
    </row>
    <row r="765" spans="1:71" x14ac:dyDescent="0.25">
      <c r="A765" t="s">
        <v>714</v>
      </c>
      <c r="B765">
        <v>2021</v>
      </c>
      <c r="C765">
        <v>3</v>
      </c>
      <c r="D765">
        <v>22</v>
      </c>
      <c r="E765">
        <v>177.5</v>
      </c>
      <c r="F765">
        <v>58</v>
      </c>
      <c r="G765">
        <v>240</v>
      </c>
      <c r="H765">
        <v>18</v>
      </c>
      <c r="I765">
        <v>275</v>
      </c>
      <c r="K765">
        <v>440</v>
      </c>
      <c r="Q765">
        <v>187.5</v>
      </c>
      <c r="R765">
        <v>37</v>
      </c>
      <c r="S765">
        <v>200</v>
      </c>
      <c r="T765">
        <v>186</v>
      </c>
      <c r="U765">
        <v>272.5</v>
      </c>
      <c r="V765">
        <v>52</v>
      </c>
      <c r="W765">
        <v>352.5</v>
      </c>
      <c r="BG765">
        <v>200</v>
      </c>
      <c r="BH765">
        <v>105</v>
      </c>
      <c r="BI765">
        <v>240</v>
      </c>
      <c r="BJ765">
        <v>15</v>
      </c>
      <c r="BK765">
        <v>300</v>
      </c>
      <c r="BL765">
        <v>295</v>
      </c>
      <c r="BM765">
        <v>280</v>
      </c>
      <c r="BO765">
        <v>172.5</v>
      </c>
      <c r="BQ765">
        <v>172.5</v>
      </c>
      <c r="BR765">
        <v>400</v>
      </c>
      <c r="BS765">
        <v>260</v>
      </c>
    </row>
    <row r="766" spans="1:71" x14ac:dyDescent="0.25">
      <c r="A766" t="s">
        <v>715</v>
      </c>
      <c r="B766">
        <v>2021</v>
      </c>
      <c r="C766">
        <v>3</v>
      </c>
      <c r="D766">
        <v>12</v>
      </c>
      <c r="E766">
        <v>215</v>
      </c>
      <c r="F766">
        <v>34</v>
      </c>
      <c r="G766">
        <v>227.5</v>
      </c>
      <c r="H766">
        <v>8</v>
      </c>
      <c r="I766">
        <v>205</v>
      </c>
      <c r="K766">
        <v>310</v>
      </c>
      <c r="Q766">
        <v>240</v>
      </c>
      <c r="R766">
        <v>15</v>
      </c>
      <c r="S766">
        <v>250</v>
      </c>
      <c r="T766">
        <v>115</v>
      </c>
      <c r="U766">
        <v>280</v>
      </c>
      <c r="V766">
        <v>37</v>
      </c>
      <c r="W766">
        <v>440</v>
      </c>
      <c r="BF766">
        <v>310</v>
      </c>
      <c r="BG766">
        <v>310</v>
      </c>
      <c r="BH766">
        <v>55</v>
      </c>
      <c r="BI766">
        <v>220</v>
      </c>
      <c r="BK766">
        <v>220</v>
      </c>
      <c r="BL766">
        <v>170</v>
      </c>
      <c r="BM766">
        <v>310</v>
      </c>
      <c r="BO766">
        <v>220</v>
      </c>
      <c r="BQ766">
        <v>220</v>
      </c>
      <c r="BR766">
        <v>225</v>
      </c>
      <c r="BS766">
        <v>280</v>
      </c>
    </row>
    <row r="767" spans="1:71" x14ac:dyDescent="0.25">
      <c r="A767" t="s">
        <v>716</v>
      </c>
      <c r="B767">
        <v>2021</v>
      </c>
      <c r="C767">
        <v>3</v>
      </c>
      <c r="D767">
        <v>12</v>
      </c>
      <c r="E767">
        <v>200</v>
      </c>
      <c r="F767">
        <v>24</v>
      </c>
      <c r="G767">
        <v>265</v>
      </c>
      <c r="H767">
        <v>8</v>
      </c>
      <c r="I767">
        <v>415</v>
      </c>
      <c r="K767">
        <v>280</v>
      </c>
      <c r="Q767">
        <v>255</v>
      </c>
      <c r="R767">
        <v>17</v>
      </c>
      <c r="S767">
        <v>270</v>
      </c>
      <c r="T767">
        <v>97</v>
      </c>
      <c r="U767">
        <v>320</v>
      </c>
      <c r="V767">
        <v>59</v>
      </c>
      <c r="W767">
        <v>400</v>
      </c>
      <c r="BG767">
        <v>190</v>
      </c>
      <c r="BH767">
        <v>45</v>
      </c>
      <c r="BI767">
        <v>260</v>
      </c>
      <c r="BJ767">
        <v>14</v>
      </c>
      <c r="BK767">
        <v>360</v>
      </c>
      <c r="BL767">
        <v>190</v>
      </c>
      <c r="BM767">
        <v>345</v>
      </c>
      <c r="BO767">
        <v>310</v>
      </c>
      <c r="BQ767">
        <v>310</v>
      </c>
      <c r="BR767">
        <v>240</v>
      </c>
      <c r="BS767">
        <v>330</v>
      </c>
    </row>
    <row r="768" spans="1:71" x14ac:dyDescent="0.25">
      <c r="A768" t="s">
        <v>717</v>
      </c>
      <c r="B768">
        <v>2021</v>
      </c>
      <c r="C768">
        <v>3</v>
      </c>
      <c r="D768">
        <v>21</v>
      </c>
      <c r="E768">
        <v>170</v>
      </c>
      <c r="F768">
        <v>103</v>
      </c>
      <c r="G768">
        <v>210</v>
      </c>
      <c r="H768">
        <v>18</v>
      </c>
      <c r="I768">
        <v>276.5</v>
      </c>
      <c r="J768">
        <v>276.5</v>
      </c>
      <c r="K768">
        <v>276.5</v>
      </c>
      <c r="Q768">
        <v>175</v>
      </c>
      <c r="R768">
        <v>40</v>
      </c>
      <c r="S768">
        <v>242.5</v>
      </c>
      <c r="T768">
        <v>205</v>
      </c>
      <c r="U768">
        <v>270</v>
      </c>
      <c r="V768">
        <v>43</v>
      </c>
      <c r="W768">
        <v>360</v>
      </c>
      <c r="BG768">
        <v>240</v>
      </c>
      <c r="BH768">
        <v>145</v>
      </c>
      <c r="BI768">
        <v>210</v>
      </c>
      <c r="BJ768">
        <v>10</v>
      </c>
      <c r="BK768">
        <v>255</v>
      </c>
      <c r="BL768">
        <v>300</v>
      </c>
      <c r="BM768">
        <v>270</v>
      </c>
      <c r="BN768">
        <v>270</v>
      </c>
      <c r="BO768">
        <v>270</v>
      </c>
      <c r="BP768">
        <v>270</v>
      </c>
      <c r="BQ768">
        <v>270</v>
      </c>
      <c r="BR768">
        <v>445</v>
      </c>
      <c r="BS768">
        <v>250</v>
      </c>
    </row>
    <row r="769" spans="1:71" x14ac:dyDescent="0.25">
      <c r="A769" t="s">
        <v>725</v>
      </c>
      <c r="B769">
        <v>2021</v>
      </c>
      <c r="C769">
        <v>3</v>
      </c>
      <c r="D769">
        <v>1131</v>
      </c>
      <c r="E769">
        <v>290</v>
      </c>
      <c r="F769">
        <v>2862</v>
      </c>
      <c r="G769">
        <v>335</v>
      </c>
      <c r="H769">
        <v>814</v>
      </c>
      <c r="I769">
        <v>420</v>
      </c>
      <c r="J769">
        <v>34</v>
      </c>
      <c r="K769">
        <v>522.5</v>
      </c>
      <c r="P769">
        <v>144</v>
      </c>
      <c r="Q769">
        <v>178</v>
      </c>
      <c r="R769">
        <v>671</v>
      </c>
      <c r="S769">
        <v>375</v>
      </c>
      <c r="T769">
        <v>3944</v>
      </c>
      <c r="U769">
        <v>400</v>
      </c>
      <c r="V769">
        <v>925</v>
      </c>
      <c r="W769">
        <v>490</v>
      </c>
      <c r="BF769">
        <v>203</v>
      </c>
      <c r="BG769">
        <v>270</v>
      </c>
      <c r="BH769">
        <v>5045</v>
      </c>
      <c r="BI769">
        <v>335</v>
      </c>
      <c r="BJ769">
        <v>328</v>
      </c>
      <c r="BK769">
        <v>330</v>
      </c>
      <c r="BL769">
        <v>6010</v>
      </c>
      <c r="BM769">
        <v>400</v>
      </c>
      <c r="BN769">
        <v>283</v>
      </c>
      <c r="BO769">
        <v>185</v>
      </c>
      <c r="BP769">
        <v>283</v>
      </c>
      <c r="BQ769">
        <v>185</v>
      </c>
      <c r="BR769">
        <v>11340</v>
      </c>
      <c r="BS769">
        <v>370</v>
      </c>
    </row>
    <row r="770" spans="1:71" x14ac:dyDescent="0.25">
      <c r="A770" t="s">
        <v>718</v>
      </c>
      <c r="B770">
        <v>2021</v>
      </c>
      <c r="C770">
        <v>3</v>
      </c>
      <c r="D770">
        <v>20</v>
      </c>
      <c r="E770">
        <v>162.5</v>
      </c>
      <c r="F770">
        <v>46</v>
      </c>
      <c r="G770">
        <v>200</v>
      </c>
      <c r="H770">
        <v>15</v>
      </c>
      <c r="I770">
        <v>260</v>
      </c>
      <c r="J770">
        <v>260</v>
      </c>
      <c r="K770">
        <v>260</v>
      </c>
      <c r="P770">
        <v>15</v>
      </c>
      <c r="Q770">
        <v>195</v>
      </c>
      <c r="R770">
        <v>42</v>
      </c>
      <c r="S770">
        <v>240</v>
      </c>
      <c r="T770">
        <v>195</v>
      </c>
      <c r="U770">
        <v>260</v>
      </c>
      <c r="V770">
        <v>64</v>
      </c>
      <c r="W770">
        <v>302.5</v>
      </c>
      <c r="BF770">
        <v>6</v>
      </c>
      <c r="BG770">
        <v>210</v>
      </c>
      <c r="BH770">
        <v>85</v>
      </c>
      <c r="BI770">
        <v>200</v>
      </c>
      <c r="BJ770">
        <v>23</v>
      </c>
      <c r="BK770">
        <v>265</v>
      </c>
      <c r="BL770">
        <v>340</v>
      </c>
      <c r="BM770">
        <v>265</v>
      </c>
      <c r="BN770">
        <v>32</v>
      </c>
      <c r="BO770">
        <v>170</v>
      </c>
      <c r="BP770">
        <v>32</v>
      </c>
      <c r="BQ770">
        <v>170</v>
      </c>
      <c r="BR770">
        <v>460</v>
      </c>
      <c r="BS770">
        <v>252</v>
      </c>
    </row>
    <row r="771" spans="1:71" x14ac:dyDescent="0.25">
      <c r="A771" t="s">
        <v>719</v>
      </c>
      <c r="B771">
        <v>2021</v>
      </c>
      <c r="C771">
        <v>3</v>
      </c>
      <c r="D771">
        <v>77</v>
      </c>
      <c r="E771">
        <v>215</v>
      </c>
      <c r="F771">
        <v>380</v>
      </c>
      <c r="G771">
        <v>290</v>
      </c>
      <c r="H771">
        <v>151</v>
      </c>
      <c r="I771">
        <v>350</v>
      </c>
      <c r="J771">
        <v>7</v>
      </c>
      <c r="K771">
        <v>490</v>
      </c>
      <c r="P771">
        <v>32</v>
      </c>
      <c r="Q771">
        <v>175</v>
      </c>
      <c r="R771">
        <v>128</v>
      </c>
      <c r="S771">
        <v>300</v>
      </c>
      <c r="T771">
        <v>1506</v>
      </c>
      <c r="U771">
        <v>350</v>
      </c>
      <c r="V771">
        <v>285</v>
      </c>
      <c r="W771">
        <v>420</v>
      </c>
      <c r="BF771">
        <v>31</v>
      </c>
      <c r="BG771">
        <v>230</v>
      </c>
      <c r="BH771">
        <v>645</v>
      </c>
      <c r="BI771">
        <v>300</v>
      </c>
      <c r="BJ771">
        <v>115</v>
      </c>
      <c r="BK771">
        <v>320</v>
      </c>
      <c r="BL771">
        <v>2065</v>
      </c>
      <c r="BM771">
        <v>350</v>
      </c>
      <c r="BN771">
        <v>62</v>
      </c>
      <c r="BO771">
        <v>190</v>
      </c>
      <c r="BP771">
        <v>62</v>
      </c>
      <c r="BQ771">
        <v>190</v>
      </c>
      <c r="BR771">
        <v>2775</v>
      </c>
      <c r="BS771">
        <v>335</v>
      </c>
    </row>
    <row r="772" spans="1:71" x14ac:dyDescent="0.25">
      <c r="A772" t="s">
        <v>726</v>
      </c>
      <c r="B772">
        <v>2021</v>
      </c>
      <c r="C772">
        <v>3</v>
      </c>
      <c r="D772">
        <v>111</v>
      </c>
      <c r="E772">
        <v>180</v>
      </c>
      <c r="F772">
        <v>318</v>
      </c>
      <c r="G772">
        <v>220</v>
      </c>
      <c r="H772">
        <v>103</v>
      </c>
      <c r="I772">
        <v>300</v>
      </c>
      <c r="J772">
        <v>7</v>
      </c>
      <c r="K772">
        <v>380</v>
      </c>
      <c r="P772">
        <v>45</v>
      </c>
      <c r="Q772">
        <v>200</v>
      </c>
      <c r="R772">
        <v>236</v>
      </c>
      <c r="S772">
        <v>250</v>
      </c>
      <c r="T772">
        <v>1372</v>
      </c>
      <c r="U772">
        <v>290</v>
      </c>
      <c r="V772">
        <v>463</v>
      </c>
      <c r="W772">
        <v>390</v>
      </c>
      <c r="BF772">
        <v>27</v>
      </c>
      <c r="BG772">
        <v>210</v>
      </c>
      <c r="BH772">
        <v>565</v>
      </c>
      <c r="BI772">
        <v>220</v>
      </c>
      <c r="BJ772">
        <v>88</v>
      </c>
      <c r="BK772">
        <v>270</v>
      </c>
      <c r="BL772">
        <v>2205</v>
      </c>
      <c r="BM772">
        <v>300</v>
      </c>
      <c r="BN772">
        <v>37</v>
      </c>
      <c r="BO772">
        <v>170</v>
      </c>
      <c r="BP772">
        <v>37</v>
      </c>
      <c r="BQ772">
        <v>170</v>
      </c>
      <c r="BR772">
        <v>2805</v>
      </c>
      <c r="BS772">
        <v>280</v>
      </c>
    </row>
    <row r="773" spans="1:71" x14ac:dyDescent="0.25">
      <c r="A773" t="s">
        <v>721</v>
      </c>
      <c r="B773">
        <v>2021</v>
      </c>
      <c r="C773">
        <v>3</v>
      </c>
      <c r="D773">
        <v>106</v>
      </c>
      <c r="E773">
        <v>250</v>
      </c>
      <c r="F773">
        <v>504</v>
      </c>
      <c r="G773">
        <v>320</v>
      </c>
      <c r="H773">
        <v>174</v>
      </c>
      <c r="I773">
        <v>380</v>
      </c>
      <c r="J773">
        <v>9</v>
      </c>
      <c r="K773">
        <v>415</v>
      </c>
      <c r="P773">
        <v>28</v>
      </c>
      <c r="Q773">
        <v>175</v>
      </c>
      <c r="R773">
        <v>133</v>
      </c>
      <c r="S773">
        <v>350</v>
      </c>
      <c r="T773">
        <v>1012</v>
      </c>
      <c r="U773">
        <v>400</v>
      </c>
      <c r="V773">
        <v>264</v>
      </c>
      <c r="W773">
        <v>490</v>
      </c>
      <c r="BF773">
        <v>43</v>
      </c>
      <c r="BG773">
        <v>265</v>
      </c>
      <c r="BH773">
        <v>835</v>
      </c>
      <c r="BI773">
        <v>320</v>
      </c>
      <c r="BJ773">
        <v>93</v>
      </c>
      <c r="BK773">
        <v>300</v>
      </c>
      <c r="BL773">
        <v>1530</v>
      </c>
      <c r="BM773">
        <v>407.5</v>
      </c>
      <c r="BN773">
        <v>64</v>
      </c>
      <c r="BO773">
        <v>180</v>
      </c>
      <c r="BP773">
        <v>64</v>
      </c>
      <c r="BQ773">
        <v>180</v>
      </c>
      <c r="BR773">
        <v>2430</v>
      </c>
      <c r="BS773">
        <v>370</v>
      </c>
    </row>
    <row r="774" spans="1:71" x14ac:dyDescent="0.25">
      <c r="A774" t="s">
        <v>722</v>
      </c>
      <c r="B774">
        <v>2021</v>
      </c>
      <c r="C774">
        <v>3</v>
      </c>
      <c r="D774">
        <v>121</v>
      </c>
      <c r="E774">
        <v>245</v>
      </c>
      <c r="F774">
        <v>680</v>
      </c>
      <c r="G774">
        <v>312.5</v>
      </c>
      <c r="H774">
        <v>177</v>
      </c>
      <c r="I774">
        <v>435</v>
      </c>
      <c r="J774">
        <v>11</v>
      </c>
      <c r="K774">
        <v>520</v>
      </c>
      <c r="P774">
        <v>35</v>
      </c>
      <c r="Q774">
        <v>200</v>
      </c>
      <c r="R774">
        <v>180</v>
      </c>
      <c r="S774">
        <v>360</v>
      </c>
      <c r="T774">
        <v>789</v>
      </c>
      <c r="U774">
        <v>440</v>
      </c>
      <c r="V774">
        <v>182</v>
      </c>
      <c r="W774">
        <v>535</v>
      </c>
      <c r="BF774">
        <v>55</v>
      </c>
      <c r="BG774">
        <v>280</v>
      </c>
      <c r="BH774">
        <v>1045</v>
      </c>
      <c r="BI774">
        <v>320</v>
      </c>
      <c r="BJ774">
        <v>71</v>
      </c>
      <c r="BK774">
        <v>350</v>
      </c>
      <c r="BL774">
        <v>1255</v>
      </c>
      <c r="BM774">
        <v>430</v>
      </c>
      <c r="BN774">
        <v>51</v>
      </c>
      <c r="BO774">
        <v>185</v>
      </c>
      <c r="BP774">
        <v>51</v>
      </c>
      <c r="BQ774">
        <v>185</v>
      </c>
      <c r="BR774">
        <v>2350</v>
      </c>
      <c r="BS774">
        <v>380</v>
      </c>
    </row>
    <row r="775" spans="1:71" x14ac:dyDescent="0.25">
      <c r="A775" t="s">
        <v>723</v>
      </c>
      <c r="B775">
        <v>2021</v>
      </c>
      <c r="C775">
        <v>3</v>
      </c>
      <c r="D775">
        <v>15</v>
      </c>
      <c r="E775">
        <v>150</v>
      </c>
      <c r="F775">
        <v>12</v>
      </c>
      <c r="G775">
        <v>166</v>
      </c>
      <c r="I775">
        <v>260</v>
      </c>
      <c r="K775">
        <v>350</v>
      </c>
      <c r="P775">
        <v>11</v>
      </c>
      <c r="Q775">
        <v>180</v>
      </c>
      <c r="R775">
        <v>44</v>
      </c>
      <c r="S775">
        <v>235</v>
      </c>
      <c r="T775">
        <v>249</v>
      </c>
      <c r="U775">
        <v>255</v>
      </c>
      <c r="V775">
        <v>58</v>
      </c>
      <c r="W775">
        <v>325</v>
      </c>
      <c r="BG775">
        <v>125</v>
      </c>
      <c r="BH775">
        <v>30</v>
      </c>
      <c r="BI775">
        <v>155</v>
      </c>
      <c r="BJ775">
        <v>13</v>
      </c>
      <c r="BK775">
        <v>230</v>
      </c>
      <c r="BL775">
        <v>375</v>
      </c>
      <c r="BM775">
        <v>255</v>
      </c>
      <c r="BN775">
        <v>255</v>
      </c>
      <c r="BO775">
        <v>255</v>
      </c>
      <c r="BP775">
        <v>255</v>
      </c>
      <c r="BQ775">
        <v>255</v>
      </c>
      <c r="BR775">
        <v>405</v>
      </c>
      <c r="BS775">
        <v>250</v>
      </c>
    </row>
    <row r="776" spans="1:71" x14ac:dyDescent="0.25">
      <c r="A776" t="s">
        <v>711</v>
      </c>
      <c r="B776">
        <v>2021</v>
      </c>
      <c r="C776">
        <v>6</v>
      </c>
      <c r="E776">
        <v>340</v>
      </c>
      <c r="F776">
        <v>21</v>
      </c>
      <c r="G776">
        <v>300</v>
      </c>
      <c r="H776">
        <v>31</v>
      </c>
      <c r="I776">
        <v>380</v>
      </c>
      <c r="K776">
        <v>440</v>
      </c>
      <c r="Q776">
        <v>370</v>
      </c>
      <c r="R776">
        <v>27</v>
      </c>
      <c r="S776">
        <v>350</v>
      </c>
      <c r="T776">
        <v>149</v>
      </c>
      <c r="U776">
        <v>400</v>
      </c>
      <c r="V776">
        <v>79</v>
      </c>
      <c r="W776">
        <v>480</v>
      </c>
      <c r="BF776">
        <v>13</v>
      </c>
      <c r="BG776">
        <v>295</v>
      </c>
      <c r="BH776">
        <v>75</v>
      </c>
      <c r="BI776">
        <v>350</v>
      </c>
      <c r="BJ776">
        <v>19</v>
      </c>
      <c r="BK776">
        <v>352.5</v>
      </c>
      <c r="BL776">
        <v>275</v>
      </c>
      <c r="BM776">
        <v>410</v>
      </c>
      <c r="BN776">
        <v>7</v>
      </c>
      <c r="BO776">
        <v>350</v>
      </c>
      <c r="BP776">
        <v>7</v>
      </c>
      <c r="BQ776">
        <v>350</v>
      </c>
      <c r="BR776">
        <v>355</v>
      </c>
      <c r="BS776">
        <v>390</v>
      </c>
    </row>
    <row r="777" spans="1:71" x14ac:dyDescent="0.25">
      <c r="A777" t="s">
        <v>712</v>
      </c>
      <c r="B777">
        <v>2021</v>
      </c>
      <c r="C777">
        <v>6</v>
      </c>
      <c r="E777">
        <v>207.5</v>
      </c>
      <c r="F777">
        <v>35</v>
      </c>
      <c r="G777">
        <v>255</v>
      </c>
      <c r="H777">
        <v>13</v>
      </c>
      <c r="I777">
        <v>335</v>
      </c>
      <c r="K777">
        <v>380</v>
      </c>
      <c r="Q777">
        <v>177</v>
      </c>
      <c r="R777">
        <v>23</v>
      </c>
      <c r="S777">
        <v>285</v>
      </c>
      <c r="T777">
        <v>181</v>
      </c>
      <c r="U777">
        <v>340</v>
      </c>
      <c r="V777">
        <v>57</v>
      </c>
      <c r="W777">
        <v>430</v>
      </c>
      <c r="BF777">
        <v>6</v>
      </c>
      <c r="BG777">
        <v>220</v>
      </c>
      <c r="BH777">
        <v>60</v>
      </c>
      <c r="BI777">
        <v>265</v>
      </c>
      <c r="BJ777">
        <v>16</v>
      </c>
      <c r="BK777">
        <v>310</v>
      </c>
      <c r="BL777">
        <v>280</v>
      </c>
      <c r="BM777">
        <v>350</v>
      </c>
      <c r="BN777">
        <v>350</v>
      </c>
      <c r="BO777">
        <v>350</v>
      </c>
      <c r="BP777">
        <v>350</v>
      </c>
      <c r="BQ777">
        <v>350</v>
      </c>
      <c r="BR777">
        <v>340</v>
      </c>
      <c r="BS777">
        <v>340</v>
      </c>
    </row>
    <row r="778" spans="1:71" x14ac:dyDescent="0.25">
      <c r="A778" t="s">
        <v>713</v>
      </c>
      <c r="B778">
        <v>2021</v>
      </c>
      <c r="C778">
        <v>6</v>
      </c>
      <c r="D778">
        <v>479</v>
      </c>
      <c r="E778">
        <v>310</v>
      </c>
      <c r="F778">
        <v>942</v>
      </c>
      <c r="G778">
        <v>380</v>
      </c>
      <c r="H778">
        <v>227</v>
      </c>
      <c r="I778">
        <v>480</v>
      </c>
      <c r="J778">
        <v>7</v>
      </c>
      <c r="K778">
        <v>480</v>
      </c>
      <c r="P778">
        <v>68</v>
      </c>
      <c r="Q778">
        <v>178</v>
      </c>
      <c r="R778">
        <v>168</v>
      </c>
      <c r="S778">
        <v>420</v>
      </c>
      <c r="T778">
        <v>552</v>
      </c>
      <c r="U778">
        <v>475</v>
      </c>
      <c r="V778">
        <v>178</v>
      </c>
      <c r="W778">
        <v>625</v>
      </c>
      <c r="BF778">
        <v>92</v>
      </c>
      <c r="BG778">
        <v>325</v>
      </c>
      <c r="BH778">
        <v>1745</v>
      </c>
      <c r="BI778">
        <v>370</v>
      </c>
      <c r="BJ778">
        <v>78</v>
      </c>
      <c r="BK778">
        <v>420</v>
      </c>
      <c r="BL778">
        <v>1045</v>
      </c>
      <c r="BM778">
        <v>465</v>
      </c>
      <c r="BN778">
        <v>88</v>
      </c>
      <c r="BO778">
        <v>180</v>
      </c>
      <c r="BP778">
        <v>88</v>
      </c>
      <c r="BQ778">
        <v>180</v>
      </c>
      <c r="BR778">
        <v>2880</v>
      </c>
      <c r="BS778">
        <v>400</v>
      </c>
    </row>
    <row r="779" spans="1:71" x14ac:dyDescent="0.25">
      <c r="A779" t="s">
        <v>714</v>
      </c>
      <c r="B779">
        <v>2021</v>
      </c>
      <c r="C779">
        <v>6</v>
      </c>
      <c r="D779">
        <v>23</v>
      </c>
      <c r="E779">
        <v>175</v>
      </c>
      <c r="F779">
        <v>64</v>
      </c>
      <c r="G779">
        <v>220</v>
      </c>
      <c r="H779">
        <v>19</v>
      </c>
      <c r="I779">
        <v>340</v>
      </c>
      <c r="K779">
        <v>400</v>
      </c>
      <c r="Q779">
        <v>210</v>
      </c>
      <c r="R779">
        <v>33</v>
      </c>
      <c r="S779">
        <v>240</v>
      </c>
      <c r="T779">
        <v>162</v>
      </c>
      <c r="U779">
        <v>250</v>
      </c>
      <c r="V779">
        <v>33</v>
      </c>
      <c r="W779">
        <v>380</v>
      </c>
      <c r="BF779">
        <v>12</v>
      </c>
      <c r="BG779">
        <v>222.5</v>
      </c>
      <c r="BH779">
        <v>120</v>
      </c>
      <c r="BI779">
        <v>225</v>
      </c>
      <c r="BJ779">
        <v>16</v>
      </c>
      <c r="BK779">
        <v>277.5</v>
      </c>
      <c r="BL779">
        <v>245</v>
      </c>
      <c r="BM779">
        <v>270</v>
      </c>
      <c r="BO779">
        <v>175</v>
      </c>
      <c r="BQ779">
        <v>175</v>
      </c>
      <c r="BR779">
        <v>370</v>
      </c>
      <c r="BS779">
        <v>250</v>
      </c>
    </row>
    <row r="780" spans="1:71" x14ac:dyDescent="0.25">
      <c r="A780" t="s">
        <v>715</v>
      </c>
      <c r="B780">
        <v>2021</v>
      </c>
      <c r="C780">
        <v>6</v>
      </c>
      <c r="D780">
        <v>19</v>
      </c>
      <c r="E780">
        <v>160</v>
      </c>
      <c r="F780">
        <v>44</v>
      </c>
      <c r="G780">
        <v>250</v>
      </c>
      <c r="H780">
        <v>18</v>
      </c>
      <c r="I780">
        <v>287.5</v>
      </c>
      <c r="K780">
        <v>330</v>
      </c>
      <c r="Q780">
        <v>250</v>
      </c>
      <c r="R780">
        <v>26</v>
      </c>
      <c r="S780">
        <v>230</v>
      </c>
      <c r="T780">
        <v>119</v>
      </c>
      <c r="U780">
        <v>290</v>
      </c>
      <c r="V780">
        <v>40</v>
      </c>
      <c r="W780">
        <v>422.5</v>
      </c>
      <c r="BF780">
        <v>330</v>
      </c>
      <c r="BG780">
        <v>330</v>
      </c>
      <c r="BH780">
        <v>80</v>
      </c>
      <c r="BI780">
        <v>227.5</v>
      </c>
      <c r="BJ780">
        <v>10</v>
      </c>
      <c r="BK780">
        <v>222.5</v>
      </c>
      <c r="BL780">
        <v>195</v>
      </c>
      <c r="BM780">
        <v>295</v>
      </c>
      <c r="BN780">
        <v>295</v>
      </c>
      <c r="BO780">
        <v>295</v>
      </c>
      <c r="BP780">
        <v>295</v>
      </c>
      <c r="BQ780">
        <v>295</v>
      </c>
      <c r="BR780">
        <v>280</v>
      </c>
      <c r="BS780">
        <v>280</v>
      </c>
    </row>
    <row r="781" spans="1:71" x14ac:dyDescent="0.25">
      <c r="A781" t="s">
        <v>716</v>
      </c>
      <c r="B781">
        <v>2021</v>
      </c>
      <c r="C781">
        <v>6</v>
      </c>
      <c r="D781">
        <v>10</v>
      </c>
      <c r="E781">
        <v>217.5</v>
      </c>
      <c r="F781">
        <v>29</v>
      </c>
      <c r="G781">
        <v>260</v>
      </c>
      <c r="H781">
        <v>19</v>
      </c>
      <c r="I781">
        <v>330</v>
      </c>
      <c r="J781">
        <v>330</v>
      </c>
      <c r="K781">
        <v>330</v>
      </c>
      <c r="Q781">
        <v>265</v>
      </c>
      <c r="R781">
        <v>26</v>
      </c>
      <c r="S781">
        <v>290</v>
      </c>
      <c r="T781">
        <v>140</v>
      </c>
      <c r="U781">
        <v>350</v>
      </c>
      <c r="V781">
        <v>49</v>
      </c>
      <c r="W781">
        <v>410</v>
      </c>
      <c r="BF781">
        <v>6</v>
      </c>
      <c r="BG781">
        <v>205</v>
      </c>
      <c r="BH781">
        <v>65</v>
      </c>
      <c r="BI781">
        <v>260</v>
      </c>
      <c r="BJ781">
        <v>15</v>
      </c>
      <c r="BK781">
        <v>380</v>
      </c>
      <c r="BL781">
        <v>235</v>
      </c>
      <c r="BM781">
        <v>350</v>
      </c>
      <c r="BN781">
        <v>350</v>
      </c>
      <c r="BO781">
        <v>350</v>
      </c>
      <c r="BP781">
        <v>350</v>
      </c>
      <c r="BQ781">
        <v>350</v>
      </c>
      <c r="BR781">
        <v>300</v>
      </c>
      <c r="BS781">
        <v>337.5</v>
      </c>
    </row>
    <row r="782" spans="1:71" x14ac:dyDescent="0.25">
      <c r="A782" t="s">
        <v>717</v>
      </c>
      <c r="B782">
        <v>2021</v>
      </c>
      <c r="C782">
        <v>6</v>
      </c>
      <c r="D782">
        <v>27</v>
      </c>
      <c r="E782">
        <v>160</v>
      </c>
      <c r="F782">
        <v>84</v>
      </c>
      <c r="G782">
        <v>210</v>
      </c>
      <c r="H782">
        <v>36</v>
      </c>
      <c r="I782">
        <v>297.5</v>
      </c>
      <c r="K782">
        <v>655</v>
      </c>
      <c r="Q782">
        <v>112.5</v>
      </c>
      <c r="R782">
        <v>39</v>
      </c>
      <c r="S782">
        <v>215</v>
      </c>
      <c r="T782">
        <v>200</v>
      </c>
      <c r="U782">
        <v>280</v>
      </c>
      <c r="V782">
        <v>55</v>
      </c>
      <c r="W782">
        <v>335</v>
      </c>
      <c r="BG782">
        <v>200</v>
      </c>
      <c r="BH782">
        <v>150</v>
      </c>
      <c r="BI782">
        <v>214.5</v>
      </c>
      <c r="BK782">
        <v>280</v>
      </c>
      <c r="BL782">
        <v>300</v>
      </c>
      <c r="BM782">
        <v>280</v>
      </c>
      <c r="BN782">
        <v>280</v>
      </c>
      <c r="BO782">
        <v>280</v>
      </c>
      <c r="BP782">
        <v>280</v>
      </c>
      <c r="BQ782">
        <v>280</v>
      </c>
      <c r="BR782">
        <v>450</v>
      </c>
      <c r="BS782">
        <v>260</v>
      </c>
    </row>
    <row r="783" spans="1:71" x14ac:dyDescent="0.25">
      <c r="A783" t="s">
        <v>725</v>
      </c>
      <c r="B783">
        <v>2021</v>
      </c>
      <c r="C783">
        <v>6</v>
      </c>
      <c r="D783">
        <v>765</v>
      </c>
      <c r="E783">
        <v>290</v>
      </c>
      <c r="F783">
        <v>2300</v>
      </c>
      <c r="G783">
        <v>340</v>
      </c>
      <c r="H783">
        <v>686</v>
      </c>
      <c r="I783">
        <v>415</v>
      </c>
      <c r="J783">
        <v>18</v>
      </c>
      <c r="K783">
        <v>505</v>
      </c>
      <c r="P783">
        <v>148</v>
      </c>
      <c r="Q783">
        <v>178</v>
      </c>
      <c r="R783">
        <v>566</v>
      </c>
      <c r="S783">
        <v>370</v>
      </c>
      <c r="T783">
        <v>3647</v>
      </c>
      <c r="U783">
        <v>400</v>
      </c>
      <c r="V783">
        <v>826</v>
      </c>
      <c r="W783">
        <v>492.5</v>
      </c>
      <c r="BF783">
        <v>257</v>
      </c>
      <c r="BG783">
        <v>300</v>
      </c>
      <c r="BH783">
        <v>4025</v>
      </c>
      <c r="BI783">
        <v>340</v>
      </c>
      <c r="BJ783">
        <v>446</v>
      </c>
      <c r="BK783">
        <v>350</v>
      </c>
      <c r="BL783">
        <v>5635</v>
      </c>
      <c r="BM783">
        <v>400</v>
      </c>
      <c r="BN783">
        <v>232</v>
      </c>
      <c r="BO783">
        <v>175</v>
      </c>
      <c r="BP783">
        <v>232</v>
      </c>
      <c r="BQ783">
        <v>175</v>
      </c>
      <c r="BR783">
        <v>9890</v>
      </c>
      <c r="BS783">
        <v>370</v>
      </c>
    </row>
    <row r="784" spans="1:71" x14ac:dyDescent="0.25">
      <c r="A784" t="s">
        <v>718</v>
      </c>
      <c r="B784">
        <v>2021</v>
      </c>
      <c r="C784">
        <v>6</v>
      </c>
      <c r="D784">
        <v>17</v>
      </c>
      <c r="E784">
        <v>180</v>
      </c>
      <c r="F784">
        <v>54</v>
      </c>
      <c r="G784">
        <v>220</v>
      </c>
      <c r="H784">
        <v>16</v>
      </c>
      <c r="I784">
        <v>272.5</v>
      </c>
      <c r="K784">
        <v>400</v>
      </c>
      <c r="P784">
        <v>6</v>
      </c>
      <c r="Q784">
        <v>165</v>
      </c>
      <c r="R784">
        <v>38</v>
      </c>
      <c r="S784">
        <v>227.5</v>
      </c>
      <c r="T784">
        <v>185</v>
      </c>
      <c r="U784">
        <v>260</v>
      </c>
      <c r="V784">
        <v>69</v>
      </c>
      <c r="W784">
        <v>315</v>
      </c>
      <c r="BG784">
        <v>210</v>
      </c>
      <c r="BH784">
        <v>95</v>
      </c>
      <c r="BI784">
        <v>215</v>
      </c>
      <c r="BJ784">
        <v>35</v>
      </c>
      <c r="BK784">
        <v>260</v>
      </c>
      <c r="BL784">
        <v>335</v>
      </c>
      <c r="BM784">
        <v>270</v>
      </c>
      <c r="BN784">
        <v>23</v>
      </c>
      <c r="BO784">
        <v>170</v>
      </c>
      <c r="BP784">
        <v>23</v>
      </c>
      <c r="BQ784">
        <v>170</v>
      </c>
      <c r="BR784">
        <v>450</v>
      </c>
      <c r="BS784">
        <v>250</v>
      </c>
    </row>
    <row r="785" spans="1:71" x14ac:dyDescent="0.25">
      <c r="A785" t="s">
        <v>719</v>
      </c>
      <c r="B785">
        <v>2021</v>
      </c>
      <c r="C785">
        <v>6</v>
      </c>
      <c r="D785">
        <v>66</v>
      </c>
      <c r="E785">
        <v>210</v>
      </c>
      <c r="F785">
        <v>308</v>
      </c>
      <c r="G785">
        <v>295</v>
      </c>
      <c r="H785">
        <v>134</v>
      </c>
      <c r="I785">
        <v>350</v>
      </c>
      <c r="J785">
        <v>350</v>
      </c>
      <c r="K785">
        <v>350</v>
      </c>
      <c r="P785">
        <v>29</v>
      </c>
      <c r="Q785">
        <v>175</v>
      </c>
      <c r="R785">
        <v>122</v>
      </c>
      <c r="S785">
        <v>317.5</v>
      </c>
      <c r="T785">
        <v>1497</v>
      </c>
      <c r="U785">
        <v>350</v>
      </c>
      <c r="V785">
        <v>265</v>
      </c>
      <c r="W785">
        <v>420</v>
      </c>
      <c r="BF785">
        <v>56</v>
      </c>
      <c r="BG785">
        <v>270</v>
      </c>
      <c r="BH785">
        <v>565</v>
      </c>
      <c r="BI785">
        <v>300</v>
      </c>
      <c r="BJ785">
        <v>150</v>
      </c>
      <c r="BK785">
        <v>340</v>
      </c>
      <c r="BL785">
        <v>2065</v>
      </c>
      <c r="BM785">
        <v>360</v>
      </c>
      <c r="BN785">
        <v>49</v>
      </c>
      <c r="BO785">
        <v>175</v>
      </c>
      <c r="BP785">
        <v>49</v>
      </c>
      <c r="BQ785">
        <v>175</v>
      </c>
      <c r="BR785">
        <v>2675</v>
      </c>
      <c r="BS785">
        <v>340</v>
      </c>
    </row>
    <row r="786" spans="1:71" x14ac:dyDescent="0.25">
      <c r="A786" t="s">
        <v>726</v>
      </c>
      <c r="B786">
        <v>2021</v>
      </c>
      <c r="C786">
        <v>6</v>
      </c>
      <c r="D786">
        <v>118</v>
      </c>
      <c r="E786">
        <v>180</v>
      </c>
      <c r="F786">
        <v>364</v>
      </c>
      <c r="G786">
        <v>230</v>
      </c>
      <c r="H786">
        <v>160</v>
      </c>
      <c r="I786">
        <v>320</v>
      </c>
      <c r="J786">
        <v>16</v>
      </c>
      <c r="K786">
        <v>400</v>
      </c>
      <c r="P786">
        <v>30</v>
      </c>
      <c r="Q786">
        <v>185</v>
      </c>
      <c r="R786">
        <v>244</v>
      </c>
      <c r="S786">
        <v>250</v>
      </c>
      <c r="T786">
        <v>1326</v>
      </c>
      <c r="U786">
        <v>300</v>
      </c>
      <c r="V786">
        <v>432</v>
      </c>
      <c r="W786">
        <v>390</v>
      </c>
      <c r="BF786">
        <v>47</v>
      </c>
      <c r="BG786">
        <v>210</v>
      </c>
      <c r="BH786">
        <v>705</v>
      </c>
      <c r="BI786">
        <v>235</v>
      </c>
      <c r="BJ786">
        <v>154</v>
      </c>
      <c r="BK786">
        <v>275</v>
      </c>
      <c r="BL786">
        <v>2185</v>
      </c>
      <c r="BM786">
        <v>300</v>
      </c>
      <c r="BN786">
        <v>31</v>
      </c>
      <c r="BO786">
        <v>170</v>
      </c>
      <c r="BP786">
        <v>31</v>
      </c>
      <c r="BQ786">
        <v>170</v>
      </c>
      <c r="BR786">
        <v>2920</v>
      </c>
      <c r="BS786">
        <v>285</v>
      </c>
    </row>
    <row r="787" spans="1:71" x14ac:dyDescent="0.25">
      <c r="A787" t="s">
        <v>721</v>
      </c>
      <c r="B787">
        <v>2021</v>
      </c>
      <c r="C787">
        <v>6</v>
      </c>
      <c r="D787">
        <v>104</v>
      </c>
      <c r="E787">
        <v>271.5</v>
      </c>
      <c r="F787">
        <v>461</v>
      </c>
      <c r="G787">
        <v>320</v>
      </c>
      <c r="H787">
        <v>162</v>
      </c>
      <c r="I787">
        <v>390</v>
      </c>
      <c r="K787">
        <v>420</v>
      </c>
      <c r="P787">
        <v>30</v>
      </c>
      <c r="Q787">
        <v>190</v>
      </c>
      <c r="R787">
        <v>104</v>
      </c>
      <c r="S787">
        <v>360</v>
      </c>
      <c r="T787">
        <v>956</v>
      </c>
      <c r="U787">
        <v>400</v>
      </c>
      <c r="V787">
        <v>251</v>
      </c>
      <c r="W787">
        <v>500</v>
      </c>
      <c r="BF787">
        <v>41</v>
      </c>
      <c r="BG787">
        <v>300</v>
      </c>
      <c r="BH787">
        <v>770</v>
      </c>
      <c r="BI787">
        <v>330</v>
      </c>
      <c r="BJ787">
        <v>98</v>
      </c>
      <c r="BK787">
        <v>340</v>
      </c>
      <c r="BL787">
        <v>1440</v>
      </c>
      <c r="BM787">
        <v>410</v>
      </c>
      <c r="BN787">
        <v>51</v>
      </c>
      <c r="BO787">
        <v>175</v>
      </c>
      <c r="BP787">
        <v>51</v>
      </c>
      <c r="BQ787">
        <v>175</v>
      </c>
      <c r="BR787">
        <v>2260</v>
      </c>
      <c r="BS787">
        <v>380</v>
      </c>
    </row>
    <row r="788" spans="1:71" x14ac:dyDescent="0.25">
      <c r="A788" t="s">
        <v>722</v>
      </c>
      <c r="B788">
        <v>2021</v>
      </c>
      <c r="C788">
        <v>6</v>
      </c>
      <c r="D788">
        <v>116</v>
      </c>
      <c r="E788">
        <v>260</v>
      </c>
      <c r="F788">
        <v>589</v>
      </c>
      <c r="G788">
        <v>320</v>
      </c>
      <c r="H788">
        <v>163</v>
      </c>
      <c r="I788">
        <v>430</v>
      </c>
      <c r="J788">
        <v>8</v>
      </c>
      <c r="K788">
        <v>520</v>
      </c>
      <c r="P788">
        <v>21</v>
      </c>
      <c r="Q788">
        <v>180</v>
      </c>
      <c r="R788">
        <v>172</v>
      </c>
      <c r="S788">
        <v>370</v>
      </c>
      <c r="T788">
        <v>642</v>
      </c>
      <c r="U788">
        <v>450</v>
      </c>
      <c r="V788">
        <v>132</v>
      </c>
      <c r="W788">
        <v>515</v>
      </c>
      <c r="BF788">
        <v>68</v>
      </c>
      <c r="BG788">
        <v>300</v>
      </c>
      <c r="BH788">
        <v>945</v>
      </c>
      <c r="BI788">
        <v>325</v>
      </c>
      <c r="BJ788">
        <v>120</v>
      </c>
      <c r="BK788">
        <v>350</v>
      </c>
      <c r="BL788">
        <v>1085</v>
      </c>
      <c r="BM788">
        <v>429.5</v>
      </c>
      <c r="BN788">
        <v>44</v>
      </c>
      <c r="BO788">
        <v>180</v>
      </c>
      <c r="BP788">
        <v>44</v>
      </c>
      <c r="BQ788">
        <v>180</v>
      </c>
      <c r="BR788">
        <v>2075</v>
      </c>
      <c r="BS788">
        <v>375</v>
      </c>
    </row>
    <row r="789" spans="1:71" x14ac:dyDescent="0.25">
      <c r="A789" t="s">
        <v>723</v>
      </c>
      <c r="B789">
        <v>2021</v>
      </c>
      <c r="C789">
        <v>6</v>
      </c>
      <c r="D789">
        <v>13</v>
      </c>
      <c r="E789">
        <v>155</v>
      </c>
      <c r="F789">
        <v>33</v>
      </c>
      <c r="G789">
        <v>205</v>
      </c>
      <c r="H789">
        <v>8</v>
      </c>
      <c r="I789">
        <v>275</v>
      </c>
      <c r="K789">
        <v>300</v>
      </c>
      <c r="P789">
        <v>10</v>
      </c>
      <c r="Q789">
        <v>180</v>
      </c>
      <c r="R789">
        <v>32</v>
      </c>
      <c r="S789">
        <v>215</v>
      </c>
      <c r="T789">
        <v>190</v>
      </c>
      <c r="U789">
        <v>260</v>
      </c>
      <c r="V789">
        <v>50</v>
      </c>
      <c r="W789">
        <v>320</v>
      </c>
      <c r="BG789">
        <v>174.5</v>
      </c>
      <c r="BH789">
        <v>60</v>
      </c>
      <c r="BI789">
        <v>210</v>
      </c>
      <c r="BJ789">
        <v>40</v>
      </c>
      <c r="BK789">
        <v>250</v>
      </c>
      <c r="BL789">
        <v>320</v>
      </c>
      <c r="BM789">
        <v>260</v>
      </c>
      <c r="BN789">
        <v>260</v>
      </c>
      <c r="BO789">
        <v>260</v>
      </c>
      <c r="BP789">
        <v>260</v>
      </c>
      <c r="BQ789">
        <v>260</v>
      </c>
      <c r="BR789">
        <v>380</v>
      </c>
      <c r="BS789">
        <v>255</v>
      </c>
    </row>
    <row r="790" spans="1:71" x14ac:dyDescent="0.25">
      <c r="A790" t="s">
        <v>711</v>
      </c>
      <c r="B790">
        <v>2021</v>
      </c>
      <c r="C790">
        <v>9</v>
      </c>
      <c r="D790">
        <v>7</v>
      </c>
      <c r="E790">
        <v>300</v>
      </c>
      <c r="F790">
        <v>24</v>
      </c>
      <c r="G790">
        <v>320</v>
      </c>
      <c r="H790">
        <v>26</v>
      </c>
      <c r="I790">
        <v>365</v>
      </c>
      <c r="K790">
        <v>435</v>
      </c>
      <c r="Q790">
        <v>495</v>
      </c>
      <c r="R790">
        <v>25</v>
      </c>
      <c r="S790">
        <v>380</v>
      </c>
      <c r="T790">
        <v>133</v>
      </c>
      <c r="U790">
        <v>390</v>
      </c>
      <c r="V790">
        <v>65</v>
      </c>
      <c r="W790">
        <v>480</v>
      </c>
      <c r="BG790">
        <v>235</v>
      </c>
      <c r="BH790">
        <v>65</v>
      </c>
      <c r="BI790">
        <v>345</v>
      </c>
      <c r="BJ790">
        <v>8</v>
      </c>
      <c r="BK790">
        <v>450</v>
      </c>
      <c r="BL790">
        <v>230</v>
      </c>
      <c r="BM790">
        <v>410</v>
      </c>
      <c r="BO790">
        <v>220</v>
      </c>
      <c r="BQ790">
        <v>220</v>
      </c>
      <c r="BR790">
        <v>300</v>
      </c>
      <c r="BS790">
        <v>400</v>
      </c>
    </row>
    <row r="791" spans="1:71" x14ac:dyDescent="0.25">
      <c r="A791" t="s">
        <v>712</v>
      </c>
      <c r="B791">
        <v>2021</v>
      </c>
      <c r="C791">
        <v>9</v>
      </c>
      <c r="E791">
        <v>180</v>
      </c>
      <c r="F791">
        <v>39</v>
      </c>
      <c r="G791">
        <v>280</v>
      </c>
      <c r="H791">
        <v>15</v>
      </c>
      <c r="I791">
        <v>320</v>
      </c>
      <c r="J791">
        <v>320</v>
      </c>
      <c r="K791">
        <v>320</v>
      </c>
      <c r="P791">
        <v>282.5</v>
      </c>
      <c r="Q791">
        <v>282.5</v>
      </c>
      <c r="R791">
        <v>19</v>
      </c>
      <c r="S791">
        <v>290</v>
      </c>
      <c r="T791">
        <v>154</v>
      </c>
      <c r="U791">
        <v>340</v>
      </c>
      <c r="V791">
        <v>57</v>
      </c>
      <c r="W791">
        <v>450</v>
      </c>
      <c r="BG791">
        <v>250</v>
      </c>
      <c r="BH791">
        <v>60</v>
      </c>
      <c r="BI791">
        <v>282.5</v>
      </c>
      <c r="BJ791">
        <v>6</v>
      </c>
      <c r="BK791">
        <v>345</v>
      </c>
      <c r="BL791">
        <v>235</v>
      </c>
      <c r="BM791">
        <v>350</v>
      </c>
      <c r="BO791">
        <v>190</v>
      </c>
      <c r="BQ791">
        <v>190</v>
      </c>
      <c r="BR791">
        <v>295</v>
      </c>
      <c r="BS791">
        <v>340</v>
      </c>
    </row>
    <row r="792" spans="1:71" x14ac:dyDescent="0.25">
      <c r="A792" t="s">
        <v>713</v>
      </c>
      <c r="B792">
        <v>2021</v>
      </c>
      <c r="C792">
        <v>9</v>
      </c>
      <c r="D792">
        <v>563</v>
      </c>
      <c r="E792">
        <v>290</v>
      </c>
      <c r="F792">
        <v>957</v>
      </c>
      <c r="G792">
        <v>390</v>
      </c>
      <c r="H792">
        <v>233</v>
      </c>
      <c r="I792">
        <v>480</v>
      </c>
      <c r="J792">
        <v>11</v>
      </c>
      <c r="K792">
        <v>650</v>
      </c>
      <c r="P792">
        <v>75</v>
      </c>
      <c r="Q792">
        <v>178</v>
      </c>
      <c r="R792">
        <v>162</v>
      </c>
      <c r="S792">
        <v>435</v>
      </c>
      <c r="T792">
        <v>560</v>
      </c>
      <c r="U792">
        <v>490</v>
      </c>
      <c r="V792">
        <v>190</v>
      </c>
      <c r="W792">
        <v>655</v>
      </c>
      <c r="BF792">
        <v>82</v>
      </c>
      <c r="BG792">
        <v>310</v>
      </c>
      <c r="BH792">
        <v>1845</v>
      </c>
      <c r="BI792">
        <v>365</v>
      </c>
      <c r="BJ792">
        <v>56</v>
      </c>
      <c r="BK792">
        <v>375</v>
      </c>
      <c r="BL792">
        <v>1045</v>
      </c>
      <c r="BM792">
        <v>480</v>
      </c>
      <c r="BN792">
        <v>75</v>
      </c>
      <c r="BO792">
        <v>180</v>
      </c>
      <c r="BP792">
        <v>75</v>
      </c>
      <c r="BQ792">
        <v>180</v>
      </c>
      <c r="BR792">
        <v>2965</v>
      </c>
      <c r="BS792">
        <v>400</v>
      </c>
    </row>
    <row r="793" spans="1:71" x14ac:dyDescent="0.25">
      <c r="A793" t="s">
        <v>714</v>
      </c>
      <c r="B793">
        <v>2021</v>
      </c>
      <c r="C793">
        <v>9</v>
      </c>
      <c r="D793">
        <v>29</v>
      </c>
      <c r="E793">
        <v>190</v>
      </c>
      <c r="F793">
        <v>50</v>
      </c>
      <c r="G793">
        <v>210</v>
      </c>
      <c r="H793">
        <v>20</v>
      </c>
      <c r="I793">
        <v>360</v>
      </c>
      <c r="K793">
        <v>460</v>
      </c>
      <c r="Q793">
        <v>230</v>
      </c>
      <c r="R793">
        <v>23</v>
      </c>
      <c r="S793">
        <v>250</v>
      </c>
      <c r="T793">
        <v>203</v>
      </c>
      <c r="U793">
        <v>270</v>
      </c>
      <c r="V793">
        <v>41</v>
      </c>
      <c r="W793">
        <v>350</v>
      </c>
      <c r="BF793">
        <v>7</v>
      </c>
      <c r="BG793">
        <v>200</v>
      </c>
      <c r="BH793">
        <v>110</v>
      </c>
      <c r="BI793">
        <v>220</v>
      </c>
      <c r="BJ793">
        <v>14</v>
      </c>
      <c r="BK793">
        <v>270</v>
      </c>
      <c r="BL793">
        <v>285</v>
      </c>
      <c r="BM793">
        <v>280</v>
      </c>
      <c r="BN793">
        <v>280</v>
      </c>
      <c r="BO793">
        <v>280</v>
      </c>
      <c r="BP793">
        <v>280</v>
      </c>
      <c r="BQ793">
        <v>280</v>
      </c>
      <c r="BR793">
        <v>395</v>
      </c>
      <c r="BS793">
        <v>270</v>
      </c>
    </row>
    <row r="794" spans="1:71" x14ac:dyDescent="0.25">
      <c r="A794" t="s">
        <v>715</v>
      </c>
      <c r="B794">
        <v>2021</v>
      </c>
      <c r="C794">
        <v>9</v>
      </c>
      <c r="D794">
        <v>15</v>
      </c>
      <c r="E794">
        <v>230</v>
      </c>
      <c r="F794">
        <v>30</v>
      </c>
      <c r="G794">
        <v>210</v>
      </c>
      <c r="H794">
        <v>14</v>
      </c>
      <c r="I794">
        <v>315</v>
      </c>
      <c r="K794">
        <v>350</v>
      </c>
      <c r="Q794">
        <v>135</v>
      </c>
      <c r="R794">
        <v>20</v>
      </c>
      <c r="S794">
        <v>257.5</v>
      </c>
      <c r="T794">
        <v>124</v>
      </c>
      <c r="U794">
        <v>285</v>
      </c>
      <c r="V794">
        <v>49</v>
      </c>
      <c r="W794">
        <v>450</v>
      </c>
      <c r="BF794">
        <v>350</v>
      </c>
      <c r="BG794">
        <v>350</v>
      </c>
      <c r="BH794">
        <v>60</v>
      </c>
      <c r="BI794">
        <v>240</v>
      </c>
      <c r="BK794">
        <v>175</v>
      </c>
      <c r="BL794">
        <v>205</v>
      </c>
      <c r="BM794">
        <v>300</v>
      </c>
      <c r="BN794">
        <v>300</v>
      </c>
      <c r="BO794">
        <v>300</v>
      </c>
      <c r="BP794">
        <v>300</v>
      </c>
      <c r="BQ794">
        <v>300</v>
      </c>
      <c r="BR794">
        <v>265</v>
      </c>
      <c r="BS794">
        <v>280</v>
      </c>
    </row>
    <row r="795" spans="1:71" x14ac:dyDescent="0.25">
      <c r="A795" t="s">
        <v>716</v>
      </c>
      <c r="B795">
        <v>2021</v>
      </c>
      <c r="C795">
        <v>9</v>
      </c>
      <c r="D795">
        <v>11</v>
      </c>
      <c r="E795">
        <v>200</v>
      </c>
      <c r="F795">
        <v>33</v>
      </c>
      <c r="G795">
        <v>240</v>
      </c>
      <c r="H795">
        <v>13</v>
      </c>
      <c r="I795">
        <v>320</v>
      </c>
      <c r="J795">
        <v>320</v>
      </c>
      <c r="K795">
        <v>320</v>
      </c>
      <c r="Q795">
        <v>300</v>
      </c>
      <c r="R795">
        <v>16</v>
      </c>
      <c r="S795">
        <v>297.5</v>
      </c>
      <c r="T795">
        <v>111</v>
      </c>
      <c r="U795">
        <v>340</v>
      </c>
      <c r="V795">
        <v>42</v>
      </c>
      <c r="W795">
        <v>430</v>
      </c>
      <c r="BG795">
        <v>170</v>
      </c>
      <c r="BH795">
        <v>60</v>
      </c>
      <c r="BI795">
        <v>240</v>
      </c>
      <c r="BJ795">
        <v>9</v>
      </c>
      <c r="BK795">
        <v>270</v>
      </c>
      <c r="BL795">
        <v>185</v>
      </c>
      <c r="BM795">
        <v>360</v>
      </c>
      <c r="BO795">
        <v>250</v>
      </c>
      <c r="BQ795">
        <v>250</v>
      </c>
      <c r="BR795">
        <v>240</v>
      </c>
      <c r="BS795">
        <v>330</v>
      </c>
    </row>
    <row r="796" spans="1:71" x14ac:dyDescent="0.25">
      <c r="A796" t="s">
        <v>717</v>
      </c>
      <c r="B796">
        <v>2021</v>
      </c>
      <c r="C796">
        <v>9</v>
      </c>
      <c r="D796">
        <v>21</v>
      </c>
      <c r="E796">
        <v>155</v>
      </c>
      <c r="F796">
        <v>84</v>
      </c>
      <c r="G796">
        <v>200</v>
      </c>
      <c r="H796">
        <v>28</v>
      </c>
      <c r="I796">
        <v>288</v>
      </c>
      <c r="K796">
        <v>550</v>
      </c>
      <c r="Q796">
        <v>230</v>
      </c>
      <c r="R796">
        <v>36</v>
      </c>
      <c r="S796">
        <v>230</v>
      </c>
      <c r="T796">
        <v>202</v>
      </c>
      <c r="U796">
        <v>277.5</v>
      </c>
      <c r="V796">
        <v>60</v>
      </c>
      <c r="W796">
        <v>320</v>
      </c>
      <c r="BG796">
        <v>227.5</v>
      </c>
      <c r="BH796">
        <v>140</v>
      </c>
      <c r="BI796">
        <v>210</v>
      </c>
      <c r="BK796">
        <v>280</v>
      </c>
      <c r="BL796">
        <v>305</v>
      </c>
      <c r="BM796">
        <v>280</v>
      </c>
      <c r="BO796">
        <v>200</v>
      </c>
      <c r="BQ796">
        <v>200</v>
      </c>
      <c r="BR796">
        <v>445</v>
      </c>
      <c r="BS796">
        <v>260</v>
      </c>
    </row>
    <row r="797" spans="1:71" x14ac:dyDescent="0.25">
      <c r="A797" t="s">
        <v>725</v>
      </c>
      <c r="B797">
        <v>2021</v>
      </c>
      <c r="C797">
        <v>9</v>
      </c>
      <c r="D797">
        <v>837</v>
      </c>
      <c r="E797">
        <v>280</v>
      </c>
      <c r="F797">
        <v>2245</v>
      </c>
      <c r="G797">
        <v>340</v>
      </c>
      <c r="H797">
        <v>676</v>
      </c>
      <c r="I797">
        <v>430</v>
      </c>
      <c r="J797">
        <v>25</v>
      </c>
      <c r="K797">
        <v>500</v>
      </c>
      <c r="P797">
        <v>147</v>
      </c>
      <c r="Q797">
        <v>178</v>
      </c>
      <c r="R797">
        <v>566</v>
      </c>
      <c r="S797">
        <v>375</v>
      </c>
      <c r="T797">
        <v>3717</v>
      </c>
      <c r="U797">
        <v>410</v>
      </c>
      <c r="V797">
        <v>915</v>
      </c>
      <c r="W797">
        <v>500</v>
      </c>
      <c r="BF797">
        <v>175</v>
      </c>
      <c r="BG797">
        <v>290</v>
      </c>
      <c r="BH797">
        <v>3960</v>
      </c>
      <c r="BI797">
        <v>340</v>
      </c>
      <c r="BJ797">
        <v>345</v>
      </c>
      <c r="BK797">
        <v>350</v>
      </c>
      <c r="BL797">
        <v>5690</v>
      </c>
      <c r="BM797">
        <v>410</v>
      </c>
      <c r="BN797">
        <v>241</v>
      </c>
      <c r="BO797">
        <v>175</v>
      </c>
      <c r="BP797">
        <v>241</v>
      </c>
      <c r="BQ797">
        <v>175</v>
      </c>
      <c r="BR797">
        <v>9890</v>
      </c>
      <c r="BS797">
        <v>380</v>
      </c>
    </row>
    <row r="798" spans="1:71" x14ac:dyDescent="0.25">
      <c r="A798" t="s">
        <v>718</v>
      </c>
      <c r="B798">
        <v>2021</v>
      </c>
      <c r="C798">
        <v>9</v>
      </c>
      <c r="D798">
        <v>21</v>
      </c>
      <c r="E798">
        <v>165</v>
      </c>
      <c r="F798">
        <v>51</v>
      </c>
      <c r="G798">
        <v>200</v>
      </c>
      <c r="H798">
        <v>8</v>
      </c>
      <c r="I798">
        <v>260</v>
      </c>
      <c r="K798">
        <v>450</v>
      </c>
      <c r="P798">
        <v>8</v>
      </c>
      <c r="Q798">
        <v>195</v>
      </c>
      <c r="R798">
        <v>35</v>
      </c>
      <c r="S798">
        <v>250</v>
      </c>
      <c r="T798">
        <v>183</v>
      </c>
      <c r="U798">
        <v>270</v>
      </c>
      <c r="V798">
        <v>63</v>
      </c>
      <c r="W798">
        <v>360</v>
      </c>
      <c r="BG798">
        <v>200</v>
      </c>
      <c r="BH798">
        <v>85</v>
      </c>
      <c r="BI798">
        <v>200</v>
      </c>
      <c r="BJ798">
        <v>26</v>
      </c>
      <c r="BK798">
        <v>262.5</v>
      </c>
      <c r="BL798">
        <v>315</v>
      </c>
      <c r="BM798">
        <v>275</v>
      </c>
      <c r="BN798">
        <v>19</v>
      </c>
      <c r="BO798">
        <v>170</v>
      </c>
      <c r="BP798">
        <v>19</v>
      </c>
      <c r="BQ798">
        <v>170</v>
      </c>
      <c r="BR798">
        <v>420</v>
      </c>
      <c r="BS798">
        <v>255</v>
      </c>
    </row>
    <row r="799" spans="1:71" x14ac:dyDescent="0.25">
      <c r="A799" t="s">
        <v>719</v>
      </c>
      <c r="B799">
        <v>2021</v>
      </c>
      <c r="C799">
        <v>9</v>
      </c>
      <c r="D799">
        <v>52</v>
      </c>
      <c r="E799">
        <v>217.5</v>
      </c>
      <c r="F799">
        <v>306</v>
      </c>
      <c r="G799">
        <v>295</v>
      </c>
      <c r="H799">
        <v>141</v>
      </c>
      <c r="I799">
        <v>360</v>
      </c>
      <c r="K799">
        <v>450</v>
      </c>
      <c r="P799">
        <v>22</v>
      </c>
      <c r="Q799">
        <v>190</v>
      </c>
      <c r="R799">
        <v>123</v>
      </c>
      <c r="S799">
        <v>320</v>
      </c>
      <c r="T799">
        <v>1519</v>
      </c>
      <c r="U799">
        <v>360</v>
      </c>
      <c r="V799">
        <v>325</v>
      </c>
      <c r="W799">
        <v>425</v>
      </c>
      <c r="BF799">
        <v>26</v>
      </c>
      <c r="BG799">
        <v>260</v>
      </c>
      <c r="BH799">
        <v>530</v>
      </c>
      <c r="BI799">
        <v>300</v>
      </c>
      <c r="BJ799">
        <v>138</v>
      </c>
      <c r="BK799">
        <v>340</v>
      </c>
      <c r="BL799">
        <v>2125</v>
      </c>
      <c r="BM799">
        <v>365</v>
      </c>
      <c r="BN799">
        <v>48</v>
      </c>
      <c r="BO799">
        <v>175</v>
      </c>
      <c r="BP799">
        <v>48</v>
      </c>
      <c r="BQ799">
        <v>175</v>
      </c>
      <c r="BR799">
        <v>2705</v>
      </c>
      <c r="BS799">
        <v>350</v>
      </c>
    </row>
    <row r="800" spans="1:71" x14ac:dyDescent="0.25">
      <c r="A800" t="s">
        <v>726</v>
      </c>
      <c r="B800">
        <v>2021</v>
      </c>
      <c r="C800">
        <v>9</v>
      </c>
      <c r="D800">
        <v>120</v>
      </c>
      <c r="E800">
        <v>187.5</v>
      </c>
      <c r="F800">
        <v>332</v>
      </c>
      <c r="G800">
        <v>220</v>
      </c>
      <c r="H800">
        <v>133</v>
      </c>
      <c r="I800">
        <v>320</v>
      </c>
      <c r="J800">
        <v>10</v>
      </c>
      <c r="K800">
        <v>450</v>
      </c>
      <c r="P800">
        <v>34</v>
      </c>
      <c r="Q800">
        <v>200</v>
      </c>
      <c r="R800">
        <v>210</v>
      </c>
      <c r="S800">
        <v>257.5</v>
      </c>
      <c r="T800">
        <v>1300</v>
      </c>
      <c r="U800">
        <v>290</v>
      </c>
      <c r="V800">
        <v>433</v>
      </c>
      <c r="W800">
        <v>400</v>
      </c>
      <c r="BF800">
        <v>21</v>
      </c>
      <c r="BG800">
        <v>200</v>
      </c>
      <c r="BH800">
        <v>615</v>
      </c>
      <c r="BI800">
        <v>230</v>
      </c>
      <c r="BJ800">
        <v>81</v>
      </c>
      <c r="BK800">
        <v>280</v>
      </c>
      <c r="BL800">
        <v>2060</v>
      </c>
      <c r="BM800">
        <v>300</v>
      </c>
      <c r="BN800">
        <v>27</v>
      </c>
      <c r="BO800">
        <v>170</v>
      </c>
      <c r="BP800">
        <v>27</v>
      </c>
      <c r="BQ800">
        <v>170</v>
      </c>
      <c r="BR800">
        <v>2700</v>
      </c>
      <c r="BS800">
        <v>285</v>
      </c>
    </row>
    <row r="801" spans="1:71" x14ac:dyDescent="0.25">
      <c r="A801" t="s">
        <v>721</v>
      </c>
      <c r="B801">
        <v>2021</v>
      </c>
      <c r="C801">
        <v>9</v>
      </c>
      <c r="D801">
        <v>86</v>
      </c>
      <c r="E801">
        <v>255</v>
      </c>
      <c r="F801">
        <v>403</v>
      </c>
      <c r="G801">
        <v>330</v>
      </c>
      <c r="H801">
        <v>132</v>
      </c>
      <c r="I801">
        <v>397.5</v>
      </c>
      <c r="K801">
        <v>450</v>
      </c>
      <c r="P801">
        <v>24</v>
      </c>
      <c r="Q801">
        <v>192.5</v>
      </c>
      <c r="R801">
        <v>101</v>
      </c>
      <c r="S801">
        <v>360</v>
      </c>
      <c r="T801">
        <v>938</v>
      </c>
      <c r="U801">
        <v>420</v>
      </c>
      <c r="V801">
        <v>254</v>
      </c>
      <c r="W801">
        <v>520</v>
      </c>
      <c r="BF801">
        <v>22</v>
      </c>
      <c r="BG801">
        <v>295</v>
      </c>
      <c r="BH801">
        <v>650</v>
      </c>
      <c r="BI801">
        <v>330</v>
      </c>
      <c r="BJ801">
        <v>64</v>
      </c>
      <c r="BK801">
        <v>382.5</v>
      </c>
      <c r="BL801">
        <v>1380</v>
      </c>
      <c r="BM801">
        <v>430</v>
      </c>
      <c r="BN801">
        <v>62</v>
      </c>
      <c r="BO801">
        <v>177.5</v>
      </c>
      <c r="BP801">
        <v>62</v>
      </c>
      <c r="BQ801">
        <v>177.5</v>
      </c>
      <c r="BR801">
        <v>2090</v>
      </c>
      <c r="BS801">
        <v>400</v>
      </c>
    </row>
    <row r="802" spans="1:71" x14ac:dyDescent="0.25">
      <c r="A802" t="s">
        <v>722</v>
      </c>
      <c r="B802">
        <v>2021</v>
      </c>
      <c r="C802">
        <v>9</v>
      </c>
      <c r="D802">
        <v>136</v>
      </c>
      <c r="E802">
        <v>250</v>
      </c>
      <c r="F802">
        <v>579</v>
      </c>
      <c r="G802">
        <v>320</v>
      </c>
      <c r="H802">
        <v>170</v>
      </c>
      <c r="I802">
        <v>437.5</v>
      </c>
      <c r="J802">
        <v>6</v>
      </c>
      <c r="K802">
        <v>565</v>
      </c>
      <c r="P802">
        <v>26</v>
      </c>
      <c r="Q802">
        <v>180</v>
      </c>
      <c r="R802">
        <v>180</v>
      </c>
      <c r="S802">
        <v>362.5</v>
      </c>
      <c r="T802">
        <v>700</v>
      </c>
      <c r="U802">
        <v>450</v>
      </c>
      <c r="V802">
        <v>146</v>
      </c>
      <c r="W802">
        <v>530</v>
      </c>
      <c r="BF802">
        <v>45</v>
      </c>
      <c r="BG802">
        <v>275</v>
      </c>
      <c r="BH802">
        <v>935</v>
      </c>
      <c r="BI802">
        <v>330</v>
      </c>
      <c r="BJ802">
        <v>87</v>
      </c>
      <c r="BK802">
        <v>340</v>
      </c>
      <c r="BL802">
        <v>1140</v>
      </c>
      <c r="BM802">
        <v>440</v>
      </c>
      <c r="BN802">
        <v>56</v>
      </c>
      <c r="BO802">
        <v>171.5</v>
      </c>
      <c r="BP802">
        <v>56</v>
      </c>
      <c r="BQ802">
        <v>171.5</v>
      </c>
      <c r="BR802">
        <v>2130</v>
      </c>
      <c r="BS802">
        <v>385</v>
      </c>
    </row>
    <row r="803" spans="1:71" x14ac:dyDescent="0.25">
      <c r="A803" t="s">
        <v>723</v>
      </c>
      <c r="B803">
        <v>2021</v>
      </c>
      <c r="C803">
        <v>9</v>
      </c>
      <c r="D803">
        <v>11</v>
      </c>
      <c r="E803">
        <v>132</v>
      </c>
      <c r="F803">
        <v>21</v>
      </c>
      <c r="G803">
        <v>210</v>
      </c>
      <c r="H803">
        <v>9</v>
      </c>
      <c r="I803">
        <v>238</v>
      </c>
      <c r="J803">
        <v>238</v>
      </c>
      <c r="K803">
        <v>238</v>
      </c>
      <c r="P803">
        <v>10</v>
      </c>
      <c r="Q803">
        <v>132.5</v>
      </c>
      <c r="R803">
        <v>36</v>
      </c>
      <c r="S803">
        <v>220</v>
      </c>
      <c r="T803">
        <v>190</v>
      </c>
      <c r="U803">
        <v>250</v>
      </c>
      <c r="V803">
        <v>56</v>
      </c>
      <c r="W803">
        <v>330</v>
      </c>
      <c r="BF803">
        <v>238</v>
      </c>
      <c r="BG803">
        <v>238</v>
      </c>
      <c r="BH803">
        <v>40</v>
      </c>
      <c r="BI803">
        <v>200</v>
      </c>
      <c r="BJ803">
        <v>10</v>
      </c>
      <c r="BK803">
        <v>260</v>
      </c>
      <c r="BL803">
        <v>300</v>
      </c>
      <c r="BM803">
        <v>260</v>
      </c>
      <c r="BN803">
        <v>260</v>
      </c>
      <c r="BO803">
        <v>260</v>
      </c>
      <c r="BP803">
        <v>260</v>
      </c>
      <c r="BQ803">
        <v>260</v>
      </c>
      <c r="BR803">
        <v>345</v>
      </c>
      <c r="BS803">
        <v>250</v>
      </c>
    </row>
    <row r="804" spans="1:71" x14ac:dyDescent="0.25">
      <c r="A804" t="s">
        <v>711</v>
      </c>
      <c r="B804">
        <v>2021</v>
      </c>
      <c r="C804">
        <v>12</v>
      </c>
      <c r="E804">
        <v>250</v>
      </c>
      <c r="F804">
        <v>27</v>
      </c>
      <c r="G804">
        <v>310</v>
      </c>
      <c r="H804">
        <v>32</v>
      </c>
      <c r="I804">
        <v>347.5</v>
      </c>
      <c r="K804">
        <v>430</v>
      </c>
      <c r="Q804">
        <v>260</v>
      </c>
      <c r="R804">
        <v>17</v>
      </c>
      <c r="S804">
        <v>400</v>
      </c>
      <c r="T804">
        <v>160</v>
      </c>
      <c r="U804">
        <v>410</v>
      </c>
      <c r="V804">
        <v>56</v>
      </c>
      <c r="W804">
        <v>482.5</v>
      </c>
      <c r="BG804">
        <v>290</v>
      </c>
      <c r="BH804">
        <v>65</v>
      </c>
      <c r="BI804">
        <v>336</v>
      </c>
      <c r="BJ804">
        <v>7</v>
      </c>
      <c r="BK804">
        <v>340</v>
      </c>
      <c r="BL804">
        <v>245</v>
      </c>
      <c r="BM804">
        <v>425</v>
      </c>
      <c r="BN804">
        <v>425</v>
      </c>
      <c r="BO804">
        <v>425</v>
      </c>
      <c r="BP804">
        <v>425</v>
      </c>
      <c r="BQ804">
        <v>425</v>
      </c>
      <c r="BR804">
        <v>310</v>
      </c>
      <c r="BS804">
        <v>410</v>
      </c>
    </row>
    <row r="805" spans="1:71" x14ac:dyDescent="0.25">
      <c r="A805" t="s">
        <v>712</v>
      </c>
      <c r="B805">
        <v>2021</v>
      </c>
      <c r="C805">
        <v>12</v>
      </c>
      <c r="E805">
        <v>190</v>
      </c>
      <c r="F805">
        <v>38</v>
      </c>
      <c r="G805">
        <v>267.5</v>
      </c>
      <c r="H805">
        <v>15</v>
      </c>
      <c r="I805">
        <v>340</v>
      </c>
      <c r="J805">
        <v>340</v>
      </c>
      <c r="K805">
        <v>340</v>
      </c>
      <c r="Q805">
        <v>257.5</v>
      </c>
      <c r="R805">
        <v>20</v>
      </c>
      <c r="S805">
        <v>295</v>
      </c>
      <c r="T805">
        <v>174</v>
      </c>
      <c r="U805">
        <v>350</v>
      </c>
      <c r="V805">
        <v>75</v>
      </c>
      <c r="W805">
        <v>450</v>
      </c>
      <c r="BG805">
        <v>250</v>
      </c>
      <c r="BH805">
        <v>60</v>
      </c>
      <c r="BI805">
        <v>270</v>
      </c>
      <c r="BJ805">
        <v>9</v>
      </c>
      <c r="BK805">
        <v>300</v>
      </c>
      <c r="BL805">
        <v>280</v>
      </c>
      <c r="BM805">
        <v>360</v>
      </c>
      <c r="BO805">
        <v>180</v>
      </c>
      <c r="BQ805">
        <v>180</v>
      </c>
      <c r="BR805">
        <v>345</v>
      </c>
      <c r="BS805">
        <v>350</v>
      </c>
    </row>
    <row r="806" spans="1:71" x14ac:dyDescent="0.25">
      <c r="A806" t="s">
        <v>713</v>
      </c>
      <c r="B806">
        <v>2021</v>
      </c>
      <c r="C806">
        <v>12</v>
      </c>
      <c r="D806">
        <v>568</v>
      </c>
      <c r="E806">
        <v>300</v>
      </c>
      <c r="F806">
        <v>988</v>
      </c>
      <c r="G806">
        <v>390</v>
      </c>
      <c r="H806">
        <v>224</v>
      </c>
      <c r="I806">
        <v>495</v>
      </c>
      <c r="J806">
        <v>9</v>
      </c>
      <c r="K806">
        <v>650</v>
      </c>
      <c r="P806">
        <v>86</v>
      </c>
      <c r="Q806">
        <v>178</v>
      </c>
      <c r="R806">
        <v>171</v>
      </c>
      <c r="S806">
        <v>440</v>
      </c>
      <c r="T806">
        <v>564</v>
      </c>
      <c r="U806">
        <v>500</v>
      </c>
      <c r="V806">
        <v>197</v>
      </c>
      <c r="W806">
        <v>660</v>
      </c>
      <c r="BF806">
        <v>44</v>
      </c>
      <c r="BG806">
        <v>280</v>
      </c>
      <c r="BH806">
        <v>1835</v>
      </c>
      <c r="BI806">
        <v>375</v>
      </c>
      <c r="BJ806">
        <v>32</v>
      </c>
      <c r="BK806">
        <v>400</v>
      </c>
      <c r="BL806">
        <v>1050</v>
      </c>
      <c r="BM806">
        <v>500</v>
      </c>
      <c r="BN806">
        <v>79</v>
      </c>
      <c r="BO806">
        <v>195</v>
      </c>
      <c r="BP806">
        <v>79</v>
      </c>
      <c r="BQ806">
        <v>195</v>
      </c>
      <c r="BR806">
        <v>2960</v>
      </c>
      <c r="BS806">
        <v>410</v>
      </c>
    </row>
    <row r="807" spans="1:71" x14ac:dyDescent="0.25">
      <c r="A807" t="s">
        <v>714</v>
      </c>
      <c r="B807">
        <v>2021</v>
      </c>
      <c r="C807">
        <v>12</v>
      </c>
      <c r="D807">
        <v>26</v>
      </c>
      <c r="E807">
        <v>225</v>
      </c>
      <c r="F807">
        <v>56</v>
      </c>
      <c r="G807">
        <v>240</v>
      </c>
      <c r="H807">
        <v>16</v>
      </c>
      <c r="I807">
        <v>332.5</v>
      </c>
      <c r="K807">
        <v>360</v>
      </c>
      <c r="Q807">
        <v>100</v>
      </c>
      <c r="R807">
        <v>31</v>
      </c>
      <c r="S807">
        <v>220</v>
      </c>
      <c r="T807">
        <v>185</v>
      </c>
      <c r="U807">
        <v>280</v>
      </c>
      <c r="V807">
        <v>51</v>
      </c>
      <c r="W807">
        <v>360</v>
      </c>
      <c r="BG807">
        <v>230</v>
      </c>
      <c r="BH807">
        <v>105</v>
      </c>
      <c r="BI807">
        <v>240</v>
      </c>
      <c r="BJ807">
        <v>6</v>
      </c>
      <c r="BK807">
        <v>280</v>
      </c>
      <c r="BL807">
        <v>275</v>
      </c>
      <c r="BM807">
        <v>290</v>
      </c>
      <c r="BN807">
        <v>290</v>
      </c>
      <c r="BO807">
        <v>290</v>
      </c>
      <c r="BP807">
        <v>290</v>
      </c>
      <c r="BQ807">
        <v>290</v>
      </c>
      <c r="BR807">
        <v>380</v>
      </c>
      <c r="BS807">
        <v>270</v>
      </c>
    </row>
    <row r="808" spans="1:71" x14ac:dyDescent="0.25">
      <c r="A808" t="s">
        <v>715</v>
      </c>
      <c r="B808">
        <v>2021</v>
      </c>
      <c r="C808">
        <v>12</v>
      </c>
      <c r="D808">
        <v>9</v>
      </c>
      <c r="E808">
        <v>190</v>
      </c>
      <c r="F808">
        <v>21</v>
      </c>
      <c r="G808">
        <v>210</v>
      </c>
      <c r="H808">
        <v>9</v>
      </c>
      <c r="I808">
        <v>350</v>
      </c>
      <c r="K808">
        <v>385</v>
      </c>
      <c r="Q808">
        <v>260</v>
      </c>
      <c r="R808">
        <v>13</v>
      </c>
      <c r="S808">
        <v>230</v>
      </c>
      <c r="T808">
        <v>111</v>
      </c>
      <c r="U808">
        <v>320</v>
      </c>
      <c r="V808">
        <v>25</v>
      </c>
      <c r="W808">
        <v>450</v>
      </c>
      <c r="BF808">
        <v>385</v>
      </c>
      <c r="BG808">
        <v>385</v>
      </c>
      <c r="BH808">
        <v>40</v>
      </c>
      <c r="BI808">
        <v>250</v>
      </c>
      <c r="BK808">
        <v>180</v>
      </c>
      <c r="BL808">
        <v>155</v>
      </c>
      <c r="BM808">
        <v>320</v>
      </c>
      <c r="BN808">
        <v>320</v>
      </c>
      <c r="BO808">
        <v>320</v>
      </c>
      <c r="BP808">
        <v>320</v>
      </c>
      <c r="BQ808">
        <v>320</v>
      </c>
      <c r="BR808">
        <v>195</v>
      </c>
      <c r="BS808">
        <v>307.5</v>
      </c>
    </row>
    <row r="809" spans="1:71" x14ac:dyDescent="0.25">
      <c r="A809" t="s">
        <v>716</v>
      </c>
      <c r="B809">
        <v>2021</v>
      </c>
      <c r="C809">
        <v>12</v>
      </c>
      <c r="E809">
        <v>210</v>
      </c>
      <c r="F809">
        <v>22</v>
      </c>
      <c r="G809">
        <v>270</v>
      </c>
      <c r="H809">
        <v>17</v>
      </c>
      <c r="I809">
        <v>310</v>
      </c>
      <c r="K809">
        <v>290</v>
      </c>
      <c r="Q809">
        <v>300</v>
      </c>
      <c r="R809">
        <v>14</v>
      </c>
      <c r="S809">
        <v>292.5</v>
      </c>
      <c r="T809">
        <v>90</v>
      </c>
      <c r="U809">
        <v>360</v>
      </c>
      <c r="V809">
        <v>52</v>
      </c>
      <c r="W809">
        <v>430</v>
      </c>
      <c r="BG809">
        <v>290</v>
      </c>
      <c r="BH809">
        <v>50</v>
      </c>
      <c r="BI809">
        <v>282.5</v>
      </c>
      <c r="BJ809">
        <v>8</v>
      </c>
      <c r="BK809">
        <v>325</v>
      </c>
      <c r="BL809">
        <v>165</v>
      </c>
      <c r="BM809">
        <v>380</v>
      </c>
      <c r="BN809">
        <v>380</v>
      </c>
      <c r="BO809">
        <v>380</v>
      </c>
      <c r="BP809">
        <v>380</v>
      </c>
      <c r="BQ809">
        <v>380</v>
      </c>
      <c r="BR809">
        <v>215</v>
      </c>
      <c r="BS809">
        <v>350</v>
      </c>
    </row>
    <row r="810" spans="1:71" x14ac:dyDescent="0.25">
      <c r="A810" t="s">
        <v>717</v>
      </c>
      <c r="B810">
        <v>2021</v>
      </c>
      <c r="C810">
        <v>12</v>
      </c>
      <c r="D810">
        <v>21</v>
      </c>
      <c r="E810">
        <v>155</v>
      </c>
      <c r="F810">
        <v>82</v>
      </c>
      <c r="G810">
        <v>210</v>
      </c>
      <c r="H810">
        <v>22</v>
      </c>
      <c r="I810">
        <v>320</v>
      </c>
      <c r="J810">
        <v>320</v>
      </c>
      <c r="K810">
        <v>320</v>
      </c>
      <c r="Q810">
        <v>290</v>
      </c>
      <c r="R810">
        <v>52</v>
      </c>
      <c r="S810">
        <v>250</v>
      </c>
      <c r="T810">
        <v>183</v>
      </c>
      <c r="U810">
        <v>290</v>
      </c>
      <c r="V810">
        <v>49</v>
      </c>
      <c r="W810">
        <v>350</v>
      </c>
      <c r="BG810">
        <v>215</v>
      </c>
      <c r="BH810">
        <v>125</v>
      </c>
      <c r="BI810">
        <v>215</v>
      </c>
      <c r="BJ810">
        <v>10</v>
      </c>
      <c r="BK810">
        <v>250</v>
      </c>
      <c r="BL810">
        <v>295</v>
      </c>
      <c r="BM810">
        <v>290</v>
      </c>
      <c r="BO810">
        <v>200</v>
      </c>
      <c r="BQ810">
        <v>200</v>
      </c>
      <c r="BR810">
        <v>425</v>
      </c>
      <c r="BS810">
        <v>265</v>
      </c>
    </row>
    <row r="811" spans="1:71" x14ac:dyDescent="0.25">
      <c r="A811" t="s">
        <v>725</v>
      </c>
      <c r="B811">
        <v>2021</v>
      </c>
      <c r="C811">
        <v>12</v>
      </c>
      <c r="D811">
        <v>807</v>
      </c>
      <c r="E811">
        <v>280</v>
      </c>
      <c r="F811">
        <v>2316</v>
      </c>
      <c r="G811">
        <v>350</v>
      </c>
      <c r="H811">
        <v>708</v>
      </c>
      <c r="I811">
        <v>430</v>
      </c>
      <c r="J811">
        <v>23</v>
      </c>
      <c r="K811">
        <v>530</v>
      </c>
      <c r="P811">
        <v>151</v>
      </c>
      <c r="Q811">
        <v>180</v>
      </c>
      <c r="R811">
        <v>594</v>
      </c>
      <c r="S811">
        <v>375</v>
      </c>
      <c r="T811">
        <v>3826</v>
      </c>
      <c r="U811">
        <v>420</v>
      </c>
      <c r="V811">
        <v>928</v>
      </c>
      <c r="W811">
        <v>510</v>
      </c>
      <c r="BF811">
        <v>152</v>
      </c>
      <c r="BG811">
        <v>290</v>
      </c>
      <c r="BH811">
        <v>4005</v>
      </c>
      <c r="BI811">
        <v>350</v>
      </c>
      <c r="BJ811">
        <v>272</v>
      </c>
      <c r="BK811">
        <v>360</v>
      </c>
      <c r="BL811">
        <v>5770</v>
      </c>
      <c r="BM811">
        <v>420</v>
      </c>
      <c r="BN811">
        <v>222</v>
      </c>
      <c r="BO811">
        <v>187.5</v>
      </c>
      <c r="BP811">
        <v>222</v>
      </c>
      <c r="BQ811">
        <v>187.5</v>
      </c>
      <c r="BR811">
        <v>10000</v>
      </c>
      <c r="BS811">
        <v>390</v>
      </c>
    </row>
    <row r="812" spans="1:71" x14ac:dyDescent="0.25">
      <c r="A812" t="s">
        <v>718</v>
      </c>
      <c r="B812">
        <v>2021</v>
      </c>
      <c r="C812">
        <v>12</v>
      </c>
      <c r="D812">
        <v>18</v>
      </c>
      <c r="E812">
        <v>167.5</v>
      </c>
      <c r="F812">
        <v>43</v>
      </c>
      <c r="G812">
        <v>220</v>
      </c>
      <c r="H812">
        <v>15</v>
      </c>
      <c r="I812">
        <v>290</v>
      </c>
      <c r="K812">
        <v>317.5</v>
      </c>
      <c r="P812">
        <v>6</v>
      </c>
      <c r="Q812">
        <v>230</v>
      </c>
      <c r="R812">
        <v>40</v>
      </c>
      <c r="S812">
        <v>250</v>
      </c>
      <c r="T812">
        <v>205</v>
      </c>
      <c r="U812">
        <v>280</v>
      </c>
      <c r="V812">
        <v>73</v>
      </c>
      <c r="W812">
        <v>350</v>
      </c>
      <c r="BF812">
        <v>317.5</v>
      </c>
      <c r="BG812">
        <v>317.5</v>
      </c>
      <c r="BH812">
        <v>80</v>
      </c>
      <c r="BI812">
        <v>220</v>
      </c>
      <c r="BJ812">
        <v>21</v>
      </c>
      <c r="BK812">
        <v>260</v>
      </c>
      <c r="BL812">
        <v>345</v>
      </c>
      <c r="BM812">
        <v>285</v>
      </c>
      <c r="BN812">
        <v>6</v>
      </c>
      <c r="BO812">
        <v>170</v>
      </c>
      <c r="BP812">
        <v>6</v>
      </c>
      <c r="BQ812">
        <v>170</v>
      </c>
      <c r="BR812">
        <v>430</v>
      </c>
      <c r="BS812">
        <v>276</v>
      </c>
    </row>
    <row r="813" spans="1:71" x14ac:dyDescent="0.25">
      <c r="A813" t="s">
        <v>719</v>
      </c>
      <c r="B813">
        <v>2021</v>
      </c>
      <c r="C813">
        <v>12</v>
      </c>
      <c r="D813">
        <v>63</v>
      </c>
      <c r="E813">
        <v>225</v>
      </c>
      <c r="F813">
        <v>308</v>
      </c>
      <c r="G813">
        <v>300</v>
      </c>
      <c r="H813">
        <v>166</v>
      </c>
      <c r="I813">
        <v>360</v>
      </c>
      <c r="K813">
        <v>470</v>
      </c>
      <c r="P813">
        <v>20</v>
      </c>
      <c r="Q813">
        <v>180</v>
      </c>
      <c r="R813">
        <v>139</v>
      </c>
      <c r="S813">
        <v>315</v>
      </c>
      <c r="T813">
        <v>1557</v>
      </c>
      <c r="U813">
        <v>380</v>
      </c>
      <c r="V813">
        <v>349</v>
      </c>
      <c r="W813">
        <v>430</v>
      </c>
      <c r="BF813">
        <v>27</v>
      </c>
      <c r="BG813">
        <v>300</v>
      </c>
      <c r="BH813">
        <v>570</v>
      </c>
      <c r="BI813">
        <v>320</v>
      </c>
      <c r="BJ813">
        <v>101</v>
      </c>
      <c r="BK813">
        <v>350</v>
      </c>
      <c r="BL813">
        <v>2165</v>
      </c>
      <c r="BM813">
        <v>380</v>
      </c>
      <c r="BN813">
        <v>41</v>
      </c>
      <c r="BO813">
        <v>185</v>
      </c>
      <c r="BP813">
        <v>41</v>
      </c>
      <c r="BQ813">
        <v>185</v>
      </c>
      <c r="BR813">
        <v>2775</v>
      </c>
      <c r="BS813">
        <v>365</v>
      </c>
    </row>
    <row r="814" spans="1:71" x14ac:dyDescent="0.25">
      <c r="A814" t="s">
        <v>726</v>
      </c>
      <c r="B814">
        <v>2021</v>
      </c>
      <c r="C814">
        <v>12</v>
      </c>
      <c r="D814">
        <v>104</v>
      </c>
      <c r="E814">
        <v>185</v>
      </c>
      <c r="F814">
        <v>305</v>
      </c>
      <c r="G814">
        <v>240</v>
      </c>
      <c r="H814">
        <v>132</v>
      </c>
      <c r="I814">
        <v>331</v>
      </c>
      <c r="J814">
        <v>12</v>
      </c>
      <c r="K814">
        <v>360</v>
      </c>
      <c r="P814">
        <v>26</v>
      </c>
      <c r="Q814">
        <v>230</v>
      </c>
      <c r="R814">
        <v>220</v>
      </c>
      <c r="S814">
        <v>250</v>
      </c>
      <c r="T814">
        <v>1279</v>
      </c>
      <c r="U814">
        <v>305</v>
      </c>
      <c r="V814">
        <v>438</v>
      </c>
      <c r="W814">
        <v>400</v>
      </c>
      <c r="BF814">
        <v>23</v>
      </c>
      <c r="BG814">
        <v>230</v>
      </c>
      <c r="BH814">
        <v>575</v>
      </c>
      <c r="BI814">
        <v>250</v>
      </c>
      <c r="BJ814">
        <v>86</v>
      </c>
      <c r="BK814">
        <v>250</v>
      </c>
      <c r="BL814">
        <v>2050</v>
      </c>
      <c r="BM814">
        <v>315</v>
      </c>
      <c r="BN814">
        <v>9</v>
      </c>
      <c r="BO814">
        <v>180</v>
      </c>
      <c r="BP814">
        <v>9</v>
      </c>
      <c r="BQ814">
        <v>180</v>
      </c>
      <c r="BR814">
        <v>2635</v>
      </c>
      <c r="BS814">
        <v>300</v>
      </c>
    </row>
    <row r="815" spans="1:71" x14ac:dyDescent="0.25">
      <c r="A815" t="s">
        <v>721</v>
      </c>
      <c r="B815">
        <v>2021</v>
      </c>
      <c r="C815">
        <v>12</v>
      </c>
      <c r="D815">
        <v>63</v>
      </c>
      <c r="E815">
        <v>255</v>
      </c>
      <c r="F815">
        <v>443</v>
      </c>
      <c r="G815">
        <v>330</v>
      </c>
      <c r="H815">
        <v>155</v>
      </c>
      <c r="I815">
        <v>395</v>
      </c>
      <c r="K815">
        <v>485</v>
      </c>
      <c r="P815">
        <v>23</v>
      </c>
      <c r="Q815">
        <v>200</v>
      </c>
      <c r="R815">
        <v>111</v>
      </c>
      <c r="S815">
        <v>360</v>
      </c>
      <c r="T815">
        <v>1018</v>
      </c>
      <c r="U815">
        <v>430</v>
      </c>
      <c r="V815">
        <v>251</v>
      </c>
      <c r="W815">
        <v>515</v>
      </c>
      <c r="BF815">
        <v>32</v>
      </c>
      <c r="BG815">
        <v>295</v>
      </c>
      <c r="BH815">
        <v>695</v>
      </c>
      <c r="BI815">
        <v>340</v>
      </c>
      <c r="BJ815">
        <v>54</v>
      </c>
      <c r="BK815">
        <v>340</v>
      </c>
      <c r="BL815">
        <v>1455</v>
      </c>
      <c r="BM815">
        <v>435</v>
      </c>
      <c r="BN815">
        <v>59</v>
      </c>
      <c r="BO815">
        <v>180</v>
      </c>
      <c r="BP815">
        <v>59</v>
      </c>
      <c r="BQ815">
        <v>180</v>
      </c>
      <c r="BR815">
        <v>2215</v>
      </c>
      <c r="BS815">
        <v>400</v>
      </c>
    </row>
    <row r="816" spans="1:71" x14ac:dyDescent="0.25">
      <c r="A816" t="s">
        <v>722</v>
      </c>
      <c r="B816">
        <v>2021</v>
      </c>
      <c r="C816">
        <v>12</v>
      </c>
      <c r="D816">
        <v>113</v>
      </c>
      <c r="E816">
        <v>250</v>
      </c>
      <c r="F816">
        <v>577</v>
      </c>
      <c r="G816">
        <v>320</v>
      </c>
      <c r="H816">
        <v>163</v>
      </c>
      <c r="I816">
        <v>450</v>
      </c>
      <c r="J816">
        <v>6</v>
      </c>
      <c r="K816">
        <v>507.5</v>
      </c>
      <c r="P816">
        <v>22</v>
      </c>
      <c r="Q816">
        <v>192.5</v>
      </c>
      <c r="R816">
        <v>173</v>
      </c>
      <c r="S816">
        <v>380</v>
      </c>
      <c r="T816">
        <v>687</v>
      </c>
      <c r="U816">
        <v>450</v>
      </c>
      <c r="V816">
        <v>131</v>
      </c>
      <c r="W816">
        <v>580</v>
      </c>
      <c r="BF816">
        <v>49</v>
      </c>
      <c r="BG816">
        <v>290</v>
      </c>
      <c r="BH816">
        <v>910</v>
      </c>
      <c r="BI816">
        <v>330</v>
      </c>
      <c r="BJ816">
        <v>85</v>
      </c>
      <c r="BK816">
        <v>380</v>
      </c>
      <c r="BL816">
        <v>1100</v>
      </c>
      <c r="BM816">
        <v>450</v>
      </c>
      <c r="BN816">
        <v>43</v>
      </c>
      <c r="BO816">
        <v>190</v>
      </c>
      <c r="BP816">
        <v>43</v>
      </c>
      <c r="BQ816">
        <v>190</v>
      </c>
      <c r="BR816">
        <v>2050</v>
      </c>
      <c r="BS816">
        <v>390</v>
      </c>
    </row>
    <row r="817" spans="1:71" x14ac:dyDescent="0.25">
      <c r="A817" t="s">
        <v>723</v>
      </c>
      <c r="B817">
        <v>2021</v>
      </c>
      <c r="C817">
        <v>12</v>
      </c>
      <c r="D817">
        <v>19</v>
      </c>
      <c r="E817">
        <v>140</v>
      </c>
      <c r="F817">
        <v>16</v>
      </c>
      <c r="G817">
        <v>210</v>
      </c>
      <c r="H817">
        <v>6</v>
      </c>
      <c r="I817">
        <v>260</v>
      </c>
      <c r="K817">
        <v>270</v>
      </c>
      <c r="P817">
        <v>8</v>
      </c>
      <c r="Q817">
        <v>157.5</v>
      </c>
      <c r="R817">
        <v>33</v>
      </c>
      <c r="S817">
        <v>230</v>
      </c>
      <c r="T817">
        <v>171</v>
      </c>
      <c r="U817">
        <v>275</v>
      </c>
      <c r="V817">
        <v>57</v>
      </c>
      <c r="W817">
        <v>335</v>
      </c>
      <c r="BG817">
        <v>110</v>
      </c>
      <c r="BH817">
        <v>45</v>
      </c>
      <c r="BI817">
        <v>190</v>
      </c>
      <c r="BJ817">
        <v>22</v>
      </c>
      <c r="BK817">
        <v>240</v>
      </c>
      <c r="BL817">
        <v>290</v>
      </c>
      <c r="BM817">
        <v>275</v>
      </c>
      <c r="BN817">
        <v>275</v>
      </c>
      <c r="BO817">
        <v>275</v>
      </c>
      <c r="BP817">
        <v>275</v>
      </c>
      <c r="BQ817">
        <v>275</v>
      </c>
      <c r="BR817">
        <v>335</v>
      </c>
      <c r="BS817">
        <v>260</v>
      </c>
    </row>
    <row r="818" spans="1:71" x14ac:dyDescent="0.25">
      <c r="A818" t="s">
        <v>711</v>
      </c>
      <c r="B818">
        <v>2022</v>
      </c>
      <c r="C818">
        <v>3</v>
      </c>
      <c r="E818">
        <v>360</v>
      </c>
      <c r="F818">
        <v>18</v>
      </c>
      <c r="G818">
        <v>320</v>
      </c>
      <c r="H818">
        <v>27</v>
      </c>
      <c r="I818">
        <v>380</v>
      </c>
      <c r="K818">
        <v>450</v>
      </c>
      <c r="Q818">
        <v>327.5</v>
      </c>
      <c r="R818">
        <v>22</v>
      </c>
      <c r="S818">
        <v>395</v>
      </c>
      <c r="T818">
        <v>158</v>
      </c>
      <c r="U818">
        <v>420</v>
      </c>
      <c r="V818">
        <v>71</v>
      </c>
      <c r="W818">
        <v>530</v>
      </c>
      <c r="BF818">
        <v>450</v>
      </c>
      <c r="BG818">
        <v>450</v>
      </c>
      <c r="BH818">
        <v>50</v>
      </c>
      <c r="BI818">
        <v>367.5</v>
      </c>
      <c r="BJ818">
        <v>6</v>
      </c>
      <c r="BK818">
        <v>380</v>
      </c>
      <c r="BL818">
        <v>260</v>
      </c>
      <c r="BM818">
        <v>450</v>
      </c>
      <c r="BO818">
        <v>170</v>
      </c>
      <c r="BQ818">
        <v>170</v>
      </c>
      <c r="BR818">
        <v>315</v>
      </c>
      <c r="BS818">
        <v>430</v>
      </c>
    </row>
    <row r="819" spans="1:71" x14ac:dyDescent="0.25">
      <c r="A819" t="s">
        <v>712</v>
      </c>
      <c r="B819">
        <v>2022</v>
      </c>
      <c r="C819">
        <v>3</v>
      </c>
      <c r="D819">
        <v>6</v>
      </c>
      <c r="E819">
        <v>240</v>
      </c>
      <c r="F819">
        <v>26</v>
      </c>
      <c r="G819">
        <v>270</v>
      </c>
      <c r="H819">
        <v>13</v>
      </c>
      <c r="I819">
        <v>320</v>
      </c>
      <c r="K819">
        <v>490</v>
      </c>
      <c r="Q819">
        <v>225</v>
      </c>
      <c r="R819">
        <v>16</v>
      </c>
      <c r="S819">
        <v>325</v>
      </c>
      <c r="T819">
        <v>156</v>
      </c>
      <c r="U819">
        <v>360</v>
      </c>
      <c r="V819">
        <v>53</v>
      </c>
      <c r="W819">
        <v>450</v>
      </c>
      <c r="BF819">
        <v>490</v>
      </c>
      <c r="BG819">
        <v>490</v>
      </c>
      <c r="BH819">
        <v>45</v>
      </c>
      <c r="BI819">
        <v>295</v>
      </c>
      <c r="BJ819">
        <v>10</v>
      </c>
      <c r="BK819">
        <v>350</v>
      </c>
      <c r="BL819">
        <v>240</v>
      </c>
      <c r="BM819">
        <v>370</v>
      </c>
      <c r="BO819">
        <v>296</v>
      </c>
      <c r="BQ819">
        <v>296</v>
      </c>
      <c r="BR819">
        <v>290</v>
      </c>
      <c r="BS819">
        <v>350</v>
      </c>
    </row>
    <row r="820" spans="1:71" x14ac:dyDescent="0.25">
      <c r="A820" t="s">
        <v>713</v>
      </c>
      <c r="B820">
        <v>2022</v>
      </c>
      <c r="C820">
        <v>3</v>
      </c>
      <c r="D820">
        <v>2196</v>
      </c>
      <c r="E820">
        <v>300</v>
      </c>
      <c r="F820">
        <v>1125</v>
      </c>
      <c r="G820">
        <v>410</v>
      </c>
      <c r="H820">
        <v>271</v>
      </c>
      <c r="I820">
        <v>530</v>
      </c>
      <c r="J820">
        <v>19</v>
      </c>
      <c r="K820">
        <v>650</v>
      </c>
      <c r="P820">
        <v>56</v>
      </c>
      <c r="Q820">
        <v>178.5</v>
      </c>
      <c r="R820">
        <v>173</v>
      </c>
      <c r="S820">
        <v>460</v>
      </c>
      <c r="T820">
        <v>620</v>
      </c>
      <c r="U820">
        <v>530</v>
      </c>
      <c r="V820">
        <v>178</v>
      </c>
      <c r="W820">
        <v>650</v>
      </c>
      <c r="BF820">
        <v>55</v>
      </c>
      <c r="BG820">
        <v>260</v>
      </c>
      <c r="BH820">
        <v>3665</v>
      </c>
      <c r="BI820">
        <v>349</v>
      </c>
      <c r="BJ820">
        <v>42</v>
      </c>
      <c r="BK820">
        <v>400</v>
      </c>
      <c r="BL820">
        <v>1070</v>
      </c>
      <c r="BM820">
        <v>520</v>
      </c>
      <c r="BN820">
        <v>244</v>
      </c>
      <c r="BO820">
        <v>229</v>
      </c>
      <c r="BP820">
        <v>244</v>
      </c>
      <c r="BQ820">
        <v>229</v>
      </c>
      <c r="BR820">
        <v>4980</v>
      </c>
      <c r="BS820">
        <v>364</v>
      </c>
    </row>
    <row r="821" spans="1:71" x14ac:dyDescent="0.25">
      <c r="A821" t="s">
        <v>714</v>
      </c>
      <c r="B821">
        <v>2022</v>
      </c>
      <c r="C821">
        <v>3</v>
      </c>
      <c r="D821">
        <v>18</v>
      </c>
      <c r="E821">
        <v>170</v>
      </c>
      <c r="F821">
        <v>49</v>
      </c>
      <c r="G821">
        <v>250</v>
      </c>
      <c r="H821">
        <v>13</v>
      </c>
      <c r="I821">
        <v>380</v>
      </c>
      <c r="J821">
        <v>380</v>
      </c>
      <c r="K821">
        <v>380</v>
      </c>
      <c r="Q821">
        <v>205</v>
      </c>
      <c r="R821">
        <v>26</v>
      </c>
      <c r="S821">
        <v>250</v>
      </c>
      <c r="T821">
        <v>166</v>
      </c>
      <c r="U821">
        <v>275</v>
      </c>
      <c r="V821">
        <v>43</v>
      </c>
      <c r="W821">
        <v>390</v>
      </c>
      <c r="BG821">
        <v>240</v>
      </c>
      <c r="BH821">
        <v>85</v>
      </c>
      <c r="BI821">
        <v>245</v>
      </c>
      <c r="BJ821">
        <v>9</v>
      </c>
      <c r="BK821">
        <v>210</v>
      </c>
      <c r="BL821">
        <v>245</v>
      </c>
      <c r="BM821">
        <v>285</v>
      </c>
      <c r="BN821">
        <v>285</v>
      </c>
      <c r="BO821">
        <v>285</v>
      </c>
      <c r="BP821">
        <v>285</v>
      </c>
      <c r="BQ821">
        <v>285</v>
      </c>
      <c r="BR821">
        <v>330</v>
      </c>
      <c r="BS821">
        <v>270</v>
      </c>
    </row>
    <row r="822" spans="1:71" x14ac:dyDescent="0.25">
      <c r="A822" t="s">
        <v>715</v>
      </c>
      <c r="B822">
        <v>2022</v>
      </c>
      <c r="C822">
        <v>3</v>
      </c>
      <c r="D822">
        <v>26</v>
      </c>
      <c r="E822">
        <v>220</v>
      </c>
      <c r="F822">
        <v>39</v>
      </c>
      <c r="G822">
        <v>260</v>
      </c>
      <c r="H822">
        <v>16</v>
      </c>
      <c r="I822">
        <v>340</v>
      </c>
      <c r="K822">
        <v>245</v>
      </c>
      <c r="Q822">
        <v>194</v>
      </c>
      <c r="R822">
        <v>13</v>
      </c>
      <c r="S822">
        <v>265</v>
      </c>
      <c r="T822">
        <v>133</v>
      </c>
      <c r="U822">
        <v>300</v>
      </c>
      <c r="V822">
        <v>55</v>
      </c>
      <c r="W822">
        <v>425</v>
      </c>
      <c r="BF822">
        <v>245</v>
      </c>
      <c r="BG822">
        <v>245</v>
      </c>
      <c r="BH822">
        <v>85</v>
      </c>
      <c r="BI822">
        <v>240</v>
      </c>
      <c r="BK822">
        <v>175</v>
      </c>
      <c r="BL822">
        <v>205</v>
      </c>
      <c r="BM822">
        <v>320</v>
      </c>
      <c r="BO822">
        <v>242.5</v>
      </c>
      <c r="BQ822">
        <v>242.5</v>
      </c>
      <c r="BR822">
        <v>290</v>
      </c>
      <c r="BS822">
        <v>300</v>
      </c>
    </row>
    <row r="823" spans="1:71" x14ac:dyDescent="0.25">
      <c r="A823" t="s">
        <v>716</v>
      </c>
      <c r="B823">
        <v>2022</v>
      </c>
      <c r="C823">
        <v>3</v>
      </c>
      <c r="D823">
        <v>9</v>
      </c>
      <c r="E823">
        <v>215</v>
      </c>
      <c r="F823">
        <v>25</v>
      </c>
      <c r="G823">
        <v>285</v>
      </c>
      <c r="H823">
        <v>15</v>
      </c>
      <c r="I823">
        <v>360</v>
      </c>
      <c r="J823">
        <v>360</v>
      </c>
      <c r="K823">
        <v>360</v>
      </c>
      <c r="Q823">
        <v>250</v>
      </c>
      <c r="R823">
        <v>15</v>
      </c>
      <c r="S823">
        <v>330</v>
      </c>
      <c r="T823">
        <v>128</v>
      </c>
      <c r="U823">
        <v>360</v>
      </c>
      <c r="V823">
        <v>42</v>
      </c>
      <c r="W823">
        <v>420</v>
      </c>
      <c r="BG823">
        <v>240</v>
      </c>
      <c r="BH823">
        <v>50</v>
      </c>
      <c r="BI823">
        <v>290</v>
      </c>
      <c r="BJ823">
        <v>8</v>
      </c>
      <c r="BK823">
        <v>355</v>
      </c>
      <c r="BL823">
        <v>195</v>
      </c>
      <c r="BM823">
        <v>370</v>
      </c>
      <c r="BO823">
        <v>320</v>
      </c>
      <c r="BQ823">
        <v>320</v>
      </c>
      <c r="BR823">
        <v>245</v>
      </c>
      <c r="BS823">
        <v>360</v>
      </c>
    </row>
    <row r="824" spans="1:71" x14ac:dyDescent="0.25">
      <c r="A824" t="s">
        <v>717</v>
      </c>
      <c r="B824">
        <v>2022</v>
      </c>
      <c r="C824">
        <v>3</v>
      </c>
      <c r="D824">
        <v>27</v>
      </c>
      <c r="E824">
        <v>190</v>
      </c>
      <c r="F824">
        <v>91</v>
      </c>
      <c r="G824">
        <v>220</v>
      </c>
      <c r="H824">
        <v>22</v>
      </c>
      <c r="I824">
        <v>315</v>
      </c>
      <c r="K824">
        <v>400</v>
      </c>
      <c r="P824">
        <v>6</v>
      </c>
      <c r="Q824">
        <v>232.5</v>
      </c>
      <c r="R824">
        <v>25</v>
      </c>
      <c r="S824">
        <v>240</v>
      </c>
      <c r="T824">
        <v>189</v>
      </c>
      <c r="U824">
        <v>290</v>
      </c>
      <c r="V824">
        <v>52</v>
      </c>
      <c r="W824">
        <v>360</v>
      </c>
      <c r="BG824">
        <v>230</v>
      </c>
      <c r="BH824">
        <v>145</v>
      </c>
      <c r="BI824">
        <v>225</v>
      </c>
      <c r="BJ824">
        <v>6</v>
      </c>
      <c r="BK824">
        <v>290</v>
      </c>
      <c r="BL824">
        <v>280</v>
      </c>
      <c r="BM824">
        <v>295</v>
      </c>
      <c r="BN824">
        <v>295</v>
      </c>
      <c r="BO824">
        <v>295</v>
      </c>
      <c r="BP824">
        <v>295</v>
      </c>
      <c r="BQ824">
        <v>295</v>
      </c>
      <c r="BR824">
        <v>420</v>
      </c>
      <c r="BS824">
        <v>270</v>
      </c>
    </row>
    <row r="825" spans="1:71" x14ac:dyDescent="0.25">
      <c r="A825" t="s">
        <v>725</v>
      </c>
      <c r="B825">
        <v>2022</v>
      </c>
      <c r="C825">
        <v>3</v>
      </c>
      <c r="D825">
        <v>2445</v>
      </c>
      <c r="E825">
        <v>300</v>
      </c>
      <c r="F825">
        <v>2429</v>
      </c>
      <c r="G825">
        <v>370</v>
      </c>
      <c r="H825">
        <v>720</v>
      </c>
      <c r="I825">
        <v>450</v>
      </c>
      <c r="J825">
        <v>38</v>
      </c>
      <c r="K825">
        <v>497.5</v>
      </c>
      <c r="P825">
        <v>135</v>
      </c>
      <c r="Q825">
        <v>195</v>
      </c>
      <c r="R825">
        <v>579</v>
      </c>
      <c r="S825">
        <v>410</v>
      </c>
      <c r="T825">
        <v>3835</v>
      </c>
      <c r="U825">
        <v>445</v>
      </c>
      <c r="V825">
        <v>936</v>
      </c>
      <c r="W825">
        <v>530</v>
      </c>
      <c r="BF825">
        <v>127</v>
      </c>
      <c r="BG825">
        <v>280</v>
      </c>
      <c r="BH825">
        <v>5760</v>
      </c>
      <c r="BI825">
        <v>350</v>
      </c>
      <c r="BJ825">
        <v>268</v>
      </c>
      <c r="BK825">
        <v>380</v>
      </c>
      <c r="BL825">
        <v>5755</v>
      </c>
      <c r="BM825">
        <v>450</v>
      </c>
      <c r="BN825">
        <v>446</v>
      </c>
      <c r="BO825">
        <v>205</v>
      </c>
      <c r="BP825">
        <v>446</v>
      </c>
      <c r="BQ825">
        <v>205</v>
      </c>
      <c r="BR825">
        <v>11960</v>
      </c>
      <c r="BS825">
        <v>390</v>
      </c>
    </row>
    <row r="826" spans="1:71" x14ac:dyDescent="0.25">
      <c r="A826" t="s">
        <v>718</v>
      </c>
      <c r="B826">
        <v>2022</v>
      </c>
      <c r="C826">
        <v>3</v>
      </c>
      <c r="D826">
        <v>15</v>
      </c>
      <c r="E826">
        <v>175</v>
      </c>
      <c r="F826">
        <v>49</v>
      </c>
      <c r="G826">
        <v>225</v>
      </c>
      <c r="H826">
        <v>19</v>
      </c>
      <c r="I826">
        <v>280</v>
      </c>
      <c r="K826">
        <v>397.5</v>
      </c>
      <c r="Q826">
        <v>220</v>
      </c>
      <c r="R826">
        <v>39</v>
      </c>
      <c r="S826">
        <v>250</v>
      </c>
      <c r="T826">
        <v>198</v>
      </c>
      <c r="U826">
        <v>290</v>
      </c>
      <c r="V826">
        <v>46</v>
      </c>
      <c r="W826">
        <v>355</v>
      </c>
      <c r="BG826">
        <v>130</v>
      </c>
      <c r="BH826">
        <v>85</v>
      </c>
      <c r="BI826">
        <v>230</v>
      </c>
      <c r="BJ826">
        <v>22</v>
      </c>
      <c r="BK826">
        <v>250</v>
      </c>
      <c r="BL826">
        <v>310</v>
      </c>
      <c r="BM826">
        <v>287.5</v>
      </c>
      <c r="BN826">
        <v>8</v>
      </c>
      <c r="BO826">
        <v>250</v>
      </c>
      <c r="BP826">
        <v>8</v>
      </c>
      <c r="BQ826">
        <v>250</v>
      </c>
      <c r="BR826">
        <v>405</v>
      </c>
      <c r="BS826">
        <v>275</v>
      </c>
    </row>
    <row r="827" spans="1:71" x14ac:dyDescent="0.25">
      <c r="A827" t="s">
        <v>719</v>
      </c>
      <c r="B827">
        <v>2022</v>
      </c>
      <c r="C827">
        <v>3</v>
      </c>
      <c r="D827">
        <v>67</v>
      </c>
      <c r="E827">
        <v>230</v>
      </c>
      <c r="F827">
        <v>322</v>
      </c>
      <c r="G827">
        <v>320</v>
      </c>
      <c r="H827">
        <v>133</v>
      </c>
      <c r="I827">
        <v>390</v>
      </c>
      <c r="J827">
        <v>7</v>
      </c>
      <c r="K827">
        <v>390</v>
      </c>
      <c r="P827">
        <v>26</v>
      </c>
      <c r="Q827">
        <v>175</v>
      </c>
      <c r="R827">
        <v>127</v>
      </c>
      <c r="S827">
        <v>330</v>
      </c>
      <c r="T827">
        <v>1537</v>
      </c>
      <c r="U827">
        <v>395</v>
      </c>
      <c r="V827">
        <v>355</v>
      </c>
      <c r="W827">
        <v>450</v>
      </c>
      <c r="BF827">
        <v>11</v>
      </c>
      <c r="BG827">
        <v>262.01</v>
      </c>
      <c r="BH827">
        <v>540</v>
      </c>
      <c r="BI827">
        <v>330</v>
      </c>
      <c r="BJ827">
        <v>93</v>
      </c>
      <c r="BK827">
        <v>350</v>
      </c>
      <c r="BL827">
        <v>2140</v>
      </c>
      <c r="BM827">
        <v>400</v>
      </c>
      <c r="BN827">
        <v>74</v>
      </c>
      <c r="BO827">
        <v>192.5</v>
      </c>
      <c r="BP827">
        <v>74</v>
      </c>
      <c r="BQ827">
        <v>192.5</v>
      </c>
      <c r="BR827">
        <v>2750</v>
      </c>
      <c r="BS827">
        <v>380</v>
      </c>
    </row>
    <row r="828" spans="1:71" x14ac:dyDescent="0.25">
      <c r="A828" t="s">
        <v>726</v>
      </c>
      <c r="B828">
        <v>2022</v>
      </c>
      <c r="C828">
        <v>3</v>
      </c>
      <c r="D828">
        <v>114</v>
      </c>
      <c r="E828">
        <v>200</v>
      </c>
      <c r="F828">
        <v>315</v>
      </c>
      <c r="G828">
        <v>235</v>
      </c>
      <c r="H828">
        <v>135</v>
      </c>
      <c r="I828">
        <v>340</v>
      </c>
      <c r="J828">
        <v>12</v>
      </c>
      <c r="K828">
        <v>435</v>
      </c>
      <c r="P828">
        <v>38</v>
      </c>
      <c r="Q828">
        <v>202.5</v>
      </c>
      <c r="R828">
        <v>183</v>
      </c>
      <c r="S828">
        <v>270</v>
      </c>
      <c r="T828">
        <v>1300</v>
      </c>
      <c r="U828">
        <v>315</v>
      </c>
      <c r="V828">
        <v>410</v>
      </c>
      <c r="W828">
        <v>420</v>
      </c>
      <c r="BF828">
        <v>12</v>
      </c>
      <c r="BG828">
        <v>230</v>
      </c>
      <c r="BH828">
        <v>590</v>
      </c>
      <c r="BI828">
        <v>240</v>
      </c>
      <c r="BJ828">
        <v>77</v>
      </c>
      <c r="BK828">
        <v>260</v>
      </c>
      <c r="BL828">
        <v>2010</v>
      </c>
      <c r="BM828">
        <v>325</v>
      </c>
      <c r="BN828">
        <v>18</v>
      </c>
      <c r="BO828">
        <v>250</v>
      </c>
      <c r="BP828">
        <v>18</v>
      </c>
      <c r="BQ828">
        <v>250</v>
      </c>
      <c r="BR828">
        <v>2615</v>
      </c>
      <c r="BS828">
        <v>300</v>
      </c>
    </row>
    <row r="829" spans="1:71" x14ac:dyDescent="0.25">
      <c r="A829" t="s">
        <v>721</v>
      </c>
      <c r="B829">
        <v>2022</v>
      </c>
      <c r="C829">
        <v>3</v>
      </c>
      <c r="D829">
        <v>88</v>
      </c>
      <c r="E829">
        <v>290</v>
      </c>
      <c r="F829">
        <v>385</v>
      </c>
      <c r="G829">
        <v>350</v>
      </c>
      <c r="H829">
        <v>140</v>
      </c>
      <c r="I829">
        <v>420</v>
      </c>
      <c r="J829">
        <v>6</v>
      </c>
      <c r="K829">
        <v>450</v>
      </c>
      <c r="P829">
        <v>32</v>
      </c>
      <c r="Q829">
        <v>200</v>
      </c>
      <c r="R829">
        <v>123</v>
      </c>
      <c r="S829">
        <v>400</v>
      </c>
      <c r="T829">
        <v>925</v>
      </c>
      <c r="U829">
        <v>450</v>
      </c>
      <c r="V829">
        <v>260</v>
      </c>
      <c r="W829">
        <v>550</v>
      </c>
      <c r="BF829">
        <v>26</v>
      </c>
      <c r="BG829">
        <v>317.5</v>
      </c>
      <c r="BH829">
        <v>645</v>
      </c>
      <c r="BI829">
        <v>355</v>
      </c>
      <c r="BJ829">
        <v>63</v>
      </c>
      <c r="BK829">
        <v>385</v>
      </c>
      <c r="BL829">
        <v>1405</v>
      </c>
      <c r="BM829">
        <v>450</v>
      </c>
      <c r="BN829">
        <v>57</v>
      </c>
      <c r="BO829">
        <v>180</v>
      </c>
      <c r="BP829">
        <v>57</v>
      </c>
      <c r="BQ829">
        <v>180</v>
      </c>
      <c r="BR829">
        <v>2105</v>
      </c>
      <c r="BS829">
        <v>420</v>
      </c>
    </row>
    <row r="830" spans="1:71" x14ac:dyDescent="0.25">
      <c r="A830" t="s">
        <v>722</v>
      </c>
      <c r="B830">
        <v>2022</v>
      </c>
      <c r="C830">
        <v>3</v>
      </c>
      <c r="D830">
        <v>94</v>
      </c>
      <c r="E830">
        <v>270</v>
      </c>
      <c r="F830">
        <v>597</v>
      </c>
      <c r="G830">
        <v>350</v>
      </c>
      <c r="H830">
        <v>176</v>
      </c>
      <c r="I830">
        <v>462.5</v>
      </c>
      <c r="J830">
        <v>6</v>
      </c>
      <c r="K830">
        <v>485</v>
      </c>
      <c r="P830">
        <v>21</v>
      </c>
      <c r="Q830">
        <v>255</v>
      </c>
      <c r="R830">
        <v>156</v>
      </c>
      <c r="S830">
        <v>420</v>
      </c>
      <c r="T830">
        <v>753</v>
      </c>
      <c r="U830">
        <v>475</v>
      </c>
      <c r="V830">
        <v>143</v>
      </c>
      <c r="W830">
        <v>560</v>
      </c>
      <c r="BF830">
        <v>35</v>
      </c>
      <c r="BG830">
        <v>280</v>
      </c>
      <c r="BH830">
        <v>910</v>
      </c>
      <c r="BI830">
        <v>350</v>
      </c>
      <c r="BJ830">
        <v>70</v>
      </c>
      <c r="BK830">
        <v>350</v>
      </c>
      <c r="BL830">
        <v>1145</v>
      </c>
      <c r="BM830">
        <v>460</v>
      </c>
      <c r="BN830">
        <v>71</v>
      </c>
      <c r="BO830">
        <v>165</v>
      </c>
      <c r="BP830">
        <v>71</v>
      </c>
      <c r="BQ830">
        <v>165</v>
      </c>
      <c r="BR830">
        <v>2120</v>
      </c>
      <c r="BS830">
        <v>420</v>
      </c>
    </row>
    <row r="831" spans="1:71" x14ac:dyDescent="0.25">
      <c r="A831" t="s">
        <v>723</v>
      </c>
      <c r="B831">
        <v>2022</v>
      </c>
      <c r="C831">
        <v>3</v>
      </c>
      <c r="D831">
        <v>8</v>
      </c>
      <c r="E831">
        <v>185</v>
      </c>
      <c r="F831">
        <v>18</v>
      </c>
      <c r="G831">
        <v>202.5</v>
      </c>
      <c r="H831">
        <v>10</v>
      </c>
      <c r="I831">
        <v>295</v>
      </c>
      <c r="K831">
        <v>372.5</v>
      </c>
      <c r="P831">
        <v>12</v>
      </c>
      <c r="Q831">
        <v>150</v>
      </c>
      <c r="R831">
        <v>27</v>
      </c>
      <c r="S831">
        <v>250</v>
      </c>
      <c r="T831">
        <v>172</v>
      </c>
      <c r="U831">
        <v>270</v>
      </c>
      <c r="V831">
        <v>48</v>
      </c>
      <c r="W831">
        <v>330</v>
      </c>
      <c r="BG831">
        <v>245</v>
      </c>
      <c r="BH831">
        <v>40</v>
      </c>
      <c r="BI831">
        <v>210</v>
      </c>
      <c r="BJ831">
        <v>14</v>
      </c>
      <c r="BK831">
        <v>250</v>
      </c>
      <c r="BL831">
        <v>275</v>
      </c>
      <c r="BM831">
        <v>270</v>
      </c>
      <c r="BN831">
        <v>270</v>
      </c>
      <c r="BO831">
        <v>270</v>
      </c>
      <c r="BP831">
        <v>270</v>
      </c>
      <c r="BQ831">
        <v>270</v>
      </c>
      <c r="BR831">
        <v>315</v>
      </c>
      <c r="BS831">
        <v>260</v>
      </c>
    </row>
    <row r="832" spans="1:71" x14ac:dyDescent="0.25">
      <c r="A832" t="s">
        <v>711</v>
      </c>
      <c r="B832">
        <v>2022</v>
      </c>
      <c r="C832">
        <v>6</v>
      </c>
      <c r="E832">
        <v>380</v>
      </c>
      <c r="F832">
        <v>12</v>
      </c>
      <c r="G832">
        <v>327.5</v>
      </c>
      <c r="H832">
        <v>22</v>
      </c>
      <c r="I832">
        <v>410</v>
      </c>
      <c r="K832">
        <v>445</v>
      </c>
      <c r="Q832">
        <v>380</v>
      </c>
      <c r="R832">
        <v>20</v>
      </c>
      <c r="S832">
        <v>450</v>
      </c>
      <c r="T832">
        <v>103</v>
      </c>
      <c r="U832">
        <v>420</v>
      </c>
      <c r="V832">
        <v>84</v>
      </c>
      <c r="W832">
        <v>550</v>
      </c>
      <c r="BG832">
        <v>375</v>
      </c>
      <c r="BH832">
        <v>45</v>
      </c>
      <c r="BI832">
        <v>387.5</v>
      </c>
      <c r="BJ832">
        <v>11</v>
      </c>
      <c r="BK832">
        <v>450</v>
      </c>
      <c r="BL832">
        <v>225</v>
      </c>
      <c r="BM832">
        <v>475</v>
      </c>
      <c r="BN832">
        <v>475</v>
      </c>
      <c r="BO832">
        <v>475</v>
      </c>
      <c r="BP832">
        <v>475</v>
      </c>
      <c r="BQ832">
        <v>475</v>
      </c>
      <c r="BR832">
        <v>265</v>
      </c>
      <c r="BS832">
        <v>450</v>
      </c>
    </row>
    <row r="833" spans="1:71" x14ac:dyDescent="0.25">
      <c r="A833" t="s">
        <v>712</v>
      </c>
      <c r="B833">
        <v>2022</v>
      </c>
      <c r="C833">
        <v>6</v>
      </c>
      <c r="E833">
        <v>240</v>
      </c>
      <c r="F833">
        <v>21</v>
      </c>
      <c r="G833">
        <v>275</v>
      </c>
      <c r="H833">
        <v>11</v>
      </c>
      <c r="I833">
        <v>350</v>
      </c>
      <c r="K833">
        <v>425</v>
      </c>
      <c r="P833">
        <v>290</v>
      </c>
      <c r="Q833">
        <v>290</v>
      </c>
      <c r="R833">
        <v>19</v>
      </c>
      <c r="S833">
        <v>360</v>
      </c>
      <c r="T833">
        <v>158</v>
      </c>
      <c r="U833">
        <v>370</v>
      </c>
      <c r="V833">
        <v>57</v>
      </c>
      <c r="W833">
        <v>480</v>
      </c>
      <c r="BG833">
        <v>240</v>
      </c>
      <c r="BH833">
        <v>40</v>
      </c>
      <c r="BI833">
        <v>290</v>
      </c>
      <c r="BJ833">
        <v>13</v>
      </c>
      <c r="BK833">
        <v>350</v>
      </c>
      <c r="BL833">
        <v>245</v>
      </c>
      <c r="BM833">
        <v>385</v>
      </c>
      <c r="BN833">
        <v>385</v>
      </c>
      <c r="BO833">
        <v>385</v>
      </c>
      <c r="BP833">
        <v>385</v>
      </c>
      <c r="BQ833">
        <v>385</v>
      </c>
      <c r="BR833">
        <v>285</v>
      </c>
      <c r="BS833">
        <v>380</v>
      </c>
    </row>
    <row r="834" spans="1:71" x14ac:dyDescent="0.25">
      <c r="A834" t="s">
        <v>713</v>
      </c>
      <c r="B834">
        <v>2022</v>
      </c>
      <c r="C834">
        <v>6</v>
      </c>
      <c r="D834">
        <v>1168</v>
      </c>
      <c r="E834">
        <v>309</v>
      </c>
      <c r="F834">
        <v>825</v>
      </c>
      <c r="G834">
        <v>420</v>
      </c>
      <c r="H834">
        <v>235</v>
      </c>
      <c r="I834">
        <v>550</v>
      </c>
      <c r="J834">
        <v>23</v>
      </c>
      <c r="K834">
        <v>600</v>
      </c>
      <c r="P834">
        <v>64</v>
      </c>
      <c r="Q834">
        <v>183.75</v>
      </c>
      <c r="R834">
        <v>163</v>
      </c>
      <c r="S834">
        <v>470</v>
      </c>
      <c r="T834">
        <v>542</v>
      </c>
      <c r="U834">
        <v>550</v>
      </c>
      <c r="V834">
        <v>165</v>
      </c>
      <c r="W834">
        <v>725</v>
      </c>
      <c r="BF834">
        <v>54</v>
      </c>
      <c r="BG834">
        <v>335</v>
      </c>
      <c r="BH834">
        <v>2305</v>
      </c>
      <c r="BI834">
        <v>370</v>
      </c>
      <c r="BJ834">
        <v>63</v>
      </c>
      <c r="BK834">
        <v>450</v>
      </c>
      <c r="BL834">
        <v>995</v>
      </c>
      <c r="BM834">
        <v>525</v>
      </c>
      <c r="BN834">
        <v>145</v>
      </c>
      <c r="BO834">
        <v>229</v>
      </c>
      <c r="BP834">
        <v>145</v>
      </c>
      <c r="BQ834">
        <v>229</v>
      </c>
      <c r="BR834">
        <v>3445</v>
      </c>
      <c r="BS834">
        <v>400</v>
      </c>
    </row>
    <row r="835" spans="1:71" x14ac:dyDescent="0.25">
      <c r="A835" t="s">
        <v>714</v>
      </c>
      <c r="B835">
        <v>2022</v>
      </c>
      <c r="C835">
        <v>6</v>
      </c>
      <c r="D835">
        <v>27</v>
      </c>
      <c r="E835">
        <v>210</v>
      </c>
      <c r="F835">
        <v>52</v>
      </c>
      <c r="G835">
        <v>225</v>
      </c>
      <c r="H835">
        <v>19</v>
      </c>
      <c r="I835">
        <v>400</v>
      </c>
      <c r="K835">
        <v>420</v>
      </c>
      <c r="Q835">
        <v>227.5</v>
      </c>
      <c r="R835">
        <v>34</v>
      </c>
      <c r="S835">
        <v>245</v>
      </c>
      <c r="T835">
        <v>201</v>
      </c>
      <c r="U835">
        <v>280</v>
      </c>
      <c r="V835">
        <v>40</v>
      </c>
      <c r="W835">
        <v>380</v>
      </c>
      <c r="BG835">
        <v>280</v>
      </c>
      <c r="BH835">
        <v>100</v>
      </c>
      <c r="BI835">
        <v>240</v>
      </c>
      <c r="BJ835">
        <v>10</v>
      </c>
      <c r="BK835">
        <v>350</v>
      </c>
      <c r="BL835">
        <v>290</v>
      </c>
      <c r="BM835">
        <v>290</v>
      </c>
      <c r="BO835">
        <v>127.5</v>
      </c>
      <c r="BQ835">
        <v>127.5</v>
      </c>
      <c r="BR835">
        <v>395</v>
      </c>
      <c r="BS835">
        <v>280</v>
      </c>
    </row>
    <row r="836" spans="1:71" x14ac:dyDescent="0.25">
      <c r="A836" t="s">
        <v>715</v>
      </c>
      <c r="B836">
        <v>2022</v>
      </c>
      <c r="C836">
        <v>6</v>
      </c>
      <c r="D836">
        <v>9</v>
      </c>
      <c r="E836">
        <v>210</v>
      </c>
      <c r="F836">
        <v>33</v>
      </c>
      <c r="G836">
        <v>230</v>
      </c>
      <c r="I836">
        <v>280</v>
      </c>
      <c r="K836">
        <v>300</v>
      </c>
      <c r="Q836">
        <v>200</v>
      </c>
      <c r="R836">
        <v>21</v>
      </c>
      <c r="S836">
        <v>200</v>
      </c>
      <c r="T836">
        <v>137</v>
      </c>
      <c r="U836">
        <v>300</v>
      </c>
      <c r="V836">
        <v>39</v>
      </c>
      <c r="W836">
        <v>400</v>
      </c>
      <c r="BF836">
        <v>300</v>
      </c>
      <c r="BG836">
        <v>300</v>
      </c>
      <c r="BH836">
        <v>50</v>
      </c>
      <c r="BI836">
        <v>230</v>
      </c>
      <c r="BK836">
        <v>180</v>
      </c>
      <c r="BL836">
        <v>205</v>
      </c>
      <c r="BM836">
        <v>320</v>
      </c>
      <c r="BO836">
        <v>200</v>
      </c>
      <c r="BQ836">
        <v>200</v>
      </c>
      <c r="BR836">
        <v>255</v>
      </c>
      <c r="BS836">
        <v>300</v>
      </c>
    </row>
    <row r="837" spans="1:71" x14ac:dyDescent="0.25">
      <c r="A837" t="s">
        <v>716</v>
      </c>
      <c r="B837">
        <v>2022</v>
      </c>
      <c r="C837">
        <v>6</v>
      </c>
      <c r="D837">
        <v>11</v>
      </c>
      <c r="E837">
        <v>230</v>
      </c>
      <c r="F837">
        <v>30</v>
      </c>
      <c r="G837">
        <v>295</v>
      </c>
      <c r="H837">
        <v>13</v>
      </c>
      <c r="I837">
        <v>390</v>
      </c>
      <c r="K837">
        <v>315</v>
      </c>
      <c r="Q837">
        <v>300</v>
      </c>
      <c r="R837">
        <v>27</v>
      </c>
      <c r="S837">
        <v>330</v>
      </c>
      <c r="T837">
        <v>118</v>
      </c>
      <c r="U837">
        <v>380</v>
      </c>
      <c r="V837">
        <v>46</v>
      </c>
      <c r="W837">
        <v>450</v>
      </c>
      <c r="BG837">
        <v>250</v>
      </c>
      <c r="BH837">
        <v>60</v>
      </c>
      <c r="BI837">
        <v>290</v>
      </c>
      <c r="BJ837">
        <v>13</v>
      </c>
      <c r="BK837">
        <v>350</v>
      </c>
      <c r="BL837">
        <v>205</v>
      </c>
      <c r="BM837">
        <v>382.5</v>
      </c>
      <c r="BO837">
        <v>137.5</v>
      </c>
      <c r="BQ837">
        <v>137.5</v>
      </c>
      <c r="BR837">
        <v>270</v>
      </c>
      <c r="BS837">
        <v>365</v>
      </c>
    </row>
    <row r="838" spans="1:71" x14ac:dyDescent="0.25">
      <c r="A838" t="s">
        <v>717</v>
      </c>
      <c r="B838">
        <v>2022</v>
      </c>
      <c r="C838">
        <v>6</v>
      </c>
      <c r="D838">
        <v>17</v>
      </c>
      <c r="E838">
        <v>180</v>
      </c>
      <c r="F838">
        <v>69</v>
      </c>
      <c r="G838">
        <v>220</v>
      </c>
      <c r="H838">
        <v>25</v>
      </c>
      <c r="I838">
        <v>330</v>
      </c>
      <c r="K838">
        <v>230</v>
      </c>
      <c r="P838">
        <v>6</v>
      </c>
      <c r="Q838">
        <v>205</v>
      </c>
      <c r="R838">
        <v>29</v>
      </c>
      <c r="S838">
        <v>230</v>
      </c>
      <c r="T838">
        <v>204</v>
      </c>
      <c r="U838">
        <v>307.5</v>
      </c>
      <c r="V838">
        <v>59</v>
      </c>
      <c r="W838">
        <v>390</v>
      </c>
      <c r="BF838">
        <v>230</v>
      </c>
      <c r="BG838">
        <v>230</v>
      </c>
      <c r="BH838">
        <v>110</v>
      </c>
      <c r="BI838">
        <v>225</v>
      </c>
      <c r="BK838">
        <v>260</v>
      </c>
      <c r="BL838">
        <v>305</v>
      </c>
      <c r="BM838">
        <v>310</v>
      </c>
      <c r="BN838">
        <v>310</v>
      </c>
      <c r="BO838">
        <v>310</v>
      </c>
      <c r="BP838">
        <v>310</v>
      </c>
      <c r="BQ838">
        <v>310</v>
      </c>
      <c r="BR838">
        <v>415</v>
      </c>
      <c r="BS838">
        <v>290</v>
      </c>
    </row>
    <row r="839" spans="1:71" x14ac:dyDescent="0.25">
      <c r="A839" t="s">
        <v>725</v>
      </c>
      <c r="B839">
        <v>2022</v>
      </c>
      <c r="C839">
        <v>6</v>
      </c>
      <c r="D839">
        <v>1426</v>
      </c>
      <c r="E839">
        <v>300</v>
      </c>
      <c r="F839">
        <v>1969</v>
      </c>
      <c r="G839">
        <v>370</v>
      </c>
      <c r="H839">
        <v>618</v>
      </c>
      <c r="I839">
        <v>480</v>
      </c>
      <c r="J839">
        <v>58</v>
      </c>
      <c r="K839">
        <v>450</v>
      </c>
      <c r="P839">
        <v>138</v>
      </c>
      <c r="Q839">
        <v>192</v>
      </c>
      <c r="R839">
        <v>577</v>
      </c>
      <c r="S839">
        <v>410</v>
      </c>
      <c r="T839">
        <v>3659</v>
      </c>
      <c r="U839">
        <v>450</v>
      </c>
      <c r="V839">
        <v>938</v>
      </c>
      <c r="W839">
        <v>550</v>
      </c>
      <c r="BF839">
        <v>156</v>
      </c>
      <c r="BG839">
        <v>332.5</v>
      </c>
      <c r="BH839">
        <v>4225</v>
      </c>
      <c r="BI839">
        <v>360</v>
      </c>
      <c r="BJ839">
        <v>351</v>
      </c>
      <c r="BK839">
        <v>380</v>
      </c>
      <c r="BL839">
        <v>5665</v>
      </c>
      <c r="BM839">
        <v>450</v>
      </c>
      <c r="BN839">
        <v>359</v>
      </c>
      <c r="BO839">
        <v>207</v>
      </c>
      <c r="BP839">
        <v>359</v>
      </c>
      <c r="BQ839">
        <v>207</v>
      </c>
      <c r="BR839">
        <v>10250</v>
      </c>
      <c r="BS839">
        <v>410</v>
      </c>
    </row>
    <row r="840" spans="1:71" x14ac:dyDescent="0.25">
      <c r="A840" t="s">
        <v>718</v>
      </c>
      <c r="B840">
        <v>2022</v>
      </c>
      <c r="C840">
        <v>6</v>
      </c>
      <c r="D840">
        <v>11</v>
      </c>
      <c r="E840">
        <v>220</v>
      </c>
      <c r="F840">
        <v>50</v>
      </c>
      <c r="G840">
        <v>230</v>
      </c>
      <c r="H840">
        <v>7</v>
      </c>
      <c r="I840">
        <v>260</v>
      </c>
      <c r="K840">
        <v>305</v>
      </c>
      <c r="P840">
        <v>7</v>
      </c>
      <c r="Q840">
        <v>200</v>
      </c>
      <c r="R840">
        <v>28</v>
      </c>
      <c r="S840">
        <v>260</v>
      </c>
      <c r="T840">
        <v>171</v>
      </c>
      <c r="U840">
        <v>300</v>
      </c>
      <c r="V840">
        <v>47</v>
      </c>
      <c r="W840">
        <v>350</v>
      </c>
      <c r="BG840">
        <v>170</v>
      </c>
      <c r="BH840">
        <v>70</v>
      </c>
      <c r="BI840">
        <v>230</v>
      </c>
      <c r="BJ840">
        <v>28</v>
      </c>
      <c r="BK840">
        <v>272.5</v>
      </c>
      <c r="BL840">
        <v>280</v>
      </c>
      <c r="BM840">
        <v>300</v>
      </c>
      <c r="BN840">
        <v>12</v>
      </c>
      <c r="BO840">
        <v>170</v>
      </c>
      <c r="BP840">
        <v>12</v>
      </c>
      <c r="BQ840">
        <v>170</v>
      </c>
      <c r="BR840">
        <v>365</v>
      </c>
      <c r="BS840">
        <v>280</v>
      </c>
    </row>
    <row r="841" spans="1:71" x14ac:dyDescent="0.25">
      <c r="A841" t="s">
        <v>719</v>
      </c>
      <c r="B841">
        <v>2022</v>
      </c>
      <c r="C841">
        <v>6</v>
      </c>
      <c r="D841">
        <v>56</v>
      </c>
      <c r="E841">
        <v>260</v>
      </c>
      <c r="F841">
        <v>265</v>
      </c>
      <c r="G841">
        <v>320</v>
      </c>
      <c r="H841">
        <v>126</v>
      </c>
      <c r="I841">
        <v>420</v>
      </c>
      <c r="J841">
        <v>9</v>
      </c>
      <c r="K841">
        <v>440</v>
      </c>
      <c r="P841">
        <v>27</v>
      </c>
      <c r="Q841">
        <v>200</v>
      </c>
      <c r="R841">
        <v>121</v>
      </c>
      <c r="S841">
        <v>330</v>
      </c>
      <c r="T841">
        <v>1567</v>
      </c>
      <c r="U841">
        <v>400</v>
      </c>
      <c r="V841">
        <v>344</v>
      </c>
      <c r="W841">
        <v>480</v>
      </c>
      <c r="BF841">
        <v>27</v>
      </c>
      <c r="BG841">
        <v>295</v>
      </c>
      <c r="BH841">
        <v>485</v>
      </c>
      <c r="BI841">
        <v>330</v>
      </c>
      <c r="BJ841">
        <v>149</v>
      </c>
      <c r="BK841">
        <v>380</v>
      </c>
      <c r="BL841">
        <v>2210</v>
      </c>
      <c r="BM841">
        <v>400</v>
      </c>
      <c r="BN841">
        <v>113</v>
      </c>
      <c r="BO841">
        <v>220</v>
      </c>
      <c r="BP841">
        <v>113</v>
      </c>
      <c r="BQ841">
        <v>220</v>
      </c>
      <c r="BR841">
        <v>2805</v>
      </c>
      <c r="BS841">
        <v>390</v>
      </c>
    </row>
    <row r="842" spans="1:71" x14ac:dyDescent="0.25">
      <c r="A842" t="s">
        <v>726</v>
      </c>
      <c r="B842">
        <v>2022</v>
      </c>
      <c r="C842">
        <v>6</v>
      </c>
      <c r="D842">
        <v>93</v>
      </c>
      <c r="E842">
        <v>200</v>
      </c>
      <c r="F842">
        <v>285</v>
      </c>
      <c r="G842">
        <v>235</v>
      </c>
      <c r="H842">
        <v>110</v>
      </c>
      <c r="I842">
        <v>352.5</v>
      </c>
      <c r="J842">
        <v>12</v>
      </c>
      <c r="K842">
        <v>385</v>
      </c>
      <c r="P842">
        <v>36</v>
      </c>
      <c r="Q842">
        <v>205</v>
      </c>
      <c r="R842">
        <v>211</v>
      </c>
      <c r="S842">
        <v>270</v>
      </c>
      <c r="T842">
        <v>1271</v>
      </c>
      <c r="U842">
        <v>320</v>
      </c>
      <c r="V842">
        <v>424</v>
      </c>
      <c r="W842">
        <v>430</v>
      </c>
      <c r="BF842">
        <v>18</v>
      </c>
      <c r="BG842">
        <v>250</v>
      </c>
      <c r="BH842">
        <v>520</v>
      </c>
      <c r="BI842">
        <v>250</v>
      </c>
      <c r="BJ842">
        <v>102</v>
      </c>
      <c r="BK842">
        <v>300</v>
      </c>
      <c r="BL842">
        <v>2045</v>
      </c>
      <c r="BM842">
        <v>340</v>
      </c>
      <c r="BN842">
        <v>18</v>
      </c>
      <c r="BO842">
        <v>170</v>
      </c>
      <c r="BP842">
        <v>18</v>
      </c>
      <c r="BQ842">
        <v>170</v>
      </c>
      <c r="BR842">
        <v>2580</v>
      </c>
      <c r="BS842">
        <v>320</v>
      </c>
    </row>
    <row r="843" spans="1:71" x14ac:dyDescent="0.25">
      <c r="A843" t="s">
        <v>721</v>
      </c>
      <c r="B843">
        <v>2022</v>
      </c>
      <c r="C843">
        <v>6</v>
      </c>
      <c r="D843">
        <v>104</v>
      </c>
      <c r="E843">
        <v>280</v>
      </c>
      <c r="F843">
        <v>383</v>
      </c>
      <c r="G843">
        <v>360</v>
      </c>
      <c r="H843">
        <v>123</v>
      </c>
      <c r="I843">
        <v>450</v>
      </c>
      <c r="J843">
        <v>14</v>
      </c>
      <c r="K843">
        <v>385</v>
      </c>
      <c r="P843">
        <v>20</v>
      </c>
      <c r="Q843">
        <v>205</v>
      </c>
      <c r="R843">
        <v>121</v>
      </c>
      <c r="S843">
        <v>400</v>
      </c>
      <c r="T843">
        <v>905</v>
      </c>
      <c r="U843">
        <v>460</v>
      </c>
      <c r="V843">
        <v>277</v>
      </c>
      <c r="W843">
        <v>570</v>
      </c>
      <c r="BF843">
        <v>33</v>
      </c>
      <c r="BG843">
        <v>350</v>
      </c>
      <c r="BH843">
        <v>655</v>
      </c>
      <c r="BI843">
        <v>360</v>
      </c>
      <c r="BJ843">
        <v>67</v>
      </c>
      <c r="BK843">
        <v>405</v>
      </c>
      <c r="BL843">
        <v>1390</v>
      </c>
      <c r="BM843">
        <v>465</v>
      </c>
      <c r="BN843">
        <v>58</v>
      </c>
      <c r="BO843">
        <v>185</v>
      </c>
      <c r="BP843">
        <v>58</v>
      </c>
      <c r="BQ843">
        <v>185</v>
      </c>
      <c r="BR843">
        <v>2105</v>
      </c>
      <c r="BS843">
        <v>430</v>
      </c>
    </row>
    <row r="844" spans="1:71" x14ac:dyDescent="0.25">
      <c r="A844" t="s">
        <v>722</v>
      </c>
      <c r="B844">
        <v>2022</v>
      </c>
      <c r="C844">
        <v>6</v>
      </c>
      <c r="D844">
        <v>98</v>
      </c>
      <c r="E844">
        <v>270</v>
      </c>
      <c r="F844">
        <v>496</v>
      </c>
      <c r="G844">
        <v>350</v>
      </c>
      <c r="H844">
        <v>134</v>
      </c>
      <c r="I844">
        <v>495</v>
      </c>
      <c r="J844">
        <v>12</v>
      </c>
      <c r="K844">
        <v>425</v>
      </c>
      <c r="P844">
        <v>27</v>
      </c>
      <c r="Q844">
        <v>210</v>
      </c>
      <c r="R844">
        <v>172</v>
      </c>
      <c r="S844">
        <v>410</v>
      </c>
      <c r="T844">
        <v>645</v>
      </c>
      <c r="U844">
        <v>490</v>
      </c>
      <c r="V844">
        <v>152</v>
      </c>
      <c r="W844">
        <v>597.5</v>
      </c>
      <c r="BF844">
        <v>42</v>
      </c>
      <c r="BG844">
        <v>355</v>
      </c>
      <c r="BH844">
        <v>780</v>
      </c>
      <c r="BI844">
        <v>352.5</v>
      </c>
      <c r="BJ844">
        <v>72</v>
      </c>
      <c r="BK844">
        <v>333</v>
      </c>
      <c r="BL844">
        <v>1070</v>
      </c>
      <c r="BM844">
        <v>480</v>
      </c>
      <c r="BN844">
        <v>43</v>
      </c>
      <c r="BO844">
        <v>175</v>
      </c>
      <c r="BP844">
        <v>43</v>
      </c>
      <c r="BQ844">
        <v>175</v>
      </c>
      <c r="BR844">
        <v>1895</v>
      </c>
      <c r="BS844">
        <v>420</v>
      </c>
    </row>
    <row r="845" spans="1:71" x14ac:dyDescent="0.25">
      <c r="A845" t="s">
        <v>723</v>
      </c>
      <c r="B845">
        <v>2022</v>
      </c>
      <c r="C845">
        <v>6</v>
      </c>
      <c r="D845">
        <v>9</v>
      </c>
      <c r="E845">
        <v>155</v>
      </c>
      <c r="F845">
        <v>18</v>
      </c>
      <c r="G845">
        <v>217.5</v>
      </c>
      <c r="H845">
        <v>8</v>
      </c>
      <c r="I845">
        <v>302.5</v>
      </c>
      <c r="J845">
        <v>302.5</v>
      </c>
      <c r="K845">
        <v>302.5</v>
      </c>
      <c r="P845">
        <v>11</v>
      </c>
      <c r="Q845">
        <v>200</v>
      </c>
      <c r="R845">
        <v>33</v>
      </c>
      <c r="S845">
        <v>250</v>
      </c>
      <c r="T845">
        <v>179</v>
      </c>
      <c r="U845">
        <v>290</v>
      </c>
      <c r="V845">
        <v>52</v>
      </c>
      <c r="W845">
        <v>360</v>
      </c>
      <c r="BG845">
        <v>240</v>
      </c>
      <c r="BH845">
        <v>40</v>
      </c>
      <c r="BI845">
        <v>220</v>
      </c>
      <c r="BJ845">
        <v>17</v>
      </c>
      <c r="BK845">
        <v>299</v>
      </c>
      <c r="BL845">
        <v>290</v>
      </c>
      <c r="BM845">
        <v>290</v>
      </c>
      <c r="BO845">
        <v>112</v>
      </c>
      <c r="BQ845">
        <v>112</v>
      </c>
      <c r="BR845">
        <v>330</v>
      </c>
      <c r="BS845">
        <v>285</v>
      </c>
    </row>
    <row r="846" spans="1:71" x14ac:dyDescent="0.25">
      <c r="A846" t="s">
        <v>711</v>
      </c>
      <c r="B846">
        <v>2022</v>
      </c>
      <c r="C846">
        <v>9</v>
      </c>
      <c r="E846">
        <v>410</v>
      </c>
      <c r="F846">
        <v>19</v>
      </c>
      <c r="G846">
        <v>310</v>
      </c>
      <c r="H846">
        <v>23</v>
      </c>
      <c r="I846">
        <v>390</v>
      </c>
      <c r="K846">
        <v>480</v>
      </c>
      <c r="P846">
        <v>370</v>
      </c>
      <c r="Q846">
        <v>370</v>
      </c>
      <c r="R846">
        <v>19</v>
      </c>
      <c r="S846">
        <v>400</v>
      </c>
      <c r="T846">
        <v>144</v>
      </c>
      <c r="U846">
        <v>450</v>
      </c>
      <c r="V846">
        <v>82</v>
      </c>
      <c r="W846">
        <v>565</v>
      </c>
      <c r="BG846">
        <v>420</v>
      </c>
      <c r="BH846">
        <v>50</v>
      </c>
      <c r="BI846">
        <v>370</v>
      </c>
      <c r="BJ846">
        <v>6</v>
      </c>
      <c r="BK846">
        <v>392.5</v>
      </c>
      <c r="BL846">
        <v>250</v>
      </c>
      <c r="BM846">
        <v>470</v>
      </c>
      <c r="BO846">
        <v>220</v>
      </c>
      <c r="BQ846">
        <v>220</v>
      </c>
      <c r="BR846">
        <v>300</v>
      </c>
      <c r="BS846">
        <v>450</v>
      </c>
    </row>
    <row r="847" spans="1:71" x14ac:dyDescent="0.25">
      <c r="A847" t="s">
        <v>712</v>
      </c>
      <c r="B847">
        <v>2022</v>
      </c>
      <c r="C847">
        <v>9</v>
      </c>
      <c r="E847">
        <v>297.5</v>
      </c>
      <c r="F847">
        <v>31</v>
      </c>
      <c r="G847">
        <v>280</v>
      </c>
      <c r="H847">
        <v>15</v>
      </c>
      <c r="I847">
        <v>395</v>
      </c>
      <c r="K847">
        <v>370</v>
      </c>
      <c r="Q847">
        <v>225</v>
      </c>
      <c r="R847">
        <v>18</v>
      </c>
      <c r="S847">
        <v>317.5</v>
      </c>
      <c r="T847">
        <v>176</v>
      </c>
      <c r="U847">
        <v>380</v>
      </c>
      <c r="V847">
        <v>65</v>
      </c>
      <c r="W847">
        <v>500</v>
      </c>
      <c r="BF847">
        <v>8</v>
      </c>
      <c r="BG847">
        <v>305</v>
      </c>
      <c r="BH847">
        <v>60</v>
      </c>
      <c r="BI847">
        <v>300</v>
      </c>
      <c r="BK847">
        <v>340</v>
      </c>
      <c r="BL847">
        <v>265</v>
      </c>
      <c r="BM847">
        <v>395</v>
      </c>
      <c r="BN847">
        <v>395</v>
      </c>
      <c r="BO847">
        <v>395</v>
      </c>
      <c r="BP847">
        <v>395</v>
      </c>
      <c r="BQ847">
        <v>395</v>
      </c>
      <c r="BR847">
        <v>325</v>
      </c>
      <c r="BS847">
        <v>380</v>
      </c>
    </row>
    <row r="848" spans="1:71" x14ac:dyDescent="0.25">
      <c r="A848" t="s">
        <v>713</v>
      </c>
      <c r="B848">
        <v>2022</v>
      </c>
      <c r="C848">
        <v>9</v>
      </c>
      <c r="D848">
        <v>1472</v>
      </c>
      <c r="E848">
        <v>329</v>
      </c>
      <c r="F848">
        <v>865</v>
      </c>
      <c r="G848">
        <v>420</v>
      </c>
      <c r="H848">
        <v>237</v>
      </c>
      <c r="I848">
        <v>550</v>
      </c>
      <c r="J848">
        <v>19</v>
      </c>
      <c r="K848">
        <v>350</v>
      </c>
      <c r="P848">
        <v>74</v>
      </c>
      <c r="Q848">
        <v>183.75</v>
      </c>
      <c r="R848">
        <v>167</v>
      </c>
      <c r="S848">
        <v>490</v>
      </c>
      <c r="T848">
        <v>507</v>
      </c>
      <c r="U848">
        <v>560</v>
      </c>
      <c r="V848">
        <v>180</v>
      </c>
      <c r="W848">
        <v>750</v>
      </c>
      <c r="BF848">
        <v>40</v>
      </c>
      <c r="BG848">
        <v>350</v>
      </c>
      <c r="BH848">
        <v>2635</v>
      </c>
      <c r="BI848">
        <v>365</v>
      </c>
      <c r="BJ848">
        <v>46</v>
      </c>
      <c r="BK848">
        <v>415</v>
      </c>
      <c r="BL848">
        <v>975</v>
      </c>
      <c r="BM848">
        <v>550</v>
      </c>
      <c r="BN848">
        <v>137</v>
      </c>
      <c r="BO848">
        <v>239</v>
      </c>
      <c r="BP848">
        <v>137</v>
      </c>
      <c r="BQ848">
        <v>239</v>
      </c>
      <c r="BR848">
        <v>3745</v>
      </c>
      <c r="BS848">
        <v>400</v>
      </c>
    </row>
    <row r="849" spans="1:71" x14ac:dyDescent="0.25">
      <c r="A849" t="s">
        <v>714</v>
      </c>
      <c r="B849">
        <v>2022</v>
      </c>
      <c r="C849">
        <v>9</v>
      </c>
      <c r="D849">
        <v>30</v>
      </c>
      <c r="E849">
        <v>197.5</v>
      </c>
      <c r="F849">
        <v>49</v>
      </c>
      <c r="G849">
        <v>250</v>
      </c>
      <c r="H849">
        <v>12</v>
      </c>
      <c r="I849">
        <v>395</v>
      </c>
      <c r="K849">
        <v>560</v>
      </c>
      <c r="Q849">
        <v>232.5</v>
      </c>
      <c r="R849">
        <v>33</v>
      </c>
      <c r="S849">
        <v>240</v>
      </c>
      <c r="T849">
        <v>171</v>
      </c>
      <c r="U849">
        <v>290</v>
      </c>
      <c r="V849">
        <v>56</v>
      </c>
      <c r="W849">
        <v>400</v>
      </c>
      <c r="BF849">
        <v>560</v>
      </c>
      <c r="BG849">
        <v>560</v>
      </c>
      <c r="BH849">
        <v>90</v>
      </c>
      <c r="BI849">
        <v>250</v>
      </c>
      <c r="BJ849">
        <v>10</v>
      </c>
      <c r="BK849">
        <v>290</v>
      </c>
      <c r="BL849">
        <v>270</v>
      </c>
      <c r="BM849">
        <v>300</v>
      </c>
      <c r="BN849">
        <v>7</v>
      </c>
      <c r="BO849">
        <v>185</v>
      </c>
      <c r="BP849">
        <v>7</v>
      </c>
      <c r="BQ849">
        <v>185</v>
      </c>
      <c r="BR849">
        <v>370</v>
      </c>
      <c r="BS849">
        <v>280</v>
      </c>
    </row>
    <row r="850" spans="1:71" x14ac:dyDescent="0.25">
      <c r="A850" t="s">
        <v>715</v>
      </c>
      <c r="B850">
        <v>2022</v>
      </c>
      <c r="C850">
        <v>9</v>
      </c>
      <c r="D850">
        <v>15</v>
      </c>
      <c r="E850">
        <v>210</v>
      </c>
      <c r="F850">
        <v>34</v>
      </c>
      <c r="G850">
        <v>225</v>
      </c>
      <c r="H850">
        <v>8</v>
      </c>
      <c r="I850">
        <v>330</v>
      </c>
      <c r="J850">
        <v>330</v>
      </c>
      <c r="K850">
        <v>330</v>
      </c>
      <c r="Q850">
        <v>250</v>
      </c>
      <c r="R850">
        <v>19</v>
      </c>
      <c r="S850">
        <v>270</v>
      </c>
      <c r="T850">
        <v>133</v>
      </c>
      <c r="U850">
        <v>300</v>
      </c>
      <c r="V850">
        <v>42</v>
      </c>
      <c r="W850">
        <v>425</v>
      </c>
      <c r="BG850">
        <v>165</v>
      </c>
      <c r="BH850">
        <v>60</v>
      </c>
      <c r="BI850">
        <v>220</v>
      </c>
      <c r="BK850">
        <v>267.5</v>
      </c>
      <c r="BL850">
        <v>200</v>
      </c>
      <c r="BM850">
        <v>310</v>
      </c>
      <c r="BN850">
        <v>310</v>
      </c>
      <c r="BO850">
        <v>310</v>
      </c>
      <c r="BP850">
        <v>310</v>
      </c>
      <c r="BQ850">
        <v>310</v>
      </c>
      <c r="BR850">
        <v>260</v>
      </c>
      <c r="BS850">
        <v>300</v>
      </c>
    </row>
    <row r="851" spans="1:71" x14ac:dyDescent="0.25">
      <c r="A851" t="s">
        <v>716</v>
      </c>
      <c r="B851">
        <v>2022</v>
      </c>
      <c r="C851">
        <v>9</v>
      </c>
      <c r="D851">
        <v>8</v>
      </c>
      <c r="E851">
        <v>210</v>
      </c>
      <c r="F851">
        <v>27</v>
      </c>
      <c r="G851">
        <v>295</v>
      </c>
      <c r="H851">
        <v>10</v>
      </c>
      <c r="I851">
        <v>357.5</v>
      </c>
      <c r="J851">
        <v>357.5</v>
      </c>
      <c r="K851">
        <v>357.5</v>
      </c>
      <c r="Q851">
        <v>292.5</v>
      </c>
      <c r="R851">
        <v>18</v>
      </c>
      <c r="S851">
        <v>337.5</v>
      </c>
      <c r="T851">
        <v>110</v>
      </c>
      <c r="U851">
        <v>400</v>
      </c>
      <c r="V851">
        <v>48</v>
      </c>
      <c r="W851">
        <v>450</v>
      </c>
      <c r="BG851">
        <v>280</v>
      </c>
      <c r="BH851">
        <v>45</v>
      </c>
      <c r="BI851">
        <v>300</v>
      </c>
      <c r="BJ851">
        <v>6</v>
      </c>
      <c r="BK851">
        <v>335</v>
      </c>
      <c r="BL851">
        <v>185</v>
      </c>
      <c r="BM851">
        <v>400</v>
      </c>
      <c r="BN851">
        <v>400</v>
      </c>
      <c r="BO851">
        <v>400</v>
      </c>
      <c r="BP851">
        <v>400</v>
      </c>
      <c r="BQ851">
        <v>400</v>
      </c>
      <c r="BR851">
        <v>235</v>
      </c>
      <c r="BS851">
        <v>380</v>
      </c>
    </row>
    <row r="852" spans="1:71" x14ac:dyDescent="0.25">
      <c r="A852" t="s">
        <v>717</v>
      </c>
      <c r="B852">
        <v>2022</v>
      </c>
      <c r="C852">
        <v>9</v>
      </c>
      <c r="D852">
        <v>18</v>
      </c>
      <c r="E852">
        <v>175</v>
      </c>
      <c r="F852">
        <v>71</v>
      </c>
      <c r="G852">
        <v>240</v>
      </c>
      <c r="H852">
        <v>29</v>
      </c>
      <c r="I852">
        <v>340</v>
      </c>
      <c r="K852">
        <v>295</v>
      </c>
      <c r="Q852">
        <v>217.5</v>
      </c>
      <c r="R852">
        <v>39</v>
      </c>
      <c r="S852">
        <v>250</v>
      </c>
      <c r="T852">
        <v>199</v>
      </c>
      <c r="U852">
        <v>310</v>
      </c>
      <c r="V852">
        <v>60</v>
      </c>
      <c r="W852">
        <v>420</v>
      </c>
      <c r="BG852">
        <v>175</v>
      </c>
      <c r="BH852">
        <v>120</v>
      </c>
      <c r="BI852">
        <v>265</v>
      </c>
      <c r="BK852">
        <v>275</v>
      </c>
      <c r="BL852">
        <v>305</v>
      </c>
      <c r="BM852">
        <v>320</v>
      </c>
      <c r="BN852">
        <v>320</v>
      </c>
      <c r="BO852">
        <v>320</v>
      </c>
      <c r="BP852">
        <v>320</v>
      </c>
      <c r="BQ852">
        <v>320</v>
      </c>
      <c r="BR852">
        <v>425</v>
      </c>
      <c r="BS852">
        <v>300</v>
      </c>
    </row>
    <row r="853" spans="1:71" x14ac:dyDescent="0.25">
      <c r="A853" t="s">
        <v>725</v>
      </c>
      <c r="B853">
        <v>2022</v>
      </c>
      <c r="C853">
        <v>9</v>
      </c>
      <c r="D853">
        <v>1715</v>
      </c>
      <c r="E853">
        <v>310</v>
      </c>
      <c r="F853">
        <v>2081</v>
      </c>
      <c r="G853">
        <v>380</v>
      </c>
      <c r="H853">
        <v>631</v>
      </c>
      <c r="I853">
        <v>480</v>
      </c>
      <c r="J853">
        <v>35</v>
      </c>
      <c r="K853">
        <v>400</v>
      </c>
      <c r="P853">
        <v>145</v>
      </c>
      <c r="Q853">
        <v>190.8</v>
      </c>
      <c r="R853">
        <v>564</v>
      </c>
      <c r="S853">
        <v>425</v>
      </c>
      <c r="T853">
        <v>3785</v>
      </c>
      <c r="U853">
        <v>460</v>
      </c>
      <c r="V853">
        <v>953</v>
      </c>
      <c r="W853">
        <v>575</v>
      </c>
      <c r="BF853">
        <v>110</v>
      </c>
      <c r="BG853">
        <v>320</v>
      </c>
      <c r="BH853">
        <v>4570</v>
      </c>
      <c r="BI853">
        <v>360</v>
      </c>
      <c r="BJ853">
        <v>255</v>
      </c>
      <c r="BK853">
        <v>375</v>
      </c>
      <c r="BL853">
        <v>5700</v>
      </c>
      <c r="BM853">
        <v>465</v>
      </c>
      <c r="BN853">
        <v>340</v>
      </c>
      <c r="BO853">
        <v>229</v>
      </c>
      <c r="BP853">
        <v>340</v>
      </c>
      <c r="BQ853">
        <v>229</v>
      </c>
      <c r="BR853">
        <v>10615</v>
      </c>
      <c r="BS853">
        <v>420</v>
      </c>
    </row>
    <row r="854" spans="1:71" x14ac:dyDescent="0.25">
      <c r="A854" t="s">
        <v>718</v>
      </c>
      <c r="B854">
        <v>2022</v>
      </c>
      <c r="C854">
        <v>9</v>
      </c>
      <c r="D854">
        <v>17</v>
      </c>
      <c r="E854">
        <v>210</v>
      </c>
      <c r="F854">
        <v>45</v>
      </c>
      <c r="G854">
        <v>240</v>
      </c>
      <c r="H854">
        <v>8</v>
      </c>
      <c r="I854">
        <v>310</v>
      </c>
      <c r="K854">
        <v>320</v>
      </c>
      <c r="P854">
        <v>8</v>
      </c>
      <c r="Q854">
        <v>175</v>
      </c>
      <c r="R854">
        <v>39</v>
      </c>
      <c r="S854">
        <v>280</v>
      </c>
      <c r="T854">
        <v>145</v>
      </c>
      <c r="U854">
        <v>300</v>
      </c>
      <c r="V854">
        <v>69</v>
      </c>
      <c r="W854">
        <v>390</v>
      </c>
      <c r="BG854">
        <v>150</v>
      </c>
      <c r="BH854">
        <v>70</v>
      </c>
      <c r="BI854">
        <v>240</v>
      </c>
      <c r="BJ854">
        <v>17</v>
      </c>
      <c r="BK854">
        <v>300</v>
      </c>
      <c r="BL854">
        <v>280</v>
      </c>
      <c r="BM854">
        <v>310</v>
      </c>
      <c r="BN854">
        <v>7</v>
      </c>
      <c r="BO854">
        <v>200</v>
      </c>
      <c r="BP854">
        <v>7</v>
      </c>
      <c r="BQ854">
        <v>200</v>
      </c>
      <c r="BR854">
        <v>355</v>
      </c>
      <c r="BS854">
        <v>300</v>
      </c>
    </row>
    <row r="855" spans="1:71" x14ac:dyDescent="0.25">
      <c r="A855" t="s">
        <v>719</v>
      </c>
      <c r="B855">
        <v>2022</v>
      </c>
      <c r="C855">
        <v>9</v>
      </c>
      <c r="D855">
        <v>59</v>
      </c>
      <c r="E855">
        <v>230</v>
      </c>
      <c r="F855">
        <v>277</v>
      </c>
      <c r="G855">
        <v>340</v>
      </c>
      <c r="H855">
        <v>133</v>
      </c>
      <c r="I855">
        <v>400</v>
      </c>
      <c r="K855">
        <v>465</v>
      </c>
      <c r="P855">
        <v>23</v>
      </c>
      <c r="Q855">
        <v>200</v>
      </c>
      <c r="R855">
        <v>145</v>
      </c>
      <c r="S855">
        <v>340</v>
      </c>
      <c r="T855">
        <v>1632</v>
      </c>
      <c r="U855">
        <v>420</v>
      </c>
      <c r="V855">
        <v>364</v>
      </c>
      <c r="W855">
        <v>480</v>
      </c>
      <c r="BF855">
        <v>18</v>
      </c>
      <c r="BG855">
        <v>250</v>
      </c>
      <c r="BH855">
        <v>490</v>
      </c>
      <c r="BI855">
        <v>350</v>
      </c>
      <c r="BJ855">
        <v>100</v>
      </c>
      <c r="BK855">
        <v>382.5</v>
      </c>
      <c r="BL855">
        <v>2265</v>
      </c>
      <c r="BM855">
        <v>430</v>
      </c>
      <c r="BN855">
        <v>122</v>
      </c>
      <c r="BO855">
        <v>250</v>
      </c>
      <c r="BP855">
        <v>122</v>
      </c>
      <c r="BQ855">
        <v>250</v>
      </c>
      <c r="BR855">
        <v>2875</v>
      </c>
      <c r="BS855">
        <v>400</v>
      </c>
    </row>
    <row r="856" spans="1:71" x14ac:dyDescent="0.25">
      <c r="A856" t="s">
        <v>726</v>
      </c>
      <c r="B856">
        <v>2022</v>
      </c>
      <c r="C856">
        <v>9</v>
      </c>
      <c r="D856">
        <v>105</v>
      </c>
      <c r="E856">
        <v>200</v>
      </c>
      <c r="F856">
        <v>286</v>
      </c>
      <c r="G856">
        <v>252.5</v>
      </c>
      <c r="H856">
        <v>111</v>
      </c>
      <c r="I856">
        <v>350</v>
      </c>
      <c r="J856">
        <v>7</v>
      </c>
      <c r="K856">
        <v>440</v>
      </c>
      <c r="P856">
        <v>30</v>
      </c>
      <c r="Q856">
        <v>205</v>
      </c>
      <c r="R856">
        <v>205</v>
      </c>
      <c r="S856">
        <v>275</v>
      </c>
      <c r="T856">
        <v>1262</v>
      </c>
      <c r="U856">
        <v>330</v>
      </c>
      <c r="V856">
        <v>460</v>
      </c>
      <c r="W856">
        <v>450</v>
      </c>
      <c r="BF856">
        <v>15</v>
      </c>
      <c r="BG856">
        <v>210</v>
      </c>
      <c r="BH856">
        <v>525</v>
      </c>
      <c r="BI856">
        <v>265</v>
      </c>
      <c r="BJ856">
        <v>63</v>
      </c>
      <c r="BK856">
        <v>300</v>
      </c>
      <c r="BL856">
        <v>2020</v>
      </c>
      <c r="BM856">
        <v>350</v>
      </c>
      <c r="BN856">
        <v>16</v>
      </c>
      <c r="BO856">
        <v>200</v>
      </c>
      <c r="BP856">
        <v>16</v>
      </c>
      <c r="BQ856">
        <v>200</v>
      </c>
      <c r="BR856">
        <v>2560</v>
      </c>
      <c r="BS856">
        <v>330</v>
      </c>
    </row>
    <row r="857" spans="1:71" x14ac:dyDescent="0.25">
      <c r="A857" t="s">
        <v>721</v>
      </c>
      <c r="B857">
        <v>2022</v>
      </c>
      <c r="C857">
        <v>9</v>
      </c>
      <c r="D857">
        <v>95</v>
      </c>
      <c r="E857">
        <v>285</v>
      </c>
      <c r="F857">
        <v>439</v>
      </c>
      <c r="G857">
        <v>360</v>
      </c>
      <c r="H857">
        <v>111</v>
      </c>
      <c r="I857">
        <v>450</v>
      </c>
      <c r="K857">
        <v>890</v>
      </c>
      <c r="P857">
        <v>30</v>
      </c>
      <c r="Q857">
        <v>175</v>
      </c>
      <c r="R857">
        <v>94</v>
      </c>
      <c r="S857">
        <v>415</v>
      </c>
      <c r="T857">
        <v>963</v>
      </c>
      <c r="U857">
        <v>470</v>
      </c>
      <c r="V857">
        <v>261</v>
      </c>
      <c r="W857">
        <v>600</v>
      </c>
      <c r="BF857">
        <v>27</v>
      </c>
      <c r="BG857">
        <v>350</v>
      </c>
      <c r="BH857">
        <v>675</v>
      </c>
      <c r="BI857">
        <v>360</v>
      </c>
      <c r="BJ857">
        <v>60</v>
      </c>
      <c r="BK857">
        <v>340</v>
      </c>
      <c r="BL857">
        <v>1410</v>
      </c>
      <c r="BM857">
        <v>480</v>
      </c>
      <c r="BN857">
        <v>35</v>
      </c>
      <c r="BO857">
        <v>195</v>
      </c>
      <c r="BP857">
        <v>35</v>
      </c>
      <c r="BQ857">
        <v>195</v>
      </c>
      <c r="BR857">
        <v>2120</v>
      </c>
      <c r="BS857">
        <v>450</v>
      </c>
    </row>
    <row r="858" spans="1:71" x14ac:dyDescent="0.25">
      <c r="A858" t="s">
        <v>722</v>
      </c>
      <c r="B858">
        <v>2022</v>
      </c>
      <c r="C858">
        <v>9</v>
      </c>
      <c r="D858">
        <v>89</v>
      </c>
      <c r="E858">
        <v>290</v>
      </c>
      <c r="F858">
        <v>500</v>
      </c>
      <c r="G858">
        <v>365</v>
      </c>
      <c r="H858">
        <v>150</v>
      </c>
      <c r="I858">
        <v>495</v>
      </c>
      <c r="J858">
        <v>7</v>
      </c>
      <c r="K858">
        <v>360</v>
      </c>
      <c r="P858">
        <v>18</v>
      </c>
      <c r="Q858">
        <v>195</v>
      </c>
      <c r="R858">
        <v>158</v>
      </c>
      <c r="S858">
        <v>425</v>
      </c>
      <c r="T858">
        <v>683</v>
      </c>
      <c r="U858">
        <v>500</v>
      </c>
      <c r="V858">
        <v>148</v>
      </c>
      <c r="W858">
        <v>630</v>
      </c>
      <c r="BF858">
        <v>25</v>
      </c>
      <c r="BG858">
        <v>300</v>
      </c>
      <c r="BH858">
        <v>770</v>
      </c>
      <c r="BI858">
        <v>370</v>
      </c>
      <c r="BJ858">
        <v>49</v>
      </c>
      <c r="BK858">
        <v>350</v>
      </c>
      <c r="BL858">
        <v>1055</v>
      </c>
      <c r="BM858">
        <v>500</v>
      </c>
      <c r="BN858">
        <v>46</v>
      </c>
      <c r="BO858">
        <v>187.5</v>
      </c>
      <c r="BP858">
        <v>46</v>
      </c>
      <c r="BQ858">
        <v>187.5</v>
      </c>
      <c r="BR858">
        <v>1875</v>
      </c>
      <c r="BS858">
        <v>440</v>
      </c>
    </row>
    <row r="859" spans="1:71" x14ac:dyDescent="0.25">
      <c r="A859" t="s">
        <v>723</v>
      </c>
      <c r="B859">
        <v>2022</v>
      </c>
      <c r="C859">
        <v>9</v>
      </c>
      <c r="D859">
        <v>10</v>
      </c>
      <c r="E859">
        <v>139.1</v>
      </c>
      <c r="F859">
        <v>10</v>
      </c>
      <c r="G859">
        <v>217.5</v>
      </c>
      <c r="H859">
        <v>6</v>
      </c>
      <c r="I859">
        <v>325</v>
      </c>
      <c r="J859">
        <v>325</v>
      </c>
      <c r="K859">
        <v>325</v>
      </c>
      <c r="P859">
        <v>10</v>
      </c>
      <c r="Q859">
        <v>212</v>
      </c>
      <c r="R859">
        <v>20</v>
      </c>
      <c r="S859">
        <v>255</v>
      </c>
      <c r="T859">
        <v>184</v>
      </c>
      <c r="U859">
        <v>300</v>
      </c>
      <c r="V859">
        <v>38</v>
      </c>
      <c r="W859">
        <v>340</v>
      </c>
      <c r="BF859">
        <v>325</v>
      </c>
      <c r="BG859">
        <v>325</v>
      </c>
      <c r="BH859">
        <v>25</v>
      </c>
      <c r="BI859">
        <v>190</v>
      </c>
      <c r="BJ859">
        <v>11</v>
      </c>
      <c r="BK859">
        <v>280</v>
      </c>
      <c r="BL859">
        <v>265</v>
      </c>
      <c r="BM859">
        <v>300</v>
      </c>
      <c r="BO859">
        <v>75</v>
      </c>
      <c r="BQ859">
        <v>75</v>
      </c>
      <c r="BR859">
        <v>290</v>
      </c>
      <c r="BS859">
        <v>300</v>
      </c>
    </row>
    <row r="860" spans="1:71" x14ac:dyDescent="0.25">
      <c r="A860" t="s">
        <v>711</v>
      </c>
      <c r="B860">
        <v>2022</v>
      </c>
      <c r="C860">
        <v>12</v>
      </c>
      <c r="D860">
        <v>6</v>
      </c>
      <c r="E860">
        <v>290</v>
      </c>
      <c r="F860">
        <v>14</v>
      </c>
      <c r="G860">
        <v>355</v>
      </c>
      <c r="H860">
        <v>26</v>
      </c>
      <c r="I860">
        <v>410</v>
      </c>
      <c r="K860">
        <v>500</v>
      </c>
      <c r="Q860">
        <v>247.5</v>
      </c>
      <c r="R860">
        <v>28</v>
      </c>
      <c r="S860">
        <v>390</v>
      </c>
      <c r="T860">
        <v>157</v>
      </c>
      <c r="U860">
        <v>460</v>
      </c>
      <c r="V860">
        <v>78</v>
      </c>
      <c r="W860">
        <v>570</v>
      </c>
      <c r="BG860">
        <v>340</v>
      </c>
      <c r="BH860">
        <v>55</v>
      </c>
      <c r="BI860">
        <v>400</v>
      </c>
      <c r="BJ860">
        <v>7</v>
      </c>
      <c r="BK860">
        <v>300</v>
      </c>
      <c r="BL860">
        <v>270</v>
      </c>
      <c r="BM860">
        <v>475</v>
      </c>
      <c r="BN860">
        <v>475</v>
      </c>
      <c r="BO860">
        <v>475</v>
      </c>
      <c r="BP860">
        <v>475</v>
      </c>
      <c r="BQ860">
        <v>475</v>
      </c>
      <c r="BR860">
        <v>325</v>
      </c>
      <c r="BS860">
        <v>470</v>
      </c>
    </row>
    <row r="861" spans="1:71" x14ac:dyDescent="0.25">
      <c r="A861" t="s">
        <v>712</v>
      </c>
      <c r="B861">
        <v>2022</v>
      </c>
      <c r="C861">
        <v>12</v>
      </c>
      <c r="E861">
        <v>310</v>
      </c>
      <c r="F861">
        <v>30</v>
      </c>
      <c r="G861">
        <v>305</v>
      </c>
      <c r="H861">
        <v>9</v>
      </c>
      <c r="I861">
        <v>350</v>
      </c>
      <c r="K861">
        <v>450</v>
      </c>
      <c r="Q861">
        <v>250</v>
      </c>
      <c r="R861">
        <v>14</v>
      </c>
      <c r="S861">
        <v>327.5</v>
      </c>
      <c r="T861">
        <v>137</v>
      </c>
      <c r="U861">
        <v>400</v>
      </c>
      <c r="V861">
        <v>74</v>
      </c>
      <c r="W861">
        <v>490</v>
      </c>
      <c r="BG861">
        <v>250</v>
      </c>
      <c r="BH861">
        <v>45</v>
      </c>
      <c r="BI861">
        <v>320</v>
      </c>
      <c r="BJ861">
        <v>7</v>
      </c>
      <c r="BK861">
        <v>320</v>
      </c>
      <c r="BL861">
        <v>235</v>
      </c>
      <c r="BM861">
        <v>420</v>
      </c>
      <c r="BN861">
        <v>420</v>
      </c>
      <c r="BO861">
        <v>420</v>
      </c>
      <c r="BP861">
        <v>420</v>
      </c>
      <c r="BQ861">
        <v>420</v>
      </c>
      <c r="BR861">
        <v>280</v>
      </c>
      <c r="BS861">
        <v>400</v>
      </c>
    </row>
    <row r="862" spans="1:71" x14ac:dyDescent="0.25">
      <c r="A862" t="s">
        <v>713</v>
      </c>
      <c r="B862">
        <v>2022</v>
      </c>
      <c r="C862">
        <v>12</v>
      </c>
      <c r="D862">
        <v>1440</v>
      </c>
      <c r="E862">
        <v>310</v>
      </c>
      <c r="F862">
        <v>816</v>
      </c>
      <c r="G862">
        <v>450</v>
      </c>
      <c r="H862">
        <v>197</v>
      </c>
      <c r="I862">
        <v>550</v>
      </c>
      <c r="J862">
        <v>14</v>
      </c>
      <c r="K862">
        <v>665</v>
      </c>
      <c r="P862">
        <v>71</v>
      </c>
      <c r="Q862">
        <v>183.75</v>
      </c>
      <c r="R862">
        <v>159</v>
      </c>
      <c r="S862">
        <v>500</v>
      </c>
      <c r="T862">
        <v>473</v>
      </c>
      <c r="U862">
        <v>580</v>
      </c>
      <c r="V862">
        <v>173</v>
      </c>
      <c r="W862">
        <v>750</v>
      </c>
      <c r="BF862">
        <v>30</v>
      </c>
      <c r="BG862">
        <v>350</v>
      </c>
      <c r="BH862">
        <v>2495</v>
      </c>
      <c r="BI862">
        <v>370</v>
      </c>
      <c r="BJ862">
        <v>36</v>
      </c>
      <c r="BK862">
        <v>430</v>
      </c>
      <c r="BL862">
        <v>910</v>
      </c>
      <c r="BM862">
        <v>560</v>
      </c>
      <c r="BN862">
        <v>233</v>
      </c>
      <c r="BO862">
        <v>319</v>
      </c>
      <c r="BP862">
        <v>233</v>
      </c>
      <c r="BQ862">
        <v>319</v>
      </c>
      <c r="BR862">
        <v>3640</v>
      </c>
      <c r="BS862">
        <v>409</v>
      </c>
    </row>
    <row r="863" spans="1:71" x14ac:dyDescent="0.25">
      <c r="A863" t="s">
        <v>714</v>
      </c>
      <c r="B863">
        <v>2022</v>
      </c>
      <c r="C863">
        <v>12</v>
      </c>
      <c r="D863">
        <v>25</v>
      </c>
      <c r="E863">
        <v>240</v>
      </c>
      <c r="F863">
        <v>47</v>
      </c>
      <c r="G863">
        <v>260</v>
      </c>
      <c r="H863">
        <v>13</v>
      </c>
      <c r="I863">
        <v>420</v>
      </c>
      <c r="K863">
        <v>430</v>
      </c>
      <c r="Q863">
        <v>250</v>
      </c>
      <c r="R863">
        <v>34</v>
      </c>
      <c r="S863">
        <v>275</v>
      </c>
      <c r="T863">
        <v>161</v>
      </c>
      <c r="U863">
        <v>290</v>
      </c>
      <c r="V863">
        <v>26</v>
      </c>
      <c r="W863">
        <v>385</v>
      </c>
      <c r="BF863">
        <v>6</v>
      </c>
      <c r="BG863">
        <v>210</v>
      </c>
      <c r="BH863">
        <v>90</v>
      </c>
      <c r="BI863">
        <v>260</v>
      </c>
      <c r="BJ863">
        <v>9</v>
      </c>
      <c r="BK863">
        <v>300</v>
      </c>
      <c r="BL863">
        <v>230</v>
      </c>
      <c r="BM863">
        <v>300</v>
      </c>
      <c r="BO863">
        <v>195</v>
      </c>
      <c r="BQ863">
        <v>195</v>
      </c>
      <c r="BR863">
        <v>325</v>
      </c>
      <c r="BS863">
        <v>285</v>
      </c>
    </row>
    <row r="864" spans="1:71" x14ac:dyDescent="0.25">
      <c r="A864" t="s">
        <v>715</v>
      </c>
      <c r="B864">
        <v>2022</v>
      </c>
      <c r="C864">
        <v>12</v>
      </c>
      <c r="D864">
        <v>20</v>
      </c>
      <c r="E864">
        <v>220</v>
      </c>
      <c r="F864">
        <v>28</v>
      </c>
      <c r="G864">
        <v>247.5</v>
      </c>
      <c r="I864">
        <v>320</v>
      </c>
      <c r="J864">
        <v>320</v>
      </c>
      <c r="K864">
        <v>320</v>
      </c>
      <c r="Q864">
        <v>148</v>
      </c>
      <c r="R864">
        <v>26</v>
      </c>
      <c r="S864">
        <v>255</v>
      </c>
      <c r="T864">
        <v>116</v>
      </c>
      <c r="U864">
        <v>317.5</v>
      </c>
      <c r="V864">
        <v>41</v>
      </c>
      <c r="W864">
        <v>410</v>
      </c>
      <c r="BG864">
        <v>220</v>
      </c>
      <c r="BH864">
        <v>55</v>
      </c>
      <c r="BI864">
        <v>230</v>
      </c>
      <c r="BK864">
        <v>282.60000000000002</v>
      </c>
      <c r="BL864">
        <v>190</v>
      </c>
      <c r="BM864">
        <v>322.5</v>
      </c>
      <c r="BN864">
        <v>322.5</v>
      </c>
      <c r="BO864">
        <v>322.5</v>
      </c>
      <c r="BP864">
        <v>322.5</v>
      </c>
      <c r="BQ864">
        <v>322.5</v>
      </c>
      <c r="BR864">
        <v>245</v>
      </c>
      <c r="BS864">
        <v>300</v>
      </c>
    </row>
    <row r="865" spans="1:71" x14ac:dyDescent="0.25">
      <c r="A865" t="s">
        <v>716</v>
      </c>
      <c r="B865">
        <v>2022</v>
      </c>
      <c r="C865">
        <v>12</v>
      </c>
      <c r="D865">
        <v>15</v>
      </c>
      <c r="E865">
        <v>210</v>
      </c>
      <c r="F865">
        <v>26</v>
      </c>
      <c r="G865">
        <v>252.2</v>
      </c>
      <c r="H865">
        <v>7</v>
      </c>
      <c r="I865">
        <v>380</v>
      </c>
      <c r="K865">
        <v>275</v>
      </c>
      <c r="Q865">
        <v>100</v>
      </c>
      <c r="R865">
        <v>16</v>
      </c>
      <c r="S865">
        <v>335</v>
      </c>
      <c r="T865">
        <v>112</v>
      </c>
      <c r="U865">
        <v>400</v>
      </c>
      <c r="V865">
        <v>48</v>
      </c>
      <c r="W865">
        <v>475</v>
      </c>
      <c r="BG865">
        <v>235</v>
      </c>
      <c r="BH865">
        <v>50</v>
      </c>
      <c r="BI865">
        <v>252.1</v>
      </c>
      <c r="BK865">
        <v>312.5</v>
      </c>
      <c r="BL865">
        <v>180</v>
      </c>
      <c r="BM865">
        <v>420</v>
      </c>
      <c r="BN865">
        <v>420</v>
      </c>
      <c r="BO865">
        <v>420</v>
      </c>
      <c r="BP865">
        <v>420</v>
      </c>
      <c r="BQ865">
        <v>420</v>
      </c>
      <c r="BR865">
        <v>230</v>
      </c>
      <c r="BS865">
        <v>400</v>
      </c>
    </row>
    <row r="866" spans="1:71" x14ac:dyDescent="0.25">
      <c r="A866" t="s">
        <v>717</v>
      </c>
      <c r="B866">
        <v>2022</v>
      </c>
      <c r="C866">
        <v>12</v>
      </c>
      <c r="D866">
        <v>29</v>
      </c>
      <c r="E866">
        <v>190</v>
      </c>
      <c r="F866">
        <v>59</v>
      </c>
      <c r="G866">
        <v>240</v>
      </c>
      <c r="H866">
        <v>36</v>
      </c>
      <c r="I866">
        <v>315</v>
      </c>
      <c r="J866">
        <v>315</v>
      </c>
      <c r="K866">
        <v>315</v>
      </c>
      <c r="Q866">
        <v>200</v>
      </c>
      <c r="R866">
        <v>40</v>
      </c>
      <c r="S866">
        <v>287.5</v>
      </c>
      <c r="T866">
        <v>250</v>
      </c>
      <c r="U866">
        <v>320</v>
      </c>
      <c r="V866">
        <v>53</v>
      </c>
      <c r="W866">
        <v>375</v>
      </c>
      <c r="BG866">
        <v>185</v>
      </c>
      <c r="BH866">
        <v>125</v>
      </c>
      <c r="BI866">
        <v>240</v>
      </c>
      <c r="BK866">
        <v>277.5</v>
      </c>
      <c r="BL866">
        <v>350</v>
      </c>
      <c r="BM866">
        <v>320</v>
      </c>
      <c r="BN866">
        <v>320</v>
      </c>
      <c r="BO866">
        <v>320</v>
      </c>
      <c r="BP866">
        <v>320</v>
      </c>
      <c r="BQ866">
        <v>320</v>
      </c>
      <c r="BR866">
        <v>475</v>
      </c>
      <c r="BS866">
        <v>300</v>
      </c>
    </row>
    <row r="867" spans="1:71" x14ac:dyDescent="0.25">
      <c r="A867" t="s">
        <v>725</v>
      </c>
      <c r="B867">
        <v>2022</v>
      </c>
      <c r="C867">
        <v>12</v>
      </c>
      <c r="D867">
        <v>1699</v>
      </c>
      <c r="E867">
        <v>309</v>
      </c>
      <c r="F867">
        <v>1871</v>
      </c>
      <c r="G867">
        <v>400</v>
      </c>
      <c r="H867">
        <v>563</v>
      </c>
      <c r="I867">
        <v>500</v>
      </c>
      <c r="J867">
        <v>25</v>
      </c>
      <c r="K867">
        <v>595</v>
      </c>
      <c r="P867">
        <v>148</v>
      </c>
      <c r="Q867">
        <v>190</v>
      </c>
      <c r="R867">
        <v>540</v>
      </c>
      <c r="S867">
        <v>440</v>
      </c>
      <c r="T867">
        <v>3617</v>
      </c>
      <c r="U867">
        <v>480</v>
      </c>
      <c r="V867">
        <v>967</v>
      </c>
      <c r="W867">
        <v>570</v>
      </c>
      <c r="BF867">
        <v>107</v>
      </c>
      <c r="BG867">
        <v>330</v>
      </c>
      <c r="BH867">
        <v>4265</v>
      </c>
      <c r="BI867">
        <v>370</v>
      </c>
      <c r="BJ867">
        <v>267</v>
      </c>
      <c r="BK867">
        <v>400</v>
      </c>
      <c r="BL867">
        <v>5540</v>
      </c>
      <c r="BM867">
        <v>480</v>
      </c>
      <c r="BN867">
        <v>380</v>
      </c>
      <c r="BO867">
        <v>255</v>
      </c>
      <c r="BP867">
        <v>380</v>
      </c>
      <c r="BQ867">
        <v>255</v>
      </c>
      <c r="BR867">
        <v>10185</v>
      </c>
      <c r="BS867">
        <v>430</v>
      </c>
    </row>
    <row r="868" spans="1:71" x14ac:dyDescent="0.25">
      <c r="A868" t="s">
        <v>718</v>
      </c>
      <c r="B868">
        <v>2022</v>
      </c>
      <c r="C868">
        <v>12</v>
      </c>
      <c r="D868">
        <v>14</v>
      </c>
      <c r="E868">
        <v>195</v>
      </c>
      <c r="F868">
        <v>41</v>
      </c>
      <c r="G868">
        <v>240</v>
      </c>
      <c r="H868">
        <v>14</v>
      </c>
      <c r="I868">
        <v>315</v>
      </c>
      <c r="K868">
        <v>330</v>
      </c>
      <c r="Q868">
        <v>220</v>
      </c>
      <c r="R868">
        <v>23</v>
      </c>
      <c r="S868">
        <v>290</v>
      </c>
      <c r="T868">
        <v>189</v>
      </c>
      <c r="U868">
        <v>320</v>
      </c>
      <c r="V868">
        <v>67</v>
      </c>
      <c r="W868">
        <v>380</v>
      </c>
      <c r="BG868">
        <v>250</v>
      </c>
      <c r="BH868">
        <v>75</v>
      </c>
      <c r="BI868">
        <v>240</v>
      </c>
      <c r="BJ868">
        <v>14</v>
      </c>
      <c r="BK868">
        <v>265</v>
      </c>
      <c r="BL868">
        <v>295</v>
      </c>
      <c r="BM868">
        <v>330</v>
      </c>
      <c r="BN868">
        <v>9</v>
      </c>
      <c r="BO868">
        <v>194</v>
      </c>
      <c r="BP868">
        <v>9</v>
      </c>
      <c r="BQ868">
        <v>194</v>
      </c>
      <c r="BR868">
        <v>380</v>
      </c>
      <c r="BS868">
        <v>300</v>
      </c>
    </row>
    <row r="869" spans="1:71" x14ac:dyDescent="0.25">
      <c r="A869" t="s">
        <v>719</v>
      </c>
      <c r="B869">
        <v>2022</v>
      </c>
      <c r="C869">
        <v>12</v>
      </c>
      <c r="D869">
        <v>62</v>
      </c>
      <c r="E869">
        <v>255</v>
      </c>
      <c r="F869">
        <v>254</v>
      </c>
      <c r="G869">
        <v>350</v>
      </c>
      <c r="H869">
        <v>128</v>
      </c>
      <c r="I869">
        <v>410</v>
      </c>
      <c r="K869">
        <v>552.5</v>
      </c>
      <c r="P869">
        <v>37</v>
      </c>
      <c r="Q869">
        <v>180</v>
      </c>
      <c r="R869">
        <v>123</v>
      </c>
      <c r="S869">
        <v>360</v>
      </c>
      <c r="T869">
        <v>1617</v>
      </c>
      <c r="U869">
        <v>440</v>
      </c>
      <c r="V869">
        <v>363</v>
      </c>
      <c r="W869">
        <v>500</v>
      </c>
      <c r="BF869">
        <v>18</v>
      </c>
      <c r="BG869">
        <v>295</v>
      </c>
      <c r="BH869">
        <v>465</v>
      </c>
      <c r="BI869">
        <v>350</v>
      </c>
      <c r="BJ869">
        <v>94</v>
      </c>
      <c r="BK869">
        <v>420</v>
      </c>
      <c r="BL869">
        <v>2235</v>
      </c>
      <c r="BM869">
        <v>445</v>
      </c>
      <c r="BN869">
        <v>60</v>
      </c>
      <c r="BO869">
        <v>200</v>
      </c>
      <c r="BP869">
        <v>60</v>
      </c>
      <c r="BQ869">
        <v>200</v>
      </c>
      <c r="BR869">
        <v>2760</v>
      </c>
      <c r="BS869">
        <v>425</v>
      </c>
    </row>
    <row r="870" spans="1:71" x14ac:dyDescent="0.25">
      <c r="A870" t="s">
        <v>726</v>
      </c>
      <c r="B870">
        <v>2022</v>
      </c>
      <c r="C870">
        <v>12</v>
      </c>
      <c r="D870">
        <v>120</v>
      </c>
      <c r="E870">
        <v>210</v>
      </c>
      <c r="F870">
        <v>264</v>
      </c>
      <c r="G870">
        <v>255</v>
      </c>
      <c r="H870">
        <v>116</v>
      </c>
      <c r="I870">
        <v>370</v>
      </c>
      <c r="J870">
        <v>12</v>
      </c>
      <c r="K870">
        <v>450</v>
      </c>
      <c r="P870">
        <v>24</v>
      </c>
      <c r="Q870">
        <v>215</v>
      </c>
      <c r="R870">
        <v>218</v>
      </c>
      <c r="S870">
        <v>287.5</v>
      </c>
      <c r="T870">
        <v>1272</v>
      </c>
      <c r="U870">
        <v>350</v>
      </c>
      <c r="V870">
        <v>425</v>
      </c>
      <c r="W870">
        <v>450</v>
      </c>
      <c r="BF870">
        <v>17</v>
      </c>
      <c r="BG870">
        <v>230</v>
      </c>
      <c r="BH870">
        <v>530</v>
      </c>
      <c r="BI870">
        <v>260</v>
      </c>
      <c r="BJ870">
        <v>60</v>
      </c>
      <c r="BK870">
        <v>300</v>
      </c>
      <c r="BL870">
        <v>2000</v>
      </c>
      <c r="BM870">
        <v>350</v>
      </c>
      <c r="BN870">
        <v>11</v>
      </c>
      <c r="BO870">
        <v>195</v>
      </c>
      <c r="BP870">
        <v>11</v>
      </c>
      <c r="BQ870">
        <v>195</v>
      </c>
      <c r="BR870">
        <v>2540</v>
      </c>
      <c r="BS870">
        <v>330</v>
      </c>
    </row>
    <row r="871" spans="1:71" x14ac:dyDescent="0.25">
      <c r="A871" t="s">
        <v>721</v>
      </c>
      <c r="B871">
        <v>2022</v>
      </c>
      <c r="C871">
        <v>12</v>
      </c>
      <c r="D871">
        <v>85</v>
      </c>
      <c r="E871">
        <v>310</v>
      </c>
      <c r="F871">
        <v>339</v>
      </c>
      <c r="G871">
        <v>380</v>
      </c>
      <c r="H871">
        <v>98</v>
      </c>
      <c r="I871">
        <v>460</v>
      </c>
      <c r="J871">
        <v>6</v>
      </c>
      <c r="K871">
        <v>470</v>
      </c>
      <c r="P871">
        <v>19</v>
      </c>
      <c r="Q871">
        <v>220</v>
      </c>
      <c r="R871">
        <v>91</v>
      </c>
      <c r="S871">
        <v>410</v>
      </c>
      <c r="T871">
        <v>861</v>
      </c>
      <c r="U871">
        <v>495</v>
      </c>
      <c r="V871">
        <v>272</v>
      </c>
      <c r="W871">
        <v>570</v>
      </c>
      <c r="BF871">
        <v>19</v>
      </c>
      <c r="BG871">
        <v>280</v>
      </c>
      <c r="BH871">
        <v>545</v>
      </c>
      <c r="BI871">
        <v>380</v>
      </c>
      <c r="BJ871">
        <v>78</v>
      </c>
      <c r="BK871">
        <v>327.5</v>
      </c>
      <c r="BL871">
        <v>1320</v>
      </c>
      <c r="BM871">
        <v>500</v>
      </c>
      <c r="BN871">
        <v>41</v>
      </c>
      <c r="BO871">
        <v>200</v>
      </c>
      <c r="BP871">
        <v>41</v>
      </c>
      <c r="BQ871">
        <v>200</v>
      </c>
      <c r="BR871">
        <v>1910</v>
      </c>
      <c r="BS871">
        <v>460</v>
      </c>
    </row>
    <row r="872" spans="1:71" x14ac:dyDescent="0.25">
      <c r="A872" t="s">
        <v>722</v>
      </c>
      <c r="B872">
        <v>2022</v>
      </c>
      <c r="C872">
        <v>12</v>
      </c>
      <c r="D872">
        <v>112</v>
      </c>
      <c r="E872">
        <v>300</v>
      </c>
      <c r="F872">
        <v>462</v>
      </c>
      <c r="G872">
        <v>372.5</v>
      </c>
      <c r="H872">
        <v>140</v>
      </c>
      <c r="I872">
        <v>510</v>
      </c>
      <c r="K872">
        <v>650</v>
      </c>
      <c r="P872">
        <v>21</v>
      </c>
      <c r="Q872">
        <v>195</v>
      </c>
      <c r="R872">
        <v>167</v>
      </c>
      <c r="S872">
        <v>440</v>
      </c>
      <c r="T872">
        <v>666</v>
      </c>
      <c r="U872">
        <v>520</v>
      </c>
      <c r="V872">
        <v>159</v>
      </c>
      <c r="W872">
        <v>650</v>
      </c>
      <c r="BF872">
        <v>40</v>
      </c>
      <c r="BG872">
        <v>337.5</v>
      </c>
      <c r="BH872">
        <v>755</v>
      </c>
      <c r="BI872">
        <v>380</v>
      </c>
      <c r="BJ872">
        <v>59</v>
      </c>
      <c r="BK872">
        <v>381.8</v>
      </c>
      <c r="BL872">
        <v>1070</v>
      </c>
      <c r="BM872">
        <v>502.5</v>
      </c>
      <c r="BN872">
        <v>46</v>
      </c>
      <c r="BO872">
        <v>190</v>
      </c>
      <c r="BP872">
        <v>46</v>
      </c>
      <c r="BQ872">
        <v>190</v>
      </c>
      <c r="BR872">
        <v>1875</v>
      </c>
      <c r="BS872">
        <v>450</v>
      </c>
    </row>
    <row r="873" spans="1:71" x14ac:dyDescent="0.25">
      <c r="A873" t="s">
        <v>723</v>
      </c>
      <c r="B873">
        <v>2022</v>
      </c>
      <c r="C873">
        <v>12</v>
      </c>
      <c r="D873">
        <v>7</v>
      </c>
      <c r="E873">
        <v>180</v>
      </c>
      <c r="F873">
        <v>19</v>
      </c>
      <c r="G873">
        <v>240</v>
      </c>
      <c r="H873">
        <v>6</v>
      </c>
      <c r="I873">
        <v>340</v>
      </c>
      <c r="K873">
        <v>300</v>
      </c>
      <c r="P873">
        <v>7</v>
      </c>
      <c r="Q873">
        <v>150</v>
      </c>
      <c r="R873">
        <v>37</v>
      </c>
      <c r="S873">
        <v>250</v>
      </c>
      <c r="T873">
        <v>150</v>
      </c>
      <c r="U873">
        <v>300</v>
      </c>
      <c r="V873">
        <v>38</v>
      </c>
      <c r="W873">
        <v>400</v>
      </c>
      <c r="BF873">
        <v>300</v>
      </c>
      <c r="BG873">
        <v>300</v>
      </c>
      <c r="BH873">
        <v>35</v>
      </c>
      <c r="BI873">
        <v>250</v>
      </c>
      <c r="BJ873">
        <v>13</v>
      </c>
      <c r="BK873">
        <v>250</v>
      </c>
      <c r="BL873">
        <v>245</v>
      </c>
      <c r="BM873">
        <v>295</v>
      </c>
      <c r="BN873">
        <v>295</v>
      </c>
      <c r="BO873">
        <v>295</v>
      </c>
      <c r="BP873">
        <v>295</v>
      </c>
      <c r="BQ873">
        <v>295</v>
      </c>
      <c r="BR873">
        <v>280</v>
      </c>
      <c r="BS873">
        <v>285</v>
      </c>
    </row>
    <row r="874" spans="1:71" x14ac:dyDescent="0.25">
      <c r="A874" t="s">
        <v>711</v>
      </c>
      <c r="B874">
        <v>2023</v>
      </c>
      <c r="C874">
        <v>3</v>
      </c>
      <c r="D874">
        <v>7</v>
      </c>
      <c r="E874">
        <v>285</v>
      </c>
      <c r="F874">
        <v>13</v>
      </c>
      <c r="G874">
        <v>340</v>
      </c>
      <c r="H874">
        <v>31</v>
      </c>
      <c r="I874">
        <v>440</v>
      </c>
      <c r="K874">
        <v>475</v>
      </c>
      <c r="Q874">
        <v>320</v>
      </c>
      <c r="R874">
        <v>33</v>
      </c>
      <c r="S874">
        <v>400</v>
      </c>
      <c r="T874">
        <v>148</v>
      </c>
      <c r="U874">
        <v>480</v>
      </c>
      <c r="V874">
        <v>98</v>
      </c>
      <c r="W874">
        <v>565</v>
      </c>
      <c r="BG874">
        <v>320</v>
      </c>
      <c r="BH874">
        <v>55</v>
      </c>
      <c r="BI874">
        <v>420</v>
      </c>
      <c r="BJ874">
        <v>7</v>
      </c>
      <c r="BK874">
        <v>550</v>
      </c>
      <c r="BL874">
        <v>290</v>
      </c>
      <c r="BM874">
        <v>500</v>
      </c>
      <c r="BN874">
        <v>500</v>
      </c>
      <c r="BO874">
        <v>500</v>
      </c>
      <c r="BP874">
        <v>500</v>
      </c>
      <c r="BQ874">
        <v>500</v>
      </c>
      <c r="BR874">
        <v>345</v>
      </c>
      <c r="BS874">
        <v>480</v>
      </c>
    </row>
    <row r="875" spans="1:71" x14ac:dyDescent="0.25">
      <c r="A875" t="s">
        <v>712</v>
      </c>
      <c r="B875">
        <v>2023</v>
      </c>
      <c r="C875">
        <v>3</v>
      </c>
      <c r="E875">
        <v>220</v>
      </c>
      <c r="F875">
        <v>34</v>
      </c>
      <c r="G875">
        <v>320</v>
      </c>
      <c r="H875">
        <v>19</v>
      </c>
      <c r="I875">
        <v>380</v>
      </c>
      <c r="K875">
        <v>402</v>
      </c>
      <c r="P875">
        <v>6</v>
      </c>
      <c r="Q875">
        <v>217.5</v>
      </c>
      <c r="R875">
        <v>16</v>
      </c>
      <c r="S875">
        <v>340</v>
      </c>
      <c r="T875">
        <v>159</v>
      </c>
      <c r="U875">
        <v>400</v>
      </c>
      <c r="V875">
        <v>74</v>
      </c>
      <c r="W875">
        <v>520</v>
      </c>
      <c r="BF875">
        <v>402</v>
      </c>
      <c r="BG875">
        <v>402</v>
      </c>
      <c r="BH875">
        <v>60</v>
      </c>
      <c r="BI875">
        <v>320</v>
      </c>
      <c r="BJ875">
        <v>8</v>
      </c>
      <c r="BK875">
        <v>455</v>
      </c>
      <c r="BL875">
        <v>265</v>
      </c>
      <c r="BM875">
        <v>420</v>
      </c>
      <c r="BN875">
        <v>10</v>
      </c>
      <c r="BO875">
        <v>100</v>
      </c>
      <c r="BP875">
        <v>10</v>
      </c>
      <c r="BQ875">
        <v>100</v>
      </c>
      <c r="BR875">
        <v>335</v>
      </c>
      <c r="BS875">
        <v>400</v>
      </c>
    </row>
    <row r="876" spans="1:71" x14ac:dyDescent="0.25">
      <c r="A876" t="s">
        <v>713</v>
      </c>
      <c r="B876">
        <v>2023</v>
      </c>
      <c r="C876">
        <v>3</v>
      </c>
      <c r="D876">
        <v>2470</v>
      </c>
      <c r="E876">
        <v>359</v>
      </c>
      <c r="F876">
        <v>1041</v>
      </c>
      <c r="G876">
        <v>450</v>
      </c>
      <c r="H876">
        <v>269</v>
      </c>
      <c r="I876">
        <v>580</v>
      </c>
      <c r="J876">
        <v>20</v>
      </c>
      <c r="K876">
        <v>655</v>
      </c>
      <c r="P876">
        <v>91</v>
      </c>
      <c r="Q876">
        <v>236.25</v>
      </c>
      <c r="R876">
        <v>185</v>
      </c>
      <c r="S876">
        <v>510</v>
      </c>
      <c r="T876">
        <v>566</v>
      </c>
      <c r="U876">
        <v>600</v>
      </c>
      <c r="V876">
        <v>220</v>
      </c>
      <c r="W876">
        <v>780</v>
      </c>
      <c r="BF876">
        <v>31</v>
      </c>
      <c r="BG876">
        <v>340</v>
      </c>
      <c r="BH876">
        <v>3830</v>
      </c>
      <c r="BI876">
        <v>389</v>
      </c>
      <c r="BJ876">
        <v>39</v>
      </c>
      <c r="BK876">
        <v>385</v>
      </c>
      <c r="BL876">
        <v>1100</v>
      </c>
      <c r="BM876">
        <v>580</v>
      </c>
      <c r="BN876">
        <v>479</v>
      </c>
      <c r="BO876">
        <v>289</v>
      </c>
      <c r="BP876">
        <v>479</v>
      </c>
      <c r="BQ876">
        <v>289</v>
      </c>
      <c r="BR876">
        <v>5410</v>
      </c>
      <c r="BS876">
        <v>400</v>
      </c>
    </row>
    <row r="877" spans="1:71" x14ac:dyDescent="0.25">
      <c r="A877" t="s">
        <v>714</v>
      </c>
      <c r="B877">
        <v>2023</v>
      </c>
      <c r="C877">
        <v>3</v>
      </c>
      <c r="D877">
        <v>37</v>
      </c>
      <c r="E877">
        <v>220</v>
      </c>
      <c r="F877">
        <v>39</v>
      </c>
      <c r="G877">
        <v>260</v>
      </c>
      <c r="H877">
        <v>16</v>
      </c>
      <c r="I877">
        <v>375</v>
      </c>
      <c r="K877">
        <v>600</v>
      </c>
      <c r="Q877">
        <v>280</v>
      </c>
      <c r="R877">
        <v>23</v>
      </c>
      <c r="S877">
        <v>300</v>
      </c>
      <c r="T877">
        <v>179</v>
      </c>
      <c r="U877">
        <v>300</v>
      </c>
      <c r="V877">
        <v>48</v>
      </c>
      <c r="W877">
        <v>420</v>
      </c>
      <c r="BG877">
        <v>175</v>
      </c>
      <c r="BH877">
        <v>100</v>
      </c>
      <c r="BI877">
        <v>260</v>
      </c>
      <c r="BJ877">
        <v>13</v>
      </c>
      <c r="BK877">
        <v>320</v>
      </c>
      <c r="BL877">
        <v>265</v>
      </c>
      <c r="BM877">
        <v>320</v>
      </c>
      <c r="BO877">
        <v>250</v>
      </c>
      <c r="BQ877">
        <v>250</v>
      </c>
      <c r="BR877">
        <v>365</v>
      </c>
      <c r="BS877">
        <v>300</v>
      </c>
    </row>
    <row r="878" spans="1:71" x14ac:dyDescent="0.25">
      <c r="A878" t="s">
        <v>715</v>
      </c>
      <c r="B878">
        <v>2023</v>
      </c>
      <c r="C878">
        <v>3</v>
      </c>
      <c r="D878">
        <v>14</v>
      </c>
      <c r="E878">
        <v>240</v>
      </c>
      <c r="F878">
        <v>32</v>
      </c>
      <c r="G878">
        <v>240</v>
      </c>
      <c r="I878">
        <v>335</v>
      </c>
      <c r="K878">
        <v>300</v>
      </c>
      <c r="Q878">
        <v>220</v>
      </c>
      <c r="R878">
        <v>16</v>
      </c>
      <c r="S878">
        <v>270</v>
      </c>
      <c r="T878">
        <v>136</v>
      </c>
      <c r="U878">
        <v>320</v>
      </c>
      <c r="V878">
        <v>34</v>
      </c>
      <c r="W878">
        <v>377.5</v>
      </c>
      <c r="BF878">
        <v>300</v>
      </c>
      <c r="BG878">
        <v>300</v>
      </c>
      <c r="BH878">
        <v>55</v>
      </c>
      <c r="BI878">
        <v>240</v>
      </c>
      <c r="BJ878">
        <v>377.5</v>
      </c>
      <c r="BK878">
        <v>377.5</v>
      </c>
      <c r="BL878">
        <v>190</v>
      </c>
      <c r="BM878">
        <v>325</v>
      </c>
      <c r="BO878">
        <v>250</v>
      </c>
      <c r="BQ878">
        <v>250</v>
      </c>
      <c r="BR878">
        <v>240</v>
      </c>
      <c r="BS878">
        <v>300</v>
      </c>
    </row>
    <row r="879" spans="1:71" x14ac:dyDescent="0.25">
      <c r="A879" t="s">
        <v>716</v>
      </c>
      <c r="B879">
        <v>2023</v>
      </c>
      <c r="C879">
        <v>3</v>
      </c>
      <c r="E879">
        <v>260</v>
      </c>
      <c r="F879">
        <v>32</v>
      </c>
      <c r="G879">
        <v>310</v>
      </c>
      <c r="H879">
        <v>14</v>
      </c>
      <c r="I879">
        <v>380</v>
      </c>
      <c r="K879">
        <v>300</v>
      </c>
      <c r="Q879">
        <v>300</v>
      </c>
      <c r="R879">
        <v>28</v>
      </c>
      <c r="S879">
        <v>350</v>
      </c>
      <c r="T879">
        <v>120</v>
      </c>
      <c r="U879">
        <v>400</v>
      </c>
      <c r="V879">
        <v>49</v>
      </c>
      <c r="W879">
        <v>490</v>
      </c>
      <c r="BF879">
        <v>300</v>
      </c>
      <c r="BG879">
        <v>300</v>
      </c>
      <c r="BH879">
        <v>55</v>
      </c>
      <c r="BI879">
        <v>320</v>
      </c>
      <c r="BJ879">
        <v>7</v>
      </c>
      <c r="BK879">
        <v>300</v>
      </c>
      <c r="BL879">
        <v>205</v>
      </c>
      <c r="BM879">
        <v>400</v>
      </c>
      <c r="BN879">
        <v>400</v>
      </c>
      <c r="BO879">
        <v>400</v>
      </c>
      <c r="BP879">
        <v>400</v>
      </c>
      <c r="BQ879">
        <v>400</v>
      </c>
      <c r="BR879">
        <v>260</v>
      </c>
      <c r="BS879">
        <v>390</v>
      </c>
    </row>
    <row r="880" spans="1:71" x14ac:dyDescent="0.25">
      <c r="A880" t="s">
        <v>717</v>
      </c>
      <c r="B880">
        <v>2023</v>
      </c>
      <c r="C880">
        <v>3</v>
      </c>
      <c r="D880">
        <v>21</v>
      </c>
      <c r="E880">
        <v>170</v>
      </c>
      <c r="F880">
        <v>85</v>
      </c>
      <c r="G880">
        <v>245</v>
      </c>
      <c r="H880">
        <v>37</v>
      </c>
      <c r="I880">
        <v>330</v>
      </c>
      <c r="K880">
        <v>520</v>
      </c>
      <c r="Q880">
        <v>200</v>
      </c>
      <c r="R880">
        <v>39</v>
      </c>
      <c r="S880">
        <v>275</v>
      </c>
      <c r="T880">
        <v>242</v>
      </c>
      <c r="U880">
        <v>330</v>
      </c>
      <c r="V880">
        <v>53</v>
      </c>
      <c r="W880">
        <v>450</v>
      </c>
      <c r="BG880">
        <v>177.5</v>
      </c>
      <c r="BH880">
        <v>145</v>
      </c>
      <c r="BI880">
        <v>260</v>
      </c>
      <c r="BK880">
        <v>245</v>
      </c>
      <c r="BL880">
        <v>340</v>
      </c>
      <c r="BM880">
        <v>335</v>
      </c>
      <c r="BO880">
        <v>200</v>
      </c>
      <c r="BQ880">
        <v>200</v>
      </c>
      <c r="BR880">
        <v>485</v>
      </c>
      <c r="BS880">
        <v>303</v>
      </c>
    </row>
    <row r="881" spans="1:71" x14ac:dyDescent="0.25">
      <c r="A881" t="s">
        <v>725</v>
      </c>
      <c r="B881">
        <v>2023</v>
      </c>
      <c r="C881">
        <v>3</v>
      </c>
      <c r="D881">
        <v>2785</v>
      </c>
      <c r="E881">
        <v>359</v>
      </c>
      <c r="F881">
        <v>2419</v>
      </c>
      <c r="G881">
        <v>400</v>
      </c>
      <c r="H881">
        <v>710</v>
      </c>
      <c r="I881">
        <v>515</v>
      </c>
      <c r="J881">
        <v>41</v>
      </c>
      <c r="K881">
        <v>600</v>
      </c>
      <c r="P881">
        <v>202</v>
      </c>
      <c r="Q881">
        <v>220</v>
      </c>
      <c r="R881">
        <v>605</v>
      </c>
      <c r="S881">
        <v>450</v>
      </c>
      <c r="T881">
        <v>3928</v>
      </c>
      <c r="U881">
        <v>500</v>
      </c>
      <c r="V881">
        <v>1046</v>
      </c>
      <c r="W881">
        <v>600</v>
      </c>
      <c r="BF881">
        <v>127</v>
      </c>
      <c r="BG881">
        <v>345</v>
      </c>
      <c r="BH881">
        <v>6080</v>
      </c>
      <c r="BI881">
        <v>389</v>
      </c>
      <c r="BJ881">
        <v>270</v>
      </c>
      <c r="BK881">
        <v>400</v>
      </c>
      <c r="BL881">
        <v>6050</v>
      </c>
      <c r="BM881">
        <v>500</v>
      </c>
      <c r="BN881">
        <v>750</v>
      </c>
      <c r="BO881">
        <v>270</v>
      </c>
      <c r="BP881">
        <v>750</v>
      </c>
      <c r="BQ881">
        <v>270</v>
      </c>
      <c r="BR881">
        <v>12885</v>
      </c>
      <c r="BS881">
        <v>430</v>
      </c>
    </row>
    <row r="882" spans="1:71" x14ac:dyDescent="0.25">
      <c r="A882" t="s">
        <v>718</v>
      </c>
      <c r="B882">
        <v>2023</v>
      </c>
      <c r="C882">
        <v>3</v>
      </c>
      <c r="D882">
        <v>20</v>
      </c>
      <c r="E882">
        <v>210</v>
      </c>
      <c r="F882">
        <v>53</v>
      </c>
      <c r="G882">
        <v>250</v>
      </c>
      <c r="H882">
        <v>14</v>
      </c>
      <c r="I882">
        <v>322.5</v>
      </c>
      <c r="J882">
        <v>322.5</v>
      </c>
      <c r="K882">
        <v>322.5</v>
      </c>
      <c r="P882">
        <v>9</v>
      </c>
      <c r="Q882">
        <v>200</v>
      </c>
      <c r="R882">
        <v>30</v>
      </c>
      <c r="S882">
        <v>280</v>
      </c>
      <c r="T882">
        <v>201</v>
      </c>
      <c r="U882">
        <v>330</v>
      </c>
      <c r="V882">
        <v>53</v>
      </c>
      <c r="W882">
        <v>400</v>
      </c>
      <c r="BF882">
        <v>7</v>
      </c>
      <c r="BG882">
        <v>210</v>
      </c>
      <c r="BH882">
        <v>95</v>
      </c>
      <c r="BI882">
        <v>250</v>
      </c>
      <c r="BJ882">
        <v>20</v>
      </c>
      <c r="BK882">
        <v>300</v>
      </c>
      <c r="BL882">
        <v>315</v>
      </c>
      <c r="BM882">
        <v>330</v>
      </c>
      <c r="BO882">
        <v>202</v>
      </c>
      <c r="BQ882">
        <v>202</v>
      </c>
      <c r="BR882">
        <v>410</v>
      </c>
      <c r="BS882">
        <v>300</v>
      </c>
    </row>
    <row r="883" spans="1:71" x14ac:dyDescent="0.25">
      <c r="A883" t="s">
        <v>719</v>
      </c>
      <c r="B883">
        <v>2023</v>
      </c>
      <c r="C883">
        <v>3</v>
      </c>
      <c r="D883">
        <v>87</v>
      </c>
      <c r="E883">
        <v>260</v>
      </c>
      <c r="F883">
        <v>352</v>
      </c>
      <c r="G883">
        <v>360</v>
      </c>
      <c r="H883">
        <v>146</v>
      </c>
      <c r="I883">
        <v>460</v>
      </c>
      <c r="J883">
        <v>7</v>
      </c>
      <c r="K883">
        <v>450</v>
      </c>
      <c r="P883">
        <v>35</v>
      </c>
      <c r="Q883">
        <v>185</v>
      </c>
      <c r="R883">
        <v>133</v>
      </c>
      <c r="S883">
        <v>380</v>
      </c>
      <c r="T883">
        <v>1664</v>
      </c>
      <c r="U883">
        <v>450</v>
      </c>
      <c r="V883">
        <v>399</v>
      </c>
      <c r="W883">
        <v>530</v>
      </c>
      <c r="BF883">
        <v>37</v>
      </c>
      <c r="BG883">
        <v>345</v>
      </c>
      <c r="BH883">
        <v>630</v>
      </c>
      <c r="BI883">
        <v>370</v>
      </c>
      <c r="BJ883">
        <v>105</v>
      </c>
      <c r="BK883">
        <v>420</v>
      </c>
      <c r="BL883">
        <v>2335</v>
      </c>
      <c r="BM883">
        <v>450</v>
      </c>
      <c r="BN883">
        <v>131</v>
      </c>
      <c r="BO883">
        <v>265.5</v>
      </c>
      <c r="BP883">
        <v>131</v>
      </c>
      <c r="BQ883">
        <v>265.5</v>
      </c>
      <c r="BR883">
        <v>3095</v>
      </c>
      <c r="BS883">
        <v>430</v>
      </c>
    </row>
    <row r="884" spans="1:71" x14ac:dyDescent="0.25">
      <c r="A884" t="s">
        <v>726</v>
      </c>
      <c r="B884">
        <v>2023</v>
      </c>
      <c r="C884">
        <v>3</v>
      </c>
      <c r="D884">
        <v>117</v>
      </c>
      <c r="E884">
        <v>220</v>
      </c>
      <c r="F884">
        <v>303</v>
      </c>
      <c r="G884">
        <v>260</v>
      </c>
      <c r="H884">
        <v>154</v>
      </c>
      <c r="I884">
        <v>370</v>
      </c>
      <c r="J884">
        <v>18</v>
      </c>
      <c r="K884">
        <v>462.5</v>
      </c>
      <c r="P884">
        <v>44</v>
      </c>
      <c r="Q884">
        <v>200</v>
      </c>
      <c r="R884">
        <v>221</v>
      </c>
      <c r="S884">
        <v>300</v>
      </c>
      <c r="T884">
        <v>1358</v>
      </c>
      <c r="U884">
        <v>350</v>
      </c>
      <c r="V884">
        <v>480</v>
      </c>
      <c r="W884">
        <v>470</v>
      </c>
      <c r="BF884">
        <v>12</v>
      </c>
      <c r="BG884">
        <v>192.5</v>
      </c>
      <c r="BH884">
        <v>605</v>
      </c>
      <c r="BI884">
        <v>270</v>
      </c>
      <c r="BJ884">
        <v>73</v>
      </c>
      <c r="BK884">
        <v>300</v>
      </c>
      <c r="BL884">
        <v>2175</v>
      </c>
      <c r="BM884">
        <v>360</v>
      </c>
      <c r="BN884">
        <v>19</v>
      </c>
      <c r="BO884">
        <v>150</v>
      </c>
      <c r="BP884">
        <v>19</v>
      </c>
      <c r="BQ884">
        <v>150</v>
      </c>
      <c r="BR884">
        <v>2800</v>
      </c>
      <c r="BS884">
        <v>350</v>
      </c>
    </row>
    <row r="885" spans="1:71" x14ac:dyDescent="0.25">
      <c r="A885" t="s">
        <v>721</v>
      </c>
      <c r="B885">
        <v>2023</v>
      </c>
      <c r="C885">
        <v>3</v>
      </c>
      <c r="D885">
        <v>96</v>
      </c>
      <c r="E885">
        <v>312.5</v>
      </c>
      <c r="F885">
        <v>468</v>
      </c>
      <c r="G885">
        <v>390</v>
      </c>
      <c r="H885">
        <v>153</v>
      </c>
      <c r="I885">
        <v>475</v>
      </c>
      <c r="K885">
        <v>500</v>
      </c>
      <c r="P885">
        <v>53</v>
      </c>
      <c r="Q885">
        <v>220</v>
      </c>
      <c r="R885">
        <v>123</v>
      </c>
      <c r="S885">
        <v>440</v>
      </c>
      <c r="T885">
        <v>998</v>
      </c>
      <c r="U885">
        <v>500</v>
      </c>
      <c r="V885">
        <v>256</v>
      </c>
      <c r="W885">
        <v>600</v>
      </c>
      <c r="BF885">
        <v>32</v>
      </c>
      <c r="BG885">
        <v>322.5</v>
      </c>
      <c r="BH885">
        <v>755</v>
      </c>
      <c r="BI885">
        <v>400</v>
      </c>
      <c r="BJ885">
        <v>69</v>
      </c>
      <c r="BK885">
        <v>450</v>
      </c>
      <c r="BL885">
        <v>1500</v>
      </c>
      <c r="BM885">
        <v>500</v>
      </c>
      <c r="BN885">
        <v>72</v>
      </c>
      <c r="BO885">
        <v>205</v>
      </c>
      <c r="BP885">
        <v>72</v>
      </c>
      <c r="BQ885">
        <v>205</v>
      </c>
      <c r="BR885">
        <v>2325</v>
      </c>
      <c r="BS885">
        <v>470</v>
      </c>
    </row>
    <row r="886" spans="1:71" x14ac:dyDescent="0.25">
      <c r="A886" t="s">
        <v>722</v>
      </c>
      <c r="B886">
        <v>2023</v>
      </c>
      <c r="C886">
        <v>3</v>
      </c>
      <c r="D886">
        <v>132</v>
      </c>
      <c r="E886">
        <v>300</v>
      </c>
      <c r="F886">
        <v>558</v>
      </c>
      <c r="G886">
        <v>382.5</v>
      </c>
      <c r="H886">
        <v>142</v>
      </c>
      <c r="I886">
        <v>525</v>
      </c>
      <c r="J886">
        <v>9</v>
      </c>
      <c r="K886">
        <v>600</v>
      </c>
      <c r="P886">
        <v>23</v>
      </c>
      <c r="Q886">
        <v>250</v>
      </c>
      <c r="R886">
        <v>164</v>
      </c>
      <c r="S886">
        <v>430</v>
      </c>
      <c r="T886">
        <v>700</v>
      </c>
      <c r="U886">
        <v>540</v>
      </c>
      <c r="V886">
        <v>171</v>
      </c>
      <c r="W886">
        <v>650</v>
      </c>
      <c r="BF886">
        <v>27</v>
      </c>
      <c r="BG886">
        <v>350</v>
      </c>
      <c r="BH886">
        <v>870</v>
      </c>
      <c r="BI886">
        <v>390</v>
      </c>
      <c r="BJ886">
        <v>57</v>
      </c>
      <c r="BK886">
        <v>380</v>
      </c>
      <c r="BL886">
        <v>1115</v>
      </c>
      <c r="BM886">
        <v>530</v>
      </c>
      <c r="BN886">
        <v>68</v>
      </c>
      <c r="BO886">
        <v>200</v>
      </c>
      <c r="BP886">
        <v>68</v>
      </c>
      <c r="BQ886">
        <v>200</v>
      </c>
      <c r="BR886">
        <v>2050</v>
      </c>
      <c r="BS886">
        <v>450</v>
      </c>
    </row>
    <row r="887" spans="1:71" x14ac:dyDescent="0.25">
      <c r="A887" t="s">
        <v>723</v>
      </c>
      <c r="B887">
        <v>2023</v>
      </c>
      <c r="C887">
        <v>3</v>
      </c>
      <c r="D887">
        <v>8</v>
      </c>
      <c r="E887">
        <v>205</v>
      </c>
      <c r="F887">
        <v>15</v>
      </c>
      <c r="G887">
        <v>230</v>
      </c>
      <c r="H887">
        <v>19</v>
      </c>
      <c r="I887">
        <v>330</v>
      </c>
      <c r="J887">
        <v>330</v>
      </c>
      <c r="K887">
        <v>330</v>
      </c>
      <c r="P887">
        <v>15</v>
      </c>
      <c r="Q887">
        <v>180</v>
      </c>
      <c r="R887">
        <v>36</v>
      </c>
      <c r="S887">
        <v>272.5</v>
      </c>
      <c r="T887">
        <v>173</v>
      </c>
      <c r="U887">
        <v>310</v>
      </c>
      <c r="V887">
        <v>71</v>
      </c>
      <c r="W887">
        <v>380</v>
      </c>
      <c r="BG887">
        <v>177.1</v>
      </c>
      <c r="BH887">
        <v>45</v>
      </c>
      <c r="BI887">
        <v>250</v>
      </c>
      <c r="BJ887">
        <v>16</v>
      </c>
      <c r="BK887">
        <v>270</v>
      </c>
      <c r="BL887">
        <v>310</v>
      </c>
      <c r="BM887">
        <v>310</v>
      </c>
      <c r="BO887">
        <v>187</v>
      </c>
      <c r="BQ887">
        <v>187</v>
      </c>
      <c r="BR887">
        <v>355</v>
      </c>
      <c r="BS887">
        <v>300</v>
      </c>
    </row>
    <row r="888" spans="1:71" x14ac:dyDescent="0.25">
      <c r="A888" t="s">
        <v>711</v>
      </c>
      <c r="B888">
        <v>2023</v>
      </c>
      <c r="C888">
        <v>6</v>
      </c>
      <c r="D888">
        <v>15</v>
      </c>
      <c r="E888">
        <v>340</v>
      </c>
      <c r="F888">
        <v>20</v>
      </c>
      <c r="G888">
        <v>350</v>
      </c>
      <c r="H888">
        <v>19</v>
      </c>
      <c r="I888">
        <v>430</v>
      </c>
      <c r="K888">
        <v>450</v>
      </c>
      <c r="Q888">
        <v>362.5</v>
      </c>
      <c r="R888">
        <v>17</v>
      </c>
      <c r="S888">
        <v>450</v>
      </c>
      <c r="T888">
        <v>160</v>
      </c>
      <c r="U888">
        <v>480</v>
      </c>
      <c r="V888">
        <v>94</v>
      </c>
      <c r="W888">
        <v>600</v>
      </c>
      <c r="BG888">
        <v>480</v>
      </c>
      <c r="BH888">
        <v>60</v>
      </c>
      <c r="BI888">
        <v>396</v>
      </c>
      <c r="BK888">
        <v>375</v>
      </c>
      <c r="BL888">
        <v>275</v>
      </c>
      <c r="BM888">
        <v>520</v>
      </c>
      <c r="BO888">
        <v>227.5</v>
      </c>
      <c r="BQ888">
        <v>227.5</v>
      </c>
      <c r="BR888">
        <v>335</v>
      </c>
      <c r="BS888">
        <v>500</v>
      </c>
    </row>
    <row r="889" spans="1:71" x14ac:dyDescent="0.25">
      <c r="A889" t="s">
        <v>712</v>
      </c>
      <c r="B889">
        <v>2023</v>
      </c>
      <c r="C889">
        <v>6</v>
      </c>
      <c r="D889">
        <v>7</v>
      </c>
      <c r="E889">
        <v>240</v>
      </c>
      <c r="F889">
        <v>30</v>
      </c>
      <c r="G889">
        <v>330</v>
      </c>
      <c r="H889">
        <v>18</v>
      </c>
      <c r="I889">
        <v>420</v>
      </c>
      <c r="K889">
        <v>630</v>
      </c>
      <c r="P889">
        <v>6</v>
      </c>
      <c r="Q889">
        <v>265</v>
      </c>
      <c r="R889">
        <v>21</v>
      </c>
      <c r="S889">
        <v>320</v>
      </c>
      <c r="T889">
        <v>156</v>
      </c>
      <c r="U889">
        <v>420</v>
      </c>
      <c r="V889">
        <v>88</v>
      </c>
      <c r="W889">
        <v>550</v>
      </c>
      <c r="BG889">
        <v>297.5</v>
      </c>
      <c r="BH889">
        <v>60</v>
      </c>
      <c r="BI889">
        <v>340</v>
      </c>
      <c r="BJ889">
        <v>9</v>
      </c>
      <c r="BK889">
        <v>390</v>
      </c>
      <c r="BL889">
        <v>280</v>
      </c>
      <c r="BM889">
        <v>450</v>
      </c>
      <c r="BO889">
        <v>95</v>
      </c>
      <c r="BQ889">
        <v>95</v>
      </c>
      <c r="BR889">
        <v>340</v>
      </c>
      <c r="BS889">
        <v>425</v>
      </c>
    </row>
    <row r="890" spans="1:71" x14ac:dyDescent="0.25">
      <c r="A890" t="s">
        <v>713</v>
      </c>
      <c r="B890">
        <v>2023</v>
      </c>
      <c r="C890">
        <v>6</v>
      </c>
      <c r="D890">
        <v>1100</v>
      </c>
      <c r="E890">
        <v>359</v>
      </c>
      <c r="F890">
        <v>813</v>
      </c>
      <c r="G890">
        <v>460</v>
      </c>
      <c r="H890">
        <v>219</v>
      </c>
      <c r="I890">
        <v>595</v>
      </c>
      <c r="K890">
        <v>847.5</v>
      </c>
      <c r="P890">
        <v>83</v>
      </c>
      <c r="Q890">
        <v>236.25</v>
      </c>
      <c r="R890">
        <v>159</v>
      </c>
      <c r="S890">
        <v>530</v>
      </c>
      <c r="T890">
        <v>547</v>
      </c>
      <c r="U890">
        <v>600</v>
      </c>
      <c r="V890">
        <v>193</v>
      </c>
      <c r="W890">
        <v>790</v>
      </c>
      <c r="BF890">
        <v>36</v>
      </c>
      <c r="BG890">
        <v>367.5</v>
      </c>
      <c r="BH890">
        <v>2170</v>
      </c>
      <c r="BI890">
        <v>410</v>
      </c>
      <c r="BJ890">
        <v>33</v>
      </c>
      <c r="BK890">
        <v>450</v>
      </c>
      <c r="BL890">
        <v>1015</v>
      </c>
      <c r="BM890">
        <v>600</v>
      </c>
      <c r="BN890">
        <v>108</v>
      </c>
      <c r="BO890">
        <v>255</v>
      </c>
      <c r="BP890">
        <v>108</v>
      </c>
      <c r="BQ890">
        <v>255</v>
      </c>
      <c r="BR890">
        <v>3295</v>
      </c>
      <c r="BS890">
        <v>460</v>
      </c>
    </row>
    <row r="891" spans="1:71" x14ac:dyDescent="0.25">
      <c r="A891" t="s">
        <v>714</v>
      </c>
      <c r="B891">
        <v>2023</v>
      </c>
      <c r="C891">
        <v>6</v>
      </c>
      <c r="D891">
        <v>16</v>
      </c>
      <c r="E891">
        <v>225</v>
      </c>
      <c r="F891">
        <v>40</v>
      </c>
      <c r="G891">
        <v>260</v>
      </c>
      <c r="H891">
        <v>12</v>
      </c>
      <c r="I891">
        <v>380</v>
      </c>
      <c r="K891">
        <v>640</v>
      </c>
      <c r="Q891">
        <v>275</v>
      </c>
      <c r="R891">
        <v>28</v>
      </c>
      <c r="S891">
        <v>295</v>
      </c>
      <c r="T891">
        <v>164</v>
      </c>
      <c r="U891">
        <v>330</v>
      </c>
      <c r="V891">
        <v>49</v>
      </c>
      <c r="W891">
        <v>450</v>
      </c>
      <c r="BG891">
        <v>225</v>
      </c>
      <c r="BH891">
        <v>75</v>
      </c>
      <c r="BI891">
        <v>260</v>
      </c>
      <c r="BJ891">
        <v>9</v>
      </c>
      <c r="BK891">
        <v>300</v>
      </c>
      <c r="BL891">
        <v>255</v>
      </c>
      <c r="BM891">
        <v>335</v>
      </c>
      <c r="BO891">
        <v>250</v>
      </c>
      <c r="BQ891">
        <v>250</v>
      </c>
      <c r="BR891">
        <v>330</v>
      </c>
      <c r="BS891">
        <v>320</v>
      </c>
    </row>
    <row r="892" spans="1:71" x14ac:dyDescent="0.25">
      <c r="A892" t="s">
        <v>715</v>
      </c>
      <c r="B892">
        <v>2023</v>
      </c>
      <c r="C892">
        <v>6</v>
      </c>
      <c r="E892">
        <v>250</v>
      </c>
      <c r="F892">
        <v>29</v>
      </c>
      <c r="G892">
        <v>235</v>
      </c>
      <c r="I892">
        <v>267.5</v>
      </c>
      <c r="J892">
        <v>267.5</v>
      </c>
      <c r="K892">
        <v>267.5</v>
      </c>
      <c r="Q892">
        <v>240</v>
      </c>
      <c r="R892">
        <v>16</v>
      </c>
      <c r="S892">
        <v>240.15</v>
      </c>
      <c r="T892">
        <v>136</v>
      </c>
      <c r="U892">
        <v>327.5</v>
      </c>
      <c r="V892">
        <v>43</v>
      </c>
      <c r="W892">
        <v>420</v>
      </c>
      <c r="BG892">
        <v>380</v>
      </c>
      <c r="BH892">
        <v>40</v>
      </c>
      <c r="BI892">
        <v>250</v>
      </c>
      <c r="BJ892">
        <v>420</v>
      </c>
      <c r="BK892">
        <v>420</v>
      </c>
      <c r="BL892">
        <v>200</v>
      </c>
      <c r="BM892">
        <v>340</v>
      </c>
      <c r="BO892">
        <v>190</v>
      </c>
      <c r="BQ892">
        <v>190</v>
      </c>
      <c r="BR892">
        <v>240</v>
      </c>
      <c r="BS892">
        <v>330</v>
      </c>
    </row>
    <row r="893" spans="1:71" x14ac:dyDescent="0.25">
      <c r="A893" t="s">
        <v>716</v>
      </c>
      <c r="B893">
        <v>2023</v>
      </c>
      <c r="C893">
        <v>6</v>
      </c>
      <c r="D893">
        <v>16</v>
      </c>
      <c r="E893">
        <v>260</v>
      </c>
      <c r="F893">
        <v>26</v>
      </c>
      <c r="G893">
        <v>310</v>
      </c>
      <c r="H893">
        <v>14</v>
      </c>
      <c r="I893">
        <v>380</v>
      </c>
      <c r="K893">
        <v>437.5</v>
      </c>
      <c r="Q893">
        <v>250</v>
      </c>
      <c r="R893">
        <v>26</v>
      </c>
      <c r="S893">
        <v>350</v>
      </c>
      <c r="T893">
        <v>132</v>
      </c>
      <c r="U893">
        <v>410</v>
      </c>
      <c r="V893">
        <v>83</v>
      </c>
      <c r="W893">
        <v>500</v>
      </c>
      <c r="BG893">
        <v>237.5</v>
      </c>
      <c r="BH893">
        <v>60</v>
      </c>
      <c r="BI893">
        <v>300</v>
      </c>
      <c r="BJ893">
        <v>13</v>
      </c>
      <c r="BK893">
        <v>350</v>
      </c>
      <c r="BL893">
        <v>255</v>
      </c>
      <c r="BM893">
        <v>430</v>
      </c>
      <c r="BN893">
        <v>430</v>
      </c>
      <c r="BO893">
        <v>430</v>
      </c>
      <c r="BP893">
        <v>430</v>
      </c>
      <c r="BQ893">
        <v>430</v>
      </c>
      <c r="BR893">
        <v>320</v>
      </c>
      <c r="BS893">
        <v>400</v>
      </c>
    </row>
    <row r="894" spans="1:71" x14ac:dyDescent="0.25">
      <c r="A894" t="s">
        <v>717</v>
      </c>
      <c r="B894">
        <v>2023</v>
      </c>
      <c r="C894">
        <v>6</v>
      </c>
      <c r="D894">
        <v>21</v>
      </c>
      <c r="E894">
        <v>200</v>
      </c>
      <c r="F894">
        <v>66</v>
      </c>
      <c r="G894">
        <v>260</v>
      </c>
      <c r="H894">
        <v>32</v>
      </c>
      <c r="I894">
        <v>285</v>
      </c>
      <c r="J894">
        <v>285</v>
      </c>
      <c r="K894">
        <v>285</v>
      </c>
      <c r="Q894">
        <v>215</v>
      </c>
      <c r="R894">
        <v>34</v>
      </c>
      <c r="S894">
        <v>275</v>
      </c>
      <c r="T894">
        <v>218</v>
      </c>
      <c r="U894">
        <v>360</v>
      </c>
      <c r="V894">
        <v>62</v>
      </c>
      <c r="W894">
        <v>415</v>
      </c>
      <c r="BG894">
        <v>170</v>
      </c>
      <c r="BH894">
        <v>120</v>
      </c>
      <c r="BI894">
        <v>260</v>
      </c>
      <c r="BK894">
        <v>400</v>
      </c>
      <c r="BL894">
        <v>320</v>
      </c>
      <c r="BM894">
        <v>360</v>
      </c>
      <c r="BO894">
        <v>200</v>
      </c>
      <c r="BQ894">
        <v>200</v>
      </c>
      <c r="BR894">
        <v>440</v>
      </c>
      <c r="BS894">
        <v>330</v>
      </c>
    </row>
    <row r="895" spans="1:71" x14ac:dyDescent="0.25">
      <c r="A895" t="s">
        <v>725</v>
      </c>
      <c r="B895">
        <v>2023</v>
      </c>
      <c r="C895">
        <v>6</v>
      </c>
      <c r="D895">
        <v>1393</v>
      </c>
      <c r="E895">
        <v>350</v>
      </c>
      <c r="F895">
        <v>2009</v>
      </c>
      <c r="G895">
        <v>410</v>
      </c>
      <c r="H895">
        <v>589</v>
      </c>
      <c r="I895">
        <v>525</v>
      </c>
      <c r="J895">
        <v>19</v>
      </c>
      <c r="K895">
        <v>580</v>
      </c>
      <c r="P895">
        <v>150</v>
      </c>
      <c r="Q895">
        <v>230</v>
      </c>
      <c r="R895">
        <v>545</v>
      </c>
      <c r="S895">
        <v>450</v>
      </c>
      <c r="T895">
        <v>3705</v>
      </c>
      <c r="U895">
        <v>505</v>
      </c>
      <c r="V895">
        <v>1100</v>
      </c>
      <c r="W895">
        <v>607.5</v>
      </c>
      <c r="BF895">
        <v>105</v>
      </c>
      <c r="BG895">
        <v>350</v>
      </c>
      <c r="BH895">
        <v>4115</v>
      </c>
      <c r="BI895">
        <v>400</v>
      </c>
      <c r="BJ895">
        <v>275</v>
      </c>
      <c r="BK895">
        <v>400</v>
      </c>
      <c r="BL895">
        <v>5775</v>
      </c>
      <c r="BM895">
        <v>515</v>
      </c>
      <c r="BN895">
        <v>323</v>
      </c>
      <c r="BO895">
        <v>240</v>
      </c>
      <c r="BP895">
        <v>323</v>
      </c>
      <c r="BQ895">
        <v>240</v>
      </c>
      <c r="BR895">
        <v>10215</v>
      </c>
      <c r="BS895">
        <v>460</v>
      </c>
    </row>
    <row r="896" spans="1:71" x14ac:dyDescent="0.25">
      <c r="A896" t="s">
        <v>718</v>
      </c>
      <c r="B896">
        <v>2023</v>
      </c>
      <c r="C896">
        <v>6</v>
      </c>
      <c r="D896">
        <v>16</v>
      </c>
      <c r="E896">
        <v>195</v>
      </c>
      <c r="F896">
        <v>54</v>
      </c>
      <c r="G896">
        <v>250</v>
      </c>
      <c r="H896">
        <v>13</v>
      </c>
      <c r="I896">
        <v>370</v>
      </c>
      <c r="K896">
        <v>420</v>
      </c>
      <c r="Q896">
        <v>207.5</v>
      </c>
      <c r="R896">
        <v>32</v>
      </c>
      <c r="S896">
        <v>282.5</v>
      </c>
      <c r="T896">
        <v>198</v>
      </c>
      <c r="U896">
        <v>350</v>
      </c>
      <c r="V896">
        <v>60</v>
      </c>
      <c r="W896">
        <v>450</v>
      </c>
      <c r="BG896">
        <v>260</v>
      </c>
      <c r="BH896">
        <v>90</v>
      </c>
      <c r="BI896">
        <v>250</v>
      </c>
      <c r="BJ896">
        <v>19</v>
      </c>
      <c r="BK896">
        <v>280</v>
      </c>
      <c r="BL896">
        <v>310</v>
      </c>
      <c r="BM896">
        <v>350</v>
      </c>
      <c r="BN896">
        <v>6</v>
      </c>
      <c r="BO896">
        <v>207</v>
      </c>
      <c r="BP896">
        <v>6</v>
      </c>
      <c r="BQ896">
        <v>207</v>
      </c>
      <c r="BR896">
        <v>405</v>
      </c>
      <c r="BS896">
        <v>320</v>
      </c>
    </row>
    <row r="897" spans="1:71" x14ac:dyDescent="0.25">
      <c r="A897" t="s">
        <v>719</v>
      </c>
      <c r="B897">
        <v>2023</v>
      </c>
      <c r="C897">
        <v>6</v>
      </c>
      <c r="D897">
        <v>67</v>
      </c>
      <c r="E897">
        <v>275</v>
      </c>
      <c r="F897">
        <v>279</v>
      </c>
      <c r="G897">
        <v>370</v>
      </c>
      <c r="H897">
        <v>116</v>
      </c>
      <c r="I897">
        <v>480</v>
      </c>
      <c r="J897">
        <v>6</v>
      </c>
      <c r="K897">
        <v>525</v>
      </c>
      <c r="P897">
        <v>27</v>
      </c>
      <c r="Q897">
        <v>205</v>
      </c>
      <c r="R897">
        <v>141</v>
      </c>
      <c r="S897">
        <v>370</v>
      </c>
      <c r="T897">
        <v>1595</v>
      </c>
      <c r="U897">
        <v>460</v>
      </c>
      <c r="V897">
        <v>442</v>
      </c>
      <c r="W897">
        <v>530</v>
      </c>
      <c r="BF897">
        <v>13</v>
      </c>
      <c r="BG897">
        <v>300</v>
      </c>
      <c r="BH897">
        <v>480</v>
      </c>
      <c r="BI897">
        <v>380</v>
      </c>
      <c r="BJ897">
        <v>118</v>
      </c>
      <c r="BK897">
        <v>440</v>
      </c>
      <c r="BL897">
        <v>2325</v>
      </c>
      <c r="BM897">
        <v>470</v>
      </c>
      <c r="BN897">
        <v>73</v>
      </c>
      <c r="BO897">
        <v>250</v>
      </c>
      <c r="BP897">
        <v>73</v>
      </c>
      <c r="BQ897">
        <v>250</v>
      </c>
      <c r="BR897">
        <v>2875</v>
      </c>
      <c r="BS897">
        <v>450</v>
      </c>
    </row>
    <row r="898" spans="1:71" x14ac:dyDescent="0.25">
      <c r="A898" t="s">
        <v>726</v>
      </c>
      <c r="B898">
        <v>2023</v>
      </c>
      <c r="C898">
        <v>6</v>
      </c>
      <c r="D898">
        <v>106</v>
      </c>
      <c r="E898">
        <v>225</v>
      </c>
      <c r="F898">
        <v>283</v>
      </c>
      <c r="G898">
        <v>260</v>
      </c>
      <c r="H898">
        <v>123</v>
      </c>
      <c r="I898">
        <v>380</v>
      </c>
      <c r="J898">
        <v>11</v>
      </c>
      <c r="K898">
        <v>475</v>
      </c>
      <c r="P898">
        <v>28</v>
      </c>
      <c r="Q898">
        <v>250</v>
      </c>
      <c r="R898">
        <v>205</v>
      </c>
      <c r="S898">
        <v>300</v>
      </c>
      <c r="T898">
        <v>1345</v>
      </c>
      <c r="U898">
        <v>360</v>
      </c>
      <c r="V898">
        <v>519</v>
      </c>
      <c r="W898">
        <v>500</v>
      </c>
      <c r="BF898">
        <v>23</v>
      </c>
      <c r="BG898">
        <v>270</v>
      </c>
      <c r="BH898">
        <v>545</v>
      </c>
      <c r="BI898">
        <v>280</v>
      </c>
      <c r="BJ898">
        <v>71</v>
      </c>
      <c r="BK898">
        <v>300</v>
      </c>
      <c r="BL898">
        <v>2170</v>
      </c>
      <c r="BM898">
        <v>380</v>
      </c>
      <c r="BN898">
        <v>19</v>
      </c>
      <c r="BO898">
        <v>190</v>
      </c>
      <c r="BP898">
        <v>19</v>
      </c>
      <c r="BQ898">
        <v>190</v>
      </c>
      <c r="BR898">
        <v>2735</v>
      </c>
      <c r="BS898">
        <v>350</v>
      </c>
    </row>
    <row r="899" spans="1:71" x14ac:dyDescent="0.25">
      <c r="A899" t="s">
        <v>721</v>
      </c>
      <c r="B899">
        <v>2023</v>
      </c>
      <c r="C899">
        <v>6</v>
      </c>
      <c r="D899">
        <v>86</v>
      </c>
      <c r="E899">
        <v>322.5</v>
      </c>
      <c r="F899">
        <v>379</v>
      </c>
      <c r="G899">
        <v>400</v>
      </c>
      <c r="H899">
        <v>127</v>
      </c>
      <c r="I899">
        <v>500</v>
      </c>
      <c r="K899">
        <v>570</v>
      </c>
      <c r="P899">
        <v>20</v>
      </c>
      <c r="Q899">
        <v>245</v>
      </c>
      <c r="R899">
        <v>97</v>
      </c>
      <c r="S899">
        <v>430</v>
      </c>
      <c r="T899">
        <v>930</v>
      </c>
      <c r="U899">
        <v>510</v>
      </c>
      <c r="V899">
        <v>271</v>
      </c>
      <c r="W899">
        <v>650</v>
      </c>
      <c r="BF899">
        <v>19</v>
      </c>
      <c r="BG899">
        <v>330</v>
      </c>
      <c r="BH899">
        <v>615</v>
      </c>
      <c r="BI899">
        <v>400</v>
      </c>
      <c r="BJ899">
        <v>51</v>
      </c>
      <c r="BK899">
        <v>450</v>
      </c>
      <c r="BL899">
        <v>1370</v>
      </c>
      <c r="BM899">
        <v>520</v>
      </c>
      <c r="BN899">
        <v>62</v>
      </c>
      <c r="BO899">
        <v>220</v>
      </c>
      <c r="BP899">
        <v>62</v>
      </c>
      <c r="BQ899">
        <v>220</v>
      </c>
      <c r="BR899">
        <v>2045</v>
      </c>
      <c r="BS899">
        <v>490</v>
      </c>
    </row>
    <row r="900" spans="1:71" x14ac:dyDescent="0.25">
      <c r="A900" t="s">
        <v>722</v>
      </c>
      <c r="B900">
        <v>2023</v>
      </c>
      <c r="C900">
        <v>6</v>
      </c>
      <c r="D900">
        <v>140</v>
      </c>
      <c r="E900">
        <v>297.5</v>
      </c>
      <c r="F900">
        <v>538</v>
      </c>
      <c r="G900">
        <v>390</v>
      </c>
      <c r="H900">
        <v>127</v>
      </c>
      <c r="I900">
        <v>535</v>
      </c>
      <c r="J900">
        <v>7</v>
      </c>
      <c r="K900">
        <v>520</v>
      </c>
      <c r="P900">
        <v>20</v>
      </c>
      <c r="Q900">
        <v>247.5</v>
      </c>
      <c r="R900">
        <v>148</v>
      </c>
      <c r="S900">
        <v>450</v>
      </c>
      <c r="T900">
        <v>633</v>
      </c>
      <c r="U900">
        <v>550</v>
      </c>
      <c r="V900">
        <v>194</v>
      </c>
      <c r="W900">
        <v>650</v>
      </c>
      <c r="BF900">
        <v>37</v>
      </c>
      <c r="BG900">
        <v>350</v>
      </c>
      <c r="BH900">
        <v>850</v>
      </c>
      <c r="BI900">
        <v>390</v>
      </c>
      <c r="BJ900">
        <v>73</v>
      </c>
      <c r="BK900">
        <v>300</v>
      </c>
      <c r="BL900">
        <v>1070</v>
      </c>
      <c r="BM900">
        <v>540</v>
      </c>
      <c r="BN900">
        <v>80</v>
      </c>
      <c r="BO900">
        <v>222.5</v>
      </c>
      <c r="BP900">
        <v>80</v>
      </c>
      <c r="BQ900">
        <v>222.5</v>
      </c>
      <c r="BR900">
        <v>1995</v>
      </c>
      <c r="BS900">
        <v>470</v>
      </c>
    </row>
    <row r="901" spans="1:71" x14ac:dyDescent="0.25">
      <c r="A901" t="s">
        <v>723</v>
      </c>
      <c r="B901">
        <v>2023</v>
      </c>
      <c r="C901">
        <v>6</v>
      </c>
      <c r="D901">
        <v>12</v>
      </c>
      <c r="E901">
        <v>141</v>
      </c>
      <c r="F901">
        <v>18</v>
      </c>
      <c r="G901">
        <v>250</v>
      </c>
      <c r="H901">
        <v>11</v>
      </c>
      <c r="I901">
        <v>315</v>
      </c>
      <c r="J901">
        <v>315</v>
      </c>
      <c r="K901">
        <v>315</v>
      </c>
      <c r="P901">
        <v>6</v>
      </c>
      <c r="Q901">
        <v>180</v>
      </c>
      <c r="R901">
        <v>31</v>
      </c>
      <c r="S901">
        <v>265</v>
      </c>
      <c r="T901">
        <v>181</v>
      </c>
      <c r="U901">
        <v>305</v>
      </c>
      <c r="V901">
        <v>40</v>
      </c>
      <c r="W901">
        <v>380</v>
      </c>
      <c r="BG901">
        <v>350</v>
      </c>
      <c r="BH901">
        <v>45</v>
      </c>
      <c r="BI901">
        <v>250</v>
      </c>
      <c r="BJ901">
        <v>14</v>
      </c>
      <c r="BK901">
        <v>280</v>
      </c>
      <c r="BL901">
        <v>270</v>
      </c>
      <c r="BM901">
        <v>310</v>
      </c>
      <c r="BN901">
        <v>6</v>
      </c>
      <c r="BO901">
        <v>112</v>
      </c>
      <c r="BP901">
        <v>6</v>
      </c>
      <c r="BQ901">
        <v>112</v>
      </c>
      <c r="BR901">
        <v>320</v>
      </c>
      <c r="BS901">
        <v>300</v>
      </c>
    </row>
    <row r="902" spans="1:71" x14ac:dyDescent="0.25">
      <c r="A902" t="s">
        <v>711</v>
      </c>
      <c r="B902">
        <v>2023</v>
      </c>
      <c r="C902">
        <v>9</v>
      </c>
      <c r="E902">
        <v>310</v>
      </c>
      <c r="F902">
        <v>9</v>
      </c>
      <c r="G902">
        <v>420</v>
      </c>
      <c r="H902">
        <v>30</v>
      </c>
      <c r="I902">
        <v>450</v>
      </c>
      <c r="K902">
        <v>330.49</v>
      </c>
      <c r="Q902">
        <v>375</v>
      </c>
      <c r="R902">
        <v>18</v>
      </c>
      <c r="S902">
        <v>455</v>
      </c>
      <c r="T902">
        <v>145</v>
      </c>
      <c r="U902">
        <v>510</v>
      </c>
      <c r="V902">
        <v>78</v>
      </c>
      <c r="W902">
        <v>590</v>
      </c>
      <c r="BG902">
        <v>219.33</v>
      </c>
      <c r="BH902">
        <v>45</v>
      </c>
      <c r="BI902">
        <v>440</v>
      </c>
      <c r="BK902">
        <v>550</v>
      </c>
      <c r="BL902">
        <v>245</v>
      </c>
      <c r="BM902">
        <v>530</v>
      </c>
      <c r="BO902">
        <v>217.5</v>
      </c>
      <c r="BQ902">
        <v>217.5</v>
      </c>
      <c r="BR902">
        <v>295</v>
      </c>
      <c r="BS902">
        <v>520</v>
      </c>
    </row>
    <row r="903" spans="1:71" x14ac:dyDescent="0.25">
      <c r="A903" t="s">
        <v>712</v>
      </c>
      <c r="B903">
        <v>2023</v>
      </c>
      <c r="C903">
        <v>9</v>
      </c>
      <c r="D903">
        <v>6</v>
      </c>
      <c r="E903">
        <v>312.5</v>
      </c>
      <c r="F903">
        <v>18</v>
      </c>
      <c r="G903">
        <v>335</v>
      </c>
      <c r="H903">
        <v>14</v>
      </c>
      <c r="I903">
        <v>405</v>
      </c>
      <c r="J903">
        <v>405</v>
      </c>
      <c r="K903">
        <v>405</v>
      </c>
      <c r="Q903">
        <v>200</v>
      </c>
      <c r="R903">
        <v>10</v>
      </c>
      <c r="S903">
        <v>365</v>
      </c>
      <c r="T903">
        <v>167</v>
      </c>
      <c r="U903">
        <v>435</v>
      </c>
      <c r="V903">
        <v>84</v>
      </c>
      <c r="W903">
        <v>550</v>
      </c>
      <c r="BG903">
        <v>195</v>
      </c>
      <c r="BH903">
        <v>40</v>
      </c>
      <c r="BI903">
        <v>375</v>
      </c>
      <c r="BJ903">
        <v>7</v>
      </c>
      <c r="BK903">
        <v>400</v>
      </c>
      <c r="BL903">
        <v>270</v>
      </c>
      <c r="BM903">
        <v>450</v>
      </c>
      <c r="BO903">
        <v>250</v>
      </c>
      <c r="BQ903">
        <v>250</v>
      </c>
      <c r="BR903">
        <v>315</v>
      </c>
      <c r="BS903">
        <v>450</v>
      </c>
    </row>
    <row r="904" spans="1:71" x14ac:dyDescent="0.25">
      <c r="A904" t="s">
        <v>713</v>
      </c>
      <c r="B904">
        <v>2023</v>
      </c>
      <c r="C904">
        <v>9</v>
      </c>
      <c r="D904">
        <v>1722</v>
      </c>
      <c r="E904">
        <v>379</v>
      </c>
      <c r="F904">
        <v>784</v>
      </c>
      <c r="G904">
        <v>480</v>
      </c>
      <c r="H904">
        <v>209</v>
      </c>
      <c r="I904">
        <v>620</v>
      </c>
      <c r="J904">
        <v>14</v>
      </c>
      <c r="K904">
        <v>725</v>
      </c>
      <c r="P904">
        <v>94</v>
      </c>
      <c r="Q904">
        <v>241.5</v>
      </c>
      <c r="R904">
        <v>149</v>
      </c>
      <c r="S904">
        <v>510</v>
      </c>
      <c r="T904">
        <v>567</v>
      </c>
      <c r="U904">
        <v>600</v>
      </c>
      <c r="V904">
        <v>210</v>
      </c>
      <c r="W904">
        <v>755</v>
      </c>
      <c r="BF904">
        <v>29</v>
      </c>
      <c r="BG904">
        <v>335</v>
      </c>
      <c r="BH904">
        <v>2760</v>
      </c>
      <c r="BI904">
        <v>400</v>
      </c>
      <c r="BJ904">
        <v>27</v>
      </c>
      <c r="BK904">
        <v>304</v>
      </c>
      <c r="BL904">
        <v>1045</v>
      </c>
      <c r="BM904">
        <v>600</v>
      </c>
      <c r="BN904">
        <v>239</v>
      </c>
      <c r="BO904">
        <v>269</v>
      </c>
      <c r="BP904">
        <v>239</v>
      </c>
      <c r="BQ904">
        <v>269</v>
      </c>
      <c r="BR904">
        <v>4045</v>
      </c>
      <c r="BS904">
        <v>435</v>
      </c>
    </row>
    <row r="905" spans="1:71" x14ac:dyDescent="0.25">
      <c r="A905" t="s">
        <v>714</v>
      </c>
      <c r="B905">
        <v>2023</v>
      </c>
      <c r="C905">
        <v>9</v>
      </c>
      <c r="D905">
        <v>26</v>
      </c>
      <c r="E905">
        <v>220</v>
      </c>
      <c r="F905">
        <v>46</v>
      </c>
      <c r="G905">
        <v>280</v>
      </c>
      <c r="H905">
        <v>8</v>
      </c>
      <c r="I905">
        <v>380</v>
      </c>
      <c r="K905">
        <v>700</v>
      </c>
      <c r="Q905">
        <v>220</v>
      </c>
      <c r="R905">
        <v>21</v>
      </c>
      <c r="S905">
        <v>270</v>
      </c>
      <c r="T905">
        <v>186</v>
      </c>
      <c r="U905">
        <v>320</v>
      </c>
      <c r="V905">
        <v>49</v>
      </c>
      <c r="W905">
        <v>440</v>
      </c>
      <c r="BF905">
        <v>700</v>
      </c>
      <c r="BG905">
        <v>700</v>
      </c>
      <c r="BH905">
        <v>80</v>
      </c>
      <c r="BI905">
        <v>270</v>
      </c>
      <c r="BK905">
        <v>160</v>
      </c>
      <c r="BL905">
        <v>265</v>
      </c>
      <c r="BM905">
        <v>330</v>
      </c>
      <c r="BO905">
        <v>230</v>
      </c>
      <c r="BQ905">
        <v>230</v>
      </c>
      <c r="BR905">
        <v>345</v>
      </c>
      <c r="BS905">
        <v>320</v>
      </c>
    </row>
    <row r="906" spans="1:71" x14ac:dyDescent="0.25">
      <c r="A906" t="s">
        <v>715</v>
      </c>
      <c r="B906">
        <v>2023</v>
      </c>
      <c r="C906">
        <v>9</v>
      </c>
      <c r="D906">
        <v>14</v>
      </c>
      <c r="E906">
        <v>165.65</v>
      </c>
      <c r="F906">
        <v>35</v>
      </c>
      <c r="G906">
        <v>260</v>
      </c>
      <c r="H906">
        <v>8</v>
      </c>
      <c r="I906">
        <v>315</v>
      </c>
      <c r="J906">
        <v>315</v>
      </c>
      <c r="K906">
        <v>315</v>
      </c>
      <c r="Q906">
        <v>180</v>
      </c>
      <c r="R906">
        <v>26</v>
      </c>
      <c r="S906">
        <v>280</v>
      </c>
      <c r="T906">
        <v>127</v>
      </c>
      <c r="U906">
        <v>320</v>
      </c>
      <c r="V906">
        <v>28</v>
      </c>
      <c r="W906">
        <v>450</v>
      </c>
      <c r="BG906">
        <v>280</v>
      </c>
      <c r="BH906">
        <v>60</v>
      </c>
      <c r="BI906">
        <v>250</v>
      </c>
      <c r="BK906">
        <v>360</v>
      </c>
      <c r="BL906">
        <v>185</v>
      </c>
      <c r="BM906">
        <v>320</v>
      </c>
      <c r="BO906">
        <v>250</v>
      </c>
      <c r="BQ906">
        <v>250</v>
      </c>
      <c r="BR906">
        <v>250</v>
      </c>
      <c r="BS906">
        <v>305</v>
      </c>
    </row>
    <row r="907" spans="1:71" x14ac:dyDescent="0.25">
      <c r="A907" t="s">
        <v>716</v>
      </c>
      <c r="B907">
        <v>2023</v>
      </c>
      <c r="C907">
        <v>9</v>
      </c>
      <c r="D907">
        <v>16</v>
      </c>
      <c r="E907">
        <v>242.5</v>
      </c>
      <c r="F907">
        <v>29</v>
      </c>
      <c r="G907">
        <v>310</v>
      </c>
      <c r="H907">
        <v>12</v>
      </c>
      <c r="I907">
        <v>450</v>
      </c>
      <c r="K907">
        <v>294.2</v>
      </c>
      <c r="Q907">
        <v>330</v>
      </c>
      <c r="R907">
        <v>24</v>
      </c>
      <c r="S907">
        <v>377.5</v>
      </c>
      <c r="T907">
        <v>107</v>
      </c>
      <c r="U907">
        <v>420</v>
      </c>
      <c r="V907">
        <v>50</v>
      </c>
      <c r="W907">
        <v>507.5</v>
      </c>
      <c r="BF907">
        <v>294.2</v>
      </c>
      <c r="BG907">
        <v>294.2</v>
      </c>
      <c r="BH907">
        <v>60</v>
      </c>
      <c r="BI907">
        <v>305</v>
      </c>
      <c r="BK907">
        <v>400</v>
      </c>
      <c r="BL907">
        <v>190</v>
      </c>
      <c r="BM907">
        <v>430</v>
      </c>
      <c r="BO907">
        <v>220</v>
      </c>
      <c r="BQ907">
        <v>220</v>
      </c>
      <c r="BR907">
        <v>250</v>
      </c>
      <c r="BS907">
        <v>400</v>
      </c>
    </row>
    <row r="908" spans="1:71" x14ac:dyDescent="0.25">
      <c r="A908" t="s">
        <v>717</v>
      </c>
      <c r="B908">
        <v>2023</v>
      </c>
      <c r="C908">
        <v>9</v>
      </c>
      <c r="D908">
        <v>20</v>
      </c>
      <c r="E908">
        <v>190</v>
      </c>
      <c r="F908">
        <v>61</v>
      </c>
      <c r="G908">
        <v>250</v>
      </c>
      <c r="H908">
        <v>40</v>
      </c>
      <c r="I908">
        <v>305.8</v>
      </c>
      <c r="K908">
        <v>630</v>
      </c>
      <c r="Q908">
        <v>110.9</v>
      </c>
      <c r="R908">
        <v>25</v>
      </c>
      <c r="S908">
        <v>295</v>
      </c>
      <c r="T908">
        <v>260</v>
      </c>
      <c r="U908">
        <v>350</v>
      </c>
      <c r="V908">
        <v>53</v>
      </c>
      <c r="W908">
        <v>400</v>
      </c>
      <c r="BG908">
        <v>250</v>
      </c>
      <c r="BH908">
        <v>125</v>
      </c>
      <c r="BI908">
        <v>250</v>
      </c>
      <c r="BJ908">
        <v>11</v>
      </c>
      <c r="BK908">
        <v>350</v>
      </c>
      <c r="BL908">
        <v>350</v>
      </c>
      <c r="BM908">
        <v>350</v>
      </c>
      <c r="BN908">
        <v>350</v>
      </c>
      <c r="BO908">
        <v>350</v>
      </c>
      <c r="BP908">
        <v>350</v>
      </c>
      <c r="BQ908">
        <v>350</v>
      </c>
      <c r="BR908">
        <v>475</v>
      </c>
      <c r="BS908">
        <v>320</v>
      </c>
    </row>
    <row r="909" spans="1:71" x14ac:dyDescent="0.25">
      <c r="A909" t="s">
        <v>725</v>
      </c>
      <c r="B909">
        <v>2023</v>
      </c>
      <c r="C909">
        <v>9</v>
      </c>
      <c r="D909">
        <v>1995</v>
      </c>
      <c r="E909">
        <v>369</v>
      </c>
      <c r="F909">
        <v>1910</v>
      </c>
      <c r="G909">
        <v>430</v>
      </c>
      <c r="H909">
        <v>543</v>
      </c>
      <c r="I909">
        <v>550</v>
      </c>
      <c r="J909">
        <v>31</v>
      </c>
      <c r="K909">
        <v>550</v>
      </c>
      <c r="P909">
        <v>184</v>
      </c>
      <c r="Q909">
        <v>240</v>
      </c>
      <c r="R909">
        <v>560</v>
      </c>
      <c r="S909">
        <v>460</v>
      </c>
      <c r="T909">
        <v>3714</v>
      </c>
      <c r="U909">
        <v>525</v>
      </c>
      <c r="V909">
        <v>1075</v>
      </c>
      <c r="W909">
        <v>620</v>
      </c>
      <c r="BF909">
        <v>93</v>
      </c>
      <c r="BG909">
        <v>360</v>
      </c>
      <c r="BH909">
        <v>4570</v>
      </c>
      <c r="BI909">
        <v>400</v>
      </c>
      <c r="BJ909">
        <v>204</v>
      </c>
      <c r="BK909">
        <v>450</v>
      </c>
      <c r="BL909">
        <v>5735</v>
      </c>
      <c r="BM909">
        <v>530</v>
      </c>
      <c r="BN909">
        <v>487</v>
      </c>
      <c r="BO909">
        <v>245</v>
      </c>
      <c r="BP909">
        <v>487</v>
      </c>
      <c r="BQ909">
        <v>245</v>
      </c>
      <c r="BR909">
        <v>10795</v>
      </c>
      <c r="BS909">
        <v>470</v>
      </c>
    </row>
    <row r="910" spans="1:71" x14ac:dyDescent="0.25">
      <c r="A910" t="s">
        <v>718</v>
      </c>
      <c r="B910">
        <v>2023</v>
      </c>
      <c r="C910">
        <v>9</v>
      </c>
      <c r="D910">
        <v>13</v>
      </c>
      <c r="E910">
        <v>200</v>
      </c>
      <c r="F910">
        <v>40</v>
      </c>
      <c r="G910">
        <v>250</v>
      </c>
      <c r="I910">
        <v>352.5</v>
      </c>
      <c r="J910">
        <v>352.5</v>
      </c>
      <c r="K910">
        <v>352.5</v>
      </c>
      <c r="P910">
        <v>11</v>
      </c>
      <c r="Q910">
        <v>200</v>
      </c>
      <c r="R910">
        <v>29</v>
      </c>
      <c r="S910">
        <v>300</v>
      </c>
      <c r="T910">
        <v>200</v>
      </c>
      <c r="U910">
        <v>377.5</v>
      </c>
      <c r="V910">
        <v>63</v>
      </c>
      <c r="W910">
        <v>430</v>
      </c>
      <c r="BG910">
        <v>210</v>
      </c>
      <c r="BH910">
        <v>60</v>
      </c>
      <c r="BI910">
        <v>245</v>
      </c>
      <c r="BJ910">
        <v>17</v>
      </c>
      <c r="BK910">
        <v>325</v>
      </c>
      <c r="BL910">
        <v>320</v>
      </c>
      <c r="BM910">
        <v>367.5</v>
      </c>
      <c r="BN910">
        <v>13</v>
      </c>
      <c r="BO910">
        <v>231</v>
      </c>
      <c r="BP910">
        <v>13</v>
      </c>
      <c r="BQ910">
        <v>231</v>
      </c>
      <c r="BR910">
        <v>395</v>
      </c>
      <c r="BS910">
        <v>345</v>
      </c>
    </row>
    <row r="911" spans="1:71" x14ac:dyDescent="0.25">
      <c r="A911" t="s">
        <v>719</v>
      </c>
      <c r="B911">
        <v>2023</v>
      </c>
      <c r="C911">
        <v>9</v>
      </c>
      <c r="D911">
        <v>77</v>
      </c>
      <c r="E911">
        <v>250</v>
      </c>
      <c r="F911">
        <v>286</v>
      </c>
      <c r="G911">
        <v>370</v>
      </c>
      <c r="H911">
        <v>107</v>
      </c>
      <c r="I911">
        <v>460</v>
      </c>
      <c r="K911">
        <v>550</v>
      </c>
      <c r="P911">
        <v>37</v>
      </c>
      <c r="Q911">
        <v>190</v>
      </c>
      <c r="R911">
        <v>132</v>
      </c>
      <c r="S911">
        <v>400</v>
      </c>
      <c r="T911">
        <v>1620</v>
      </c>
      <c r="U911">
        <v>480</v>
      </c>
      <c r="V911">
        <v>421</v>
      </c>
      <c r="W911">
        <v>550</v>
      </c>
      <c r="BF911">
        <v>23</v>
      </c>
      <c r="BG911">
        <v>360</v>
      </c>
      <c r="BH911">
        <v>495</v>
      </c>
      <c r="BI911">
        <v>380</v>
      </c>
      <c r="BJ911">
        <v>112</v>
      </c>
      <c r="BK911">
        <v>450</v>
      </c>
      <c r="BL911">
        <v>2320</v>
      </c>
      <c r="BM911">
        <v>490</v>
      </c>
      <c r="BN911">
        <v>111</v>
      </c>
      <c r="BO911">
        <v>250</v>
      </c>
      <c r="BP911">
        <v>111</v>
      </c>
      <c r="BQ911">
        <v>250</v>
      </c>
      <c r="BR911">
        <v>2930</v>
      </c>
      <c r="BS911">
        <v>465</v>
      </c>
    </row>
    <row r="912" spans="1:71" x14ac:dyDescent="0.25">
      <c r="A912" t="s">
        <v>726</v>
      </c>
      <c r="B912">
        <v>2023</v>
      </c>
      <c r="C912">
        <v>9</v>
      </c>
      <c r="D912">
        <v>110</v>
      </c>
      <c r="E912">
        <v>220</v>
      </c>
      <c r="F912">
        <v>255</v>
      </c>
      <c r="G912">
        <v>270</v>
      </c>
      <c r="H912">
        <v>124</v>
      </c>
      <c r="I912">
        <v>375</v>
      </c>
      <c r="K912">
        <v>550</v>
      </c>
      <c r="P912">
        <v>36</v>
      </c>
      <c r="Q912">
        <v>215</v>
      </c>
      <c r="R912">
        <v>197</v>
      </c>
      <c r="S912">
        <v>300</v>
      </c>
      <c r="T912">
        <v>1381</v>
      </c>
      <c r="U912">
        <v>375</v>
      </c>
      <c r="V912">
        <v>446</v>
      </c>
      <c r="W912">
        <v>487.5</v>
      </c>
      <c r="BF912">
        <v>14</v>
      </c>
      <c r="BG912">
        <v>220</v>
      </c>
      <c r="BH912">
        <v>510</v>
      </c>
      <c r="BI912">
        <v>280</v>
      </c>
      <c r="BJ912">
        <v>57</v>
      </c>
      <c r="BK912">
        <v>350</v>
      </c>
      <c r="BL912">
        <v>2115</v>
      </c>
      <c r="BM912">
        <v>380</v>
      </c>
      <c r="BN912">
        <v>27</v>
      </c>
      <c r="BO912">
        <v>230</v>
      </c>
      <c r="BP912">
        <v>27</v>
      </c>
      <c r="BQ912">
        <v>230</v>
      </c>
      <c r="BR912">
        <v>2650</v>
      </c>
      <c r="BS912">
        <v>352</v>
      </c>
    </row>
    <row r="913" spans="1:71" x14ac:dyDescent="0.25">
      <c r="A913" t="s">
        <v>721</v>
      </c>
      <c r="B913">
        <v>2023</v>
      </c>
      <c r="C913">
        <v>9</v>
      </c>
      <c r="D913">
        <v>84</v>
      </c>
      <c r="E913">
        <v>330</v>
      </c>
      <c r="F913">
        <v>363</v>
      </c>
      <c r="G913">
        <v>420</v>
      </c>
      <c r="H913">
        <v>120</v>
      </c>
      <c r="I913">
        <v>500</v>
      </c>
      <c r="J913">
        <v>8</v>
      </c>
      <c r="K913">
        <v>545</v>
      </c>
      <c r="P913">
        <v>29</v>
      </c>
      <c r="Q913">
        <v>235</v>
      </c>
      <c r="R913">
        <v>125</v>
      </c>
      <c r="S913">
        <v>450</v>
      </c>
      <c r="T913">
        <v>880</v>
      </c>
      <c r="U913">
        <v>530</v>
      </c>
      <c r="V913">
        <v>279</v>
      </c>
      <c r="W913">
        <v>625</v>
      </c>
      <c r="BF913">
        <v>10</v>
      </c>
      <c r="BG913">
        <v>325</v>
      </c>
      <c r="BH913">
        <v>585</v>
      </c>
      <c r="BI913">
        <v>420</v>
      </c>
      <c r="BJ913">
        <v>30</v>
      </c>
      <c r="BK913">
        <v>465</v>
      </c>
      <c r="BL913">
        <v>1345</v>
      </c>
      <c r="BM913">
        <v>540</v>
      </c>
      <c r="BN913">
        <v>79</v>
      </c>
      <c r="BO913">
        <v>200</v>
      </c>
      <c r="BP913">
        <v>79</v>
      </c>
      <c r="BQ913">
        <v>200</v>
      </c>
      <c r="BR913">
        <v>2005</v>
      </c>
      <c r="BS913">
        <v>500</v>
      </c>
    </row>
    <row r="914" spans="1:71" x14ac:dyDescent="0.25">
      <c r="A914" t="s">
        <v>722</v>
      </c>
      <c r="B914">
        <v>2023</v>
      </c>
      <c r="C914">
        <v>9</v>
      </c>
      <c r="D914">
        <v>112</v>
      </c>
      <c r="E914">
        <v>300</v>
      </c>
      <c r="F914">
        <v>477</v>
      </c>
      <c r="G914">
        <v>410</v>
      </c>
      <c r="H914">
        <v>107</v>
      </c>
      <c r="I914">
        <v>550</v>
      </c>
      <c r="J914">
        <v>6</v>
      </c>
      <c r="K914">
        <v>502.5</v>
      </c>
      <c r="P914">
        <v>24</v>
      </c>
      <c r="Q914">
        <v>262.5</v>
      </c>
      <c r="R914">
        <v>154</v>
      </c>
      <c r="S914">
        <v>470</v>
      </c>
      <c r="T914">
        <v>647</v>
      </c>
      <c r="U914">
        <v>560</v>
      </c>
      <c r="V914">
        <v>165</v>
      </c>
      <c r="W914">
        <v>690</v>
      </c>
      <c r="BF914">
        <v>31</v>
      </c>
      <c r="BG914">
        <v>400</v>
      </c>
      <c r="BH914">
        <v>735</v>
      </c>
      <c r="BI914">
        <v>410</v>
      </c>
      <c r="BJ914">
        <v>35</v>
      </c>
      <c r="BK914">
        <v>480</v>
      </c>
      <c r="BL914">
        <v>1025</v>
      </c>
      <c r="BM914">
        <v>550</v>
      </c>
      <c r="BN914">
        <v>58</v>
      </c>
      <c r="BO914">
        <v>230</v>
      </c>
      <c r="BP914">
        <v>58</v>
      </c>
      <c r="BQ914">
        <v>230</v>
      </c>
      <c r="BR914">
        <v>1815</v>
      </c>
      <c r="BS914">
        <v>495</v>
      </c>
    </row>
    <row r="915" spans="1:71" x14ac:dyDescent="0.25">
      <c r="A915" t="s">
        <v>723</v>
      </c>
      <c r="B915">
        <v>2023</v>
      </c>
      <c r="C915">
        <v>9</v>
      </c>
      <c r="D915">
        <v>11</v>
      </c>
      <c r="E915">
        <v>200</v>
      </c>
      <c r="F915">
        <v>17</v>
      </c>
      <c r="G915">
        <v>250</v>
      </c>
      <c r="H915">
        <v>8</v>
      </c>
      <c r="I915">
        <v>315</v>
      </c>
      <c r="J915">
        <v>315</v>
      </c>
      <c r="K915">
        <v>315</v>
      </c>
      <c r="Q915">
        <v>230</v>
      </c>
      <c r="R915">
        <v>44</v>
      </c>
      <c r="S915">
        <v>282.5</v>
      </c>
      <c r="T915">
        <v>189</v>
      </c>
      <c r="U915">
        <v>330</v>
      </c>
      <c r="V915">
        <v>41</v>
      </c>
      <c r="W915">
        <v>400</v>
      </c>
      <c r="BG915">
        <v>220</v>
      </c>
      <c r="BH915">
        <v>35</v>
      </c>
      <c r="BI915">
        <v>250</v>
      </c>
      <c r="BJ915">
        <v>10</v>
      </c>
      <c r="BK915">
        <v>310</v>
      </c>
      <c r="BL915">
        <v>290</v>
      </c>
      <c r="BM915">
        <v>330</v>
      </c>
      <c r="BO915">
        <v>112</v>
      </c>
      <c r="BQ915">
        <v>112</v>
      </c>
      <c r="BR915">
        <v>330</v>
      </c>
      <c r="BS915">
        <v>320</v>
      </c>
    </row>
    <row r="916" spans="1:71" x14ac:dyDescent="0.25">
      <c r="A916" t="s">
        <v>711</v>
      </c>
      <c r="B916">
        <v>2023</v>
      </c>
      <c r="C916">
        <v>12</v>
      </c>
      <c r="D916">
        <v>6</v>
      </c>
      <c r="E916">
        <v>375</v>
      </c>
      <c r="F916">
        <v>18</v>
      </c>
      <c r="G916">
        <v>367.5</v>
      </c>
      <c r="H916">
        <v>28</v>
      </c>
      <c r="I916">
        <v>460</v>
      </c>
      <c r="K916">
        <v>580</v>
      </c>
      <c r="Q916">
        <v>257.5</v>
      </c>
      <c r="R916">
        <v>17</v>
      </c>
      <c r="S916">
        <v>420</v>
      </c>
      <c r="T916">
        <v>190</v>
      </c>
      <c r="U916">
        <v>510</v>
      </c>
      <c r="V916">
        <v>98</v>
      </c>
      <c r="W916">
        <v>622.5</v>
      </c>
      <c r="BG916">
        <v>225</v>
      </c>
      <c r="BH916">
        <v>55</v>
      </c>
      <c r="BI916">
        <v>430</v>
      </c>
      <c r="BK916">
        <v>490</v>
      </c>
      <c r="BL916">
        <v>310</v>
      </c>
      <c r="BM916">
        <v>530</v>
      </c>
      <c r="BO916">
        <v>175</v>
      </c>
      <c r="BQ916">
        <v>175</v>
      </c>
      <c r="BR916">
        <v>370</v>
      </c>
      <c r="BS916">
        <v>520</v>
      </c>
    </row>
    <row r="917" spans="1:71" x14ac:dyDescent="0.25">
      <c r="A917" t="s">
        <v>712</v>
      </c>
      <c r="B917">
        <v>2023</v>
      </c>
      <c r="C917">
        <v>12</v>
      </c>
      <c r="E917">
        <v>280</v>
      </c>
      <c r="F917">
        <v>22</v>
      </c>
      <c r="G917">
        <v>340</v>
      </c>
      <c r="H917">
        <v>11</v>
      </c>
      <c r="I917">
        <v>400</v>
      </c>
      <c r="K917">
        <v>502.5</v>
      </c>
      <c r="Q917">
        <v>230</v>
      </c>
      <c r="R917">
        <v>16</v>
      </c>
      <c r="S917">
        <v>400</v>
      </c>
      <c r="T917">
        <v>173</v>
      </c>
      <c r="U917">
        <v>440</v>
      </c>
      <c r="V917">
        <v>69</v>
      </c>
      <c r="W917">
        <v>580</v>
      </c>
      <c r="BG917">
        <v>260</v>
      </c>
      <c r="BH917">
        <v>45</v>
      </c>
      <c r="BI917">
        <v>350</v>
      </c>
      <c r="BK917">
        <v>380</v>
      </c>
      <c r="BL917">
        <v>265</v>
      </c>
      <c r="BM917">
        <v>470</v>
      </c>
      <c r="BO917">
        <v>180</v>
      </c>
      <c r="BQ917">
        <v>180</v>
      </c>
      <c r="BR917">
        <v>310</v>
      </c>
      <c r="BS917">
        <v>450</v>
      </c>
    </row>
    <row r="918" spans="1:71" x14ac:dyDescent="0.25">
      <c r="A918" t="s">
        <v>713</v>
      </c>
      <c r="B918">
        <v>2023</v>
      </c>
      <c r="C918">
        <v>12</v>
      </c>
      <c r="D918">
        <v>807</v>
      </c>
      <c r="E918">
        <v>389</v>
      </c>
      <c r="F918">
        <v>722</v>
      </c>
      <c r="G918">
        <v>480</v>
      </c>
      <c r="H918">
        <v>217</v>
      </c>
      <c r="I918">
        <v>630</v>
      </c>
      <c r="J918">
        <v>9</v>
      </c>
      <c r="K918">
        <v>750</v>
      </c>
      <c r="P918">
        <v>65</v>
      </c>
      <c r="Q918">
        <v>210</v>
      </c>
      <c r="R918">
        <v>168</v>
      </c>
      <c r="S918">
        <v>530</v>
      </c>
      <c r="T918">
        <v>539</v>
      </c>
      <c r="U918">
        <v>630</v>
      </c>
      <c r="V918">
        <v>235</v>
      </c>
      <c r="W918">
        <v>825</v>
      </c>
      <c r="BF918">
        <v>26</v>
      </c>
      <c r="BG918">
        <v>402.5</v>
      </c>
      <c r="BH918">
        <v>1780</v>
      </c>
      <c r="BI918">
        <v>450</v>
      </c>
      <c r="BJ918">
        <v>36</v>
      </c>
      <c r="BK918">
        <v>400</v>
      </c>
      <c r="BL918">
        <v>1045</v>
      </c>
      <c r="BM918">
        <v>620</v>
      </c>
      <c r="BN918">
        <v>125</v>
      </c>
      <c r="BO918">
        <v>259</v>
      </c>
      <c r="BP918">
        <v>125</v>
      </c>
      <c r="BQ918">
        <v>259</v>
      </c>
      <c r="BR918">
        <v>2950</v>
      </c>
      <c r="BS918">
        <v>500</v>
      </c>
    </row>
    <row r="919" spans="1:71" x14ac:dyDescent="0.25">
      <c r="A919" t="s">
        <v>714</v>
      </c>
      <c r="B919">
        <v>2023</v>
      </c>
      <c r="C919">
        <v>12</v>
      </c>
      <c r="D919">
        <v>25</v>
      </c>
      <c r="E919">
        <v>250</v>
      </c>
      <c r="F919">
        <v>34</v>
      </c>
      <c r="G919">
        <v>265</v>
      </c>
      <c r="H919">
        <v>16</v>
      </c>
      <c r="I919">
        <v>550</v>
      </c>
      <c r="K919">
        <v>615</v>
      </c>
      <c r="P919">
        <v>6</v>
      </c>
      <c r="Q919">
        <v>245</v>
      </c>
      <c r="R919">
        <v>40</v>
      </c>
      <c r="S919">
        <v>280</v>
      </c>
      <c r="T919">
        <v>177</v>
      </c>
      <c r="U919">
        <v>350</v>
      </c>
      <c r="V919">
        <v>36</v>
      </c>
      <c r="W919">
        <v>520</v>
      </c>
      <c r="BG919">
        <v>240</v>
      </c>
      <c r="BH919">
        <v>80</v>
      </c>
      <c r="BI919">
        <v>280</v>
      </c>
      <c r="BJ919">
        <v>9</v>
      </c>
      <c r="BK919">
        <v>250</v>
      </c>
      <c r="BL919">
        <v>270</v>
      </c>
      <c r="BM919">
        <v>350</v>
      </c>
      <c r="BN919">
        <v>16</v>
      </c>
      <c r="BO919">
        <v>252.5</v>
      </c>
      <c r="BP919">
        <v>16</v>
      </c>
      <c r="BQ919">
        <v>252.5</v>
      </c>
      <c r="BR919">
        <v>365</v>
      </c>
      <c r="BS919">
        <v>330</v>
      </c>
    </row>
    <row r="920" spans="1:71" x14ac:dyDescent="0.25">
      <c r="A920" t="s">
        <v>715</v>
      </c>
      <c r="B920">
        <v>2023</v>
      </c>
      <c r="C920">
        <v>12</v>
      </c>
      <c r="D920">
        <v>9</v>
      </c>
      <c r="E920">
        <v>250</v>
      </c>
      <c r="F920">
        <v>28</v>
      </c>
      <c r="G920">
        <v>260</v>
      </c>
      <c r="I920">
        <v>247.5</v>
      </c>
      <c r="K920">
        <v>390</v>
      </c>
      <c r="Q920">
        <v>203</v>
      </c>
      <c r="R920">
        <v>16</v>
      </c>
      <c r="S920">
        <v>265</v>
      </c>
      <c r="T920">
        <v>115</v>
      </c>
      <c r="U920">
        <v>330</v>
      </c>
      <c r="V920">
        <v>29</v>
      </c>
      <c r="W920">
        <v>430</v>
      </c>
      <c r="BG920">
        <v>350</v>
      </c>
      <c r="BH920">
        <v>45</v>
      </c>
      <c r="BI920">
        <v>260</v>
      </c>
      <c r="BK920">
        <v>245.5</v>
      </c>
      <c r="BL920">
        <v>165</v>
      </c>
      <c r="BM920">
        <v>320</v>
      </c>
      <c r="BO920">
        <v>172.5</v>
      </c>
      <c r="BQ920">
        <v>172.5</v>
      </c>
      <c r="BR920">
        <v>210</v>
      </c>
      <c r="BS920">
        <v>310</v>
      </c>
    </row>
    <row r="921" spans="1:71" x14ac:dyDescent="0.25">
      <c r="A921" t="s">
        <v>716</v>
      </c>
      <c r="B921">
        <v>2023</v>
      </c>
      <c r="C921">
        <v>12</v>
      </c>
      <c r="D921">
        <v>12</v>
      </c>
      <c r="E921">
        <v>275</v>
      </c>
      <c r="F921">
        <v>26</v>
      </c>
      <c r="G921">
        <v>300</v>
      </c>
      <c r="H921">
        <v>7</v>
      </c>
      <c r="I921">
        <v>440</v>
      </c>
      <c r="K921">
        <v>530</v>
      </c>
      <c r="Q921">
        <v>285</v>
      </c>
      <c r="R921">
        <v>21</v>
      </c>
      <c r="S921">
        <v>380</v>
      </c>
      <c r="T921">
        <v>100</v>
      </c>
      <c r="U921">
        <v>450</v>
      </c>
      <c r="V921">
        <v>49</v>
      </c>
      <c r="W921">
        <v>520</v>
      </c>
      <c r="BG921">
        <v>295</v>
      </c>
      <c r="BH921">
        <v>50</v>
      </c>
      <c r="BI921">
        <v>300</v>
      </c>
      <c r="BK921">
        <v>385</v>
      </c>
      <c r="BL921">
        <v>175</v>
      </c>
      <c r="BM921">
        <v>450</v>
      </c>
      <c r="BN921">
        <v>450</v>
      </c>
      <c r="BO921">
        <v>450</v>
      </c>
      <c r="BP921">
        <v>450</v>
      </c>
      <c r="BQ921">
        <v>450</v>
      </c>
      <c r="BR921">
        <v>225</v>
      </c>
      <c r="BS921">
        <v>430</v>
      </c>
    </row>
    <row r="922" spans="1:71" x14ac:dyDescent="0.25">
      <c r="A922" t="s">
        <v>717</v>
      </c>
      <c r="B922">
        <v>2023</v>
      </c>
      <c r="C922">
        <v>12</v>
      </c>
      <c r="D922">
        <v>18</v>
      </c>
      <c r="E922">
        <v>197.5</v>
      </c>
      <c r="F922">
        <v>75</v>
      </c>
      <c r="G922">
        <v>250</v>
      </c>
      <c r="H922">
        <v>23</v>
      </c>
      <c r="I922">
        <v>380</v>
      </c>
      <c r="J922">
        <v>380</v>
      </c>
      <c r="K922">
        <v>380</v>
      </c>
      <c r="Q922">
        <v>285</v>
      </c>
      <c r="R922">
        <v>48</v>
      </c>
      <c r="S922">
        <v>300</v>
      </c>
      <c r="T922">
        <v>205</v>
      </c>
      <c r="U922">
        <v>350</v>
      </c>
      <c r="V922">
        <v>59</v>
      </c>
      <c r="W922">
        <v>450</v>
      </c>
      <c r="BG922">
        <v>176.25</v>
      </c>
      <c r="BH922">
        <v>120</v>
      </c>
      <c r="BI922">
        <v>260</v>
      </c>
      <c r="BK922">
        <v>285</v>
      </c>
      <c r="BL922">
        <v>320</v>
      </c>
      <c r="BM922">
        <v>350</v>
      </c>
      <c r="BN922">
        <v>350</v>
      </c>
      <c r="BO922">
        <v>350</v>
      </c>
      <c r="BP922">
        <v>350</v>
      </c>
      <c r="BQ922">
        <v>350</v>
      </c>
      <c r="BR922">
        <v>435</v>
      </c>
      <c r="BS922">
        <v>330</v>
      </c>
    </row>
    <row r="923" spans="1:71" x14ac:dyDescent="0.25">
      <c r="A923" t="s">
        <v>725</v>
      </c>
      <c r="B923">
        <v>2023</v>
      </c>
      <c r="C923">
        <v>12</v>
      </c>
      <c r="D923">
        <v>1035</v>
      </c>
      <c r="E923">
        <v>370</v>
      </c>
      <c r="F923">
        <v>1830</v>
      </c>
      <c r="G923">
        <v>430</v>
      </c>
      <c r="H923">
        <v>653</v>
      </c>
      <c r="I923">
        <v>550</v>
      </c>
      <c r="J923">
        <v>26</v>
      </c>
      <c r="K923">
        <v>670</v>
      </c>
      <c r="P923">
        <v>154</v>
      </c>
      <c r="Q923">
        <v>230</v>
      </c>
      <c r="R923">
        <v>559</v>
      </c>
      <c r="S923">
        <v>460</v>
      </c>
      <c r="T923">
        <v>3919</v>
      </c>
      <c r="U923">
        <v>540</v>
      </c>
      <c r="V923">
        <v>1157</v>
      </c>
      <c r="W923">
        <v>630</v>
      </c>
      <c r="BF923">
        <v>96</v>
      </c>
      <c r="BG923">
        <v>350</v>
      </c>
      <c r="BH923">
        <v>3640</v>
      </c>
      <c r="BI923">
        <v>430</v>
      </c>
      <c r="BJ923">
        <v>218</v>
      </c>
      <c r="BK923">
        <v>425</v>
      </c>
      <c r="BL923">
        <v>6005</v>
      </c>
      <c r="BM923">
        <v>545</v>
      </c>
      <c r="BN923">
        <v>321</v>
      </c>
      <c r="BO923">
        <v>250</v>
      </c>
      <c r="BP923">
        <v>321</v>
      </c>
      <c r="BQ923">
        <v>250</v>
      </c>
      <c r="BR923">
        <v>9970</v>
      </c>
      <c r="BS923">
        <v>500</v>
      </c>
    </row>
    <row r="924" spans="1:71" x14ac:dyDescent="0.25">
      <c r="A924" t="s">
        <v>718</v>
      </c>
      <c r="B924">
        <v>2023</v>
      </c>
      <c r="C924">
        <v>12</v>
      </c>
      <c r="D924">
        <v>17</v>
      </c>
      <c r="E924">
        <v>210</v>
      </c>
      <c r="F924">
        <v>43</v>
      </c>
      <c r="G924">
        <v>260</v>
      </c>
      <c r="H924">
        <v>13</v>
      </c>
      <c r="I924">
        <v>380</v>
      </c>
      <c r="J924">
        <v>380</v>
      </c>
      <c r="K924">
        <v>380</v>
      </c>
      <c r="P924">
        <v>9</v>
      </c>
      <c r="Q924">
        <v>200</v>
      </c>
      <c r="R924">
        <v>27</v>
      </c>
      <c r="S924">
        <v>245</v>
      </c>
      <c r="T924">
        <v>198</v>
      </c>
      <c r="U924">
        <v>360</v>
      </c>
      <c r="V924">
        <v>52</v>
      </c>
      <c r="W924">
        <v>450</v>
      </c>
      <c r="BF924">
        <v>9</v>
      </c>
      <c r="BG924">
        <v>260</v>
      </c>
      <c r="BH924">
        <v>80</v>
      </c>
      <c r="BI924">
        <v>260</v>
      </c>
      <c r="BJ924">
        <v>14</v>
      </c>
      <c r="BK924">
        <v>330</v>
      </c>
      <c r="BL924">
        <v>300</v>
      </c>
      <c r="BM924">
        <v>350</v>
      </c>
      <c r="BO924">
        <v>250</v>
      </c>
      <c r="BQ924">
        <v>250</v>
      </c>
      <c r="BR924">
        <v>385</v>
      </c>
      <c r="BS924">
        <v>340</v>
      </c>
    </row>
    <row r="925" spans="1:71" x14ac:dyDescent="0.25">
      <c r="A925" t="s">
        <v>719</v>
      </c>
      <c r="B925">
        <v>2023</v>
      </c>
      <c r="C925">
        <v>12</v>
      </c>
      <c r="D925">
        <v>75</v>
      </c>
      <c r="E925">
        <v>270</v>
      </c>
      <c r="F925">
        <v>273</v>
      </c>
      <c r="G925">
        <v>400</v>
      </c>
      <c r="H925">
        <v>145</v>
      </c>
      <c r="I925">
        <v>470</v>
      </c>
      <c r="J925">
        <v>7</v>
      </c>
      <c r="K925">
        <v>515</v>
      </c>
      <c r="P925">
        <v>30</v>
      </c>
      <c r="Q925">
        <v>223</v>
      </c>
      <c r="R925">
        <v>129</v>
      </c>
      <c r="S925">
        <v>400</v>
      </c>
      <c r="T925">
        <v>1753</v>
      </c>
      <c r="U925">
        <v>500</v>
      </c>
      <c r="V925">
        <v>461</v>
      </c>
      <c r="W925">
        <v>550</v>
      </c>
      <c r="BF925">
        <v>15</v>
      </c>
      <c r="BG925">
        <v>235</v>
      </c>
      <c r="BH925">
        <v>515</v>
      </c>
      <c r="BI925">
        <v>400</v>
      </c>
      <c r="BJ925">
        <v>93</v>
      </c>
      <c r="BK925">
        <v>450</v>
      </c>
      <c r="BL925">
        <v>2465</v>
      </c>
      <c r="BM925">
        <v>500</v>
      </c>
      <c r="BN925">
        <v>71</v>
      </c>
      <c r="BO925">
        <v>255</v>
      </c>
      <c r="BP925">
        <v>71</v>
      </c>
      <c r="BQ925">
        <v>255</v>
      </c>
      <c r="BR925">
        <v>3050</v>
      </c>
      <c r="BS925">
        <v>490</v>
      </c>
    </row>
    <row r="926" spans="1:71" x14ac:dyDescent="0.25">
      <c r="A926" t="s">
        <v>726</v>
      </c>
      <c r="B926">
        <v>2023</v>
      </c>
      <c r="C926">
        <v>12</v>
      </c>
      <c r="D926">
        <v>99</v>
      </c>
      <c r="E926">
        <v>240</v>
      </c>
      <c r="F926">
        <v>263</v>
      </c>
      <c r="G926">
        <v>280</v>
      </c>
      <c r="H926">
        <v>107</v>
      </c>
      <c r="I926">
        <v>415</v>
      </c>
      <c r="J926">
        <v>12</v>
      </c>
      <c r="K926">
        <v>550</v>
      </c>
      <c r="P926">
        <v>37</v>
      </c>
      <c r="Q926">
        <v>225</v>
      </c>
      <c r="R926">
        <v>208</v>
      </c>
      <c r="S926">
        <v>306</v>
      </c>
      <c r="T926">
        <v>1310</v>
      </c>
      <c r="U926">
        <v>390</v>
      </c>
      <c r="V926">
        <v>443</v>
      </c>
      <c r="W926">
        <v>520</v>
      </c>
      <c r="BF926">
        <v>22</v>
      </c>
      <c r="BG926">
        <v>260</v>
      </c>
      <c r="BH926">
        <v>505</v>
      </c>
      <c r="BI926">
        <v>290</v>
      </c>
      <c r="BJ926">
        <v>53</v>
      </c>
      <c r="BK926">
        <v>320</v>
      </c>
      <c r="BL926">
        <v>2050</v>
      </c>
      <c r="BM926">
        <v>400</v>
      </c>
      <c r="BN926">
        <v>30</v>
      </c>
      <c r="BO926">
        <v>245</v>
      </c>
      <c r="BP926">
        <v>30</v>
      </c>
      <c r="BQ926">
        <v>245</v>
      </c>
      <c r="BR926">
        <v>2585</v>
      </c>
      <c r="BS926">
        <v>380</v>
      </c>
    </row>
    <row r="927" spans="1:71" x14ac:dyDescent="0.25">
      <c r="A927" t="s">
        <v>721</v>
      </c>
      <c r="B927">
        <v>2023</v>
      </c>
      <c r="C927">
        <v>12</v>
      </c>
      <c r="D927">
        <v>80</v>
      </c>
      <c r="E927">
        <v>322.5</v>
      </c>
      <c r="F927">
        <v>359</v>
      </c>
      <c r="G927">
        <v>420</v>
      </c>
      <c r="H927">
        <v>149</v>
      </c>
      <c r="I927">
        <v>520</v>
      </c>
      <c r="K927">
        <v>1500</v>
      </c>
      <c r="P927">
        <v>29</v>
      </c>
      <c r="Q927">
        <v>250</v>
      </c>
      <c r="R927">
        <v>121</v>
      </c>
      <c r="S927">
        <v>450</v>
      </c>
      <c r="T927">
        <v>915</v>
      </c>
      <c r="U927">
        <v>540</v>
      </c>
      <c r="V927">
        <v>291</v>
      </c>
      <c r="W927">
        <v>650</v>
      </c>
      <c r="BF927">
        <v>30</v>
      </c>
      <c r="BG927">
        <v>382.5</v>
      </c>
      <c r="BH927">
        <v>620</v>
      </c>
      <c r="BI927">
        <v>420</v>
      </c>
      <c r="BJ927">
        <v>51</v>
      </c>
      <c r="BK927">
        <v>320</v>
      </c>
      <c r="BL927">
        <v>1405</v>
      </c>
      <c r="BM927">
        <v>550</v>
      </c>
      <c r="BN927">
        <v>61</v>
      </c>
      <c r="BO927">
        <v>230</v>
      </c>
      <c r="BP927">
        <v>61</v>
      </c>
      <c r="BQ927">
        <v>230</v>
      </c>
      <c r="BR927">
        <v>2085</v>
      </c>
      <c r="BS927">
        <v>500</v>
      </c>
    </row>
    <row r="928" spans="1:71" x14ac:dyDescent="0.25">
      <c r="A928" t="s">
        <v>722</v>
      </c>
      <c r="B928">
        <v>2023</v>
      </c>
      <c r="C928">
        <v>12</v>
      </c>
      <c r="D928">
        <v>73</v>
      </c>
      <c r="E928">
        <v>350</v>
      </c>
      <c r="F928">
        <v>476</v>
      </c>
      <c r="G928">
        <v>420</v>
      </c>
      <c r="H928">
        <v>142</v>
      </c>
      <c r="I928">
        <v>567.5</v>
      </c>
      <c r="J928">
        <v>9</v>
      </c>
      <c r="K928">
        <v>680</v>
      </c>
      <c r="P928">
        <v>30</v>
      </c>
      <c r="Q928">
        <v>237.5</v>
      </c>
      <c r="R928">
        <v>141</v>
      </c>
      <c r="S928">
        <v>460</v>
      </c>
      <c r="T928">
        <v>712</v>
      </c>
      <c r="U928">
        <v>587.5</v>
      </c>
      <c r="V928">
        <v>170</v>
      </c>
      <c r="W928">
        <v>700</v>
      </c>
      <c r="BF928">
        <v>25</v>
      </c>
      <c r="BG928">
        <v>330</v>
      </c>
      <c r="BH928">
        <v>725</v>
      </c>
      <c r="BI928">
        <v>430</v>
      </c>
      <c r="BJ928">
        <v>38</v>
      </c>
      <c r="BK928">
        <v>430</v>
      </c>
      <c r="BL928">
        <v>1090</v>
      </c>
      <c r="BM928">
        <v>580</v>
      </c>
      <c r="BN928">
        <v>64</v>
      </c>
      <c r="BO928">
        <v>220</v>
      </c>
      <c r="BP928">
        <v>64</v>
      </c>
      <c r="BQ928">
        <v>220</v>
      </c>
      <c r="BR928">
        <v>1880</v>
      </c>
      <c r="BS928">
        <v>500</v>
      </c>
    </row>
    <row r="929" spans="1:71" x14ac:dyDescent="0.25">
      <c r="A929" t="s">
        <v>723</v>
      </c>
      <c r="B929">
        <v>2023</v>
      </c>
      <c r="C929">
        <v>12</v>
      </c>
      <c r="D929">
        <v>7</v>
      </c>
      <c r="E929">
        <v>185</v>
      </c>
      <c r="F929">
        <v>17</v>
      </c>
      <c r="G929">
        <v>250</v>
      </c>
      <c r="I929">
        <v>400</v>
      </c>
      <c r="J929">
        <v>400</v>
      </c>
      <c r="K929">
        <v>400</v>
      </c>
      <c r="P929">
        <v>10</v>
      </c>
      <c r="Q929">
        <v>165</v>
      </c>
      <c r="R929">
        <v>23</v>
      </c>
      <c r="S929">
        <v>280.2</v>
      </c>
      <c r="T929">
        <v>152</v>
      </c>
      <c r="U929">
        <v>340</v>
      </c>
      <c r="V929">
        <v>51</v>
      </c>
      <c r="W929">
        <v>425</v>
      </c>
      <c r="BF929">
        <v>400</v>
      </c>
      <c r="BG929">
        <v>400</v>
      </c>
      <c r="BH929">
        <v>30</v>
      </c>
      <c r="BI929">
        <v>240</v>
      </c>
      <c r="BJ929">
        <v>13</v>
      </c>
      <c r="BK929">
        <v>275</v>
      </c>
      <c r="BL929">
        <v>250</v>
      </c>
      <c r="BM929">
        <v>350</v>
      </c>
      <c r="BO929">
        <v>112</v>
      </c>
      <c r="BQ929">
        <v>112</v>
      </c>
      <c r="BR929">
        <v>285</v>
      </c>
      <c r="BS929">
        <v>340</v>
      </c>
    </row>
    <row r="930" spans="1:71" x14ac:dyDescent="0.25">
      <c r="A930" t="s">
        <v>711</v>
      </c>
      <c r="B930">
        <v>2024</v>
      </c>
      <c r="C930">
        <v>3</v>
      </c>
      <c r="E930">
        <v>390</v>
      </c>
      <c r="F930">
        <v>9</v>
      </c>
      <c r="G930">
        <v>450</v>
      </c>
      <c r="H930">
        <v>33</v>
      </c>
      <c r="I930">
        <v>465</v>
      </c>
      <c r="K930">
        <v>600</v>
      </c>
      <c r="Q930">
        <v>350</v>
      </c>
      <c r="R930">
        <v>24</v>
      </c>
      <c r="S930">
        <v>460</v>
      </c>
      <c r="T930">
        <v>159</v>
      </c>
      <c r="U930">
        <v>520</v>
      </c>
      <c r="V930">
        <v>101</v>
      </c>
      <c r="W930">
        <v>650</v>
      </c>
      <c r="BG930">
        <v>250</v>
      </c>
      <c r="BH930">
        <v>50</v>
      </c>
      <c r="BI930">
        <v>460</v>
      </c>
      <c r="BK930">
        <v>500</v>
      </c>
      <c r="BL930">
        <v>290</v>
      </c>
      <c r="BM930">
        <v>550</v>
      </c>
      <c r="BO930">
        <v>330</v>
      </c>
      <c r="BQ930">
        <v>330</v>
      </c>
      <c r="BR930">
        <v>345</v>
      </c>
      <c r="BS930">
        <v>540</v>
      </c>
    </row>
    <row r="931" spans="1:71" x14ac:dyDescent="0.25">
      <c r="A931" t="s">
        <v>712</v>
      </c>
      <c r="B931">
        <v>2024</v>
      </c>
      <c r="C931">
        <v>3</v>
      </c>
      <c r="D931">
        <v>6</v>
      </c>
      <c r="E931">
        <v>280</v>
      </c>
      <c r="F931">
        <v>39</v>
      </c>
      <c r="G931">
        <v>360</v>
      </c>
      <c r="H931">
        <v>10</v>
      </c>
      <c r="I931">
        <v>407.5</v>
      </c>
      <c r="K931">
        <v>550</v>
      </c>
      <c r="Q931">
        <v>385</v>
      </c>
      <c r="R931">
        <v>13</v>
      </c>
      <c r="S931">
        <v>370</v>
      </c>
      <c r="T931">
        <v>180</v>
      </c>
      <c r="U931">
        <v>472.5</v>
      </c>
      <c r="V931">
        <v>74</v>
      </c>
      <c r="W931">
        <v>555</v>
      </c>
      <c r="BF931">
        <v>550</v>
      </c>
      <c r="BG931">
        <v>550</v>
      </c>
      <c r="BH931">
        <v>55</v>
      </c>
      <c r="BI931">
        <v>360</v>
      </c>
      <c r="BK931">
        <v>380</v>
      </c>
      <c r="BL931">
        <v>275</v>
      </c>
      <c r="BM931">
        <v>480</v>
      </c>
      <c r="BO931">
        <v>110</v>
      </c>
      <c r="BQ931">
        <v>110</v>
      </c>
      <c r="BR931">
        <v>330</v>
      </c>
      <c r="BS931">
        <v>470</v>
      </c>
    </row>
    <row r="932" spans="1:71" x14ac:dyDescent="0.25">
      <c r="A932" t="s">
        <v>713</v>
      </c>
      <c r="B932">
        <v>2024</v>
      </c>
      <c r="C932">
        <v>3</v>
      </c>
      <c r="D932">
        <v>2648</v>
      </c>
      <c r="E932">
        <v>379</v>
      </c>
      <c r="F932">
        <v>885</v>
      </c>
      <c r="G932">
        <v>495</v>
      </c>
      <c r="H932">
        <v>243</v>
      </c>
      <c r="I932">
        <v>650</v>
      </c>
      <c r="J932">
        <v>18</v>
      </c>
      <c r="K932">
        <v>595</v>
      </c>
      <c r="P932">
        <v>89</v>
      </c>
      <c r="Q932">
        <v>189</v>
      </c>
      <c r="R932">
        <v>189</v>
      </c>
      <c r="S932">
        <v>560</v>
      </c>
      <c r="T932">
        <v>535</v>
      </c>
      <c r="U932">
        <v>650</v>
      </c>
      <c r="V932">
        <v>228</v>
      </c>
      <c r="W932">
        <v>820</v>
      </c>
      <c r="BF932">
        <v>32</v>
      </c>
      <c r="BG932">
        <v>362.5</v>
      </c>
      <c r="BH932">
        <v>3825</v>
      </c>
      <c r="BI932">
        <v>409</v>
      </c>
      <c r="BJ932">
        <v>16</v>
      </c>
      <c r="BK932">
        <v>500</v>
      </c>
      <c r="BL932">
        <v>1055</v>
      </c>
      <c r="BM932">
        <v>650</v>
      </c>
      <c r="BN932">
        <v>202</v>
      </c>
      <c r="BO932">
        <v>259</v>
      </c>
      <c r="BP932">
        <v>202</v>
      </c>
      <c r="BQ932">
        <v>259</v>
      </c>
      <c r="BR932">
        <v>5085</v>
      </c>
      <c r="BS932">
        <v>429</v>
      </c>
    </row>
    <row r="933" spans="1:71" x14ac:dyDescent="0.25">
      <c r="A933" t="s">
        <v>714</v>
      </c>
      <c r="B933">
        <v>2024</v>
      </c>
      <c r="C933">
        <v>3</v>
      </c>
      <c r="D933">
        <v>13</v>
      </c>
      <c r="E933">
        <v>250</v>
      </c>
      <c r="F933">
        <v>48</v>
      </c>
      <c r="G933">
        <v>277.5</v>
      </c>
      <c r="H933">
        <v>27</v>
      </c>
      <c r="I933">
        <v>400</v>
      </c>
      <c r="K933">
        <v>595</v>
      </c>
      <c r="Q933">
        <v>270</v>
      </c>
      <c r="R933">
        <v>23</v>
      </c>
      <c r="S933">
        <v>300</v>
      </c>
      <c r="T933">
        <v>206</v>
      </c>
      <c r="U933">
        <v>330</v>
      </c>
      <c r="V933">
        <v>51</v>
      </c>
      <c r="W933">
        <v>450</v>
      </c>
      <c r="BG933">
        <v>460</v>
      </c>
      <c r="BH933">
        <v>95</v>
      </c>
      <c r="BI933">
        <v>300</v>
      </c>
      <c r="BK933">
        <v>200</v>
      </c>
      <c r="BL933">
        <v>285</v>
      </c>
      <c r="BM933">
        <v>350</v>
      </c>
      <c r="BN933">
        <v>9</v>
      </c>
      <c r="BO933">
        <v>270</v>
      </c>
      <c r="BP933">
        <v>9</v>
      </c>
      <c r="BQ933">
        <v>270</v>
      </c>
      <c r="BR933">
        <v>390</v>
      </c>
      <c r="BS933">
        <v>330</v>
      </c>
    </row>
    <row r="934" spans="1:71" x14ac:dyDescent="0.25">
      <c r="A934" t="s">
        <v>715</v>
      </c>
      <c r="B934">
        <v>2024</v>
      </c>
      <c r="C934">
        <v>3</v>
      </c>
      <c r="D934">
        <v>15</v>
      </c>
      <c r="E934">
        <v>250</v>
      </c>
      <c r="F934">
        <v>33</v>
      </c>
      <c r="G934">
        <v>250</v>
      </c>
      <c r="H934">
        <v>6</v>
      </c>
      <c r="I934">
        <v>400</v>
      </c>
      <c r="K934">
        <v>385</v>
      </c>
      <c r="Q934">
        <v>166</v>
      </c>
      <c r="R934">
        <v>13</v>
      </c>
      <c r="S934">
        <v>285</v>
      </c>
      <c r="T934">
        <v>130</v>
      </c>
      <c r="U934">
        <v>340</v>
      </c>
      <c r="V934">
        <v>45</v>
      </c>
      <c r="W934">
        <v>430</v>
      </c>
      <c r="BF934">
        <v>385</v>
      </c>
      <c r="BG934">
        <v>385</v>
      </c>
      <c r="BH934">
        <v>55</v>
      </c>
      <c r="BI934">
        <v>250</v>
      </c>
      <c r="BK934">
        <v>280</v>
      </c>
      <c r="BL934">
        <v>195</v>
      </c>
      <c r="BM934">
        <v>342.5</v>
      </c>
      <c r="BN934">
        <v>342.5</v>
      </c>
      <c r="BO934">
        <v>342.5</v>
      </c>
      <c r="BP934">
        <v>342.5</v>
      </c>
      <c r="BQ934">
        <v>342.5</v>
      </c>
      <c r="BR934">
        <v>250</v>
      </c>
      <c r="BS934">
        <v>320</v>
      </c>
    </row>
    <row r="935" spans="1:71" x14ac:dyDescent="0.25">
      <c r="A935" t="s">
        <v>716</v>
      </c>
      <c r="B935">
        <v>2024</v>
      </c>
      <c r="C935">
        <v>3</v>
      </c>
      <c r="D935">
        <v>10</v>
      </c>
      <c r="E935">
        <v>252.5</v>
      </c>
      <c r="F935">
        <v>26</v>
      </c>
      <c r="G935">
        <v>350</v>
      </c>
      <c r="H935">
        <v>18</v>
      </c>
      <c r="I935">
        <v>412.5</v>
      </c>
      <c r="K935">
        <v>520</v>
      </c>
      <c r="P935">
        <v>8</v>
      </c>
      <c r="Q935">
        <v>350</v>
      </c>
      <c r="R935">
        <v>30</v>
      </c>
      <c r="S935">
        <v>355</v>
      </c>
      <c r="T935">
        <v>128</v>
      </c>
      <c r="U935">
        <v>455</v>
      </c>
      <c r="V935">
        <v>64</v>
      </c>
      <c r="W935">
        <v>562.5</v>
      </c>
      <c r="BG935">
        <v>350</v>
      </c>
      <c r="BH935">
        <v>60</v>
      </c>
      <c r="BI935">
        <v>367.5</v>
      </c>
      <c r="BJ935">
        <v>6</v>
      </c>
      <c r="BK935">
        <v>400</v>
      </c>
      <c r="BL935">
        <v>235</v>
      </c>
      <c r="BM935">
        <v>470</v>
      </c>
      <c r="BO935">
        <v>250</v>
      </c>
      <c r="BQ935">
        <v>250</v>
      </c>
      <c r="BR935">
        <v>295</v>
      </c>
      <c r="BS935">
        <v>450</v>
      </c>
    </row>
    <row r="936" spans="1:71" x14ac:dyDescent="0.25">
      <c r="A936" t="s">
        <v>717</v>
      </c>
      <c r="B936">
        <v>2024</v>
      </c>
      <c r="C936">
        <v>3</v>
      </c>
      <c r="D936">
        <v>21</v>
      </c>
      <c r="E936">
        <v>190</v>
      </c>
      <c r="F936">
        <v>80</v>
      </c>
      <c r="G936">
        <v>260</v>
      </c>
      <c r="H936">
        <v>21</v>
      </c>
      <c r="I936">
        <v>385</v>
      </c>
      <c r="J936">
        <v>385</v>
      </c>
      <c r="K936">
        <v>385</v>
      </c>
      <c r="P936">
        <v>6</v>
      </c>
      <c r="Q936">
        <v>206.25</v>
      </c>
      <c r="R936">
        <v>35</v>
      </c>
      <c r="S936">
        <v>325</v>
      </c>
      <c r="T936">
        <v>226</v>
      </c>
      <c r="U936">
        <v>372.5</v>
      </c>
      <c r="V936">
        <v>55</v>
      </c>
      <c r="W936">
        <v>440</v>
      </c>
      <c r="BG936">
        <v>247.5</v>
      </c>
      <c r="BH936">
        <v>125</v>
      </c>
      <c r="BI936">
        <v>260</v>
      </c>
      <c r="BK936">
        <v>300</v>
      </c>
      <c r="BL936">
        <v>325</v>
      </c>
      <c r="BM936">
        <v>370</v>
      </c>
      <c r="BN936">
        <v>370</v>
      </c>
      <c r="BO936">
        <v>370</v>
      </c>
      <c r="BP936">
        <v>370</v>
      </c>
      <c r="BQ936">
        <v>370</v>
      </c>
      <c r="BR936">
        <v>450</v>
      </c>
      <c r="BS936">
        <v>350</v>
      </c>
    </row>
    <row r="937" spans="1:71" x14ac:dyDescent="0.25">
      <c r="A937" t="s">
        <v>725</v>
      </c>
      <c r="B937">
        <v>2024</v>
      </c>
      <c r="C937">
        <v>3</v>
      </c>
      <c r="D937">
        <v>2944</v>
      </c>
      <c r="E937">
        <v>379</v>
      </c>
      <c r="F937">
        <v>2116</v>
      </c>
      <c r="G937">
        <v>450</v>
      </c>
      <c r="H937">
        <v>699</v>
      </c>
      <c r="I937">
        <v>560</v>
      </c>
      <c r="J937">
        <v>51</v>
      </c>
      <c r="K937">
        <v>600</v>
      </c>
      <c r="P937">
        <v>212</v>
      </c>
      <c r="Q937">
        <v>230</v>
      </c>
      <c r="R937">
        <v>583</v>
      </c>
      <c r="S937">
        <v>500</v>
      </c>
      <c r="T937">
        <v>4072</v>
      </c>
      <c r="U937">
        <v>550</v>
      </c>
      <c r="V937">
        <v>1213</v>
      </c>
      <c r="W937">
        <v>675</v>
      </c>
      <c r="BF937">
        <v>70</v>
      </c>
      <c r="BG937">
        <v>345</v>
      </c>
      <c r="BH937">
        <v>5880</v>
      </c>
      <c r="BI937">
        <v>419</v>
      </c>
      <c r="BJ937">
        <v>188</v>
      </c>
      <c r="BK937">
        <v>480</v>
      </c>
      <c r="BL937">
        <v>6270</v>
      </c>
      <c r="BM937">
        <v>560</v>
      </c>
      <c r="BN937">
        <v>604</v>
      </c>
      <c r="BO937">
        <v>250</v>
      </c>
      <c r="BP937">
        <v>604</v>
      </c>
      <c r="BQ937">
        <v>250</v>
      </c>
      <c r="BR937">
        <v>12750</v>
      </c>
      <c r="BS937">
        <v>490</v>
      </c>
    </row>
    <row r="938" spans="1:71" x14ac:dyDescent="0.25">
      <c r="A938" t="s">
        <v>718</v>
      </c>
      <c r="B938">
        <v>2024</v>
      </c>
      <c r="C938">
        <v>3</v>
      </c>
      <c r="D938">
        <v>16</v>
      </c>
      <c r="E938">
        <v>205</v>
      </c>
      <c r="F938">
        <v>40</v>
      </c>
      <c r="G938">
        <v>250</v>
      </c>
      <c r="H938">
        <v>15</v>
      </c>
      <c r="I938">
        <v>400</v>
      </c>
      <c r="K938">
        <v>450</v>
      </c>
      <c r="Q938">
        <v>190</v>
      </c>
      <c r="R938">
        <v>24</v>
      </c>
      <c r="S938">
        <v>305</v>
      </c>
      <c r="T938">
        <v>201</v>
      </c>
      <c r="U938">
        <v>370</v>
      </c>
      <c r="V938">
        <v>67</v>
      </c>
      <c r="W938">
        <v>450</v>
      </c>
      <c r="BG938">
        <v>160</v>
      </c>
      <c r="BH938">
        <v>75</v>
      </c>
      <c r="BI938">
        <v>260</v>
      </c>
      <c r="BJ938">
        <v>13</v>
      </c>
      <c r="BK938">
        <v>300</v>
      </c>
      <c r="BL938">
        <v>310</v>
      </c>
      <c r="BM938">
        <v>375</v>
      </c>
      <c r="BO938">
        <v>250</v>
      </c>
      <c r="BQ938">
        <v>250</v>
      </c>
      <c r="BR938">
        <v>390</v>
      </c>
      <c r="BS938">
        <v>350</v>
      </c>
    </row>
    <row r="939" spans="1:71" x14ac:dyDescent="0.25">
      <c r="A939" t="s">
        <v>719</v>
      </c>
      <c r="B939">
        <v>2024</v>
      </c>
      <c r="C939">
        <v>3</v>
      </c>
      <c r="D939">
        <v>73</v>
      </c>
      <c r="E939">
        <v>310</v>
      </c>
      <c r="F939">
        <v>288</v>
      </c>
      <c r="G939">
        <v>400</v>
      </c>
      <c r="H939">
        <v>140</v>
      </c>
      <c r="I939">
        <v>480</v>
      </c>
      <c r="J939">
        <v>8</v>
      </c>
      <c r="K939">
        <v>554</v>
      </c>
      <c r="P939">
        <v>40</v>
      </c>
      <c r="Q939">
        <v>230</v>
      </c>
      <c r="R939">
        <v>113</v>
      </c>
      <c r="S939">
        <v>430</v>
      </c>
      <c r="T939">
        <v>1729</v>
      </c>
      <c r="U939">
        <v>510</v>
      </c>
      <c r="V939">
        <v>461</v>
      </c>
      <c r="W939">
        <v>595</v>
      </c>
      <c r="BF939">
        <v>7</v>
      </c>
      <c r="BG939">
        <v>325</v>
      </c>
      <c r="BH939">
        <v>515</v>
      </c>
      <c r="BI939">
        <v>419</v>
      </c>
      <c r="BJ939">
        <v>97</v>
      </c>
      <c r="BK939">
        <v>490</v>
      </c>
      <c r="BL939">
        <v>2440</v>
      </c>
      <c r="BM939">
        <v>520</v>
      </c>
      <c r="BN939">
        <v>164</v>
      </c>
      <c r="BO939">
        <v>270</v>
      </c>
      <c r="BP939">
        <v>164</v>
      </c>
      <c r="BQ939">
        <v>270</v>
      </c>
      <c r="BR939">
        <v>3120</v>
      </c>
      <c r="BS939">
        <v>500</v>
      </c>
    </row>
    <row r="940" spans="1:71" x14ac:dyDescent="0.25">
      <c r="A940" t="s">
        <v>726</v>
      </c>
      <c r="B940">
        <v>2024</v>
      </c>
      <c r="C940">
        <v>3</v>
      </c>
      <c r="D940">
        <v>97</v>
      </c>
      <c r="E940">
        <v>225</v>
      </c>
      <c r="F940">
        <v>297</v>
      </c>
      <c r="G940">
        <v>280</v>
      </c>
      <c r="H940">
        <v>137</v>
      </c>
      <c r="I940">
        <v>420</v>
      </c>
      <c r="J940">
        <v>17</v>
      </c>
      <c r="K940">
        <v>530</v>
      </c>
      <c r="P940">
        <v>37</v>
      </c>
      <c r="Q940">
        <v>250</v>
      </c>
      <c r="R940">
        <v>197</v>
      </c>
      <c r="S940">
        <v>330</v>
      </c>
      <c r="T940">
        <v>1404</v>
      </c>
      <c r="U940">
        <v>390</v>
      </c>
      <c r="V940">
        <v>498</v>
      </c>
      <c r="W940">
        <v>522.5</v>
      </c>
      <c r="BF940">
        <v>13</v>
      </c>
      <c r="BG940">
        <v>240</v>
      </c>
      <c r="BH940">
        <v>560</v>
      </c>
      <c r="BI940">
        <v>300</v>
      </c>
      <c r="BJ940">
        <v>48</v>
      </c>
      <c r="BK940">
        <v>315</v>
      </c>
      <c r="BL940">
        <v>2185</v>
      </c>
      <c r="BM940">
        <v>400</v>
      </c>
      <c r="BN940">
        <v>22</v>
      </c>
      <c r="BO940">
        <v>270</v>
      </c>
      <c r="BP940">
        <v>22</v>
      </c>
      <c r="BQ940">
        <v>270</v>
      </c>
      <c r="BR940">
        <v>2765</v>
      </c>
      <c r="BS940">
        <v>385</v>
      </c>
    </row>
    <row r="941" spans="1:71" x14ac:dyDescent="0.25">
      <c r="A941" t="s">
        <v>721</v>
      </c>
      <c r="B941">
        <v>2024</v>
      </c>
      <c r="C941">
        <v>3</v>
      </c>
      <c r="D941">
        <v>107</v>
      </c>
      <c r="E941">
        <v>350</v>
      </c>
      <c r="F941">
        <v>412</v>
      </c>
      <c r="G941">
        <v>440</v>
      </c>
      <c r="H941">
        <v>136</v>
      </c>
      <c r="I941">
        <v>527.5</v>
      </c>
      <c r="J941">
        <v>8</v>
      </c>
      <c r="K941">
        <v>557.5</v>
      </c>
      <c r="P941">
        <v>45</v>
      </c>
      <c r="Q941">
        <v>240</v>
      </c>
      <c r="R941">
        <v>109</v>
      </c>
      <c r="S941">
        <v>470</v>
      </c>
      <c r="T941">
        <v>1021</v>
      </c>
      <c r="U941">
        <v>560</v>
      </c>
      <c r="V941">
        <v>330</v>
      </c>
      <c r="W941">
        <v>680</v>
      </c>
      <c r="BF941">
        <v>7</v>
      </c>
      <c r="BG941">
        <v>325</v>
      </c>
      <c r="BH941">
        <v>670</v>
      </c>
      <c r="BI941">
        <v>450</v>
      </c>
      <c r="BJ941">
        <v>39</v>
      </c>
      <c r="BK941">
        <v>480</v>
      </c>
      <c r="BL941">
        <v>1545</v>
      </c>
      <c r="BM941">
        <v>575</v>
      </c>
      <c r="BN941">
        <v>132</v>
      </c>
      <c r="BO941">
        <v>220</v>
      </c>
      <c r="BP941">
        <v>132</v>
      </c>
      <c r="BQ941">
        <v>220</v>
      </c>
      <c r="BR941">
        <v>2345</v>
      </c>
      <c r="BS941">
        <v>525</v>
      </c>
    </row>
    <row r="942" spans="1:71" x14ac:dyDescent="0.25">
      <c r="A942" t="s">
        <v>722</v>
      </c>
      <c r="B942">
        <v>2024</v>
      </c>
      <c r="C942">
        <v>3</v>
      </c>
      <c r="D942">
        <v>116</v>
      </c>
      <c r="E942">
        <v>350</v>
      </c>
      <c r="F942">
        <v>531</v>
      </c>
      <c r="G942">
        <v>430</v>
      </c>
      <c r="H942">
        <v>180</v>
      </c>
      <c r="I942">
        <v>580</v>
      </c>
      <c r="J942">
        <v>17</v>
      </c>
      <c r="K942">
        <v>750</v>
      </c>
      <c r="P942">
        <v>38</v>
      </c>
      <c r="Q942">
        <v>245.2</v>
      </c>
      <c r="R942">
        <v>172</v>
      </c>
      <c r="S942">
        <v>500</v>
      </c>
      <c r="T942">
        <v>787</v>
      </c>
      <c r="U942">
        <v>600</v>
      </c>
      <c r="V942">
        <v>194</v>
      </c>
      <c r="W942">
        <v>750</v>
      </c>
      <c r="BF942">
        <v>24</v>
      </c>
      <c r="BG942">
        <v>352.5</v>
      </c>
      <c r="BH942">
        <v>870</v>
      </c>
      <c r="BI942">
        <v>450</v>
      </c>
      <c r="BJ942">
        <v>36</v>
      </c>
      <c r="BK942">
        <v>427.5</v>
      </c>
      <c r="BL942">
        <v>1225</v>
      </c>
      <c r="BM942">
        <v>600</v>
      </c>
      <c r="BN942">
        <v>106</v>
      </c>
      <c r="BO942">
        <v>220</v>
      </c>
      <c r="BP942">
        <v>106</v>
      </c>
      <c r="BQ942">
        <v>220</v>
      </c>
      <c r="BR942">
        <v>2200</v>
      </c>
      <c r="BS942">
        <v>525</v>
      </c>
    </row>
    <row r="943" spans="1:71" x14ac:dyDescent="0.25">
      <c r="A943" t="s">
        <v>723</v>
      </c>
      <c r="B943">
        <v>2024</v>
      </c>
      <c r="C943">
        <v>3</v>
      </c>
      <c r="D943">
        <v>12</v>
      </c>
      <c r="E943">
        <v>200</v>
      </c>
      <c r="F943">
        <v>22</v>
      </c>
      <c r="G943">
        <v>265</v>
      </c>
      <c r="H943">
        <v>7</v>
      </c>
      <c r="I943">
        <v>350</v>
      </c>
      <c r="K943">
        <v>460</v>
      </c>
      <c r="P943">
        <v>8</v>
      </c>
      <c r="Q943">
        <v>235</v>
      </c>
      <c r="R943">
        <v>35</v>
      </c>
      <c r="S943">
        <v>320</v>
      </c>
      <c r="T943">
        <v>174</v>
      </c>
      <c r="U943">
        <v>340</v>
      </c>
      <c r="V943">
        <v>41</v>
      </c>
      <c r="W943">
        <v>420</v>
      </c>
      <c r="BG943">
        <v>220</v>
      </c>
      <c r="BH943">
        <v>45</v>
      </c>
      <c r="BI943">
        <v>250</v>
      </c>
      <c r="BJ943">
        <v>11</v>
      </c>
      <c r="BK943">
        <v>340</v>
      </c>
      <c r="BL943">
        <v>270</v>
      </c>
      <c r="BM943">
        <v>350</v>
      </c>
      <c r="BO943">
        <v>460</v>
      </c>
      <c r="BQ943">
        <v>460</v>
      </c>
      <c r="BR943">
        <v>315</v>
      </c>
      <c r="BS943">
        <v>340</v>
      </c>
    </row>
    <row r="944" spans="1:71" x14ac:dyDescent="0.25">
      <c r="A944" t="s">
        <v>711</v>
      </c>
      <c r="B944">
        <v>2024</v>
      </c>
      <c r="C944">
        <v>6</v>
      </c>
      <c r="D944">
        <v>6</v>
      </c>
      <c r="E944">
        <v>417.5</v>
      </c>
      <c r="F944">
        <v>22</v>
      </c>
      <c r="G944">
        <v>390</v>
      </c>
      <c r="H944">
        <v>23</v>
      </c>
      <c r="I944">
        <v>520</v>
      </c>
      <c r="K944">
        <v>605</v>
      </c>
      <c r="Q944">
        <v>400</v>
      </c>
      <c r="R944">
        <v>23</v>
      </c>
      <c r="S944">
        <v>470</v>
      </c>
      <c r="T944">
        <v>182</v>
      </c>
      <c r="U944">
        <v>550</v>
      </c>
      <c r="V944">
        <v>80</v>
      </c>
      <c r="W944">
        <v>650</v>
      </c>
      <c r="BF944">
        <v>605</v>
      </c>
      <c r="BG944">
        <v>605</v>
      </c>
      <c r="BH944">
        <v>55</v>
      </c>
      <c r="BI944">
        <v>460</v>
      </c>
      <c r="BK944">
        <v>500</v>
      </c>
      <c r="BL944">
        <v>290</v>
      </c>
      <c r="BM944">
        <v>575</v>
      </c>
      <c r="BO944">
        <v>237.5</v>
      </c>
      <c r="BQ944">
        <v>237.5</v>
      </c>
      <c r="BR944">
        <v>350</v>
      </c>
      <c r="BS944">
        <v>550</v>
      </c>
    </row>
    <row r="945" spans="1:75" x14ac:dyDescent="0.25">
      <c r="A945" t="s">
        <v>712</v>
      </c>
      <c r="B945">
        <v>2024</v>
      </c>
      <c r="C945">
        <v>6</v>
      </c>
      <c r="E945">
        <v>255</v>
      </c>
      <c r="F945">
        <v>24</v>
      </c>
      <c r="G945">
        <v>340</v>
      </c>
      <c r="H945">
        <v>12</v>
      </c>
      <c r="I945">
        <v>420</v>
      </c>
      <c r="J945">
        <v>6</v>
      </c>
      <c r="K945">
        <v>550</v>
      </c>
      <c r="Q945">
        <v>295</v>
      </c>
      <c r="R945">
        <v>14</v>
      </c>
      <c r="S945">
        <v>385</v>
      </c>
      <c r="T945">
        <v>166</v>
      </c>
      <c r="U945">
        <v>480</v>
      </c>
      <c r="V945">
        <v>78</v>
      </c>
      <c r="W945">
        <v>597.5</v>
      </c>
      <c r="BG945">
        <v>480</v>
      </c>
      <c r="BH945">
        <v>45</v>
      </c>
      <c r="BI945">
        <v>397.5</v>
      </c>
      <c r="BJ945">
        <v>9</v>
      </c>
      <c r="BK945">
        <v>450</v>
      </c>
      <c r="BL945">
        <v>270</v>
      </c>
      <c r="BM945">
        <v>500</v>
      </c>
      <c r="BO945">
        <v>180</v>
      </c>
      <c r="BQ945">
        <v>180</v>
      </c>
      <c r="BR945">
        <v>325</v>
      </c>
      <c r="BS945">
        <v>480</v>
      </c>
    </row>
    <row r="946" spans="1:75" x14ac:dyDescent="0.25">
      <c r="A946" t="s">
        <v>713</v>
      </c>
      <c r="B946">
        <v>2024</v>
      </c>
      <c r="C946">
        <v>6</v>
      </c>
      <c r="D946">
        <v>847</v>
      </c>
      <c r="E946">
        <v>399</v>
      </c>
      <c r="F946">
        <v>756</v>
      </c>
      <c r="G946">
        <v>510</v>
      </c>
      <c r="H946">
        <v>224</v>
      </c>
      <c r="I946">
        <v>650</v>
      </c>
      <c r="J946">
        <v>8</v>
      </c>
      <c r="K946">
        <v>752.5</v>
      </c>
      <c r="P946">
        <v>66</v>
      </c>
      <c r="Q946">
        <v>241.5</v>
      </c>
      <c r="R946">
        <v>142</v>
      </c>
      <c r="S946">
        <v>585</v>
      </c>
      <c r="T946">
        <v>530</v>
      </c>
      <c r="U946">
        <v>650</v>
      </c>
      <c r="V946">
        <v>219</v>
      </c>
      <c r="W946">
        <v>850</v>
      </c>
      <c r="BF946">
        <v>24</v>
      </c>
      <c r="BG946">
        <v>340</v>
      </c>
      <c r="BH946">
        <v>1860</v>
      </c>
      <c r="BI946">
        <v>470</v>
      </c>
      <c r="BJ946">
        <v>13</v>
      </c>
      <c r="BK946">
        <v>485</v>
      </c>
      <c r="BL946">
        <v>970</v>
      </c>
      <c r="BM946">
        <v>650</v>
      </c>
      <c r="BN946">
        <v>104</v>
      </c>
      <c r="BO946">
        <v>250</v>
      </c>
      <c r="BP946">
        <v>104</v>
      </c>
      <c r="BQ946">
        <v>250</v>
      </c>
      <c r="BR946">
        <v>2935</v>
      </c>
      <c r="BS946">
        <v>520</v>
      </c>
    </row>
    <row r="947" spans="1:75" x14ac:dyDescent="0.25">
      <c r="A947" t="s">
        <v>714</v>
      </c>
      <c r="B947">
        <v>2024</v>
      </c>
      <c r="C947">
        <v>6</v>
      </c>
      <c r="D947">
        <v>26</v>
      </c>
      <c r="E947">
        <v>255</v>
      </c>
      <c r="F947">
        <v>46</v>
      </c>
      <c r="G947">
        <v>295</v>
      </c>
      <c r="H947">
        <v>14</v>
      </c>
      <c r="I947">
        <v>495</v>
      </c>
      <c r="K947">
        <v>547.5</v>
      </c>
      <c r="Q947">
        <v>330</v>
      </c>
      <c r="R947">
        <v>32</v>
      </c>
      <c r="S947">
        <v>300</v>
      </c>
      <c r="T947">
        <v>185</v>
      </c>
      <c r="U947">
        <v>350</v>
      </c>
      <c r="V947">
        <v>46</v>
      </c>
      <c r="W947">
        <v>485</v>
      </c>
      <c r="BG947">
        <v>230</v>
      </c>
      <c r="BH947">
        <v>95</v>
      </c>
      <c r="BI947">
        <v>300</v>
      </c>
      <c r="BJ947">
        <v>6</v>
      </c>
      <c r="BK947">
        <v>415</v>
      </c>
      <c r="BL947">
        <v>270</v>
      </c>
      <c r="BM947">
        <v>360</v>
      </c>
      <c r="BN947">
        <v>9</v>
      </c>
      <c r="BO947">
        <v>245</v>
      </c>
      <c r="BP947">
        <v>9</v>
      </c>
      <c r="BQ947">
        <v>245</v>
      </c>
      <c r="BR947">
        <v>370</v>
      </c>
      <c r="BS947">
        <v>350</v>
      </c>
    </row>
    <row r="948" spans="1:75" x14ac:dyDescent="0.25">
      <c r="A948" t="s">
        <v>715</v>
      </c>
      <c r="B948">
        <v>2024</v>
      </c>
      <c r="C948">
        <v>6</v>
      </c>
      <c r="D948">
        <v>23</v>
      </c>
      <c r="E948">
        <v>250</v>
      </c>
      <c r="F948">
        <v>30</v>
      </c>
      <c r="G948">
        <v>250</v>
      </c>
      <c r="H948">
        <v>9</v>
      </c>
      <c r="I948">
        <v>380</v>
      </c>
      <c r="J948">
        <v>380</v>
      </c>
      <c r="K948">
        <v>380</v>
      </c>
      <c r="Q948">
        <v>240</v>
      </c>
      <c r="R948">
        <v>16</v>
      </c>
      <c r="S948">
        <v>320</v>
      </c>
      <c r="T948">
        <v>119</v>
      </c>
      <c r="U948">
        <v>320</v>
      </c>
      <c r="V948">
        <v>32</v>
      </c>
      <c r="W948">
        <v>425</v>
      </c>
      <c r="BG948">
        <v>350</v>
      </c>
      <c r="BH948">
        <v>65</v>
      </c>
      <c r="BI948">
        <v>250</v>
      </c>
      <c r="BK948">
        <v>280</v>
      </c>
      <c r="BL948">
        <v>170</v>
      </c>
      <c r="BM948">
        <v>340</v>
      </c>
      <c r="BN948">
        <v>340</v>
      </c>
      <c r="BO948">
        <v>340</v>
      </c>
      <c r="BP948">
        <v>340</v>
      </c>
      <c r="BQ948">
        <v>340</v>
      </c>
      <c r="BR948">
        <v>235</v>
      </c>
      <c r="BS948">
        <v>310</v>
      </c>
    </row>
    <row r="949" spans="1:75" x14ac:dyDescent="0.25">
      <c r="A949" t="s">
        <v>716</v>
      </c>
      <c r="B949">
        <v>2024</v>
      </c>
      <c r="C949">
        <v>6</v>
      </c>
      <c r="D949">
        <v>11</v>
      </c>
      <c r="E949">
        <v>230</v>
      </c>
      <c r="F949">
        <v>32</v>
      </c>
      <c r="G949">
        <v>350</v>
      </c>
      <c r="H949">
        <v>10</v>
      </c>
      <c r="I949">
        <v>420</v>
      </c>
      <c r="K949">
        <v>530</v>
      </c>
      <c r="Q949">
        <v>300</v>
      </c>
      <c r="R949">
        <v>16</v>
      </c>
      <c r="S949">
        <v>392.5</v>
      </c>
      <c r="T949">
        <v>119</v>
      </c>
      <c r="U949">
        <v>470</v>
      </c>
      <c r="V949">
        <v>66</v>
      </c>
      <c r="W949">
        <v>550</v>
      </c>
      <c r="BF949">
        <v>530</v>
      </c>
      <c r="BG949">
        <v>530</v>
      </c>
      <c r="BH949">
        <v>55</v>
      </c>
      <c r="BI949">
        <v>339.1</v>
      </c>
      <c r="BJ949">
        <v>7</v>
      </c>
      <c r="BK949">
        <v>380</v>
      </c>
      <c r="BL949">
        <v>210</v>
      </c>
      <c r="BM949">
        <v>480</v>
      </c>
      <c r="BO949">
        <v>240</v>
      </c>
      <c r="BQ949">
        <v>240</v>
      </c>
      <c r="BR949">
        <v>265</v>
      </c>
      <c r="BS949">
        <v>460</v>
      </c>
    </row>
    <row r="950" spans="1:75" x14ac:dyDescent="0.25">
      <c r="A950" t="s">
        <v>717</v>
      </c>
      <c r="B950">
        <v>2024</v>
      </c>
      <c r="C950">
        <v>6</v>
      </c>
      <c r="D950">
        <v>23</v>
      </c>
      <c r="E950">
        <v>210</v>
      </c>
      <c r="F950">
        <v>91</v>
      </c>
      <c r="G950">
        <v>270</v>
      </c>
      <c r="H950">
        <v>28</v>
      </c>
      <c r="I950">
        <v>387.5</v>
      </c>
      <c r="J950">
        <v>387.5</v>
      </c>
      <c r="K950">
        <v>387.5</v>
      </c>
      <c r="P950">
        <v>9</v>
      </c>
      <c r="Q950">
        <v>230</v>
      </c>
      <c r="R950">
        <v>35</v>
      </c>
      <c r="S950">
        <v>310</v>
      </c>
      <c r="T950">
        <v>216</v>
      </c>
      <c r="U950">
        <v>382.5</v>
      </c>
      <c r="V950">
        <v>72</v>
      </c>
      <c r="W950">
        <v>450</v>
      </c>
      <c r="BG950">
        <v>182.5</v>
      </c>
      <c r="BH950">
        <v>145</v>
      </c>
      <c r="BI950">
        <v>282.5</v>
      </c>
      <c r="BJ950">
        <v>7</v>
      </c>
      <c r="BK950">
        <v>310</v>
      </c>
      <c r="BL950">
        <v>340</v>
      </c>
      <c r="BM950">
        <v>390</v>
      </c>
      <c r="BO950">
        <v>225</v>
      </c>
      <c r="BQ950">
        <v>225</v>
      </c>
      <c r="BR950">
        <v>485</v>
      </c>
      <c r="BS950">
        <v>350</v>
      </c>
    </row>
    <row r="951" spans="1:75" x14ac:dyDescent="0.25">
      <c r="A951" t="s">
        <v>725</v>
      </c>
      <c r="B951">
        <v>2024</v>
      </c>
      <c r="C951">
        <v>6</v>
      </c>
      <c r="D951">
        <v>1103</v>
      </c>
      <c r="E951">
        <v>380</v>
      </c>
      <c r="F951">
        <v>1926</v>
      </c>
      <c r="G951">
        <v>460</v>
      </c>
      <c r="H951">
        <v>654</v>
      </c>
      <c r="I951">
        <v>580</v>
      </c>
      <c r="J951">
        <v>35</v>
      </c>
      <c r="K951">
        <v>650</v>
      </c>
      <c r="P951">
        <v>170</v>
      </c>
      <c r="Q951">
        <v>241.5</v>
      </c>
      <c r="R951">
        <v>541</v>
      </c>
      <c r="S951">
        <v>500</v>
      </c>
      <c r="T951">
        <v>3848</v>
      </c>
      <c r="U951">
        <v>560</v>
      </c>
      <c r="V951">
        <v>1267</v>
      </c>
      <c r="W951">
        <v>650</v>
      </c>
      <c r="BF951">
        <v>87</v>
      </c>
      <c r="BG951">
        <v>370</v>
      </c>
      <c r="BH951">
        <v>3805</v>
      </c>
      <c r="BI951">
        <v>450</v>
      </c>
      <c r="BJ951">
        <v>152</v>
      </c>
      <c r="BK951">
        <v>500</v>
      </c>
      <c r="BL951">
        <v>5980</v>
      </c>
      <c r="BM951">
        <v>570</v>
      </c>
      <c r="BN951">
        <v>293</v>
      </c>
      <c r="BO951">
        <v>250</v>
      </c>
      <c r="BP951">
        <v>293</v>
      </c>
      <c r="BQ951">
        <v>250</v>
      </c>
      <c r="BR951">
        <v>10075</v>
      </c>
      <c r="BS951">
        <v>525</v>
      </c>
    </row>
    <row r="952" spans="1:75" x14ac:dyDescent="0.25">
      <c r="A952" t="s">
        <v>718</v>
      </c>
      <c r="B952">
        <v>2024</v>
      </c>
      <c r="C952">
        <v>6</v>
      </c>
      <c r="D952">
        <v>17</v>
      </c>
      <c r="E952">
        <v>220</v>
      </c>
      <c r="F952">
        <v>36</v>
      </c>
      <c r="G952">
        <v>247.5</v>
      </c>
      <c r="H952">
        <v>17</v>
      </c>
      <c r="I952">
        <v>350</v>
      </c>
      <c r="J952">
        <v>350</v>
      </c>
      <c r="K952">
        <v>350</v>
      </c>
      <c r="Q952">
        <v>187</v>
      </c>
      <c r="R952">
        <v>24</v>
      </c>
      <c r="S952">
        <v>287.5</v>
      </c>
      <c r="T952">
        <v>236</v>
      </c>
      <c r="U952">
        <v>400</v>
      </c>
      <c r="V952">
        <v>72</v>
      </c>
      <c r="W952">
        <v>450</v>
      </c>
      <c r="BG952">
        <v>225</v>
      </c>
      <c r="BH952">
        <v>75</v>
      </c>
      <c r="BI952">
        <v>270</v>
      </c>
      <c r="BJ952">
        <v>23</v>
      </c>
      <c r="BK952">
        <v>285</v>
      </c>
      <c r="BL952">
        <v>355</v>
      </c>
      <c r="BM952">
        <v>400</v>
      </c>
      <c r="BO952">
        <v>227.5</v>
      </c>
      <c r="BQ952">
        <v>227.5</v>
      </c>
      <c r="BR952">
        <v>435</v>
      </c>
      <c r="BS952">
        <v>362</v>
      </c>
    </row>
    <row r="953" spans="1:75" x14ac:dyDescent="0.25">
      <c r="A953" t="s">
        <v>719</v>
      </c>
      <c r="B953">
        <v>2024</v>
      </c>
      <c r="C953">
        <v>6</v>
      </c>
      <c r="D953">
        <v>64</v>
      </c>
      <c r="E953">
        <v>298</v>
      </c>
      <c r="F953">
        <v>302</v>
      </c>
      <c r="G953">
        <v>420</v>
      </c>
      <c r="H953">
        <v>163</v>
      </c>
      <c r="I953">
        <v>520</v>
      </c>
      <c r="J953">
        <v>11</v>
      </c>
      <c r="K953">
        <v>540</v>
      </c>
      <c r="P953">
        <v>40</v>
      </c>
      <c r="Q953">
        <v>230</v>
      </c>
      <c r="R953">
        <v>120</v>
      </c>
      <c r="S953">
        <v>430</v>
      </c>
      <c r="T953">
        <v>1693</v>
      </c>
      <c r="U953">
        <v>525</v>
      </c>
      <c r="V953">
        <v>572</v>
      </c>
      <c r="W953">
        <v>600</v>
      </c>
      <c r="BF953">
        <v>18</v>
      </c>
      <c r="BG953">
        <v>345</v>
      </c>
      <c r="BH953">
        <v>560</v>
      </c>
      <c r="BI953">
        <v>430</v>
      </c>
      <c r="BJ953">
        <v>82</v>
      </c>
      <c r="BK953">
        <v>500</v>
      </c>
      <c r="BL953">
        <v>2505</v>
      </c>
      <c r="BM953">
        <v>540</v>
      </c>
      <c r="BN953">
        <v>70</v>
      </c>
      <c r="BO953">
        <v>250</v>
      </c>
      <c r="BP953">
        <v>70</v>
      </c>
      <c r="BQ953">
        <v>250</v>
      </c>
      <c r="BR953">
        <v>3135</v>
      </c>
      <c r="BS953">
        <v>520</v>
      </c>
    </row>
    <row r="954" spans="1:75" x14ac:dyDescent="0.25">
      <c r="A954" t="s">
        <v>726</v>
      </c>
      <c r="B954">
        <v>2024</v>
      </c>
      <c r="C954">
        <v>6</v>
      </c>
      <c r="D954">
        <v>115</v>
      </c>
      <c r="E954">
        <v>241</v>
      </c>
      <c r="F954">
        <v>304</v>
      </c>
      <c r="G954">
        <v>290</v>
      </c>
      <c r="H954">
        <v>122</v>
      </c>
      <c r="I954">
        <v>420</v>
      </c>
      <c r="J954">
        <v>16</v>
      </c>
      <c r="K954">
        <v>555</v>
      </c>
      <c r="P954">
        <v>33</v>
      </c>
      <c r="Q954">
        <v>250</v>
      </c>
      <c r="R954">
        <v>192</v>
      </c>
      <c r="S954">
        <v>340</v>
      </c>
      <c r="T954">
        <v>1426</v>
      </c>
      <c r="U954">
        <v>400</v>
      </c>
      <c r="V954">
        <v>490</v>
      </c>
      <c r="W954">
        <v>530</v>
      </c>
      <c r="BF954">
        <v>14</v>
      </c>
      <c r="BG954">
        <v>230</v>
      </c>
      <c r="BH954">
        <v>570</v>
      </c>
      <c r="BI954">
        <v>300</v>
      </c>
      <c r="BJ954">
        <v>68</v>
      </c>
      <c r="BK954">
        <v>330</v>
      </c>
      <c r="BL954">
        <v>2210</v>
      </c>
      <c r="BM954">
        <v>420</v>
      </c>
      <c r="BN954">
        <v>23</v>
      </c>
      <c r="BO954">
        <v>230</v>
      </c>
      <c r="BP954">
        <v>23</v>
      </c>
      <c r="BQ954">
        <v>230</v>
      </c>
      <c r="BR954">
        <v>2805</v>
      </c>
      <c r="BS954">
        <v>390</v>
      </c>
    </row>
    <row r="955" spans="1:75" x14ac:dyDescent="0.25">
      <c r="A955" t="s">
        <v>721</v>
      </c>
      <c r="B955">
        <v>2024</v>
      </c>
      <c r="C955">
        <v>6</v>
      </c>
      <c r="D955">
        <v>82</v>
      </c>
      <c r="E955">
        <v>325</v>
      </c>
      <c r="F955">
        <v>358</v>
      </c>
      <c r="G955">
        <v>450</v>
      </c>
      <c r="H955">
        <v>129</v>
      </c>
      <c r="I955">
        <v>550</v>
      </c>
      <c r="K955">
        <v>695</v>
      </c>
      <c r="P955">
        <v>37</v>
      </c>
      <c r="Q955">
        <v>260</v>
      </c>
      <c r="R955">
        <v>86</v>
      </c>
      <c r="S955">
        <v>492.5</v>
      </c>
      <c r="T955">
        <v>935</v>
      </c>
      <c r="U955">
        <v>560</v>
      </c>
      <c r="V955">
        <v>314</v>
      </c>
      <c r="W955">
        <v>650</v>
      </c>
      <c r="BF955">
        <v>29</v>
      </c>
      <c r="BG955">
        <v>375</v>
      </c>
      <c r="BH955">
        <v>600</v>
      </c>
      <c r="BI955">
        <v>450</v>
      </c>
      <c r="BJ955">
        <v>37</v>
      </c>
      <c r="BK955">
        <v>500</v>
      </c>
      <c r="BL955">
        <v>1410</v>
      </c>
      <c r="BM955">
        <v>580</v>
      </c>
      <c r="BN955">
        <v>61</v>
      </c>
      <c r="BO955">
        <v>230</v>
      </c>
      <c r="BP955">
        <v>61</v>
      </c>
      <c r="BQ955">
        <v>230</v>
      </c>
      <c r="BR955">
        <v>2070</v>
      </c>
      <c r="BS955">
        <v>550</v>
      </c>
    </row>
    <row r="956" spans="1:75" x14ac:dyDescent="0.25">
      <c r="A956" t="s">
        <v>722</v>
      </c>
      <c r="B956">
        <v>2024</v>
      </c>
      <c r="C956">
        <v>6</v>
      </c>
      <c r="D956">
        <v>110</v>
      </c>
      <c r="E956">
        <v>352.5</v>
      </c>
      <c r="F956">
        <v>510</v>
      </c>
      <c r="G956">
        <v>450</v>
      </c>
      <c r="H956">
        <v>138</v>
      </c>
      <c r="I956">
        <v>590</v>
      </c>
      <c r="J956">
        <v>13</v>
      </c>
      <c r="K956">
        <v>650</v>
      </c>
      <c r="P956">
        <v>27</v>
      </c>
      <c r="Q956">
        <v>230</v>
      </c>
      <c r="R956">
        <v>193</v>
      </c>
      <c r="S956">
        <v>480</v>
      </c>
      <c r="T956">
        <v>690</v>
      </c>
      <c r="U956">
        <v>600</v>
      </c>
      <c r="V956">
        <v>162</v>
      </c>
      <c r="W956">
        <v>700</v>
      </c>
      <c r="BF956">
        <v>16</v>
      </c>
      <c r="BG956">
        <v>390</v>
      </c>
      <c r="BH956">
        <v>785</v>
      </c>
      <c r="BI956">
        <v>450</v>
      </c>
      <c r="BJ956">
        <v>20</v>
      </c>
      <c r="BK956">
        <v>425</v>
      </c>
      <c r="BL956">
        <v>1090</v>
      </c>
      <c r="BM956">
        <v>595</v>
      </c>
      <c r="BN956">
        <v>58</v>
      </c>
      <c r="BO956">
        <v>220</v>
      </c>
      <c r="BP956">
        <v>58</v>
      </c>
      <c r="BQ956">
        <v>220</v>
      </c>
      <c r="BR956">
        <v>1935</v>
      </c>
      <c r="BS956">
        <v>530</v>
      </c>
    </row>
    <row r="957" spans="1:75" x14ac:dyDescent="0.25">
      <c r="A957" t="s">
        <v>723</v>
      </c>
      <c r="B957">
        <v>2024</v>
      </c>
      <c r="C957">
        <v>6</v>
      </c>
      <c r="D957">
        <v>6</v>
      </c>
      <c r="E957">
        <v>192.5</v>
      </c>
      <c r="F957">
        <v>23</v>
      </c>
      <c r="G957">
        <v>240</v>
      </c>
      <c r="H957">
        <v>9</v>
      </c>
      <c r="I957">
        <v>385</v>
      </c>
      <c r="K957">
        <v>440</v>
      </c>
      <c r="P957">
        <v>9</v>
      </c>
      <c r="Q957">
        <v>112</v>
      </c>
      <c r="R957">
        <v>32</v>
      </c>
      <c r="S957">
        <v>320</v>
      </c>
      <c r="T957">
        <v>203</v>
      </c>
      <c r="U957">
        <v>350</v>
      </c>
      <c r="V957">
        <v>44</v>
      </c>
      <c r="W957">
        <v>420</v>
      </c>
      <c r="BG957">
        <v>230</v>
      </c>
      <c r="BH957">
        <v>40</v>
      </c>
      <c r="BI957">
        <v>240</v>
      </c>
      <c r="BJ957">
        <v>12</v>
      </c>
      <c r="BK957">
        <v>330</v>
      </c>
      <c r="BL957">
        <v>300</v>
      </c>
      <c r="BM957">
        <v>350</v>
      </c>
      <c r="BN957">
        <v>350</v>
      </c>
      <c r="BO957">
        <v>350</v>
      </c>
      <c r="BP957">
        <v>350</v>
      </c>
      <c r="BQ957">
        <v>350</v>
      </c>
      <c r="BR957">
        <v>340</v>
      </c>
      <c r="BS957">
        <v>350</v>
      </c>
    </row>
    <row r="958" spans="1:75" x14ac:dyDescent="0.25">
      <c r="A958" t="s">
        <v>711</v>
      </c>
      <c r="B958">
        <v>2024</v>
      </c>
      <c r="C958">
        <v>9</v>
      </c>
      <c r="D958">
        <v>15</v>
      </c>
      <c r="E958">
        <v>250</v>
      </c>
      <c r="F958">
        <v>13</v>
      </c>
      <c r="G958">
        <v>450</v>
      </c>
      <c r="H958">
        <v>39</v>
      </c>
      <c r="I958">
        <v>520</v>
      </c>
      <c r="K958">
        <v>750</v>
      </c>
      <c r="Q958">
        <v>415</v>
      </c>
      <c r="R958">
        <v>28</v>
      </c>
      <c r="S958">
        <v>485</v>
      </c>
      <c r="T958">
        <v>193</v>
      </c>
      <c r="U958">
        <v>540</v>
      </c>
      <c r="V958">
        <v>102</v>
      </c>
      <c r="W958">
        <v>635</v>
      </c>
      <c r="BO958">
        <v>350</v>
      </c>
      <c r="BQ958">
        <v>350</v>
      </c>
      <c r="BR958">
        <v>400</v>
      </c>
      <c r="BS958">
        <v>550</v>
      </c>
      <c r="BT958">
        <v>70</v>
      </c>
      <c r="BU958">
        <v>472.5</v>
      </c>
      <c r="BV958">
        <v>325</v>
      </c>
      <c r="BW958">
        <v>550</v>
      </c>
    </row>
    <row r="959" spans="1:75" x14ac:dyDescent="0.25">
      <c r="A959" t="s">
        <v>712</v>
      </c>
      <c r="B959">
        <v>2024</v>
      </c>
      <c r="C959">
        <v>9</v>
      </c>
      <c r="D959">
        <v>7</v>
      </c>
      <c r="E959">
        <v>250</v>
      </c>
      <c r="F959">
        <v>27</v>
      </c>
      <c r="G959">
        <v>385</v>
      </c>
      <c r="H959">
        <v>17</v>
      </c>
      <c r="I959">
        <v>450</v>
      </c>
      <c r="K959">
        <v>500</v>
      </c>
      <c r="Q959">
        <v>355</v>
      </c>
      <c r="R959">
        <v>14</v>
      </c>
      <c r="S959">
        <v>430</v>
      </c>
      <c r="T959">
        <v>184</v>
      </c>
      <c r="U959">
        <v>500</v>
      </c>
      <c r="V959">
        <v>111</v>
      </c>
      <c r="W959">
        <v>590</v>
      </c>
      <c r="BN959">
        <v>13</v>
      </c>
      <c r="BO959">
        <v>260</v>
      </c>
      <c r="BP959">
        <v>13</v>
      </c>
      <c r="BQ959">
        <v>260</v>
      </c>
      <c r="BR959">
        <v>380</v>
      </c>
      <c r="BS959">
        <v>510</v>
      </c>
      <c r="BT959">
        <v>55</v>
      </c>
      <c r="BU959">
        <v>397.5</v>
      </c>
      <c r="BV959">
        <v>310</v>
      </c>
      <c r="BW959">
        <v>530</v>
      </c>
    </row>
    <row r="960" spans="1:75" x14ac:dyDescent="0.25">
      <c r="A960" t="s">
        <v>713</v>
      </c>
      <c r="B960">
        <v>2024</v>
      </c>
      <c r="C960">
        <v>9</v>
      </c>
      <c r="D960">
        <v>1820</v>
      </c>
      <c r="E960">
        <v>379</v>
      </c>
      <c r="F960">
        <v>786</v>
      </c>
      <c r="G960">
        <v>520</v>
      </c>
      <c r="H960">
        <v>227</v>
      </c>
      <c r="I960">
        <v>660</v>
      </c>
      <c r="J960">
        <v>28</v>
      </c>
      <c r="K960">
        <v>625</v>
      </c>
      <c r="P960">
        <v>45</v>
      </c>
      <c r="Q960">
        <v>240</v>
      </c>
      <c r="R960">
        <v>153</v>
      </c>
      <c r="S960">
        <v>570</v>
      </c>
      <c r="T960">
        <v>560</v>
      </c>
      <c r="U960">
        <v>650</v>
      </c>
      <c r="V960">
        <v>214</v>
      </c>
      <c r="W960">
        <v>850</v>
      </c>
      <c r="BN960">
        <v>129</v>
      </c>
      <c r="BO960">
        <v>235</v>
      </c>
      <c r="BP960">
        <v>129</v>
      </c>
      <c r="BQ960">
        <v>235</v>
      </c>
      <c r="BR960">
        <v>3960</v>
      </c>
      <c r="BS960">
        <v>468.5</v>
      </c>
      <c r="BT960">
        <v>2860</v>
      </c>
      <c r="BU960">
        <v>420</v>
      </c>
      <c r="BV960">
        <v>970</v>
      </c>
      <c r="BW960">
        <v>660</v>
      </c>
    </row>
    <row r="961" spans="1:75" x14ac:dyDescent="0.25">
      <c r="A961" t="s">
        <v>714</v>
      </c>
      <c r="B961">
        <v>2024</v>
      </c>
      <c r="C961">
        <v>9</v>
      </c>
      <c r="D961">
        <v>19</v>
      </c>
      <c r="E961">
        <v>240</v>
      </c>
      <c r="F961">
        <v>51</v>
      </c>
      <c r="G961">
        <v>270</v>
      </c>
      <c r="H961">
        <v>15</v>
      </c>
      <c r="I961">
        <v>480</v>
      </c>
      <c r="J961">
        <v>7</v>
      </c>
      <c r="K961">
        <v>530</v>
      </c>
      <c r="Q961">
        <v>230</v>
      </c>
      <c r="R961">
        <v>22</v>
      </c>
      <c r="S961">
        <v>320</v>
      </c>
      <c r="T961">
        <v>205</v>
      </c>
      <c r="U961">
        <v>350</v>
      </c>
      <c r="V961">
        <v>63</v>
      </c>
      <c r="W961">
        <v>450</v>
      </c>
      <c r="BN961">
        <v>8</v>
      </c>
      <c r="BO961">
        <v>255</v>
      </c>
      <c r="BP961">
        <v>8</v>
      </c>
      <c r="BQ961">
        <v>255</v>
      </c>
      <c r="BR961">
        <v>395</v>
      </c>
      <c r="BS961">
        <v>350</v>
      </c>
      <c r="BT961">
        <v>90</v>
      </c>
      <c r="BU961">
        <v>275</v>
      </c>
      <c r="BV961">
        <v>295</v>
      </c>
      <c r="BW961">
        <v>350</v>
      </c>
    </row>
    <row r="962" spans="1:75" x14ac:dyDescent="0.25">
      <c r="A962" t="s">
        <v>715</v>
      </c>
      <c r="B962">
        <v>2024</v>
      </c>
      <c r="C962">
        <v>9</v>
      </c>
      <c r="D962">
        <v>17</v>
      </c>
      <c r="E962">
        <v>230</v>
      </c>
      <c r="F962">
        <v>39</v>
      </c>
      <c r="G962">
        <v>280</v>
      </c>
      <c r="H962">
        <v>11</v>
      </c>
      <c r="I962">
        <v>300</v>
      </c>
      <c r="J962">
        <v>300</v>
      </c>
      <c r="K962">
        <v>300</v>
      </c>
      <c r="Q962">
        <v>255</v>
      </c>
      <c r="R962">
        <v>17</v>
      </c>
      <c r="S962">
        <v>260</v>
      </c>
      <c r="T962">
        <v>117</v>
      </c>
      <c r="U962">
        <v>330</v>
      </c>
      <c r="V962">
        <v>37</v>
      </c>
      <c r="W962">
        <v>440</v>
      </c>
      <c r="BO962">
        <v>280</v>
      </c>
      <c r="BQ962">
        <v>280</v>
      </c>
      <c r="BR962">
        <v>245</v>
      </c>
      <c r="BS962">
        <v>320</v>
      </c>
      <c r="BT962">
        <v>65</v>
      </c>
      <c r="BU962">
        <v>270</v>
      </c>
      <c r="BV962">
        <v>175</v>
      </c>
      <c r="BW962">
        <v>340</v>
      </c>
    </row>
    <row r="963" spans="1:75" x14ac:dyDescent="0.25">
      <c r="A963" t="s">
        <v>716</v>
      </c>
      <c r="B963">
        <v>2024</v>
      </c>
      <c r="C963">
        <v>9</v>
      </c>
      <c r="D963">
        <v>12</v>
      </c>
      <c r="E963">
        <v>265</v>
      </c>
      <c r="F963">
        <v>32</v>
      </c>
      <c r="G963">
        <v>345</v>
      </c>
      <c r="H963">
        <v>21</v>
      </c>
      <c r="I963">
        <v>450</v>
      </c>
      <c r="J963">
        <v>450</v>
      </c>
      <c r="K963">
        <v>450</v>
      </c>
      <c r="Q963">
        <v>380</v>
      </c>
      <c r="R963">
        <v>12</v>
      </c>
      <c r="S963">
        <v>377.5</v>
      </c>
      <c r="T963">
        <v>155</v>
      </c>
      <c r="U963">
        <v>480</v>
      </c>
      <c r="V963">
        <v>69</v>
      </c>
      <c r="W963">
        <v>550</v>
      </c>
      <c r="BO963">
        <v>180</v>
      </c>
      <c r="BQ963">
        <v>180</v>
      </c>
      <c r="BR963">
        <v>305</v>
      </c>
      <c r="BS963">
        <v>470</v>
      </c>
      <c r="BT963">
        <v>65</v>
      </c>
      <c r="BU963">
        <v>350</v>
      </c>
      <c r="BV963">
        <v>235</v>
      </c>
      <c r="BW963">
        <v>490</v>
      </c>
    </row>
    <row r="964" spans="1:75" x14ac:dyDescent="0.25">
      <c r="A964" t="s">
        <v>717</v>
      </c>
      <c r="B964">
        <v>2024</v>
      </c>
      <c r="C964">
        <v>9</v>
      </c>
      <c r="D964">
        <v>25</v>
      </c>
      <c r="E964">
        <v>240</v>
      </c>
      <c r="F964">
        <v>84</v>
      </c>
      <c r="G964">
        <v>280</v>
      </c>
      <c r="H964">
        <v>27</v>
      </c>
      <c r="I964">
        <v>360</v>
      </c>
      <c r="K964">
        <v>500</v>
      </c>
      <c r="Q964">
        <v>275</v>
      </c>
      <c r="R964">
        <v>26</v>
      </c>
      <c r="S964">
        <v>300</v>
      </c>
      <c r="T964">
        <v>215</v>
      </c>
      <c r="U964">
        <v>390</v>
      </c>
      <c r="V964">
        <v>74</v>
      </c>
      <c r="W964">
        <v>480</v>
      </c>
      <c r="BO964">
        <v>375</v>
      </c>
      <c r="BQ964">
        <v>375</v>
      </c>
      <c r="BR964">
        <v>460</v>
      </c>
      <c r="BS964">
        <v>360</v>
      </c>
      <c r="BT964">
        <v>140</v>
      </c>
      <c r="BU964">
        <v>280</v>
      </c>
      <c r="BV964">
        <v>320</v>
      </c>
      <c r="BW964">
        <v>400</v>
      </c>
    </row>
    <row r="965" spans="1:75" x14ac:dyDescent="0.25">
      <c r="A965" t="s">
        <v>725</v>
      </c>
      <c r="B965">
        <v>2024</v>
      </c>
      <c r="C965">
        <v>9</v>
      </c>
      <c r="D965">
        <v>2201</v>
      </c>
      <c r="E965">
        <v>369</v>
      </c>
      <c r="F965">
        <v>2020</v>
      </c>
      <c r="G965">
        <v>470</v>
      </c>
      <c r="H965">
        <v>694</v>
      </c>
      <c r="I965">
        <v>585</v>
      </c>
      <c r="J965">
        <v>74</v>
      </c>
      <c r="K965">
        <v>630</v>
      </c>
      <c r="P965">
        <v>159</v>
      </c>
      <c r="Q965">
        <v>250</v>
      </c>
      <c r="R965">
        <v>546</v>
      </c>
      <c r="S965">
        <v>510</v>
      </c>
      <c r="T965">
        <v>4391</v>
      </c>
      <c r="U965">
        <v>575</v>
      </c>
      <c r="V965">
        <v>1350</v>
      </c>
      <c r="W965">
        <v>650</v>
      </c>
      <c r="BN965">
        <v>376</v>
      </c>
      <c r="BO965">
        <v>231</v>
      </c>
      <c r="BP965">
        <v>376</v>
      </c>
      <c r="BQ965">
        <v>231</v>
      </c>
      <c r="BR965">
        <v>11810</v>
      </c>
      <c r="BS965">
        <v>520</v>
      </c>
      <c r="BT965">
        <v>4990</v>
      </c>
      <c r="BU965">
        <v>430</v>
      </c>
      <c r="BV965">
        <v>6445</v>
      </c>
      <c r="BW965">
        <v>580</v>
      </c>
    </row>
    <row r="966" spans="1:75" x14ac:dyDescent="0.25">
      <c r="A966" t="s">
        <v>718</v>
      </c>
      <c r="B966">
        <v>2024</v>
      </c>
      <c r="C966">
        <v>9</v>
      </c>
      <c r="D966">
        <v>16</v>
      </c>
      <c r="E966">
        <v>225</v>
      </c>
      <c r="F966">
        <v>57</v>
      </c>
      <c r="G966">
        <v>290</v>
      </c>
      <c r="H966">
        <v>18</v>
      </c>
      <c r="I966">
        <v>380</v>
      </c>
      <c r="K966">
        <v>450</v>
      </c>
      <c r="P966">
        <v>10</v>
      </c>
      <c r="Q966">
        <v>222.5</v>
      </c>
      <c r="R966">
        <v>19</v>
      </c>
      <c r="S966">
        <v>300</v>
      </c>
      <c r="T966">
        <v>202</v>
      </c>
      <c r="U966">
        <v>400</v>
      </c>
      <c r="V966">
        <v>65</v>
      </c>
      <c r="W966">
        <v>480</v>
      </c>
      <c r="BO966">
        <v>480</v>
      </c>
      <c r="BQ966">
        <v>480</v>
      </c>
      <c r="BR966">
        <v>395</v>
      </c>
      <c r="BS966">
        <v>390</v>
      </c>
      <c r="BT966">
        <v>95</v>
      </c>
      <c r="BU966">
        <v>290</v>
      </c>
      <c r="BV966">
        <v>295</v>
      </c>
      <c r="BW966">
        <v>400</v>
      </c>
    </row>
    <row r="967" spans="1:75" x14ac:dyDescent="0.25">
      <c r="A967" t="s">
        <v>719</v>
      </c>
      <c r="B967">
        <v>2024</v>
      </c>
      <c r="C967">
        <v>9</v>
      </c>
      <c r="D967">
        <v>91</v>
      </c>
      <c r="E967">
        <v>275</v>
      </c>
      <c r="F967">
        <v>305</v>
      </c>
      <c r="G967">
        <v>420</v>
      </c>
      <c r="H967">
        <v>192</v>
      </c>
      <c r="I967">
        <v>500</v>
      </c>
      <c r="J967">
        <v>13</v>
      </c>
      <c r="K967">
        <v>530</v>
      </c>
      <c r="P967">
        <v>38</v>
      </c>
      <c r="Q967">
        <v>272.5</v>
      </c>
      <c r="R967">
        <v>123</v>
      </c>
      <c r="S967">
        <v>465</v>
      </c>
      <c r="T967">
        <v>1969</v>
      </c>
      <c r="U967">
        <v>540</v>
      </c>
      <c r="V967">
        <v>655</v>
      </c>
      <c r="W967">
        <v>600</v>
      </c>
      <c r="BN967">
        <v>91</v>
      </c>
      <c r="BO967">
        <v>250</v>
      </c>
      <c r="BP967">
        <v>91</v>
      </c>
      <c r="BQ967">
        <v>250</v>
      </c>
      <c r="BR967">
        <v>3475</v>
      </c>
      <c r="BS967">
        <v>530</v>
      </c>
      <c r="BT967">
        <v>600</v>
      </c>
      <c r="BU967">
        <v>420</v>
      </c>
      <c r="BV967">
        <v>2785</v>
      </c>
      <c r="BW967">
        <v>550</v>
      </c>
    </row>
    <row r="968" spans="1:75" x14ac:dyDescent="0.25">
      <c r="A968" t="s">
        <v>726</v>
      </c>
      <c r="B968">
        <v>2024</v>
      </c>
      <c r="C968">
        <v>9</v>
      </c>
      <c r="D968">
        <v>128</v>
      </c>
      <c r="E968">
        <v>237.5</v>
      </c>
      <c r="F968">
        <v>317</v>
      </c>
      <c r="G968">
        <v>295</v>
      </c>
      <c r="H968">
        <v>154</v>
      </c>
      <c r="I968">
        <v>422.5</v>
      </c>
      <c r="J968">
        <v>23</v>
      </c>
      <c r="K968">
        <v>525</v>
      </c>
      <c r="P968">
        <v>35</v>
      </c>
      <c r="Q968">
        <v>250</v>
      </c>
      <c r="R968">
        <v>174</v>
      </c>
      <c r="S968">
        <v>345</v>
      </c>
      <c r="T968">
        <v>1470</v>
      </c>
      <c r="U968">
        <v>420</v>
      </c>
      <c r="V968">
        <v>574</v>
      </c>
      <c r="W968">
        <v>550</v>
      </c>
      <c r="BN968">
        <v>61</v>
      </c>
      <c r="BO968">
        <v>250</v>
      </c>
      <c r="BP968">
        <v>61</v>
      </c>
      <c r="BQ968">
        <v>250</v>
      </c>
      <c r="BR968">
        <v>2935</v>
      </c>
      <c r="BS968">
        <v>410</v>
      </c>
      <c r="BT968">
        <v>620</v>
      </c>
      <c r="BU968">
        <v>300</v>
      </c>
      <c r="BV968">
        <v>2255</v>
      </c>
      <c r="BW968">
        <v>450</v>
      </c>
    </row>
    <row r="969" spans="1:75" x14ac:dyDescent="0.25">
      <c r="A969" t="s">
        <v>721</v>
      </c>
      <c r="B969">
        <v>2024</v>
      </c>
      <c r="C969">
        <v>9</v>
      </c>
      <c r="D969">
        <v>125</v>
      </c>
      <c r="E969">
        <v>340</v>
      </c>
      <c r="F969">
        <v>399</v>
      </c>
      <c r="G969">
        <v>450</v>
      </c>
      <c r="H969">
        <v>138</v>
      </c>
      <c r="I969">
        <v>550</v>
      </c>
      <c r="J969">
        <v>11</v>
      </c>
      <c r="K969">
        <v>600</v>
      </c>
      <c r="P969">
        <v>36</v>
      </c>
      <c r="Q969">
        <v>235.95</v>
      </c>
      <c r="R969">
        <v>106</v>
      </c>
      <c r="S969">
        <v>500</v>
      </c>
      <c r="T969">
        <v>1138</v>
      </c>
      <c r="U969">
        <v>575</v>
      </c>
      <c r="V969">
        <v>301</v>
      </c>
      <c r="W969">
        <v>680</v>
      </c>
      <c r="BN969">
        <v>100</v>
      </c>
      <c r="BO969">
        <v>225</v>
      </c>
      <c r="BP969">
        <v>100</v>
      </c>
      <c r="BQ969">
        <v>225</v>
      </c>
      <c r="BR969">
        <v>2355</v>
      </c>
      <c r="BS969">
        <v>550</v>
      </c>
      <c r="BT969">
        <v>675</v>
      </c>
      <c r="BU969">
        <v>450</v>
      </c>
      <c r="BV969">
        <v>1580</v>
      </c>
      <c r="BW969">
        <v>580</v>
      </c>
    </row>
    <row r="970" spans="1:75" x14ac:dyDescent="0.25">
      <c r="A970" t="s">
        <v>722</v>
      </c>
      <c r="B970">
        <v>2024</v>
      </c>
      <c r="C970">
        <v>9</v>
      </c>
      <c r="D970">
        <v>165</v>
      </c>
      <c r="E970">
        <v>280</v>
      </c>
      <c r="F970">
        <v>530</v>
      </c>
      <c r="G970">
        <v>450</v>
      </c>
      <c r="H970">
        <v>137</v>
      </c>
      <c r="I970">
        <v>600</v>
      </c>
      <c r="J970">
        <v>22</v>
      </c>
      <c r="K970">
        <v>700</v>
      </c>
      <c r="P970">
        <v>40</v>
      </c>
      <c r="Q970">
        <v>255</v>
      </c>
      <c r="R970">
        <v>164</v>
      </c>
      <c r="S970">
        <v>520</v>
      </c>
      <c r="T970">
        <v>724</v>
      </c>
      <c r="U970">
        <v>620</v>
      </c>
      <c r="V970">
        <v>180</v>
      </c>
      <c r="W970">
        <v>720</v>
      </c>
      <c r="BN970">
        <v>56</v>
      </c>
      <c r="BO970">
        <v>217.5</v>
      </c>
      <c r="BP970">
        <v>56</v>
      </c>
      <c r="BQ970">
        <v>217.5</v>
      </c>
      <c r="BR970">
        <v>2020</v>
      </c>
      <c r="BS970">
        <v>550</v>
      </c>
      <c r="BT970">
        <v>855</v>
      </c>
      <c r="BU970">
        <v>450</v>
      </c>
      <c r="BV970">
        <v>1110</v>
      </c>
      <c r="BW970">
        <v>600</v>
      </c>
    </row>
    <row r="971" spans="1:75" x14ac:dyDescent="0.25">
      <c r="A971" t="s">
        <v>723</v>
      </c>
      <c r="B971">
        <v>2024</v>
      </c>
      <c r="C971">
        <v>9</v>
      </c>
      <c r="D971">
        <v>17</v>
      </c>
      <c r="E971">
        <v>220</v>
      </c>
      <c r="F971">
        <v>14</v>
      </c>
      <c r="G971">
        <v>219</v>
      </c>
      <c r="H971">
        <v>6</v>
      </c>
      <c r="I971">
        <v>350</v>
      </c>
      <c r="K971">
        <v>460</v>
      </c>
      <c r="P971">
        <v>7</v>
      </c>
      <c r="Q971">
        <v>230</v>
      </c>
      <c r="R971">
        <v>36</v>
      </c>
      <c r="S971">
        <v>330</v>
      </c>
      <c r="T971">
        <v>199</v>
      </c>
      <c r="U971">
        <v>375</v>
      </c>
      <c r="V971">
        <v>53</v>
      </c>
      <c r="W971">
        <v>450</v>
      </c>
      <c r="BN971">
        <v>23</v>
      </c>
      <c r="BO971">
        <v>195</v>
      </c>
      <c r="BP971">
        <v>23</v>
      </c>
      <c r="BQ971">
        <v>195</v>
      </c>
      <c r="BR971">
        <v>360</v>
      </c>
      <c r="BS971">
        <v>350</v>
      </c>
      <c r="BT971">
        <v>40</v>
      </c>
      <c r="BU971">
        <v>241.8</v>
      </c>
      <c r="BV971">
        <v>295</v>
      </c>
      <c r="BW971">
        <v>375</v>
      </c>
    </row>
    <row r="972" spans="1:75" x14ac:dyDescent="0.25">
      <c r="A972" t="s">
        <v>711</v>
      </c>
      <c r="B972">
        <v>2024</v>
      </c>
      <c r="C972">
        <v>12</v>
      </c>
      <c r="D972">
        <v>8</v>
      </c>
      <c r="E972">
        <v>310</v>
      </c>
      <c r="F972">
        <v>12</v>
      </c>
      <c r="G972">
        <v>432.5</v>
      </c>
      <c r="H972">
        <v>22</v>
      </c>
      <c r="I972">
        <v>495</v>
      </c>
      <c r="K972">
        <v>650</v>
      </c>
      <c r="Q972">
        <v>575</v>
      </c>
      <c r="R972">
        <v>18</v>
      </c>
      <c r="S972">
        <v>475</v>
      </c>
      <c r="T972">
        <v>171</v>
      </c>
      <c r="U972">
        <v>560</v>
      </c>
      <c r="V972">
        <v>109</v>
      </c>
      <c r="W972">
        <v>650</v>
      </c>
      <c r="BO972">
        <v>170.65</v>
      </c>
      <c r="BQ972">
        <v>170.65</v>
      </c>
      <c r="BR972">
        <v>350</v>
      </c>
      <c r="BS972">
        <v>585</v>
      </c>
      <c r="BT972">
        <v>45</v>
      </c>
      <c r="BU972">
        <v>480</v>
      </c>
      <c r="BV972">
        <v>300</v>
      </c>
      <c r="BW972">
        <v>600</v>
      </c>
    </row>
    <row r="973" spans="1:75" x14ac:dyDescent="0.25">
      <c r="A973" t="s">
        <v>712</v>
      </c>
      <c r="B973">
        <v>2024</v>
      </c>
      <c r="C973">
        <v>12</v>
      </c>
      <c r="E973">
        <v>300</v>
      </c>
      <c r="F973">
        <v>27</v>
      </c>
      <c r="G973">
        <v>380</v>
      </c>
      <c r="H973">
        <v>10</v>
      </c>
      <c r="I973">
        <v>462.5</v>
      </c>
      <c r="K973">
        <v>550</v>
      </c>
      <c r="Q973">
        <v>144.9</v>
      </c>
      <c r="R973">
        <v>12</v>
      </c>
      <c r="S973">
        <v>440</v>
      </c>
      <c r="T973">
        <v>179</v>
      </c>
      <c r="U973">
        <v>515</v>
      </c>
      <c r="V973">
        <v>107</v>
      </c>
      <c r="W973">
        <v>590</v>
      </c>
      <c r="BN973">
        <v>14</v>
      </c>
      <c r="BO973">
        <v>375</v>
      </c>
      <c r="BP973">
        <v>14</v>
      </c>
      <c r="BQ973">
        <v>375</v>
      </c>
      <c r="BR973">
        <v>360</v>
      </c>
      <c r="BS973">
        <v>530</v>
      </c>
      <c r="BT973">
        <v>45</v>
      </c>
      <c r="BU973">
        <v>390</v>
      </c>
      <c r="BV973">
        <v>300</v>
      </c>
      <c r="BW973">
        <v>550</v>
      </c>
    </row>
    <row r="974" spans="1:75" x14ac:dyDescent="0.25">
      <c r="A974" t="s">
        <v>713</v>
      </c>
      <c r="B974">
        <v>2024</v>
      </c>
      <c r="C974">
        <v>12</v>
      </c>
      <c r="D974">
        <v>753</v>
      </c>
      <c r="E974">
        <v>400</v>
      </c>
      <c r="F974">
        <v>803</v>
      </c>
      <c r="G974">
        <v>520</v>
      </c>
      <c r="H974">
        <v>206</v>
      </c>
      <c r="I974">
        <v>680</v>
      </c>
      <c r="J974">
        <v>14</v>
      </c>
      <c r="K974">
        <v>762.5</v>
      </c>
      <c r="P974">
        <v>45</v>
      </c>
      <c r="Q974">
        <v>275</v>
      </c>
      <c r="R974">
        <v>147</v>
      </c>
      <c r="S974">
        <v>595</v>
      </c>
      <c r="T974">
        <v>502</v>
      </c>
      <c r="U974">
        <v>650</v>
      </c>
      <c r="V974">
        <v>216</v>
      </c>
      <c r="W974">
        <v>850</v>
      </c>
      <c r="BN974">
        <v>111</v>
      </c>
      <c r="BO974">
        <v>250</v>
      </c>
      <c r="BP974">
        <v>111</v>
      </c>
      <c r="BQ974">
        <v>250</v>
      </c>
      <c r="BR974">
        <v>2795</v>
      </c>
      <c r="BS974">
        <v>540</v>
      </c>
      <c r="BT974">
        <v>1775</v>
      </c>
      <c r="BU974">
        <v>485</v>
      </c>
      <c r="BV974">
        <v>910</v>
      </c>
      <c r="BW974">
        <v>650</v>
      </c>
    </row>
    <row r="975" spans="1:75" x14ac:dyDescent="0.25">
      <c r="A975" t="s">
        <v>714</v>
      </c>
      <c r="B975">
        <v>2024</v>
      </c>
      <c r="C975">
        <v>12</v>
      </c>
      <c r="D975">
        <v>26</v>
      </c>
      <c r="E975">
        <v>240</v>
      </c>
      <c r="F975">
        <v>48</v>
      </c>
      <c r="G975">
        <v>280</v>
      </c>
      <c r="H975">
        <v>24</v>
      </c>
      <c r="I975">
        <v>480</v>
      </c>
      <c r="K975">
        <v>700</v>
      </c>
      <c r="P975">
        <v>7</v>
      </c>
      <c r="Q975">
        <v>270</v>
      </c>
      <c r="R975">
        <v>29</v>
      </c>
      <c r="S975">
        <v>300</v>
      </c>
      <c r="T975">
        <v>230</v>
      </c>
      <c r="U975">
        <v>350</v>
      </c>
      <c r="V975">
        <v>50</v>
      </c>
      <c r="W975">
        <v>457.5</v>
      </c>
      <c r="BN975">
        <v>12</v>
      </c>
      <c r="BO975">
        <v>215</v>
      </c>
      <c r="BP975">
        <v>12</v>
      </c>
      <c r="BQ975">
        <v>215</v>
      </c>
      <c r="BR975">
        <v>430</v>
      </c>
      <c r="BS975">
        <v>350</v>
      </c>
      <c r="BT975">
        <v>100</v>
      </c>
      <c r="BU975">
        <v>280</v>
      </c>
      <c r="BV975">
        <v>315</v>
      </c>
      <c r="BW975">
        <v>360</v>
      </c>
    </row>
    <row r="976" spans="1:75" x14ac:dyDescent="0.25">
      <c r="A976" t="s">
        <v>715</v>
      </c>
      <c r="B976">
        <v>2024</v>
      </c>
      <c r="C976">
        <v>12</v>
      </c>
      <c r="D976">
        <v>14</v>
      </c>
      <c r="E976">
        <v>240</v>
      </c>
      <c r="F976">
        <v>29</v>
      </c>
      <c r="G976">
        <v>280</v>
      </c>
      <c r="H976">
        <v>7</v>
      </c>
      <c r="I976">
        <v>295</v>
      </c>
      <c r="K976">
        <v>380</v>
      </c>
      <c r="Q976">
        <v>272.55</v>
      </c>
      <c r="R976">
        <v>14</v>
      </c>
      <c r="S976">
        <v>300</v>
      </c>
      <c r="T976">
        <v>100</v>
      </c>
      <c r="U976">
        <v>350</v>
      </c>
      <c r="V976">
        <v>28</v>
      </c>
      <c r="W976">
        <v>435</v>
      </c>
      <c r="BN976">
        <v>350</v>
      </c>
      <c r="BO976">
        <v>350</v>
      </c>
      <c r="BP976">
        <v>350</v>
      </c>
      <c r="BQ976">
        <v>350</v>
      </c>
      <c r="BR976">
        <v>195</v>
      </c>
      <c r="BS976">
        <v>330</v>
      </c>
      <c r="BT976">
        <v>50</v>
      </c>
      <c r="BU976">
        <v>280</v>
      </c>
      <c r="BV976">
        <v>145</v>
      </c>
      <c r="BW976">
        <v>350</v>
      </c>
    </row>
    <row r="977" spans="1:75" x14ac:dyDescent="0.25">
      <c r="A977" t="s">
        <v>716</v>
      </c>
      <c r="B977">
        <v>2024</v>
      </c>
      <c r="C977">
        <v>12</v>
      </c>
      <c r="D977">
        <v>12</v>
      </c>
      <c r="E977">
        <v>297.5</v>
      </c>
      <c r="F977">
        <v>20</v>
      </c>
      <c r="G977">
        <v>325</v>
      </c>
      <c r="H977">
        <v>23</v>
      </c>
      <c r="I977">
        <v>450</v>
      </c>
      <c r="K977">
        <v>575</v>
      </c>
      <c r="Q977">
        <v>337.5</v>
      </c>
      <c r="R977">
        <v>21</v>
      </c>
      <c r="S977">
        <v>415</v>
      </c>
      <c r="T977">
        <v>111</v>
      </c>
      <c r="U977">
        <v>480</v>
      </c>
      <c r="V977">
        <v>65</v>
      </c>
      <c r="W977">
        <v>560</v>
      </c>
      <c r="BO977">
        <v>380</v>
      </c>
      <c r="BQ977">
        <v>380</v>
      </c>
      <c r="BR977">
        <v>260</v>
      </c>
      <c r="BS977">
        <v>470</v>
      </c>
      <c r="BT977">
        <v>55</v>
      </c>
      <c r="BU977">
        <v>380</v>
      </c>
      <c r="BV977">
        <v>200</v>
      </c>
      <c r="BW977">
        <v>490</v>
      </c>
    </row>
    <row r="978" spans="1:75" x14ac:dyDescent="0.25">
      <c r="A978" t="s">
        <v>717</v>
      </c>
      <c r="B978">
        <v>2024</v>
      </c>
      <c r="C978">
        <v>12</v>
      </c>
      <c r="D978">
        <v>26</v>
      </c>
      <c r="E978">
        <v>277.5</v>
      </c>
      <c r="F978">
        <v>99</v>
      </c>
      <c r="G978">
        <v>280</v>
      </c>
      <c r="H978">
        <v>24</v>
      </c>
      <c r="I978">
        <v>390</v>
      </c>
      <c r="K978">
        <v>600</v>
      </c>
      <c r="Q978">
        <v>246.89</v>
      </c>
      <c r="R978">
        <v>21</v>
      </c>
      <c r="S978">
        <v>350</v>
      </c>
      <c r="T978">
        <v>199</v>
      </c>
      <c r="U978">
        <v>380</v>
      </c>
      <c r="V978">
        <v>66</v>
      </c>
      <c r="W978">
        <v>500</v>
      </c>
      <c r="BN978">
        <v>400</v>
      </c>
      <c r="BO978">
        <v>400</v>
      </c>
      <c r="BP978">
        <v>400</v>
      </c>
      <c r="BQ978">
        <v>400</v>
      </c>
      <c r="BR978">
        <v>445</v>
      </c>
      <c r="BS978">
        <v>350</v>
      </c>
      <c r="BT978">
        <v>150</v>
      </c>
      <c r="BU978">
        <v>285</v>
      </c>
      <c r="BV978">
        <v>290</v>
      </c>
      <c r="BW978">
        <v>400</v>
      </c>
    </row>
    <row r="979" spans="1:75" x14ac:dyDescent="0.25">
      <c r="A979" t="s">
        <v>725</v>
      </c>
      <c r="B979">
        <v>2024</v>
      </c>
      <c r="C979">
        <v>12</v>
      </c>
      <c r="D979">
        <v>1029</v>
      </c>
      <c r="E979">
        <v>390</v>
      </c>
      <c r="F979">
        <v>2001</v>
      </c>
      <c r="G979">
        <v>480</v>
      </c>
      <c r="H979">
        <v>626</v>
      </c>
      <c r="I979">
        <v>600</v>
      </c>
      <c r="J979">
        <v>38</v>
      </c>
      <c r="K979">
        <v>672.5</v>
      </c>
      <c r="P979">
        <v>151</v>
      </c>
      <c r="Q979">
        <v>275</v>
      </c>
      <c r="R979">
        <v>611</v>
      </c>
      <c r="S979">
        <v>530</v>
      </c>
      <c r="T979">
        <v>4025</v>
      </c>
      <c r="U979">
        <v>580</v>
      </c>
      <c r="V979">
        <v>1327</v>
      </c>
      <c r="W979">
        <v>650</v>
      </c>
      <c r="BN979">
        <v>353</v>
      </c>
      <c r="BO979">
        <v>250</v>
      </c>
      <c r="BP979">
        <v>353</v>
      </c>
      <c r="BQ979">
        <v>250</v>
      </c>
      <c r="BR979">
        <v>10160</v>
      </c>
      <c r="BS979">
        <v>550</v>
      </c>
      <c r="BT979">
        <v>3695</v>
      </c>
      <c r="BU979">
        <v>470</v>
      </c>
      <c r="BV979">
        <v>6115</v>
      </c>
      <c r="BW979">
        <v>580</v>
      </c>
    </row>
    <row r="980" spans="1:75" x14ac:dyDescent="0.25">
      <c r="A980" t="s">
        <v>718</v>
      </c>
      <c r="B980">
        <v>2024</v>
      </c>
      <c r="C980">
        <v>12</v>
      </c>
      <c r="D980">
        <v>18</v>
      </c>
      <c r="E980">
        <v>240</v>
      </c>
      <c r="F980">
        <v>46</v>
      </c>
      <c r="G980">
        <v>290</v>
      </c>
      <c r="H980">
        <v>16</v>
      </c>
      <c r="I980">
        <v>325</v>
      </c>
      <c r="K980">
        <v>495</v>
      </c>
      <c r="P980">
        <v>13</v>
      </c>
      <c r="Q980">
        <v>200</v>
      </c>
      <c r="R980">
        <v>19</v>
      </c>
      <c r="S980">
        <v>320</v>
      </c>
      <c r="T980">
        <v>219</v>
      </c>
      <c r="U980">
        <v>420</v>
      </c>
      <c r="V980">
        <v>74</v>
      </c>
      <c r="W980">
        <v>495</v>
      </c>
      <c r="BN980">
        <v>6</v>
      </c>
      <c r="BO980">
        <v>250</v>
      </c>
      <c r="BP980">
        <v>6</v>
      </c>
      <c r="BQ980">
        <v>250</v>
      </c>
      <c r="BR980">
        <v>415</v>
      </c>
      <c r="BS980">
        <v>400</v>
      </c>
      <c r="BT980">
        <v>85</v>
      </c>
      <c r="BU980">
        <v>290</v>
      </c>
      <c r="BV980">
        <v>325</v>
      </c>
      <c r="BW980">
        <v>430</v>
      </c>
    </row>
    <row r="981" spans="1:75" x14ac:dyDescent="0.25">
      <c r="A981" t="s">
        <v>719</v>
      </c>
      <c r="B981">
        <v>2024</v>
      </c>
      <c r="C981">
        <v>12</v>
      </c>
      <c r="D981">
        <v>69</v>
      </c>
      <c r="E981">
        <v>300</v>
      </c>
      <c r="F981">
        <v>323</v>
      </c>
      <c r="G981">
        <v>430</v>
      </c>
      <c r="H981">
        <v>139</v>
      </c>
      <c r="I981">
        <v>530</v>
      </c>
      <c r="J981">
        <v>11</v>
      </c>
      <c r="K981">
        <v>580</v>
      </c>
      <c r="P981">
        <v>38</v>
      </c>
      <c r="Q981">
        <v>290</v>
      </c>
      <c r="R981">
        <v>156</v>
      </c>
      <c r="S981">
        <v>450</v>
      </c>
      <c r="T981">
        <v>1869</v>
      </c>
      <c r="U981">
        <v>550</v>
      </c>
      <c r="V981">
        <v>671</v>
      </c>
      <c r="W981">
        <v>600</v>
      </c>
      <c r="BN981">
        <v>96</v>
      </c>
      <c r="BO981">
        <v>250</v>
      </c>
      <c r="BP981">
        <v>96</v>
      </c>
      <c r="BQ981">
        <v>250</v>
      </c>
      <c r="BR981">
        <v>3370</v>
      </c>
      <c r="BS981">
        <v>550</v>
      </c>
      <c r="BT981">
        <v>540</v>
      </c>
      <c r="BU981">
        <v>446.25</v>
      </c>
      <c r="BV981">
        <v>2735</v>
      </c>
      <c r="BW981">
        <v>550</v>
      </c>
    </row>
    <row r="982" spans="1:75" x14ac:dyDescent="0.25">
      <c r="A982" t="s">
        <v>726</v>
      </c>
      <c r="B982">
        <v>2024</v>
      </c>
      <c r="C982">
        <v>12</v>
      </c>
      <c r="D982">
        <v>119</v>
      </c>
      <c r="E982">
        <v>250</v>
      </c>
      <c r="F982">
        <v>300</v>
      </c>
      <c r="G982">
        <v>295</v>
      </c>
      <c r="H982">
        <v>139</v>
      </c>
      <c r="I982">
        <v>450</v>
      </c>
      <c r="J982">
        <v>18</v>
      </c>
      <c r="K982">
        <v>600</v>
      </c>
      <c r="P982">
        <v>43</v>
      </c>
      <c r="Q982">
        <v>230</v>
      </c>
      <c r="R982">
        <v>167</v>
      </c>
      <c r="S982">
        <v>350</v>
      </c>
      <c r="T982">
        <v>1379</v>
      </c>
      <c r="U982">
        <v>420</v>
      </c>
      <c r="V982">
        <v>555</v>
      </c>
      <c r="W982">
        <v>550</v>
      </c>
      <c r="BN982">
        <v>57</v>
      </c>
      <c r="BO982">
        <v>250</v>
      </c>
      <c r="BP982">
        <v>57</v>
      </c>
      <c r="BQ982">
        <v>250</v>
      </c>
      <c r="BR982">
        <v>2775</v>
      </c>
      <c r="BS982">
        <v>410</v>
      </c>
      <c r="BT982">
        <v>575</v>
      </c>
      <c r="BU982">
        <v>300</v>
      </c>
      <c r="BV982">
        <v>2145</v>
      </c>
      <c r="BW982">
        <v>450</v>
      </c>
    </row>
    <row r="983" spans="1:75" x14ac:dyDescent="0.25">
      <c r="A983" t="s">
        <v>721</v>
      </c>
      <c r="B983">
        <v>2024</v>
      </c>
      <c r="C983">
        <v>12</v>
      </c>
      <c r="D983">
        <v>100</v>
      </c>
      <c r="E983">
        <v>360</v>
      </c>
      <c r="F983">
        <v>389</v>
      </c>
      <c r="G983">
        <v>460</v>
      </c>
      <c r="H983">
        <v>135</v>
      </c>
      <c r="I983">
        <v>580</v>
      </c>
      <c r="J983">
        <v>7</v>
      </c>
      <c r="K983">
        <v>620</v>
      </c>
      <c r="P983">
        <v>29</v>
      </c>
      <c r="Q983">
        <v>275</v>
      </c>
      <c r="R983">
        <v>121</v>
      </c>
      <c r="S983">
        <v>520</v>
      </c>
      <c r="T983">
        <v>932</v>
      </c>
      <c r="U983">
        <v>580</v>
      </c>
      <c r="V983">
        <v>291</v>
      </c>
      <c r="W983">
        <v>700</v>
      </c>
      <c r="BN983">
        <v>79</v>
      </c>
      <c r="BO983">
        <v>250</v>
      </c>
      <c r="BP983">
        <v>79</v>
      </c>
      <c r="BQ983">
        <v>250</v>
      </c>
      <c r="BR983">
        <v>2085</v>
      </c>
      <c r="BS983">
        <v>550</v>
      </c>
      <c r="BT983">
        <v>630</v>
      </c>
      <c r="BU983">
        <v>470</v>
      </c>
      <c r="BV983">
        <v>1375</v>
      </c>
      <c r="BW983">
        <v>590</v>
      </c>
    </row>
    <row r="984" spans="1:75" x14ac:dyDescent="0.25">
      <c r="A984" t="s">
        <v>722</v>
      </c>
      <c r="B984">
        <v>2024</v>
      </c>
      <c r="C984">
        <v>12</v>
      </c>
      <c r="D984">
        <v>107</v>
      </c>
      <c r="E984">
        <v>390</v>
      </c>
      <c r="F984">
        <v>486</v>
      </c>
      <c r="G984">
        <v>470</v>
      </c>
      <c r="H984">
        <v>146</v>
      </c>
      <c r="I984">
        <v>610</v>
      </c>
      <c r="J984">
        <v>6</v>
      </c>
      <c r="K984">
        <v>470</v>
      </c>
      <c r="P984">
        <v>39</v>
      </c>
      <c r="Q984">
        <v>255</v>
      </c>
      <c r="R984">
        <v>187</v>
      </c>
      <c r="S984">
        <v>525</v>
      </c>
      <c r="T984">
        <v>722</v>
      </c>
      <c r="U984">
        <v>620</v>
      </c>
      <c r="V984">
        <v>149</v>
      </c>
      <c r="W984">
        <v>750</v>
      </c>
      <c r="BN984">
        <v>67</v>
      </c>
      <c r="BO984">
        <v>220</v>
      </c>
      <c r="BP984">
        <v>67</v>
      </c>
      <c r="BQ984">
        <v>220</v>
      </c>
      <c r="BR984">
        <v>1910</v>
      </c>
      <c r="BS984">
        <v>550</v>
      </c>
      <c r="BT984">
        <v>745</v>
      </c>
      <c r="BU984">
        <v>470</v>
      </c>
      <c r="BV984">
        <v>1095</v>
      </c>
      <c r="BW984">
        <v>600</v>
      </c>
    </row>
    <row r="985" spans="1:75" x14ac:dyDescent="0.25">
      <c r="A985" t="s">
        <v>723</v>
      </c>
      <c r="B985">
        <v>2024</v>
      </c>
      <c r="C985">
        <v>12</v>
      </c>
      <c r="D985">
        <v>10</v>
      </c>
      <c r="E985">
        <v>200</v>
      </c>
      <c r="F985">
        <v>19</v>
      </c>
      <c r="G985">
        <v>250</v>
      </c>
      <c r="H985">
        <v>13</v>
      </c>
      <c r="I985">
        <v>330</v>
      </c>
      <c r="K985">
        <v>530</v>
      </c>
      <c r="Q985">
        <v>170</v>
      </c>
      <c r="R985">
        <v>33</v>
      </c>
      <c r="S985">
        <v>300</v>
      </c>
      <c r="T985">
        <v>170</v>
      </c>
      <c r="U985">
        <v>350</v>
      </c>
      <c r="V985">
        <v>56</v>
      </c>
      <c r="W985">
        <v>462.5</v>
      </c>
      <c r="BN985">
        <v>19</v>
      </c>
      <c r="BO985">
        <v>195</v>
      </c>
      <c r="BP985">
        <v>19</v>
      </c>
      <c r="BQ985">
        <v>195</v>
      </c>
      <c r="BR985">
        <v>325</v>
      </c>
      <c r="BS985">
        <v>350</v>
      </c>
      <c r="BT985">
        <v>45</v>
      </c>
      <c r="BU985">
        <v>250</v>
      </c>
      <c r="BV985">
        <v>265</v>
      </c>
      <c r="BW985">
        <v>360</v>
      </c>
    </row>
    <row r="986" spans="1:75" x14ac:dyDescent="0.25">
      <c r="A986" t="s">
        <v>711</v>
      </c>
      <c r="B986">
        <v>2025</v>
      </c>
      <c r="C986">
        <v>3</v>
      </c>
      <c r="D986">
        <v>9</v>
      </c>
      <c r="E986">
        <v>350</v>
      </c>
      <c r="F986">
        <v>9</v>
      </c>
      <c r="G986">
        <v>380</v>
      </c>
      <c r="H986">
        <v>17</v>
      </c>
      <c r="I986">
        <v>530</v>
      </c>
      <c r="K986">
        <v>605</v>
      </c>
      <c r="Q986">
        <v>312.5</v>
      </c>
      <c r="R986">
        <v>21</v>
      </c>
      <c r="S986">
        <v>470</v>
      </c>
      <c r="T986">
        <v>177</v>
      </c>
      <c r="U986">
        <v>560</v>
      </c>
      <c r="V986">
        <v>93</v>
      </c>
      <c r="W986">
        <v>650</v>
      </c>
      <c r="BO986">
        <v>250</v>
      </c>
      <c r="BQ986">
        <v>250</v>
      </c>
      <c r="BR986">
        <v>335</v>
      </c>
      <c r="BS986">
        <v>590</v>
      </c>
      <c r="BT986">
        <v>40</v>
      </c>
      <c r="BU986">
        <v>500</v>
      </c>
      <c r="BV986">
        <v>295</v>
      </c>
      <c r="BW986">
        <v>600</v>
      </c>
    </row>
    <row r="987" spans="1:75" x14ac:dyDescent="0.25">
      <c r="A987" t="s">
        <v>712</v>
      </c>
      <c r="B987">
        <v>2025</v>
      </c>
      <c r="C987">
        <v>3</v>
      </c>
      <c r="D987">
        <v>14</v>
      </c>
      <c r="E987">
        <v>230</v>
      </c>
      <c r="F987">
        <v>36</v>
      </c>
      <c r="G987">
        <v>380</v>
      </c>
      <c r="H987">
        <v>15</v>
      </c>
      <c r="I987">
        <v>510</v>
      </c>
      <c r="J987">
        <v>510</v>
      </c>
      <c r="K987">
        <v>510</v>
      </c>
      <c r="P987">
        <v>8</v>
      </c>
      <c r="Q987">
        <v>310</v>
      </c>
      <c r="R987">
        <v>13</v>
      </c>
      <c r="S987">
        <v>400</v>
      </c>
      <c r="T987">
        <v>175</v>
      </c>
      <c r="U987">
        <v>530</v>
      </c>
      <c r="V987">
        <v>102</v>
      </c>
      <c r="W987">
        <v>627.5</v>
      </c>
      <c r="BN987">
        <v>19</v>
      </c>
      <c r="BO987">
        <v>200</v>
      </c>
      <c r="BP987">
        <v>19</v>
      </c>
      <c r="BQ987">
        <v>200</v>
      </c>
      <c r="BR987">
        <v>380</v>
      </c>
      <c r="BS987">
        <v>525</v>
      </c>
      <c r="BT987">
        <v>65</v>
      </c>
      <c r="BU987">
        <v>380</v>
      </c>
      <c r="BV987">
        <v>300</v>
      </c>
      <c r="BW987">
        <v>550</v>
      </c>
    </row>
    <row r="988" spans="1:75" x14ac:dyDescent="0.25">
      <c r="A988" t="s">
        <v>713</v>
      </c>
      <c r="B988">
        <v>2025</v>
      </c>
      <c r="C988">
        <v>3</v>
      </c>
      <c r="D988">
        <v>2600</v>
      </c>
      <c r="E988">
        <v>399</v>
      </c>
      <c r="F988">
        <v>880</v>
      </c>
      <c r="G988">
        <v>550</v>
      </c>
      <c r="H988">
        <v>256</v>
      </c>
      <c r="I988">
        <v>680</v>
      </c>
      <c r="J988">
        <v>36</v>
      </c>
      <c r="K988">
        <v>600</v>
      </c>
      <c r="P988">
        <v>50</v>
      </c>
      <c r="Q988">
        <v>285</v>
      </c>
      <c r="R988">
        <v>166</v>
      </c>
      <c r="S988">
        <v>610</v>
      </c>
      <c r="T988">
        <v>497</v>
      </c>
      <c r="U988">
        <v>680</v>
      </c>
      <c r="V988">
        <v>258</v>
      </c>
      <c r="W988">
        <v>815</v>
      </c>
      <c r="BN988">
        <v>164</v>
      </c>
      <c r="BO988">
        <v>270</v>
      </c>
      <c r="BP988">
        <v>164</v>
      </c>
      <c r="BQ988">
        <v>270</v>
      </c>
      <c r="BR988">
        <v>4905</v>
      </c>
      <c r="BS988">
        <v>455</v>
      </c>
      <c r="BT988">
        <v>3770</v>
      </c>
      <c r="BU988">
        <v>429</v>
      </c>
      <c r="BV988">
        <v>970</v>
      </c>
      <c r="BW988">
        <v>680</v>
      </c>
    </row>
    <row r="989" spans="1:75" x14ac:dyDescent="0.25">
      <c r="A989" t="s">
        <v>714</v>
      </c>
      <c r="B989">
        <v>2025</v>
      </c>
      <c r="C989">
        <v>3</v>
      </c>
      <c r="D989">
        <v>32</v>
      </c>
      <c r="E989">
        <v>240</v>
      </c>
      <c r="F989">
        <v>62</v>
      </c>
      <c r="G989">
        <v>280</v>
      </c>
      <c r="H989">
        <v>24</v>
      </c>
      <c r="I989">
        <v>420</v>
      </c>
      <c r="K989">
        <v>490</v>
      </c>
      <c r="P989">
        <v>7</v>
      </c>
      <c r="Q989">
        <v>370</v>
      </c>
      <c r="R989">
        <v>32</v>
      </c>
      <c r="S989">
        <v>340</v>
      </c>
      <c r="T989">
        <v>224</v>
      </c>
      <c r="U989">
        <v>350</v>
      </c>
      <c r="V989">
        <v>67</v>
      </c>
      <c r="W989">
        <v>450</v>
      </c>
      <c r="BN989">
        <v>7</v>
      </c>
      <c r="BO989">
        <v>260</v>
      </c>
      <c r="BP989">
        <v>7</v>
      </c>
      <c r="BQ989">
        <v>260</v>
      </c>
      <c r="BR989">
        <v>455</v>
      </c>
      <c r="BS989">
        <v>350</v>
      </c>
      <c r="BT989">
        <v>120</v>
      </c>
      <c r="BU989">
        <v>285</v>
      </c>
      <c r="BV989">
        <v>330</v>
      </c>
      <c r="BW989">
        <v>370</v>
      </c>
    </row>
    <row r="990" spans="1:75" x14ac:dyDescent="0.25">
      <c r="A990" t="s">
        <v>715</v>
      </c>
      <c r="B990">
        <v>2025</v>
      </c>
      <c r="C990">
        <v>3</v>
      </c>
      <c r="D990">
        <v>18</v>
      </c>
      <c r="E990">
        <v>250</v>
      </c>
      <c r="F990">
        <v>29</v>
      </c>
      <c r="G990">
        <v>260</v>
      </c>
      <c r="H990">
        <v>13</v>
      </c>
      <c r="I990">
        <v>300</v>
      </c>
      <c r="J990">
        <v>300</v>
      </c>
      <c r="K990">
        <v>300</v>
      </c>
      <c r="Q990">
        <v>270</v>
      </c>
      <c r="R990">
        <v>14</v>
      </c>
      <c r="S990">
        <v>300</v>
      </c>
      <c r="T990">
        <v>121</v>
      </c>
      <c r="U990">
        <v>350</v>
      </c>
      <c r="V990">
        <v>23</v>
      </c>
      <c r="W990">
        <v>450</v>
      </c>
      <c r="BO990">
        <v>230</v>
      </c>
      <c r="BQ990">
        <v>230</v>
      </c>
      <c r="BR990">
        <v>220</v>
      </c>
      <c r="BS990">
        <v>330</v>
      </c>
      <c r="BT990">
        <v>60</v>
      </c>
      <c r="BU990">
        <v>260</v>
      </c>
      <c r="BV990">
        <v>160</v>
      </c>
      <c r="BW990">
        <v>350</v>
      </c>
    </row>
    <row r="991" spans="1:75" x14ac:dyDescent="0.25">
      <c r="A991" t="s">
        <v>716</v>
      </c>
      <c r="B991">
        <v>2025</v>
      </c>
      <c r="C991">
        <v>3</v>
      </c>
      <c r="D991">
        <v>10</v>
      </c>
      <c r="E991">
        <v>287.5</v>
      </c>
      <c r="F991">
        <v>20</v>
      </c>
      <c r="G991">
        <v>340</v>
      </c>
      <c r="H991">
        <v>8</v>
      </c>
      <c r="I991">
        <v>465</v>
      </c>
      <c r="K991">
        <v>480</v>
      </c>
      <c r="Q991">
        <v>350</v>
      </c>
      <c r="R991">
        <v>12</v>
      </c>
      <c r="S991">
        <v>430</v>
      </c>
      <c r="T991">
        <v>124</v>
      </c>
      <c r="U991">
        <v>490</v>
      </c>
      <c r="V991">
        <v>62</v>
      </c>
      <c r="W991">
        <v>595</v>
      </c>
      <c r="BO991">
        <v>250</v>
      </c>
      <c r="BQ991">
        <v>250</v>
      </c>
      <c r="BR991">
        <v>245</v>
      </c>
      <c r="BS991">
        <v>490</v>
      </c>
      <c r="BT991">
        <v>40</v>
      </c>
      <c r="BU991">
        <v>355</v>
      </c>
      <c r="BV991">
        <v>205</v>
      </c>
      <c r="BW991">
        <v>520</v>
      </c>
    </row>
    <row r="992" spans="1:75" x14ac:dyDescent="0.25">
      <c r="A992" t="s">
        <v>717</v>
      </c>
      <c r="B992">
        <v>2025</v>
      </c>
      <c r="C992">
        <v>3</v>
      </c>
      <c r="D992">
        <v>19</v>
      </c>
      <c r="E992">
        <v>225</v>
      </c>
      <c r="F992">
        <v>89</v>
      </c>
      <c r="G992">
        <v>275</v>
      </c>
      <c r="H992">
        <v>29</v>
      </c>
      <c r="I992">
        <v>360</v>
      </c>
      <c r="K992">
        <v>630</v>
      </c>
      <c r="Q992">
        <v>220</v>
      </c>
      <c r="R992">
        <v>29</v>
      </c>
      <c r="S992">
        <v>360</v>
      </c>
      <c r="T992">
        <v>234</v>
      </c>
      <c r="U992">
        <v>400</v>
      </c>
      <c r="V992">
        <v>76</v>
      </c>
      <c r="W992">
        <v>485</v>
      </c>
      <c r="BO992">
        <v>425</v>
      </c>
      <c r="BQ992">
        <v>425</v>
      </c>
      <c r="BR992">
        <v>480</v>
      </c>
      <c r="BS992">
        <v>380</v>
      </c>
      <c r="BT992">
        <v>140</v>
      </c>
      <c r="BU992">
        <v>282.5</v>
      </c>
      <c r="BV992">
        <v>340</v>
      </c>
      <c r="BW992">
        <v>410</v>
      </c>
    </row>
    <row r="993" spans="1:75" x14ac:dyDescent="0.25">
      <c r="A993" t="s">
        <v>725</v>
      </c>
      <c r="B993">
        <v>2025</v>
      </c>
      <c r="C993">
        <v>3</v>
      </c>
      <c r="D993">
        <v>2933</v>
      </c>
      <c r="E993">
        <v>399</v>
      </c>
      <c r="F993">
        <v>2139</v>
      </c>
      <c r="G993">
        <v>495</v>
      </c>
      <c r="H993">
        <v>793</v>
      </c>
      <c r="I993">
        <v>600</v>
      </c>
      <c r="J993">
        <v>80</v>
      </c>
      <c r="K993">
        <v>580</v>
      </c>
      <c r="P993">
        <v>178</v>
      </c>
      <c r="Q993">
        <v>275</v>
      </c>
      <c r="R993">
        <v>573</v>
      </c>
      <c r="S993">
        <v>550</v>
      </c>
      <c r="T993">
        <v>4184</v>
      </c>
      <c r="U993">
        <v>590</v>
      </c>
      <c r="V993">
        <v>1377</v>
      </c>
      <c r="W993">
        <v>675</v>
      </c>
      <c r="BN993">
        <v>434</v>
      </c>
      <c r="BO993">
        <v>250</v>
      </c>
      <c r="BP993">
        <v>434</v>
      </c>
      <c r="BQ993">
        <v>250</v>
      </c>
      <c r="BR993">
        <v>12690</v>
      </c>
      <c r="BS993">
        <v>530</v>
      </c>
      <c r="BT993">
        <v>5945</v>
      </c>
      <c r="BU993">
        <v>450</v>
      </c>
      <c r="BV993">
        <v>6310</v>
      </c>
      <c r="BW993">
        <v>600</v>
      </c>
    </row>
    <row r="994" spans="1:75" x14ac:dyDescent="0.25">
      <c r="A994" t="s">
        <v>718</v>
      </c>
      <c r="B994">
        <v>2025</v>
      </c>
      <c r="C994">
        <v>3</v>
      </c>
      <c r="D994">
        <v>19</v>
      </c>
      <c r="E994">
        <v>244</v>
      </c>
      <c r="F994">
        <v>38</v>
      </c>
      <c r="G994">
        <v>275</v>
      </c>
      <c r="H994">
        <v>16</v>
      </c>
      <c r="I994">
        <v>370</v>
      </c>
      <c r="J994">
        <v>370</v>
      </c>
      <c r="K994">
        <v>370</v>
      </c>
      <c r="P994">
        <v>7</v>
      </c>
      <c r="Q994">
        <v>200</v>
      </c>
      <c r="R994">
        <v>20</v>
      </c>
      <c r="S994">
        <v>320</v>
      </c>
      <c r="T994">
        <v>225</v>
      </c>
      <c r="U994">
        <v>420</v>
      </c>
      <c r="V994">
        <v>71</v>
      </c>
      <c r="W994">
        <v>500</v>
      </c>
      <c r="BO994">
        <v>262.5</v>
      </c>
      <c r="BQ994">
        <v>262.5</v>
      </c>
      <c r="BR994">
        <v>400</v>
      </c>
      <c r="BS994">
        <v>405</v>
      </c>
      <c r="BT994">
        <v>75</v>
      </c>
      <c r="BU994">
        <v>280</v>
      </c>
      <c r="BV994">
        <v>325</v>
      </c>
      <c r="BW994">
        <v>430</v>
      </c>
    </row>
    <row r="995" spans="1:75" x14ac:dyDescent="0.25">
      <c r="A995" t="s">
        <v>719</v>
      </c>
      <c r="B995">
        <v>2025</v>
      </c>
      <c r="C995">
        <v>3</v>
      </c>
      <c r="D995">
        <v>75</v>
      </c>
      <c r="E995">
        <v>300</v>
      </c>
      <c r="F995">
        <v>285</v>
      </c>
      <c r="G995">
        <v>445</v>
      </c>
      <c r="H995">
        <v>243</v>
      </c>
      <c r="I995">
        <v>500</v>
      </c>
      <c r="J995">
        <v>21</v>
      </c>
      <c r="K995">
        <v>580</v>
      </c>
      <c r="P995">
        <v>36</v>
      </c>
      <c r="Q995">
        <v>262.5</v>
      </c>
      <c r="R995">
        <v>168</v>
      </c>
      <c r="S995">
        <v>492.5</v>
      </c>
      <c r="T995">
        <v>1925</v>
      </c>
      <c r="U995">
        <v>550</v>
      </c>
      <c r="V995">
        <v>612</v>
      </c>
      <c r="W995">
        <v>600</v>
      </c>
      <c r="BN995">
        <v>81</v>
      </c>
      <c r="BO995">
        <v>230</v>
      </c>
      <c r="BP995">
        <v>81</v>
      </c>
      <c r="BQ995">
        <v>230</v>
      </c>
      <c r="BR995">
        <v>3445</v>
      </c>
      <c r="BS995">
        <v>550</v>
      </c>
      <c r="BT995">
        <v>625</v>
      </c>
      <c r="BU995">
        <v>450</v>
      </c>
      <c r="BV995">
        <v>2740</v>
      </c>
      <c r="BW995">
        <v>550</v>
      </c>
    </row>
    <row r="996" spans="1:75" x14ac:dyDescent="0.25">
      <c r="A996" t="s">
        <v>726</v>
      </c>
      <c r="B996">
        <v>2025</v>
      </c>
      <c r="C996">
        <v>3</v>
      </c>
      <c r="D996">
        <v>131</v>
      </c>
      <c r="E996">
        <v>240</v>
      </c>
      <c r="F996">
        <v>305</v>
      </c>
      <c r="G996">
        <v>290</v>
      </c>
      <c r="H996">
        <v>132</v>
      </c>
      <c r="I996">
        <v>420</v>
      </c>
      <c r="J996">
        <v>8</v>
      </c>
      <c r="K996">
        <v>597.5</v>
      </c>
      <c r="P996">
        <v>36</v>
      </c>
      <c r="Q996">
        <v>300</v>
      </c>
      <c r="R996">
        <v>168</v>
      </c>
      <c r="S996">
        <v>350</v>
      </c>
      <c r="T996">
        <v>1460</v>
      </c>
      <c r="U996">
        <v>425</v>
      </c>
      <c r="V996">
        <v>541</v>
      </c>
      <c r="W996">
        <v>550</v>
      </c>
      <c r="BN996">
        <v>63</v>
      </c>
      <c r="BO996">
        <v>220</v>
      </c>
      <c r="BP996">
        <v>63</v>
      </c>
      <c r="BQ996">
        <v>220</v>
      </c>
      <c r="BR996">
        <v>2845</v>
      </c>
      <c r="BS996">
        <v>415</v>
      </c>
      <c r="BT996">
        <v>575</v>
      </c>
      <c r="BU996">
        <v>300</v>
      </c>
      <c r="BV996">
        <v>2205</v>
      </c>
      <c r="BW996">
        <v>450</v>
      </c>
    </row>
    <row r="997" spans="1:75" x14ac:dyDescent="0.25">
      <c r="A997" t="s">
        <v>721</v>
      </c>
      <c r="B997">
        <v>2025</v>
      </c>
      <c r="C997">
        <v>3</v>
      </c>
      <c r="D997">
        <v>130</v>
      </c>
      <c r="E997">
        <v>355</v>
      </c>
      <c r="F997">
        <v>419</v>
      </c>
      <c r="G997">
        <v>490</v>
      </c>
      <c r="H997">
        <v>152</v>
      </c>
      <c r="I997">
        <v>592.5</v>
      </c>
      <c r="J997">
        <v>12</v>
      </c>
      <c r="K997">
        <v>650</v>
      </c>
      <c r="P997">
        <v>57</v>
      </c>
      <c r="Q997">
        <v>280</v>
      </c>
      <c r="R997">
        <v>93</v>
      </c>
      <c r="S997">
        <v>530</v>
      </c>
      <c r="T997">
        <v>1023</v>
      </c>
      <c r="U997">
        <v>600</v>
      </c>
      <c r="V997">
        <v>316</v>
      </c>
      <c r="W997">
        <v>715</v>
      </c>
      <c r="BN997">
        <v>119</v>
      </c>
      <c r="BO997">
        <v>228</v>
      </c>
      <c r="BP997">
        <v>119</v>
      </c>
      <c r="BQ997">
        <v>228</v>
      </c>
      <c r="BR997">
        <v>2320</v>
      </c>
      <c r="BS997">
        <v>570</v>
      </c>
      <c r="BT997">
        <v>715</v>
      </c>
      <c r="BU997">
        <v>495</v>
      </c>
      <c r="BV997">
        <v>1490</v>
      </c>
      <c r="BW997">
        <v>600</v>
      </c>
    </row>
    <row r="998" spans="1:75" x14ac:dyDescent="0.25">
      <c r="A998" t="s">
        <v>722</v>
      </c>
      <c r="B998">
        <v>2025</v>
      </c>
      <c r="C998">
        <v>3</v>
      </c>
      <c r="D998">
        <v>128</v>
      </c>
      <c r="E998">
        <v>342.5</v>
      </c>
      <c r="F998">
        <v>555</v>
      </c>
      <c r="G998">
        <v>470</v>
      </c>
      <c r="H998">
        <v>142</v>
      </c>
      <c r="I998">
        <v>650</v>
      </c>
      <c r="J998">
        <v>11</v>
      </c>
      <c r="K998">
        <v>650</v>
      </c>
      <c r="P998">
        <v>35</v>
      </c>
      <c r="Q998">
        <v>285</v>
      </c>
      <c r="R998">
        <v>146</v>
      </c>
      <c r="S998">
        <v>550</v>
      </c>
      <c r="T998">
        <v>739</v>
      </c>
      <c r="U998">
        <v>625</v>
      </c>
      <c r="V998">
        <v>191</v>
      </c>
      <c r="W998">
        <v>750</v>
      </c>
      <c r="BN998">
        <v>70</v>
      </c>
      <c r="BO998">
        <v>240</v>
      </c>
      <c r="BP998">
        <v>70</v>
      </c>
      <c r="BQ998">
        <v>240</v>
      </c>
      <c r="BR998">
        <v>2015</v>
      </c>
      <c r="BS998">
        <v>570</v>
      </c>
      <c r="BT998">
        <v>835</v>
      </c>
      <c r="BU998">
        <v>475</v>
      </c>
      <c r="BV998">
        <v>1110</v>
      </c>
      <c r="BW998">
        <v>625</v>
      </c>
    </row>
    <row r="999" spans="1:75" x14ac:dyDescent="0.25">
      <c r="A999" t="s">
        <v>723</v>
      </c>
      <c r="B999">
        <v>2025</v>
      </c>
      <c r="C999">
        <v>3</v>
      </c>
      <c r="D999">
        <v>10</v>
      </c>
      <c r="E999">
        <v>208</v>
      </c>
      <c r="F999">
        <v>22</v>
      </c>
      <c r="G999">
        <v>290</v>
      </c>
      <c r="H999">
        <v>10</v>
      </c>
      <c r="I999">
        <v>395</v>
      </c>
      <c r="J999">
        <v>395</v>
      </c>
      <c r="K999">
        <v>395</v>
      </c>
      <c r="Q999">
        <v>240</v>
      </c>
      <c r="R999">
        <v>27</v>
      </c>
      <c r="S999">
        <v>320</v>
      </c>
      <c r="T999">
        <v>180</v>
      </c>
      <c r="U999">
        <v>380</v>
      </c>
      <c r="V999">
        <v>47</v>
      </c>
      <c r="W999">
        <v>450</v>
      </c>
      <c r="BN999">
        <v>22</v>
      </c>
      <c r="BO999">
        <v>195</v>
      </c>
      <c r="BP999">
        <v>22</v>
      </c>
      <c r="BQ999">
        <v>195</v>
      </c>
      <c r="BR999">
        <v>320</v>
      </c>
      <c r="BS999">
        <v>360</v>
      </c>
      <c r="BT999">
        <v>40</v>
      </c>
      <c r="BU999">
        <v>297.5</v>
      </c>
      <c r="BV999">
        <v>255</v>
      </c>
      <c r="BW999">
        <v>380</v>
      </c>
    </row>
    <row r="1000" spans="1:75" x14ac:dyDescent="0.25">
      <c r="A1000" t="s">
        <v>711</v>
      </c>
      <c r="B1000">
        <v>2025</v>
      </c>
      <c r="C1000">
        <v>6</v>
      </c>
      <c r="E1000">
        <v>443.5</v>
      </c>
      <c r="F1000">
        <v>13</v>
      </c>
      <c r="G1000">
        <v>470</v>
      </c>
      <c r="H1000">
        <v>20</v>
      </c>
      <c r="I1000">
        <v>550</v>
      </c>
      <c r="K1000">
        <v>680</v>
      </c>
      <c r="Q1000">
        <v>350</v>
      </c>
      <c r="R1000">
        <v>19</v>
      </c>
      <c r="S1000">
        <v>470</v>
      </c>
      <c r="T1000">
        <v>150</v>
      </c>
      <c r="U1000">
        <v>567.5</v>
      </c>
      <c r="V1000">
        <v>101</v>
      </c>
      <c r="W1000">
        <v>650</v>
      </c>
      <c r="BN1000">
        <v>6</v>
      </c>
      <c r="BO1000">
        <v>570</v>
      </c>
      <c r="BP1000">
        <v>6</v>
      </c>
      <c r="BQ1000">
        <v>570</v>
      </c>
      <c r="BR1000">
        <v>320</v>
      </c>
      <c r="BS1000">
        <v>590</v>
      </c>
      <c r="BT1000">
        <v>40</v>
      </c>
      <c r="BU1000">
        <v>540</v>
      </c>
      <c r="BV1000">
        <v>275</v>
      </c>
      <c r="BW1000">
        <v>600</v>
      </c>
    </row>
    <row r="1001" spans="1:75" x14ac:dyDescent="0.25">
      <c r="A1001" t="s">
        <v>712</v>
      </c>
      <c r="B1001">
        <v>2025</v>
      </c>
      <c r="C1001">
        <v>6</v>
      </c>
      <c r="D1001">
        <v>9</v>
      </c>
      <c r="E1001">
        <v>245</v>
      </c>
      <c r="F1001">
        <v>28</v>
      </c>
      <c r="G1001">
        <v>420</v>
      </c>
      <c r="H1001">
        <v>10</v>
      </c>
      <c r="I1001">
        <v>510</v>
      </c>
      <c r="J1001">
        <v>510</v>
      </c>
      <c r="K1001">
        <v>510</v>
      </c>
      <c r="Q1001">
        <v>460</v>
      </c>
      <c r="R1001">
        <v>13</v>
      </c>
      <c r="S1001">
        <v>460</v>
      </c>
      <c r="T1001">
        <v>135</v>
      </c>
      <c r="U1001">
        <v>520</v>
      </c>
      <c r="V1001">
        <v>87</v>
      </c>
      <c r="W1001">
        <v>610</v>
      </c>
      <c r="BN1001">
        <v>6</v>
      </c>
      <c r="BO1001">
        <v>250</v>
      </c>
      <c r="BP1001">
        <v>6</v>
      </c>
      <c r="BQ1001">
        <v>250</v>
      </c>
      <c r="BR1001">
        <v>290</v>
      </c>
      <c r="BS1001">
        <v>530</v>
      </c>
      <c r="BT1001">
        <v>45</v>
      </c>
      <c r="BU1001">
        <v>420</v>
      </c>
      <c r="BV1001">
        <v>240</v>
      </c>
      <c r="BW1001">
        <v>550</v>
      </c>
    </row>
    <row r="1002" spans="1:75" x14ac:dyDescent="0.25">
      <c r="A1002" t="s">
        <v>713</v>
      </c>
      <c r="B1002">
        <v>2025</v>
      </c>
      <c r="C1002">
        <v>6</v>
      </c>
      <c r="D1002">
        <v>825</v>
      </c>
      <c r="E1002">
        <v>420</v>
      </c>
      <c r="F1002">
        <v>774</v>
      </c>
      <c r="G1002">
        <v>550</v>
      </c>
      <c r="H1002">
        <v>208</v>
      </c>
      <c r="I1002">
        <v>670</v>
      </c>
      <c r="J1002">
        <v>21</v>
      </c>
      <c r="K1002">
        <v>800</v>
      </c>
      <c r="P1002">
        <v>31</v>
      </c>
      <c r="Q1002">
        <v>285</v>
      </c>
      <c r="R1002">
        <v>133</v>
      </c>
      <c r="S1002">
        <v>600</v>
      </c>
      <c r="T1002">
        <v>505</v>
      </c>
      <c r="U1002">
        <v>670</v>
      </c>
      <c r="V1002">
        <v>223</v>
      </c>
      <c r="W1002">
        <v>850</v>
      </c>
      <c r="BN1002">
        <v>153</v>
      </c>
      <c r="BO1002">
        <v>248.15</v>
      </c>
      <c r="BP1002">
        <v>153</v>
      </c>
      <c r="BQ1002">
        <v>248.15</v>
      </c>
      <c r="BR1002">
        <v>2875</v>
      </c>
      <c r="BS1002">
        <v>550</v>
      </c>
      <c r="BT1002">
        <v>1830</v>
      </c>
      <c r="BU1002">
        <v>506.5</v>
      </c>
      <c r="BV1002">
        <v>890</v>
      </c>
      <c r="BW1002">
        <v>675</v>
      </c>
    </row>
    <row r="1003" spans="1:75" x14ac:dyDescent="0.25">
      <c r="A1003" t="s">
        <v>714</v>
      </c>
      <c r="B1003">
        <v>2025</v>
      </c>
      <c r="C1003">
        <v>6</v>
      </c>
      <c r="D1003">
        <v>42</v>
      </c>
      <c r="E1003">
        <v>245</v>
      </c>
      <c r="F1003">
        <v>45</v>
      </c>
      <c r="G1003">
        <v>280</v>
      </c>
      <c r="H1003">
        <v>19</v>
      </c>
      <c r="I1003">
        <v>520</v>
      </c>
      <c r="K1003">
        <v>527.5</v>
      </c>
      <c r="P1003">
        <v>8</v>
      </c>
      <c r="Q1003">
        <v>337.5</v>
      </c>
      <c r="R1003">
        <v>34</v>
      </c>
      <c r="S1003">
        <v>325</v>
      </c>
      <c r="T1003">
        <v>213</v>
      </c>
      <c r="U1003">
        <v>360</v>
      </c>
      <c r="V1003">
        <v>62</v>
      </c>
      <c r="W1003">
        <v>450</v>
      </c>
      <c r="BN1003">
        <v>11</v>
      </c>
      <c r="BO1003">
        <v>250</v>
      </c>
      <c r="BP1003">
        <v>11</v>
      </c>
      <c r="BQ1003">
        <v>250</v>
      </c>
      <c r="BR1003">
        <v>440</v>
      </c>
      <c r="BS1003">
        <v>350</v>
      </c>
      <c r="BT1003">
        <v>110</v>
      </c>
      <c r="BU1003">
        <v>280</v>
      </c>
      <c r="BV1003">
        <v>315</v>
      </c>
      <c r="BW1003">
        <v>380</v>
      </c>
    </row>
    <row r="1004" spans="1:75" x14ac:dyDescent="0.25">
      <c r="A1004" t="s">
        <v>715</v>
      </c>
      <c r="B1004">
        <v>2025</v>
      </c>
      <c r="C1004">
        <v>6</v>
      </c>
      <c r="D1004">
        <v>15</v>
      </c>
      <c r="E1004">
        <v>240</v>
      </c>
      <c r="F1004">
        <v>31</v>
      </c>
      <c r="G1004">
        <v>280</v>
      </c>
      <c r="H1004">
        <v>12</v>
      </c>
      <c r="I1004">
        <v>300</v>
      </c>
      <c r="K1004">
        <v>380</v>
      </c>
      <c r="Q1004">
        <v>300</v>
      </c>
      <c r="R1004">
        <v>15</v>
      </c>
      <c r="S1004">
        <v>350</v>
      </c>
      <c r="T1004">
        <v>137</v>
      </c>
      <c r="U1004">
        <v>330</v>
      </c>
      <c r="V1004">
        <v>27</v>
      </c>
      <c r="W1004">
        <v>440</v>
      </c>
      <c r="BN1004">
        <v>350</v>
      </c>
      <c r="BO1004">
        <v>350</v>
      </c>
      <c r="BP1004">
        <v>350</v>
      </c>
      <c r="BQ1004">
        <v>350</v>
      </c>
      <c r="BR1004">
        <v>240</v>
      </c>
      <c r="BS1004">
        <v>320</v>
      </c>
      <c r="BT1004">
        <v>60</v>
      </c>
      <c r="BU1004">
        <v>280</v>
      </c>
      <c r="BV1004">
        <v>180</v>
      </c>
      <c r="BW1004">
        <v>350</v>
      </c>
    </row>
    <row r="1005" spans="1:75" x14ac:dyDescent="0.25">
      <c r="A1005" t="s">
        <v>716</v>
      </c>
      <c r="B1005">
        <v>2025</v>
      </c>
      <c r="C1005">
        <v>6</v>
      </c>
      <c r="D1005">
        <v>10</v>
      </c>
      <c r="E1005">
        <v>295</v>
      </c>
      <c r="F1005">
        <v>20</v>
      </c>
      <c r="G1005">
        <v>415</v>
      </c>
      <c r="H1005">
        <v>8</v>
      </c>
      <c r="I1005">
        <v>490</v>
      </c>
      <c r="J1005">
        <v>490</v>
      </c>
      <c r="K1005">
        <v>490</v>
      </c>
      <c r="Q1005">
        <v>295</v>
      </c>
      <c r="R1005">
        <v>19</v>
      </c>
      <c r="S1005">
        <v>470</v>
      </c>
      <c r="T1005">
        <v>125</v>
      </c>
      <c r="U1005">
        <v>500</v>
      </c>
      <c r="V1005">
        <v>62</v>
      </c>
      <c r="W1005">
        <v>580</v>
      </c>
      <c r="BO1005">
        <v>410</v>
      </c>
      <c r="BQ1005">
        <v>410</v>
      </c>
      <c r="BR1005">
        <v>250</v>
      </c>
      <c r="BS1005">
        <v>510</v>
      </c>
      <c r="BT1005">
        <v>40</v>
      </c>
      <c r="BU1005">
        <v>400</v>
      </c>
      <c r="BV1005">
        <v>210</v>
      </c>
      <c r="BW1005">
        <v>530</v>
      </c>
    </row>
    <row r="1006" spans="1:75" x14ac:dyDescent="0.25">
      <c r="A1006" t="s">
        <v>717</v>
      </c>
      <c r="B1006">
        <v>2025</v>
      </c>
      <c r="C1006">
        <v>6</v>
      </c>
      <c r="D1006">
        <v>23</v>
      </c>
      <c r="E1006">
        <v>240</v>
      </c>
      <c r="F1006">
        <v>82</v>
      </c>
      <c r="G1006">
        <v>290</v>
      </c>
      <c r="H1006">
        <v>29</v>
      </c>
      <c r="I1006">
        <v>375</v>
      </c>
      <c r="K1006">
        <v>1170</v>
      </c>
      <c r="Q1006">
        <v>400</v>
      </c>
      <c r="R1006">
        <v>22</v>
      </c>
      <c r="S1006">
        <v>332.5</v>
      </c>
      <c r="T1006">
        <v>243</v>
      </c>
      <c r="U1006">
        <v>395</v>
      </c>
      <c r="V1006">
        <v>56</v>
      </c>
      <c r="W1006">
        <v>520</v>
      </c>
      <c r="BO1006">
        <v>425</v>
      </c>
      <c r="BQ1006">
        <v>425</v>
      </c>
      <c r="BR1006">
        <v>460</v>
      </c>
      <c r="BS1006">
        <v>380</v>
      </c>
      <c r="BT1006">
        <v>135</v>
      </c>
      <c r="BU1006">
        <v>300</v>
      </c>
      <c r="BV1006">
        <v>325</v>
      </c>
      <c r="BW1006">
        <v>400</v>
      </c>
    </row>
    <row r="1007" spans="1:75" x14ac:dyDescent="0.25">
      <c r="A1007" t="s">
        <v>725</v>
      </c>
      <c r="B1007">
        <v>2025</v>
      </c>
      <c r="C1007">
        <v>6</v>
      </c>
      <c r="D1007">
        <v>1148</v>
      </c>
      <c r="E1007">
        <v>402</v>
      </c>
      <c r="F1007">
        <v>2026</v>
      </c>
      <c r="G1007">
        <v>500</v>
      </c>
      <c r="H1007">
        <v>648</v>
      </c>
      <c r="I1007">
        <v>620</v>
      </c>
      <c r="J1007">
        <v>51</v>
      </c>
      <c r="K1007">
        <v>700</v>
      </c>
      <c r="P1007">
        <v>140</v>
      </c>
      <c r="Q1007">
        <v>260</v>
      </c>
      <c r="R1007">
        <v>617</v>
      </c>
      <c r="S1007">
        <v>530</v>
      </c>
      <c r="T1007">
        <v>4154</v>
      </c>
      <c r="U1007">
        <v>600</v>
      </c>
      <c r="V1007">
        <v>1414</v>
      </c>
      <c r="W1007">
        <v>680</v>
      </c>
      <c r="BN1007">
        <v>356</v>
      </c>
      <c r="BO1007">
        <v>244.42</v>
      </c>
      <c r="BP1007">
        <v>356</v>
      </c>
      <c r="BQ1007">
        <v>244.42</v>
      </c>
      <c r="BR1007">
        <v>10555</v>
      </c>
      <c r="BS1007">
        <v>560</v>
      </c>
      <c r="BT1007">
        <v>3875</v>
      </c>
      <c r="BU1007">
        <v>500</v>
      </c>
      <c r="BV1007">
        <v>6325</v>
      </c>
      <c r="BW1007">
        <v>600</v>
      </c>
    </row>
    <row r="1008" spans="1:75" x14ac:dyDescent="0.25">
      <c r="A1008" t="s">
        <v>718</v>
      </c>
      <c r="B1008">
        <v>2025</v>
      </c>
      <c r="C1008">
        <v>6</v>
      </c>
      <c r="D1008">
        <v>23</v>
      </c>
      <c r="E1008">
        <v>230</v>
      </c>
      <c r="F1008">
        <v>57</v>
      </c>
      <c r="G1008">
        <v>275</v>
      </c>
      <c r="H1008">
        <v>18</v>
      </c>
      <c r="I1008">
        <v>425</v>
      </c>
      <c r="K1008">
        <v>530</v>
      </c>
      <c r="Q1008">
        <v>225</v>
      </c>
      <c r="R1008">
        <v>24</v>
      </c>
      <c r="S1008">
        <v>350</v>
      </c>
      <c r="T1008">
        <v>210</v>
      </c>
      <c r="U1008">
        <v>400</v>
      </c>
      <c r="V1008">
        <v>67</v>
      </c>
      <c r="W1008">
        <v>500</v>
      </c>
      <c r="BN1008">
        <v>9</v>
      </c>
      <c r="BO1008">
        <v>250</v>
      </c>
      <c r="BP1008">
        <v>9</v>
      </c>
      <c r="BQ1008">
        <v>250</v>
      </c>
      <c r="BR1008">
        <v>415</v>
      </c>
      <c r="BS1008">
        <v>390</v>
      </c>
      <c r="BT1008">
        <v>100</v>
      </c>
      <c r="BU1008">
        <v>275</v>
      </c>
      <c r="BV1008">
        <v>305</v>
      </c>
      <c r="BW1008">
        <v>420</v>
      </c>
    </row>
    <row r="1009" spans="1:75" x14ac:dyDescent="0.25">
      <c r="A1009" t="s">
        <v>719</v>
      </c>
      <c r="B1009">
        <v>2025</v>
      </c>
      <c r="C1009">
        <v>6</v>
      </c>
      <c r="D1009">
        <v>93</v>
      </c>
      <c r="E1009">
        <v>315</v>
      </c>
      <c r="F1009">
        <v>319</v>
      </c>
      <c r="G1009">
        <v>460</v>
      </c>
      <c r="H1009">
        <v>161</v>
      </c>
      <c r="I1009">
        <v>550</v>
      </c>
      <c r="K1009">
        <v>650</v>
      </c>
      <c r="P1009">
        <v>41</v>
      </c>
      <c r="Q1009">
        <v>250</v>
      </c>
      <c r="R1009">
        <v>166</v>
      </c>
      <c r="S1009">
        <v>480</v>
      </c>
      <c r="T1009">
        <v>1991</v>
      </c>
      <c r="U1009">
        <v>550</v>
      </c>
      <c r="V1009">
        <v>704</v>
      </c>
      <c r="W1009">
        <v>610</v>
      </c>
      <c r="BN1009">
        <v>64</v>
      </c>
      <c r="BO1009">
        <v>240</v>
      </c>
      <c r="BP1009">
        <v>64</v>
      </c>
      <c r="BQ1009">
        <v>240</v>
      </c>
      <c r="BR1009">
        <v>3545</v>
      </c>
      <c r="BS1009">
        <v>550</v>
      </c>
      <c r="BT1009">
        <v>580</v>
      </c>
      <c r="BU1009">
        <v>472.5</v>
      </c>
      <c r="BV1009">
        <v>2900</v>
      </c>
      <c r="BW1009">
        <v>570</v>
      </c>
    </row>
    <row r="1010" spans="1:75" x14ac:dyDescent="0.25">
      <c r="A1010" t="s">
        <v>726</v>
      </c>
      <c r="B1010">
        <v>2025</v>
      </c>
      <c r="C1010">
        <v>6</v>
      </c>
      <c r="D1010">
        <v>134</v>
      </c>
      <c r="E1010">
        <v>240</v>
      </c>
      <c r="F1010">
        <v>297</v>
      </c>
      <c r="G1010">
        <v>300</v>
      </c>
      <c r="H1010">
        <v>118</v>
      </c>
      <c r="I1010">
        <v>455</v>
      </c>
      <c r="J1010">
        <v>15</v>
      </c>
      <c r="K1010">
        <v>560</v>
      </c>
      <c r="P1010">
        <v>31</v>
      </c>
      <c r="Q1010">
        <v>310</v>
      </c>
      <c r="R1010">
        <v>175</v>
      </c>
      <c r="S1010">
        <v>360</v>
      </c>
      <c r="T1010">
        <v>1416</v>
      </c>
      <c r="U1010">
        <v>420</v>
      </c>
      <c r="V1010">
        <v>535</v>
      </c>
      <c r="W1010">
        <v>550</v>
      </c>
      <c r="BN1010">
        <v>60</v>
      </c>
      <c r="BO1010">
        <v>200</v>
      </c>
      <c r="BP1010">
        <v>60</v>
      </c>
      <c r="BQ1010">
        <v>200</v>
      </c>
      <c r="BR1010">
        <v>2780</v>
      </c>
      <c r="BS1010">
        <v>420</v>
      </c>
      <c r="BT1010">
        <v>565</v>
      </c>
      <c r="BU1010">
        <v>300</v>
      </c>
      <c r="BV1010">
        <v>2155</v>
      </c>
      <c r="BW1010">
        <v>450</v>
      </c>
    </row>
    <row r="1011" spans="1:75" x14ac:dyDescent="0.25">
      <c r="A1011" t="s">
        <v>721</v>
      </c>
      <c r="B1011">
        <v>2025</v>
      </c>
      <c r="C1011">
        <v>6</v>
      </c>
      <c r="D1011">
        <v>110</v>
      </c>
      <c r="E1011">
        <v>370</v>
      </c>
      <c r="F1011">
        <v>408</v>
      </c>
      <c r="G1011">
        <v>490</v>
      </c>
      <c r="H1011">
        <v>132</v>
      </c>
      <c r="I1011">
        <v>600</v>
      </c>
      <c r="J1011">
        <v>10</v>
      </c>
      <c r="K1011">
        <v>640</v>
      </c>
      <c r="P1011">
        <v>35</v>
      </c>
      <c r="Q1011">
        <v>240</v>
      </c>
      <c r="R1011">
        <v>141</v>
      </c>
      <c r="S1011">
        <v>520</v>
      </c>
      <c r="T1011">
        <v>998</v>
      </c>
      <c r="U1011">
        <v>600</v>
      </c>
      <c r="V1011">
        <v>308</v>
      </c>
      <c r="W1011">
        <v>700</v>
      </c>
      <c r="BN1011">
        <v>91</v>
      </c>
      <c r="BO1011">
        <v>240</v>
      </c>
      <c r="BP1011">
        <v>91</v>
      </c>
      <c r="BQ1011">
        <v>240</v>
      </c>
      <c r="BR1011">
        <v>2235</v>
      </c>
      <c r="BS1011">
        <v>575</v>
      </c>
      <c r="BT1011">
        <v>660</v>
      </c>
      <c r="BU1011">
        <v>495</v>
      </c>
      <c r="BV1011">
        <v>1480</v>
      </c>
      <c r="BW1011">
        <v>600</v>
      </c>
    </row>
    <row r="1012" spans="1:75" x14ac:dyDescent="0.25">
      <c r="A1012" t="s">
        <v>722</v>
      </c>
      <c r="B1012">
        <v>2025</v>
      </c>
      <c r="C1012">
        <v>6</v>
      </c>
      <c r="D1012">
        <v>120</v>
      </c>
      <c r="E1012">
        <v>380</v>
      </c>
      <c r="F1012">
        <v>525</v>
      </c>
      <c r="G1012">
        <v>485</v>
      </c>
      <c r="H1012">
        <v>147</v>
      </c>
      <c r="I1012">
        <v>640</v>
      </c>
      <c r="J1012">
        <v>15</v>
      </c>
      <c r="K1012">
        <v>750</v>
      </c>
      <c r="P1012">
        <v>33</v>
      </c>
      <c r="Q1012">
        <v>260</v>
      </c>
      <c r="R1012">
        <v>177</v>
      </c>
      <c r="S1012">
        <v>540</v>
      </c>
      <c r="T1012">
        <v>660</v>
      </c>
      <c r="U1012">
        <v>650</v>
      </c>
      <c r="V1012">
        <v>179</v>
      </c>
      <c r="W1012">
        <v>750</v>
      </c>
      <c r="BN1012">
        <v>48</v>
      </c>
      <c r="BO1012">
        <v>240</v>
      </c>
      <c r="BP1012">
        <v>48</v>
      </c>
      <c r="BQ1012">
        <v>240</v>
      </c>
      <c r="BR1012">
        <v>1905</v>
      </c>
      <c r="BS1012">
        <v>580</v>
      </c>
      <c r="BT1012">
        <v>805</v>
      </c>
      <c r="BU1012">
        <v>500</v>
      </c>
      <c r="BV1012">
        <v>1050</v>
      </c>
      <c r="BW1012">
        <v>640</v>
      </c>
    </row>
    <row r="1013" spans="1:75" x14ac:dyDescent="0.25">
      <c r="A1013" t="s">
        <v>723</v>
      </c>
      <c r="B1013">
        <v>2025</v>
      </c>
      <c r="C1013">
        <v>6</v>
      </c>
      <c r="D1013">
        <v>8</v>
      </c>
      <c r="E1013">
        <v>176.95</v>
      </c>
      <c r="F1013">
        <v>21</v>
      </c>
      <c r="G1013">
        <v>260</v>
      </c>
      <c r="I1013">
        <v>334</v>
      </c>
      <c r="K1013">
        <v>395</v>
      </c>
      <c r="Q1013">
        <v>250</v>
      </c>
      <c r="R1013">
        <v>29</v>
      </c>
      <c r="S1013">
        <v>320</v>
      </c>
      <c r="T1013">
        <v>203</v>
      </c>
      <c r="U1013">
        <v>380</v>
      </c>
      <c r="V1013">
        <v>73</v>
      </c>
      <c r="W1013">
        <v>480</v>
      </c>
      <c r="BN1013">
        <v>25</v>
      </c>
      <c r="BO1013">
        <v>195</v>
      </c>
      <c r="BP1013">
        <v>25</v>
      </c>
      <c r="BQ1013">
        <v>195</v>
      </c>
      <c r="BR1013">
        <v>365</v>
      </c>
      <c r="BS1013">
        <v>365</v>
      </c>
      <c r="BT1013">
        <v>30</v>
      </c>
      <c r="BU1013">
        <v>241.4</v>
      </c>
      <c r="BV1013">
        <v>310</v>
      </c>
      <c r="BW1013">
        <v>390</v>
      </c>
    </row>
    <row r="1014" spans="1:75" x14ac:dyDescent="0.25">
      <c r="A1014" t="s">
        <v>711</v>
      </c>
      <c r="B1014">
        <v>2025</v>
      </c>
      <c r="C1014">
        <v>9</v>
      </c>
      <c r="D1014">
        <v>9</v>
      </c>
      <c r="E1014">
        <v>566.5</v>
      </c>
      <c r="F1014">
        <v>11</v>
      </c>
      <c r="G1014">
        <v>390</v>
      </c>
      <c r="H1014">
        <v>27</v>
      </c>
      <c r="I1014">
        <v>550</v>
      </c>
      <c r="J1014">
        <v>6</v>
      </c>
      <c r="K1014">
        <v>625</v>
      </c>
      <c r="Q1014">
        <v>287.5</v>
      </c>
      <c r="R1014">
        <v>15</v>
      </c>
      <c r="S1014">
        <v>500</v>
      </c>
      <c r="T1014">
        <v>178</v>
      </c>
      <c r="U1014">
        <v>580</v>
      </c>
      <c r="V1014">
        <v>101</v>
      </c>
      <c r="W1014">
        <v>650</v>
      </c>
      <c r="BO1014">
        <v>325</v>
      </c>
      <c r="BQ1014">
        <v>325</v>
      </c>
      <c r="BR1014">
        <v>355</v>
      </c>
      <c r="BS1014">
        <v>590</v>
      </c>
      <c r="BT1014">
        <v>55</v>
      </c>
      <c r="BU1014">
        <v>540</v>
      </c>
      <c r="BV1014">
        <v>300</v>
      </c>
      <c r="BW1014">
        <v>600</v>
      </c>
    </row>
    <row r="1015" spans="1:75" x14ac:dyDescent="0.25">
      <c r="A1015" t="s">
        <v>712</v>
      </c>
      <c r="B1015">
        <v>2025</v>
      </c>
      <c r="C1015">
        <v>9</v>
      </c>
      <c r="D1015">
        <v>10</v>
      </c>
      <c r="E1015">
        <v>286.25</v>
      </c>
      <c r="F1015">
        <v>35</v>
      </c>
      <c r="G1015">
        <v>380</v>
      </c>
      <c r="H1015">
        <v>10</v>
      </c>
      <c r="I1015">
        <v>451.25</v>
      </c>
      <c r="K1015">
        <v>635</v>
      </c>
      <c r="Q1015">
        <v>240</v>
      </c>
      <c r="R1015">
        <v>14</v>
      </c>
      <c r="S1015">
        <v>477.5</v>
      </c>
      <c r="T1015">
        <v>214</v>
      </c>
      <c r="U1015">
        <v>530</v>
      </c>
      <c r="V1015">
        <v>93</v>
      </c>
      <c r="W1015">
        <v>650</v>
      </c>
      <c r="BN1015">
        <v>12</v>
      </c>
      <c r="BO1015">
        <v>277.5</v>
      </c>
      <c r="BP1015">
        <v>12</v>
      </c>
      <c r="BQ1015">
        <v>277.5</v>
      </c>
      <c r="BR1015">
        <v>395</v>
      </c>
      <c r="BS1015">
        <v>535</v>
      </c>
      <c r="BT1015">
        <v>55</v>
      </c>
      <c r="BU1015">
        <v>395</v>
      </c>
      <c r="BV1015">
        <v>325</v>
      </c>
      <c r="BW1015">
        <v>550</v>
      </c>
    </row>
    <row r="1016" spans="1:75" x14ac:dyDescent="0.25">
      <c r="A1016" t="s">
        <v>713</v>
      </c>
      <c r="B1016">
        <v>2025</v>
      </c>
      <c r="C1016">
        <v>9</v>
      </c>
      <c r="D1016">
        <v>1724</v>
      </c>
      <c r="E1016">
        <v>415</v>
      </c>
      <c r="F1016">
        <v>899</v>
      </c>
      <c r="G1016">
        <v>550</v>
      </c>
      <c r="H1016">
        <v>245</v>
      </c>
      <c r="I1016">
        <v>680</v>
      </c>
      <c r="J1016">
        <v>23</v>
      </c>
      <c r="K1016">
        <v>600</v>
      </c>
      <c r="P1016">
        <v>45</v>
      </c>
      <c r="Q1016">
        <v>250</v>
      </c>
      <c r="R1016">
        <v>162</v>
      </c>
      <c r="S1016">
        <v>600</v>
      </c>
      <c r="T1016">
        <v>531</v>
      </c>
      <c r="U1016">
        <v>680</v>
      </c>
      <c r="V1016">
        <v>244</v>
      </c>
      <c r="W1016">
        <v>850</v>
      </c>
      <c r="BN1016">
        <v>152</v>
      </c>
      <c r="BO1016">
        <v>245.85499999999999</v>
      </c>
      <c r="BP1016">
        <v>152</v>
      </c>
      <c r="BQ1016">
        <v>245.85499999999999</v>
      </c>
      <c r="BR1016">
        <v>4025</v>
      </c>
      <c r="BS1016">
        <v>500</v>
      </c>
      <c r="BT1016">
        <v>2890</v>
      </c>
      <c r="BU1016">
        <v>450</v>
      </c>
      <c r="BV1016">
        <v>980</v>
      </c>
      <c r="BW1016">
        <v>680</v>
      </c>
    </row>
    <row r="1017" spans="1:75" x14ac:dyDescent="0.25">
      <c r="A1017" t="s">
        <v>714</v>
      </c>
      <c r="B1017">
        <v>2025</v>
      </c>
      <c r="C1017">
        <v>9</v>
      </c>
      <c r="D1017">
        <v>27</v>
      </c>
      <c r="E1017">
        <v>250</v>
      </c>
      <c r="F1017">
        <v>45</v>
      </c>
      <c r="G1017">
        <v>290</v>
      </c>
      <c r="H1017">
        <v>17</v>
      </c>
      <c r="I1017">
        <v>400</v>
      </c>
      <c r="K1017">
        <v>527.5</v>
      </c>
      <c r="P1017">
        <v>9</v>
      </c>
      <c r="Q1017">
        <v>280</v>
      </c>
      <c r="R1017">
        <v>22</v>
      </c>
      <c r="S1017">
        <v>315</v>
      </c>
      <c r="T1017">
        <v>232</v>
      </c>
      <c r="U1017">
        <v>350</v>
      </c>
      <c r="V1017">
        <v>63</v>
      </c>
      <c r="W1017">
        <v>450</v>
      </c>
      <c r="BO1017">
        <v>260</v>
      </c>
      <c r="BQ1017">
        <v>260</v>
      </c>
      <c r="BR1017">
        <v>420</v>
      </c>
      <c r="BS1017">
        <v>353</v>
      </c>
      <c r="BT1017">
        <v>90</v>
      </c>
      <c r="BU1017">
        <v>300</v>
      </c>
      <c r="BV1017">
        <v>325</v>
      </c>
      <c r="BW1017">
        <v>372.5</v>
      </c>
    </row>
    <row r="1018" spans="1:75" x14ac:dyDescent="0.25">
      <c r="A1018" t="s">
        <v>715</v>
      </c>
      <c r="B1018">
        <v>2025</v>
      </c>
      <c r="C1018">
        <v>9</v>
      </c>
      <c r="D1018">
        <v>16</v>
      </c>
      <c r="E1018">
        <v>230.45</v>
      </c>
      <c r="F1018">
        <v>37</v>
      </c>
      <c r="G1018">
        <v>280</v>
      </c>
      <c r="H1018">
        <v>23</v>
      </c>
      <c r="I1018">
        <v>280</v>
      </c>
      <c r="J1018">
        <v>280</v>
      </c>
      <c r="K1018">
        <v>280</v>
      </c>
      <c r="Q1018">
        <v>200</v>
      </c>
      <c r="R1018">
        <v>14</v>
      </c>
      <c r="S1018">
        <v>315</v>
      </c>
      <c r="T1018">
        <v>123</v>
      </c>
      <c r="U1018">
        <v>350</v>
      </c>
      <c r="V1018">
        <v>32</v>
      </c>
      <c r="W1018">
        <v>450</v>
      </c>
      <c r="BO1018">
        <v>121</v>
      </c>
      <c r="BQ1018">
        <v>121</v>
      </c>
      <c r="BR1018">
        <v>245</v>
      </c>
      <c r="BS1018">
        <v>330</v>
      </c>
      <c r="BT1018">
        <v>75</v>
      </c>
      <c r="BU1018">
        <v>270</v>
      </c>
      <c r="BV1018">
        <v>170</v>
      </c>
      <c r="BW1018">
        <v>360</v>
      </c>
    </row>
    <row r="1019" spans="1:75" x14ac:dyDescent="0.25">
      <c r="A1019" t="s">
        <v>716</v>
      </c>
      <c r="B1019">
        <v>2025</v>
      </c>
      <c r="C1019">
        <v>9</v>
      </c>
      <c r="D1019">
        <v>17</v>
      </c>
      <c r="E1019">
        <v>300</v>
      </c>
      <c r="F1019">
        <v>25</v>
      </c>
      <c r="G1019">
        <v>400</v>
      </c>
      <c r="H1019">
        <v>18</v>
      </c>
      <c r="I1019">
        <v>495</v>
      </c>
      <c r="J1019">
        <v>495</v>
      </c>
      <c r="K1019">
        <v>495</v>
      </c>
      <c r="Q1019">
        <v>380</v>
      </c>
      <c r="R1019">
        <v>31</v>
      </c>
      <c r="S1019">
        <v>400</v>
      </c>
      <c r="T1019">
        <v>124</v>
      </c>
      <c r="U1019">
        <v>530</v>
      </c>
      <c r="V1019">
        <v>79</v>
      </c>
      <c r="W1019">
        <v>600</v>
      </c>
      <c r="BO1019">
        <v>185</v>
      </c>
      <c r="BQ1019">
        <v>185</v>
      </c>
      <c r="BR1019">
        <v>305</v>
      </c>
      <c r="BS1019">
        <v>510</v>
      </c>
      <c r="BT1019">
        <v>60</v>
      </c>
      <c r="BU1019">
        <v>397.5</v>
      </c>
      <c r="BV1019">
        <v>240</v>
      </c>
      <c r="BW1019">
        <v>550</v>
      </c>
    </row>
    <row r="1020" spans="1:75" x14ac:dyDescent="0.25">
      <c r="A1020" t="s">
        <v>717</v>
      </c>
      <c r="B1020">
        <v>2025</v>
      </c>
      <c r="C1020">
        <v>9</v>
      </c>
      <c r="D1020">
        <v>23</v>
      </c>
      <c r="E1020">
        <v>235</v>
      </c>
      <c r="F1020">
        <v>90</v>
      </c>
      <c r="G1020">
        <v>292.5</v>
      </c>
      <c r="H1020">
        <v>26</v>
      </c>
      <c r="I1020">
        <v>397.5</v>
      </c>
      <c r="J1020">
        <v>397.5</v>
      </c>
      <c r="K1020">
        <v>397.5</v>
      </c>
      <c r="Q1020">
        <v>305</v>
      </c>
      <c r="R1020">
        <v>26</v>
      </c>
      <c r="S1020">
        <v>332.5</v>
      </c>
      <c r="T1020">
        <v>217</v>
      </c>
      <c r="U1020">
        <v>415</v>
      </c>
      <c r="V1020">
        <v>48</v>
      </c>
      <c r="W1020">
        <v>527.5</v>
      </c>
      <c r="BO1020">
        <v>300</v>
      </c>
      <c r="BQ1020">
        <v>300</v>
      </c>
      <c r="BR1020">
        <v>435</v>
      </c>
      <c r="BS1020">
        <v>390</v>
      </c>
      <c r="BT1020">
        <v>140</v>
      </c>
      <c r="BU1020">
        <v>300</v>
      </c>
      <c r="BV1020">
        <v>295</v>
      </c>
      <c r="BW1020">
        <v>420</v>
      </c>
    </row>
    <row r="1021" spans="1:75" x14ac:dyDescent="0.25">
      <c r="A1021" t="s">
        <v>725</v>
      </c>
      <c r="B1021">
        <v>2025</v>
      </c>
      <c r="C1021">
        <v>9</v>
      </c>
      <c r="D1021">
        <v>2052</v>
      </c>
      <c r="E1021">
        <v>409</v>
      </c>
      <c r="F1021">
        <v>2185</v>
      </c>
      <c r="G1021">
        <v>500</v>
      </c>
      <c r="H1021">
        <v>729</v>
      </c>
      <c r="I1021">
        <v>625</v>
      </c>
      <c r="J1021">
        <v>70</v>
      </c>
      <c r="K1021">
        <v>650</v>
      </c>
      <c r="P1021">
        <v>168</v>
      </c>
      <c r="Q1021">
        <v>280</v>
      </c>
      <c r="R1021">
        <v>606</v>
      </c>
      <c r="S1021">
        <v>550</v>
      </c>
      <c r="T1021">
        <v>4295</v>
      </c>
      <c r="U1021">
        <v>600</v>
      </c>
      <c r="V1021">
        <v>1490</v>
      </c>
      <c r="W1021">
        <v>680</v>
      </c>
      <c r="BN1021">
        <v>426</v>
      </c>
      <c r="BO1021">
        <v>241.05</v>
      </c>
      <c r="BP1021">
        <v>426</v>
      </c>
      <c r="BQ1021">
        <v>241.05</v>
      </c>
      <c r="BR1021">
        <v>12020</v>
      </c>
      <c r="BS1021">
        <v>550</v>
      </c>
      <c r="BT1021">
        <v>5035</v>
      </c>
      <c r="BU1021">
        <v>475</v>
      </c>
      <c r="BV1021">
        <v>6560</v>
      </c>
      <c r="BW1021">
        <v>600</v>
      </c>
    </row>
    <row r="1022" spans="1:75" x14ac:dyDescent="0.25">
      <c r="A1022" t="s">
        <v>718</v>
      </c>
      <c r="B1022">
        <v>2025</v>
      </c>
      <c r="C1022">
        <v>9</v>
      </c>
      <c r="D1022">
        <v>21</v>
      </c>
      <c r="E1022">
        <v>215</v>
      </c>
      <c r="F1022">
        <v>52</v>
      </c>
      <c r="G1022">
        <v>300</v>
      </c>
      <c r="H1022">
        <v>15</v>
      </c>
      <c r="I1022">
        <v>430</v>
      </c>
      <c r="K1022">
        <v>530</v>
      </c>
      <c r="P1022">
        <v>10</v>
      </c>
      <c r="Q1022">
        <v>270</v>
      </c>
      <c r="R1022">
        <v>28</v>
      </c>
      <c r="S1022">
        <v>370</v>
      </c>
      <c r="T1022">
        <v>224</v>
      </c>
      <c r="U1022">
        <v>440</v>
      </c>
      <c r="V1022">
        <v>94</v>
      </c>
      <c r="W1022">
        <v>530</v>
      </c>
      <c r="BO1022">
        <v>250</v>
      </c>
      <c r="BQ1022">
        <v>250</v>
      </c>
      <c r="BR1022">
        <v>450</v>
      </c>
      <c r="BS1022">
        <v>420</v>
      </c>
      <c r="BT1022">
        <v>90</v>
      </c>
      <c r="BU1022">
        <v>300</v>
      </c>
      <c r="BV1022">
        <v>355</v>
      </c>
      <c r="BW1022">
        <v>450</v>
      </c>
    </row>
    <row r="1023" spans="1:75" x14ac:dyDescent="0.25">
      <c r="A1023" t="s">
        <v>719</v>
      </c>
      <c r="B1023">
        <v>2025</v>
      </c>
      <c r="C1023">
        <v>9</v>
      </c>
      <c r="D1023">
        <v>80</v>
      </c>
      <c r="E1023">
        <v>320</v>
      </c>
      <c r="F1023">
        <v>325</v>
      </c>
      <c r="G1023">
        <v>460</v>
      </c>
      <c r="H1023">
        <v>157</v>
      </c>
      <c r="I1023">
        <v>550</v>
      </c>
      <c r="J1023">
        <v>26</v>
      </c>
      <c r="K1023">
        <v>590</v>
      </c>
      <c r="P1023">
        <v>43</v>
      </c>
      <c r="Q1023">
        <v>260</v>
      </c>
      <c r="R1023">
        <v>138</v>
      </c>
      <c r="S1023">
        <v>500</v>
      </c>
      <c r="T1023">
        <v>1960</v>
      </c>
      <c r="U1023">
        <v>550</v>
      </c>
      <c r="V1023">
        <v>754</v>
      </c>
      <c r="W1023">
        <v>600</v>
      </c>
      <c r="BN1023">
        <v>114</v>
      </c>
      <c r="BO1023">
        <v>235</v>
      </c>
      <c r="BP1023">
        <v>114</v>
      </c>
      <c r="BQ1023">
        <v>235</v>
      </c>
      <c r="BR1023">
        <v>3595</v>
      </c>
      <c r="BS1023">
        <v>550</v>
      </c>
      <c r="BT1023">
        <v>590</v>
      </c>
      <c r="BU1023">
        <v>480</v>
      </c>
      <c r="BV1023">
        <v>2895</v>
      </c>
      <c r="BW1023">
        <v>570</v>
      </c>
    </row>
    <row r="1024" spans="1:75" x14ac:dyDescent="0.25">
      <c r="A1024" t="s">
        <v>726</v>
      </c>
      <c r="B1024">
        <v>2025</v>
      </c>
      <c r="C1024">
        <v>9</v>
      </c>
      <c r="D1024">
        <v>141</v>
      </c>
      <c r="E1024">
        <v>250</v>
      </c>
      <c r="F1024">
        <v>310</v>
      </c>
      <c r="G1024">
        <v>302.5</v>
      </c>
      <c r="H1024">
        <v>148</v>
      </c>
      <c r="I1024">
        <v>440</v>
      </c>
      <c r="J1024">
        <v>15</v>
      </c>
      <c r="K1024">
        <v>600</v>
      </c>
      <c r="P1024">
        <v>40</v>
      </c>
      <c r="Q1024">
        <v>280</v>
      </c>
      <c r="R1024">
        <v>189</v>
      </c>
      <c r="S1024">
        <v>365</v>
      </c>
      <c r="T1024">
        <v>1504</v>
      </c>
      <c r="U1024">
        <v>450</v>
      </c>
      <c r="V1024">
        <v>572</v>
      </c>
      <c r="W1024">
        <v>570</v>
      </c>
      <c r="BN1024">
        <v>50</v>
      </c>
      <c r="BO1024">
        <v>250</v>
      </c>
      <c r="BP1024">
        <v>50</v>
      </c>
      <c r="BQ1024">
        <v>250</v>
      </c>
      <c r="BR1024">
        <v>2970</v>
      </c>
      <c r="BS1024">
        <v>430</v>
      </c>
      <c r="BT1024">
        <v>615</v>
      </c>
      <c r="BU1024">
        <v>310</v>
      </c>
      <c r="BV1024">
        <v>2305</v>
      </c>
      <c r="BW1024">
        <v>450</v>
      </c>
    </row>
    <row r="1025" spans="1:75" x14ac:dyDescent="0.25">
      <c r="A1025" t="s">
        <v>721</v>
      </c>
      <c r="B1025">
        <v>2025</v>
      </c>
      <c r="C1025">
        <v>9</v>
      </c>
      <c r="D1025">
        <v>123</v>
      </c>
      <c r="E1025">
        <v>350</v>
      </c>
      <c r="F1025">
        <v>422</v>
      </c>
      <c r="G1025">
        <v>490</v>
      </c>
      <c r="H1025">
        <v>148</v>
      </c>
      <c r="I1025">
        <v>580</v>
      </c>
      <c r="J1025">
        <v>10</v>
      </c>
      <c r="K1025">
        <v>715</v>
      </c>
      <c r="P1025">
        <v>48</v>
      </c>
      <c r="Q1025">
        <v>282.5</v>
      </c>
      <c r="R1025">
        <v>124</v>
      </c>
      <c r="S1025">
        <v>530</v>
      </c>
      <c r="T1025">
        <v>1049</v>
      </c>
      <c r="U1025">
        <v>600</v>
      </c>
      <c r="V1025">
        <v>332</v>
      </c>
      <c r="W1025">
        <v>720</v>
      </c>
      <c r="BN1025">
        <v>79</v>
      </c>
      <c r="BO1025">
        <v>250</v>
      </c>
      <c r="BP1025">
        <v>79</v>
      </c>
      <c r="BQ1025">
        <v>250</v>
      </c>
      <c r="BR1025">
        <v>2335</v>
      </c>
      <c r="BS1025">
        <v>580</v>
      </c>
      <c r="BT1025">
        <v>705</v>
      </c>
      <c r="BU1025">
        <v>500</v>
      </c>
      <c r="BV1025">
        <v>1555</v>
      </c>
      <c r="BW1025">
        <v>620</v>
      </c>
    </row>
    <row r="1026" spans="1:75" x14ac:dyDescent="0.25">
      <c r="A1026" t="s">
        <v>722</v>
      </c>
      <c r="B1026">
        <v>2025</v>
      </c>
      <c r="C1026">
        <v>9</v>
      </c>
      <c r="D1026">
        <v>125</v>
      </c>
      <c r="E1026">
        <v>380</v>
      </c>
      <c r="F1026">
        <v>539</v>
      </c>
      <c r="G1026">
        <v>480</v>
      </c>
      <c r="H1026">
        <v>179</v>
      </c>
      <c r="I1026">
        <v>650</v>
      </c>
      <c r="J1026">
        <v>11</v>
      </c>
      <c r="K1026">
        <v>760</v>
      </c>
      <c r="P1026">
        <v>32</v>
      </c>
      <c r="Q1026">
        <v>317.5</v>
      </c>
      <c r="R1026">
        <v>182</v>
      </c>
      <c r="S1026">
        <v>575</v>
      </c>
      <c r="T1026">
        <v>755</v>
      </c>
      <c r="U1026">
        <v>650</v>
      </c>
      <c r="V1026">
        <v>160</v>
      </c>
      <c r="W1026">
        <v>780</v>
      </c>
      <c r="BN1026">
        <v>81</v>
      </c>
      <c r="BO1026">
        <v>240</v>
      </c>
      <c r="BP1026">
        <v>81</v>
      </c>
      <c r="BQ1026">
        <v>240</v>
      </c>
      <c r="BR1026">
        <v>2065</v>
      </c>
      <c r="BS1026">
        <v>590</v>
      </c>
      <c r="BT1026">
        <v>855</v>
      </c>
      <c r="BU1026">
        <v>500</v>
      </c>
      <c r="BV1026">
        <v>1130</v>
      </c>
      <c r="BW1026">
        <v>650</v>
      </c>
    </row>
    <row r="1027" spans="1:75" x14ac:dyDescent="0.25">
      <c r="A1027" t="s">
        <v>723</v>
      </c>
      <c r="B1027">
        <v>2025</v>
      </c>
      <c r="C1027">
        <v>9</v>
      </c>
      <c r="D1027">
        <v>18</v>
      </c>
      <c r="E1027">
        <v>182.7</v>
      </c>
      <c r="F1027">
        <v>15</v>
      </c>
      <c r="G1027">
        <v>250</v>
      </c>
      <c r="H1027">
        <v>12</v>
      </c>
      <c r="I1027">
        <v>435</v>
      </c>
      <c r="K1027">
        <v>750</v>
      </c>
      <c r="Q1027">
        <v>315</v>
      </c>
      <c r="R1027">
        <v>39</v>
      </c>
      <c r="S1027">
        <v>350</v>
      </c>
      <c r="T1027">
        <v>192</v>
      </c>
      <c r="U1027">
        <v>400</v>
      </c>
      <c r="V1027">
        <v>62</v>
      </c>
      <c r="W1027">
        <v>450</v>
      </c>
      <c r="BN1027">
        <v>21</v>
      </c>
      <c r="BO1027">
        <v>195</v>
      </c>
      <c r="BP1027">
        <v>21</v>
      </c>
      <c r="BQ1027">
        <v>195</v>
      </c>
      <c r="BR1027">
        <v>365</v>
      </c>
      <c r="BS1027">
        <v>400</v>
      </c>
      <c r="BT1027">
        <v>45</v>
      </c>
      <c r="BU1027">
        <v>247.5</v>
      </c>
      <c r="BV1027">
        <v>300</v>
      </c>
      <c r="BW1027">
        <v>400</v>
      </c>
    </row>
    <row r="1028" spans="1:75" x14ac:dyDescent="0.25">
      <c r="A1028" t="s">
        <v>711</v>
      </c>
      <c r="B1028">
        <v>2025</v>
      </c>
      <c r="C1028">
        <v>12</v>
      </c>
      <c r="D1028">
        <v>10</v>
      </c>
      <c r="E1028">
        <v>450</v>
      </c>
      <c r="F1028">
        <v>10</v>
      </c>
      <c r="G1028">
        <v>480</v>
      </c>
      <c r="H1028">
        <v>10</v>
      </c>
      <c r="I1028">
        <v>520</v>
      </c>
      <c r="J1028">
        <v>520</v>
      </c>
      <c r="K1028">
        <v>520</v>
      </c>
      <c r="Q1028">
        <v>300</v>
      </c>
      <c r="R1028">
        <v>30</v>
      </c>
      <c r="S1028">
        <v>490</v>
      </c>
      <c r="T1028">
        <v>180</v>
      </c>
      <c r="U1028">
        <v>580</v>
      </c>
      <c r="V1028">
        <v>120</v>
      </c>
      <c r="W1028">
        <v>670</v>
      </c>
      <c r="BO1028">
        <v>227.5</v>
      </c>
      <c r="BQ1028">
        <v>227.5</v>
      </c>
      <c r="BR1028">
        <v>365</v>
      </c>
      <c r="BS1028">
        <v>600</v>
      </c>
      <c r="BT1028">
        <v>30</v>
      </c>
      <c r="BU1028">
        <v>492.5</v>
      </c>
      <c r="BV1028">
        <v>335</v>
      </c>
      <c r="BW1028">
        <v>600</v>
      </c>
    </row>
    <row r="1029" spans="1:75" x14ac:dyDescent="0.25">
      <c r="A1029" t="s">
        <v>712</v>
      </c>
      <c r="B1029">
        <v>2025</v>
      </c>
      <c r="C1029">
        <v>12</v>
      </c>
      <c r="D1029">
        <v>5</v>
      </c>
      <c r="E1029">
        <v>280</v>
      </c>
      <c r="F1029">
        <v>20</v>
      </c>
      <c r="G1029">
        <v>420</v>
      </c>
      <c r="H1029">
        <v>5</v>
      </c>
      <c r="I1029">
        <v>495</v>
      </c>
      <c r="J1029">
        <v>495</v>
      </c>
      <c r="K1029">
        <v>495</v>
      </c>
      <c r="Q1029">
        <v>225</v>
      </c>
      <c r="R1029">
        <v>25</v>
      </c>
      <c r="S1029">
        <v>450</v>
      </c>
      <c r="T1029">
        <v>200</v>
      </c>
      <c r="U1029">
        <v>540</v>
      </c>
      <c r="V1029">
        <v>115</v>
      </c>
      <c r="W1029">
        <v>620</v>
      </c>
      <c r="BN1029">
        <v>23</v>
      </c>
      <c r="BO1029">
        <v>260</v>
      </c>
      <c r="BP1029">
        <v>23</v>
      </c>
      <c r="BQ1029">
        <v>260</v>
      </c>
      <c r="BR1029">
        <v>395</v>
      </c>
      <c r="BS1029">
        <v>550</v>
      </c>
      <c r="BT1029">
        <v>35</v>
      </c>
      <c r="BU1029">
        <v>420</v>
      </c>
      <c r="BV1029">
        <v>335</v>
      </c>
      <c r="BW1029">
        <v>560</v>
      </c>
    </row>
    <row r="1030" spans="1:75" x14ac:dyDescent="0.25">
      <c r="A1030" t="s">
        <v>713</v>
      </c>
      <c r="B1030">
        <v>2025</v>
      </c>
      <c r="C1030">
        <v>12</v>
      </c>
      <c r="D1030">
        <v>690</v>
      </c>
      <c r="E1030">
        <v>449</v>
      </c>
      <c r="F1030">
        <v>825</v>
      </c>
      <c r="G1030">
        <v>550</v>
      </c>
      <c r="H1030">
        <v>135</v>
      </c>
      <c r="I1030">
        <v>690</v>
      </c>
      <c r="J1030">
        <v>10</v>
      </c>
      <c r="K1030">
        <v>665</v>
      </c>
      <c r="P1030">
        <v>55</v>
      </c>
      <c r="Q1030">
        <v>299</v>
      </c>
      <c r="R1030">
        <v>215</v>
      </c>
      <c r="S1030">
        <v>600</v>
      </c>
      <c r="T1030">
        <v>555</v>
      </c>
      <c r="U1030">
        <v>695</v>
      </c>
      <c r="V1030">
        <v>235</v>
      </c>
      <c r="W1030">
        <v>845</v>
      </c>
      <c r="BN1030">
        <v>160</v>
      </c>
      <c r="BO1030">
        <v>247.5</v>
      </c>
      <c r="BP1030">
        <v>160</v>
      </c>
      <c r="BQ1030">
        <v>247.5</v>
      </c>
      <c r="BR1030">
        <v>2885</v>
      </c>
      <c r="BS1030">
        <v>575</v>
      </c>
      <c r="BT1030">
        <v>1665</v>
      </c>
      <c r="BU1030">
        <v>530</v>
      </c>
      <c r="BV1030">
        <v>1060</v>
      </c>
      <c r="BW1030">
        <v>680</v>
      </c>
    </row>
    <row r="1031" spans="1:75" x14ac:dyDescent="0.25">
      <c r="A1031" t="s">
        <v>714</v>
      </c>
      <c r="B1031">
        <v>2025</v>
      </c>
      <c r="C1031">
        <v>12</v>
      </c>
      <c r="D1031">
        <v>25</v>
      </c>
      <c r="E1031">
        <v>240</v>
      </c>
      <c r="F1031">
        <v>45</v>
      </c>
      <c r="G1031">
        <v>295</v>
      </c>
      <c r="H1031">
        <v>10</v>
      </c>
      <c r="I1031">
        <v>510</v>
      </c>
      <c r="K1031">
        <v>650</v>
      </c>
      <c r="P1031">
        <v>10</v>
      </c>
      <c r="Q1031">
        <v>257.5</v>
      </c>
      <c r="R1031">
        <v>35</v>
      </c>
      <c r="S1031">
        <v>300</v>
      </c>
      <c r="T1031">
        <v>195</v>
      </c>
      <c r="U1031">
        <v>370</v>
      </c>
      <c r="V1031">
        <v>45</v>
      </c>
      <c r="W1031">
        <v>480</v>
      </c>
      <c r="BO1031">
        <v>260</v>
      </c>
      <c r="BQ1031">
        <v>260</v>
      </c>
      <c r="BR1031">
        <v>370</v>
      </c>
      <c r="BS1031">
        <v>360</v>
      </c>
      <c r="BT1031">
        <v>80</v>
      </c>
      <c r="BU1031">
        <v>280</v>
      </c>
      <c r="BV1031">
        <v>285</v>
      </c>
      <c r="BW1031">
        <v>380</v>
      </c>
    </row>
    <row r="1032" spans="1:75" x14ac:dyDescent="0.25">
      <c r="A1032" t="s">
        <v>715</v>
      </c>
      <c r="B1032">
        <v>2025</v>
      </c>
      <c r="C1032">
        <v>12</v>
      </c>
      <c r="D1032">
        <v>15</v>
      </c>
      <c r="E1032">
        <v>265</v>
      </c>
      <c r="F1032">
        <v>30</v>
      </c>
      <c r="G1032">
        <v>300</v>
      </c>
      <c r="H1032">
        <v>15</v>
      </c>
      <c r="I1032">
        <v>310</v>
      </c>
      <c r="J1032">
        <v>310</v>
      </c>
      <c r="K1032">
        <v>310</v>
      </c>
      <c r="P1032">
        <v>300</v>
      </c>
      <c r="Q1032">
        <v>300</v>
      </c>
      <c r="R1032">
        <v>15</v>
      </c>
      <c r="S1032">
        <v>300</v>
      </c>
      <c r="T1032">
        <v>115</v>
      </c>
      <c r="U1032">
        <v>357.5</v>
      </c>
      <c r="V1032">
        <v>25</v>
      </c>
      <c r="W1032">
        <v>460</v>
      </c>
      <c r="BN1032">
        <v>362.5</v>
      </c>
      <c r="BO1032">
        <v>362.5</v>
      </c>
      <c r="BP1032">
        <v>362.5</v>
      </c>
      <c r="BQ1032">
        <v>362.5</v>
      </c>
      <c r="BR1032">
        <v>220</v>
      </c>
      <c r="BS1032">
        <v>340</v>
      </c>
      <c r="BT1032">
        <v>60</v>
      </c>
      <c r="BU1032">
        <v>300</v>
      </c>
      <c r="BV1032">
        <v>160</v>
      </c>
      <c r="BW1032">
        <v>362.5</v>
      </c>
    </row>
    <row r="1033" spans="1:75" x14ac:dyDescent="0.25">
      <c r="A1033" t="s">
        <v>716</v>
      </c>
      <c r="B1033">
        <v>2025</v>
      </c>
      <c r="C1033">
        <v>12</v>
      </c>
      <c r="D1033">
        <v>15</v>
      </c>
      <c r="E1033">
        <v>300</v>
      </c>
      <c r="F1033">
        <v>20</v>
      </c>
      <c r="G1033">
        <v>345</v>
      </c>
      <c r="H1033">
        <v>10</v>
      </c>
      <c r="I1033">
        <v>490</v>
      </c>
      <c r="K1033">
        <v>560</v>
      </c>
      <c r="Q1033">
        <v>380</v>
      </c>
      <c r="R1033">
        <v>15</v>
      </c>
      <c r="S1033">
        <v>400</v>
      </c>
      <c r="T1033">
        <v>145</v>
      </c>
      <c r="U1033">
        <v>500</v>
      </c>
      <c r="V1033">
        <v>60</v>
      </c>
      <c r="W1033">
        <v>635</v>
      </c>
      <c r="BO1033">
        <v>180</v>
      </c>
      <c r="BQ1033">
        <v>180</v>
      </c>
      <c r="BR1033">
        <v>265</v>
      </c>
      <c r="BS1033">
        <v>500</v>
      </c>
      <c r="BT1033">
        <v>45</v>
      </c>
      <c r="BU1033">
        <v>350</v>
      </c>
      <c r="BV1033">
        <v>215</v>
      </c>
      <c r="BW1033">
        <v>525</v>
      </c>
    </row>
    <row r="1034" spans="1:75" x14ac:dyDescent="0.25">
      <c r="A1034" t="s">
        <v>717</v>
      </c>
      <c r="B1034">
        <v>2025</v>
      </c>
      <c r="C1034">
        <v>12</v>
      </c>
      <c r="D1034">
        <v>10</v>
      </c>
      <c r="E1034">
        <v>260</v>
      </c>
      <c r="F1034">
        <v>75</v>
      </c>
      <c r="G1034">
        <v>300</v>
      </c>
      <c r="H1034">
        <v>15</v>
      </c>
      <c r="I1034">
        <v>390</v>
      </c>
      <c r="J1034">
        <v>390</v>
      </c>
      <c r="K1034">
        <v>390</v>
      </c>
      <c r="Q1034">
        <v>280</v>
      </c>
      <c r="R1034">
        <v>15</v>
      </c>
      <c r="S1034">
        <v>367.5</v>
      </c>
      <c r="T1034">
        <v>225</v>
      </c>
      <c r="U1034">
        <v>430</v>
      </c>
      <c r="V1034">
        <v>65</v>
      </c>
      <c r="W1034">
        <v>527.5</v>
      </c>
      <c r="BN1034">
        <v>445</v>
      </c>
      <c r="BO1034">
        <v>445</v>
      </c>
      <c r="BP1034">
        <v>445</v>
      </c>
      <c r="BQ1034">
        <v>445</v>
      </c>
      <c r="BR1034">
        <v>410</v>
      </c>
      <c r="BS1034">
        <v>400</v>
      </c>
      <c r="BT1034">
        <v>100</v>
      </c>
      <c r="BU1034">
        <v>300</v>
      </c>
      <c r="BV1034">
        <v>310</v>
      </c>
      <c r="BW1034">
        <v>445</v>
      </c>
    </row>
    <row r="1035" spans="1:75" x14ac:dyDescent="0.25">
      <c r="A1035" t="s">
        <v>725</v>
      </c>
      <c r="B1035">
        <v>2025</v>
      </c>
      <c r="C1035">
        <v>12</v>
      </c>
      <c r="D1035">
        <v>945</v>
      </c>
      <c r="E1035">
        <v>430</v>
      </c>
      <c r="F1035">
        <v>1940</v>
      </c>
      <c r="G1035">
        <v>510</v>
      </c>
      <c r="H1035">
        <v>400</v>
      </c>
      <c r="I1035">
        <v>600</v>
      </c>
      <c r="J1035">
        <v>25</v>
      </c>
      <c r="K1035">
        <v>750</v>
      </c>
      <c r="P1035">
        <v>185</v>
      </c>
      <c r="Q1035">
        <v>280</v>
      </c>
      <c r="R1035">
        <v>730</v>
      </c>
      <c r="S1035">
        <v>550</v>
      </c>
      <c r="T1035">
        <v>4435</v>
      </c>
      <c r="U1035">
        <v>600</v>
      </c>
      <c r="V1035">
        <v>1445</v>
      </c>
      <c r="W1035">
        <v>680</v>
      </c>
      <c r="BN1035">
        <v>330</v>
      </c>
      <c r="BO1035">
        <v>246.4</v>
      </c>
      <c r="BP1035">
        <v>330</v>
      </c>
      <c r="BQ1035">
        <v>246.4</v>
      </c>
      <c r="BR1035">
        <v>10440</v>
      </c>
      <c r="BS1035">
        <v>580</v>
      </c>
      <c r="BT1035">
        <v>3310</v>
      </c>
      <c r="BU1035">
        <v>500</v>
      </c>
      <c r="BV1035">
        <v>6800</v>
      </c>
      <c r="BW1035">
        <v>600</v>
      </c>
    </row>
    <row r="1036" spans="1:75" x14ac:dyDescent="0.25">
      <c r="A1036" t="s">
        <v>718</v>
      </c>
      <c r="B1036">
        <v>2025</v>
      </c>
      <c r="C1036">
        <v>12</v>
      </c>
      <c r="D1036">
        <v>20</v>
      </c>
      <c r="E1036">
        <v>250</v>
      </c>
      <c r="F1036">
        <v>55</v>
      </c>
      <c r="G1036">
        <v>310</v>
      </c>
      <c r="I1036">
        <v>360</v>
      </c>
      <c r="K1036">
        <v>150</v>
      </c>
      <c r="P1036">
        <v>15</v>
      </c>
      <c r="Q1036">
        <v>250</v>
      </c>
      <c r="R1036">
        <v>25</v>
      </c>
      <c r="S1036">
        <v>380</v>
      </c>
      <c r="T1036">
        <v>240</v>
      </c>
      <c r="U1036">
        <v>432.5</v>
      </c>
      <c r="V1036">
        <v>85</v>
      </c>
      <c r="W1036">
        <v>520</v>
      </c>
      <c r="BO1036">
        <v>250</v>
      </c>
      <c r="BQ1036">
        <v>250</v>
      </c>
      <c r="BR1036">
        <v>445</v>
      </c>
      <c r="BS1036">
        <v>420</v>
      </c>
      <c r="BT1036">
        <v>75</v>
      </c>
      <c r="BU1036">
        <v>290</v>
      </c>
      <c r="BV1036">
        <v>365</v>
      </c>
      <c r="BW1036">
        <v>450</v>
      </c>
    </row>
    <row r="1037" spans="1:75" x14ac:dyDescent="0.25">
      <c r="A1037" t="s">
        <v>719</v>
      </c>
      <c r="B1037">
        <v>2025</v>
      </c>
      <c r="C1037">
        <v>12</v>
      </c>
      <c r="D1037">
        <v>65</v>
      </c>
      <c r="E1037">
        <v>310</v>
      </c>
      <c r="F1037">
        <v>250</v>
      </c>
      <c r="G1037">
        <v>480</v>
      </c>
      <c r="H1037">
        <v>100</v>
      </c>
      <c r="I1037">
        <v>500</v>
      </c>
      <c r="K1037">
        <v>617.5</v>
      </c>
      <c r="P1037">
        <v>50</v>
      </c>
      <c r="Q1037">
        <v>282.5</v>
      </c>
      <c r="R1037">
        <v>160</v>
      </c>
      <c r="S1037">
        <v>490</v>
      </c>
      <c r="T1037">
        <v>2055</v>
      </c>
      <c r="U1037">
        <v>560</v>
      </c>
      <c r="V1037">
        <v>720</v>
      </c>
      <c r="W1037">
        <v>620</v>
      </c>
      <c r="BN1037">
        <v>60</v>
      </c>
      <c r="BO1037">
        <v>235</v>
      </c>
      <c r="BP1037">
        <v>60</v>
      </c>
      <c r="BQ1037">
        <v>235</v>
      </c>
      <c r="BR1037">
        <v>3470</v>
      </c>
      <c r="BS1037">
        <v>560</v>
      </c>
      <c r="BT1037">
        <v>420</v>
      </c>
      <c r="BU1037">
        <v>460</v>
      </c>
      <c r="BV1037">
        <v>2985</v>
      </c>
      <c r="BW1037">
        <v>580</v>
      </c>
    </row>
    <row r="1038" spans="1:75" x14ac:dyDescent="0.25">
      <c r="A1038" t="s">
        <v>726</v>
      </c>
      <c r="B1038">
        <v>2025</v>
      </c>
      <c r="C1038">
        <v>12</v>
      </c>
      <c r="D1038">
        <v>105</v>
      </c>
      <c r="E1038">
        <v>255</v>
      </c>
      <c r="F1038">
        <v>265</v>
      </c>
      <c r="G1038">
        <v>300</v>
      </c>
      <c r="H1038">
        <v>75</v>
      </c>
      <c r="I1038">
        <v>430</v>
      </c>
      <c r="K1038">
        <v>605</v>
      </c>
      <c r="P1038">
        <v>45</v>
      </c>
      <c r="Q1038">
        <v>275</v>
      </c>
      <c r="R1038">
        <v>180</v>
      </c>
      <c r="S1038">
        <v>380</v>
      </c>
      <c r="T1038">
        <v>1475</v>
      </c>
      <c r="U1038">
        <v>450</v>
      </c>
      <c r="V1038">
        <v>565</v>
      </c>
      <c r="W1038">
        <v>590</v>
      </c>
      <c r="BN1038">
        <v>55</v>
      </c>
      <c r="BO1038">
        <v>232.5</v>
      </c>
      <c r="BP1038">
        <v>55</v>
      </c>
      <c r="BQ1038">
        <v>232.5</v>
      </c>
      <c r="BR1038">
        <v>2770</v>
      </c>
      <c r="BS1038">
        <v>450</v>
      </c>
      <c r="BT1038">
        <v>450</v>
      </c>
      <c r="BU1038">
        <v>300</v>
      </c>
      <c r="BV1038">
        <v>2270</v>
      </c>
      <c r="BW1038">
        <v>470</v>
      </c>
    </row>
    <row r="1039" spans="1:75" x14ac:dyDescent="0.25">
      <c r="A1039" t="s">
        <v>721</v>
      </c>
      <c r="B1039">
        <v>2025</v>
      </c>
      <c r="C1039">
        <v>12</v>
      </c>
      <c r="D1039">
        <v>85</v>
      </c>
      <c r="E1039">
        <v>410</v>
      </c>
      <c r="F1039">
        <v>365</v>
      </c>
      <c r="G1039">
        <v>500</v>
      </c>
      <c r="H1039">
        <v>80</v>
      </c>
      <c r="I1039">
        <v>600</v>
      </c>
      <c r="K1039">
        <v>825</v>
      </c>
      <c r="P1039">
        <v>40</v>
      </c>
      <c r="Q1039">
        <v>267.45</v>
      </c>
      <c r="R1039">
        <v>130</v>
      </c>
      <c r="S1039">
        <v>550</v>
      </c>
      <c r="T1039">
        <v>1040</v>
      </c>
      <c r="U1039">
        <v>620</v>
      </c>
      <c r="V1039">
        <v>295</v>
      </c>
      <c r="W1039">
        <v>750</v>
      </c>
      <c r="BN1039">
        <v>65</v>
      </c>
      <c r="BO1039">
        <v>240</v>
      </c>
      <c r="BP1039">
        <v>65</v>
      </c>
      <c r="BQ1039">
        <v>240</v>
      </c>
      <c r="BR1039">
        <v>2105</v>
      </c>
      <c r="BS1039">
        <v>600</v>
      </c>
      <c r="BT1039">
        <v>535</v>
      </c>
      <c r="BU1039">
        <v>500</v>
      </c>
      <c r="BV1039">
        <v>1505</v>
      </c>
      <c r="BW1039">
        <v>630</v>
      </c>
    </row>
    <row r="1040" spans="1:75" x14ac:dyDescent="0.25">
      <c r="A1040" t="s">
        <v>722</v>
      </c>
      <c r="B1040">
        <v>2025</v>
      </c>
      <c r="C1040">
        <v>12</v>
      </c>
      <c r="D1040">
        <v>105</v>
      </c>
      <c r="E1040">
        <v>420</v>
      </c>
      <c r="F1040">
        <v>495</v>
      </c>
      <c r="G1040">
        <v>490</v>
      </c>
      <c r="H1040">
        <v>85</v>
      </c>
      <c r="I1040">
        <v>620</v>
      </c>
      <c r="K1040">
        <v>750</v>
      </c>
      <c r="P1040">
        <v>40</v>
      </c>
      <c r="Q1040">
        <v>265</v>
      </c>
      <c r="R1040">
        <v>225</v>
      </c>
      <c r="S1040">
        <v>550</v>
      </c>
      <c r="T1040">
        <v>790</v>
      </c>
      <c r="U1040">
        <v>650</v>
      </c>
      <c r="V1040">
        <v>195</v>
      </c>
      <c r="W1040">
        <v>770</v>
      </c>
      <c r="BN1040">
        <v>45</v>
      </c>
      <c r="BO1040">
        <v>245</v>
      </c>
      <c r="BP1040">
        <v>45</v>
      </c>
      <c r="BQ1040">
        <v>245</v>
      </c>
      <c r="BR1040">
        <v>1980</v>
      </c>
      <c r="BS1040">
        <v>590</v>
      </c>
      <c r="BT1040">
        <v>685</v>
      </c>
      <c r="BU1040">
        <v>490</v>
      </c>
      <c r="BV1040">
        <v>1245</v>
      </c>
      <c r="BW1040">
        <v>650</v>
      </c>
    </row>
    <row r="1041" spans="1:75" x14ac:dyDescent="0.25">
      <c r="A1041" t="s">
        <v>723</v>
      </c>
      <c r="B1041">
        <v>2025</v>
      </c>
      <c r="C1041">
        <v>12</v>
      </c>
      <c r="D1041">
        <v>10</v>
      </c>
      <c r="E1041">
        <v>240</v>
      </c>
      <c r="F1041">
        <v>10</v>
      </c>
      <c r="G1041">
        <v>280</v>
      </c>
      <c r="I1041">
        <v>355</v>
      </c>
      <c r="J1041">
        <v>355</v>
      </c>
      <c r="K1041">
        <v>355</v>
      </c>
      <c r="P1041">
        <v>10</v>
      </c>
      <c r="Q1041">
        <v>280</v>
      </c>
      <c r="R1041">
        <v>25</v>
      </c>
      <c r="S1041">
        <v>350</v>
      </c>
      <c r="T1041">
        <v>180</v>
      </c>
      <c r="U1041">
        <v>400</v>
      </c>
      <c r="V1041">
        <v>50</v>
      </c>
      <c r="W1041">
        <v>472.5</v>
      </c>
      <c r="BN1041">
        <v>20</v>
      </c>
      <c r="BO1041">
        <v>195</v>
      </c>
      <c r="BP1041">
        <v>20</v>
      </c>
      <c r="BQ1041">
        <v>195</v>
      </c>
      <c r="BR1041">
        <v>305</v>
      </c>
      <c r="BS1041">
        <v>400</v>
      </c>
      <c r="BT1041">
        <v>20</v>
      </c>
      <c r="BU1041">
        <v>277.5</v>
      </c>
      <c r="BV1041">
        <v>260</v>
      </c>
      <c r="BW1041">
        <v>400</v>
      </c>
    </row>
    <row r="1042" spans="1:75" x14ac:dyDescent="0.25">
      <c r="A1042" t="s">
        <v>711</v>
      </c>
      <c r="B1042">
        <v>2026</v>
      </c>
      <c r="C1042">
        <v>3</v>
      </c>
      <c r="E1042">
        <v>380</v>
      </c>
      <c r="F1042">
        <v>10</v>
      </c>
      <c r="G1042">
        <v>540</v>
      </c>
      <c r="H1042">
        <v>10</v>
      </c>
      <c r="I1042">
        <v>520</v>
      </c>
      <c r="J1042">
        <v>520</v>
      </c>
      <c r="K1042">
        <v>520</v>
      </c>
      <c r="Q1042">
        <v>400</v>
      </c>
      <c r="R1042">
        <v>35</v>
      </c>
      <c r="S1042">
        <v>555</v>
      </c>
      <c r="T1042">
        <v>190</v>
      </c>
      <c r="U1042">
        <v>595</v>
      </c>
      <c r="V1042">
        <v>115</v>
      </c>
      <c r="W1042">
        <v>680</v>
      </c>
      <c r="BO1042">
        <v>235</v>
      </c>
      <c r="BQ1042">
        <v>235</v>
      </c>
      <c r="BR1042">
        <v>375</v>
      </c>
      <c r="BS1042">
        <v>600</v>
      </c>
      <c r="BT1042">
        <v>25</v>
      </c>
      <c r="BU1042">
        <v>500</v>
      </c>
      <c r="BV1042">
        <v>350</v>
      </c>
      <c r="BW1042">
        <v>620</v>
      </c>
    </row>
    <row r="1043" spans="1:75" x14ac:dyDescent="0.25">
      <c r="A1043" t="s">
        <v>712</v>
      </c>
      <c r="B1043">
        <v>2026</v>
      </c>
      <c r="C1043">
        <v>3</v>
      </c>
      <c r="E1043">
        <v>275</v>
      </c>
      <c r="F1043">
        <v>20</v>
      </c>
      <c r="G1043">
        <v>397.5</v>
      </c>
      <c r="H1043">
        <v>10</v>
      </c>
      <c r="I1043">
        <v>480</v>
      </c>
      <c r="K1043">
        <v>1440</v>
      </c>
      <c r="Q1043">
        <v>330</v>
      </c>
      <c r="R1043">
        <v>25</v>
      </c>
      <c r="S1043">
        <v>477.5</v>
      </c>
      <c r="T1043">
        <v>190</v>
      </c>
      <c r="U1043">
        <v>550</v>
      </c>
      <c r="V1043">
        <v>80</v>
      </c>
      <c r="W1043">
        <v>650</v>
      </c>
      <c r="BN1043">
        <v>10</v>
      </c>
      <c r="BO1043">
        <v>260</v>
      </c>
      <c r="BP1043">
        <v>10</v>
      </c>
      <c r="BQ1043">
        <v>260</v>
      </c>
      <c r="BR1043">
        <v>345</v>
      </c>
      <c r="BS1043">
        <v>550</v>
      </c>
      <c r="BT1043">
        <v>35</v>
      </c>
      <c r="BU1043">
        <v>445</v>
      </c>
      <c r="BV1043">
        <v>300</v>
      </c>
      <c r="BW1043">
        <v>560</v>
      </c>
    </row>
    <row r="1044" spans="1:75" x14ac:dyDescent="0.25">
      <c r="A1044" t="s">
        <v>713</v>
      </c>
      <c r="B1044">
        <v>2026</v>
      </c>
      <c r="C1044">
        <v>3</v>
      </c>
      <c r="D1044">
        <v>1805</v>
      </c>
      <c r="E1044">
        <v>420</v>
      </c>
      <c r="F1044">
        <v>875</v>
      </c>
      <c r="G1044">
        <v>560</v>
      </c>
      <c r="H1044">
        <v>190</v>
      </c>
      <c r="I1044">
        <v>720</v>
      </c>
      <c r="J1044">
        <v>10</v>
      </c>
      <c r="K1044">
        <v>449.5</v>
      </c>
      <c r="P1044">
        <v>105</v>
      </c>
      <c r="Q1044">
        <v>279</v>
      </c>
      <c r="R1044">
        <v>215</v>
      </c>
      <c r="S1044">
        <v>600</v>
      </c>
      <c r="T1044">
        <v>610</v>
      </c>
      <c r="U1044">
        <v>695</v>
      </c>
      <c r="V1044">
        <v>255</v>
      </c>
      <c r="W1044">
        <v>875</v>
      </c>
      <c r="BN1044">
        <v>250</v>
      </c>
      <c r="BO1044">
        <v>320</v>
      </c>
      <c r="BP1044">
        <v>250</v>
      </c>
      <c r="BQ1044">
        <v>320</v>
      </c>
      <c r="BR1044">
        <v>4310</v>
      </c>
      <c r="BS1044">
        <v>525</v>
      </c>
      <c r="BT1044">
        <v>2880</v>
      </c>
      <c r="BU1044">
        <v>490</v>
      </c>
      <c r="BV1044">
        <v>1180</v>
      </c>
      <c r="BW1044">
        <v>685</v>
      </c>
    </row>
    <row r="1045" spans="1:75" x14ac:dyDescent="0.25">
      <c r="A1045" t="s">
        <v>714</v>
      </c>
      <c r="B1045">
        <v>2026</v>
      </c>
      <c r="C1045">
        <v>3</v>
      </c>
      <c r="D1045">
        <v>25</v>
      </c>
      <c r="E1045">
        <v>250</v>
      </c>
      <c r="F1045">
        <v>40</v>
      </c>
      <c r="G1045">
        <v>300</v>
      </c>
      <c r="H1045">
        <v>20</v>
      </c>
      <c r="I1045">
        <v>580</v>
      </c>
      <c r="K1045">
        <v>550</v>
      </c>
      <c r="P1045">
        <v>5</v>
      </c>
      <c r="Q1045">
        <v>255</v>
      </c>
      <c r="R1045">
        <v>30</v>
      </c>
      <c r="S1045">
        <v>350</v>
      </c>
      <c r="T1045">
        <v>205</v>
      </c>
      <c r="U1045">
        <v>360</v>
      </c>
      <c r="V1045">
        <v>60</v>
      </c>
      <c r="W1045">
        <v>500</v>
      </c>
      <c r="BO1045">
        <v>250</v>
      </c>
      <c r="BQ1045">
        <v>250</v>
      </c>
      <c r="BR1045">
        <v>395</v>
      </c>
      <c r="BS1045">
        <v>370</v>
      </c>
      <c r="BT1045">
        <v>90</v>
      </c>
      <c r="BU1045">
        <v>320</v>
      </c>
      <c r="BV1045">
        <v>300</v>
      </c>
      <c r="BW1045">
        <v>400</v>
      </c>
    </row>
    <row r="1046" spans="1:75" x14ac:dyDescent="0.25">
      <c r="A1046" t="s">
        <v>715</v>
      </c>
      <c r="B1046">
        <v>2026</v>
      </c>
      <c r="C1046">
        <v>3</v>
      </c>
      <c r="D1046">
        <v>20</v>
      </c>
      <c r="E1046">
        <v>250</v>
      </c>
      <c r="F1046">
        <v>15</v>
      </c>
      <c r="G1046">
        <v>360</v>
      </c>
      <c r="H1046">
        <v>5</v>
      </c>
      <c r="I1046">
        <v>300</v>
      </c>
      <c r="J1046">
        <v>300</v>
      </c>
      <c r="K1046">
        <v>300</v>
      </c>
      <c r="P1046">
        <v>300</v>
      </c>
      <c r="Q1046">
        <v>300</v>
      </c>
      <c r="R1046">
        <v>15</v>
      </c>
      <c r="S1046">
        <v>330</v>
      </c>
      <c r="T1046">
        <v>140</v>
      </c>
      <c r="U1046">
        <v>370</v>
      </c>
      <c r="V1046">
        <v>25</v>
      </c>
      <c r="W1046">
        <v>460</v>
      </c>
      <c r="BN1046">
        <v>370</v>
      </c>
      <c r="BO1046">
        <v>370</v>
      </c>
      <c r="BP1046">
        <v>370</v>
      </c>
      <c r="BQ1046">
        <v>370</v>
      </c>
      <c r="BR1046">
        <v>225</v>
      </c>
      <c r="BS1046">
        <v>360</v>
      </c>
      <c r="BT1046">
        <v>45</v>
      </c>
      <c r="BU1046">
        <v>300</v>
      </c>
      <c r="BV1046">
        <v>180</v>
      </c>
      <c r="BW1046">
        <v>370</v>
      </c>
    </row>
    <row r="1047" spans="1:75" x14ac:dyDescent="0.25">
      <c r="A1047" t="s">
        <v>716</v>
      </c>
      <c r="B1047">
        <v>2026</v>
      </c>
      <c r="C1047">
        <v>3</v>
      </c>
      <c r="D1047">
        <v>5</v>
      </c>
      <c r="E1047">
        <v>265</v>
      </c>
      <c r="F1047">
        <v>20</v>
      </c>
      <c r="G1047">
        <v>425</v>
      </c>
      <c r="H1047">
        <v>10</v>
      </c>
      <c r="I1047">
        <v>500</v>
      </c>
      <c r="K1047">
        <v>505</v>
      </c>
      <c r="Q1047">
        <v>550</v>
      </c>
      <c r="R1047">
        <v>20</v>
      </c>
      <c r="S1047">
        <v>450</v>
      </c>
      <c r="T1047">
        <v>145</v>
      </c>
      <c r="U1047">
        <v>545</v>
      </c>
      <c r="V1047">
        <v>80</v>
      </c>
      <c r="W1047">
        <v>600</v>
      </c>
      <c r="BN1047">
        <v>550</v>
      </c>
      <c r="BO1047">
        <v>550</v>
      </c>
      <c r="BP1047">
        <v>550</v>
      </c>
      <c r="BQ1047">
        <v>550</v>
      </c>
      <c r="BR1047">
        <v>290</v>
      </c>
      <c r="BS1047">
        <v>550</v>
      </c>
      <c r="BT1047">
        <v>40</v>
      </c>
      <c r="BU1047">
        <v>430</v>
      </c>
      <c r="BV1047">
        <v>250</v>
      </c>
      <c r="BW1047">
        <v>550</v>
      </c>
    </row>
    <row r="1048" spans="1:75" x14ac:dyDescent="0.25">
      <c r="A1048" t="s">
        <v>717</v>
      </c>
      <c r="B1048">
        <v>2026</v>
      </c>
      <c r="C1048">
        <v>3</v>
      </c>
      <c r="D1048">
        <v>20</v>
      </c>
      <c r="E1048">
        <v>240</v>
      </c>
      <c r="F1048">
        <v>75</v>
      </c>
      <c r="G1048">
        <v>300</v>
      </c>
      <c r="H1048">
        <v>25</v>
      </c>
      <c r="I1048">
        <v>385</v>
      </c>
      <c r="K1048">
        <v>450</v>
      </c>
      <c r="P1048">
        <v>5</v>
      </c>
      <c r="Q1048">
        <v>250</v>
      </c>
      <c r="R1048">
        <v>30</v>
      </c>
      <c r="S1048">
        <v>360</v>
      </c>
      <c r="T1048">
        <v>230</v>
      </c>
      <c r="U1048">
        <v>415</v>
      </c>
      <c r="V1048">
        <v>65</v>
      </c>
      <c r="W1048">
        <v>537.5</v>
      </c>
      <c r="BO1048">
        <v>165.93</v>
      </c>
      <c r="BQ1048">
        <v>165.93</v>
      </c>
      <c r="BR1048">
        <v>455</v>
      </c>
      <c r="BS1048">
        <v>395</v>
      </c>
      <c r="BT1048">
        <v>120</v>
      </c>
      <c r="BU1048">
        <v>310</v>
      </c>
      <c r="BV1048">
        <v>335</v>
      </c>
      <c r="BW1048">
        <v>425</v>
      </c>
    </row>
    <row r="1049" spans="1:75" x14ac:dyDescent="0.25">
      <c r="A1049" t="s">
        <v>725</v>
      </c>
      <c r="B1049">
        <v>2026</v>
      </c>
      <c r="C1049">
        <v>3</v>
      </c>
      <c r="D1049">
        <v>2110</v>
      </c>
      <c r="E1049">
        <v>419</v>
      </c>
      <c r="F1049">
        <v>2010</v>
      </c>
      <c r="G1049">
        <v>520</v>
      </c>
      <c r="H1049">
        <v>490</v>
      </c>
      <c r="I1049">
        <v>625</v>
      </c>
      <c r="J1049">
        <v>25</v>
      </c>
      <c r="K1049">
        <v>675</v>
      </c>
      <c r="P1049">
        <v>320</v>
      </c>
      <c r="Q1049">
        <v>270.14999999999998</v>
      </c>
      <c r="R1049">
        <v>760</v>
      </c>
      <c r="S1049">
        <v>560</v>
      </c>
      <c r="T1049">
        <v>4550</v>
      </c>
      <c r="U1049">
        <v>610</v>
      </c>
      <c r="V1049">
        <v>1555</v>
      </c>
      <c r="W1049">
        <v>700</v>
      </c>
      <c r="BN1049">
        <v>475</v>
      </c>
      <c r="BO1049">
        <v>280</v>
      </c>
      <c r="BP1049">
        <v>475</v>
      </c>
      <c r="BQ1049">
        <v>280</v>
      </c>
      <c r="BR1049">
        <v>12295</v>
      </c>
      <c r="BS1049">
        <v>570</v>
      </c>
      <c r="BT1049">
        <v>4640</v>
      </c>
      <c r="BU1049">
        <v>490</v>
      </c>
      <c r="BV1049">
        <v>7185</v>
      </c>
      <c r="BW1049">
        <v>620</v>
      </c>
    </row>
    <row r="1050" spans="1:75" x14ac:dyDescent="0.25">
      <c r="A1050" t="s">
        <v>718</v>
      </c>
      <c r="B1050">
        <v>2026</v>
      </c>
      <c r="C1050">
        <v>3</v>
      </c>
      <c r="D1050">
        <v>20</v>
      </c>
      <c r="E1050">
        <v>262.5</v>
      </c>
      <c r="F1050">
        <v>35</v>
      </c>
      <c r="G1050">
        <v>300</v>
      </c>
      <c r="H1050">
        <v>5</v>
      </c>
      <c r="I1050">
        <v>400</v>
      </c>
      <c r="J1050">
        <v>400</v>
      </c>
      <c r="K1050">
        <v>400</v>
      </c>
      <c r="P1050">
        <v>10</v>
      </c>
      <c r="Q1050">
        <v>187.6</v>
      </c>
      <c r="R1050">
        <v>20</v>
      </c>
      <c r="S1050">
        <v>350</v>
      </c>
      <c r="T1050">
        <v>215</v>
      </c>
      <c r="U1050">
        <v>450</v>
      </c>
      <c r="V1050">
        <v>90</v>
      </c>
      <c r="W1050">
        <v>550</v>
      </c>
      <c r="BO1050">
        <v>185</v>
      </c>
      <c r="BQ1050">
        <v>185</v>
      </c>
      <c r="BR1050">
        <v>395</v>
      </c>
      <c r="BS1050">
        <v>447.5</v>
      </c>
      <c r="BT1050">
        <v>60</v>
      </c>
      <c r="BU1050">
        <v>300</v>
      </c>
      <c r="BV1050">
        <v>330</v>
      </c>
      <c r="BW1050">
        <v>460</v>
      </c>
    </row>
    <row r="1051" spans="1:75" x14ac:dyDescent="0.25">
      <c r="A1051" t="s">
        <v>719</v>
      </c>
      <c r="B1051">
        <v>2026</v>
      </c>
      <c r="C1051">
        <v>3</v>
      </c>
      <c r="D1051">
        <v>70</v>
      </c>
      <c r="E1051">
        <v>355</v>
      </c>
      <c r="F1051">
        <v>275</v>
      </c>
      <c r="G1051">
        <v>472.5</v>
      </c>
      <c r="H1051">
        <v>140</v>
      </c>
      <c r="I1051">
        <v>502</v>
      </c>
      <c r="K1051">
        <v>920</v>
      </c>
      <c r="P1051">
        <v>55</v>
      </c>
      <c r="Q1051">
        <v>274.5</v>
      </c>
      <c r="R1051">
        <v>180</v>
      </c>
      <c r="S1051">
        <v>500</v>
      </c>
      <c r="T1051">
        <v>2125</v>
      </c>
      <c r="U1051">
        <v>570</v>
      </c>
      <c r="V1051">
        <v>755</v>
      </c>
      <c r="W1051">
        <v>650</v>
      </c>
      <c r="BN1051">
        <v>65</v>
      </c>
      <c r="BO1051">
        <v>230</v>
      </c>
      <c r="BP1051">
        <v>65</v>
      </c>
      <c r="BQ1051">
        <v>230</v>
      </c>
      <c r="BR1051">
        <v>3665</v>
      </c>
      <c r="BS1051">
        <v>570</v>
      </c>
      <c r="BT1051">
        <v>485</v>
      </c>
      <c r="BU1051">
        <v>460</v>
      </c>
      <c r="BV1051">
        <v>3115</v>
      </c>
      <c r="BW1051">
        <v>580</v>
      </c>
    </row>
    <row r="1052" spans="1:75" x14ac:dyDescent="0.25">
      <c r="A1052" t="s">
        <v>726</v>
      </c>
      <c r="B1052">
        <v>2026</v>
      </c>
      <c r="C1052">
        <v>3</v>
      </c>
      <c r="D1052">
        <v>105</v>
      </c>
      <c r="E1052">
        <v>250</v>
      </c>
      <c r="F1052">
        <v>235</v>
      </c>
      <c r="G1052">
        <v>320</v>
      </c>
      <c r="H1052">
        <v>100</v>
      </c>
      <c r="I1052">
        <v>450</v>
      </c>
      <c r="J1052">
        <v>5</v>
      </c>
      <c r="K1052">
        <v>550</v>
      </c>
      <c r="P1052">
        <v>40</v>
      </c>
      <c r="Q1052">
        <v>250</v>
      </c>
      <c r="R1052">
        <v>225</v>
      </c>
      <c r="S1052">
        <v>400</v>
      </c>
      <c r="T1052">
        <v>1510</v>
      </c>
      <c r="U1052">
        <v>450</v>
      </c>
      <c r="V1052">
        <v>580</v>
      </c>
      <c r="W1052">
        <v>600</v>
      </c>
      <c r="BN1052">
        <v>35</v>
      </c>
      <c r="BO1052">
        <v>195</v>
      </c>
      <c r="BP1052">
        <v>35</v>
      </c>
      <c r="BQ1052">
        <v>195</v>
      </c>
      <c r="BR1052">
        <v>2840</v>
      </c>
      <c r="BS1052">
        <v>450</v>
      </c>
      <c r="BT1052">
        <v>445</v>
      </c>
      <c r="BU1052">
        <v>322</v>
      </c>
      <c r="BV1052">
        <v>2360</v>
      </c>
      <c r="BW1052">
        <v>475</v>
      </c>
    </row>
    <row r="1053" spans="1:75" x14ac:dyDescent="0.25">
      <c r="A1053" t="s">
        <v>721</v>
      </c>
      <c r="B1053">
        <v>2026</v>
      </c>
      <c r="C1053">
        <v>3</v>
      </c>
      <c r="D1053">
        <v>120</v>
      </c>
      <c r="E1053">
        <v>400</v>
      </c>
      <c r="F1053">
        <v>350</v>
      </c>
      <c r="G1053">
        <v>500</v>
      </c>
      <c r="H1053">
        <v>85</v>
      </c>
      <c r="I1053">
        <v>600</v>
      </c>
      <c r="J1053">
        <v>5</v>
      </c>
      <c r="K1053">
        <v>720</v>
      </c>
      <c r="P1053">
        <v>95</v>
      </c>
      <c r="Q1053">
        <v>250</v>
      </c>
      <c r="R1053">
        <v>130</v>
      </c>
      <c r="S1053">
        <v>560</v>
      </c>
      <c r="T1053">
        <v>1040</v>
      </c>
      <c r="U1053">
        <v>625</v>
      </c>
      <c r="V1053">
        <v>330</v>
      </c>
      <c r="W1053">
        <v>750</v>
      </c>
      <c r="BN1053">
        <v>100</v>
      </c>
      <c r="BO1053">
        <v>255</v>
      </c>
      <c r="BP1053">
        <v>100</v>
      </c>
      <c r="BQ1053">
        <v>255</v>
      </c>
      <c r="BR1053">
        <v>2260</v>
      </c>
      <c r="BS1053">
        <v>600</v>
      </c>
      <c r="BT1053">
        <v>560</v>
      </c>
      <c r="BU1053">
        <v>500</v>
      </c>
      <c r="BV1053">
        <v>1595</v>
      </c>
      <c r="BW1053">
        <v>630</v>
      </c>
    </row>
    <row r="1054" spans="1:75" x14ac:dyDescent="0.25">
      <c r="A1054" t="s">
        <v>722</v>
      </c>
      <c r="B1054">
        <v>2026</v>
      </c>
      <c r="C1054">
        <v>3</v>
      </c>
      <c r="D1054">
        <v>115</v>
      </c>
      <c r="E1054">
        <v>400</v>
      </c>
      <c r="F1054">
        <v>515</v>
      </c>
      <c r="G1054">
        <v>500</v>
      </c>
      <c r="H1054">
        <v>75</v>
      </c>
      <c r="I1054">
        <v>650</v>
      </c>
      <c r="K1054">
        <v>650</v>
      </c>
      <c r="P1054">
        <v>65</v>
      </c>
      <c r="Q1054">
        <v>270</v>
      </c>
      <c r="R1054">
        <v>235</v>
      </c>
      <c r="S1054">
        <v>575</v>
      </c>
      <c r="T1054">
        <v>775</v>
      </c>
      <c r="U1054">
        <v>670</v>
      </c>
      <c r="V1054">
        <v>220</v>
      </c>
      <c r="W1054">
        <v>770</v>
      </c>
      <c r="BN1054">
        <v>55</v>
      </c>
      <c r="BO1054">
        <v>230</v>
      </c>
      <c r="BP1054">
        <v>55</v>
      </c>
      <c r="BQ1054">
        <v>230</v>
      </c>
      <c r="BR1054">
        <v>2060</v>
      </c>
      <c r="BS1054">
        <v>600</v>
      </c>
      <c r="BT1054">
        <v>710</v>
      </c>
      <c r="BU1054">
        <v>500</v>
      </c>
      <c r="BV1054">
        <v>1295</v>
      </c>
      <c r="BW1054">
        <v>650</v>
      </c>
    </row>
    <row r="1055" spans="1:75" x14ac:dyDescent="0.25">
      <c r="A1055" t="s">
        <v>723</v>
      </c>
      <c r="B1055">
        <v>2026</v>
      </c>
      <c r="C1055">
        <v>3</v>
      </c>
      <c r="D1055">
        <v>10</v>
      </c>
      <c r="E1055">
        <v>220</v>
      </c>
      <c r="F1055">
        <v>15</v>
      </c>
      <c r="G1055">
        <v>290</v>
      </c>
      <c r="H1055">
        <v>10</v>
      </c>
      <c r="I1055">
        <v>450</v>
      </c>
      <c r="J1055">
        <v>450</v>
      </c>
      <c r="K1055">
        <v>450</v>
      </c>
      <c r="P1055">
        <v>5</v>
      </c>
      <c r="Q1055">
        <v>286</v>
      </c>
      <c r="R1055">
        <v>45</v>
      </c>
      <c r="S1055">
        <v>360</v>
      </c>
      <c r="T1055">
        <v>200</v>
      </c>
      <c r="U1055">
        <v>400</v>
      </c>
      <c r="V1055">
        <v>65</v>
      </c>
      <c r="W1055">
        <v>520</v>
      </c>
      <c r="BN1055">
        <v>18</v>
      </c>
      <c r="BO1055">
        <v>194</v>
      </c>
      <c r="BP1055">
        <v>18</v>
      </c>
      <c r="BQ1055">
        <v>194</v>
      </c>
      <c r="BR1055">
        <v>365</v>
      </c>
      <c r="BS1055">
        <v>400</v>
      </c>
      <c r="BT1055">
        <v>35</v>
      </c>
      <c r="BU1055">
        <v>290</v>
      </c>
      <c r="BV1055">
        <v>315</v>
      </c>
      <c r="BW1055">
        <v>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F423B-77D9-4937-9391-31F4B65531EF}">
  <sheetPr codeName="Sheet5">
    <tabColor rgb="FFFF0000"/>
  </sheetPr>
  <dimension ref="A1:N119"/>
  <sheetViews>
    <sheetView zoomScaleNormal="100" zoomScaleSheetLayoutView="100" workbookViewId="0">
      <pane ySplit="5" topLeftCell="A6" activePane="bottomLeft" state="frozen"/>
      <selection activeCell="A39" sqref="A39"/>
      <selection pane="bottomLeft" activeCell="F116" sqref="F116"/>
    </sheetView>
  </sheetViews>
  <sheetFormatPr defaultColWidth="11.5703125" defaultRowHeight="12.75" x14ac:dyDescent="0.2"/>
  <cols>
    <col min="1" max="1" width="44" style="45" customWidth="1"/>
    <col min="2" max="2" width="12.5703125" style="45" customWidth="1"/>
    <col min="3" max="13" width="11.5703125" style="45"/>
    <col min="14" max="14" width="11.5703125" style="47"/>
    <col min="15" max="256" width="11.5703125" style="45"/>
    <col min="257" max="257" width="44" style="45" customWidth="1"/>
    <col min="258" max="258" width="12.5703125" style="45" customWidth="1"/>
    <col min="259" max="512" width="11.5703125" style="45"/>
    <col min="513" max="513" width="44" style="45" customWidth="1"/>
    <col min="514" max="514" width="12.5703125" style="45" customWidth="1"/>
    <col min="515" max="768" width="11.5703125" style="45"/>
    <col min="769" max="769" width="44" style="45" customWidth="1"/>
    <col min="770" max="770" width="12.5703125" style="45" customWidth="1"/>
    <col min="771" max="1024" width="11.5703125" style="45"/>
    <col min="1025" max="1025" width="44" style="45" customWidth="1"/>
    <col min="1026" max="1026" width="12.5703125" style="45" customWidth="1"/>
    <col min="1027" max="1280" width="11.5703125" style="45"/>
    <col min="1281" max="1281" width="44" style="45" customWidth="1"/>
    <col min="1282" max="1282" width="12.5703125" style="45" customWidth="1"/>
    <col min="1283" max="1536" width="11.5703125" style="45"/>
    <col min="1537" max="1537" width="44" style="45" customWidth="1"/>
    <col min="1538" max="1538" width="12.5703125" style="45" customWidth="1"/>
    <col min="1539" max="1792" width="11.5703125" style="45"/>
    <col min="1793" max="1793" width="44" style="45" customWidth="1"/>
    <col min="1794" max="1794" width="12.5703125" style="45" customWidth="1"/>
    <col min="1795" max="2048" width="11.5703125" style="45"/>
    <col min="2049" max="2049" width="44" style="45" customWidth="1"/>
    <col min="2050" max="2050" width="12.5703125" style="45" customWidth="1"/>
    <col min="2051" max="2304" width="11.5703125" style="45"/>
    <col min="2305" max="2305" width="44" style="45" customWidth="1"/>
    <col min="2306" max="2306" width="12.5703125" style="45" customWidth="1"/>
    <col min="2307" max="2560" width="11.5703125" style="45"/>
    <col min="2561" max="2561" width="44" style="45" customWidth="1"/>
    <col min="2562" max="2562" width="12.5703125" style="45" customWidth="1"/>
    <col min="2563" max="2816" width="11.5703125" style="45"/>
    <col min="2817" max="2817" width="44" style="45" customWidth="1"/>
    <col min="2818" max="2818" width="12.5703125" style="45" customWidth="1"/>
    <col min="2819" max="3072" width="11.5703125" style="45"/>
    <col min="3073" max="3073" width="44" style="45" customWidth="1"/>
    <col min="3074" max="3074" width="12.5703125" style="45" customWidth="1"/>
    <col min="3075" max="3328" width="11.5703125" style="45"/>
    <col min="3329" max="3329" width="44" style="45" customWidth="1"/>
    <col min="3330" max="3330" width="12.5703125" style="45" customWidth="1"/>
    <col min="3331" max="3584" width="11.5703125" style="45"/>
    <col min="3585" max="3585" width="44" style="45" customWidth="1"/>
    <col min="3586" max="3586" width="12.5703125" style="45" customWidth="1"/>
    <col min="3587" max="3840" width="11.5703125" style="45"/>
    <col min="3841" max="3841" width="44" style="45" customWidth="1"/>
    <col min="3842" max="3842" width="12.5703125" style="45" customWidth="1"/>
    <col min="3843" max="4096" width="11.5703125" style="45"/>
    <col min="4097" max="4097" width="44" style="45" customWidth="1"/>
    <col min="4098" max="4098" width="12.5703125" style="45" customWidth="1"/>
    <col min="4099" max="4352" width="11.5703125" style="45"/>
    <col min="4353" max="4353" width="44" style="45" customWidth="1"/>
    <col min="4354" max="4354" width="12.5703125" style="45" customWidth="1"/>
    <col min="4355" max="4608" width="11.5703125" style="45"/>
    <col min="4609" max="4609" width="44" style="45" customWidth="1"/>
    <col min="4610" max="4610" width="12.5703125" style="45" customWidth="1"/>
    <col min="4611" max="4864" width="11.5703125" style="45"/>
    <col min="4865" max="4865" width="44" style="45" customWidth="1"/>
    <col min="4866" max="4866" width="12.5703125" style="45" customWidth="1"/>
    <col min="4867" max="5120" width="11.5703125" style="45"/>
    <col min="5121" max="5121" width="44" style="45" customWidth="1"/>
    <col min="5122" max="5122" width="12.5703125" style="45" customWidth="1"/>
    <col min="5123" max="5376" width="11.5703125" style="45"/>
    <col min="5377" max="5377" width="44" style="45" customWidth="1"/>
    <col min="5378" max="5378" width="12.5703125" style="45" customWidth="1"/>
    <col min="5379" max="5632" width="11.5703125" style="45"/>
    <col min="5633" max="5633" width="44" style="45" customWidth="1"/>
    <col min="5634" max="5634" width="12.5703125" style="45" customWidth="1"/>
    <col min="5635" max="5888" width="11.5703125" style="45"/>
    <col min="5889" max="5889" width="44" style="45" customWidth="1"/>
    <col min="5890" max="5890" width="12.5703125" style="45" customWidth="1"/>
    <col min="5891" max="6144" width="11.5703125" style="45"/>
    <col min="6145" max="6145" width="44" style="45" customWidth="1"/>
    <col min="6146" max="6146" width="12.5703125" style="45" customWidth="1"/>
    <col min="6147" max="6400" width="11.5703125" style="45"/>
    <col min="6401" max="6401" width="44" style="45" customWidth="1"/>
    <col min="6402" max="6402" width="12.5703125" style="45" customWidth="1"/>
    <col min="6403" max="6656" width="11.5703125" style="45"/>
    <col min="6657" max="6657" width="44" style="45" customWidth="1"/>
    <col min="6658" max="6658" width="12.5703125" style="45" customWidth="1"/>
    <col min="6659" max="6912" width="11.5703125" style="45"/>
    <col min="6913" max="6913" width="44" style="45" customWidth="1"/>
    <col min="6914" max="6914" width="12.5703125" style="45" customWidth="1"/>
    <col min="6915" max="7168" width="11.5703125" style="45"/>
    <col min="7169" max="7169" width="44" style="45" customWidth="1"/>
    <col min="7170" max="7170" width="12.5703125" style="45" customWidth="1"/>
    <col min="7171" max="7424" width="11.5703125" style="45"/>
    <col min="7425" max="7425" width="44" style="45" customWidth="1"/>
    <col min="7426" max="7426" width="12.5703125" style="45" customWidth="1"/>
    <col min="7427" max="7680" width="11.5703125" style="45"/>
    <col min="7681" max="7681" width="44" style="45" customWidth="1"/>
    <col min="7682" max="7682" width="12.5703125" style="45" customWidth="1"/>
    <col min="7683" max="7936" width="11.5703125" style="45"/>
    <col min="7937" max="7937" width="44" style="45" customWidth="1"/>
    <col min="7938" max="7938" width="12.5703125" style="45" customWidth="1"/>
    <col min="7939" max="8192" width="11.5703125" style="45"/>
    <col min="8193" max="8193" width="44" style="45" customWidth="1"/>
    <col min="8194" max="8194" width="12.5703125" style="45" customWidth="1"/>
    <col min="8195" max="8448" width="11.5703125" style="45"/>
    <col min="8449" max="8449" width="44" style="45" customWidth="1"/>
    <col min="8450" max="8450" width="12.5703125" style="45" customWidth="1"/>
    <col min="8451" max="8704" width="11.5703125" style="45"/>
    <col min="8705" max="8705" width="44" style="45" customWidth="1"/>
    <col min="8706" max="8706" width="12.5703125" style="45" customWidth="1"/>
    <col min="8707" max="8960" width="11.5703125" style="45"/>
    <col min="8961" max="8961" width="44" style="45" customWidth="1"/>
    <col min="8962" max="8962" width="12.5703125" style="45" customWidth="1"/>
    <col min="8963" max="9216" width="11.5703125" style="45"/>
    <col min="9217" max="9217" width="44" style="45" customWidth="1"/>
    <col min="9218" max="9218" width="12.5703125" style="45" customWidth="1"/>
    <col min="9219" max="9472" width="11.5703125" style="45"/>
    <col min="9473" max="9473" width="44" style="45" customWidth="1"/>
    <col min="9474" max="9474" width="12.5703125" style="45" customWidth="1"/>
    <col min="9475" max="9728" width="11.5703125" style="45"/>
    <col min="9729" max="9729" width="44" style="45" customWidth="1"/>
    <col min="9730" max="9730" width="12.5703125" style="45" customWidth="1"/>
    <col min="9731" max="9984" width="11.5703125" style="45"/>
    <col min="9985" max="9985" width="44" style="45" customWidth="1"/>
    <col min="9986" max="9986" width="12.5703125" style="45" customWidth="1"/>
    <col min="9987" max="10240" width="11.5703125" style="45"/>
    <col min="10241" max="10241" width="44" style="45" customWidth="1"/>
    <col min="10242" max="10242" width="12.5703125" style="45" customWidth="1"/>
    <col min="10243" max="10496" width="11.5703125" style="45"/>
    <col min="10497" max="10497" width="44" style="45" customWidth="1"/>
    <col min="10498" max="10498" width="12.5703125" style="45" customWidth="1"/>
    <col min="10499" max="10752" width="11.5703125" style="45"/>
    <col min="10753" max="10753" width="44" style="45" customWidth="1"/>
    <col min="10754" max="10754" width="12.5703125" style="45" customWidth="1"/>
    <col min="10755" max="11008" width="11.5703125" style="45"/>
    <col min="11009" max="11009" width="44" style="45" customWidth="1"/>
    <col min="11010" max="11010" width="12.5703125" style="45" customWidth="1"/>
    <col min="11011" max="11264" width="11.5703125" style="45"/>
    <col min="11265" max="11265" width="44" style="45" customWidth="1"/>
    <col min="11266" max="11266" width="12.5703125" style="45" customWidth="1"/>
    <col min="11267" max="11520" width="11.5703125" style="45"/>
    <col min="11521" max="11521" width="44" style="45" customWidth="1"/>
    <col min="11522" max="11522" width="12.5703125" style="45" customWidth="1"/>
    <col min="11523" max="11776" width="11.5703125" style="45"/>
    <col min="11777" max="11777" width="44" style="45" customWidth="1"/>
    <col min="11778" max="11778" width="12.5703125" style="45" customWidth="1"/>
    <col min="11779" max="12032" width="11.5703125" style="45"/>
    <col min="12033" max="12033" width="44" style="45" customWidth="1"/>
    <col min="12034" max="12034" width="12.5703125" style="45" customWidth="1"/>
    <col min="12035" max="12288" width="11.5703125" style="45"/>
    <col min="12289" max="12289" width="44" style="45" customWidth="1"/>
    <col min="12290" max="12290" width="12.5703125" style="45" customWidth="1"/>
    <col min="12291" max="12544" width="11.5703125" style="45"/>
    <col min="12545" max="12545" width="44" style="45" customWidth="1"/>
    <col min="12546" max="12546" width="12.5703125" style="45" customWidth="1"/>
    <col min="12547" max="12800" width="11.5703125" style="45"/>
    <col min="12801" max="12801" width="44" style="45" customWidth="1"/>
    <col min="12802" max="12802" width="12.5703125" style="45" customWidth="1"/>
    <col min="12803" max="13056" width="11.5703125" style="45"/>
    <col min="13057" max="13057" width="44" style="45" customWidth="1"/>
    <col min="13058" max="13058" width="12.5703125" style="45" customWidth="1"/>
    <col min="13059" max="13312" width="11.5703125" style="45"/>
    <col min="13313" max="13313" width="44" style="45" customWidth="1"/>
    <col min="13314" max="13314" width="12.5703125" style="45" customWidth="1"/>
    <col min="13315" max="13568" width="11.5703125" style="45"/>
    <col min="13569" max="13569" width="44" style="45" customWidth="1"/>
    <col min="13570" max="13570" width="12.5703125" style="45" customWidth="1"/>
    <col min="13571" max="13824" width="11.5703125" style="45"/>
    <col min="13825" max="13825" width="44" style="45" customWidth="1"/>
    <col min="13826" max="13826" width="12.5703125" style="45" customWidth="1"/>
    <col min="13827" max="14080" width="11.5703125" style="45"/>
    <col min="14081" max="14081" width="44" style="45" customWidth="1"/>
    <col min="14082" max="14082" width="12.5703125" style="45" customWidth="1"/>
    <col min="14083" max="14336" width="11.5703125" style="45"/>
    <col min="14337" max="14337" width="44" style="45" customWidth="1"/>
    <col min="14338" max="14338" width="12.5703125" style="45" customWidth="1"/>
    <col min="14339" max="14592" width="11.5703125" style="45"/>
    <col min="14593" max="14593" width="44" style="45" customWidth="1"/>
    <col min="14594" max="14594" width="12.5703125" style="45" customWidth="1"/>
    <col min="14595" max="14848" width="11.5703125" style="45"/>
    <col min="14849" max="14849" width="44" style="45" customWidth="1"/>
    <col min="14850" max="14850" width="12.5703125" style="45" customWidth="1"/>
    <col min="14851" max="15104" width="11.5703125" style="45"/>
    <col min="15105" max="15105" width="44" style="45" customWidth="1"/>
    <col min="15106" max="15106" width="12.5703125" style="45" customWidth="1"/>
    <col min="15107" max="15360" width="11.5703125" style="45"/>
    <col min="15361" max="15361" width="44" style="45" customWidth="1"/>
    <col min="15362" max="15362" width="12.5703125" style="45" customWidth="1"/>
    <col min="15363" max="15616" width="11.5703125" style="45"/>
    <col min="15617" max="15617" width="44" style="45" customWidth="1"/>
    <col min="15618" max="15618" width="12.5703125" style="45" customWidth="1"/>
    <col min="15619" max="15872" width="11.5703125" style="45"/>
    <col min="15873" max="15873" width="44" style="45" customWidth="1"/>
    <col min="15874" max="15874" width="12.5703125" style="45" customWidth="1"/>
    <col min="15875" max="16128" width="11.5703125" style="45"/>
    <col min="16129" max="16129" width="44" style="45" customWidth="1"/>
    <col min="16130" max="16130" width="12.5703125" style="45" customWidth="1"/>
    <col min="16131" max="16384" width="11.5703125" style="45"/>
  </cols>
  <sheetData>
    <row r="1" spans="1:14" ht="68.099999999999994" customHeight="1" x14ac:dyDescent="0.2">
      <c r="A1" s="74" t="s">
        <v>729</v>
      </c>
      <c r="B1" s="74"/>
      <c r="C1" s="74"/>
      <c r="D1" s="74"/>
      <c r="E1" s="74"/>
      <c r="F1" s="74"/>
      <c r="G1" s="74"/>
      <c r="H1" s="74"/>
      <c r="I1" s="74"/>
      <c r="J1" s="74"/>
      <c r="K1" s="74"/>
      <c r="L1" s="74"/>
      <c r="M1" s="74"/>
      <c r="N1" s="74"/>
    </row>
    <row r="2" spans="1:14" ht="22.7" customHeight="1" x14ac:dyDescent="0.25">
      <c r="A2" s="46" t="s">
        <v>730</v>
      </c>
    </row>
    <row r="3" spans="1:14" x14ac:dyDescent="0.2">
      <c r="A3" s="48" t="s">
        <v>731</v>
      </c>
    </row>
    <row r="4" spans="1:14" ht="24.2" customHeight="1" x14ac:dyDescent="0.2">
      <c r="A4" s="49" t="s">
        <v>732</v>
      </c>
    </row>
    <row r="5" spans="1:14" ht="24.2" customHeight="1" x14ac:dyDescent="0.2">
      <c r="A5" s="50"/>
      <c r="B5" s="50"/>
      <c r="C5" s="51" t="s">
        <v>733</v>
      </c>
      <c r="D5" s="51" t="s">
        <v>734</v>
      </c>
      <c r="E5" s="51" t="s">
        <v>735</v>
      </c>
      <c r="F5" s="51" t="s">
        <v>736</v>
      </c>
      <c r="G5" s="51" t="s">
        <v>737</v>
      </c>
      <c r="H5" s="51" t="s">
        <v>738</v>
      </c>
      <c r="I5" s="51" t="s">
        <v>739</v>
      </c>
      <c r="J5" s="51" t="s">
        <v>740</v>
      </c>
      <c r="K5" s="51" t="s">
        <v>741</v>
      </c>
      <c r="L5" s="51" t="s">
        <v>742</v>
      </c>
      <c r="M5" s="51" t="s">
        <v>743</v>
      </c>
      <c r="N5" s="51" t="s">
        <v>744</v>
      </c>
    </row>
    <row r="6" spans="1:14" s="52" customFormat="1" ht="13.15" customHeight="1" x14ac:dyDescent="0.2">
      <c r="A6" s="75" t="s">
        <v>745</v>
      </c>
      <c r="B6" s="75"/>
      <c r="C6" s="75"/>
      <c r="D6" s="75"/>
      <c r="E6" s="75"/>
      <c r="F6" s="75"/>
      <c r="G6" s="75"/>
      <c r="H6" s="75"/>
      <c r="I6" s="75"/>
      <c r="J6" s="75"/>
      <c r="K6" s="75"/>
      <c r="L6" s="75"/>
      <c r="M6" s="75"/>
      <c r="N6" s="75"/>
    </row>
    <row r="7" spans="1:14" x14ac:dyDescent="0.2">
      <c r="A7" s="53" t="s">
        <v>746</v>
      </c>
      <c r="B7" s="53"/>
    </row>
    <row r="8" spans="1:14" x14ac:dyDescent="0.2">
      <c r="A8" s="54" t="s">
        <v>747</v>
      </c>
      <c r="B8" s="53"/>
    </row>
    <row r="9" spans="1:14" x14ac:dyDescent="0.2">
      <c r="A9" s="55" t="s">
        <v>748</v>
      </c>
      <c r="B9" s="53" t="s">
        <v>749</v>
      </c>
      <c r="C9" s="47">
        <v>32</v>
      </c>
      <c r="D9" s="47">
        <v>24</v>
      </c>
      <c r="E9" s="47">
        <v>29</v>
      </c>
      <c r="F9" s="47">
        <v>25</v>
      </c>
      <c r="G9" s="47">
        <v>27</v>
      </c>
      <c r="H9" s="47">
        <v>26</v>
      </c>
      <c r="I9" s="47">
        <v>28</v>
      </c>
      <c r="J9" s="47">
        <v>31</v>
      </c>
      <c r="K9" s="47">
        <v>33</v>
      </c>
      <c r="L9" s="47">
        <v>33</v>
      </c>
      <c r="M9" s="47">
        <v>35</v>
      </c>
      <c r="N9" s="47">
        <v>39</v>
      </c>
    </row>
    <row r="10" spans="1:14" x14ac:dyDescent="0.2">
      <c r="A10" s="55" t="s">
        <v>750</v>
      </c>
      <c r="B10" s="53" t="s">
        <v>749</v>
      </c>
      <c r="C10" s="47">
        <v>248</v>
      </c>
      <c r="D10" s="47">
        <v>251</v>
      </c>
      <c r="E10" s="47">
        <v>240</v>
      </c>
      <c r="F10" s="47">
        <v>252</v>
      </c>
      <c r="G10" s="47">
        <v>224</v>
      </c>
      <c r="H10" s="47">
        <v>232</v>
      </c>
      <c r="I10" s="47">
        <v>240</v>
      </c>
      <c r="J10" s="47">
        <v>276</v>
      </c>
      <c r="K10" s="47">
        <v>306</v>
      </c>
      <c r="L10" s="47">
        <v>359</v>
      </c>
      <c r="M10" s="47">
        <v>354</v>
      </c>
      <c r="N10" s="47">
        <v>382</v>
      </c>
    </row>
    <row r="11" spans="1:14" x14ac:dyDescent="0.2">
      <c r="A11" s="55" t="s">
        <v>751</v>
      </c>
      <c r="B11" s="53"/>
    </row>
    <row r="12" spans="1:14" x14ac:dyDescent="0.2">
      <c r="A12" s="56" t="s">
        <v>752</v>
      </c>
      <c r="B12" s="53" t="s">
        <v>749</v>
      </c>
      <c r="C12" s="47">
        <v>91</v>
      </c>
      <c r="D12" s="47">
        <v>90</v>
      </c>
      <c r="E12" s="47">
        <v>91</v>
      </c>
      <c r="F12" s="47">
        <v>90</v>
      </c>
      <c r="G12" s="47">
        <v>101</v>
      </c>
      <c r="H12" s="47">
        <v>95</v>
      </c>
      <c r="I12" s="47">
        <v>103</v>
      </c>
      <c r="J12" s="47">
        <v>100</v>
      </c>
      <c r="K12" s="47">
        <v>104</v>
      </c>
      <c r="L12" s="47">
        <v>117</v>
      </c>
      <c r="M12" s="47">
        <v>113</v>
      </c>
      <c r="N12" s="47">
        <v>131</v>
      </c>
    </row>
    <row r="13" spans="1:14" x14ac:dyDescent="0.2">
      <c r="A13" s="56" t="s">
        <v>753</v>
      </c>
      <c r="B13" s="53" t="s">
        <v>749</v>
      </c>
      <c r="C13" s="47">
        <v>192</v>
      </c>
      <c r="D13" s="47">
        <v>190</v>
      </c>
      <c r="E13" s="47">
        <v>182</v>
      </c>
      <c r="F13" s="47">
        <v>193</v>
      </c>
      <c r="G13" s="47">
        <v>196</v>
      </c>
      <c r="H13" s="47">
        <v>180</v>
      </c>
      <c r="I13" s="47">
        <v>193</v>
      </c>
      <c r="J13" s="47">
        <v>198</v>
      </c>
      <c r="K13" s="47">
        <v>221</v>
      </c>
      <c r="L13" s="47">
        <v>235</v>
      </c>
      <c r="M13" s="47">
        <v>262</v>
      </c>
      <c r="N13" s="47">
        <v>271</v>
      </c>
    </row>
    <row r="14" spans="1:14" x14ac:dyDescent="0.2">
      <c r="A14" s="56" t="s">
        <v>754</v>
      </c>
      <c r="B14" s="53" t="s">
        <v>749</v>
      </c>
      <c r="C14" s="47">
        <v>141</v>
      </c>
      <c r="D14" s="47">
        <v>145</v>
      </c>
      <c r="E14" s="47">
        <v>142</v>
      </c>
      <c r="F14" s="47">
        <v>148</v>
      </c>
      <c r="G14" s="47">
        <v>157</v>
      </c>
      <c r="H14" s="47">
        <v>148</v>
      </c>
      <c r="I14" s="47">
        <v>156</v>
      </c>
      <c r="J14" s="47">
        <v>162</v>
      </c>
      <c r="K14" s="47">
        <v>186</v>
      </c>
      <c r="L14" s="47">
        <v>199</v>
      </c>
      <c r="M14" s="47">
        <v>223</v>
      </c>
      <c r="N14" s="47">
        <v>230</v>
      </c>
    </row>
    <row r="15" spans="1:14" x14ac:dyDescent="0.2">
      <c r="A15" s="55" t="s">
        <v>755</v>
      </c>
      <c r="B15" s="53" t="s">
        <v>749</v>
      </c>
      <c r="C15" s="47">
        <v>124</v>
      </c>
      <c r="D15" s="47">
        <v>122</v>
      </c>
      <c r="E15" s="47">
        <v>119</v>
      </c>
      <c r="F15" s="47">
        <v>130</v>
      </c>
      <c r="G15" s="47">
        <v>126</v>
      </c>
      <c r="H15" s="47">
        <v>124</v>
      </c>
      <c r="I15" s="47">
        <v>136</v>
      </c>
      <c r="J15" s="47">
        <v>157</v>
      </c>
      <c r="K15" s="47">
        <v>172</v>
      </c>
      <c r="L15" s="47">
        <v>201</v>
      </c>
      <c r="M15" s="47">
        <v>203</v>
      </c>
      <c r="N15" s="47">
        <v>219</v>
      </c>
    </row>
    <row r="16" spans="1:14" x14ac:dyDescent="0.2">
      <c r="A16" s="54" t="s">
        <v>756</v>
      </c>
      <c r="B16" s="53"/>
    </row>
    <row r="17" spans="1:14" x14ac:dyDescent="0.2">
      <c r="A17" s="55" t="s">
        <v>757</v>
      </c>
      <c r="B17" s="53"/>
    </row>
    <row r="18" spans="1:14" x14ac:dyDescent="0.2">
      <c r="A18" s="56" t="s">
        <v>758</v>
      </c>
      <c r="B18" s="53" t="s">
        <v>749</v>
      </c>
      <c r="C18" s="47">
        <v>173</v>
      </c>
      <c r="D18" s="47">
        <v>159</v>
      </c>
      <c r="E18" s="47">
        <v>173</v>
      </c>
      <c r="F18" s="47">
        <v>199</v>
      </c>
      <c r="G18" s="47">
        <v>176</v>
      </c>
      <c r="H18" s="47">
        <v>179</v>
      </c>
      <c r="I18" s="47">
        <v>204</v>
      </c>
      <c r="J18" s="47">
        <v>238</v>
      </c>
      <c r="K18" s="47">
        <v>286</v>
      </c>
      <c r="L18" s="47">
        <v>251</v>
      </c>
      <c r="M18" s="47">
        <v>323</v>
      </c>
      <c r="N18" s="47">
        <v>333</v>
      </c>
    </row>
    <row r="19" spans="1:14" x14ac:dyDescent="0.2">
      <c r="A19" s="56" t="s">
        <v>759</v>
      </c>
      <c r="B19" s="53" t="s">
        <v>749</v>
      </c>
      <c r="C19" s="47">
        <v>165</v>
      </c>
      <c r="D19" s="47">
        <v>141</v>
      </c>
      <c r="E19" s="47">
        <v>156</v>
      </c>
      <c r="F19" s="47">
        <v>150</v>
      </c>
      <c r="G19" s="47">
        <v>149</v>
      </c>
      <c r="H19" s="47">
        <v>155</v>
      </c>
      <c r="I19" s="47">
        <v>158</v>
      </c>
      <c r="J19" s="47">
        <v>162</v>
      </c>
      <c r="K19" s="47">
        <v>191</v>
      </c>
      <c r="L19" s="47">
        <v>318</v>
      </c>
      <c r="M19" s="47">
        <v>245</v>
      </c>
      <c r="N19" s="47">
        <v>266</v>
      </c>
    </row>
    <row r="20" spans="1:14" x14ac:dyDescent="0.2">
      <c r="A20" s="56" t="s">
        <v>760</v>
      </c>
      <c r="B20" s="53" t="s">
        <v>749</v>
      </c>
      <c r="C20" s="47">
        <v>109</v>
      </c>
      <c r="D20" s="47">
        <v>112</v>
      </c>
      <c r="E20" s="47">
        <v>102</v>
      </c>
      <c r="F20" s="47">
        <v>110</v>
      </c>
      <c r="G20" s="47">
        <v>103</v>
      </c>
      <c r="H20" s="47">
        <v>106</v>
      </c>
      <c r="I20" s="47">
        <v>115</v>
      </c>
      <c r="J20" s="47">
        <v>137</v>
      </c>
      <c r="K20" s="47">
        <v>139</v>
      </c>
      <c r="L20" s="47">
        <v>166</v>
      </c>
      <c r="M20" s="47">
        <v>176</v>
      </c>
      <c r="N20" s="47">
        <v>181</v>
      </c>
    </row>
    <row r="21" spans="1:14" x14ac:dyDescent="0.2">
      <c r="A21" s="56" t="s">
        <v>761</v>
      </c>
      <c r="B21" s="53" t="s">
        <v>749</v>
      </c>
      <c r="C21" s="47">
        <v>91</v>
      </c>
      <c r="D21" s="47">
        <v>84</v>
      </c>
      <c r="E21" s="47">
        <v>86</v>
      </c>
      <c r="F21" s="47">
        <v>115</v>
      </c>
      <c r="G21" s="47">
        <v>117</v>
      </c>
      <c r="H21" s="47">
        <v>114</v>
      </c>
      <c r="I21" s="47">
        <v>110</v>
      </c>
      <c r="J21" s="47">
        <v>126</v>
      </c>
      <c r="K21" s="47">
        <v>141</v>
      </c>
      <c r="L21" s="47">
        <v>193</v>
      </c>
      <c r="M21" s="47">
        <v>176</v>
      </c>
      <c r="N21" s="47">
        <v>214</v>
      </c>
    </row>
    <row r="22" spans="1:14" x14ac:dyDescent="0.2">
      <c r="A22" s="55" t="s">
        <v>762</v>
      </c>
      <c r="B22" s="53" t="s">
        <v>749</v>
      </c>
      <c r="C22" s="47">
        <v>136</v>
      </c>
      <c r="D22" s="47">
        <v>82</v>
      </c>
      <c r="E22" s="47">
        <v>161</v>
      </c>
      <c r="F22" s="47">
        <v>130</v>
      </c>
      <c r="G22" s="47">
        <v>189</v>
      </c>
      <c r="H22" s="47">
        <v>117</v>
      </c>
      <c r="I22" s="47">
        <v>77</v>
      </c>
      <c r="J22" s="47">
        <v>99</v>
      </c>
      <c r="K22" s="47">
        <v>112</v>
      </c>
      <c r="L22" s="47">
        <v>348</v>
      </c>
      <c r="M22" s="47">
        <v>216</v>
      </c>
      <c r="N22" s="47">
        <v>201</v>
      </c>
    </row>
    <row r="23" spans="1:14" x14ac:dyDescent="0.2">
      <c r="A23" s="55" t="s">
        <v>763</v>
      </c>
      <c r="B23" s="53"/>
    </row>
    <row r="24" spans="1:14" x14ac:dyDescent="0.2">
      <c r="A24" s="56" t="s">
        <v>764</v>
      </c>
      <c r="B24" s="53" t="s">
        <v>749</v>
      </c>
      <c r="C24" s="47">
        <v>78</v>
      </c>
      <c r="D24" s="47">
        <v>93</v>
      </c>
      <c r="E24" s="47">
        <v>79</v>
      </c>
      <c r="F24" s="47">
        <v>83</v>
      </c>
      <c r="G24" s="47">
        <v>93</v>
      </c>
      <c r="H24" s="47">
        <v>81</v>
      </c>
      <c r="I24" s="47">
        <v>96</v>
      </c>
      <c r="J24" s="47">
        <v>114</v>
      </c>
      <c r="K24" s="47">
        <v>118</v>
      </c>
      <c r="L24" s="47">
        <v>129</v>
      </c>
      <c r="M24" s="47">
        <v>124</v>
      </c>
      <c r="N24" s="47">
        <v>124</v>
      </c>
    </row>
    <row r="25" spans="1:14" x14ac:dyDescent="0.2">
      <c r="A25" s="56" t="s">
        <v>765</v>
      </c>
      <c r="B25" s="53" t="s">
        <v>749</v>
      </c>
      <c r="C25" s="47">
        <v>184</v>
      </c>
      <c r="D25" s="47">
        <v>190</v>
      </c>
      <c r="E25" s="47">
        <v>169</v>
      </c>
      <c r="F25" s="47">
        <v>203</v>
      </c>
      <c r="G25" s="47">
        <v>173</v>
      </c>
      <c r="H25" s="47">
        <v>221</v>
      </c>
      <c r="I25" s="47">
        <v>167</v>
      </c>
      <c r="J25" s="47">
        <v>211</v>
      </c>
      <c r="K25" s="47">
        <v>202</v>
      </c>
      <c r="L25" s="47">
        <v>247</v>
      </c>
      <c r="M25" s="47">
        <v>258</v>
      </c>
      <c r="N25" s="47">
        <v>491</v>
      </c>
    </row>
    <row r="26" spans="1:14" x14ac:dyDescent="0.2">
      <c r="A26" s="55" t="s">
        <v>755</v>
      </c>
      <c r="B26" s="53" t="s">
        <v>749</v>
      </c>
      <c r="C26" s="47">
        <v>124</v>
      </c>
      <c r="D26" s="47">
        <v>122</v>
      </c>
      <c r="E26" s="47">
        <v>119</v>
      </c>
      <c r="F26" s="47">
        <v>130</v>
      </c>
      <c r="G26" s="47">
        <v>126</v>
      </c>
      <c r="H26" s="47">
        <v>124</v>
      </c>
      <c r="I26" s="47">
        <v>136</v>
      </c>
      <c r="J26" s="47">
        <v>157</v>
      </c>
      <c r="K26" s="47">
        <v>172</v>
      </c>
      <c r="L26" s="47">
        <v>201</v>
      </c>
      <c r="M26" s="47">
        <v>203</v>
      </c>
      <c r="N26" s="47">
        <v>219</v>
      </c>
    </row>
    <row r="27" spans="1:14" x14ac:dyDescent="0.2">
      <c r="A27" s="54" t="s">
        <v>766</v>
      </c>
      <c r="B27" s="53"/>
    </row>
    <row r="28" spans="1:14" x14ac:dyDescent="0.2">
      <c r="A28" s="55" t="s">
        <v>767</v>
      </c>
      <c r="B28" s="53" t="s">
        <v>749</v>
      </c>
      <c r="C28" s="47">
        <v>129</v>
      </c>
      <c r="D28" s="47">
        <v>127</v>
      </c>
      <c r="E28" s="47">
        <v>123</v>
      </c>
      <c r="F28" s="47">
        <v>136</v>
      </c>
      <c r="G28" s="47">
        <v>127</v>
      </c>
      <c r="H28" s="47">
        <v>128</v>
      </c>
      <c r="I28" s="47">
        <v>138</v>
      </c>
      <c r="J28" s="47">
        <v>160</v>
      </c>
      <c r="K28" s="47">
        <v>175</v>
      </c>
      <c r="L28" s="47">
        <v>210</v>
      </c>
      <c r="M28" s="47">
        <v>208</v>
      </c>
      <c r="N28" s="47">
        <v>226</v>
      </c>
    </row>
    <row r="29" spans="1:14" x14ac:dyDescent="0.2">
      <c r="A29" s="55" t="s">
        <v>768</v>
      </c>
      <c r="B29" s="53" t="s">
        <v>749</v>
      </c>
      <c r="C29" s="47">
        <v>106</v>
      </c>
      <c r="D29" s="47">
        <v>106</v>
      </c>
      <c r="E29" s="47">
        <v>101</v>
      </c>
      <c r="F29" s="47">
        <v>109</v>
      </c>
      <c r="G29" s="47">
        <v>135</v>
      </c>
      <c r="H29" s="47">
        <v>111</v>
      </c>
      <c r="I29" s="47">
        <v>123</v>
      </c>
      <c r="J29" s="47">
        <v>154</v>
      </c>
      <c r="K29" s="47">
        <v>175</v>
      </c>
      <c r="L29" s="47">
        <v>181</v>
      </c>
      <c r="M29" s="47">
        <v>179</v>
      </c>
      <c r="N29" s="47">
        <v>185</v>
      </c>
    </row>
    <row r="30" spans="1:14" x14ac:dyDescent="0.2">
      <c r="A30" s="55" t="s">
        <v>769</v>
      </c>
      <c r="B30" s="53" t="s">
        <v>749</v>
      </c>
      <c r="C30" s="47">
        <v>106</v>
      </c>
      <c r="D30" s="47">
        <v>99</v>
      </c>
      <c r="E30" s="47">
        <v>102</v>
      </c>
      <c r="F30" s="47">
        <v>107</v>
      </c>
      <c r="G30" s="47">
        <v>108</v>
      </c>
      <c r="H30" s="47">
        <v>112</v>
      </c>
      <c r="I30" s="47">
        <v>129</v>
      </c>
      <c r="J30" s="47">
        <v>113</v>
      </c>
      <c r="K30" s="47">
        <v>135</v>
      </c>
      <c r="L30" s="47">
        <v>140</v>
      </c>
      <c r="M30" s="47">
        <v>178</v>
      </c>
      <c r="N30" s="47">
        <v>179</v>
      </c>
    </row>
    <row r="31" spans="1:14" x14ac:dyDescent="0.2">
      <c r="A31" s="55" t="s">
        <v>755</v>
      </c>
      <c r="B31" s="53" t="s">
        <v>749</v>
      </c>
      <c r="C31" s="47">
        <v>124</v>
      </c>
      <c r="D31" s="47">
        <v>122</v>
      </c>
      <c r="E31" s="47">
        <v>119</v>
      </c>
      <c r="F31" s="47">
        <v>130</v>
      </c>
      <c r="G31" s="47">
        <v>126</v>
      </c>
      <c r="H31" s="47">
        <v>124</v>
      </c>
      <c r="I31" s="47">
        <v>136</v>
      </c>
      <c r="J31" s="47">
        <v>157</v>
      </c>
      <c r="K31" s="47">
        <v>172</v>
      </c>
      <c r="L31" s="47">
        <v>201</v>
      </c>
      <c r="M31" s="47">
        <v>203</v>
      </c>
      <c r="N31" s="47">
        <v>219</v>
      </c>
    </row>
    <row r="32" spans="1:14" x14ac:dyDescent="0.2">
      <c r="A32" s="54" t="s">
        <v>770</v>
      </c>
      <c r="B32" s="53"/>
    </row>
    <row r="33" spans="1:14" x14ac:dyDescent="0.2">
      <c r="A33" s="55" t="s">
        <v>771</v>
      </c>
      <c r="B33" s="53" t="s">
        <v>749</v>
      </c>
      <c r="C33" s="47">
        <v>69</v>
      </c>
      <c r="D33" s="47">
        <v>76</v>
      </c>
      <c r="E33" s="47">
        <v>82</v>
      </c>
      <c r="F33" s="47">
        <v>65</v>
      </c>
      <c r="G33" s="47">
        <v>79</v>
      </c>
      <c r="H33" s="47">
        <v>75</v>
      </c>
      <c r="I33" s="47">
        <v>81</v>
      </c>
      <c r="J33" s="47">
        <v>75</v>
      </c>
      <c r="K33" s="47">
        <v>88</v>
      </c>
      <c r="L33" s="47">
        <v>97</v>
      </c>
      <c r="M33" s="47">
        <v>107</v>
      </c>
      <c r="N33" s="47">
        <v>99</v>
      </c>
    </row>
    <row r="34" spans="1:14" x14ac:dyDescent="0.2">
      <c r="A34" s="55" t="s">
        <v>772</v>
      </c>
      <c r="B34" s="53" t="s">
        <v>749</v>
      </c>
      <c r="C34" s="47">
        <v>107</v>
      </c>
      <c r="D34" s="47">
        <v>94</v>
      </c>
      <c r="E34" s="47">
        <v>93</v>
      </c>
      <c r="F34" s="47">
        <v>99</v>
      </c>
      <c r="G34" s="47">
        <v>107</v>
      </c>
      <c r="H34" s="47">
        <v>90</v>
      </c>
      <c r="I34" s="47">
        <v>96</v>
      </c>
      <c r="J34" s="47">
        <v>117</v>
      </c>
      <c r="K34" s="47">
        <v>138</v>
      </c>
      <c r="L34" s="47">
        <v>178</v>
      </c>
      <c r="M34" s="47">
        <v>155</v>
      </c>
      <c r="N34" s="47">
        <v>181</v>
      </c>
    </row>
    <row r="35" spans="1:14" x14ac:dyDescent="0.2">
      <c r="A35" s="55" t="s">
        <v>773</v>
      </c>
      <c r="B35" s="53" t="s">
        <v>749</v>
      </c>
      <c r="C35" s="47">
        <v>132</v>
      </c>
      <c r="D35" s="47">
        <v>111</v>
      </c>
      <c r="E35" s="47">
        <v>138</v>
      </c>
      <c r="F35" s="47">
        <v>153</v>
      </c>
      <c r="G35" s="47">
        <v>132</v>
      </c>
      <c r="H35" s="47">
        <v>116</v>
      </c>
      <c r="I35" s="47">
        <v>149</v>
      </c>
      <c r="J35" s="47">
        <v>194</v>
      </c>
      <c r="K35" s="47">
        <v>203</v>
      </c>
      <c r="L35" s="47">
        <v>217</v>
      </c>
      <c r="M35" s="47">
        <v>204</v>
      </c>
      <c r="N35" s="47">
        <v>241</v>
      </c>
    </row>
    <row r="36" spans="1:14" x14ac:dyDescent="0.2">
      <c r="A36" s="55" t="s">
        <v>774</v>
      </c>
      <c r="B36" s="53" t="s">
        <v>749</v>
      </c>
      <c r="C36" s="47">
        <v>169</v>
      </c>
      <c r="D36" s="47">
        <v>169</v>
      </c>
      <c r="E36" s="47">
        <v>140</v>
      </c>
      <c r="F36" s="47">
        <v>169</v>
      </c>
      <c r="G36" s="47">
        <v>150</v>
      </c>
      <c r="H36" s="47">
        <v>175</v>
      </c>
      <c r="I36" s="47">
        <v>176</v>
      </c>
      <c r="J36" s="47">
        <v>196</v>
      </c>
      <c r="K36" s="47">
        <v>229</v>
      </c>
      <c r="L36" s="47">
        <v>278</v>
      </c>
      <c r="M36" s="47">
        <v>282</v>
      </c>
      <c r="N36" s="47">
        <v>293</v>
      </c>
    </row>
    <row r="37" spans="1:14" x14ac:dyDescent="0.2">
      <c r="A37" s="55" t="s">
        <v>775</v>
      </c>
      <c r="B37" s="53" t="s">
        <v>749</v>
      </c>
      <c r="C37" s="47">
        <v>190</v>
      </c>
      <c r="D37" s="47">
        <v>184</v>
      </c>
      <c r="E37" s="47">
        <v>161</v>
      </c>
      <c r="F37" s="47">
        <v>226</v>
      </c>
      <c r="G37" s="47">
        <v>193</v>
      </c>
      <c r="H37" s="47">
        <v>202</v>
      </c>
      <c r="I37" s="47">
        <v>212</v>
      </c>
      <c r="J37" s="47">
        <v>252</v>
      </c>
      <c r="K37" s="47">
        <v>261</v>
      </c>
      <c r="L37" s="47">
        <v>311</v>
      </c>
      <c r="M37" s="47">
        <v>331</v>
      </c>
      <c r="N37" s="47">
        <v>373</v>
      </c>
    </row>
    <row r="38" spans="1:14" x14ac:dyDescent="0.2">
      <c r="A38" s="55" t="s">
        <v>755</v>
      </c>
      <c r="B38" s="53" t="s">
        <v>749</v>
      </c>
      <c r="C38" s="47">
        <v>124</v>
      </c>
      <c r="D38" s="47">
        <v>122</v>
      </c>
      <c r="E38" s="47">
        <v>119</v>
      </c>
      <c r="F38" s="47">
        <v>130</v>
      </c>
      <c r="G38" s="47">
        <v>126</v>
      </c>
      <c r="H38" s="47">
        <v>124</v>
      </c>
      <c r="I38" s="47">
        <v>136</v>
      </c>
      <c r="J38" s="47">
        <v>157</v>
      </c>
      <c r="K38" s="47">
        <v>172</v>
      </c>
      <c r="L38" s="47">
        <v>201</v>
      </c>
      <c r="M38" s="47">
        <v>203</v>
      </c>
      <c r="N38" s="47">
        <v>219</v>
      </c>
    </row>
    <row r="39" spans="1:14" x14ac:dyDescent="0.2">
      <c r="A39" s="55" t="s">
        <v>776</v>
      </c>
      <c r="B39" s="53" t="s">
        <v>749</v>
      </c>
      <c r="C39" s="47">
        <v>74</v>
      </c>
      <c r="D39" s="47">
        <v>71</v>
      </c>
      <c r="E39" s="47">
        <v>80</v>
      </c>
      <c r="F39" s="47">
        <v>81</v>
      </c>
      <c r="G39" s="47">
        <v>92</v>
      </c>
      <c r="H39" s="47">
        <v>80</v>
      </c>
      <c r="I39" s="47">
        <v>84</v>
      </c>
      <c r="J39" s="47">
        <v>85</v>
      </c>
      <c r="K39" s="47">
        <v>105</v>
      </c>
      <c r="L39" s="47">
        <v>139</v>
      </c>
      <c r="M39" s="47">
        <v>107</v>
      </c>
      <c r="N39" s="47">
        <v>128</v>
      </c>
    </row>
    <row r="40" spans="1:14" x14ac:dyDescent="0.2">
      <c r="A40" s="54" t="s">
        <v>777</v>
      </c>
      <c r="B40" s="53"/>
    </row>
    <row r="41" spans="1:14" x14ac:dyDescent="0.2">
      <c r="A41" s="55" t="s">
        <v>778</v>
      </c>
      <c r="B41" s="53" t="s">
        <v>749</v>
      </c>
      <c r="C41" s="47">
        <v>173</v>
      </c>
      <c r="D41" s="47">
        <v>164</v>
      </c>
      <c r="E41" s="47">
        <v>165</v>
      </c>
      <c r="F41" s="47">
        <v>188</v>
      </c>
      <c r="G41" s="47">
        <v>170</v>
      </c>
      <c r="H41" s="47">
        <v>177</v>
      </c>
      <c r="I41" s="47">
        <v>184</v>
      </c>
      <c r="J41" s="47">
        <v>215</v>
      </c>
      <c r="K41" s="47">
        <v>237</v>
      </c>
      <c r="L41" s="47">
        <v>279</v>
      </c>
      <c r="M41" s="47">
        <v>274</v>
      </c>
      <c r="N41" s="47">
        <v>302</v>
      </c>
    </row>
    <row r="42" spans="1:14" x14ac:dyDescent="0.2">
      <c r="A42" s="55" t="s">
        <v>779</v>
      </c>
      <c r="B42" s="53" t="s">
        <v>749</v>
      </c>
      <c r="C42" s="47">
        <v>105</v>
      </c>
      <c r="D42" s="47">
        <v>117</v>
      </c>
      <c r="E42" s="47">
        <v>99</v>
      </c>
      <c r="F42" s="47">
        <v>139</v>
      </c>
      <c r="G42" s="47">
        <v>102</v>
      </c>
      <c r="H42" s="47">
        <v>133</v>
      </c>
      <c r="I42" s="47">
        <v>154</v>
      </c>
      <c r="J42" s="47">
        <v>212</v>
      </c>
      <c r="K42" s="47">
        <v>175</v>
      </c>
      <c r="L42" s="47">
        <v>248</v>
      </c>
      <c r="M42" s="47">
        <v>224</v>
      </c>
      <c r="N42" s="47">
        <v>219</v>
      </c>
    </row>
    <row r="43" spans="1:14" x14ac:dyDescent="0.2">
      <c r="A43" s="55" t="s">
        <v>780</v>
      </c>
      <c r="B43" s="53" t="s">
        <v>749</v>
      </c>
      <c r="C43" s="47">
        <v>65</v>
      </c>
      <c r="D43" s="47">
        <v>65</v>
      </c>
      <c r="E43" s="47">
        <v>73</v>
      </c>
      <c r="F43" s="47">
        <v>66</v>
      </c>
      <c r="G43" s="47">
        <v>73</v>
      </c>
      <c r="H43" s="47">
        <v>61</v>
      </c>
      <c r="I43" s="47">
        <v>65</v>
      </c>
      <c r="J43" s="47">
        <v>71</v>
      </c>
      <c r="K43" s="47">
        <v>81</v>
      </c>
      <c r="L43" s="47">
        <v>80</v>
      </c>
      <c r="M43" s="47">
        <v>92</v>
      </c>
      <c r="N43" s="47">
        <v>99</v>
      </c>
    </row>
    <row r="44" spans="1:14" x14ac:dyDescent="0.2">
      <c r="A44" s="55" t="s">
        <v>781</v>
      </c>
      <c r="B44" s="53" t="s">
        <v>749</v>
      </c>
      <c r="C44" s="47">
        <v>45</v>
      </c>
      <c r="D44" s="47">
        <v>56</v>
      </c>
      <c r="E44" s="47">
        <v>48</v>
      </c>
      <c r="F44" s="47">
        <v>64</v>
      </c>
      <c r="G44" s="47">
        <v>64</v>
      </c>
      <c r="H44" s="47">
        <v>53</v>
      </c>
      <c r="I44" s="47">
        <v>71</v>
      </c>
      <c r="J44" s="47">
        <v>63</v>
      </c>
      <c r="K44" s="47">
        <v>73</v>
      </c>
      <c r="L44" s="47">
        <v>85</v>
      </c>
      <c r="M44" s="47">
        <v>101</v>
      </c>
      <c r="N44" s="47">
        <v>104</v>
      </c>
    </row>
    <row r="45" spans="1:14" x14ac:dyDescent="0.2">
      <c r="A45" s="55" t="s">
        <v>755</v>
      </c>
      <c r="B45" s="53" t="s">
        <v>749</v>
      </c>
      <c r="C45" s="47">
        <v>124</v>
      </c>
      <c r="D45" s="47">
        <v>122</v>
      </c>
      <c r="E45" s="47">
        <v>119</v>
      </c>
      <c r="F45" s="47">
        <v>130</v>
      </c>
      <c r="G45" s="47">
        <v>126</v>
      </c>
      <c r="H45" s="47">
        <v>124</v>
      </c>
      <c r="I45" s="47">
        <v>136</v>
      </c>
      <c r="J45" s="47">
        <v>157</v>
      </c>
      <c r="K45" s="47">
        <v>172</v>
      </c>
      <c r="L45" s="47">
        <v>201</v>
      </c>
      <c r="M45" s="47">
        <v>203</v>
      </c>
      <c r="N45" s="47">
        <v>219</v>
      </c>
    </row>
    <row r="46" spans="1:14" x14ac:dyDescent="0.2">
      <c r="A46" s="54" t="s">
        <v>782</v>
      </c>
      <c r="B46" s="53"/>
    </row>
    <row r="47" spans="1:14" x14ac:dyDescent="0.2">
      <c r="A47" s="55" t="s">
        <v>783</v>
      </c>
      <c r="B47" s="53" t="s">
        <v>749</v>
      </c>
      <c r="C47" s="47">
        <v>55</v>
      </c>
      <c r="D47" s="47">
        <v>59</v>
      </c>
      <c r="E47" s="47">
        <v>62</v>
      </c>
      <c r="F47" s="47">
        <v>58</v>
      </c>
      <c r="G47" s="47">
        <v>64</v>
      </c>
      <c r="H47" s="47">
        <v>53</v>
      </c>
      <c r="I47" s="47">
        <v>60</v>
      </c>
      <c r="J47" s="47">
        <v>65</v>
      </c>
      <c r="K47" s="47">
        <v>68</v>
      </c>
      <c r="L47" s="47">
        <v>69</v>
      </c>
      <c r="M47" s="47">
        <v>80</v>
      </c>
      <c r="N47" s="47">
        <v>83</v>
      </c>
    </row>
    <row r="48" spans="1:14" x14ac:dyDescent="0.2">
      <c r="A48" s="55" t="s">
        <v>784</v>
      </c>
      <c r="B48" s="53" t="s">
        <v>749</v>
      </c>
      <c r="C48" s="47">
        <v>146</v>
      </c>
      <c r="D48" s="47">
        <v>141</v>
      </c>
      <c r="E48" s="47">
        <v>140</v>
      </c>
      <c r="F48" s="47">
        <v>146</v>
      </c>
      <c r="G48" s="47">
        <v>135</v>
      </c>
      <c r="H48" s="47">
        <v>137</v>
      </c>
      <c r="I48" s="47">
        <v>148</v>
      </c>
      <c r="J48" s="47">
        <v>180</v>
      </c>
      <c r="K48" s="47">
        <v>193</v>
      </c>
      <c r="L48" s="47">
        <v>217</v>
      </c>
      <c r="M48" s="47">
        <v>206</v>
      </c>
      <c r="N48" s="47">
        <v>227</v>
      </c>
    </row>
    <row r="49" spans="1:14" x14ac:dyDescent="0.2">
      <c r="A49" s="55" t="s">
        <v>785</v>
      </c>
      <c r="B49" s="53" t="s">
        <v>749</v>
      </c>
      <c r="C49" s="47">
        <v>183</v>
      </c>
      <c r="D49" s="47">
        <v>183</v>
      </c>
      <c r="E49" s="47">
        <v>170</v>
      </c>
      <c r="F49" s="47">
        <v>189</v>
      </c>
      <c r="G49" s="47">
        <v>179</v>
      </c>
      <c r="H49" s="47">
        <v>194</v>
      </c>
      <c r="I49" s="47">
        <v>211</v>
      </c>
      <c r="J49" s="47">
        <v>243</v>
      </c>
      <c r="K49" s="47">
        <v>259</v>
      </c>
      <c r="L49" s="47">
        <v>315</v>
      </c>
      <c r="M49" s="47">
        <v>322</v>
      </c>
      <c r="N49" s="47">
        <v>315</v>
      </c>
    </row>
    <row r="50" spans="1:14" x14ac:dyDescent="0.2">
      <c r="A50" s="55" t="s">
        <v>786</v>
      </c>
      <c r="B50" s="53" t="s">
        <v>749</v>
      </c>
      <c r="C50" s="47">
        <v>143</v>
      </c>
      <c r="D50" s="47">
        <v>122</v>
      </c>
      <c r="E50" s="47">
        <v>130</v>
      </c>
      <c r="F50" s="47">
        <v>209</v>
      </c>
      <c r="G50" s="47">
        <v>169</v>
      </c>
      <c r="H50" s="47">
        <v>168</v>
      </c>
      <c r="I50" s="47">
        <v>146</v>
      </c>
      <c r="J50" s="47">
        <v>184</v>
      </c>
      <c r="K50" s="47">
        <v>244</v>
      </c>
      <c r="L50" s="47">
        <v>263</v>
      </c>
      <c r="M50" s="47">
        <v>245</v>
      </c>
      <c r="N50" s="47">
        <v>350</v>
      </c>
    </row>
    <row r="51" spans="1:14" x14ac:dyDescent="0.2">
      <c r="A51" s="55" t="s">
        <v>755</v>
      </c>
      <c r="B51" s="53" t="s">
        <v>749</v>
      </c>
      <c r="C51" s="47">
        <v>124</v>
      </c>
      <c r="D51" s="47">
        <v>122</v>
      </c>
      <c r="E51" s="47">
        <v>119</v>
      </c>
      <c r="F51" s="47">
        <v>130</v>
      </c>
      <c r="G51" s="47">
        <v>126</v>
      </c>
      <c r="H51" s="47">
        <v>124</v>
      </c>
      <c r="I51" s="47">
        <v>136</v>
      </c>
      <c r="J51" s="47">
        <v>157</v>
      </c>
      <c r="K51" s="47">
        <v>172</v>
      </c>
      <c r="L51" s="47">
        <v>201</v>
      </c>
      <c r="M51" s="47">
        <v>203</v>
      </c>
      <c r="N51" s="47">
        <v>219</v>
      </c>
    </row>
    <row r="52" spans="1:14" x14ac:dyDescent="0.2">
      <c r="A52" s="53" t="s">
        <v>787</v>
      </c>
      <c r="B52" s="53"/>
    </row>
    <row r="53" spans="1:14" x14ac:dyDescent="0.2">
      <c r="A53" s="54" t="s">
        <v>788</v>
      </c>
      <c r="B53" s="53" t="s">
        <v>559</v>
      </c>
      <c r="C53" s="47">
        <v>181</v>
      </c>
      <c r="D53" s="57">
        <v>176</v>
      </c>
      <c r="E53" s="57">
        <v>164</v>
      </c>
      <c r="F53" s="57">
        <v>164</v>
      </c>
      <c r="G53" s="57">
        <v>173</v>
      </c>
      <c r="H53" s="57">
        <v>177</v>
      </c>
      <c r="I53" s="57">
        <v>231</v>
      </c>
      <c r="J53" s="57">
        <v>275</v>
      </c>
      <c r="K53" s="57">
        <v>326</v>
      </c>
      <c r="L53" s="57">
        <v>367</v>
      </c>
      <c r="M53" s="58">
        <v>390</v>
      </c>
      <c r="N53" s="47">
        <v>395</v>
      </c>
    </row>
    <row r="54" spans="1:14" x14ac:dyDescent="0.2">
      <c r="A54" s="54" t="s">
        <v>789</v>
      </c>
      <c r="B54" s="53" t="s">
        <v>559</v>
      </c>
      <c r="C54" s="47">
        <v>79</v>
      </c>
      <c r="D54" s="57">
        <v>69</v>
      </c>
      <c r="E54" s="57">
        <v>78</v>
      </c>
      <c r="F54" s="57">
        <v>82</v>
      </c>
      <c r="G54" s="57">
        <v>86</v>
      </c>
      <c r="H54" s="57">
        <v>82</v>
      </c>
      <c r="I54" s="57">
        <v>96</v>
      </c>
      <c r="J54" s="57">
        <v>103</v>
      </c>
      <c r="K54" s="57">
        <v>118</v>
      </c>
      <c r="L54" s="57">
        <v>146</v>
      </c>
      <c r="M54" s="57">
        <v>160</v>
      </c>
      <c r="N54" s="47">
        <v>166</v>
      </c>
    </row>
    <row r="55" spans="1:14" x14ac:dyDescent="0.2">
      <c r="A55" s="53"/>
      <c r="B55" s="53"/>
    </row>
    <row r="56" spans="1:14" x14ac:dyDescent="0.2">
      <c r="A56" s="54" t="s">
        <v>790</v>
      </c>
      <c r="B56" s="53" t="s">
        <v>749</v>
      </c>
      <c r="C56" s="59">
        <v>1073</v>
      </c>
      <c r="D56" s="59">
        <v>1096</v>
      </c>
      <c r="E56" s="59">
        <v>1083</v>
      </c>
      <c r="F56" s="59">
        <v>1012</v>
      </c>
      <c r="G56" s="59">
        <v>1156</v>
      </c>
      <c r="H56" s="59">
        <v>1117</v>
      </c>
      <c r="I56" s="59">
        <v>1216</v>
      </c>
      <c r="J56" s="59">
        <v>1320</v>
      </c>
      <c r="K56" s="59">
        <v>1380</v>
      </c>
      <c r="L56" s="59">
        <v>1551</v>
      </c>
      <c r="M56" s="59">
        <v>1573</v>
      </c>
      <c r="N56" s="60">
        <v>1589</v>
      </c>
    </row>
    <row r="57" spans="1:14" x14ac:dyDescent="0.2">
      <c r="A57" s="54" t="s">
        <v>791</v>
      </c>
      <c r="B57" s="53" t="s">
        <v>792</v>
      </c>
      <c r="C57" s="59">
        <v>835</v>
      </c>
      <c r="D57" s="59">
        <v>871</v>
      </c>
      <c r="E57" s="59">
        <v>886</v>
      </c>
      <c r="F57" s="59">
        <v>863</v>
      </c>
      <c r="G57" s="59">
        <v>855</v>
      </c>
      <c r="H57" s="59">
        <v>890</v>
      </c>
      <c r="I57" s="59">
        <v>1264</v>
      </c>
      <c r="J57" s="59">
        <v>1257</v>
      </c>
      <c r="K57" s="59">
        <v>1332</v>
      </c>
      <c r="L57" s="59">
        <v>1355</v>
      </c>
      <c r="M57" s="59">
        <v>2800</v>
      </c>
      <c r="N57" s="60">
        <v>2327</v>
      </c>
    </row>
    <row r="58" spans="1:14" x14ac:dyDescent="0.2">
      <c r="A58" s="54" t="s">
        <v>793</v>
      </c>
      <c r="B58" s="53" t="s">
        <v>792</v>
      </c>
      <c r="C58" s="47">
        <v>0.63400000000000001</v>
      </c>
      <c r="D58" s="61">
        <v>0.66100000000000003</v>
      </c>
      <c r="E58" s="61">
        <v>0.67</v>
      </c>
      <c r="F58" s="61">
        <v>0.67</v>
      </c>
      <c r="G58" s="61">
        <v>0.69399999999999995</v>
      </c>
      <c r="H58" s="61">
        <v>0.73599999999999999</v>
      </c>
      <c r="I58" s="61">
        <v>0.78</v>
      </c>
      <c r="J58" s="61">
        <v>0.79900000000000004</v>
      </c>
      <c r="K58" s="61">
        <v>0.84399999999999997</v>
      </c>
      <c r="L58" s="61">
        <v>0.89800000000000002</v>
      </c>
      <c r="M58" s="61">
        <v>0.94799999999999995</v>
      </c>
      <c r="N58" s="47">
        <v>1</v>
      </c>
    </row>
    <row r="59" spans="1:14" s="62" customFormat="1" ht="13.15" customHeight="1" x14ac:dyDescent="0.2">
      <c r="A59" s="76" t="s">
        <v>794</v>
      </c>
      <c r="B59" s="76"/>
      <c r="C59" s="76"/>
      <c r="D59" s="76"/>
      <c r="E59" s="76"/>
      <c r="F59" s="76"/>
      <c r="G59" s="76"/>
      <c r="H59" s="76"/>
      <c r="I59" s="76"/>
      <c r="J59" s="76"/>
      <c r="K59" s="76"/>
      <c r="L59" s="76"/>
      <c r="M59" s="76"/>
      <c r="N59" s="76"/>
    </row>
    <row r="60" spans="1:14" x14ac:dyDescent="0.2">
      <c r="A60" s="53" t="s">
        <v>746</v>
      </c>
      <c r="B60" s="53"/>
    </row>
    <row r="61" spans="1:14" x14ac:dyDescent="0.2">
      <c r="A61" s="54" t="s">
        <v>747</v>
      </c>
      <c r="B61" s="53"/>
    </row>
    <row r="62" spans="1:14" x14ac:dyDescent="0.2">
      <c r="A62" s="55" t="s">
        <v>748</v>
      </c>
      <c r="B62" s="53" t="s">
        <v>795</v>
      </c>
      <c r="C62" s="63">
        <v>10.9</v>
      </c>
      <c r="D62" s="63">
        <v>4.2</v>
      </c>
      <c r="E62" s="63">
        <v>4.2</v>
      </c>
      <c r="F62" s="63">
        <v>3.9</v>
      </c>
      <c r="G62" s="63">
        <v>3.2</v>
      </c>
      <c r="H62" s="63">
        <v>3.6</v>
      </c>
      <c r="I62" s="63">
        <v>3.8</v>
      </c>
      <c r="J62" s="63">
        <v>3.1</v>
      </c>
      <c r="K62" s="63">
        <v>3.7</v>
      </c>
      <c r="L62" s="63">
        <v>3.6</v>
      </c>
      <c r="M62" s="64">
        <v>3.1</v>
      </c>
      <c r="N62" s="47">
        <v>2.5</v>
      </c>
    </row>
    <row r="63" spans="1:14" x14ac:dyDescent="0.2">
      <c r="A63" s="55" t="s">
        <v>750</v>
      </c>
      <c r="B63" s="53" t="s">
        <v>795</v>
      </c>
      <c r="C63" s="63">
        <v>3.2</v>
      </c>
      <c r="D63" s="63">
        <v>4.8</v>
      </c>
      <c r="E63" s="63">
        <v>4.4000000000000004</v>
      </c>
      <c r="F63" s="63">
        <v>3.6</v>
      </c>
      <c r="G63" s="63">
        <v>2.5</v>
      </c>
      <c r="H63" s="63">
        <v>4.2</v>
      </c>
      <c r="I63" s="63">
        <v>3.1</v>
      </c>
      <c r="J63" s="63">
        <v>3.9</v>
      </c>
      <c r="K63" s="63">
        <v>2.7</v>
      </c>
      <c r="L63" s="63">
        <v>3.7</v>
      </c>
      <c r="M63" s="64">
        <v>3.9</v>
      </c>
      <c r="N63" s="47">
        <v>5.2</v>
      </c>
    </row>
    <row r="64" spans="1:14" x14ac:dyDescent="0.2">
      <c r="A64" s="55" t="s">
        <v>751</v>
      </c>
      <c r="B64" s="53"/>
    </row>
    <row r="65" spans="1:14" x14ac:dyDescent="0.2">
      <c r="A65" s="56" t="s">
        <v>752</v>
      </c>
      <c r="B65" s="53" t="s">
        <v>795</v>
      </c>
      <c r="C65" s="63">
        <v>4.2</v>
      </c>
      <c r="D65" s="63">
        <v>4.7</v>
      </c>
      <c r="E65" s="63">
        <v>6.4</v>
      </c>
      <c r="F65" s="63">
        <v>5.2</v>
      </c>
      <c r="G65" s="63">
        <v>5.8</v>
      </c>
      <c r="H65" s="63">
        <v>7.3</v>
      </c>
      <c r="I65" s="63">
        <v>5.4</v>
      </c>
      <c r="J65" s="63">
        <v>4.5999999999999996</v>
      </c>
      <c r="K65" s="63">
        <v>4.7</v>
      </c>
      <c r="L65" s="63">
        <v>6.5</v>
      </c>
      <c r="M65" s="64">
        <v>4.5</v>
      </c>
      <c r="N65" s="47">
        <v>4.5</v>
      </c>
    </row>
    <row r="66" spans="1:14" x14ac:dyDescent="0.2">
      <c r="A66" s="56" t="s">
        <v>753</v>
      </c>
      <c r="B66" s="53" t="s">
        <v>795</v>
      </c>
      <c r="C66" s="63">
        <v>3.2</v>
      </c>
      <c r="D66" s="63">
        <v>3.9</v>
      </c>
      <c r="E66" s="63">
        <v>4.5999999999999996</v>
      </c>
      <c r="F66" s="63">
        <v>3.1</v>
      </c>
      <c r="G66" s="63">
        <v>2.9</v>
      </c>
      <c r="H66" s="63">
        <v>3.4</v>
      </c>
      <c r="I66" s="63">
        <v>3.6</v>
      </c>
      <c r="J66" s="63">
        <v>2.8</v>
      </c>
      <c r="K66" s="63">
        <v>2.5</v>
      </c>
      <c r="L66" s="63">
        <v>2.8</v>
      </c>
      <c r="M66" s="64">
        <v>2.7</v>
      </c>
      <c r="N66" s="47">
        <v>2.6</v>
      </c>
    </row>
    <row r="67" spans="1:14" x14ac:dyDescent="0.2">
      <c r="A67" s="65" t="s">
        <v>754</v>
      </c>
      <c r="B67" s="53" t="s">
        <v>795</v>
      </c>
      <c r="C67" s="63">
        <v>3.5</v>
      </c>
      <c r="D67" s="63">
        <v>3.6</v>
      </c>
      <c r="E67" s="63">
        <v>3.5</v>
      </c>
      <c r="F67" s="63">
        <v>3.5</v>
      </c>
      <c r="G67" s="63">
        <v>3.8</v>
      </c>
      <c r="H67" s="63">
        <v>3.7</v>
      </c>
      <c r="I67" s="63">
        <v>3.5</v>
      </c>
      <c r="J67" s="63">
        <v>3.3</v>
      </c>
      <c r="K67" s="63">
        <v>2.9</v>
      </c>
      <c r="L67" s="63">
        <v>3</v>
      </c>
      <c r="M67" s="64">
        <v>3</v>
      </c>
      <c r="N67" s="47">
        <v>2.9</v>
      </c>
    </row>
    <row r="68" spans="1:14" x14ac:dyDescent="0.2">
      <c r="A68" s="55" t="s">
        <v>755</v>
      </c>
      <c r="B68" s="53" t="s">
        <v>795</v>
      </c>
      <c r="C68" s="63">
        <v>2.8</v>
      </c>
      <c r="D68" s="63">
        <v>3.5</v>
      </c>
      <c r="E68" s="63">
        <v>4</v>
      </c>
      <c r="F68" s="63">
        <v>2.8</v>
      </c>
      <c r="G68" s="63">
        <v>2.5</v>
      </c>
      <c r="H68" s="63">
        <v>3.2</v>
      </c>
      <c r="I68" s="63">
        <v>2.6</v>
      </c>
      <c r="J68" s="63">
        <v>2.9</v>
      </c>
      <c r="K68" s="63">
        <v>2.5</v>
      </c>
      <c r="L68" s="63">
        <v>2.9</v>
      </c>
      <c r="M68" s="64">
        <v>3</v>
      </c>
      <c r="N68" s="47">
        <v>3.9</v>
      </c>
    </row>
    <row r="69" spans="1:14" x14ac:dyDescent="0.2">
      <c r="A69" s="54" t="s">
        <v>756</v>
      </c>
      <c r="B69" s="53"/>
    </row>
    <row r="70" spans="1:14" x14ac:dyDescent="0.2">
      <c r="A70" s="55" t="s">
        <v>757</v>
      </c>
      <c r="B70" s="53"/>
    </row>
    <row r="71" spans="1:14" x14ac:dyDescent="0.2">
      <c r="A71" s="56" t="s">
        <v>758</v>
      </c>
      <c r="B71" s="53" t="s">
        <v>795</v>
      </c>
      <c r="C71" s="63">
        <v>5</v>
      </c>
      <c r="D71" s="63">
        <v>5.2</v>
      </c>
      <c r="E71" s="63">
        <v>7.1</v>
      </c>
      <c r="F71" s="63">
        <v>6</v>
      </c>
      <c r="G71" s="63">
        <v>5.5</v>
      </c>
      <c r="H71" s="63">
        <v>6.8</v>
      </c>
      <c r="I71" s="63">
        <v>5.0999999999999996</v>
      </c>
      <c r="J71" s="63">
        <v>6.6</v>
      </c>
      <c r="K71" s="63">
        <v>3.8</v>
      </c>
      <c r="L71" s="63">
        <v>9.3000000000000007</v>
      </c>
      <c r="M71" s="64">
        <v>5.6</v>
      </c>
      <c r="N71" s="64">
        <v>4</v>
      </c>
    </row>
    <row r="72" spans="1:14" x14ac:dyDescent="0.2">
      <c r="A72" s="56" t="s">
        <v>759</v>
      </c>
      <c r="B72" s="53" t="s">
        <v>795</v>
      </c>
      <c r="C72" s="63">
        <v>7.9</v>
      </c>
      <c r="D72" s="63">
        <v>7.9</v>
      </c>
      <c r="E72" s="63">
        <v>6.6</v>
      </c>
      <c r="F72" s="63">
        <v>5</v>
      </c>
      <c r="G72" s="63">
        <v>8</v>
      </c>
      <c r="H72" s="63">
        <v>7.2</v>
      </c>
      <c r="I72" s="63">
        <v>5.6</v>
      </c>
      <c r="J72" s="63">
        <v>7.5</v>
      </c>
      <c r="K72" s="63">
        <v>7.3</v>
      </c>
      <c r="L72" s="63">
        <v>6.7</v>
      </c>
      <c r="M72" s="64">
        <v>4.9000000000000004</v>
      </c>
      <c r="N72" s="47">
        <v>7.7</v>
      </c>
    </row>
    <row r="73" spans="1:14" x14ac:dyDescent="0.2">
      <c r="A73" s="56" t="s">
        <v>760</v>
      </c>
      <c r="B73" s="53" t="s">
        <v>795</v>
      </c>
      <c r="C73" s="63">
        <v>7</v>
      </c>
      <c r="D73" s="63">
        <v>7.5</v>
      </c>
      <c r="E73" s="63">
        <v>10.8</v>
      </c>
      <c r="F73" s="63">
        <v>7.5</v>
      </c>
      <c r="G73" s="63">
        <v>8.5</v>
      </c>
      <c r="H73" s="63">
        <v>6.7</v>
      </c>
      <c r="I73" s="63">
        <v>7.4</v>
      </c>
      <c r="J73" s="63">
        <v>5.7</v>
      </c>
      <c r="K73" s="63">
        <v>8.5</v>
      </c>
      <c r="L73" s="63">
        <v>7.1</v>
      </c>
      <c r="M73" s="64">
        <v>4.8</v>
      </c>
      <c r="N73" s="47">
        <v>5.7</v>
      </c>
    </row>
    <row r="74" spans="1:14" x14ac:dyDescent="0.2">
      <c r="A74" s="56" t="s">
        <v>761</v>
      </c>
      <c r="B74" s="53" t="s">
        <v>795</v>
      </c>
      <c r="C74" s="63">
        <v>11.6</v>
      </c>
      <c r="D74" s="63">
        <v>12</v>
      </c>
      <c r="E74" s="63">
        <v>14.1</v>
      </c>
      <c r="F74" s="63">
        <v>13.5</v>
      </c>
      <c r="G74" s="63">
        <v>12.1</v>
      </c>
      <c r="H74" s="63">
        <v>13</v>
      </c>
      <c r="I74" s="63">
        <v>8.1999999999999993</v>
      </c>
      <c r="J74" s="63">
        <v>11.2</v>
      </c>
      <c r="K74" s="63">
        <v>10.1</v>
      </c>
      <c r="L74" s="63">
        <v>9.1</v>
      </c>
      <c r="M74" s="64">
        <v>11.9</v>
      </c>
      <c r="N74" s="47">
        <v>8.4</v>
      </c>
    </row>
    <row r="75" spans="1:14" x14ac:dyDescent="0.2">
      <c r="A75" s="55" t="s">
        <v>762</v>
      </c>
      <c r="B75" s="53" t="s">
        <v>795</v>
      </c>
      <c r="C75" s="63">
        <v>38.700000000000003</v>
      </c>
      <c r="D75" s="63">
        <v>42.7</v>
      </c>
      <c r="E75" s="63">
        <v>42</v>
      </c>
      <c r="F75" s="63">
        <v>43.3</v>
      </c>
      <c r="G75" s="63">
        <v>60.9</v>
      </c>
      <c r="H75" s="63">
        <v>38.799999999999997</v>
      </c>
      <c r="I75" s="63">
        <v>26.9</v>
      </c>
      <c r="J75" s="63">
        <v>46.5</v>
      </c>
      <c r="K75" s="63">
        <v>50.4</v>
      </c>
      <c r="L75" s="63">
        <v>24.9</v>
      </c>
      <c r="M75" s="64">
        <v>14.2</v>
      </c>
      <c r="N75" s="47">
        <v>39.9</v>
      </c>
    </row>
    <row r="76" spans="1:14" x14ac:dyDescent="0.2">
      <c r="A76" s="55" t="s">
        <v>763</v>
      </c>
      <c r="B76" s="53"/>
    </row>
    <row r="77" spans="1:14" x14ac:dyDescent="0.2">
      <c r="A77" s="56" t="s">
        <v>764</v>
      </c>
      <c r="B77" s="53" t="s">
        <v>795</v>
      </c>
      <c r="C77" s="63">
        <v>7.2</v>
      </c>
      <c r="D77" s="63">
        <v>10.199999999999999</v>
      </c>
      <c r="E77" s="63">
        <v>5.2</v>
      </c>
      <c r="F77" s="63">
        <v>6.7</v>
      </c>
      <c r="G77" s="63">
        <v>6.7</v>
      </c>
      <c r="H77" s="63">
        <v>5.8</v>
      </c>
      <c r="I77" s="63">
        <v>5.6</v>
      </c>
      <c r="J77" s="63">
        <v>4.9000000000000004</v>
      </c>
      <c r="K77" s="63">
        <v>5.5</v>
      </c>
      <c r="L77" s="63">
        <v>6.2</v>
      </c>
      <c r="M77" s="64">
        <v>5.7</v>
      </c>
      <c r="N77" s="47">
        <v>5.3</v>
      </c>
    </row>
    <row r="78" spans="1:14" x14ac:dyDescent="0.2">
      <c r="A78" s="56" t="s">
        <v>765</v>
      </c>
      <c r="B78" s="53" t="s">
        <v>795</v>
      </c>
      <c r="C78" s="63">
        <v>12.1</v>
      </c>
      <c r="D78" s="63">
        <v>11.1</v>
      </c>
      <c r="E78" s="63">
        <v>12.4</v>
      </c>
      <c r="F78" s="63">
        <v>13.8</v>
      </c>
      <c r="G78" s="63">
        <v>10.6</v>
      </c>
      <c r="H78" s="63">
        <v>11.7</v>
      </c>
      <c r="I78" s="63">
        <v>12.6</v>
      </c>
      <c r="J78" s="63">
        <v>9.6999999999999993</v>
      </c>
      <c r="K78" s="63">
        <v>13.1</v>
      </c>
      <c r="L78" s="63">
        <v>11</v>
      </c>
      <c r="M78" s="64">
        <v>7.9</v>
      </c>
      <c r="N78" s="47">
        <v>43.9</v>
      </c>
    </row>
    <row r="79" spans="1:14" x14ac:dyDescent="0.2">
      <c r="A79" s="55" t="s">
        <v>755</v>
      </c>
      <c r="B79" s="53" t="s">
        <v>795</v>
      </c>
      <c r="C79" s="63">
        <v>2.8</v>
      </c>
      <c r="D79" s="63">
        <v>3.5</v>
      </c>
      <c r="E79" s="63">
        <v>4</v>
      </c>
      <c r="F79" s="63">
        <v>2.8</v>
      </c>
      <c r="G79" s="63">
        <v>2.5</v>
      </c>
      <c r="H79" s="63">
        <v>3.2</v>
      </c>
      <c r="I79" s="63">
        <v>2.6</v>
      </c>
      <c r="J79" s="63">
        <v>2.9</v>
      </c>
      <c r="K79" s="63">
        <v>2.5</v>
      </c>
      <c r="L79" s="63">
        <v>2.9</v>
      </c>
      <c r="M79" s="64">
        <v>3</v>
      </c>
      <c r="N79" s="47">
        <v>3.9</v>
      </c>
    </row>
    <row r="80" spans="1:14" x14ac:dyDescent="0.2">
      <c r="A80" s="54" t="s">
        <v>766</v>
      </c>
      <c r="B80" s="53"/>
    </row>
    <row r="81" spans="1:14" x14ac:dyDescent="0.2">
      <c r="A81" s="55" t="s">
        <v>767</v>
      </c>
      <c r="B81" s="53" t="s">
        <v>795</v>
      </c>
      <c r="C81" s="63">
        <v>3.4</v>
      </c>
      <c r="D81" s="63">
        <v>3.9</v>
      </c>
      <c r="E81" s="63">
        <v>4.0999999999999996</v>
      </c>
      <c r="F81" s="63">
        <v>3.7</v>
      </c>
      <c r="G81" s="63">
        <v>3.4</v>
      </c>
      <c r="H81" s="63">
        <v>3.9</v>
      </c>
      <c r="I81" s="63">
        <v>3</v>
      </c>
      <c r="J81" s="63">
        <v>3.5</v>
      </c>
      <c r="K81" s="63">
        <v>3.1</v>
      </c>
      <c r="L81" s="63">
        <v>3.4</v>
      </c>
      <c r="M81" s="64">
        <v>3.6</v>
      </c>
      <c r="N81" s="47">
        <v>4.4000000000000004</v>
      </c>
    </row>
    <row r="82" spans="1:14" x14ac:dyDescent="0.2">
      <c r="A82" s="55" t="s">
        <v>768</v>
      </c>
      <c r="B82" s="53" t="s">
        <v>795</v>
      </c>
      <c r="C82" s="63">
        <v>9.1</v>
      </c>
      <c r="D82" s="63">
        <v>9.3000000000000007</v>
      </c>
      <c r="E82" s="63">
        <v>11.5</v>
      </c>
      <c r="F82" s="63">
        <v>8.1999999999999993</v>
      </c>
      <c r="G82" s="63">
        <v>8.4</v>
      </c>
      <c r="H82" s="63">
        <v>9.3000000000000007</v>
      </c>
      <c r="I82" s="63">
        <v>6.3</v>
      </c>
      <c r="J82" s="63">
        <v>8.8000000000000007</v>
      </c>
      <c r="K82" s="63">
        <v>6.5</v>
      </c>
      <c r="L82" s="63">
        <v>11.1</v>
      </c>
      <c r="M82" s="64">
        <v>6.8</v>
      </c>
      <c r="N82" s="47">
        <v>11.8</v>
      </c>
    </row>
    <row r="83" spans="1:14" x14ac:dyDescent="0.2">
      <c r="A83" s="55" t="s">
        <v>769</v>
      </c>
      <c r="B83" s="53" t="s">
        <v>795</v>
      </c>
      <c r="C83" s="63">
        <v>9.4</v>
      </c>
      <c r="D83" s="63">
        <v>8.1</v>
      </c>
      <c r="E83" s="63">
        <v>7.4</v>
      </c>
      <c r="F83" s="63">
        <v>9.9</v>
      </c>
      <c r="G83" s="63">
        <v>8.6</v>
      </c>
      <c r="H83" s="63">
        <v>13.8</v>
      </c>
      <c r="I83" s="63">
        <v>12.8</v>
      </c>
      <c r="J83" s="63">
        <v>7.1</v>
      </c>
      <c r="K83" s="63">
        <v>9.4</v>
      </c>
      <c r="L83" s="63">
        <v>6.8</v>
      </c>
      <c r="M83" s="64">
        <v>11.1</v>
      </c>
      <c r="N83" s="47">
        <v>7.6</v>
      </c>
    </row>
    <row r="84" spans="1:14" x14ac:dyDescent="0.2">
      <c r="A84" s="55" t="s">
        <v>755</v>
      </c>
      <c r="B84" s="53" t="s">
        <v>795</v>
      </c>
      <c r="C84" s="63">
        <v>2.8</v>
      </c>
      <c r="D84" s="63">
        <v>3.5</v>
      </c>
      <c r="E84" s="63">
        <v>4</v>
      </c>
      <c r="F84" s="63">
        <v>2.8</v>
      </c>
      <c r="G84" s="63">
        <v>2.5</v>
      </c>
      <c r="H84" s="63">
        <v>3.2</v>
      </c>
      <c r="I84" s="63">
        <v>2.6</v>
      </c>
      <c r="J84" s="63">
        <v>2.9</v>
      </c>
      <c r="K84" s="63">
        <v>2.5</v>
      </c>
      <c r="L84" s="63">
        <v>2.9</v>
      </c>
      <c r="M84" s="64">
        <v>3</v>
      </c>
      <c r="N84" s="47">
        <v>3.9</v>
      </c>
    </row>
    <row r="85" spans="1:14" x14ac:dyDescent="0.2">
      <c r="A85" s="54" t="s">
        <v>770</v>
      </c>
      <c r="B85" s="53"/>
    </row>
    <row r="86" spans="1:14" x14ac:dyDescent="0.2">
      <c r="A86" s="55" t="s">
        <v>771</v>
      </c>
      <c r="B86" s="53" t="s">
        <v>795</v>
      </c>
      <c r="C86" s="63">
        <v>6.6</v>
      </c>
      <c r="D86" s="63">
        <v>13.3</v>
      </c>
      <c r="E86" s="63">
        <v>7.4</v>
      </c>
      <c r="F86" s="63">
        <v>6.2</v>
      </c>
      <c r="G86" s="63">
        <v>6.8</v>
      </c>
      <c r="H86" s="63">
        <v>7.7</v>
      </c>
      <c r="I86" s="63">
        <v>5.4</v>
      </c>
      <c r="J86" s="63">
        <v>5.8</v>
      </c>
      <c r="K86" s="63">
        <v>5.4</v>
      </c>
      <c r="L86" s="63">
        <v>5.6</v>
      </c>
      <c r="M86" s="64">
        <v>5</v>
      </c>
      <c r="N86" s="47">
        <v>4.7</v>
      </c>
    </row>
    <row r="87" spans="1:14" x14ac:dyDescent="0.2">
      <c r="A87" s="55" t="s">
        <v>772</v>
      </c>
      <c r="B87" s="53" t="s">
        <v>795</v>
      </c>
      <c r="C87" s="63">
        <v>9.8000000000000007</v>
      </c>
      <c r="D87" s="63">
        <v>6.7</v>
      </c>
      <c r="E87" s="63">
        <v>7.2</v>
      </c>
      <c r="F87" s="63">
        <v>7.2</v>
      </c>
      <c r="G87" s="63">
        <v>6.4</v>
      </c>
      <c r="H87" s="63">
        <v>6.4</v>
      </c>
      <c r="I87" s="63">
        <v>5.5</v>
      </c>
      <c r="J87" s="63">
        <v>5.5</v>
      </c>
      <c r="K87" s="63">
        <v>5.0999999999999996</v>
      </c>
      <c r="L87" s="63">
        <v>14.1</v>
      </c>
      <c r="M87" s="64">
        <v>5.3</v>
      </c>
      <c r="N87" s="47">
        <v>4.3</v>
      </c>
    </row>
    <row r="88" spans="1:14" x14ac:dyDescent="0.2">
      <c r="A88" s="55" t="s">
        <v>773</v>
      </c>
      <c r="B88" s="53" t="s">
        <v>795</v>
      </c>
      <c r="C88" s="63">
        <v>6.5</v>
      </c>
      <c r="D88" s="63">
        <v>5.7</v>
      </c>
      <c r="E88" s="63">
        <v>7.5</v>
      </c>
      <c r="F88" s="63">
        <v>7.2</v>
      </c>
      <c r="G88" s="63">
        <v>8.1999999999999993</v>
      </c>
      <c r="H88" s="63">
        <v>6.4</v>
      </c>
      <c r="I88" s="63">
        <v>5.3</v>
      </c>
      <c r="J88" s="63">
        <v>8.1</v>
      </c>
      <c r="K88" s="63">
        <v>5.6</v>
      </c>
      <c r="L88" s="63">
        <v>4.7</v>
      </c>
      <c r="M88" s="64">
        <v>4.7</v>
      </c>
      <c r="N88" s="47">
        <v>5.8</v>
      </c>
    </row>
    <row r="89" spans="1:14" x14ac:dyDescent="0.2">
      <c r="A89" s="55" t="s">
        <v>774</v>
      </c>
      <c r="B89" s="53" t="s">
        <v>795</v>
      </c>
      <c r="C89" s="63">
        <v>7.5</v>
      </c>
      <c r="D89" s="63">
        <v>9.1999999999999993</v>
      </c>
      <c r="E89" s="63">
        <v>9</v>
      </c>
      <c r="F89" s="63">
        <v>6.5</v>
      </c>
      <c r="G89" s="63">
        <v>5.2</v>
      </c>
      <c r="H89" s="63">
        <v>8.3000000000000007</v>
      </c>
      <c r="I89" s="63">
        <v>5.5</v>
      </c>
      <c r="J89" s="63">
        <v>4.9000000000000004</v>
      </c>
      <c r="K89" s="63">
        <v>5.7</v>
      </c>
      <c r="L89" s="63">
        <v>5.8</v>
      </c>
      <c r="M89" s="64">
        <v>7.4</v>
      </c>
      <c r="N89" s="47">
        <v>5.7</v>
      </c>
    </row>
    <row r="90" spans="1:14" x14ac:dyDescent="0.2">
      <c r="A90" s="55" t="s">
        <v>775</v>
      </c>
      <c r="B90" s="53" t="s">
        <v>795</v>
      </c>
      <c r="C90" s="63">
        <v>5.5</v>
      </c>
      <c r="D90" s="63">
        <v>8.6</v>
      </c>
      <c r="E90" s="63">
        <v>10</v>
      </c>
      <c r="F90" s="63">
        <v>7.7</v>
      </c>
      <c r="G90" s="63">
        <v>6.1</v>
      </c>
      <c r="H90" s="63">
        <v>6.8</v>
      </c>
      <c r="I90" s="63">
        <v>7.7</v>
      </c>
      <c r="J90" s="63">
        <v>5.5</v>
      </c>
      <c r="K90" s="63">
        <v>6.5</v>
      </c>
      <c r="L90" s="63">
        <v>7.6</v>
      </c>
      <c r="M90" s="64">
        <v>6.3</v>
      </c>
      <c r="N90" s="47">
        <v>11.5</v>
      </c>
    </row>
    <row r="91" spans="1:14" x14ac:dyDescent="0.2">
      <c r="A91" s="55" t="s">
        <v>755</v>
      </c>
      <c r="B91" s="53" t="s">
        <v>795</v>
      </c>
      <c r="C91" s="63">
        <v>2.8</v>
      </c>
      <c r="D91" s="63">
        <v>3.5</v>
      </c>
      <c r="E91" s="63">
        <v>4</v>
      </c>
      <c r="F91" s="63">
        <v>2.8</v>
      </c>
      <c r="G91" s="63">
        <v>2.5</v>
      </c>
      <c r="H91" s="63">
        <v>3.2</v>
      </c>
      <c r="I91" s="63">
        <v>2.6</v>
      </c>
      <c r="J91" s="63">
        <v>2.9</v>
      </c>
      <c r="K91" s="63">
        <v>2.5</v>
      </c>
      <c r="L91" s="63">
        <v>2.9</v>
      </c>
      <c r="M91" s="64">
        <v>3</v>
      </c>
      <c r="N91" s="47">
        <v>3.9</v>
      </c>
    </row>
    <row r="92" spans="1:14" x14ac:dyDescent="0.2">
      <c r="A92" s="55" t="s">
        <v>776</v>
      </c>
      <c r="B92" s="53" t="s">
        <v>795</v>
      </c>
      <c r="C92" s="63">
        <v>6.7</v>
      </c>
      <c r="D92" s="63">
        <v>7.3</v>
      </c>
      <c r="E92" s="63">
        <v>6.6</v>
      </c>
      <c r="F92" s="63">
        <v>7.1</v>
      </c>
      <c r="G92" s="63">
        <v>5.9</v>
      </c>
      <c r="H92" s="63">
        <v>7.5</v>
      </c>
      <c r="I92" s="63">
        <v>7.1</v>
      </c>
      <c r="J92" s="63">
        <v>5.5</v>
      </c>
      <c r="K92" s="63">
        <v>6</v>
      </c>
      <c r="L92" s="63">
        <v>12.9</v>
      </c>
      <c r="M92" s="64">
        <v>4.7</v>
      </c>
      <c r="N92" s="64">
        <v>5</v>
      </c>
    </row>
    <row r="93" spans="1:14" x14ac:dyDescent="0.2">
      <c r="A93" s="54" t="s">
        <v>777</v>
      </c>
      <c r="B93" s="53"/>
    </row>
    <row r="94" spans="1:14" x14ac:dyDescent="0.2">
      <c r="A94" s="55" t="s">
        <v>778</v>
      </c>
      <c r="B94" s="53" t="s">
        <v>795</v>
      </c>
      <c r="C94" s="63">
        <v>3.9</v>
      </c>
      <c r="D94" s="63">
        <v>4.3</v>
      </c>
      <c r="E94" s="63">
        <v>4.3</v>
      </c>
      <c r="F94" s="63">
        <v>4</v>
      </c>
      <c r="G94" s="63">
        <v>3.2</v>
      </c>
      <c r="H94" s="63">
        <v>3.8</v>
      </c>
      <c r="I94" s="63">
        <v>3.3</v>
      </c>
      <c r="J94" s="63">
        <v>3.9</v>
      </c>
      <c r="K94" s="63">
        <v>3</v>
      </c>
      <c r="L94" s="63">
        <v>3.5</v>
      </c>
      <c r="M94" s="64">
        <v>3.7</v>
      </c>
      <c r="N94" s="47">
        <v>4.7</v>
      </c>
    </row>
    <row r="95" spans="1:14" x14ac:dyDescent="0.2">
      <c r="A95" s="55" t="s">
        <v>779</v>
      </c>
      <c r="B95" s="53" t="s">
        <v>795</v>
      </c>
      <c r="C95" s="63">
        <v>17.8</v>
      </c>
      <c r="D95" s="63">
        <v>12</v>
      </c>
      <c r="E95" s="63">
        <v>17.7</v>
      </c>
      <c r="F95" s="63">
        <v>14.2</v>
      </c>
      <c r="G95" s="63">
        <v>15.4</v>
      </c>
      <c r="H95" s="63">
        <v>13</v>
      </c>
      <c r="I95" s="63">
        <v>9.1999999999999993</v>
      </c>
      <c r="J95" s="63">
        <v>13</v>
      </c>
      <c r="K95" s="63">
        <v>17.600000000000001</v>
      </c>
      <c r="L95" s="63">
        <v>11.1</v>
      </c>
      <c r="M95" s="64">
        <v>9</v>
      </c>
      <c r="N95" s="47">
        <v>10.3</v>
      </c>
    </row>
    <row r="96" spans="1:14" x14ac:dyDescent="0.2">
      <c r="A96" s="55" t="s">
        <v>780</v>
      </c>
      <c r="B96" s="53" t="s">
        <v>795</v>
      </c>
      <c r="C96" s="63">
        <v>5.7</v>
      </c>
      <c r="D96" s="63">
        <v>8.9</v>
      </c>
      <c r="E96" s="63">
        <v>5.4</v>
      </c>
      <c r="F96" s="63">
        <v>4.7</v>
      </c>
      <c r="G96" s="63">
        <v>5.6</v>
      </c>
      <c r="H96" s="63">
        <v>5.0999999999999996</v>
      </c>
      <c r="I96" s="63">
        <v>4.5</v>
      </c>
      <c r="J96" s="63">
        <v>5.4</v>
      </c>
      <c r="K96" s="63">
        <v>5.0999999999999996</v>
      </c>
      <c r="L96" s="63">
        <v>5.7</v>
      </c>
      <c r="M96" s="64">
        <v>4.7</v>
      </c>
      <c r="N96" s="47">
        <v>5.3</v>
      </c>
    </row>
    <row r="97" spans="1:14" x14ac:dyDescent="0.2">
      <c r="A97" s="55" t="s">
        <v>781</v>
      </c>
      <c r="B97" s="53" t="s">
        <v>795</v>
      </c>
      <c r="C97" s="63">
        <v>20.100000000000001</v>
      </c>
      <c r="D97" s="63">
        <v>16.2</v>
      </c>
      <c r="E97" s="63">
        <v>23.6</v>
      </c>
      <c r="F97" s="63">
        <v>27.6</v>
      </c>
      <c r="G97" s="63">
        <v>16.100000000000001</v>
      </c>
      <c r="H97" s="63">
        <v>16.5</v>
      </c>
      <c r="I97" s="63">
        <v>12.2</v>
      </c>
      <c r="J97" s="63">
        <v>11.3</v>
      </c>
      <c r="K97" s="63">
        <v>12.7</v>
      </c>
      <c r="L97" s="63">
        <v>18.399999999999999</v>
      </c>
      <c r="M97" s="64">
        <v>16</v>
      </c>
      <c r="N97" s="47">
        <v>13.4</v>
      </c>
    </row>
    <row r="98" spans="1:14" x14ac:dyDescent="0.2">
      <c r="A98" s="55" t="s">
        <v>755</v>
      </c>
      <c r="B98" s="53" t="s">
        <v>795</v>
      </c>
      <c r="C98" s="63">
        <v>2.8</v>
      </c>
      <c r="D98" s="63">
        <v>3.5</v>
      </c>
      <c r="E98" s="63">
        <v>4</v>
      </c>
      <c r="F98" s="63">
        <v>2.8</v>
      </c>
      <c r="G98" s="63">
        <v>2.5</v>
      </c>
      <c r="H98" s="63">
        <v>3.2</v>
      </c>
      <c r="I98" s="63">
        <v>2.6</v>
      </c>
      <c r="J98" s="63">
        <v>2.9</v>
      </c>
      <c r="K98" s="63">
        <v>2.5</v>
      </c>
      <c r="L98" s="63">
        <v>2.9</v>
      </c>
      <c r="M98" s="64">
        <v>3</v>
      </c>
      <c r="N98" s="47">
        <v>3.9</v>
      </c>
    </row>
    <row r="99" spans="1:14" x14ac:dyDescent="0.2">
      <c r="A99" s="54" t="s">
        <v>782</v>
      </c>
      <c r="B99" s="53"/>
    </row>
    <row r="100" spans="1:14" x14ac:dyDescent="0.2">
      <c r="A100" s="55" t="s">
        <v>783</v>
      </c>
      <c r="B100" s="53" t="s">
        <v>795</v>
      </c>
      <c r="C100" s="63">
        <v>6.3</v>
      </c>
      <c r="D100" s="63">
        <v>6.9</v>
      </c>
      <c r="E100" s="63">
        <v>5.8</v>
      </c>
      <c r="F100" s="63">
        <v>5.7</v>
      </c>
      <c r="G100" s="63">
        <v>5.8</v>
      </c>
      <c r="H100" s="63">
        <v>6.8</v>
      </c>
      <c r="I100" s="63">
        <v>4</v>
      </c>
      <c r="J100" s="63">
        <v>5.0999999999999996</v>
      </c>
      <c r="K100" s="63">
        <v>4.8</v>
      </c>
      <c r="L100" s="63">
        <v>6.4</v>
      </c>
      <c r="M100" s="64">
        <v>4</v>
      </c>
      <c r="N100" s="47">
        <v>4.5999999999999996</v>
      </c>
    </row>
    <row r="101" spans="1:14" x14ac:dyDescent="0.2">
      <c r="A101" s="55" t="s">
        <v>784</v>
      </c>
      <c r="B101" s="53" t="s">
        <v>795</v>
      </c>
      <c r="C101" s="63">
        <v>5.0999999999999996</v>
      </c>
      <c r="D101" s="63">
        <v>6.2</v>
      </c>
      <c r="E101" s="63">
        <v>5.2</v>
      </c>
      <c r="F101" s="63">
        <v>4.7</v>
      </c>
      <c r="G101" s="63">
        <v>5.2</v>
      </c>
      <c r="H101" s="63">
        <v>5.0999999999999996</v>
      </c>
      <c r="I101" s="63">
        <v>5</v>
      </c>
      <c r="J101" s="63">
        <v>5</v>
      </c>
      <c r="K101" s="63">
        <v>3.4</v>
      </c>
      <c r="L101" s="63">
        <v>3.7</v>
      </c>
      <c r="M101" s="64">
        <v>4</v>
      </c>
      <c r="N101" s="47">
        <v>4.3</v>
      </c>
    </row>
    <row r="102" spans="1:14" x14ac:dyDescent="0.2">
      <c r="A102" s="55" t="s">
        <v>785</v>
      </c>
      <c r="B102" s="53" t="s">
        <v>795</v>
      </c>
      <c r="C102" s="63">
        <v>3.8</v>
      </c>
      <c r="D102" s="63">
        <v>5.5</v>
      </c>
      <c r="E102" s="63">
        <v>5.6</v>
      </c>
      <c r="F102" s="63">
        <v>6.8</v>
      </c>
      <c r="G102" s="63">
        <v>5.2</v>
      </c>
      <c r="H102" s="63">
        <v>6.5</v>
      </c>
      <c r="I102" s="63">
        <v>4.5</v>
      </c>
      <c r="J102" s="63">
        <v>6.1</v>
      </c>
      <c r="K102" s="63">
        <v>5.0999999999999996</v>
      </c>
      <c r="L102" s="63">
        <v>6</v>
      </c>
      <c r="M102" s="64">
        <v>5.2</v>
      </c>
      <c r="N102" s="47">
        <v>3.2</v>
      </c>
    </row>
    <row r="103" spans="1:14" x14ac:dyDescent="0.2">
      <c r="A103" s="55" t="s">
        <v>786</v>
      </c>
      <c r="B103" s="53" t="s">
        <v>795</v>
      </c>
      <c r="C103" s="63">
        <v>18.2</v>
      </c>
      <c r="D103" s="63">
        <v>13.6</v>
      </c>
      <c r="E103" s="63">
        <v>19.5</v>
      </c>
      <c r="F103" s="63">
        <v>14.2</v>
      </c>
      <c r="G103" s="63">
        <v>10.5</v>
      </c>
      <c r="H103" s="63">
        <v>12.6</v>
      </c>
      <c r="I103" s="63">
        <v>7.7</v>
      </c>
      <c r="J103" s="63">
        <v>8.5</v>
      </c>
      <c r="K103" s="63">
        <v>8.9</v>
      </c>
      <c r="L103" s="63">
        <v>8</v>
      </c>
      <c r="M103" s="64">
        <v>7.9</v>
      </c>
      <c r="N103" s="64">
        <v>18</v>
      </c>
    </row>
    <row r="104" spans="1:14" x14ac:dyDescent="0.2">
      <c r="A104" s="55" t="s">
        <v>755</v>
      </c>
      <c r="B104" s="53" t="s">
        <v>795</v>
      </c>
      <c r="C104" s="63">
        <v>2.8</v>
      </c>
      <c r="D104" s="63">
        <v>3.5</v>
      </c>
      <c r="E104" s="63">
        <v>4</v>
      </c>
      <c r="F104" s="63">
        <v>2.8</v>
      </c>
      <c r="G104" s="63">
        <v>2.5</v>
      </c>
      <c r="H104" s="63">
        <v>3.2</v>
      </c>
      <c r="I104" s="63">
        <v>2.6</v>
      </c>
      <c r="J104" s="63">
        <v>2.9</v>
      </c>
      <c r="K104" s="63">
        <v>2.5</v>
      </c>
      <c r="L104" s="63">
        <v>2.9</v>
      </c>
      <c r="M104" s="64">
        <v>3</v>
      </c>
      <c r="N104" s="47">
        <v>3.9</v>
      </c>
    </row>
    <row r="105" spans="1:14" x14ac:dyDescent="0.2">
      <c r="A105" s="53" t="s">
        <v>787</v>
      </c>
      <c r="B105" s="53"/>
    </row>
    <row r="106" spans="1:14" x14ac:dyDescent="0.2">
      <c r="A106" s="54" t="s">
        <v>788</v>
      </c>
      <c r="B106" s="53" t="s">
        <v>795</v>
      </c>
      <c r="C106" s="63">
        <v>2.2000000000000002</v>
      </c>
      <c r="D106" s="63">
        <v>2.2000000000000002</v>
      </c>
      <c r="E106" s="63">
        <v>2.2999999999999998</v>
      </c>
      <c r="F106" s="63">
        <v>2.2999999999999998</v>
      </c>
      <c r="G106" s="63">
        <v>1.2</v>
      </c>
      <c r="H106" s="63">
        <v>2.9</v>
      </c>
      <c r="I106" s="63">
        <v>2.1</v>
      </c>
      <c r="J106" s="63">
        <v>3.5</v>
      </c>
      <c r="K106" s="63">
        <v>2.2999999999999998</v>
      </c>
      <c r="L106" s="63">
        <v>2.9</v>
      </c>
      <c r="M106" s="66">
        <v>2.1</v>
      </c>
      <c r="N106" s="47">
        <v>1.3</v>
      </c>
    </row>
    <row r="107" spans="1:14" x14ac:dyDescent="0.2">
      <c r="A107" s="54" t="s">
        <v>789</v>
      </c>
      <c r="B107" s="53" t="s">
        <v>795</v>
      </c>
      <c r="C107" s="63">
        <v>6.5</v>
      </c>
      <c r="D107" s="63">
        <v>10</v>
      </c>
      <c r="E107" s="63">
        <v>5.3</v>
      </c>
      <c r="F107" s="63">
        <v>4.5999999999999996</v>
      </c>
      <c r="G107" s="63">
        <v>3.2</v>
      </c>
      <c r="H107" s="63">
        <v>5.3</v>
      </c>
      <c r="I107" s="63">
        <v>6.8</v>
      </c>
      <c r="J107" s="63">
        <v>5.5</v>
      </c>
      <c r="K107" s="63">
        <v>5.0999999999999996</v>
      </c>
      <c r="L107" s="63">
        <v>5.8</v>
      </c>
      <c r="M107" s="67">
        <v>3.5</v>
      </c>
      <c r="N107" s="47">
        <v>5.4</v>
      </c>
    </row>
    <row r="108" spans="1:14" x14ac:dyDescent="0.2">
      <c r="A108" s="53"/>
      <c r="B108" s="53"/>
    </row>
    <row r="109" spans="1:14" x14ac:dyDescent="0.2">
      <c r="A109" s="54" t="s">
        <v>790</v>
      </c>
      <c r="B109" s="53" t="s">
        <v>795</v>
      </c>
      <c r="C109" s="63">
        <v>3</v>
      </c>
      <c r="D109" s="63">
        <v>2.5</v>
      </c>
      <c r="E109" s="63">
        <v>1.8</v>
      </c>
      <c r="F109" s="63">
        <v>2.4</v>
      </c>
      <c r="G109" s="63">
        <v>2.1</v>
      </c>
      <c r="H109" s="63">
        <v>2.1</v>
      </c>
      <c r="I109" s="63">
        <v>2.2000000000000002</v>
      </c>
      <c r="J109" s="63">
        <v>2.6</v>
      </c>
      <c r="K109" s="63">
        <v>2.2000000000000002</v>
      </c>
      <c r="L109" s="63">
        <v>2.2000000000000002</v>
      </c>
      <c r="M109" s="64">
        <v>2.2000000000000002</v>
      </c>
      <c r="N109" s="47">
        <v>1.9</v>
      </c>
    </row>
    <row r="110" spans="1:14" x14ac:dyDescent="0.2">
      <c r="A110" s="54" t="s">
        <v>791</v>
      </c>
      <c r="B110" s="53" t="s">
        <v>795</v>
      </c>
      <c r="C110" s="63">
        <v>0</v>
      </c>
      <c r="D110" s="63">
        <v>0</v>
      </c>
      <c r="E110" s="63">
        <v>0</v>
      </c>
      <c r="F110" s="63">
        <v>0</v>
      </c>
      <c r="G110" s="63">
        <v>0</v>
      </c>
      <c r="H110" s="63">
        <v>0</v>
      </c>
      <c r="I110" s="63">
        <v>0</v>
      </c>
      <c r="J110" s="63">
        <v>0</v>
      </c>
      <c r="K110" s="63">
        <v>0</v>
      </c>
      <c r="L110" s="63">
        <v>0</v>
      </c>
      <c r="M110" s="63">
        <v>0</v>
      </c>
      <c r="N110" s="64">
        <v>0</v>
      </c>
    </row>
    <row r="111" spans="1:14" x14ac:dyDescent="0.2">
      <c r="A111" s="54" t="s">
        <v>793</v>
      </c>
      <c r="B111" s="53" t="s">
        <v>795</v>
      </c>
      <c r="C111" s="63">
        <v>0</v>
      </c>
      <c r="D111" s="63">
        <v>0</v>
      </c>
      <c r="E111" s="63">
        <v>0</v>
      </c>
      <c r="F111" s="63">
        <v>0</v>
      </c>
      <c r="G111" s="63">
        <v>0</v>
      </c>
      <c r="H111" s="63">
        <v>0</v>
      </c>
      <c r="I111" s="63">
        <v>0</v>
      </c>
      <c r="J111" s="63">
        <v>0</v>
      </c>
      <c r="K111" s="63">
        <v>0</v>
      </c>
      <c r="L111" s="63">
        <v>0</v>
      </c>
      <c r="M111" s="63">
        <v>0</v>
      </c>
      <c r="N111" s="64">
        <v>0</v>
      </c>
    </row>
    <row r="114" spans="1:14" x14ac:dyDescent="0.2">
      <c r="A114" s="68" t="s">
        <v>796</v>
      </c>
    </row>
    <row r="116" spans="1:14" s="69" customFormat="1" x14ac:dyDescent="0.2">
      <c r="A116" s="69" t="s">
        <v>797</v>
      </c>
    </row>
    <row r="117" spans="1:14" x14ac:dyDescent="0.2">
      <c r="A117" s="45" t="s">
        <v>727</v>
      </c>
      <c r="C117" s="45">
        <f t="shared" ref="C117:N117" si="0">_xlfn.NUMBERVALUE(LEFT(C5,4))+1</f>
        <v>1995</v>
      </c>
      <c r="D117" s="45">
        <f t="shared" si="0"/>
        <v>1996</v>
      </c>
      <c r="E117" s="45">
        <f t="shared" si="0"/>
        <v>1997</v>
      </c>
      <c r="F117" s="45">
        <f t="shared" si="0"/>
        <v>1998</v>
      </c>
      <c r="G117" s="45">
        <f t="shared" si="0"/>
        <v>2000</v>
      </c>
      <c r="H117" s="45">
        <f t="shared" si="0"/>
        <v>2001</v>
      </c>
      <c r="I117" s="45">
        <f t="shared" si="0"/>
        <v>2003</v>
      </c>
      <c r="J117" s="45">
        <f t="shared" si="0"/>
        <v>2004</v>
      </c>
      <c r="K117" s="45">
        <f t="shared" si="0"/>
        <v>2006</v>
      </c>
      <c r="L117" s="45">
        <f t="shared" si="0"/>
        <v>2008</v>
      </c>
      <c r="M117" s="45">
        <f t="shared" si="0"/>
        <v>2010</v>
      </c>
      <c r="N117" s="45">
        <f t="shared" si="0"/>
        <v>2012</v>
      </c>
    </row>
    <row r="118" spans="1:14" x14ac:dyDescent="0.2">
      <c r="A118" s="45" t="s">
        <v>799</v>
      </c>
      <c r="B118" s="45" t="s">
        <v>798</v>
      </c>
      <c r="C118" s="70">
        <f>C13*C58</f>
        <v>121.72800000000001</v>
      </c>
      <c r="D118" s="70">
        <f t="shared" ref="D118:N118" si="1">D13*D58</f>
        <v>125.59</v>
      </c>
      <c r="E118" s="70">
        <f t="shared" si="1"/>
        <v>121.94000000000001</v>
      </c>
      <c r="F118" s="70">
        <f t="shared" si="1"/>
        <v>129.31</v>
      </c>
      <c r="G118" s="70">
        <f t="shared" si="1"/>
        <v>136.024</v>
      </c>
      <c r="H118" s="70">
        <f t="shared" si="1"/>
        <v>132.47999999999999</v>
      </c>
      <c r="I118" s="70">
        <f t="shared" si="1"/>
        <v>150.54</v>
      </c>
      <c r="J118" s="70">
        <f t="shared" si="1"/>
        <v>158.202</v>
      </c>
      <c r="K118" s="70">
        <f t="shared" si="1"/>
        <v>186.524</v>
      </c>
      <c r="L118" s="70">
        <f t="shared" si="1"/>
        <v>211.03</v>
      </c>
      <c r="M118" s="70">
        <f t="shared" si="1"/>
        <v>248.37599999999998</v>
      </c>
      <c r="N118" s="70">
        <f t="shared" si="1"/>
        <v>271</v>
      </c>
    </row>
    <row r="119" spans="1:14" x14ac:dyDescent="0.2">
      <c r="B119" s="45" t="s">
        <v>800</v>
      </c>
      <c r="C119" s="71">
        <f>C118/$L$118</f>
        <v>0.57682793915557029</v>
      </c>
      <c r="D119" s="71">
        <f t="shared" ref="D119:N119" si="2">D118/$L$118</f>
        <v>0.59512865469364551</v>
      </c>
      <c r="E119" s="71">
        <f t="shared" si="2"/>
        <v>0.57783253565843729</v>
      </c>
      <c r="F119" s="71">
        <f t="shared" si="2"/>
        <v>0.61275648012130979</v>
      </c>
      <c r="G119" s="71">
        <f t="shared" si="2"/>
        <v>0.64457186182059423</v>
      </c>
      <c r="H119" s="71">
        <f t="shared" si="2"/>
        <v>0.62777804103681933</v>
      </c>
      <c r="I119" s="71">
        <f t="shared" si="2"/>
        <v>0.71335829029048003</v>
      </c>
      <c r="J119" s="71">
        <f t="shared" si="2"/>
        <v>0.74966592427616929</v>
      </c>
      <c r="K119" s="71">
        <f t="shared" si="2"/>
        <v>0.88387433066388665</v>
      </c>
      <c r="L119" s="71">
        <f t="shared" si="2"/>
        <v>1</v>
      </c>
      <c r="M119" s="71">
        <f t="shared" si="2"/>
        <v>1.1769700990380514</v>
      </c>
      <c r="N119" s="71">
        <f t="shared" si="2"/>
        <v>1.2841776050798464</v>
      </c>
    </row>
  </sheetData>
  <mergeCells count="3">
    <mergeCell ref="A1:N1"/>
    <mergeCell ref="A6:N6"/>
    <mergeCell ref="A59:N59"/>
  </mergeCells>
  <hyperlinks>
    <hyperlink ref="A114" r:id="rId1" display="© Commonwealth of Australia 2009" xr:uid="{EBA6E303-93E6-46AB-A11C-B68B33DD9862}"/>
  </hyperlinks>
  <pageMargins left="0.78749999999999998" right="0.78749999999999998" top="1.0249999999999999" bottom="1.0249999999999999" header="0.78749999999999998" footer="0.78749999999999998"/>
  <pageSetup paperSize="9" scale="44" orientation="portrait" horizontalDpi="300" verticalDpi="300" r:id="rId2"/>
  <headerFooter alignWithMargins="0">
    <oddHeader>&amp;C&amp;A</oddHeader>
    <oddFooter>&amp;CPage &amp;P</oddFooter>
  </headerFooter>
  <rowBreaks count="1" manualBreakCount="1">
    <brk id="58" max="16383" man="1"/>
  </rowBreaks>
  <drawing r:id="rId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BFE4F-8ED8-46E2-A3E7-D09420486E88}">
  <sheetPr>
    <tabColor rgb="FFFF0000"/>
  </sheetPr>
  <dimension ref="A1:F109"/>
  <sheetViews>
    <sheetView workbookViewId="0">
      <pane ySplit="1" topLeftCell="A17" activePane="bottomLeft" state="frozen"/>
      <selection pane="bottomLeft" activeCell="E39" sqref="E39"/>
    </sheetView>
  </sheetViews>
  <sheetFormatPr defaultRowHeight="15" x14ac:dyDescent="0.25"/>
  <cols>
    <col min="1" max="1" width="33.42578125" bestFit="1" customWidth="1"/>
    <col min="5" max="5" width="11" bestFit="1" customWidth="1"/>
    <col min="6" max="6" width="11.7109375" bestFit="1" customWidth="1"/>
  </cols>
  <sheetData>
    <row r="1" spans="1:6" x14ac:dyDescent="0.25">
      <c r="A1" t="s">
        <v>6</v>
      </c>
      <c r="B1" s="1" t="s">
        <v>1</v>
      </c>
      <c r="C1" s="1" t="s">
        <v>727</v>
      </c>
      <c r="D1" s="1" t="s">
        <v>728</v>
      </c>
      <c r="E1" t="s">
        <v>634</v>
      </c>
      <c r="F1" t="s">
        <v>635</v>
      </c>
    </row>
    <row r="2" spans="1:6" x14ac:dyDescent="0.25">
      <c r="A2" t="s">
        <v>3</v>
      </c>
      <c r="B2" s="1">
        <v>36220</v>
      </c>
      <c r="C2" s="23">
        <f t="shared" ref="C2:C33" si="0">YEAR(B2)</f>
        <v>1999</v>
      </c>
      <c r="D2" s="23">
        <f t="shared" ref="D2:D33" si="1">MONTH(B2)</f>
        <v>3</v>
      </c>
      <c r="E2" s="73">
        <f>E$39*AVERAGE(_xlfn.XLOOKUP($C2,Table_4!$117:$117,Table_4!$119:$119,"",1),_xlfn.XLOOKUP($C2,Table_4!$117:$117,Table_4!$119:$119,"",-1))</f>
        <v>144.59275932331894</v>
      </c>
      <c r="F2" s="73">
        <f>F$39*AVERAGE(_xlfn.XLOOKUP($C2,Table_4!$117:$117,Table_4!$119:$119,"",1),_xlfn.XLOOKUP($C2,Table_4!$117:$117,Table_4!$119:$119,"",-1))</f>
        <v>94.299625645642791</v>
      </c>
    </row>
    <row r="3" spans="1:6" x14ac:dyDescent="0.25">
      <c r="A3" t="s">
        <v>0</v>
      </c>
      <c r="B3" s="1">
        <v>36312</v>
      </c>
      <c r="C3" s="23">
        <f t="shared" si="0"/>
        <v>1999</v>
      </c>
      <c r="D3" s="23">
        <f t="shared" si="1"/>
        <v>6</v>
      </c>
      <c r="E3" s="73">
        <f>E$39*AVERAGE(_xlfn.XLOOKUP($C3,Table_4!$117:$117,Table_4!$119:$119,"",1),_xlfn.XLOOKUP($C3,Table_4!$117:$117,Table_4!$119:$119,"",-1))</f>
        <v>144.59275932331894</v>
      </c>
      <c r="F3" s="73">
        <f>F$39*AVERAGE(_xlfn.XLOOKUP($C3,Table_4!$117:$117,Table_4!$119:$119,"",1),_xlfn.XLOOKUP($C3,Table_4!$117:$117,Table_4!$119:$119,"",-1))</f>
        <v>94.299625645642791</v>
      </c>
    </row>
    <row r="4" spans="1:6" x14ac:dyDescent="0.25">
      <c r="B4" s="1">
        <v>36404</v>
      </c>
      <c r="C4" s="23">
        <f t="shared" si="0"/>
        <v>1999</v>
      </c>
      <c r="D4" s="23">
        <f t="shared" si="1"/>
        <v>9</v>
      </c>
      <c r="E4" s="73">
        <f>E$39*AVERAGE(_xlfn.XLOOKUP($C4,Table_4!$117:$117,Table_4!$119:$119,"",1),_xlfn.XLOOKUP($C4,Table_4!$117:$117,Table_4!$119:$119,"",-1))</f>
        <v>144.59275932331894</v>
      </c>
      <c r="F4" s="73">
        <f>F$39*AVERAGE(_xlfn.XLOOKUP($C4,Table_4!$117:$117,Table_4!$119:$119,"",1),_xlfn.XLOOKUP($C4,Table_4!$117:$117,Table_4!$119:$119,"",-1))</f>
        <v>94.299625645642791</v>
      </c>
    </row>
    <row r="5" spans="1:6" x14ac:dyDescent="0.25">
      <c r="B5" s="1">
        <v>36495</v>
      </c>
      <c r="C5" s="23">
        <f t="shared" si="0"/>
        <v>1999</v>
      </c>
      <c r="D5" s="23">
        <f t="shared" si="1"/>
        <v>12</v>
      </c>
      <c r="E5" s="73">
        <f>E$39*AVERAGE(_xlfn.XLOOKUP($C5,Table_4!$117:$117,Table_4!$119:$119,"",1),_xlfn.XLOOKUP($C5,Table_4!$117:$117,Table_4!$119:$119,"",-1))</f>
        <v>144.59275932331894</v>
      </c>
      <c r="F5" s="73">
        <f>F$39*AVERAGE(_xlfn.XLOOKUP($C5,Table_4!$117:$117,Table_4!$119:$119,"",1),_xlfn.XLOOKUP($C5,Table_4!$117:$117,Table_4!$119:$119,"",-1))</f>
        <v>94.299625645642791</v>
      </c>
    </row>
    <row r="6" spans="1:6" x14ac:dyDescent="0.25">
      <c r="B6" s="1">
        <v>36586</v>
      </c>
      <c r="C6" s="23">
        <f t="shared" si="0"/>
        <v>2000</v>
      </c>
      <c r="D6" s="23">
        <f t="shared" si="1"/>
        <v>3</v>
      </c>
      <c r="E6" s="73">
        <f>E$39*AVERAGE(_xlfn.XLOOKUP($C6,Table_4!$117:$117,Table_4!$119:$119,"",1),_xlfn.XLOOKUP($C6,Table_4!$117:$117,Table_4!$119:$119,"",-1))</f>
        <v>148.25152821873667</v>
      </c>
      <c r="F6" s="73">
        <f>F$39*AVERAGE(_xlfn.XLOOKUP($C6,Table_4!$117:$117,Table_4!$119:$119,"",1),_xlfn.XLOOKUP($C6,Table_4!$117:$117,Table_4!$119:$119,"",-1))</f>
        <v>96.685779273089139</v>
      </c>
    </row>
    <row r="7" spans="1:6" x14ac:dyDescent="0.25">
      <c r="B7" s="1">
        <v>36678</v>
      </c>
      <c r="C7" s="23">
        <f t="shared" si="0"/>
        <v>2000</v>
      </c>
      <c r="D7" s="23">
        <f t="shared" si="1"/>
        <v>6</v>
      </c>
      <c r="E7" s="73">
        <f>E$39*AVERAGE(_xlfn.XLOOKUP($C7,Table_4!$117:$117,Table_4!$119:$119,"",1),_xlfn.XLOOKUP($C7,Table_4!$117:$117,Table_4!$119:$119,"",-1))</f>
        <v>148.25152821873667</v>
      </c>
      <c r="F7" s="73">
        <f>F$39*AVERAGE(_xlfn.XLOOKUP($C7,Table_4!$117:$117,Table_4!$119:$119,"",1),_xlfn.XLOOKUP($C7,Table_4!$117:$117,Table_4!$119:$119,"",-1))</f>
        <v>96.685779273089139</v>
      </c>
    </row>
    <row r="8" spans="1:6" x14ac:dyDescent="0.25">
      <c r="B8" s="1">
        <v>36770</v>
      </c>
      <c r="C8" s="23">
        <f t="shared" si="0"/>
        <v>2000</v>
      </c>
      <c r="D8" s="23">
        <f t="shared" si="1"/>
        <v>9</v>
      </c>
      <c r="E8" s="73">
        <f>E$39*AVERAGE(_xlfn.XLOOKUP($C8,Table_4!$117:$117,Table_4!$119:$119,"",1),_xlfn.XLOOKUP($C8,Table_4!$117:$117,Table_4!$119:$119,"",-1))</f>
        <v>148.25152821873667</v>
      </c>
      <c r="F8" s="73">
        <f>F$39*AVERAGE(_xlfn.XLOOKUP($C8,Table_4!$117:$117,Table_4!$119:$119,"",1),_xlfn.XLOOKUP($C8,Table_4!$117:$117,Table_4!$119:$119,"",-1))</f>
        <v>96.685779273089139</v>
      </c>
    </row>
    <row r="9" spans="1:6" x14ac:dyDescent="0.25">
      <c r="B9" s="1">
        <v>36861</v>
      </c>
      <c r="C9" s="23">
        <f t="shared" si="0"/>
        <v>2000</v>
      </c>
      <c r="D9" s="23">
        <f t="shared" si="1"/>
        <v>12</v>
      </c>
      <c r="E9" s="73">
        <f>E$39*AVERAGE(_xlfn.XLOOKUP($C9,Table_4!$117:$117,Table_4!$119:$119,"",1),_xlfn.XLOOKUP($C9,Table_4!$117:$117,Table_4!$119:$119,"",-1))</f>
        <v>148.25152821873667</v>
      </c>
      <c r="F9" s="73">
        <f>F$39*AVERAGE(_xlfn.XLOOKUP($C9,Table_4!$117:$117,Table_4!$119:$119,"",1),_xlfn.XLOOKUP($C9,Table_4!$117:$117,Table_4!$119:$119,"",-1))</f>
        <v>96.685779273089139</v>
      </c>
    </row>
    <row r="10" spans="1:6" x14ac:dyDescent="0.25">
      <c r="B10" s="1">
        <v>36951</v>
      </c>
      <c r="C10" s="23">
        <f t="shared" si="0"/>
        <v>2001</v>
      </c>
      <c r="D10" s="23">
        <f t="shared" si="1"/>
        <v>3</v>
      </c>
      <c r="E10" s="73">
        <f>E$39*AVERAGE(_xlfn.XLOOKUP($C10,Table_4!$117:$117,Table_4!$119:$119,"",1),_xlfn.XLOOKUP($C10,Table_4!$117:$117,Table_4!$119:$119,"",-1))</f>
        <v>144.38894943846844</v>
      </c>
      <c r="F10" s="73">
        <f>F$39*AVERAGE(_xlfn.XLOOKUP($C10,Table_4!$117:$117,Table_4!$119:$119,"",1),_xlfn.XLOOKUP($C10,Table_4!$117:$117,Table_4!$119:$119,"",-1))</f>
        <v>94.166706155522903</v>
      </c>
    </row>
    <row r="11" spans="1:6" x14ac:dyDescent="0.25">
      <c r="B11" s="1">
        <v>37043</v>
      </c>
      <c r="C11" s="23">
        <f t="shared" si="0"/>
        <v>2001</v>
      </c>
      <c r="D11" s="23">
        <f t="shared" si="1"/>
        <v>6</v>
      </c>
      <c r="E11" s="73">
        <f>E$39*AVERAGE(_xlfn.XLOOKUP($C11,Table_4!$117:$117,Table_4!$119:$119,"",1),_xlfn.XLOOKUP($C11,Table_4!$117:$117,Table_4!$119:$119,"",-1))</f>
        <v>144.38894943846844</v>
      </c>
      <c r="F11" s="73">
        <f>F$39*AVERAGE(_xlfn.XLOOKUP($C11,Table_4!$117:$117,Table_4!$119:$119,"",1),_xlfn.XLOOKUP($C11,Table_4!$117:$117,Table_4!$119:$119,"",-1))</f>
        <v>94.166706155522903</v>
      </c>
    </row>
    <row r="12" spans="1:6" x14ac:dyDescent="0.25">
      <c r="B12" s="1">
        <v>37135</v>
      </c>
      <c r="C12" s="23">
        <f t="shared" si="0"/>
        <v>2001</v>
      </c>
      <c r="D12" s="23">
        <f t="shared" si="1"/>
        <v>9</v>
      </c>
      <c r="E12" s="73">
        <f>E$39*AVERAGE(_xlfn.XLOOKUP($C12,Table_4!$117:$117,Table_4!$119:$119,"",1),_xlfn.XLOOKUP($C12,Table_4!$117:$117,Table_4!$119:$119,"",-1))</f>
        <v>144.38894943846844</v>
      </c>
      <c r="F12" s="73">
        <f>F$39*AVERAGE(_xlfn.XLOOKUP($C12,Table_4!$117:$117,Table_4!$119:$119,"",1),_xlfn.XLOOKUP($C12,Table_4!$117:$117,Table_4!$119:$119,"",-1))</f>
        <v>94.166706155522903</v>
      </c>
    </row>
    <row r="13" spans="1:6" x14ac:dyDescent="0.25">
      <c r="B13" s="1">
        <v>37226</v>
      </c>
      <c r="C13" s="23">
        <f t="shared" si="0"/>
        <v>2001</v>
      </c>
      <c r="D13" s="23">
        <f t="shared" si="1"/>
        <v>12</v>
      </c>
      <c r="E13" s="73">
        <f>E$39*AVERAGE(_xlfn.XLOOKUP($C13,Table_4!$117:$117,Table_4!$119:$119,"",1),_xlfn.XLOOKUP($C13,Table_4!$117:$117,Table_4!$119:$119,"",-1))</f>
        <v>144.38894943846844</v>
      </c>
      <c r="F13" s="73">
        <f>F$39*AVERAGE(_xlfn.XLOOKUP($C13,Table_4!$117:$117,Table_4!$119:$119,"",1),_xlfn.XLOOKUP($C13,Table_4!$117:$117,Table_4!$119:$119,"",-1))</f>
        <v>94.166706155522903</v>
      </c>
    </row>
    <row r="14" spans="1:6" x14ac:dyDescent="0.25">
      <c r="B14" s="1">
        <v>37316</v>
      </c>
      <c r="C14" s="23">
        <f t="shared" si="0"/>
        <v>2002</v>
      </c>
      <c r="D14" s="23">
        <f t="shared" si="1"/>
        <v>3</v>
      </c>
      <c r="E14" s="73">
        <f>E$39*AVERAGE(_xlfn.XLOOKUP($C14,Table_4!$117:$117,Table_4!$119:$119,"",1),_xlfn.XLOOKUP($C14,Table_4!$117:$117,Table_4!$119:$119,"",-1))</f>
        <v>154.23067810263944</v>
      </c>
      <c r="F14" s="73">
        <f>F$39*AVERAGE(_xlfn.XLOOKUP($C14,Table_4!$117:$117,Table_4!$119:$119,"",1),_xlfn.XLOOKUP($C14,Table_4!$117:$117,Table_4!$119:$119,"",-1))</f>
        <v>100.58522484954746</v>
      </c>
    </row>
    <row r="15" spans="1:6" x14ac:dyDescent="0.25">
      <c r="B15" s="1">
        <v>37408</v>
      </c>
      <c r="C15" s="23">
        <f t="shared" si="0"/>
        <v>2002</v>
      </c>
      <c r="D15" s="23">
        <f t="shared" si="1"/>
        <v>6</v>
      </c>
      <c r="E15" s="73">
        <f>E$39*AVERAGE(_xlfn.XLOOKUP($C15,Table_4!$117:$117,Table_4!$119:$119,"",1),_xlfn.XLOOKUP($C15,Table_4!$117:$117,Table_4!$119:$119,"",-1))</f>
        <v>154.23067810263944</v>
      </c>
      <c r="F15" s="73">
        <f>F$39*AVERAGE(_xlfn.XLOOKUP($C15,Table_4!$117:$117,Table_4!$119:$119,"",1),_xlfn.XLOOKUP($C15,Table_4!$117:$117,Table_4!$119:$119,"",-1))</f>
        <v>100.58522484954746</v>
      </c>
    </row>
    <row r="16" spans="1:6" x14ac:dyDescent="0.25">
      <c r="B16" s="1">
        <v>37500</v>
      </c>
      <c r="C16" s="23">
        <f t="shared" si="0"/>
        <v>2002</v>
      </c>
      <c r="D16" s="23">
        <f t="shared" si="1"/>
        <v>9</v>
      </c>
      <c r="E16" s="73">
        <f>E$39*AVERAGE(_xlfn.XLOOKUP($C16,Table_4!$117:$117,Table_4!$119:$119,"",1),_xlfn.XLOOKUP($C16,Table_4!$117:$117,Table_4!$119:$119,"",-1))</f>
        <v>154.23067810263944</v>
      </c>
      <c r="F16" s="73">
        <f>F$39*AVERAGE(_xlfn.XLOOKUP($C16,Table_4!$117:$117,Table_4!$119:$119,"",1),_xlfn.XLOOKUP($C16,Table_4!$117:$117,Table_4!$119:$119,"",-1))</f>
        <v>100.58522484954746</v>
      </c>
    </row>
    <row r="17" spans="2:6" x14ac:dyDescent="0.25">
      <c r="B17" s="1">
        <v>37591</v>
      </c>
      <c r="C17" s="23">
        <f t="shared" si="0"/>
        <v>2002</v>
      </c>
      <c r="D17" s="23">
        <f t="shared" si="1"/>
        <v>12</v>
      </c>
      <c r="E17" s="73">
        <f>E$39*AVERAGE(_xlfn.XLOOKUP($C17,Table_4!$117:$117,Table_4!$119:$119,"",1),_xlfn.XLOOKUP($C17,Table_4!$117:$117,Table_4!$119:$119,"",-1))</f>
        <v>154.23067810263944</v>
      </c>
      <c r="F17" s="73">
        <f>F$39*AVERAGE(_xlfn.XLOOKUP($C17,Table_4!$117:$117,Table_4!$119:$119,"",1),_xlfn.XLOOKUP($C17,Table_4!$117:$117,Table_4!$119:$119,"",-1))</f>
        <v>100.58522484954746</v>
      </c>
    </row>
    <row r="18" spans="2:6" x14ac:dyDescent="0.25">
      <c r="B18" s="1">
        <v>37681</v>
      </c>
      <c r="C18" s="23">
        <f t="shared" si="0"/>
        <v>2003</v>
      </c>
      <c r="D18" s="23">
        <f t="shared" si="1"/>
        <v>3</v>
      </c>
      <c r="E18" s="73">
        <f>E$39*AVERAGE(_xlfn.XLOOKUP($C18,Table_4!$117:$117,Table_4!$119:$119,"",1),_xlfn.XLOOKUP($C18,Table_4!$117:$117,Table_4!$119:$119,"",-1))</f>
        <v>164.07240676681042</v>
      </c>
      <c r="F18" s="73">
        <f>F$39*AVERAGE(_xlfn.XLOOKUP($C18,Table_4!$117:$117,Table_4!$119:$119,"",1),_xlfn.XLOOKUP($C18,Table_4!$117:$117,Table_4!$119:$119,"",-1))</f>
        <v>107.003743543572</v>
      </c>
    </row>
    <row r="19" spans="2:6" x14ac:dyDescent="0.25">
      <c r="B19" s="1">
        <v>37773</v>
      </c>
      <c r="C19" s="23">
        <f t="shared" si="0"/>
        <v>2003</v>
      </c>
      <c r="D19" s="23">
        <f t="shared" si="1"/>
        <v>6</v>
      </c>
      <c r="E19" s="73">
        <f>E$39*AVERAGE(_xlfn.XLOOKUP($C19,Table_4!$117:$117,Table_4!$119:$119,"",1),_xlfn.XLOOKUP($C19,Table_4!$117:$117,Table_4!$119:$119,"",-1))</f>
        <v>164.07240676681042</v>
      </c>
      <c r="F19" s="73">
        <f>F$39*AVERAGE(_xlfn.XLOOKUP($C19,Table_4!$117:$117,Table_4!$119:$119,"",1),_xlfn.XLOOKUP($C19,Table_4!$117:$117,Table_4!$119:$119,"",-1))</f>
        <v>107.003743543572</v>
      </c>
    </row>
    <row r="20" spans="2:6" x14ac:dyDescent="0.25">
      <c r="B20" s="1">
        <v>37865</v>
      </c>
      <c r="C20" s="23">
        <f t="shared" si="0"/>
        <v>2003</v>
      </c>
      <c r="D20" s="23">
        <f t="shared" si="1"/>
        <v>9</v>
      </c>
      <c r="E20" s="73">
        <f>E$39*AVERAGE(_xlfn.XLOOKUP($C20,Table_4!$117:$117,Table_4!$119:$119,"",1),_xlfn.XLOOKUP($C20,Table_4!$117:$117,Table_4!$119:$119,"",-1))</f>
        <v>164.07240676681042</v>
      </c>
      <c r="F20" s="73">
        <f>F$39*AVERAGE(_xlfn.XLOOKUP($C20,Table_4!$117:$117,Table_4!$119:$119,"",1),_xlfn.XLOOKUP($C20,Table_4!$117:$117,Table_4!$119:$119,"",-1))</f>
        <v>107.003743543572</v>
      </c>
    </row>
    <row r="21" spans="2:6" x14ac:dyDescent="0.25">
      <c r="B21" s="1">
        <v>37956</v>
      </c>
      <c r="C21" s="23">
        <f t="shared" si="0"/>
        <v>2003</v>
      </c>
      <c r="D21" s="23">
        <f t="shared" si="1"/>
        <v>12</v>
      </c>
      <c r="E21" s="73">
        <f>E$39*AVERAGE(_xlfn.XLOOKUP($C21,Table_4!$117:$117,Table_4!$119:$119,"",1),_xlfn.XLOOKUP($C21,Table_4!$117:$117,Table_4!$119:$119,"",-1))</f>
        <v>164.07240676681042</v>
      </c>
      <c r="F21" s="73">
        <f>F$39*AVERAGE(_xlfn.XLOOKUP($C21,Table_4!$117:$117,Table_4!$119:$119,"",1),_xlfn.XLOOKUP($C21,Table_4!$117:$117,Table_4!$119:$119,"",-1))</f>
        <v>107.003743543572</v>
      </c>
    </row>
    <row r="22" spans="2:6" x14ac:dyDescent="0.25">
      <c r="B22" s="1">
        <v>38047</v>
      </c>
      <c r="C22" s="23">
        <f t="shared" si="0"/>
        <v>2004</v>
      </c>
      <c r="D22" s="23">
        <f t="shared" si="1"/>
        <v>3</v>
      </c>
      <c r="E22" s="73">
        <f>E$39*AVERAGE(_xlfn.XLOOKUP($C22,Table_4!$117:$117,Table_4!$119:$119,"",1),_xlfn.XLOOKUP($C22,Table_4!$117:$117,Table_4!$119:$119,"",-1))</f>
        <v>172.42316258351894</v>
      </c>
      <c r="F22" s="73">
        <f>F$39*AVERAGE(_xlfn.XLOOKUP($C22,Table_4!$117:$117,Table_4!$119:$119,"",1),_xlfn.XLOOKUP($C22,Table_4!$117:$117,Table_4!$119:$119,"",-1))</f>
        <v>112.44988864142539</v>
      </c>
    </row>
    <row r="23" spans="2:6" x14ac:dyDescent="0.25">
      <c r="B23" s="1">
        <v>38139</v>
      </c>
      <c r="C23" s="23">
        <f t="shared" si="0"/>
        <v>2004</v>
      </c>
      <c r="D23" s="23">
        <f t="shared" si="1"/>
        <v>6</v>
      </c>
      <c r="E23" s="73">
        <f>E$39*AVERAGE(_xlfn.XLOOKUP($C23,Table_4!$117:$117,Table_4!$119:$119,"",1),_xlfn.XLOOKUP($C23,Table_4!$117:$117,Table_4!$119:$119,"",-1))</f>
        <v>172.42316258351894</v>
      </c>
      <c r="F23" s="73">
        <f>F$39*AVERAGE(_xlfn.XLOOKUP($C23,Table_4!$117:$117,Table_4!$119:$119,"",1),_xlfn.XLOOKUP($C23,Table_4!$117:$117,Table_4!$119:$119,"",-1))</f>
        <v>112.44988864142539</v>
      </c>
    </row>
    <row r="24" spans="2:6" x14ac:dyDescent="0.25">
      <c r="B24" s="1">
        <v>38231</v>
      </c>
      <c r="C24" s="23">
        <f t="shared" si="0"/>
        <v>2004</v>
      </c>
      <c r="D24" s="23">
        <f t="shared" si="1"/>
        <v>9</v>
      </c>
      <c r="E24" s="73">
        <f>E$39*AVERAGE(_xlfn.XLOOKUP($C24,Table_4!$117:$117,Table_4!$119:$119,"",1),_xlfn.XLOOKUP($C24,Table_4!$117:$117,Table_4!$119:$119,"",-1))</f>
        <v>172.42316258351894</v>
      </c>
      <c r="F24" s="73">
        <f>F$39*AVERAGE(_xlfn.XLOOKUP($C24,Table_4!$117:$117,Table_4!$119:$119,"",1),_xlfn.XLOOKUP($C24,Table_4!$117:$117,Table_4!$119:$119,"",-1))</f>
        <v>112.44988864142539</v>
      </c>
    </row>
    <row r="25" spans="2:6" x14ac:dyDescent="0.25">
      <c r="B25" s="1">
        <v>38322</v>
      </c>
      <c r="C25" s="23">
        <f t="shared" si="0"/>
        <v>2004</v>
      </c>
      <c r="D25" s="23">
        <f t="shared" si="1"/>
        <v>12</v>
      </c>
      <c r="E25" s="73">
        <f>E$39*AVERAGE(_xlfn.XLOOKUP($C25,Table_4!$117:$117,Table_4!$119:$119,"",1),_xlfn.XLOOKUP($C25,Table_4!$117:$117,Table_4!$119:$119,"",-1))</f>
        <v>172.42316258351894</v>
      </c>
      <c r="F25" s="73">
        <f>F$39*AVERAGE(_xlfn.XLOOKUP($C25,Table_4!$117:$117,Table_4!$119:$119,"",1),_xlfn.XLOOKUP($C25,Table_4!$117:$117,Table_4!$119:$119,"",-1))</f>
        <v>112.44988864142539</v>
      </c>
    </row>
    <row r="26" spans="2:6" x14ac:dyDescent="0.25">
      <c r="B26" s="1">
        <v>38412</v>
      </c>
      <c r="C26" s="23">
        <f t="shared" si="0"/>
        <v>2005</v>
      </c>
      <c r="D26" s="23">
        <f t="shared" si="1"/>
        <v>3</v>
      </c>
      <c r="E26" s="73">
        <f>E$39*AVERAGE(_xlfn.XLOOKUP($C26,Table_4!$117:$117,Table_4!$119:$119,"",1),_xlfn.XLOOKUP($C26,Table_4!$117:$117,Table_4!$119:$119,"",-1))</f>
        <v>187.85712931810644</v>
      </c>
      <c r="F26" s="73">
        <f>F$39*AVERAGE(_xlfn.XLOOKUP($C26,Table_4!$117:$117,Table_4!$119:$119,"",1),_xlfn.XLOOKUP($C26,Table_4!$117:$117,Table_4!$119:$119,"",-1))</f>
        <v>122.51551912050419</v>
      </c>
    </row>
    <row r="27" spans="2:6" x14ac:dyDescent="0.25">
      <c r="B27" s="1">
        <v>38504</v>
      </c>
      <c r="C27" s="23">
        <f t="shared" si="0"/>
        <v>2005</v>
      </c>
      <c r="D27" s="23">
        <f t="shared" si="1"/>
        <v>6</v>
      </c>
      <c r="E27" s="73">
        <f>E$39*AVERAGE(_xlfn.XLOOKUP($C27,Table_4!$117:$117,Table_4!$119:$119,"",1),_xlfn.XLOOKUP($C27,Table_4!$117:$117,Table_4!$119:$119,"",-1))</f>
        <v>187.85712931810644</v>
      </c>
      <c r="F27" s="73">
        <f>F$39*AVERAGE(_xlfn.XLOOKUP($C27,Table_4!$117:$117,Table_4!$119:$119,"",1),_xlfn.XLOOKUP($C27,Table_4!$117:$117,Table_4!$119:$119,"",-1))</f>
        <v>122.51551912050419</v>
      </c>
    </row>
    <row r="28" spans="2:6" x14ac:dyDescent="0.25">
      <c r="B28" s="1">
        <v>38596</v>
      </c>
      <c r="C28" s="23">
        <f t="shared" si="0"/>
        <v>2005</v>
      </c>
      <c r="D28" s="23">
        <f t="shared" si="1"/>
        <v>9</v>
      </c>
      <c r="E28" s="73">
        <f>E$39*AVERAGE(_xlfn.XLOOKUP($C28,Table_4!$117:$117,Table_4!$119:$119,"",1),_xlfn.XLOOKUP($C28,Table_4!$117:$117,Table_4!$119:$119,"",-1))</f>
        <v>187.85712931810644</v>
      </c>
      <c r="F28" s="73">
        <f>F$39*AVERAGE(_xlfn.XLOOKUP($C28,Table_4!$117:$117,Table_4!$119:$119,"",1),_xlfn.XLOOKUP($C28,Table_4!$117:$117,Table_4!$119:$119,"",-1))</f>
        <v>122.51551912050419</v>
      </c>
    </row>
    <row r="29" spans="2:6" x14ac:dyDescent="0.25">
      <c r="B29" s="1">
        <v>38687</v>
      </c>
      <c r="C29" s="23">
        <f t="shared" si="0"/>
        <v>2005</v>
      </c>
      <c r="D29" s="23">
        <f t="shared" si="1"/>
        <v>12</v>
      </c>
      <c r="E29" s="73">
        <f>E$39*AVERAGE(_xlfn.XLOOKUP($C29,Table_4!$117:$117,Table_4!$119:$119,"",1),_xlfn.XLOOKUP($C29,Table_4!$117:$117,Table_4!$119:$119,"",-1))</f>
        <v>187.85712931810644</v>
      </c>
      <c r="F29" s="73">
        <f>F$39*AVERAGE(_xlfn.XLOOKUP($C29,Table_4!$117:$117,Table_4!$119:$119,"",1),_xlfn.XLOOKUP($C29,Table_4!$117:$117,Table_4!$119:$119,"",-1))</f>
        <v>122.51551912050419</v>
      </c>
    </row>
    <row r="30" spans="2:6" x14ac:dyDescent="0.25">
      <c r="B30" s="1">
        <v>38777</v>
      </c>
      <c r="C30" s="23">
        <f t="shared" si="0"/>
        <v>2006</v>
      </c>
      <c r="D30" s="23">
        <f t="shared" si="1"/>
        <v>3</v>
      </c>
      <c r="E30" s="73">
        <f>E$39*AVERAGE(_xlfn.XLOOKUP($C30,Table_4!$117:$117,Table_4!$119:$119,"",1),_xlfn.XLOOKUP($C30,Table_4!$117:$117,Table_4!$119:$119,"",-1))</f>
        <v>203.29109605269392</v>
      </c>
      <c r="F30" s="73">
        <f>F$39*AVERAGE(_xlfn.XLOOKUP($C30,Table_4!$117:$117,Table_4!$119:$119,"",1),_xlfn.XLOOKUP($C30,Table_4!$117:$117,Table_4!$119:$119,"",-1))</f>
        <v>132.581149599583</v>
      </c>
    </row>
    <row r="31" spans="2:6" x14ac:dyDescent="0.25">
      <c r="B31" s="1">
        <v>38869</v>
      </c>
      <c r="C31" s="23">
        <f t="shared" si="0"/>
        <v>2006</v>
      </c>
      <c r="D31" s="23">
        <f t="shared" si="1"/>
        <v>6</v>
      </c>
      <c r="E31" s="73">
        <f>E$39*AVERAGE(_xlfn.XLOOKUP($C31,Table_4!$117:$117,Table_4!$119:$119,"",1),_xlfn.XLOOKUP($C31,Table_4!$117:$117,Table_4!$119:$119,"",-1))</f>
        <v>203.29109605269392</v>
      </c>
      <c r="F31" s="73">
        <f>F$39*AVERAGE(_xlfn.XLOOKUP($C31,Table_4!$117:$117,Table_4!$119:$119,"",1),_xlfn.XLOOKUP($C31,Table_4!$117:$117,Table_4!$119:$119,"",-1))</f>
        <v>132.581149599583</v>
      </c>
    </row>
    <row r="32" spans="2:6" x14ac:dyDescent="0.25">
      <c r="B32" s="1">
        <v>38961</v>
      </c>
      <c r="C32" s="23">
        <f t="shared" si="0"/>
        <v>2006</v>
      </c>
      <c r="D32" s="23">
        <f t="shared" si="1"/>
        <v>9</v>
      </c>
      <c r="E32" s="73">
        <f>E$39*AVERAGE(_xlfn.XLOOKUP($C32,Table_4!$117:$117,Table_4!$119:$119,"",1),_xlfn.XLOOKUP($C32,Table_4!$117:$117,Table_4!$119:$119,"",-1))</f>
        <v>203.29109605269392</v>
      </c>
      <c r="F32" s="73">
        <f>F$39*AVERAGE(_xlfn.XLOOKUP($C32,Table_4!$117:$117,Table_4!$119:$119,"",1),_xlfn.XLOOKUP($C32,Table_4!$117:$117,Table_4!$119:$119,"",-1))</f>
        <v>132.581149599583</v>
      </c>
    </row>
    <row r="33" spans="1:6" x14ac:dyDescent="0.25">
      <c r="B33" s="1">
        <v>39052</v>
      </c>
      <c r="C33" s="23">
        <f t="shared" si="0"/>
        <v>2006</v>
      </c>
      <c r="D33" s="23">
        <f t="shared" si="1"/>
        <v>12</v>
      </c>
      <c r="E33" s="73">
        <f>E$39*AVERAGE(_xlfn.XLOOKUP($C33,Table_4!$117:$117,Table_4!$119:$119,"",1),_xlfn.XLOOKUP($C33,Table_4!$117:$117,Table_4!$119:$119,"",-1))</f>
        <v>203.29109605269392</v>
      </c>
      <c r="F33" s="73">
        <f>F$39*AVERAGE(_xlfn.XLOOKUP($C33,Table_4!$117:$117,Table_4!$119:$119,"",1),_xlfn.XLOOKUP($C33,Table_4!$117:$117,Table_4!$119:$119,"",-1))</f>
        <v>132.581149599583</v>
      </c>
    </row>
    <row r="34" spans="1:6" x14ac:dyDescent="0.25">
      <c r="B34" s="1">
        <v>39142</v>
      </c>
      <c r="C34" s="23">
        <f t="shared" ref="C34:C65" si="2">YEAR(B34)</f>
        <v>2007</v>
      </c>
      <c r="D34" s="23">
        <f t="shared" ref="D34:D65" si="3">MONTH(B34)</f>
        <v>3</v>
      </c>
      <c r="E34" s="73">
        <f>E$39*AVERAGE(_xlfn.XLOOKUP($C34,Table_4!$117:$117,Table_4!$119:$119,"",1),_xlfn.XLOOKUP($C34,Table_4!$117:$117,Table_4!$119:$119,"",-1))</f>
        <v>216.64554802634694</v>
      </c>
      <c r="F34" s="73">
        <f>F$39*AVERAGE(_xlfn.XLOOKUP($C34,Table_4!$117:$117,Table_4!$119:$119,"",1),_xlfn.XLOOKUP($C34,Table_4!$117:$117,Table_4!$119:$119,"",-1))</f>
        <v>141.2905747997915</v>
      </c>
    </row>
    <row r="35" spans="1:6" x14ac:dyDescent="0.25">
      <c r="B35" s="1">
        <v>39234</v>
      </c>
      <c r="C35" s="23">
        <f t="shared" si="2"/>
        <v>2007</v>
      </c>
      <c r="D35" s="23">
        <f t="shared" si="3"/>
        <v>6</v>
      </c>
      <c r="E35" s="73">
        <f>E$39*AVERAGE(_xlfn.XLOOKUP($C35,Table_4!$117:$117,Table_4!$119:$119,"",1),_xlfn.XLOOKUP($C35,Table_4!$117:$117,Table_4!$119:$119,"",-1))</f>
        <v>216.64554802634694</v>
      </c>
      <c r="F35" s="73">
        <f>F$39*AVERAGE(_xlfn.XLOOKUP($C35,Table_4!$117:$117,Table_4!$119:$119,"",1),_xlfn.XLOOKUP($C35,Table_4!$117:$117,Table_4!$119:$119,"",-1))</f>
        <v>141.2905747997915</v>
      </c>
    </row>
    <row r="36" spans="1:6" x14ac:dyDescent="0.25">
      <c r="B36" s="1">
        <v>39326</v>
      </c>
      <c r="C36" s="23">
        <f t="shared" si="2"/>
        <v>2007</v>
      </c>
      <c r="D36" s="23">
        <f t="shared" si="3"/>
        <v>9</v>
      </c>
      <c r="E36" s="73">
        <f>E$39*AVERAGE(_xlfn.XLOOKUP($C36,Table_4!$117:$117,Table_4!$119:$119,"",1),_xlfn.XLOOKUP($C36,Table_4!$117:$117,Table_4!$119:$119,"",-1))</f>
        <v>216.64554802634694</v>
      </c>
      <c r="F36" s="73">
        <f>F$39*AVERAGE(_xlfn.XLOOKUP($C36,Table_4!$117:$117,Table_4!$119:$119,"",1),_xlfn.XLOOKUP($C36,Table_4!$117:$117,Table_4!$119:$119,"",-1))</f>
        <v>141.2905747997915</v>
      </c>
    </row>
    <row r="37" spans="1:6" x14ac:dyDescent="0.25">
      <c r="B37" s="1">
        <v>39417</v>
      </c>
      <c r="C37" s="23">
        <f t="shared" si="2"/>
        <v>2007</v>
      </c>
      <c r="D37" s="23">
        <f t="shared" si="3"/>
        <v>12</v>
      </c>
      <c r="E37" s="73">
        <f>E$39*AVERAGE(_xlfn.XLOOKUP($C37,Table_4!$117:$117,Table_4!$119:$119,"",1),_xlfn.XLOOKUP($C37,Table_4!$117:$117,Table_4!$119:$119,"",-1))</f>
        <v>216.64554802634694</v>
      </c>
      <c r="F37" s="73">
        <f>F$39*AVERAGE(_xlfn.XLOOKUP($C37,Table_4!$117:$117,Table_4!$119:$119,"",1),_xlfn.XLOOKUP($C37,Table_4!$117:$117,Table_4!$119:$119,"",-1))</f>
        <v>141.2905747997915</v>
      </c>
    </row>
    <row r="38" spans="1:6" x14ac:dyDescent="0.25">
      <c r="B38" s="1">
        <v>39508</v>
      </c>
      <c r="C38" s="23">
        <f t="shared" si="2"/>
        <v>2008</v>
      </c>
      <c r="D38" s="23">
        <f t="shared" si="3"/>
        <v>3</v>
      </c>
      <c r="E38" s="72">
        <f>E$39*AVERAGE(_xlfn.XLOOKUP($C38,Table_4!$117:$117,Table_4!$119:$119,"",1),_xlfn.XLOOKUP($C38,Table_4!$117:$117,Table_4!$119:$119,"",-1))</f>
        <v>230</v>
      </c>
      <c r="F38" s="72">
        <f>F$39*AVERAGE(_xlfn.XLOOKUP($C38,Table_4!$117:$117,Table_4!$119:$119,"",1),_xlfn.XLOOKUP($C38,Table_4!$117:$117,Table_4!$119:$119,"",-1))</f>
        <v>150</v>
      </c>
    </row>
    <row r="39" spans="1:6" x14ac:dyDescent="0.25">
      <c r="B39" s="1">
        <v>39600</v>
      </c>
      <c r="C39" s="23">
        <f t="shared" si="2"/>
        <v>2008</v>
      </c>
      <c r="D39" s="23">
        <f t="shared" si="3"/>
        <v>6</v>
      </c>
      <c r="E39">
        <f>IFERROR(AVERAGEIFS('sa-rent-combined'!$G:$G,'sa-rent-combined'!$A:$A,"Metro",'sa-rent-combined'!$B:$B,$C39,'sa-rent-combined'!$C:$C,$D39),
AVERAGEIFS('sa-rent-combined'!$G:$G,'sa-rent-combined'!$A:$A,"Metro Total",'sa-rent-combined'!$B:$B,$C39,'sa-rent-combined'!$C:$C,$D39))</f>
        <v>230</v>
      </c>
      <c r="F39">
        <f>IFERROR(AVERAGEIFS('sa-rent-combined'!$G:$G,'sa-rent-combined'!$A:$A,"Rest of State",'sa-rent-combined'!$B:$B,$C39,'sa-rent-combined'!$C:$C,$D39),
AVERAGEIFS('sa-rent-combined'!$G:$G,'sa-rent-combined'!$A:$A,"Rest of State Total",'sa-rent-combined'!$B:$B,$C39,'sa-rent-combined'!$C:$C,$D39))</f>
        <v>150</v>
      </c>
    </row>
    <row r="40" spans="1:6" x14ac:dyDescent="0.25">
      <c r="B40" s="1">
        <v>39692</v>
      </c>
      <c r="C40" s="23">
        <f t="shared" si="2"/>
        <v>2008</v>
      </c>
      <c r="D40" s="23">
        <f t="shared" si="3"/>
        <v>9</v>
      </c>
      <c r="E40">
        <f>IFERROR(AVERAGEIFS('sa-rent-combined'!$G:$G,'sa-rent-combined'!$A:$A,"Metro",'sa-rent-combined'!$B:$B,$C40,'sa-rent-combined'!$C:$C,$D40),
AVERAGEIFS('sa-rent-combined'!$G:$G,'sa-rent-combined'!$A:$A,"Metro Total",'sa-rent-combined'!$B:$B,$C40,'sa-rent-combined'!$C:$C,$D40))</f>
        <v>230</v>
      </c>
      <c r="F40">
        <f>IFERROR(AVERAGEIFS('sa-rent-combined'!$G:$G,'sa-rent-combined'!$A:$A,"Rest of State",'sa-rent-combined'!$B:$B,$C40,'sa-rent-combined'!$C:$C,$D40),
AVERAGEIFS('sa-rent-combined'!$G:$G,'sa-rent-combined'!$A:$A,"Rest of State Total",'sa-rent-combined'!$B:$B,$C40,'sa-rent-combined'!$C:$C,$D40))</f>
        <v>150</v>
      </c>
    </row>
    <row r="41" spans="1:6" x14ac:dyDescent="0.25">
      <c r="B41" s="1">
        <v>39783</v>
      </c>
      <c r="C41" s="23">
        <f t="shared" si="2"/>
        <v>2008</v>
      </c>
      <c r="D41" s="23">
        <f t="shared" si="3"/>
        <v>12</v>
      </c>
      <c r="E41">
        <f>IFERROR(AVERAGEIFS('sa-rent-combined'!$G:$G,'sa-rent-combined'!$A:$A,"Metro",'sa-rent-combined'!$B:$B,$C41,'sa-rent-combined'!$C:$C,$D41),
AVERAGEIFS('sa-rent-combined'!$G:$G,'sa-rent-combined'!$A:$A,"Metro Total",'sa-rent-combined'!$B:$B,$C41,'sa-rent-combined'!$C:$C,$D41))</f>
        <v>240</v>
      </c>
      <c r="F41">
        <f>IFERROR(AVERAGEIFS('sa-rent-combined'!$G:$G,'sa-rent-combined'!$A:$A,"Rest of State",'sa-rent-combined'!$B:$B,$C41,'sa-rent-combined'!$C:$C,$D41),
AVERAGEIFS('sa-rent-combined'!$G:$G,'sa-rent-combined'!$A:$A,"Rest of State Total",'sa-rent-combined'!$B:$B,$C41,'sa-rent-combined'!$C:$C,$D41))</f>
        <v>155</v>
      </c>
    </row>
    <row r="42" spans="1:6" x14ac:dyDescent="0.25">
      <c r="B42" s="1">
        <v>39873</v>
      </c>
      <c r="C42" s="23">
        <f t="shared" si="2"/>
        <v>2009</v>
      </c>
      <c r="D42" s="23">
        <f t="shared" si="3"/>
        <v>3</v>
      </c>
      <c r="E42">
        <f>IFERROR(AVERAGEIFS('sa-rent-combined'!$G:$G,'sa-rent-combined'!$A:$A,"Metro",'sa-rent-combined'!$B:$B,$C42,'sa-rent-combined'!$C:$C,$D42),
AVERAGEIFS('sa-rent-combined'!$G:$G,'sa-rent-combined'!$A:$A,"Metro Total",'sa-rent-combined'!$B:$B,$C42,'sa-rent-combined'!$C:$C,$D42))</f>
        <v>240</v>
      </c>
      <c r="F42">
        <f>IFERROR(AVERAGEIFS('sa-rent-combined'!$G:$G,'sa-rent-combined'!$A:$A,"Rest of State",'sa-rent-combined'!$B:$B,$C42,'sa-rent-combined'!$C:$C,$D42),
AVERAGEIFS('sa-rent-combined'!$G:$G,'sa-rent-combined'!$A:$A,"Rest of State Total",'sa-rent-combined'!$B:$B,$C42,'sa-rent-combined'!$C:$C,$D42))</f>
        <v>155</v>
      </c>
    </row>
    <row r="43" spans="1:6" x14ac:dyDescent="0.25">
      <c r="B43" s="1">
        <v>39965</v>
      </c>
      <c r="C43" s="23">
        <f t="shared" si="2"/>
        <v>2009</v>
      </c>
      <c r="D43" s="23">
        <f t="shared" si="3"/>
        <v>6</v>
      </c>
      <c r="E43">
        <f>IFERROR(AVERAGEIFS('sa-rent-combined'!$G:$G,'sa-rent-combined'!$A:$A,"Metro",'sa-rent-combined'!$B:$B,$C43,'sa-rent-combined'!$C:$C,$D43),
AVERAGEIFS('sa-rent-combined'!$G:$G,'sa-rent-combined'!$A:$A,"Metro Total",'sa-rent-combined'!$B:$B,$C43,'sa-rent-combined'!$C:$C,$D43))</f>
        <v>250</v>
      </c>
      <c r="F43">
        <f>IFERROR(AVERAGEIFS('sa-rent-combined'!$G:$G,'sa-rent-combined'!$A:$A,"Rest of State",'sa-rent-combined'!$B:$B,$C43,'sa-rent-combined'!$C:$C,$D43),
AVERAGEIFS('sa-rent-combined'!$G:$G,'sa-rent-combined'!$A:$A,"Rest of State Total",'sa-rent-combined'!$B:$B,$C43,'sa-rent-combined'!$C:$C,$D43))</f>
        <v>160</v>
      </c>
    </row>
    <row r="44" spans="1:6" x14ac:dyDescent="0.25">
      <c r="B44" s="1">
        <v>40057</v>
      </c>
      <c r="C44" s="23">
        <f t="shared" si="2"/>
        <v>2009</v>
      </c>
      <c r="D44" s="23">
        <f t="shared" si="3"/>
        <v>9</v>
      </c>
      <c r="E44">
        <f>IFERROR(AVERAGEIFS('sa-rent-combined'!$G:$G,'sa-rent-combined'!$A:$A,"Metro",'sa-rent-combined'!$B:$B,$C44,'sa-rent-combined'!$C:$C,$D44),
AVERAGEIFS('sa-rent-combined'!$G:$G,'sa-rent-combined'!$A:$A,"Metro Total",'sa-rent-combined'!$B:$B,$C44,'sa-rent-combined'!$C:$C,$D44))</f>
        <v>250</v>
      </c>
      <c r="F44">
        <f>IFERROR(AVERAGEIFS('sa-rent-combined'!$G:$G,'sa-rent-combined'!$A:$A,"Rest of State",'sa-rent-combined'!$B:$B,$C44,'sa-rent-combined'!$C:$C,$D44),
AVERAGEIFS('sa-rent-combined'!$G:$G,'sa-rent-combined'!$A:$A,"Rest of State Total",'sa-rent-combined'!$B:$B,$C44,'sa-rent-combined'!$C:$C,$D44))</f>
        <v>160</v>
      </c>
    </row>
    <row r="45" spans="1:6" x14ac:dyDescent="0.25">
      <c r="B45" s="1">
        <v>40148</v>
      </c>
      <c r="C45" s="23">
        <f t="shared" si="2"/>
        <v>2009</v>
      </c>
      <c r="D45" s="23">
        <f t="shared" si="3"/>
        <v>12</v>
      </c>
      <c r="E45">
        <f>IFERROR(AVERAGEIFS('sa-rent-combined'!$G:$G,'sa-rent-combined'!$A:$A,"Metro",'sa-rent-combined'!$B:$B,$C45,'sa-rent-combined'!$C:$C,$D45),
AVERAGEIFS('sa-rent-combined'!$G:$G,'sa-rent-combined'!$A:$A,"Metro Total",'sa-rent-combined'!$B:$B,$C45,'sa-rent-combined'!$C:$C,$D45))</f>
        <v>250</v>
      </c>
      <c r="F45">
        <f>IFERROR(AVERAGEIFS('sa-rent-combined'!$G:$G,'sa-rent-combined'!$A:$A,"Rest of State",'sa-rent-combined'!$B:$B,$C45,'sa-rent-combined'!$C:$C,$D45),
AVERAGEIFS('sa-rent-combined'!$G:$G,'sa-rent-combined'!$A:$A,"Rest of State Total",'sa-rent-combined'!$B:$B,$C45,'sa-rent-combined'!$C:$C,$D45))</f>
        <v>160</v>
      </c>
    </row>
    <row r="46" spans="1:6" x14ac:dyDescent="0.25">
      <c r="A46" s="3"/>
      <c r="B46" s="1">
        <v>40238</v>
      </c>
      <c r="C46" s="23">
        <f t="shared" si="2"/>
        <v>2010</v>
      </c>
      <c r="D46" s="23">
        <f t="shared" si="3"/>
        <v>3</v>
      </c>
      <c r="E46">
        <f>IFERROR(AVERAGEIFS('sa-rent-combined'!$G:$G,'sa-rent-combined'!$A:$A,"Metro",'sa-rent-combined'!$B:$B,$C46,'sa-rent-combined'!$C:$C,$D46),
AVERAGEIFS('sa-rent-combined'!$G:$G,'sa-rent-combined'!$A:$A,"Metro Total",'sa-rent-combined'!$B:$B,$C46,'sa-rent-combined'!$C:$C,$D46))</f>
        <v>260</v>
      </c>
      <c r="F46">
        <f>IFERROR(AVERAGEIFS('sa-rent-combined'!$G:$G,'sa-rent-combined'!$A:$A,"Rest of State",'sa-rent-combined'!$B:$B,$C46,'sa-rent-combined'!$C:$C,$D46),
AVERAGEIFS('sa-rent-combined'!$G:$G,'sa-rent-combined'!$A:$A,"Rest of State Total",'sa-rent-combined'!$B:$B,$C46,'sa-rent-combined'!$C:$C,$D46))</f>
        <v>170</v>
      </c>
    </row>
    <row r="47" spans="1:6" x14ac:dyDescent="0.25">
      <c r="A47" s="3"/>
      <c r="B47" s="1">
        <v>40330</v>
      </c>
      <c r="C47" s="23">
        <f t="shared" si="2"/>
        <v>2010</v>
      </c>
      <c r="D47" s="23">
        <f t="shared" si="3"/>
        <v>6</v>
      </c>
      <c r="E47">
        <f>IFERROR(AVERAGEIFS('sa-rent-combined'!$G:$G,'sa-rent-combined'!$A:$A,"Metro",'sa-rent-combined'!$B:$B,$C47,'sa-rent-combined'!$C:$C,$D47),
AVERAGEIFS('sa-rent-combined'!$G:$G,'sa-rent-combined'!$A:$A,"Metro Total",'sa-rent-combined'!$B:$B,$C47,'sa-rent-combined'!$C:$C,$D47))</f>
        <v>260</v>
      </c>
      <c r="F47">
        <f>IFERROR(AVERAGEIFS('sa-rent-combined'!$G:$G,'sa-rent-combined'!$A:$A,"Rest of State",'sa-rent-combined'!$B:$B,$C47,'sa-rent-combined'!$C:$C,$D47),
AVERAGEIFS('sa-rent-combined'!$G:$G,'sa-rent-combined'!$A:$A,"Rest of State Total",'sa-rent-combined'!$B:$B,$C47,'sa-rent-combined'!$C:$C,$D47))</f>
        <v>170</v>
      </c>
    </row>
    <row r="48" spans="1:6" x14ac:dyDescent="0.25">
      <c r="A48" s="3"/>
      <c r="B48" s="1">
        <v>40422</v>
      </c>
      <c r="C48" s="23">
        <f t="shared" si="2"/>
        <v>2010</v>
      </c>
      <c r="D48" s="23">
        <f t="shared" si="3"/>
        <v>9</v>
      </c>
      <c r="E48">
        <f>IFERROR(AVERAGEIFS('sa-rent-combined'!$G:$G,'sa-rent-combined'!$A:$A,"Metro",'sa-rent-combined'!$B:$B,$C48,'sa-rent-combined'!$C:$C,$D48),
AVERAGEIFS('sa-rent-combined'!$G:$G,'sa-rent-combined'!$A:$A,"Metro Total",'sa-rent-combined'!$B:$B,$C48,'sa-rent-combined'!$C:$C,$D48))</f>
        <v>260</v>
      </c>
      <c r="F48">
        <f>IFERROR(AVERAGEIFS('sa-rent-combined'!$G:$G,'sa-rent-combined'!$A:$A,"Rest of State",'sa-rent-combined'!$B:$B,$C48,'sa-rent-combined'!$C:$C,$D48),
AVERAGEIFS('sa-rent-combined'!$G:$G,'sa-rent-combined'!$A:$A,"Rest of State Total",'sa-rent-combined'!$B:$B,$C48,'sa-rent-combined'!$C:$C,$D48))</f>
        <v>170</v>
      </c>
    </row>
    <row r="49" spans="1:6" x14ac:dyDescent="0.25">
      <c r="A49" s="3"/>
      <c r="B49" s="1">
        <v>40513</v>
      </c>
      <c r="C49" s="23">
        <f t="shared" si="2"/>
        <v>2010</v>
      </c>
      <c r="D49" s="23">
        <f t="shared" si="3"/>
        <v>12</v>
      </c>
      <c r="E49">
        <f>IFERROR(AVERAGEIFS('sa-rent-combined'!$G:$G,'sa-rent-combined'!$A:$A,"Metro",'sa-rent-combined'!$B:$B,$C49,'sa-rent-combined'!$C:$C,$D49),
AVERAGEIFS('sa-rent-combined'!$G:$G,'sa-rent-combined'!$A:$A,"Metro Total",'sa-rent-combined'!$B:$B,$C49,'sa-rent-combined'!$C:$C,$D49))</f>
        <v>260</v>
      </c>
      <c r="F49">
        <f>IFERROR(AVERAGEIFS('sa-rent-combined'!$G:$G,'sa-rent-combined'!$A:$A,"Rest of State",'sa-rent-combined'!$B:$B,$C49,'sa-rent-combined'!$C:$C,$D49),
AVERAGEIFS('sa-rent-combined'!$G:$G,'sa-rent-combined'!$A:$A,"Rest of State Total",'sa-rent-combined'!$B:$B,$C49,'sa-rent-combined'!$C:$C,$D49))</f>
        <v>170</v>
      </c>
    </row>
    <row r="50" spans="1:6" x14ac:dyDescent="0.25">
      <c r="A50" s="3"/>
      <c r="B50" s="1">
        <v>40603</v>
      </c>
      <c r="C50" s="23">
        <f t="shared" si="2"/>
        <v>2011</v>
      </c>
      <c r="D50" s="23">
        <f t="shared" si="3"/>
        <v>3</v>
      </c>
      <c r="E50">
        <f>IFERROR(AVERAGEIFS('sa-rent-combined'!$G:$G,'sa-rent-combined'!$A:$A,"Metro",'sa-rent-combined'!$B:$B,$C50,'sa-rent-combined'!$C:$C,$D50),
AVERAGEIFS('sa-rent-combined'!$G:$G,'sa-rent-combined'!$A:$A,"Metro Total",'sa-rent-combined'!$B:$B,$C50,'sa-rent-combined'!$C:$C,$D50))</f>
        <v>275</v>
      </c>
      <c r="F50">
        <f>IFERROR(AVERAGEIFS('sa-rent-combined'!$G:$G,'sa-rent-combined'!$A:$A,"Rest of State",'sa-rent-combined'!$B:$B,$C50,'sa-rent-combined'!$C:$C,$D50),
AVERAGEIFS('sa-rent-combined'!$G:$G,'sa-rent-combined'!$A:$A,"Rest of State Total",'sa-rent-combined'!$B:$B,$C50,'sa-rent-combined'!$C:$C,$D50))</f>
        <v>180</v>
      </c>
    </row>
    <row r="51" spans="1:6" x14ac:dyDescent="0.25">
      <c r="A51" s="3"/>
      <c r="B51" s="1">
        <v>40695</v>
      </c>
      <c r="C51" s="23">
        <f t="shared" si="2"/>
        <v>2011</v>
      </c>
      <c r="D51" s="23">
        <f t="shared" si="3"/>
        <v>6</v>
      </c>
      <c r="E51">
        <f>IFERROR(AVERAGEIFS('sa-rent-combined'!$G:$G,'sa-rent-combined'!$A:$A,"Metro",'sa-rent-combined'!$B:$B,$C51,'sa-rent-combined'!$C:$C,$D51),
AVERAGEIFS('sa-rent-combined'!$G:$G,'sa-rent-combined'!$A:$A,"Metro Total",'sa-rent-combined'!$B:$B,$C51,'sa-rent-combined'!$C:$C,$D51))</f>
        <v>270</v>
      </c>
      <c r="F51">
        <f>IFERROR(AVERAGEIFS('sa-rent-combined'!$G:$G,'sa-rent-combined'!$A:$A,"Rest of State",'sa-rent-combined'!$B:$B,$C51,'sa-rent-combined'!$C:$C,$D51),
AVERAGEIFS('sa-rent-combined'!$G:$G,'sa-rent-combined'!$A:$A,"Rest of State Total",'sa-rent-combined'!$B:$B,$C51,'sa-rent-combined'!$C:$C,$D51))</f>
        <v>170</v>
      </c>
    </row>
    <row r="52" spans="1:6" x14ac:dyDescent="0.25">
      <c r="A52" s="3"/>
      <c r="B52" s="1">
        <v>40787</v>
      </c>
      <c r="C52" s="23">
        <f t="shared" si="2"/>
        <v>2011</v>
      </c>
      <c r="D52" s="23">
        <f t="shared" si="3"/>
        <v>9</v>
      </c>
      <c r="E52">
        <f>IFERROR(AVERAGEIFS('sa-rent-combined'!$G:$G,'sa-rent-combined'!$A:$A,"Metro",'sa-rent-combined'!$B:$B,$C52,'sa-rent-combined'!$C:$C,$D52),
AVERAGEIFS('sa-rent-combined'!$G:$G,'sa-rent-combined'!$A:$A,"Metro Total",'sa-rent-combined'!$B:$B,$C52,'sa-rent-combined'!$C:$C,$D52))</f>
        <v>270</v>
      </c>
      <c r="F52">
        <f>IFERROR(AVERAGEIFS('sa-rent-combined'!$G:$G,'sa-rent-combined'!$A:$A,"Rest of State",'sa-rent-combined'!$B:$B,$C52,'sa-rent-combined'!$C:$C,$D52),
AVERAGEIFS('sa-rent-combined'!$G:$G,'sa-rent-combined'!$A:$A,"Rest of State Total",'sa-rent-combined'!$B:$B,$C52,'sa-rent-combined'!$C:$C,$D52))</f>
        <v>180</v>
      </c>
    </row>
    <row r="53" spans="1:6" x14ac:dyDescent="0.25">
      <c r="A53" s="3"/>
      <c r="B53" s="1">
        <v>40878</v>
      </c>
      <c r="C53" s="23">
        <f t="shared" si="2"/>
        <v>2011</v>
      </c>
      <c r="D53" s="23">
        <f t="shared" si="3"/>
        <v>12</v>
      </c>
      <c r="E53">
        <f>IFERROR(AVERAGEIFS('sa-rent-combined'!$G:$G,'sa-rent-combined'!$A:$A,"Metro",'sa-rent-combined'!$B:$B,$C53,'sa-rent-combined'!$C:$C,$D53),
AVERAGEIFS('sa-rent-combined'!$G:$G,'sa-rent-combined'!$A:$A,"Metro Total",'sa-rent-combined'!$B:$B,$C53,'sa-rent-combined'!$C:$C,$D53))</f>
        <v>270</v>
      </c>
      <c r="F53">
        <f>IFERROR(AVERAGEIFS('sa-rent-combined'!$G:$G,'sa-rent-combined'!$A:$A,"Rest of State",'sa-rent-combined'!$B:$B,$C53,'sa-rent-combined'!$C:$C,$D53),
AVERAGEIFS('sa-rent-combined'!$G:$G,'sa-rent-combined'!$A:$A,"Rest of State Total",'sa-rent-combined'!$B:$B,$C53,'sa-rent-combined'!$C:$C,$D53))</f>
        <v>175</v>
      </c>
    </row>
    <row r="54" spans="1:6" x14ac:dyDescent="0.25">
      <c r="A54" s="3"/>
      <c r="B54" s="1">
        <v>40969</v>
      </c>
      <c r="C54" s="23">
        <f t="shared" si="2"/>
        <v>2012</v>
      </c>
      <c r="D54" s="23">
        <f t="shared" si="3"/>
        <v>3</v>
      </c>
      <c r="E54">
        <f>IFERROR(AVERAGEIFS('sa-rent-combined'!$G:$G,'sa-rent-combined'!$A:$A,"Metro",'sa-rent-combined'!$B:$B,$C54,'sa-rent-combined'!$C:$C,$D54),
AVERAGEIFS('sa-rent-combined'!$G:$G,'sa-rent-combined'!$A:$A,"Metro Total",'sa-rent-combined'!$B:$B,$C54,'sa-rent-combined'!$C:$C,$D54))</f>
        <v>275</v>
      </c>
      <c r="F54">
        <f>IFERROR(AVERAGEIFS('sa-rent-combined'!$G:$G,'sa-rent-combined'!$A:$A,"Rest of State",'sa-rent-combined'!$B:$B,$C54,'sa-rent-combined'!$C:$C,$D54),
AVERAGEIFS('sa-rent-combined'!$G:$G,'sa-rent-combined'!$A:$A,"Rest of State Total",'sa-rent-combined'!$B:$B,$C54,'sa-rent-combined'!$C:$C,$D54))</f>
        <v>185</v>
      </c>
    </row>
    <row r="55" spans="1:6" x14ac:dyDescent="0.25">
      <c r="A55" s="3"/>
      <c r="B55" s="1">
        <v>41061</v>
      </c>
      <c r="C55" s="23">
        <f t="shared" si="2"/>
        <v>2012</v>
      </c>
      <c r="D55" s="23">
        <f t="shared" si="3"/>
        <v>6</v>
      </c>
      <c r="E55">
        <f>IFERROR(AVERAGEIFS('sa-rent-combined'!$G:$G,'sa-rent-combined'!$A:$A,"Metro",'sa-rent-combined'!$B:$B,$C55,'sa-rent-combined'!$C:$C,$D55),
AVERAGEIFS('sa-rent-combined'!$G:$G,'sa-rent-combined'!$A:$A,"Metro Total",'sa-rent-combined'!$B:$B,$C55,'sa-rent-combined'!$C:$C,$D55))</f>
        <v>275</v>
      </c>
      <c r="F55">
        <f>IFERROR(AVERAGEIFS('sa-rent-combined'!$G:$G,'sa-rent-combined'!$A:$A,"Rest of State",'sa-rent-combined'!$B:$B,$C55,'sa-rent-combined'!$C:$C,$D55),
AVERAGEIFS('sa-rent-combined'!$G:$G,'sa-rent-combined'!$A:$A,"Rest of State Total",'sa-rent-combined'!$B:$B,$C55,'sa-rent-combined'!$C:$C,$D55))</f>
        <v>175</v>
      </c>
    </row>
    <row r="56" spans="1:6" x14ac:dyDescent="0.25">
      <c r="A56" s="3"/>
      <c r="B56" s="1">
        <v>41153</v>
      </c>
      <c r="C56" s="23">
        <f t="shared" si="2"/>
        <v>2012</v>
      </c>
      <c r="D56" s="23">
        <f t="shared" si="3"/>
        <v>9</v>
      </c>
      <c r="E56">
        <f>IFERROR(AVERAGEIFS('sa-rent-combined'!$G:$G,'sa-rent-combined'!$A:$A,"Metro",'sa-rent-combined'!$B:$B,$C56,'sa-rent-combined'!$C:$C,$D56),
AVERAGEIFS('sa-rent-combined'!$G:$G,'sa-rent-combined'!$A:$A,"Metro Total",'sa-rent-combined'!$B:$B,$C56,'sa-rent-combined'!$C:$C,$D56))</f>
        <v>275</v>
      </c>
      <c r="F56">
        <f>IFERROR(AVERAGEIFS('sa-rent-combined'!$G:$G,'sa-rent-combined'!$A:$A,"Rest of State",'sa-rent-combined'!$B:$B,$C56,'sa-rent-combined'!$C:$C,$D56),
AVERAGEIFS('sa-rent-combined'!$G:$G,'sa-rent-combined'!$A:$A,"Rest of State Total",'sa-rent-combined'!$B:$B,$C56,'sa-rent-combined'!$C:$C,$D56))</f>
        <v>185</v>
      </c>
    </row>
    <row r="57" spans="1:6" x14ac:dyDescent="0.25">
      <c r="A57" s="3"/>
      <c r="B57" s="1">
        <v>41244</v>
      </c>
      <c r="C57" s="23">
        <f t="shared" si="2"/>
        <v>2012</v>
      </c>
      <c r="D57" s="23">
        <f t="shared" si="3"/>
        <v>12</v>
      </c>
      <c r="E57">
        <f>IFERROR(AVERAGEIFS('sa-rent-combined'!$G:$G,'sa-rent-combined'!$A:$A,"Metro",'sa-rent-combined'!$B:$B,$C57,'sa-rent-combined'!$C:$C,$D57),
AVERAGEIFS('sa-rent-combined'!$G:$G,'sa-rent-combined'!$A:$A,"Metro Total",'sa-rent-combined'!$B:$B,$C57,'sa-rent-combined'!$C:$C,$D57))</f>
        <v>270</v>
      </c>
      <c r="F57">
        <f>IFERROR(AVERAGEIFS('sa-rent-combined'!$G:$G,'sa-rent-combined'!$A:$A,"Rest of State",'sa-rent-combined'!$B:$B,$C57,'sa-rent-combined'!$C:$C,$D57),
AVERAGEIFS('sa-rent-combined'!$G:$G,'sa-rent-combined'!$A:$A,"Rest of State Total",'sa-rent-combined'!$B:$B,$C57,'sa-rent-combined'!$C:$C,$D57))</f>
        <v>185</v>
      </c>
    </row>
    <row r="58" spans="1:6" x14ac:dyDescent="0.25">
      <c r="A58" s="3"/>
      <c r="B58" s="1">
        <v>41334</v>
      </c>
      <c r="C58" s="23">
        <f t="shared" si="2"/>
        <v>2013</v>
      </c>
      <c r="D58" s="23">
        <f t="shared" si="3"/>
        <v>3</v>
      </c>
      <c r="E58">
        <f>IFERROR(AVERAGEIFS('sa-rent-combined'!$G:$G,'sa-rent-combined'!$A:$A,"Metro",'sa-rent-combined'!$B:$B,$C58,'sa-rent-combined'!$C:$C,$D58),
AVERAGEIFS('sa-rent-combined'!$G:$G,'sa-rent-combined'!$A:$A,"Metro Total",'sa-rent-combined'!$B:$B,$C58,'sa-rent-combined'!$C:$C,$D58))</f>
        <v>280</v>
      </c>
      <c r="F58">
        <f>IFERROR(AVERAGEIFS('sa-rent-combined'!$G:$G,'sa-rent-combined'!$A:$A,"Rest of State",'sa-rent-combined'!$B:$B,$C58,'sa-rent-combined'!$C:$C,$D58),
AVERAGEIFS('sa-rent-combined'!$G:$G,'sa-rent-combined'!$A:$A,"Rest of State Total",'sa-rent-combined'!$B:$B,$C58,'sa-rent-combined'!$C:$C,$D58))</f>
        <v>180</v>
      </c>
    </row>
    <row r="59" spans="1:6" x14ac:dyDescent="0.25">
      <c r="A59" s="3"/>
      <c r="B59" s="1">
        <v>41426</v>
      </c>
      <c r="C59" s="23">
        <f t="shared" si="2"/>
        <v>2013</v>
      </c>
      <c r="D59" s="23">
        <f t="shared" si="3"/>
        <v>6</v>
      </c>
      <c r="E59">
        <f>IFERROR(AVERAGEIFS('sa-rent-combined'!$G:$G,'sa-rent-combined'!$A:$A,"Metro",'sa-rent-combined'!$B:$B,$C59,'sa-rent-combined'!$C:$C,$D59),
AVERAGEIFS('sa-rent-combined'!$G:$G,'sa-rent-combined'!$A:$A,"Metro Total",'sa-rent-combined'!$B:$B,$C59,'sa-rent-combined'!$C:$C,$D59))</f>
        <v>280</v>
      </c>
      <c r="F59">
        <f>IFERROR(AVERAGEIFS('sa-rent-combined'!$G:$G,'sa-rent-combined'!$A:$A,"Rest of State",'sa-rent-combined'!$B:$B,$C59,'sa-rent-combined'!$C:$C,$D59),
AVERAGEIFS('sa-rent-combined'!$G:$G,'sa-rent-combined'!$A:$A,"Rest of State Total",'sa-rent-combined'!$B:$B,$C59,'sa-rent-combined'!$C:$C,$D59))</f>
        <v>185</v>
      </c>
    </row>
    <row r="60" spans="1:6" x14ac:dyDescent="0.25">
      <c r="A60" s="3"/>
      <c r="B60" s="1">
        <v>41518</v>
      </c>
      <c r="C60" s="23">
        <f t="shared" si="2"/>
        <v>2013</v>
      </c>
      <c r="D60" s="23">
        <f t="shared" si="3"/>
        <v>9</v>
      </c>
      <c r="E60">
        <f>IFERROR(AVERAGEIFS('sa-rent-combined'!$G:$G,'sa-rent-combined'!$A:$A,"Metro",'sa-rent-combined'!$B:$B,$C60,'sa-rent-combined'!$C:$C,$D60),
AVERAGEIFS('sa-rent-combined'!$G:$G,'sa-rent-combined'!$A:$A,"Metro Total",'sa-rent-combined'!$B:$B,$C60,'sa-rent-combined'!$C:$C,$D60))</f>
        <v>275</v>
      </c>
      <c r="F60">
        <f>IFERROR(AVERAGEIFS('sa-rent-combined'!$G:$G,'sa-rent-combined'!$A:$A,"Rest of State",'sa-rent-combined'!$B:$B,$C60,'sa-rent-combined'!$C:$C,$D60),
AVERAGEIFS('sa-rent-combined'!$G:$G,'sa-rent-combined'!$A:$A,"Rest of State Total",'sa-rent-combined'!$B:$B,$C60,'sa-rent-combined'!$C:$C,$D60))</f>
        <v>190</v>
      </c>
    </row>
    <row r="61" spans="1:6" x14ac:dyDescent="0.25">
      <c r="A61" s="3"/>
      <c r="B61" s="1">
        <v>41609</v>
      </c>
      <c r="C61" s="23">
        <f t="shared" si="2"/>
        <v>2013</v>
      </c>
      <c r="D61" s="23">
        <f t="shared" si="3"/>
        <v>12</v>
      </c>
      <c r="E61">
        <f>IFERROR(AVERAGEIFS('sa-rent-combined'!$G:$G,'sa-rent-combined'!$A:$A,"Metro",'sa-rent-combined'!$B:$B,$C61,'sa-rent-combined'!$C:$C,$D61),
AVERAGEIFS('sa-rent-combined'!$G:$G,'sa-rent-combined'!$A:$A,"Metro Total",'sa-rent-combined'!$B:$B,$C61,'sa-rent-combined'!$C:$C,$D61))</f>
        <v>280</v>
      </c>
      <c r="F61">
        <f>IFERROR(AVERAGEIFS('sa-rent-combined'!$G:$G,'sa-rent-combined'!$A:$A,"Rest of State",'sa-rent-combined'!$B:$B,$C61,'sa-rent-combined'!$C:$C,$D61),
AVERAGEIFS('sa-rent-combined'!$G:$G,'sa-rent-combined'!$A:$A,"Rest of State Total",'sa-rent-combined'!$B:$B,$C61,'sa-rent-combined'!$C:$C,$D61))</f>
        <v>185</v>
      </c>
    </row>
    <row r="62" spans="1:6" x14ac:dyDescent="0.25">
      <c r="A62" s="3"/>
      <c r="B62" s="1">
        <v>41699</v>
      </c>
      <c r="C62" s="23">
        <f t="shared" si="2"/>
        <v>2014</v>
      </c>
      <c r="D62" s="23">
        <f t="shared" si="3"/>
        <v>3</v>
      </c>
      <c r="E62">
        <f>IFERROR(AVERAGEIFS('sa-rent-combined'!$G:$G,'sa-rent-combined'!$A:$A,"Metro",'sa-rent-combined'!$B:$B,$C62,'sa-rent-combined'!$C:$C,$D62),
AVERAGEIFS('sa-rent-combined'!$G:$G,'sa-rent-combined'!$A:$A,"Metro Total",'sa-rent-combined'!$B:$B,$C62,'sa-rent-combined'!$C:$C,$D62))</f>
        <v>280</v>
      </c>
      <c r="F62">
        <f>IFERROR(AVERAGEIFS('sa-rent-combined'!$G:$G,'sa-rent-combined'!$A:$A,"Rest of State",'sa-rent-combined'!$B:$B,$C62,'sa-rent-combined'!$C:$C,$D62),
AVERAGEIFS('sa-rent-combined'!$G:$G,'sa-rent-combined'!$A:$A,"Rest of State Total",'sa-rent-combined'!$B:$B,$C62,'sa-rent-combined'!$C:$C,$D62))</f>
        <v>182.5</v>
      </c>
    </row>
    <row r="63" spans="1:6" x14ac:dyDescent="0.25">
      <c r="A63" s="3"/>
      <c r="B63" s="1">
        <v>41791</v>
      </c>
      <c r="C63" s="23">
        <f t="shared" si="2"/>
        <v>2014</v>
      </c>
      <c r="D63" s="23">
        <f t="shared" si="3"/>
        <v>6</v>
      </c>
      <c r="E63">
        <f>IFERROR(AVERAGEIFS('sa-rent-combined'!$G:$G,'sa-rent-combined'!$A:$A,"Metro",'sa-rent-combined'!$B:$B,$C63,'sa-rent-combined'!$C:$C,$D63),
AVERAGEIFS('sa-rent-combined'!$G:$G,'sa-rent-combined'!$A:$A,"Metro Total",'sa-rent-combined'!$B:$B,$C63,'sa-rent-combined'!$C:$C,$D63))</f>
        <v>285</v>
      </c>
      <c r="F63">
        <f>IFERROR(AVERAGEIFS('sa-rent-combined'!$G:$G,'sa-rent-combined'!$A:$A,"Rest of State",'sa-rent-combined'!$B:$B,$C63,'sa-rent-combined'!$C:$C,$D63),
AVERAGEIFS('sa-rent-combined'!$G:$G,'sa-rent-combined'!$A:$A,"Rest of State Total",'sa-rent-combined'!$B:$B,$C63,'sa-rent-combined'!$C:$C,$D63))</f>
        <v>190</v>
      </c>
    </row>
    <row r="64" spans="1:6" x14ac:dyDescent="0.25">
      <c r="A64" s="3"/>
      <c r="B64" s="1">
        <v>41883</v>
      </c>
      <c r="C64" s="23">
        <f t="shared" si="2"/>
        <v>2014</v>
      </c>
      <c r="D64" s="23">
        <f t="shared" si="3"/>
        <v>9</v>
      </c>
      <c r="E64">
        <f>IFERROR(AVERAGEIFS('sa-rent-combined'!$G:$G,'sa-rent-combined'!$A:$A,"Metro",'sa-rent-combined'!$B:$B,$C64,'sa-rent-combined'!$C:$C,$D64),
AVERAGEIFS('sa-rent-combined'!$G:$G,'sa-rent-combined'!$A:$A,"Metro Total",'sa-rent-combined'!$B:$B,$C64,'sa-rent-combined'!$C:$C,$D64))</f>
        <v>285</v>
      </c>
      <c r="F64">
        <f>IFERROR(AVERAGEIFS('sa-rent-combined'!$G:$G,'sa-rent-combined'!$A:$A,"Rest of State",'sa-rent-combined'!$B:$B,$C64,'sa-rent-combined'!$C:$C,$D64),
AVERAGEIFS('sa-rent-combined'!$G:$G,'sa-rent-combined'!$A:$A,"Rest of State Total",'sa-rent-combined'!$B:$B,$C64,'sa-rent-combined'!$C:$C,$D64))</f>
        <v>190</v>
      </c>
    </row>
    <row r="65" spans="1:6" x14ac:dyDescent="0.25">
      <c r="A65" s="3"/>
      <c r="B65" s="1">
        <v>41974</v>
      </c>
      <c r="C65" s="23">
        <f t="shared" si="2"/>
        <v>2014</v>
      </c>
      <c r="D65" s="23">
        <f t="shared" si="3"/>
        <v>12</v>
      </c>
      <c r="E65">
        <f>IFERROR(AVERAGEIFS('sa-rent-combined'!$G:$G,'sa-rent-combined'!$A:$A,"Metro",'sa-rent-combined'!$B:$B,$C65,'sa-rent-combined'!$C:$C,$D65),
AVERAGEIFS('sa-rent-combined'!$G:$G,'sa-rent-combined'!$A:$A,"Metro Total",'sa-rent-combined'!$B:$B,$C65,'sa-rent-combined'!$C:$C,$D65))</f>
        <v>280</v>
      </c>
      <c r="F65">
        <f>IFERROR(AVERAGEIFS('sa-rent-combined'!$G:$G,'sa-rent-combined'!$A:$A,"Rest of State",'sa-rent-combined'!$B:$B,$C65,'sa-rent-combined'!$C:$C,$D65),
AVERAGEIFS('sa-rent-combined'!$G:$G,'sa-rent-combined'!$A:$A,"Rest of State Total",'sa-rent-combined'!$B:$B,$C65,'sa-rent-combined'!$C:$C,$D65))</f>
        <v>190</v>
      </c>
    </row>
    <row r="66" spans="1:6" x14ac:dyDescent="0.25">
      <c r="A66" s="3"/>
      <c r="B66" s="1">
        <v>42064</v>
      </c>
      <c r="C66" s="23">
        <f t="shared" ref="C66:C97" si="4">YEAR(B66)</f>
        <v>2015</v>
      </c>
      <c r="D66" s="23">
        <f t="shared" ref="D66:D97" si="5">MONTH(B66)</f>
        <v>3</v>
      </c>
      <c r="E66">
        <f>IFERROR(AVERAGEIFS('sa-rent-combined'!$G:$G,'sa-rent-combined'!$A:$A,"Metro",'sa-rent-combined'!$B:$B,$C66,'sa-rent-combined'!$C:$C,$D66),
AVERAGEIFS('sa-rent-combined'!$G:$G,'sa-rent-combined'!$A:$A,"Metro Total",'sa-rent-combined'!$B:$B,$C66,'sa-rent-combined'!$C:$C,$D66))</f>
        <v>285</v>
      </c>
      <c r="F66">
        <f>IFERROR(AVERAGEIFS('sa-rent-combined'!$G:$G,'sa-rent-combined'!$A:$A,"Rest of State",'sa-rent-combined'!$B:$B,$C66,'sa-rent-combined'!$C:$C,$D66),
AVERAGEIFS('sa-rent-combined'!$G:$G,'sa-rent-combined'!$A:$A,"Rest of State Total",'sa-rent-combined'!$B:$B,$C66,'sa-rent-combined'!$C:$C,$D66))</f>
        <v>190</v>
      </c>
    </row>
    <row r="67" spans="1:6" x14ac:dyDescent="0.25">
      <c r="A67" s="3"/>
      <c r="B67" s="1">
        <v>42156</v>
      </c>
      <c r="C67" s="23">
        <f t="shared" si="4"/>
        <v>2015</v>
      </c>
      <c r="D67" s="23">
        <f t="shared" si="5"/>
        <v>6</v>
      </c>
      <c r="E67">
        <f>IFERROR(AVERAGEIFS('sa-rent-combined'!$G:$G,'sa-rent-combined'!$A:$A,"Metro",'sa-rent-combined'!$B:$B,$C67,'sa-rent-combined'!$C:$C,$D67),
AVERAGEIFS('sa-rent-combined'!$G:$G,'sa-rent-combined'!$A:$A,"Metro Total",'sa-rent-combined'!$B:$B,$C67,'sa-rent-combined'!$C:$C,$D67))</f>
        <v>285</v>
      </c>
      <c r="F67">
        <f>IFERROR(AVERAGEIFS('sa-rent-combined'!$G:$G,'sa-rent-combined'!$A:$A,"Rest of State",'sa-rent-combined'!$B:$B,$C67,'sa-rent-combined'!$C:$C,$D67),
AVERAGEIFS('sa-rent-combined'!$G:$G,'sa-rent-combined'!$A:$A,"Rest of State Total",'sa-rent-combined'!$B:$B,$C67,'sa-rent-combined'!$C:$C,$D67))</f>
        <v>185</v>
      </c>
    </row>
    <row r="68" spans="1:6" x14ac:dyDescent="0.25">
      <c r="A68" s="3"/>
      <c r="B68" s="1">
        <v>42248</v>
      </c>
      <c r="C68" s="23">
        <f t="shared" si="4"/>
        <v>2015</v>
      </c>
      <c r="D68" s="23">
        <f t="shared" si="5"/>
        <v>9</v>
      </c>
      <c r="E68">
        <f>IFERROR(AVERAGEIFS('sa-rent-combined'!$G:$G,'sa-rent-combined'!$A:$A,"Metro",'sa-rent-combined'!$B:$B,$C68,'sa-rent-combined'!$C:$C,$D68),
AVERAGEIFS('sa-rent-combined'!$G:$G,'sa-rent-combined'!$A:$A,"Metro Total",'sa-rent-combined'!$B:$B,$C68,'sa-rent-combined'!$C:$C,$D68))</f>
        <v>290</v>
      </c>
      <c r="F68">
        <f>IFERROR(AVERAGEIFS('sa-rent-combined'!$G:$G,'sa-rent-combined'!$A:$A,"Rest of State",'sa-rent-combined'!$B:$B,$C68,'sa-rent-combined'!$C:$C,$D68),
AVERAGEIFS('sa-rent-combined'!$G:$G,'sa-rent-combined'!$A:$A,"Rest of State Total",'sa-rent-combined'!$B:$B,$C68,'sa-rent-combined'!$C:$C,$D68))</f>
        <v>190</v>
      </c>
    </row>
    <row r="69" spans="1:6" x14ac:dyDescent="0.25">
      <c r="A69" s="3"/>
      <c r="B69" s="1">
        <v>42339</v>
      </c>
      <c r="C69" s="23">
        <f t="shared" si="4"/>
        <v>2015</v>
      </c>
      <c r="D69" s="23">
        <f t="shared" si="5"/>
        <v>12</v>
      </c>
      <c r="E69">
        <f>IFERROR(AVERAGEIFS('sa-rent-combined'!$G:$G,'sa-rent-combined'!$A:$A,"Metro",'sa-rent-combined'!$B:$B,$C69,'sa-rent-combined'!$C:$C,$D69),
AVERAGEIFS('sa-rent-combined'!$G:$G,'sa-rent-combined'!$A:$A,"Metro Total",'sa-rent-combined'!$B:$B,$C69,'sa-rent-combined'!$C:$C,$D69))</f>
        <v>285</v>
      </c>
      <c r="F69">
        <f>IFERROR(AVERAGEIFS('sa-rent-combined'!$G:$G,'sa-rent-combined'!$A:$A,"Rest of State",'sa-rent-combined'!$B:$B,$C69,'sa-rent-combined'!$C:$C,$D69),
AVERAGEIFS('sa-rent-combined'!$G:$G,'sa-rent-combined'!$A:$A,"Rest of State Total",'sa-rent-combined'!$B:$B,$C69,'sa-rent-combined'!$C:$C,$D69))</f>
        <v>195</v>
      </c>
    </row>
    <row r="70" spans="1:6" x14ac:dyDescent="0.25">
      <c r="A70" s="3"/>
      <c r="B70" s="1">
        <v>42430</v>
      </c>
      <c r="C70" s="23">
        <f t="shared" si="4"/>
        <v>2016</v>
      </c>
      <c r="D70" s="23">
        <f t="shared" si="5"/>
        <v>3</v>
      </c>
      <c r="E70">
        <f>IFERROR(AVERAGEIFS('sa-rent-combined'!$G:$G,'sa-rent-combined'!$A:$A,"Metro",'sa-rent-combined'!$B:$B,$C70,'sa-rent-combined'!$C:$C,$D70),
AVERAGEIFS('sa-rent-combined'!$G:$G,'sa-rent-combined'!$A:$A,"Metro Total",'sa-rent-combined'!$B:$B,$C70,'sa-rent-combined'!$C:$C,$D70))</f>
        <v>290</v>
      </c>
      <c r="F70">
        <f>IFERROR(AVERAGEIFS('sa-rent-combined'!$G:$G,'sa-rent-combined'!$A:$A,"Rest of State",'sa-rent-combined'!$B:$B,$C70,'sa-rent-combined'!$C:$C,$D70),
AVERAGEIFS('sa-rent-combined'!$G:$G,'sa-rent-combined'!$A:$A,"Rest of State Total",'sa-rent-combined'!$B:$B,$C70,'sa-rent-combined'!$C:$C,$D70))</f>
        <v>190</v>
      </c>
    </row>
    <row r="71" spans="1:6" x14ac:dyDescent="0.25">
      <c r="A71" s="3"/>
      <c r="B71" s="1">
        <v>42522</v>
      </c>
      <c r="C71" s="23">
        <f t="shared" si="4"/>
        <v>2016</v>
      </c>
      <c r="D71" s="23">
        <f t="shared" si="5"/>
        <v>6</v>
      </c>
      <c r="E71">
        <f>IFERROR(AVERAGEIFS('sa-rent-combined'!$G:$G,'sa-rent-combined'!$A:$A,"Metro",'sa-rent-combined'!$B:$B,$C71,'sa-rent-combined'!$C:$C,$D71),
AVERAGEIFS('sa-rent-combined'!$G:$G,'sa-rent-combined'!$A:$A,"Metro Total",'sa-rent-combined'!$B:$B,$C71,'sa-rent-combined'!$C:$C,$D71))</f>
        <v>280</v>
      </c>
      <c r="F71">
        <f>IFERROR(AVERAGEIFS('sa-rent-combined'!$G:$G,'sa-rent-combined'!$A:$A,"Rest of State",'sa-rent-combined'!$B:$B,$C71,'sa-rent-combined'!$C:$C,$D71),
AVERAGEIFS('sa-rent-combined'!$G:$G,'sa-rent-combined'!$A:$A,"Rest of State Total",'sa-rent-combined'!$B:$B,$C71,'sa-rent-combined'!$C:$C,$D71))</f>
        <v>195</v>
      </c>
    </row>
    <row r="72" spans="1:6" x14ac:dyDescent="0.25">
      <c r="A72" s="3"/>
      <c r="B72" s="1">
        <v>42614</v>
      </c>
      <c r="C72" s="23">
        <f t="shared" si="4"/>
        <v>2016</v>
      </c>
      <c r="D72" s="23">
        <f t="shared" si="5"/>
        <v>9</v>
      </c>
      <c r="E72">
        <f>IFERROR(AVERAGEIFS('sa-rent-combined'!$G:$G,'sa-rent-combined'!$A:$A,"Metro",'sa-rent-combined'!$B:$B,$C72,'sa-rent-combined'!$C:$C,$D72),
AVERAGEIFS('sa-rent-combined'!$G:$G,'sa-rent-combined'!$A:$A,"Metro Total",'sa-rent-combined'!$B:$B,$C72,'sa-rent-combined'!$C:$C,$D72))</f>
        <v>285</v>
      </c>
      <c r="F72">
        <f>IFERROR(AVERAGEIFS('sa-rent-combined'!$G:$G,'sa-rent-combined'!$A:$A,"Rest of State",'sa-rent-combined'!$B:$B,$C72,'sa-rent-combined'!$C:$C,$D72),
AVERAGEIFS('sa-rent-combined'!$G:$G,'sa-rent-combined'!$A:$A,"Rest of State Total",'sa-rent-combined'!$B:$B,$C72,'sa-rent-combined'!$C:$C,$D72))</f>
        <v>190</v>
      </c>
    </row>
    <row r="73" spans="1:6" x14ac:dyDescent="0.25">
      <c r="A73" s="3"/>
      <c r="B73" s="1">
        <v>42705</v>
      </c>
      <c r="C73" s="23">
        <f t="shared" si="4"/>
        <v>2016</v>
      </c>
      <c r="D73" s="23">
        <f t="shared" si="5"/>
        <v>12</v>
      </c>
      <c r="E73">
        <f>IFERROR(AVERAGEIFS('sa-rent-combined'!$G:$G,'sa-rent-combined'!$A:$A,"Metro",'sa-rent-combined'!$B:$B,$C73,'sa-rent-combined'!$C:$C,$D73),
AVERAGEIFS('sa-rent-combined'!$G:$G,'sa-rent-combined'!$A:$A,"Metro Total",'sa-rent-combined'!$B:$B,$C73,'sa-rent-combined'!$C:$C,$D73))</f>
        <v>290</v>
      </c>
      <c r="F73">
        <f>IFERROR(AVERAGEIFS('sa-rent-combined'!$G:$G,'sa-rent-combined'!$A:$A,"Rest of State",'sa-rent-combined'!$B:$B,$C73,'sa-rent-combined'!$C:$C,$D73),
AVERAGEIFS('sa-rent-combined'!$G:$G,'sa-rent-combined'!$A:$A,"Rest of State Total",'sa-rent-combined'!$B:$B,$C73,'sa-rent-combined'!$C:$C,$D73))</f>
        <v>190</v>
      </c>
    </row>
    <row r="74" spans="1:6" x14ac:dyDescent="0.25">
      <c r="A74" s="3"/>
      <c r="B74" s="1">
        <v>42795</v>
      </c>
      <c r="C74" s="23">
        <f t="shared" si="4"/>
        <v>2017</v>
      </c>
      <c r="D74" s="23">
        <f t="shared" si="5"/>
        <v>3</v>
      </c>
      <c r="E74">
        <f>IFERROR(AVERAGEIFS('sa-rent-combined'!$G:$G,'sa-rent-combined'!$A:$A,"Metro",'sa-rent-combined'!$B:$B,$C74,'sa-rent-combined'!$C:$C,$D74),
AVERAGEIFS('sa-rent-combined'!$G:$G,'sa-rent-combined'!$A:$A,"Metro Total",'sa-rent-combined'!$B:$B,$C74,'sa-rent-combined'!$C:$C,$D74))</f>
        <v>295</v>
      </c>
      <c r="F74">
        <f>IFERROR(AVERAGEIFS('sa-rent-combined'!$G:$G,'sa-rent-combined'!$A:$A,"Rest of State",'sa-rent-combined'!$B:$B,$C74,'sa-rent-combined'!$C:$C,$D74),
AVERAGEIFS('sa-rent-combined'!$G:$G,'sa-rent-combined'!$A:$A,"Rest of State Total",'sa-rent-combined'!$B:$B,$C74,'sa-rent-combined'!$C:$C,$D74))</f>
        <v>190</v>
      </c>
    </row>
    <row r="75" spans="1:6" x14ac:dyDescent="0.25">
      <c r="A75" s="3"/>
      <c r="B75" s="1">
        <v>42887</v>
      </c>
      <c r="C75" s="23">
        <f t="shared" si="4"/>
        <v>2017</v>
      </c>
      <c r="D75" s="23">
        <f t="shared" si="5"/>
        <v>6</v>
      </c>
      <c r="E75">
        <f>IFERROR(AVERAGEIFS('sa-rent-combined'!$G:$G,'sa-rent-combined'!$A:$A,"Metro",'sa-rent-combined'!$B:$B,$C75,'sa-rent-combined'!$C:$C,$D75),
AVERAGEIFS('sa-rent-combined'!$G:$G,'sa-rent-combined'!$A:$A,"Metro Total",'sa-rent-combined'!$B:$B,$C75,'sa-rent-combined'!$C:$C,$D75))</f>
        <v>290</v>
      </c>
      <c r="F75">
        <f>IFERROR(AVERAGEIFS('sa-rent-combined'!$G:$G,'sa-rent-combined'!$A:$A,"Rest of State",'sa-rent-combined'!$B:$B,$C75,'sa-rent-combined'!$C:$C,$D75),
AVERAGEIFS('sa-rent-combined'!$G:$G,'sa-rent-combined'!$A:$A,"Rest of State Total",'sa-rent-combined'!$B:$B,$C75,'sa-rent-combined'!$C:$C,$D75))</f>
        <v>190</v>
      </c>
    </row>
    <row r="76" spans="1:6" x14ac:dyDescent="0.25">
      <c r="A76" s="3"/>
      <c r="B76" s="1">
        <v>42979</v>
      </c>
      <c r="C76" s="23">
        <f t="shared" si="4"/>
        <v>2017</v>
      </c>
      <c r="D76" s="23">
        <f t="shared" si="5"/>
        <v>9</v>
      </c>
      <c r="E76">
        <f>IFERROR(AVERAGEIFS('sa-rent-combined'!$G:$G,'sa-rent-combined'!$A:$A,"Metro",'sa-rent-combined'!$B:$B,$C76,'sa-rent-combined'!$C:$C,$D76),
AVERAGEIFS('sa-rent-combined'!$G:$G,'sa-rent-combined'!$A:$A,"Metro Total",'sa-rent-combined'!$B:$B,$C76,'sa-rent-combined'!$C:$C,$D76))</f>
        <v>295</v>
      </c>
      <c r="F76">
        <f>IFERROR(AVERAGEIFS('sa-rent-combined'!$G:$G,'sa-rent-combined'!$A:$A,"Rest of State",'sa-rent-combined'!$B:$B,$C76,'sa-rent-combined'!$C:$C,$D76),
AVERAGEIFS('sa-rent-combined'!$G:$G,'sa-rent-combined'!$A:$A,"Rest of State Total",'sa-rent-combined'!$B:$B,$C76,'sa-rent-combined'!$C:$C,$D76))</f>
        <v>200</v>
      </c>
    </row>
    <row r="77" spans="1:6" x14ac:dyDescent="0.25">
      <c r="A77" s="3"/>
      <c r="B77" s="1">
        <v>43070</v>
      </c>
      <c r="C77" s="23">
        <f t="shared" si="4"/>
        <v>2017</v>
      </c>
      <c r="D77" s="23">
        <f t="shared" si="5"/>
        <v>12</v>
      </c>
      <c r="E77">
        <f>IFERROR(AVERAGEIFS('sa-rent-combined'!$G:$G,'sa-rent-combined'!$A:$A,"Metro",'sa-rent-combined'!$B:$B,$C77,'sa-rent-combined'!$C:$C,$D77),
AVERAGEIFS('sa-rent-combined'!$G:$G,'sa-rent-combined'!$A:$A,"Metro Total",'sa-rent-combined'!$B:$B,$C77,'sa-rent-combined'!$C:$C,$D77))</f>
        <v>290</v>
      </c>
      <c r="F77">
        <f>IFERROR(AVERAGEIFS('sa-rent-combined'!$G:$G,'sa-rent-combined'!$A:$A,"Rest of State",'sa-rent-combined'!$B:$B,$C77,'sa-rent-combined'!$C:$C,$D77),
AVERAGEIFS('sa-rent-combined'!$G:$G,'sa-rent-combined'!$A:$A,"Rest of State Total",'sa-rent-combined'!$B:$B,$C77,'sa-rent-combined'!$C:$C,$D77))</f>
        <v>193</v>
      </c>
    </row>
    <row r="78" spans="1:6" x14ac:dyDescent="0.25">
      <c r="A78" s="3"/>
      <c r="B78" s="1">
        <v>43160</v>
      </c>
      <c r="C78" s="23">
        <f t="shared" si="4"/>
        <v>2018</v>
      </c>
      <c r="D78" s="23">
        <f t="shared" si="5"/>
        <v>3</v>
      </c>
      <c r="E78">
        <f>IFERROR(AVERAGEIFS('sa-rent-combined'!$G:$G,'sa-rent-combined'!$A:$A,"Metro",'sa-rent-combined'!$B:$B,$C78,'sa-rent-combined'!$C:$C,$D78),
AVERAGEIFS('sa-rent-combined'!$G:$G,'sa-rent-combined'!$A:$A,"Metro Total",'sa-rent-combined'!$B:$B,$C78,'sa-rent-combined'!$C:$C,$D78))</f>
        <v>300</v>
      </c>
      <c r="F78">
        <f>IFERROR(AVERAGEIFS('sa-rent-combined'!$G:$G,'sa-rent-combined'!$A:$A,"Rest of State",'sa-rent-combined'!$B:$B,$C78,'sa-rent-combined'!$C:$C,$D78),
AVERAGEIFS('sa-rent-combined'!$G:$G,'sa-rent-combined'!$A:$A,"Rest of State Total",'sa-rent-combined'!$B:$B,$C78,'sa-rent-combined'!$C:$C,$D78))</f>
        <v>200</v>
      </c>
    </row>
    <row r="79" spans="1:6" x14ac:dyDescent="0.25">
      <c r="A79" s="3"/>
      <c r="B79" s="1">
        <v>43252</v>
      </c>
      <c r="C79" s="23">
        <f t="shared" si="4"/>
        <v>2018</v>
      </c>
      <c r="D79" s="23">
        <f t="shared" si="5"/>
        <v>6</v>
      </c>
      <c r="E79">
        <f>IFERROR(AVERAGEIFS('sa-rent-combined'!$G:$G,'sa-rent-combined'!$A:$A,"Metro",'sa-rent-combined'!$B:$B,$C79,'sa-rent-combined'!$C:$C,$D79),
AVERAGEIFS('sa-rent-combined'!$G:$G,'sa-rent-combined'!$A:$A,"Metro Total",'sa-rent-combined'!$B:$B,$C79,'sa-rent-combined'!$C:$C,$D79))</f>
        <v>295</v>
      </c>
      <c r="F79">
        <f>IFERROR(AVERAGEIFS('sa-rent-combined'!$G:$G,'sa-rent-combined'!$A:$A,"Rest of State",'sa-rent-combined'!$B:$B,$C79,'sa-rent-combined'!$C:$C,$D79),
AVERAGEIFS('sa-rent-combined'!$G:$G,'sa-rent-combined'!$A:$A,"Rest of State Total",'sa-rent-combined'!$B:$B,$C79,'sa-rent-combined'!$C:$C,$D79))</f>
        <v>200</v>
      </c>
    </row>
    <row r="80" spans="1:6" x14ac:dyDescent="0.25">
      <c r="A80" s="3"/>
      <c r="B80" s="1">
        <v>43344</v>
      </c>
      <c r="C80" s="23">
        <f t="shared" si="4"/>
        <v>2018</v>
      </c>
      <c r="D80" s="23">
        <f t="shared" si="5"/>
        <v>9</v>
      </c>
      <c r="E80">
        <f>IFERROR(AVERAGEIFS('sa-rent-combined'!$G:$G,'sa-rent-combined'!$A:$A,"Metro",'sa-rent-combined'!$B:$B,$C80,'sa-rent-combined'!$C:$C,$D80),
AVERAGEIFS('sa-rent-combined'!$G:$G,'sa-rent-combined'!$A:$A,"Metro Total",'sa-rent-combined'!$B:$B,$C80,'sa-rent-combined'!$C:$C,$D80))</f>
        <v>300</v>
      </c>
      <c r="F80">
        <f>IFERROR(AVERAGEIFS('sa-rent-combined'!$G:$G,'sa-rent-combined'!$A:$A,"Rest of State",'sa-rent-combined'!$B:$B,$C80,'sa-rent-combined'!$C:$C,$D80),
AVERAGEIFS('sa-rent-combined'!$G:$G,'sa-rent-combined'!$A:$A,"Rest of State Total",'sa-rent-combined'!$B:$B,$C80,'sa-rent-combined'!$C:$C,$D80))</f>
        <v>200</v>
      </c>
    </row>
    <row r="81" spans="1:6" x14ac:dyDescent="0.25">
      <c r="A81" s="3"/>
      <c r="B81" s="1">
        <v>43435</v>
      </c>
      <c r="C81" s="23">
        <f t="shared" si="4"/>
        <v>2018</v>
      </c>
      <c r="D81" s="23">
        <f t="shared" si="5"/>
        <v>12</v>
      </c>
      <c r="E81">
        <f>IFERROR(AVERAGEIFS('sa-rent-combined'!$G:$G,'sa-rent-combined'!$A:$A,"Metro",'sa-rent-combined'!$B:$B,$C81,'sa-rent-combined'!$C:$C,$D81),
AVERAGEIFS('sa-rent-combined'!$G:$G,'sa-rent-combined'!$A:$A,"Metro Total",'sa-rent-combined'!$B:$B,$C81,'sa-rent-combined'!$C:$C,$D81))</f>
        <v>300</v>
      </c>
      <c r="F81">
        <f>IFERROR(AVERAGEIFS('sa-rent-combined'!$G:$G,'sa-rent-combined'!$A:$A,"Rest of State",'sa-rent-combined'!$B:$B,$C81,'sa-rent-combined'!$C:$C,$D81),
AVERAGEIFS('sa-rent-combined'!$G:$G,'sa-rent-combined'!$A:$A,"Rest of State Total",'sa-rent-combined'!$B:$B,$C81,'sa-rent-combined'!$C:$C,$D81))</f>
        <v>200</v>
      </c>
    </row>
    <row r="82" spans="1:6" x14ac:dyDescent="0.25">
      <c r="A82" s="3"/>
      <c r="B82" s="1">
        <v>43525</v>
      </c>
      <c r="C82" s="23">
        <f t="shared" si="4"/>
        <v>2019</v>
      </c>
      <c r="D82" s="23">
        <f t="shared" si="5"/>
        <v>3</v>
      </c>
      <c r="E82">
        <f>IFERROR(AVERAGEIFS('sa-rent-combined'!$G:$G,'sa-rent-combined'!$A:$A,"Metro",'sa-rent-combined'!$B:$B,$C82,'sa-rent-combined'!$C:$C,$D82),
AVERAGEIFS('sa-rent-combined'!$G:$G,'sa-rent-combined'!$A:$A,"Metro Total",'sa-rent-combined'!$B:$B,$C82,'sa-rent-combined'!$C:$C,$D82))</f>
        <v>305</v>
      </c>
      <c r="F82">
        <f>IFERROR(AVERAGEIFS('sa-rent-combined'!$G:$G,'sa-rent-combined'!$A:$A,"Rest of State",'sa-rent-combined'!$B:$B,$C82,'sa-rent-combined'!$C:$C,$D82),
AVERAGEIFS('sa-rent-combined'!$G:$G,'sa-rent-combined'!$A:$A,"Rest of State Total",'sa-rent-combined'!$B:$B,$C82,'sa-rent-combined'!$C:$C,$D82))</f>
        <v>210</v>
      </c>
    </row>
    <row r="83" spans="1:6" x14ac:dyDescent="0.25">
      <c r="A83" s="3"/>
      <c r="B83" s="1">
        <v>43617</v>
      </c>
      <c r="C83" s="23">
        <f t="shared" si="4"/>
        <v>2019</v>
      </c>
      <c r="D83" s="23">
        <f t="shared" si="5"/>
        <v>6</v>
      </c>
      <c r="E83">
        <f>IFERROR(AVERAGEIFS('sa-rent-combined'!$G:$G,'sa-rent-combined'!$A:$A,"Metro",'sa-rent-combined'!$B:$B,$C83,'sa-rent-combined'!$C:$C,$D83),
AVERAGEIFS('sa-rent-combined'!$G:$G,'sa-rent-combined'!$A:$A,"Metro Total",'sa-rent-combined'!$B:$B,$C83,'sa-rent-combined'!$C:$C,$D83))</f>
        <v>300</v>
      </c>
      <c r="F83">
        <f>IFERROR(AVERAGEIFS('sa-rent-combined'!$G:$G,'sa-rent-combined'!$A:$A,"Rest of State",'sa-rent-combined'!$B:$B,$C83,'sa-rent-combined'!$C:$C,$D83),
AVERAGEIFS('sa-rent-combined'!$G:$G,'sa-rent-combined'!$A:$A,"Rest of State Total",'sa-rent-combined'!$B:$B,$C83,'sa-rent-combined'!$C:$C,$D83))</f>
        <v>200</v>
      </c>
    </row>
    <row r="84" spans="1:6" x14ac:dyDescent="0.25">
      <c r="A84" s="3"/>
      <c r="B84" s="1">
        <v>43709</v>
      </c>
      <c r="C84" s="23">
        <f t="shared" si="4"/>
        <v>2019</v>
      </c>
      <c r="D84" s="23">
        <f t="shared" si="5"/>
        <v>9</v>
      </c>
      <c r="E84">
        <f>IFERROR(AVERAGEIFS('sa-rent-combined'!$G:$G,'sa-rent-combined'!$A:$A,"Metro",'sa-rent-combined'!$B:$B,$C84,'sa-rent-combined'!$C:$C,$D84),
AVERAGEIFS('sa-rent-combined'!$G:$G,'sa-rent-combined'!$A:$A,"Metro Total",'sa-rent-combined'!$B:$B,$C84,'sa-rent-combined'!$C:$C,$D84))</f>
        <v>305</v>
      </c>
      <c r="F84">
        <f>IFERROR(AVERAGEIFS('sa-rent-combined'!$G:$G,'sa-rent-combined'!$A:$A,"Rest of State",'sa-rent-combined'!$B:$B,$C84,'sa-rent-combined'!$C:$C,$D84),
AVERAGEIFS('sa-rent-combined'!$G:$G,'sa-rent-combined'!$A:$A,"Rest of State Total",'sa-rent-combined'!$B:$B,$C84,'sa-rent-combined'!$C:$C,$D84))</f>
        <v>205</v>
      </c>
    </row>
    <row r="85" spans="1:6" x14ac:dyDescent="0.25">
      <c r="A85" s="3"/>
      <c r="B85" s="1">
        <v>43800</v>
      </c>
      <c r="C85" s="23">
        <f t="shared" si="4"/>
        <v>2019</v>
      </c>
      <c r="D85" s="23">
        <f t="shared" si="5"/>
        <v>12</v>
      </c>
      <c r="E85">
        <f>IFERROR(AVERAGEIFS('sa-rent-combined'!$G:$G,'sa-rent-combined'!$A:$A,"Metro",'sa-rent-combined'!$B:$B,$C85,'sa-rent-combined'!$C:$C,$D85),
AVERAGEIFS('sa-rent-combined'!$G:$G,'sa-rent-combined'!$A:$A,"Metro Total",'sa-rent-combined'!$B:$B,$C85,'sa-rent-combined'!$C:$C,$D85))</f>
        <v>310</v>
      </c>
      <c r="F85">
        <f>IFERROR(AVERAGEIFS('sa-rent-combined'!$G:$G,'sa-rent-combined'!$A:$A,"Rest of State",'sa-rent-combined'!$B:$B,$C85,'sa-rent-combined'!$C:$C,$D85),
AVERAGEIFS('sa-rent-combined'!$G:$G,'sa-rent-combined'!$A:$A,"Rest of State Total",'sa-rent-combined'!$B:$B,$C85,'sa-rent-combined'!$C:$C,$D85))</f>
        <v>200</v>
      </c>
    </row>
    <row r="86" spans="1:6" x14ac:dyDescent="0.25">
      <c r="A86" s="3"/>
      <c r="B86" s="1">
        <v>43891</v>
      </c>
      <c r="C86" s="23">
        <f t="shared" si="4"/>
        <v>2020</v>
      </c>
      <c r="D86" s="23">
        <f t="shared" si="5"/>
        <v>3</v>
      </c>
      <c r="E86">
        <f>IFERROR(AVERAGEIFS('sa-rent-combined'!$G:$G,'sa-rent-combined'!$A:$A,"Metro",'sa-rent-combined'!$B:$B,$C86,'sa-rent-combined'!$C:$C,$D86),
AVERAGEIFS('sa-rent-combined'!$G:$G,'sa-rent-combined'!$A:$A,"Metro Total",'sa-rent-combined'!$B:$B,$C86,'sa-rent-combined'!$C:$C,$D86))</f>
        <v>320</v>
      </c>
      <c r="F86">
        <f>IFERROR(AVERAGEIFS('sa-rent-combined'!$G:$G,'sa-rent-combined'!$A:$A,"Rest of State",'sa-rent-combined'!$B:$B,$C86,'sa-rent-combined'!$C:$C,$D86),
AVERAGEIFS('sa-rent-combined'!$G:$G,'sa-rent-combined'!$A:$A,"Rest of State Total",'sa-rent-combined'!$B:$B,$C86,'sa-rent-combined'!$C:$C,$D86))</f>
        <v>210</v>
      </c>
    </row>
    <row r="87" spans="1:6" x14ac:dyDescent="0.25">
      <c r="A87" s="3"/>
      <c r="B87" s="1">
        <v>43983</v>
      </c>
      <c r="C87" s="23">
        <f t="shared" si="4"/>
        <v>2020</v>
      </c>
      <c r="D87" s="23">
        <f t="shared" si="5"/>
        <v>6</v>
      </c>
      <c r="E87">
        <f>IFERROR(AVERAGEIFS('sa-rent-combined'!$G:$G,'sa-rent-combined'!$A:$A,"Metro",'sa-rent-combined'!$B:$B,$C87,'sa-rent-combined'!$C:$C,$D87),
AVERAGEIFS('sa-rent-combined'!$G:$G,'sa-rent-combined'!$A:$A,"Metro Total",'sa-rent-combined'!$B:$B,$C87,'sa-rent-combined'!$C:$C,$D87))</f>
        <v>310</v>
      </c>
      <c r="F87">
        <f>IFERROR(AVERAGEIFS('sa-rent-combined'!$G:$G,'sa-rent-combined'!$A:$A,"Rest of State",'sa-rent-combined'!$B:$B,$C87,'sa-rent-combined'!$C:$C,$D87),
AVERAGEIFS('sa-rent-combined'!$G:$G,'sa-rent-combined'!$A:$A,"Rest of State Total",'sa-rent-combined'!$B:$B,$C87,'sa-rent-combined'!$C:$C,$D87))</f>
        <v>210</v>
      </c>
    </row>
    <row r="88" spans="1:6" x14ac:dyDescent="0.25">
      <c r="A88" s="3"/>
      <c r="B88" s="1">
        <v>44075</v>
      </c>
      <c r="C88" s="23">
        <f t="shared" si="4"/>
        <v>2020</v>
      </c>
      <c r="D88" s="23">
        <f t="shared" si="5"/>
        <v>9</v>
      </c>
      <c r="E88">
        <f>IFERROR(AVERAGEIFS('sa-rent-combined'!$G:$G,'sa-rent-combined'!$A:$A,"Metro",'sa-rent-combined'!$B:$B,$C88,'sa-rent-combined'!$C:$C,$D88),
AVERAGEIFS('sa-rent-combined'!$G:$G,'sa-rent-combined'!$A:$A,"Metro Total",'sa-rent-combined'!$B:$B,$C88,'sa-rent-combined'!$C:$C,$D88))</f>
        <v>320</v>
      </c>
      <c r="F88">
        <f>IFERROR(AVERAGEIFS('sa-rent-combined'!$G:$G,'sa-rent-combined'!$A:$A,"Rest of State",'sa-rent-combined'!$B:$B,$C88,'sa-rent-combined'!$C:$C,$D88),
AVERAGEIFS('sa-rent-combined'!$G:$G,'sa-rent-combined'!$A:$A,"Rest of State Total",'sa-rent-combined'!$B:$B,$C88,'sa-rent-combined'!$C:$C,$D88))</f>
        <v>210</v>
      </c>
    </row>
    <row r="89" spans="1:6" x14ac:dyDescent="0.25">
      <c r="A89" s="3"/>
      <c r="B89" s="1">
        <v>44166</v>
      </c>
      <c r="C89" s="23">
        <f t="shared" si="4"/>
        <v>2020</v>
      </c>
      <c r="D89" s="23">
        <f t="shared" si="5"/>
        <v>12</v>
      </c>
      <c r="E89">
        <f>IFERROR(AVERAGEIFS('sa-rent-combined'!$G:$G,'sa-rent-combined'!$A:$A,"Metro",'sa-rent-combined'!$B:$B,$C89,'sa-rent-combined'!$C:$C,$D89),
AVERAGEIFS('sa-rent-combined'!$G:$G,'sa-rent-combined'!$A:$A,"Metro Total",'sa-rent-combined'!$B:$B,$C89,'sa-rent-combined'!$C:$C,$D89))</f>
        <v>325</v>
      </c>
      <c r="F89">
        <f>IFERROR(AVERAGEIFS('sa-rent-combined'!$G:$G,'sa-rent-combined'!$A:$A,"Rest of State",'sa-rent-combined'!$B:$B,$C89,'sa-rent-combined'!$C:$C,$D89),
AVERAGEIFS('sa-rent-combined'!$G:$G,'sa-rent-combined'!$A:$A,"Rest of State Total",'sa-rent-combined'!$B:$B,$C89,'sa-rent-combined'!$C:$C,$D89))</f>
        <v>220</v>
      </c>
    </row>
    <row r="90" spans="1:6" x14ac:dyDescent="0.25">
      <c r="A90" s="3"/>
      <c r="B90" s="1">
        <v>44256</v>
      </c>
      <c r="C90" s="23">
        <f t="shared" si="4"/>
        <v>2021</v>
      </c>
      <c r="D90" s="23">
        <f t="shared" si="5"/>
        <v>3</v>
      </c>
      <c r="E90">
        <f>IFERROR(AVERAGEIFS('sa-rent-combined'!$G:$G,'sa-rent-combined'!$A:$A,"Metro",'sa-rent-combined'!$B:$B,$C90,'sa-rent-combined'!$C:$C,$D90),
AVERAGEIFS('sa-rent-combined'!$G:$G,'sa-rent-combined'!$A:$A,"Metro Total",'sa-rent-combined'!$B:$B,$C90,'sa-rent-combined'!$C:$C,$D90))</f>
        <v>335</v>
      </c>
      <c r="F90">
        <f>IFERROR(AVERAGEIFS('sa-rent-combined'!$G:$G,'sa-rent-combined'!$A:$A,"Rest of State",'sa-rent-combined'!$B:$B,$C90,'sa-rent-combined'!$C:$C,$D90),
AVERAGEIFS('sa-rent-combined'!$G:$G,'sa-rent-combined'!$A:$A,"Rest of State Total",'sa-rent-combined'!$B:$B,$C90,'sa-rent-combined'!$C:$C,$D90))</f>
        <v>220</v>
      </c>
    </row>
    <row r="91" spans="1:6" x14ac:dyDescent="0.25">
      <c r="A91" s="3"/>
      <c r="B91" s="1">
        <v>44348</v>
      </c>
      <c r="C91" s="23">
        <f t="shared" si="4"/>
        <v>2021</v>
      </c>
      <c r="D91" s="23">
        <f t="shared" si="5"/>
        <v>6</v>
      </c>
      <c r="E91">
        <f>IFERROR(AVERAGEIFS('sa-rent-combined'!$G:$G,'sa-rent-combined'!$A:$A,"Metro",'sa-rent-combined'!$B:$B,$C91,'sa-rent-combined'!$C:$C,$D91),
AVERAGEIFS('sa-rent-combined'!$G:$G,'sa-rent-combined'!$A:$A,"Metro Total",'sa-rent-combined'!$B:$B,$C91,'sa-rent-combined'!$C:$C,$D91))</f>
        <v>340</v>
      </c>
      <c r="F91">
        <f>IFERROR(AVERAGEIFS('sa-rent-combined'!$G:$G,'sa-rent-combined'!$A:$A,"Rest of State",'sa-rent-combined'!$B:$B,$C91,'sa-rent-combined'!$C:$C,$D91),
AVERAGEIFS('sa-rent-combined'!$G:$G,'sa-rent-combined'!$A:$A,"Rest of State Total",'sa-rent-combined'!$B:$B,$C91,'sa-rent-combined'!$C:$C,$D91))</f>
        <v>230</v>
      </c>
    </row>
    <row r="92" spans="1:6" x14ac:dyDescent="0.25">
      <c r="A92" s="3"/>
      <c r="B92" s="1">
        <v>44440</v>
      </c>
      <c r="C92" s="23">
        <f t="shared" si="4"/>
        <v>2021</v>
      </c>
      <c r="D92" s="23">
        <f t="shared" si="5"/>
        <v>9</v>
      </c>
      <c r="E92">
        <f>IFERROR(AVERAGEIFS('sa-rent-combined'!$G:$G,'sa-rent-combined'!$A:$A,"Metro",'sa-rent-combined'!$B:$B,$C92,'sa-rent-combined'!$C:$C,$D92),
AVERAGEIFS('sa-rent-combined'!$G:$G,'sa-rent-combined'!$A:$A,"Metro Total",'sa-rent-combined'!$B:$B,$C92,'sa-rent-combined'!$C:$C,$D92))</f>
        <v>340</v>
      </c>
      <c r="F92">
        <f>IFERROR(AVERAGEIFS('sa-rent-combined'!$G:$G,'sa-rent-combined'!$A:$A,"Rest of State",'sa-rent-combined'!$B:$B,$C92,'sa-rent-combined'!$C:$C,$D92),
AVERAGEIFS('sa-rent-combined'!$G:$G,'sa-rent-combined'!$A:$A,"Rest of State Total",'sa-rent-combined'!$B:$B,$C92,'sa-rent-combined'!$C:$C,$D92))</f>
        <v>220</v>
      </c>
    </row>
    <row r="93" spans="1:6" x14ac:dyDescent="0.25">
      <c r="A93" s="3"/>
      <c r="B93" s="1">
        <v>44531</v>
      </c>
      <c r="C93" s="23">
        <f t="shared" si="4"/>
        <v>2021</v>
      </c>
      <c r="D93" s="23">
        <f t="shared" si="5"/>
        <v>12</v>
      </c>
      <c r="E93">
        <f>IFERROR(AVERAGEIFS('sa-rent-combined'!$G:$G,'sa-rent-combined'!$A:$A,"Metro",'sa-rent-combined'!$B:$B,$C93,'sa-rent-combined'!$C:$C,$D93),
AVERAGEIFS('sa-rent-combined'!$G:$G,'sa-rent-combined'!$A:$A,"Metro Total",'sa-rent-combined'!$B:$B,$C93,'sa-rent-combined'!$C:$C,$D93))</f>
        <v>350</v>
      </c>
      <c r="F93">
        <f>IFERROR(AVERAGEIFS('sa-rent-combined'!$G:$G,'sa-rent-combined'!$A:$A,"Rest of State",'sa-rent-combined'!$B:$B,$C93,'sa-rent-combined'!$C:$C,$D93),
AVERAGEIFS('sa-rent-combined'!$G:$G,'sa-rent-combined'!$A:$A,"Rest of State Total",'sa-rent-combined'!$B:$B,$C93,'sa-rent-combined'!$C:$C,$D93))</f>
        <v>240</v>
      </c>
    </row>
    <row r="94" spans="1:6" x14ac:dyDescent="0.25">
      <c r="A94" s="3"/>
      <c r="B94" s="1">
        <v>44621</v>
      </c>
      <c r="C94" s="23">
        <f t="shared" si="4"/>
        <v>2022</v>
      </c>
      <c r="D94" s="23">
        <f t="shared" si="5"/>
        <v>3</v>
      </c>
      <c r="E94">
        <f>IFERROR(AVERAGEIFS('sa-rent-combined'!$G:$G,'sa-rent-combined'!$A:$A,"Metro",'sa-rent-combined'!$B:$B,$C94,'sa-rent-combined'!$C:$C,$D94),
AVERAGEIFS('sa-rent-combined'!$G:$G,'sa-rent-combined'!$A:$A,"Metro Total",'sa-rent-combined'!$B:$B,$C94,'sa-rent-combined'!$C:$C,$D94))</f>
        <v>370</v>
      </c>
      <c r="F94">
        <f>IFERROR(AVERAGEIFS('sa-rent-combined'!$G:$G,'sa-rent-combined'!$A:$A,"Rest of State",'sa-rent-combined'!$B:$B,$C94,'sa-rent-combined'!$C:$C,$D94),
AVERAGEIFS('sa-rent-combined'!$G:$G,'sa-rent-combined'!$A:$A,"Rest of State Total",'sa-rent-combined'!$B:$B,$C94,'sa-rent-combined'!$C:$C,$D94))</f>
        <v>235</v>
      </c>
    </row>
    <row r="95" spans="1:6" x14ac:dyDescent="0.25">
      <c r="A95" s="3"/>
      <c r="B95" s="1">
        <v>44713</v>
      </c>
      <c r="C95" s="23">
        <f t="shared" si="4"/>
        <v>2022</v>
      </c>
      <c r="D95" s="23">
        <f t="shared" si="5"/>
        <v>6</v>
      </c>
      <c r="E95">
        <f>IFERROR(AVERAGEIFS('sa-rent-combined'!$G:$G,'sa-rent-combined'!$A:$A,"Metro",'sa-rent-combined'!$B:$B,$C95,'sa-rent-combined'!$C:$C,$D95),
AVERAGEIFS('sa-rent-combined'!$G:$G,'sa-rent-combined'!$A:$A,"Metro Total",'sa-rent-combined'!$B:$B,$C95,'sa-rent-combined'!$C:$C,$D95))</f>
        <v>370</v>
      </c>
      <c r="F95">
        <f>IFERROR(AVERAGEIFS('sa-rent-combined'!$G:$G,'sa-rent-combined'!$A:$A,"Rest of State",'sa-rent-combined'!$B:$B,$C95,'sa-rent-combined'!$C:$C,$D95),
AVERAGEIFS('sa-rent-combined'!$G:$G,'sa-rent-combined'!$A:$A,"Rest of State Total",'sa-rent-combined'!$B:$B,$C95,'sa-rent-combined'!$C:$C,$D95))</f>
        <v>235</v>
      </c>
    </row>
    <row r="96" spans="1:6" x14ac:dyDescent="0.25">
      <c r="A96" s="3"/>
      <c r="B96" s="1">
        <v>44805</v>
      </c>
      <c r="C96" s="23">
        <f t="shared" si="4"/>
        <v>2022</v>
      </c>
      <c r="D96" s="23">
        <f t="shared" si="5"/>
        <v>9</v>
      </c>
      <c r="E96">
        <f>IFERROR(AVERAGEIFS('sa-rent-combined'!$G:$G,'sa-rent-combined'!$A:$A,"Metro",'sa-rent-combined'!$B:$B,$C96,'sa-rent-combined'!$C:$C,$D96),
AVERAGEIFS('sa-rent-combined'!$G:$G,'sa-rent-combined'!$A:$A,"Metro Total",'sa-rent-combined'!$B:$B,$C96,'sa-rent-combined'!$C:$C,$D96))</f>
        <v>380</v>
      </c>
      <c r="F96">
        <f>IFERROR(AVERAGEIFS('sa-rent-combined'!$G:$G,'sa-rent-combined'!$A:$A,"Rest of State",'sa-rent-combined'!$B:$B,$C96,'sa-rent-combined'!$C:$C,$D96),
AVERAGEIFS('sa-rent-combined'!$G:$G,'sa-rent-combined'!$A:$A,"Rest of State Total",'sa-rent-combined'!$B:$B,$C96,'sa-rent-combined'!$C:$C,$D96))</f>
        <v>252.5</v>
      </c>
    </row>
    <row r="97" spans="1:6" x14ac:dyDescent="0.25">
      <c r="A97" s="3"/>
      <c r="B97" s="1">
        <v>44896</v>
      </c>
      <c r="C97" s="23">
        <f t="shared" si="4"/>
        <v>2022</v>
      </c>
      <c r="D97" s="23">
        <f t="shared" si="5"/>
        <v>12</v>
      </c>
      <c r="E97">
        <f>IFERROR(AVERAGEIFS('sa-rent-combined'!$G:$G,'sa-rent-combined'!$A:$A,"Metro",'sa-rent-combined'!$B:$B,$C97,'sa-rent-combined'!$C:$C,$D97),
AVERAGEIFS('sa-rent-combined'!$G:$G,'sa-rent-combined'!$A:$A,"Metro Total",'sa-rent-combined'!$B:$B,$C97,'sa-rent-combined'!$C:$C,$D97))</f>
        <v>400</v>
      </c>
      <c r="F97">
        <f>IFERROR(AVERAGEIFS('sa-rent-combined'!$G:$G,'sa-rent-combined'!$A:$A,"Rest of State",'sa-rent-combined'!$B:$B,$C97,'sa-rent-combined'!$C:$C,$D97),
AVERAGEIFS('sa-rent-combined'!$G:$G,'sa-rent-combined'!$A:$A,"Rest of State Total",'sa-rent-combined'!$B:$B,$C97,'sa-rent-combined'!$C:$C,$D97))</f>
        <v>255</v>
      </c>
    </row>
    <row r="98" spans="1:6" x14ac:dyDescent="0.25">
      <c r="B98" s="1">
        <v>44986</v>
      </c>
      <c r="C98" s="23">
        <f t="shared" ref="C98:C109" si="6">YEAR(B98)</f>
        <v>2023</v>
      </c>
      <c r="D98" s="23">
        <f t="shared" ref="D98:D109" si="7">MONTH(B98)</f>
        <v>3</v>
      </c>
      <c r="E98">
        <f>IFERROR(AVERAGEIFS('sa-rent-combined'!$G:$G,'sa-rent-combined'!$A:$A,"Metro",'sa-rent-combined'!$B:$B,$C98,'sa-rent-combined'!$C:$C,$D98),
AVERAGEIFS('sa-rent-combined'!$G:$G,'sa-rent-combined'!$A:$A,"Metro Total",'sa-rent-combined'!$B:$B,$C98,'sa-rent-combined'!$C:$C,$D98))</f>
        <v>400</v>
      </c>
      <c r="F98">
        <f>IFERROR(AVERAGEIFS('sa-rent-combined'!$G:$G,'sa-rent-combined'!$A:$A,"Rest of State",'sa-rent-combined'!$B:$B,$C98,'sa-rent-combined'!$C:$C,$D98),
AVERAGEIFS('sa-rent-combined'!$G:$G,'sa-rent-combined'!$A:$A,"Rest of State Total",'sa-rent-combined'!$B:$B,$C98,'sa-rent-combined'!$C:$C,$D98))</f>
        <v>260</v>
      </c>
    </row>
    <row r="99" spans="1:6" x14ac:dyDescent="0.25">
      <c r="B99" s="1">
        <v>45078</v>
      </c>
      <c r="C99" s="23">
        <f t="shared" si="6"/>
        <v>2023</v>
      </c>
      <c r="D99" s="23">
        <f t="shared" si="7"/>
        <v>6</v>
      </c>
      <c r="E99">
        <f>IFERROR(AVERAGEIFS('sa-rent-combined'!$G:$G,'sa-rent-combined'!$A:$A,"Metro",'sa-rent-combined'!$B:$B,$C99,'sa-rent-combined'!$C:$C,$D99),
AVERAGEIFS('sa-rent-combined'!$G:$G,'sa-rent-combined'!$A:$A,"Metro Total",'sa-rent-combined'!$B:$B,$C99,'sa-rent-combined'!$C:$C,$D99))</f>
        <v>410</v>
      </c>
      <c r="F99">
        <f>IFERROR(AVERAGEIFS('sa-rent-combined'!$G:$G,'sa-rent-combined'!$A:$A,"Rest of State",'sa-rent-combined'!$B:$B,$C99,'sa-rent-combined'!$C:$C,$D99),
AVERAGEIFS('sa-rent-combined'!$G:$G,'sa-rent-combined'!$A:$A,"Rest of State Total",'sa-rent-combined'!$B:$B,$C99,'sa-rent-combined'!$C:$C,$D99))</f>
        <v>260</v>
      </c>
    </row>
    <row r="100" spans="1:6" x14ac:dyDescent="0.25">
      <c r="B100" s="1">
        <v>45170</v>
      </c>
      <c r="C100" s="23">
        <f t="shared" si="6"/>
        <v>2023</v>
      </c>
      <c r="D100" s="23">
        <f t="shared" si="7"/>
        <v>9</v>
      </c>
      <c r="E100">
        <f>IFERROR(AVERAGEIFS('sa-rent-combined'!$G:$G,'sa-rent-combined'!$A:$A,"Metro",'sa-rent-combined'!$B:$B,$C100,'sa-rent-combined'!$C:$C,$D100),
AVERAGEIFS('sa-rent-combined'!$G:$G,'sa-rent-combined'!$A:$A,"Metro Total",'sa-rent-combined'!$B:$B,$C100,'sa-rent-combined'!$C:$C,$D100))</f>
        <v>430</v>
      </c>
      <c r="F100">
        <f>IFERROR(AVERAGEIFS('sa-rent-combined'!$G:$G,'sa-rent-combined'!$A:$A,"Rest of State",'sa-rent-combined'!$B:$B,$C100,'sa-rent-combined'!$C:$C,$D100),
AVERAGEIFS('sa-rent-combined'!$G:$G,'sa-rent-combined'!$A:$A,"Rest of State Total",'sa-rent-combined'!$B:$B,$C100,'sa-rent-combined'!$C:$C,$D100))</f>
        <v>270</v>
      </c>
    </row>
    <row r="101" spans="1:6" x14ac:dyDescent="0.25">
      <c r="B101" s="1">
        <v>45261</v>
      </c>
      <c r="C101" s="23">
        <f t="shared" si="6"/>
        <v>2023</v>
      </c>
      <c r="D101" s="23">
        <f t="shared" si="7"/>
        <v>12</v>
      </c>
      <c r="E101">
        <f>IFERROR(AVERAGEIFS('sa-rent-combined'!$G:$G,'sa-rent-combined'!$A:$A,"Metro",'sa-rent-combined'!$B:$B,$C101,'sa-rent-combined'!$C:$C,$D101),
AVERAGEIFS('sa-rent-combined'!$G:$G,'sa-rent-combined'!$A:$A,"Metro Total",'sa-rent-combined'!$B:$B,$C101,'sa-rent-combined'!$C:$C,$D101))</f>
        <v>430</v>
      </c>
      <c r="F101">
        <f>IFERROR(AVERAGEIFS('sa-rent-combined'!$G:$G,'sa-rent-combined'!$A:$A,"Rest of State",'sa-rent-combined'!$B:$B,$C101,'sa-rent-combined'!$C:$C,$D101),
AVERAGEIFS('sa-rent-combined'!$G:$G,'sa-rent-combined'!$A:$A,"Rest of State Total",'sa-rent-combined'!$B:$B,$C101,'sa-rent-combined'!$C:$C,$D101))</f>
        <v>280</v>
      </c>
    </row>
    <row r="102" spans="1:6" x14ac:dyDescent="0.25">
      <c r="B102" s="1">
        <v>45352</v>
      </c>
      <c r="C102" s="23">
        <f t="shared" si="6"/>
        <v>2024</v>
      </c>
      <c r="D102" s="23">
        <f t="shared" si="7"/>
        <v>3</v>
      </c>
      <c r="E102">
        <f>IFERROR(AVERAGEIFS('sa-rent-combined'!$G:$G,'sa-rent-combined'!$A:$A,"Metro",'sa-rent-combined'!$B:$B,$C102,'sa-rent-combined'!$C:$C,$D102),
AVERAGEIFS('sa-rent-combined'!$G:$G,'sa-rent-combined'!$A:$A,"Metro Total",'sa-rent-combined'!$B:$B,$C102,'sa-rent-combined'!$C:$C,$D102))</f>
        <v>450</v>
      </c>
      <c r="F102">
        <f>IFERROR(AVERAGEIFS('sa-rent-combined'!$G:$G,'sa-rent-combined'!$A:$A,"Rest of State",'sa-rent-combined'!$B:$B,$C102,'sa-rent-combined'!$C:$C,$D102),
AVERAGEIFS('sa-rent-combined'!$G:$G,'sa-rent-combined'!$A:$A,"Rest of State Total",'sa-rent-combined'!$B:$B,$C102,'sa-rent-combined'!$C:$C,$D102))</f>
        <v>280</v>
      </c>
    </row>
    <row r="103" spans="1:6" x14ac:dyDescent="0.25">
      <c r="B103" s="1">
        <v>45444</v>
      </c>
      <c r="C103" s="23">
        <f t="shared" si="6"/>
        <v>2024</v>
      </c>
      <c r="D103" s="23">
        <f t="shared" si="7"/>
        <v>6</v>
      </c>
      <c r="E103">
        <f>IFERROR(AVERAGEIFS('sa-rent-combined'!$G:$G,'sa-rent-combined'!$A:$A,"Metro",'sa-rent-combined'!$B:$B,$C103,'sa-rent-combined'!$C:$C,$D103),
AVERAGEIFS('sa-rent-combined'!$G:$G,'sa-rent-combined'!$A:$A,"Metro Total",'sa-rent-combined'!$B:$B,$C103,'sa-rent-combined'!$C:$C,$D103))</f>
        <v>460</v>
      </c>
      <c r="F103">
        <f>IFERROR(AVERAGEIFS('sa-rent-combined'!$G:$G,'sa-rent-combined'!$A:$A,"Rest of State",'sa-rent-combined'!$B:$B,$C103,'sa-rent-combined'!$C:$C,$D103),
AVERAGEIFS('sa-rent-combined'!$G:$G,'sa-rent-combined'!$A:$A,"Rest of State Total",'sa-rent-combined'!$B:$B,$C103,'sa-rent-combined'!$C:$C,$D103))</f>
        <v>290</v>
      </c>
    </row>
    <row r="104" spans="1:6" x14ac:dyDescent="0.25">
      <c r="B104" s="1">
        <v>45536</v>
      </c>
      <c r="C104" s="23">
        <f t="shared" si="6"/>
        <v>2024</v>
      </c>
      <c r="D104" s="23">
        <f t="shared" si="7"/>
        <v>9</v>
      </c>
      <c r="E104">
        <f>IFERROR(AVERAGEIFS('sa-rent-combined'!$G:$G,'sa-rent-combined'!$A:$A,"Metro",'sa-rent-combined'!$B:$B,$C104,'sa-rent-combined'!$C:$C,$D104),
AVERAGEIFS('sa-rent-combined'!$G:$G,'sa-rent-combined'!$A:$A,"Metro Total",'sa-rent-combined'!$B:$B,$C104,'sa-rent-combined'!$C:$C,$D104))</f>
        <v>470</v>
      </c>
      <c r="F104">
        <f>IFERROR(AVERAGEIFS('sa-rent-combined'!$G:$G,'sa-rent-combined'!$A:$A,"Rest of State",'sa-rent-combined'!$B:$B,$C104,'sa-rent-combined'!$C:$C,$D104),
AVERAGEIFS('sa-rent-combined'!$G:$G,'sa-rent-combined'!$A:$A,"Rest of State Total",'sa-rent-combined'!$B:$B,$C104,'sa-rent-combined'!$C:$C,$D104))</f>
        <v>295</v>
      </c>
    </row>
    <row r="105" spans="1:6" x14ac:dyDescent="0.25">
      <c r="B105" s="1">
        <v>45627</v>
      </c>
      <c r="C105" s="23">
        <f t="shared" si="6"/>
        <v>2024</v>
      </c>
      <c r="D105" s="23">
        <f t="shared" si="7"/>
        <v>12</v>
      </c>
      <c r="E105">
        <f>IFERROR(AVERAGEIFS('sa-rent-combined'!$G:$G,'sa-rent-combined'!$A:$A,"Metro",'sa-rent-combined'!$B:$B,$C105,'sa-rent-combined'!$C:$C,$D105),
AVERAGEIFS('sa-rent-combined'!$G:$G,'sa-rent-combined'!$A:$A,"Metro Total",'sa-rent-combined'!$B:$B,$C105,'sa-rent-combined'!$C:$C,$D105))</f>
        <v>480</v>
      </c>
      <c r="F105">
        <f>IFERROR(AVERAGEIFS('sa-rent-combined'!$G:$G,'sa-rent-combined'!$A:$A,"Rest of State",'sa-rent-combined'!$B:$B,$C105,'sa-rent-combined'!$C:$C,$D105),
AVERAGEIFS('sa-rent-combined'!$G:$G,'sa-rent-combined'!$A:$A,"Rest of State Total",'sa-rent-combined'!$B:$B,$C105,'sa-rent-combined'!$C:$C,$D105))</f>
        <v>295</v>
      </c>
    </row>
    <row r="106" spans="1:6" x14ac:dyDescent="0.25">
      <c r="B106" s="1">
        <v>45717</v>
      </c>
      <c r="C106" s="23">
        <f t="shared" si="6"/>
        <v>2025</v>
      </c>
      <c r="D106" s="23">
        <f t="shared" si="7"/>
        <v>3</v>
      </c>
      <c r="E106">
        <f>IFERROR(AVERAGEIFS('sa-rent-combined'!$G:$G,'sa-rent-combined'!$A:$A,"Metro",'sa-rent-combined'!$B:$B,$C106,'sa-rent-combined'!$C:$C,$D106),
AVERAGEIFS('sa-rent-combined'!$G:$G,'sa-rent-combined'!$A:$A,"Metro Total",'sa-rent-combined'!$B:$B,$C106,'sa-rent-combined'!$C:$C,$D106))</f>
        <v>495</v>
      </c>
      <c r="F106">
        <f>IFERROR(AVERAGEIFS('sa-rent-combined'!$G:$G,'sa-rent-combined'!$A:$A,"Rest of State",'sa-rent-combined'!$B:$B,$C106,'sa-rent-combined'!$C:$C,$D106),
AVERAGEIFS('sa-rent-combined'!$G:$G,'sa-rent-combined'!$A:$A,"Rest of State Total",'sa-rent-combined'!$B:$B,$C106,'sa-rent-combined'!$C:$C,$D106))</f>
        <v>290</v>
      </c>
    </row>
    <row r="107" spans="1:6" x14ac:dyDescent="0.25">
      <c r="B107" s="1">
        <v>45809</v>
      </c>
      <c r="C107" s="23">
        <f t="shared" si="6"/>
        <v>2025</v>
      </c>
      <c r="D107" s="23">
        <f t="shared" si="7"/>
        <v>6</v>
      </c>
      <c r="E107">
        <f>IFERROR(AVERAGEIFS('sa-rent-combined'!$G:$G,'sa-rent-combined'!$A:$A,"Metro",'sa-rent-combined'!$B:$B,$C107,'sa-rent-combined'!$C:$C,$D107),
AVERAGEIFS('sa-rent-combined'!$G:$G,'sa-rent-combined'!$A:$A,"Metro Total",'sa-rent-combined'!$B:$B,$C107,'sa-rent-combined'!$C:$C,$D107))</f>
        <v>500</v>
      </c>
      <c r="F107">
        <f>IFERROR(AVERAGEIFS('sa-rent-combined'!$G:$G,'sa-rent-combined'!$A:$A,"Rest of State",'sa-rent-combined'!$B:$B,$C107,'sa-rent-combined'!$C:$C,$D107),
AVERAGEIFS('sa-rent-combined'!$G:$G,'sa-rent-combined'!$A:$A,"Rest of State Total",'sa-rent-combined'!$B:$B,$C107,'sa-rent-combined'!$C:$C,$D107))</f>
        <v>300</v>
      </c>
    </row>
    <row r="108" spans="1:6" x14ac:dyDescent="0.25">
      <c r="B108" s="1">
        <v>45901</v>
      </c>
      <c r="C108" s="23">
        <f t="shared" si="6"/>
        <v>2025</v>
      </c>
      <c r="D108" s="23">
        <f t="shared" si="7"/>
        <v>9</v>
      </c>
      <c r="E108">
        <f>IFERROR(AVERAGEIFS('sa-rent-combined'!$G:$G,'sa-rent-combined'!$A:$A,"Metro",'sa-rent-combined'!$B:$B,$C108,'sa-rent-combined'!$C:$C,$D108),
AVERAGEIFS('sa-rent-combined'!$G:$G,'sa-rent-combined'!$A:$A,"Metro Total",'sa-rent-combined'!$B:$B,$C108,'sa-rent-combined'!$C:$C,$D108))</f>
        <v>500</v>
      </c>
      <c r="F108">
        <f>IFERROR(AVERAGEIFS('sa-rent-combined'!$G:$G,'sa-rent-combined'!$A:$A,"Rest of State",'sa-rent-combined'!$B:$B,$C108,'sa-rent-combined'!$C:$C,$D108),
AVERAGEIFS('sa-rent-combined'!$G:$G,'sa-rent-combined'!$A:$A,"Rest of State Total",'sa-rent-combined'!$B:$B,$C108,'sa-rent-combined'!$C:$C,$D108))</f>
        <v>302.5</v>
      </c>
    </row>
    <row r="109" spans="1:6" x14ac:dyDescent="0.25">
      <c r="B109" s="1">
        <v>45992</v>
      </c>
      <c r="C109" s="23">
        <f t="shared" si="6"/>
        <v>2025</v>
      </c>
      <c r="D109" s="23">
        <f t="shared" si="7"/>
        <v>12</v>
      </c>
      <c r="E109">
        <f>IFERROR(AVERAGEIFS('sa-rent-combined'!$G:$G,'sa-rent-combined'!$A:$A,"Metro",'sa-rent-combined'!$B:$B,$C109,'sa-rent-combined'!$C:$C,$D109),
AVERAGEIFS('sa-rent-combined'!$G:$G,'sa-rent-combined'!$A:$A,"Metro Total",'sa-rent-combined'!$B:$B,$C109,'sa-rent-combined'!$C:$C,$D109))</f>
        <v>510</v>
      </c>
      <c r="F109">
        <f>IFERROR(AVERAGEIFS('sa-rent-combined'!$G:$G,'sa-rent-combined'!$A:$A,"Rest of State",'sa-rent-combined'!$B:$B,$C109,'sa-rent-combined'!$C:$C,$D109),
AVERAGEIFS('sa-rent-combined'!$G:$G,'sa-rent-combined'!$A:$A,"Rest of State Total",'sa-rent-combined'!$B:$B,$C109,'sa-rent-combined'!$C:$C,$D109))</f>
        <v>300</v>
      </c>
    </row>
  </sheetData>
  <autoFilter ref="A1:F97" xr:uid="{57ABFE4F-8ED8-46E2-A3E7-D09420486E88}"/>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7266C-75BE-45BF-8496-AD95282C2F7B}">
  <sheetPr>
    <tabColor rgb="FFFF0000"/>
  </sheetPr>
  <dimension ref="A1:F109"/>
  <sheetViews>
    <sheetView workbookViewId="0">
      <pane ySplit="1" topLeftCell="A23" activePane="bottomLeft" state="frozen"/>
      <selection pane="bottomLeft" activeCell="E39" sqref="E39"/>
    </sheetView>
  </sheetViews>
  <sheetFormatPr defaultRowHeight="15" x14ac:dyDescent="0.25"/>
  <cols>
    <col min="1" max="1" width="33.42578125" bestFit="1" customWidth="1"/>
    <col min="5" max="5" width="11" bestFit="1" customWidth="1"/>
    <col min="6" max="6" width="11.7109375" bestFit="1" customWidth="1"/>
  </cols>
  <sheetData>
    <row r="1" spans="1:6" x14ac:dyDescent="0.25">
      <c r="A1" t="s">
        <v>5</v>
      </c>
      <c r="B1" s="1" t="s">
        <v>1</v>
      </c>
      <c r="C1" s="1" t="s">
        <v>727</v>
      </c>
      <c r="D1" s="1" t="s">
        <v>728</v>
      </c>
      <c r="E1" t="s">
        <v>634</v>
      </c>
      <c r="F1" t="s">
        <v>635</v>
      </c>
    </row>
    <row r="2" spans="1:6" x14ac:dyDescent="0.25">
      <c r="A2" t="s">
        <v>4</v>
      </c>
      <c r="B2" s="1">
        <v>36220</v>
      </c>
      <c r="C2" s="23">
        <f t="shared" ref="C2:C33" si="0">YEAR(B2)</f>
        <v>1999</v>
      </c>
      <c r="D2" s="23">
        <f t="shared" ref="D2:D33" si="1">MONTH(B2)</f>
        <v>3</v>
      </c>
      <c r="E2" s="73">
        <f>E$39*AVERAGE(_xlfn.XLOOKUP($C2,Table_4!$117:$117,Table_4!$119:$119,"",1),_xlfn.XLOOKUP($C2,Table_4!$117:$117,Table_4!$119:$119,"",-1))</f>
        <v>169.73932616215703</v>
      </c>
      <c r="F2" s="73">
        <f>F$39*AVERAGE(_xlfn.XLOOKUP($C2,Table_4!$117:$117,Table_4!$119:$119,"",1),_xlfn.XLOOKUP($C2,Table_4!$117:$117,Table_4!$119:$119,"",-1))</f>
        <v>125.73283419419039</v>
      </c>
    </row>
    <row r="3" spans="1:6" x14ac:dyDescent="0.25">
      <c r="A3" t="s">
        <v>0</v>
      </c>
      <c r="B3" s="1">
        <v>36312</v>
      </c>
      <c r="C3" s="23">
        <f t="shared" si="0"/>
        <v>1999</v>
      </c>
      <c r="D3" s="23">
        <f t="shared" si="1"/>
        <v>6</v>
      </c>
      <c r="E3" s="73">
        <f>E$39*AVERAGE(_xlfn.XLOOKUP($C3,Table_4!$117:$117,Table_4!$119:$119,"",1),_xlfn.XLOOKUP($C3,Table_4!$117:$117,Table_4!$119:$119,"",-1))</f>
        <v>169.73932616215703</v>
      </c>
      <c r="F3" s="73">
        <f>F$39*AVERAGE(_xlfn.XLOOKUP($C3,Table_4!$117:$117,Table_4!$119:$119,"",1),_xlfn.XLOOKUP($C3,Table_4!$117:$117,Table_4!$119:$119,"",-1))</f>
        <v>125.73283419419039</v>
      </c>
    </row>
    <row r="4" spans="1:6" x14ac:dyDescent="0.25">
      <c r="B4" s="1">
        <v>36404</v>
      </c>
      <c r="C4" s="23">
        <f t="shared" si="0"/>
        <v>1999</v>
      </c>
      <c r="D4" s="23">
        <f t="shared" si="1"/>
        <v>9</v>
      </c>
      <c r="E4" s="73">
        <f>E$39*AVERAGE(_xlfn.XLOOKUP($C4,Table_4!$117:$117,Table_4!$119:$119,"",1),_xlfn.XLOOKUP($C4,Table_4!$117:$117,Table_4!$119:$119,"",-1))</f>
        <v>169.73932616215703</v>
      </c>
      <c r="F4" s="73">
        <f>F$39*AVERAGE(_xlfn.XLOOKUP($C4,Table_4!$117:$117,Table_4!$119:$119,"",1),_xlfn.XLOOKUP($C4,Table_4!$117:$117,Table_4!$119:$119,"",-1))</f>
        <v>125.73283419419039</v>
      </c>
    </row>
    <row r="5" spans="1:6" x14ac:dyDescent="0.25">
      <c r="B5" s="1">
        <v>36495</v>
      </c>
      <c r="C5" s="23">
        <f t="shared" si="0"/>
        <v>1999</v>
      </c>
      <c r="D5" s="23">
        <f t="shared" si="1"/>
        <v>12</v>
      </c>
      <c r="E5" s="73">
        <f>E$39*AVERAGE(_xlfn.XLOOKUP($C5,Table_4!$117:$117,Table_4!$119:$119,"",1),_xlfn.XLOOKUP($C5,Table_4!$117:$117,Table_4!$119:$119,"",-1))</f>
        <v>169.73932616215703</v>
      </c>
      <c r="F5" s="73">
        <f>F$39*AVERAGE(_xlfn.XLOOKUP($C5,Table_4!$117:$117,Table_4!$119:$119,"",1),_xlfn.XLOOKUP($C5,Table_4!$117:$117,Table_4!$119:$119,"",-1))</f>
        <v>125.73283419419039</v>
      </c>
    </row>
    <row r="6" spans="1:6" x14ac:dyDescent="0.25">
      <c r="B6" s="1">
        <v>36586</v>
      </c>
      <c r="C6" s="23">
        <f t="shared" si="0"/>
        <v>2000</v>
      </c>
      <c r="D6" s="23">
        <f t="shared" si="1"/>
        <v>3</v>
      </c>
      <c r="E6" s="73">
        <f>E$39*AVERAGE(_xlfn.XLOOKUP($C6,Table_4!$117:$117,Table_4!$119:$119,"",1),_xlfn.XLOOKUP($C6,Table_4!$117:$117,Table_4!$119:$119,"",-1))</f>
        <v>174.03440269156044</v>
      </c>
      <c r="F6" s="73">
        <f>F$39*AVERAGE(_xlfn.XLOOKUP($C6,Table_4!$117:$117,Table_4!$119:$119,"",1),_xlfn.XLOOKUP($C6,Table_4!$117:$117,Table_4!$119:$119,"",-1))</f>
        <v>128.91437236411883</v>
      </c>
    </row>
    <row r="7" spans="1:6" x14ac:dyDescent="0.25">
      <c r="B7" s="1">
        <v>36678</v>
      </c>
      <c r="C7" s="23">
        <f t="shared" si="0"/>
        <v>2000</v>
      </c>
      <c r="D7" s="23">
        <f t="shared" si="1"/>
        <v>6</v>
      </c>
      <c r="E7" s="73">
        <f>E$39*AVERAGE(_xlfn.XLOOKUP($C7,Table_4!$117:$117,Table_4!$119:$119,"",1),_xlfn.XLOOKUP($C7,Table_4!$117:$117,Table_4!$119:$119,"",-1))</f>
        <v>174.03440269156044</v>
      </c>
      <c r="F7" s="73">
        <f>F$39*AVERAGE(_xlfn.XLOOKUP($C7,Table_4!$117:$117,Table_4!$119:$119,"",1),_xlfn.XLOOKUP($C7,Table_4!$117:$117,Table_4!$119:$119,"",-1))</f>
        <v>128.91437236411883</v>
      </c>
    </row>
    <row r="8" spans="1:6" x14ac:dyDescent="0.25">
      <c r="B8" s="1">
        <v>36770</v>
      </c>
      <c r="C8" s="23">
        <f t="shared" si="0"/>
        <v>2000</v>
      </c>
      <c r="D8" s="23">
        <f t="shared" si="1"/>
        <v>9</v>
      </c>
      <c r="E8" s="73">
        <f>E$39*AVERAGE(_xlfn.XLOOKUP($C8,Table_4!$117:$117,Table_4!$119:$119,"",1),_xlfn.XLOOKUP($C8,Table_4!$117:$117,Table_4!$119:$119,"",-1))</f>
        <v>174.03440269156044</v>
      </c>
      <c r="F8" s="73">
        <f>F$39*AVERAGE(_xlfn.XLOOKUP($C8,Table_4!$117:$117,Table_4!$119:$119,"",1),_xlfn.XLOOKUP($C8,Table_4!$117:$117,Table_4!$119:$119,"",-1))</f>
        <v>128.91437236411883</v>
      </c>
    </row>
    <row r="9" spans="1:6" x14ac:dyDescent="0.25">
      <c r="B9" s="1">
        <v>36861</v>
      </c>
      <c r="C9" s="23">
        <f t="shared" si="0"/>
        <v>2000</v>
      </c>
      <c r="D9" s="23">
        <f t="shared" si="1"/>
        <v>12</v>
      </c>
      <c r="E9" s="73">
        <f>E$39*AVERAGE(_xlfn.XLOOKUP($C9,Table_4!$117:$117,Table_4!$119:$119,"",1),_xlfn.XLOOKUP($C9,Table_4!$117:$117,Table_4!$119:$119,"",-1))</f>
        <v>174.03440269156044</v>
      </c>
      <c r="F9" s="73">
        <f>F$39*AVERAGE(_xlfn.XLOOKUP($C9,Table_4!$117:$117,Table_4!$119:$119,"",1),_xlfn.XLOOKUP($C9,Table_4!$117:$117,Table_4!$119:$119,"",-1))</f>
        <v>128.91437236411883</v>
      </c>
    </row>
    <row r="10" spans="1:6" x14ac:dyDescent="0.25">
      <c r="B10" s="1">
        <v>36951</v>
      </c>
      <c r="C10" s="23">
        <f t="shared" si="0"/>
        <v>2001</v>
      </c>
      <c r="D10" s="23">
        <f t="shared" si="1"/>
        <v>3</v>
      </c>
      <c r="E10" s="73">
        <f>E$39*AVERAGE(_xlfn.XLOOKUP($C10,Table_4!$117:$117,Table_4!$119:$119,"",1),_xlfn.XLOOKUP($C10,Table_4!$117:$117,Table_4!$119:$119,"",-1))</f>
        <v>169.50007107994122</v>
      </c>
      <c r="F10" s="73">
        <f>F$39*AVERAGE(_xlfn.XLOOKUP($C10,Table_4!$117:$117,Table_4!$119:$119,"",1),_xlfn.XLOOKUP($C10,Table_4!$117:$117,Table_4!$119:$119,"",-1))</f>
        <v>125.55560820736386</v>
      </c>
    </row>
    <row r="11" spans="1:6" x14ac:dyDescent="0.25">
      <c r="B11" s="1">
        <v>37043</v>
      </c>
      <c r="C11" s="23">
        <f t="shared" si="0"/>
        <v>2001</v>
      </c>
      <c r="D11" s="23">
        <f t="shared" si="1"/>
        <v>6</v>
      </c>
      <c r="E11" s="73">
        <f>E$39*AVERAGE(_xlfn.XLOOKUP($C11,Table_4!$117:$117,Table_4!$119:$119,"",1),_xlfn.XLOOKUP($C11,Table_4!$117:$117,Table_4!$119:$119,"",-1))</f>
        <v>169.50007107994122</v>
      </c>
      <c r="F11" s="73">
        <f>F$39*AVERAGE(_xlfn.XLOOKUP($C11,Table_4!$117:$117,Table_4!$119:$119,"",1),_xlfn.XLOOKUP($C11,Table_4!$117:$117,Table_4!$119:$119,"",-1))</f>
        <v>125.55560820736386</v>
      </c>
    </row>
    <row r="12" spans="1:6" x14ac:dyDescent="0.25">
      <c r="B12" s="1">
        <v>37135</v>
      </c>
      <c r="C12" s="23">
        <f t="shared" si="0"/>
        <v>2001</v>
      </c>
      <c r="D12" s="23">
        <f t="shared" si="1"/>
        <v>9</v>
      </c>
      <c r="E12" s="73">
        <f>E$39*AVERAGE(_xlfn.XLOOKUP($C12,Table_4!$117:$117,Table_4!$119:$119,"",1),_xlfn.XLOOKUP($C12,Table_4!$117:$117,Table_4!$119:$119,"",-1))</f>
        <v>169.50007107994122</v>
      </c>
      <c r="F12" s="73">
        <f>F$39*AVERAGE(_xlfn.XLOOKUP($C12,Table_4!$117:$117,Table_4!$119:$119,"",1),_xlfn.XLOOKUP($C12,Table_4!$117:$117,Table_4!$119:$119,"",-1))</f>
        <v>125.55560820736386</v>
      </c>
    </row>
    <row r="13" spans="1:6" x14ac:dyDescent="0.25">
      <c r="B13" s="1">
        <v>37226</v>
      </c>
      <c r="C13" s="23">
        <f t="shared" si="0"/>
        <v>2001</v>
      </c>
      <c r="D13" s="23">
        <f t="shared" si="1"/>
        <v>12</v>
      </c>
      <c r="E13" s="73">
        <f>E$39*AVERAGE(_xlfn.XLOOKUP($C13,Table_4!$117:$117,Table_4!$119:$119,"",1),_xlfn.XLOOKUP($C13,Table_4!$117:$117,Table_4!$119:$119,"",-1))</f>
        <v>169.50007107994122</v>
      </c>
      <c r="F13" s="73">
        <f>F$39*AVERAGE(_xlfn.XLOOKUP($C13,Table_4!$117:$117,Table_4!$119:$119,"",1),_xlfn.XLOOKUP($C13,Table_4!$117:$117,Table_4!$119:$119,"",-1))</f>
        <v>125.55560820736386</v>
      </c>
    </row>
    <row r="14" spans="1:6" x14ac:dyDescent="0.25">
      <c r="B14" s="1">
        <v>37316</v>
      </c>
      <c r="C14" s="23">
        <f t="shared" si="0"/>
        <v>2002</v>
      </c>
      <c r="D14" s="23">
        <f t="shared" si="1"/>
        <v>3</v>
      </c>
      <c r="E14" s="73">
        <f>E$39*AVERAGE(_xlfn.XLOOKUP($C14,Table_4!$117:$117,Table_4!$119:$119,"",1),_xlfn.XLOOKUP($C14,Table_4!$117:$117,Table_4!$119:$119,"",-1))</f>
        <v>181.05340472918542</v>
      </c>
      <c r="F14" s="73">
        <f>F$39*AVERAGE(_xlfn.XLOOKUP($C14,Table_4!$117:$117,Table_4!$119:$119,"",1),_xlfn.XLOOKUP($C14,Table_4!$117:$117,Table_4!$119:$119,"",-1))</f>
        <v>134.11363313272994</v>
      </c>
    </row>
    <row r="15" spans="1:6" x14ac:dyDescent="0.25">
      <c r="B15" s="1">
        <v>37408</v>
      </c>
      <c r="C15" s="23">
        <f t="shared" si="0"/>
        <v>2002</v>
      </c>
      <c r="D15" s="23">
        <f t="shared" si="1"/>
        <v>6</v>
      </c>
      <c r="E15" s="73">
        <f>E$39*AVERAGE(_xlfn.XLOOKUP($C15,Table_4!$117:$117,Table_4!$119:$119,"",1),_xlfn.XLOOKUP($C15,Table_4!$117:$117,Table_4!$119:$119,"",-1))</f>
        <v>181.05340472918542</v>
      </c>
      <c r="F15" s="73">
        <f>F$39*AVERAGE(_xlfn.XLOOKUP($C15,Table_4!$117:$117,Table_4!$119:$119,"",1),_xlfn.XLOOKUP($C15,Table_4!$117:$117,Table_4!$119:$119,"",-1))</f>
        <v>134.11363313272994</v>
      </c>
    </row>
    <row r="16" spans="1:6" x14ac:dyDescent="0.25">
      <c r="B16" s="1">
        <v>37500</v>
      </c>
      <c r="C16" s="23">
        <f t="shared" si="0"/>
        <v>2002</v>
      </c>
      <c r="D16" s="23">
        <f t="shared" si="1"/>
        <v>9</v>
      </c>
      <c r="E16" s="73">
        <f>E$39*AVERAGE(_xlfn.XLOOKUP($C16,Table_4!$117:$117,Table_4!$119:$119,"",1),_xlfn.XLOOKUP($C16,Table_4!$117:$117,Table_4!$119:$119,"",-1))</f>
        <v>181.05340472918542</v>
      </c>
      <c r="F16" s="73">
        <f>F$39*AVERAGE(_xlfn.XLOOKUP($C16,Table_4!$117:$117,Table_4!$119:$119,"",1),_xlfn.XLOOKUP($C16,Table_4!$117:$117,Table_4!$119:$119,"",-1))</f>
        <v>134.11363313272994</v>
      </c>
    </row>
    <row r="17" spans="2:6" x14ac:dyDescent="0.25">
      <c r="B17" s="1">
        <v>37591</v>
      </c>
      <c r="C17" s="23">
        <f t="shared" si="0"/>
        <v>2002</v>
      </c>
      <c r="D17" s="23">
        <f t="shared" si="1"/>
        <v>12</v>
      </c>
      <c r="E17" s="73">
        <f>E$39*AVERAGE(_xlfn.XLOOKUP($C17,Table_4!$117:$117,Table_4!$119:$119,"",1),_xlfn.XLOOKUP($C17,Table_4!$117:$117,Table_4!$119:$119,"",-1))</f>
        <v>181.05340472918542</v>
      </c>
      <c r="F17" s="73">
        <f>F$39*AVERAGE(_xlfn.XLOOKUP($C17,Table_4!$117:$117,Table_4!$119:$119,"",1),_xlfn.XLOOKUP($C17,Table_4!$117:$117,Table_4!$119:$119,"",-1))</f>
        <v>134.11363313272994</v>
      </c>
    </row>
    <row r="18" spans="2:6" x14ac:dyDescent="0.25">
      <c r="B18" s="1">
        <v>37681</v>
      </c>
      <c r="C18" s="23">
        <f t="shared" si="0"/>
        <v>2003</v>
      </c>
      <c r="D18" s="23">
        <f t="shared" si="1"/>
        <v>3</v>
      </c>
      <c r="E18" s="73">
        <f>E$39*AVERAGE(_xlfn.XLOOKUP($C18,Table_4!$117:$117,Table_4!$119:$119,"",1),_xlfn.XLOOKUP($C18,Table_4!$117:$117,Table_4!$119:$119,"",-1))</f>
        <v>192.60673837842961</v>
      </c>
      <c r="F18" s="73">
        <f>F$39*AVERAGE(_xlfn.XLOOKUP($C18,Table_4!$117:$117,Table_4!$119:$119,"",1),_xlfn.XLOOKUP($C18,Table_4!$117:$117,Table_4!$119:$119,"",-1))</f>
        <v>142.671658058096</v>
      </c>
    </row>
    <row r="19" spans="2:6" x14ac:dyDescent="0.25">
      <c r="B19" s="1">
        <v>37773</v>
      </c>
      <c r="C19" s="23">
        <f t="shared" si="0"/>
        <v>2003</v>
      </c>
      <c r="D19" s="23">
        <f t="shared" si="1"/>
        <v>6</v>
      </c>
      <c r="E19" s="73">
        <f>E$39*AVERAGE(_xlfn.XLOOKUP($C19,Table_4!$117:$117,Table_4!$119:$119,"",1),_xlfn.XLOOKUP($C19,Table_4!$117:$117,Table_4!$119:$119,"",-1))</f>
        <v>192.60673837842961</v>
      </c>
      <c r="F19" s="73">
        <f>F$39*AVERAGE(_xlfn.XLOOKUP($C19,Table_4!$117:$117,Table_4!$119:$119,"",1),_xlfn.XLOOKUP($C19,Table_4!$117:$117,Table_4!$119:$119,"",-1))</f>
        <v>142.671658058096</v>
      </c>
    </row>
    <row r="20" spans="2:6" x14ac:dyDescent="0.25">
      <c r="B20" s="1">
        <v>37865</v>
      </c>
      <c r="C20" s="23">
        <f t="shared" si="0"/>
        <v>2003</v>
      </c>
      <c r="D20" s="23">
        <f t="shared" si="1"/>
        <v>9</v>
      </c>
      <c r="E20" s="73">
        <f>E$39*AVERAGE(_xlfn.XLOOKUP($C20,Table_4!$117:$117,Table_4!$119:$119,"",1),_xlfn.XLOOKUP($C20,Table_4!$117:$117,Table_4!$119:$119,"",-1))</f>
        <v>192.60673837842961</v>
      </c>
      <c r="F20" s="73">
        <f>F$39*AVERAGE(_xlfn.XLOOKUP($C20,Table_4!$117:$117,Table_4!$119:$119,"",1),_xlfn.XLOOKUP($C20,Table_4!$117:$117,Table_4!$119:$119,"",-1))</f>
        <v>142.671658058096</v>
      </c>
    </row>
    <row r="21" spans="2:6" x14ac:dyDescent="0.25">
      <c r="B21" s="1">
        <v>37956</v>
      </c>
      <c r="C21" s="23">
        <f t="shared" si="0"/>
        <v>2003</v>
      </c>
      <c r="D21" s="23">
        <f t="shared" si="1"/>
        <v>12</v>
      </c>
      <c r="E21" s="73">
        <f>E$39*AVERAGE(_xlfn.XLOOKUP($C21,Table_4!$117:$117,Table_4!$119:$119,"",1),_xlfn.XLOOKUP($C21,Table_4!$117:$117,Table_4!$119:$119,"",-1))</f>
        <v>192.60673837842961</v>
      </c>
      <c r="F21" s="73">
        <f>F$39*AVERAGE(_xlfn.XLOOKUP($C21,Table_4!$117:$117,Table_4!$119:$119,"",1),_xlfn.XLOOKUP($C21,Table_4!$117:$117,Table_4!$119:$119,"",-1))</f>
        <v>142.671658058096</v>
      </c>
    </row>
    <row r="22" spans="2:6" x14ac:dyDescent="0.25">
      <c r="B22" s="1">
        <v>38047</v>
      </c>
      <c r="C22" s="23">
        <f t="shared" si="0"/>
        <v>2004</v>
      </c>
      <c r="D22" s="23">
        <f t="shared" si="1"/>
        <v>3</v>
      </c>
      <c r="E22" s="73">
        <f>E$39*AVERAGE(_xlfn.XLOOKUP($C22,Table_4!$117:$117,Table_4!$119:$119,"",1),_xlfn.XLOOKUP($C22,Table_4!$117:$117,Table_4!$119:$119,"",-1))</f>
        <v>202.40979955456572</v>
      </c>
      <c r="F22" s="73">
        <f>F$39*AVERAGE(_xlfn.XLOOKUP($C22,Table_4!$117:$117,Table_4!$119:$119,"",1),_xlfn.XLOOKUP($C22,Table_4!$117:$117,Table_4!$119:$119,"",-1))</f>
        <v>149.93318485523386</v>
      </c>
    </row>
    <row r="23" spans="2:6" x14ac:dyDescent="0.25">
      <c r="B23" s="1">
        <v>38139</v>
      </c>
      <c r="C23" s="23">
        <f t="shared" si="0"/>
        <v>2004</v>
      </c>
      <c r="D23" s="23">
        <f t="shared" si="1"/>
        <v>6</v>
      </c>
      <c r="E23" s="73">
        <f>E$39*AVERAGE(_xlfn.XLOOKUP($C23,Table_4!$117:$117,Table_4!$119:$119,"",1),_xlfn.XLOOKUP($C23,Table_4!$117:$117,Table_4!$119:$119,"",-1))</f>
        <v>202.40979955456572</v>
      </c>
      <c r="F23" s="73">
        <f>F$39*AVERAGE(_xlfn.XLOOKUP($C23,Table_4!$117:$117,Table_4!$119:$119,"",1),_xlfn.XLOOKUP($C23,Table_4!$117:$117,Table_4!$119:$119,"",-1))</f>
        <v>149.93318485523386</v>
      </c>
    </row>
    <row r="24" spans="2:6" x14ac:dyDescent="0.25">
      <c r="B24" s="1">
        <v>38231</v>
      </c>
      <c r="C24" s="23">
        <f t="shared" si="0"/>
        <v>2004</v>
      </c>
      <c r="D24" s="23">
        <f t="shared" si="1"/>
        <v>9</v>
      </c>
      <c r="E24" s="73">
        <f>E$39*AVERAGE(_xlfn.XLOOKUP($C24,Table_4!$117:$117,Table_4!$119:$119,"",1),_xlfn.XLOOKUP($C24,Table_4!$117:$117,Table_4!$119:$119,"",-1))</f>
        <v>202.40979955456572</v>
      </c>
      <c r="F24" s="73">
        <f>F$39*AVERAGE(_xlfn.XLOOKUP($C24,Table_4!$117:$117,Table_4!$119:$119,"",1),_xlfn.XLOOKUP($C24,Table_4!$117:$117,Table_4!$119:$119,"",-1))</f>
        <v>149.93318485523386</v>
      </c>
    </row>
    <row r="25" spans="2:6" x14ac:dyDescent="0.25">
      <c r="B25" s="1">
        <v>38322</v>
      </c>
      <c r="C25" s="23">
        <f t="shared" si="0"/>
        <v>2004</v>
      </c>
      <c r="D25" s="23">
        <f t="shared" si="1"/>
        <v>12</v>
      </c>
      <c r="E25" s="73">
        <f>E$39*AVERAGE(_xlfn.XLOOKUP($C25,Table_4!$117:$117,Table_4!$119:$119,"",1),_xlfn.XLOOKUP($C25,Table_4!$117:$117,Table_4!$119:$119,"",-1))</f>
        <v>202.40979955456572</v>
      </c>
      <c r="F25" s="73">
        <f>F$39*AVERAGE(_xlfn.XLOOKUP($C25,Table_4!$117:$117,Table_4!$119:$119,"",1),_xlfn.XLOOKUP($C25,Table_4!$117:$117,Table_4!$119:$119,"",-1))</f>
        <v>149.93318485523386</v>
      </c>
    </row>
    <row r="26" spans="2:6" x14ac:dyDescent="0.25">
      <c r="B26" s="1">
        <v>38412</v>
      </c>
      <c r="C26" s="23">
        <f t="shared" si="0"/>
        <v>2005</v>
      </c>
      <c r="D26" s="23">
        <f t="shared" si="1"/>
        <v>3</v>
      </c>
      <c r="E26" s="73">
        <f>E$39*AVERAGE(_xlfn.XLOOKUP($C26,Table_4!$117:$117,Table_4!$119:$119,"",1),_xlfn.XLOOKUP($C26,Table_4!$117:$117,Table_4!$119:$119,"",-1))</f>
        <v>220.52793441690756</v>
      </c>
      <c r="F26" s="73">
        <f>F$39*AVERAGE(_xlfn.XLOOKUP($C26,Table_4!$117:$117,Table_4!$119:$119,"",1),_xlfn.XLOOKUP($C26,Table_4!$117:$117,Table_4!$119:$119,"",-1))</f>
        <v>163.35402549400558</v>
      </c>
    </row>
    <row r="27" spans="2:6" x14ac:dyDescent="0.25">
      <c r="B27" s="1">
        <v>38504</v>
      </c>
      <c r="C27" s="23">
        <f t="shared" si="0"/>
        <v>2005</v>
      </c>
      <c r="D27" s="23">
        <f t="shared" si="1"/>
        <v>6</v>
      </c>
      <c r="E27" s="73">
        <f>E$39*AVERAGE(_xlfn.XLOOKUP($C27,Table_4!$117:$117,Table_4!$119:$119,"",1),_xlfn.XLOOKUP($C27,Table_4!$117:$117,Table_4!$119:$119,"",-1))</f>
        <v>220.52793441690756</v>
      </c>
      <c r="F27" s="73">
        <f>F$39*AVERAGE(_xlfn.XLOOKUP($C27,Table_4!$117:$117,Table_4!$119:$119,"",1),_xlfn.XLOOKUP($C27,Table_4!$117:$117,Table_4!$119:$119,"",-1))</f>
        <v>163.35402549400558</v>
      </c>
    </row>
    <row r="28" spans="2:6" x14ac:dyDescent="0.25">
      <c r="B28" s="1">
        <v>38596</v>
      </c>
      <c r="C28" s="23">
        <f t="shared" si="0"/>
        <v>2005</v>
      </c>
      <c r="D28" s="23">
        <f t="shared" si="1"/>
        <v>9</v>
      </c>
      <c r="E28" s="73">
        <f>E$39*AVERAGE(_xlfn.XLOOKUP($C28,Table_4!$117:$117,Table_4!$119:$119,"",1),_xlfn.XLOOKUP($C28,Table_4!$117:$117,Table_4!$119:$119,"",-1))</f>
        <v>220.52793441690756</v>
      </c>
      <c r="F28" s="73">
        <f>F$39*AVERAGE(_xlfn.XLOOKUP($C28,Table_4!$117:$117,Table_4!$119:$119,"",1),_xlfn.XLOOKUP($C28,Table_4!$117:$117,Table_4!$119:$119,"",-1))</f>
        <v>163.35402549400558</v>
      </c>
    </row>
    <row r="29" spans="2:6" x14ac:dyDescent="0.25">
      <c r="B29" s="1">
        <v>38687</v>
      </c>
      <c r="C29" s="23">
        <f t="shared" si="0"/>
        <v>2005</v>
      </c>
      <c r="D29" s="23">
        <f t="shared" si="1"/>
        <v>12</v>
      </c>
      <c r="E29" s="73">
        <f>E$39*AVERAGE(_xlfn.XLOOKUP($C29,Table_4!$117:$117,Table_4!$119:$119,"",1),_xlfn.XLOOKUP($C29,Table_4!$117:$117,Table_4!$119:$119,"",-1))</f>
        <v>220.52793441690756</v>
      </c>
      <c r="F29" s="73">
        <f>F$39*AVERAGE(_xlfn.XLOOKUP($C29,Table_4!$117:$117,Table_4!$119:$119,"",1),_xlfn.XLOOKUP($C29,Table_4!$117:$117,Table_4!$119:$119,"",-1))</f>
        <v>163.35402549400558</v>
      </c>
    </row>
    <row r="30" spans="2:6" x14ac:dyDescent="0.25">
      <c r="B30" s="1">
        <v>38777</v>
      </c>
      <c r="C30" s="23">
        <f t="shared" si="0"/>
        <v>2006</v>
      </c>
      <c r="D30" s="23">
        <f t="shared" si="1"/>
        <v>3</v>
      </c>
      <c r="E30" s="73">
        <f>E$39*AVERAGE(_xlfn.XLOOKUP($C30,Table_4!$117:$117,Table_4!$119:$119,"",1),_xlfn.XLOOKUP($C30,Table_4!$117:$117,Table_4!$119:$119,"",-1))</f>
        <v>238.64606927924939</v>
      </c>
      <c r="F30" s="73">
        <f>F$39*AVERAGE(_xlfn.XLOOKUP($C30,Table_4!$117:$117,Table_4!$119:$119,"",1),_xlfn.XLOOKUP($C30,Table_4!$117:$117,Table_4!$119:$119,"",-1))</f>
        <v>176.77486613277733</v>
      </c>
    </row>
    <row r="31" spans="2:6" x14ac:dyDescent="0.25">
      <c r="B31" s="1">
        <v>38869</v>
      </c>
      <c r="C31" s="23">
        <f t="shared" si="0"/>
        <v>2006</v>
      </c>
      <c r="D31" s="23">
        <f t="shared" si="1"/>
        <v>6</v>
      </c>
      <c r="E31" s="73">
        <f>E$39*AVERAGE(_xlfn.XLOOKUP($C31,Table_4!$117:$117,Table_4!$119:$119,"",1),_xlfn.XLOOKUP($C31,Table_4!$117:$117,Table_4!$119:$119,"",-1))</f>
        <v>238.64606927924939</v>
      </c>
      <c r="F31" s="73">
        <f>F$39*AVERAGE(_xlfn.XLOOKUP($C31,Table_4!$117:$117,Table_4!$119:$119,"",1),_xlfn.XLOOKUP($C31,Table_4!$117:$117,Table_4!$119:$119,"",-1))</f>
        <v>176.77486613277733</v>
      </c>
    </row>
    <row r="32" spans="2:6" x14ac:dyDescent="0.25">
      <c r="B32" s="1">
        <v>38961</v>
      </c>
      <c r="C32" s="23">
        <f t="shared" si="0"/>
        <v>2006</v>
      </c>
      <c r="D32" s="23">
        <f t="shared" si="1"/>
        <v>9</v>
      </c>
      <c r="E32" s="73">
        <f>E$39*AVERAGE(_xlfn.XLOOKUP($C32,Table_4!$117:$117,Table_4!$119:$119,"",1),_xlfn.XLOOKUP($C32,Table_4!$117:$117,Table_4!$119:$119,"",-1))</f>
        <v>238.64606927924939</v>
      </c>
      <c r="F32" s="73">
        <f>F$39*AVERAGE(_xlfn.XLOOKUP($C32,Table_4!$117:$117,Table_4!$119:$119,"",1),_xlfn.XLOOKUP($C32,Table_4!$117:$117,Table_4!$119:$119,"",-1))</f>
        <v>176.77486613277733</v>
      </c>
    </row>
    <row r="33" spans="1:6" x14ac:dyDescent="0.25">
      <c r="B33" s="1">
        <v>39052</v>
      </c>
      <c r="C33" s="23">
        <f t="shared" si="0"/>
        <v>2006</v>
      </c>
      <c r="D33" s="23">
        <f t="shared" si="1"/>
        <v>12</v>
      </c>
      <c r="E33" s="73">
        <f>E$39*AVERAGE(_xlfn.XLOOKUP($C33,Table_4!$117:$117,Table_4!$119:$119,"",1),_xlfn.XLOOKUP($C33,Table_4!$117:$117,Table_4!$119:$119,"",-1))</f>
        <v>238.64606927924939</v>
      </c>
      <c r="F33" s="73">
        <f>F$39*AVERAGE(_xlfn.XLOOKUP($C33,Table_4!$117:$117,Table_4!$119:$119,"",1),_xlfn.XLOOKUP($C33,Table_4!$117:$117,Table_4!$119:$119,"",-1))</f>
        <v>176.77486613277733</v>
      </c>
    </row>
    <row r="34" spans="1:6" x14ac:dyDescent="0.25">
      <c r="B34" s="1">
        <v>39142</v>
      </c>
      <c r="C34" s="23">
        <f t="shared" ref="C34:C65" si="2">YEAR(B34)</f>
        <v>2007</v>
      </c>
      <c r="D34" s="23">
        <f t="shared" ref="D34:D65" si="3">MONTH(B34)</f>
        <v>3</v>
      </c>
      <c r="E34" s="73">
        <f>E$39*AVERAGE(_xlfn.XLOOKUP($C34,Table_4!$117:$117,Table_4!$119:$119,"",1),_xlfn.XLOOKUP($C34,Table_4!$117:$117,Table_4!$119:$119,"",-1))</f>
        <v>254.32303463962469</v>
      </c>
      <c r="F34" s="73">
        <f>F$39*AVERAGE(_xlfn.XLOOKUP($C34,Table_4!$117:$117,Table_4!$119:$119,"",1),_xlfn.XLOOKUP($C34,Table_4!$117:$117,Table_4!$119:$119,"",-1))</f>
        <v>188.38743306638867</v>
      </c>
    </row>
    <row r="35" spans="1:6" x14ac:dyDescent="0.25">
      <c r="B35" s="1">
        <v>39234</v>
      </c>
      <c r="C35" s="23">
        <f t="shared" si="2"/>
        <v>2007</v>
      </c>
      <c r="D35" s="23">
        <f t="shared" si="3"/>
        <v>6</v>
      </c>
      <c r="E35" s="73">
        <f>E$39*AVERAGE(_xlfn.XLOOKUP($C35,Table_4!$117:$117,Table_4!$119:$119,"",1),_xlfn.XLOOKUP($C35,Table_4!$117:$117,Table_4!$119:$119,"",-1))</f>
        <v>254.32303463962469</v>
      </c>
      <c r="F35" s="73">
        <f>F$39*AVERAGE(_xlfn.XLOOKUP($C35,Table_4!$117:$117,Table_4!$119:$119,"",1),_xlfn.XLOOKUP($C35,Table_4!$117:$117,Table_4!$119:$119,"",-1))</f>
        <v>188.38743306638867</v>
      </c>
    </row>
    <row r="36" spans="1:6" x14ac:dyDescent="0.25">
      <c r="B36" s="1">
        <v>39326</v>
      </c>
      <c r="C36" s="23">
        <f t="shared" si="2"/>
        <v>2007</v>
      </c>
      <c r="D36" s="23">
        <f t="shared" si="3"/>
        <v>9</v>
      </c>
      <c r="E36" s="73">
        <f>E$39*AVERAGE(_xlfn.XLOOKUP($C36,Table_4!$117:$117,Table_4!$119:$119,"",1),_xlfn.XLOOKUP($C36,Table_4!$117:$117,Table_4!$119:$119,"",-1))</f>
        <v>254.32303463962469</v>
      </c>
      <c r="F36" s="73">
        <f>F$39*AVERAGE(_xlfn.XLOOKUP($C36,Table_4!$117:$117,Table_4!$119:$119,"",1),_xlfn.XLOOKUP($C36,Table_4!$117:$117,Table_4!$119:$119,"",-1))</f>
        <v>188.38743306638867</v>
      </c>
    </row>
    <row r="37" spans="1:6" x14ac:dyDescent="0.25">
      <c r="B37" s="1">
        <v>39417</v>
      </c>
      <c r="C37" s="23">
        <f t="shared" si="2"/>
        <v>2007</v>
      </c>
      <c r="D37" s="23">
        <f t="shared" si="3"/>
        <v>12</v>
      </c>
      <c r="E37" s="73">
        <f>E$39*AVERAGE(_xlfn.XLOOKUP($C37,Table_4!$117:$117,Table_4!$119:$119,"",1),_xlfn.XLOOKUP($C37,Table_4!$117:$117,Table_4!$119:$119,"",-1))</f>
        <v>254.32303463962469</v>
      </c>
      <c r="F37" s="73">
        <f>F$39*AVERAGE(_xlfn.XLOOKUP($C37,Table_4!$117:$117,Table_4!$119:$119,"",1),_xlfn.XLOOKUP($C37,Table_4!$117:$117,Table_4!$119:$119,"",-1))</f>
        <v>188.38743306638867</v>
      </c>
    </row>
    <row r="38" spans="1:6" x14ac:dyDescent="0.25">
      <c r="B38" s="1">
        <v>39508</v>
      </c>
      <c r="C38" s="23">
        <f t="shared" si="2"/>
        <v>2008</v>
      </c>
      <c r="D38" s="23">
        <f t="shared" si="3"/>
        <v>3</v>
      </c>
      <c r="E38" s="72">
        <f>E$39*AVERAGE(_xlfn.XLOOKUP($C38,Table_4!$117:$117,Table_4!$119:$119,"",1),_xlfn.XLOOKUP($C38,Table_4!$117:$117,Table_4!$119:$119,"",-1))</f>
        <v>270</v>
      </c>
      <c r="F38" s="72">
        <f>F$39*AVERAGE(_xlfn.XLOOKUP($C38,Table_4!$117:$117,Table_4!$119:$119,"",1),_xlfn.XLOOKUP($C38,Table_4!$117:$117,Table_4!$119:$119,"",-1))</f>
        <v>200</v>
      </c>
    </row>
    <row r="39" spans="1:6" x14ac:dyDescent="0.25">
      <c r="B39" s="1">
        <v>39600</v>
      </c>
      <c r="C39" s="23">
        <f t="shared" si="2"/>
        <v>2008</v>
      </c>
      <c r="D39" s="23">
        <f t="shared" si="3"/>
        <v>6</v>
      </c>
      <c r="E39">
        <f>IFERROR(AVERAGEIFS('sa-rent-combined'!$U:$U,'sa-rent-combined'!$A:$A,"Metro",'sa-rent-combined'!$B:$B,$C39,'sa-rent-combined'!$C:$C,$D39),
AVERAGEIFS('sa-rent-combined'!$U:$U,'sa-rent-combined'!$A:$A,"Metro Total",'sa-rent-combined'!$B:$B,$C39,'sa-rent-combined'!$C:$C,$D39))</f>
        <v>270</v>
      </c>
      <c r="F39">
        <f>IFERROR(AVERAGEIFS('sa-rent-combined'!$U:$U,'sa-rent-combined'!$A:$A,"Rest of State",'sa-rent-combined'!$B:$B,$C39,'sa-rent-combined'!$C:$C,$D39),
AVERAGEIFS('sa-rent-combined'!$U:$U,'sa-rent-combined'!$A:$A,"Rest of State Total",'sa-rent-combined'!$B:$B,$C39,'sa-rent-combined'!$C:$C,$D39))</f>
        <v>200</v>
      </c>
    </row>
    <row r="40" spans="1:6" x14ac:dyDescent="0.25">
      <c r="B40" s="1">
        <v>39692</v>
      </c>
      <c r="C40" s="23">
        <f t="shared" si="2"/>
        <v>2008</v>
      </c>
      <c r="D40" s="23">
        <f t="shared" si="3"/>
        <v>9</v>
      </c>
      <c r="E40">
        <f>IFERROR(AVERAGEIFS('sa-rent-combined'!$U:$U,'sa-rent-combined'!$A:$A,"Metro",'sa-rent-combined'!$B:$B,$C40,'sa-rent-combined'!$C:$C,$D40),
AVERAGEIFS('sa-rent-combined'!$U:$U,'sa-rent-combined'!$A:$A,"Metro Total",'sa-rent-combined'!$B:$B,$C40,'sa-rent-combined'!$C:$C,$D40))</f>
        <v>280</v>
      </c>
      <c r="F40">
        <f>IFERROR(AVERAGEIFS('sa-rent-combined'!$U:$U,'sa-rent-combined'!$A:$A,"Rest of State",'sa-rent-combined'!$B:$B,$C40,'sa-rent-combined'!$C:$C,$D40),
AVERAGEIFS('sa-rent-combined'!$U:$U,'sa-rent-combined'!$A:$A,"Rest of State Total",'sa-rent-combined'!$B:$B,$C40,'sa-rent-combined'!$C:$C,$D40))</f>
        <v>200</v>
      </c>
    </row>
    <row r="41" spans="1:6" x14ac:dyDescent="0.25">
      <c r="B41" s="1">
        <v>39783</v>
      </c>
      <c r="C41" s="23">
        <f t="shared" si="2"/>
        <v>2008</v>
      </c>
      <c r="D41" s="23">
        <f t="shared" si="3"/>
        <v>12</v>
      </c>
      <c r="E41">
        <f>IFERROR(AVERAGEIFS('sa-rent-combined'!$U:$U,'sa-rent-combined'!$A:$A,"Metro",'sa-rent-combined'!$B:$B,$C41,'sa-rent-combined'!$C:$C,$D41),
AVERAGEIFS('sa-rent-combined'!$U:$U,'sa-rent-combined'!$A:$A,"Metro Total",'sa-rent-combined'!$B:$B,$C41,'sa-rent-combined'!$C:$C,$D41))</f>
        <v>280</v>
      </c>
      <c r="F41">
        <f>IFERROR(AVERAGEIFS('sa-rent-combined'!$U:$U,'sa-rent-combined'!$A:$A,"Rest of State",'sa-rent-combined'!$B:$B,$C41,'sa-rent-combined'!$C:$C,$D41),
AVERAGEIFS('sa-rent-combined'!$U:$U,'sa-rent-combined'!$A:$A,"Rest of State Total",'sa-rent-combined'!$B:$B,$C41,'sa-rent-combined'!$C:$C,$D41))</f>
        <v>200</v>
      </c>
    </row>
    <row r="42" spans="1:6" x14ac:dyDescent="0.25">
      <c r="B42" s="1">
        <v>39873</v>
      </c>
      <c r="C42" s="23">
        <f t="shared" si="2"/>
        <v>2009</v>
      </c>
      <c r="D42" s="23">
        <f t="shared" si="3"/>
        <v>3</v>
      </c>
      <c r="E42">
        <f>IFERROR(AVERAGEIFS('sa-rent-combined'!$U:$U,'sa-rent-combined'!$A:$A,"Metro",'sa-rent-combined'!$B:$B,$C42,'sa-rent-combined'!$C:$C,$D42),
AVERAGEIFS('sa-rent-combined'!$U:$U,'sa-rent-combined'!$A:$A,"Metro Total",'sa-rent-combined'!$B:$B,$C42,'sa-rent-combined'!$C:$C,$D42))</f>
        <v>290</v>
      </c>
      <c r="F42">
        <f>IFERROR(AVERAGEIFS('sa-rent-combined'!$U:$U,'sa-rent-combined'!$A:$A,"Rest of State",'sa-rent-combined'!$B:$B,$C42,'sa-rent-combined'!$C:$C,$D42),
AVERAGEIFS('sa-rent-combined'!$U:$U,'sa-rent-combined'!$A:$A,"Rest of State Total",'sa-rent-combined'!$B:$B,$C42,'sa-rent-combined'!$C:$C,$D42))</f>
        <v>210</v>
      </c>
    </row>
    <row r="43" spans="1:6" x14ac:dyDescent="0.25">
      <c r="B43" s="1">
        <v>39965</v>
      </c>
      <c r="C43" s="23">
        <f t="shared" si="2"/>
        <v>2009</v>
      </c>
      <c r="D43" s="23">
        <f t="shared" si="3"/>
        <v>6</v>
      </c>
      <c r="E43">
        <f>IFERROR(AVERAGEIFS('sa-rent-combined'!$U:$U,'sa-rent-combined'!$A:$A,"Metro",'sa-rent-combined'!$B:$B,$C43,'sa-rent-combined'!$C:$C,$D43),
AVERAGEIFS('sa-rent-combined'!$U:$U,'sa-rent-combined'!$A:$A,"Metro Total",'sa-rent-combined'!$B:$B,$C43,'sa-rent-combined'!$C:$C,$D43))</f>
        <v>290</v>
      </c>
      <c r="F43">
        <f>IFERROR(AVERAGEIFS('sa-rent-combined'!$U:$U,'sa-rent-combined'!$A:$A,"Rest of State",'sa-rent-combined'!$B:$B,$C43,'sa-rent-combined'!$C:$C,$D43),
AVERAGEIFS('sa-rent-combined'!$U:$U,'sa-rent-combined'!$A:$A,"Rest of State Total",'sa-rent-combined'!$B:$B,$C43,'sa-rent-combined'!$C:$C,$D43))</f>
        <v>220</v>
      </c>
    </row>
    <row r="44" spans="1:6" x14ac:dyDescent="0.25">
      <c r="B44" s="1">
        <v>40057</v>
      </c>
      <c r="C44" s="23">
        <f t="shared" si="2"/>
        <v>2009</v>
      </c>
      <c r="D44" s="23">
        <f t="shared" si="3"/>
        <v>9</v>
      </c>
      <c r="E44">
        <f>IFERROR(AVERAGEIFS('sa-rent-combined'!$U:$U,'sa-rent-combined'!$A:$A,"Metro",'sa-rent-combined'!$B:$B,$C44,'sa-rent-combined'!$C:$C,$D44),
AVERAGEIFS('sa-rent-combined'!$U:$U,'sa-rent-combined'!$A:$A,"Metro Total",'sa-rent-combined'!$B:$B,$C44,'sa-rent-combined'!$C:$C,$D44))</f>
        <v>295</v>
      </c>
      <c r="F44">
        <f>IFERROR(AVERAGEIFS('sa-rent-combined'!$U:$U,'sa-rent-combined'!$A:$A,"Rest of State",'sa-rent-combined'!$B:$B,$C44,'sa-rent-combined'!$C:$C,$D44),
AVERAGEIFS('sa-rent-combined'!$U:$U,'sa-rent-combined'!$A:$A,"Rest of State Total",'sa-rent-combined'!$B:$B,$C44,'sa-rent-combined'!$C:$C,$D44))</f>
        <v>220</v>
      </c>
    </row>
    <row r="45" spans="1:6" x14ac:dyDescent="0.25">
      <c r="B45" s="1">
        <v>40148</v>
      </c>
      <c r="C45" s="23">
        <f t="shared" si="2"/>
        <v>2009</v>
      </c>
      <c r="D45" s="23">
        <f t="shared" si="3"/>
        <v>12</v>
      </c>
      <c r="E45">
        <f>IFERROR(AVERAGEIFS('sa-rent-combined'!$U:$U,'sa-rent-combined'!$A:$A,"Metro",'sa-rent-combined'!$B:$B,$C45,'sa-rent-combined'!$C:$C,$D45),
AVERAGEIFS('sa-rent-combined'!$U:$U,'sa-rent-combined'!$A:$A,"Metro Total",'sa-rent-combined'!$B:$B,$C45,'sa-rent-combined'!$C:$C,$D45))</f>
        <v>300</v>
      </c>
      <c r="F45">
        <f>IFERROR(AVERAGEIFS('sa-rent-combined'!$U:$U,'sa-rent-combined'!$A:$A,"Rest of State",'sa-rent-combined'!$B:$B,$C45,'sa-rent-combined'!$C:$C,$D45),
AVERAGEIFS('sa-rent-combined'!$U:$U,'sa-rent-combined'!$A:$A,"Rest of State Total",'sa-rent-combined'!$B:$B,$C45,'sa-rent-combined'!$C:$C,$D45))</f>
        <v>225</v>
      </c>
    </row>
    <row r="46" spans="1:6" x14ac:dyDescent="0.25">
      <c r="A46" s="3"/>
      <c r="B46" s="1">
        <v>40238</v>
      </c>
      <c r="C46" s="23">
        <f t="shared" si="2"/>
        <v>2010</v>
      </c>
      <c r="D46" s="23">
        <f t="shared" si="3"/>
        <v>3</v>
      </c>
      <c r="E46">
        <f>IFERROR(AVERAGEIFS('sa-rent-combined'!$U:$U,'sa-rent-combined'!$A:$A,"Metro",'sa-rent-combined'!$B:$B,$C46,'sa-rent-combined'!$C:$C,$D46),
AVERAGEIFS('sa-rent-combined'!$U:$U,'sa-rent-combined'!$A:$A,"Metro Total",'sa-rent-combined'!$B:$B,$C46,'sa-rent-combined'!$C:$C,$D46))</f>
        <v>310</v>
      </c>
      <c r="F46">
        <f>IFERROR(AVERAGEIFS('sa-rent-combined'!$U:$U,'sa-rent-combined'!$A:$A,"Rest of State",'sa-rent-combined'!$B:$B,$C46,'sa-rent-combined'!$C:$C,$D46),
AVERAGEIFS('sa-rent-combined'!$U:$U,'sa-rent-combined'!$A:$A,"Rest of State Total",'sa-rent-combined'!$B:$B,$C46,'sa-rent-combined'!$C:$C,$D46))</f>
        <v>230</v>
      </c>
    </row>
    <row r="47" spans="1:6" x14ac:dyDescent="0.25">
      <c r="A47" s="3"/>
      <c r="B47" s="1">
        <v>40330</v>
      </c>
      <c r="C47" s="23">
        <f t="shared" si="2"/>
        <v>2010</v>
      </c>
      <c r="D47" s="23">
        <f t="shared" si="3"/>
        <v>6</v>
      </c>
      <c r="E47">
        <f>IFERROR(AVERAGEIFS('sa-rent-combined'!$U:$U,'sa-rent-combined'!$A:$A,"Metro",'sa-rent-combined'!$B:$B,$C47,'sa-rent-combined'!$C:$C,$D47),
AVERAGEIFS('sa-rent-combined'!$U:$U,'sa-rent-combined'!$A:$A,"Metro Total",'sa-rent-combined'!$B:$B,$C47,'sa-rent-combined'!$C:$C,$D47))</f>
        <v>300</v>
      </c>
      <c r="F47">
        <f>IFERROR(AVERAGEIFS('sa-rent-combined'!$U:$U,'sa-rent-combined'!$A:$A,"Rest of State",'sa-rent-combined'!$B:$B,$C47,'sa-rent-combined'!$C:$C,$D47),
AVERAGEIFS('sa-rent-combined'!$U:$U,'sa-rent-combined'!$A:$A,"Rest of State Total",'sa-rent-combined'!$B:$B,$C47,'sa-rent-combined'!$C:$C,$D47))</f>
        <v>220</v>
      </c>
    </row>
    <row r="48" spans="1:6" x14ac:dyDescent="0.25">
      <c r="A48" s="3"/>
      <c r="B48" s="1">
        <v>40422</v>
      </c>
      <c r="C48" s="23">
        <f t="shared" si="2"/>
        <v>2010</v>
      </c>
      <c r="D48" s="23">
        <f t="shared" si="3"/>
        <v>9</v>
      </c>
      <c r="E48">
        <f>IFERROR(AVERAGEIFS('sa-rent-combined'!$U:$U,'sa-rent-combined'!$A:$A,"Metro",'sa-rent-combined'!$B:$B,$C48,'sa-rent-combined'!$C:$C,$D48),
AVERAGEIFS('sa-rent-combined'!$U:$U,'sa-rent-combined'!$A:$A,"Metro Total",'sa-rent-combined'!$B:$B,$C48,'sa-rent-combined'!$C:$C,$D48))</f>
        <v>310</v>
      </c>
      <c r="F48">
        <f>IFERROR(AVERAGEIFS('sa-rent-combined'!$U:$U,'sa-rent-combined'!$A:$A,"Rest of State",'sa-rent-combined'!$B:$B,$C48,'sa-rent-combined'!$C:$C,$D48),
AVERAGEIFS('sa-rent-combined'!$U:$U,'sa-rent-combined'!$A:$A,"Rest of State Total",'sa-rent-combined'!$B:$B,$C48,'sa-rent-combined'!$C:$C,$D48))</f>
        <v>230</v>
      </c>
    </row>
    <row r="49" spans="1:6" x14ac:dyDescent="0.25">
      <c r="A49" s="3"/>
      <c r="B49" s="1">
        <v>40513</v>
      </c>
      <c r="C49" s="23">
        <f t="shared" si="2"/>
        <v>2010</v>
      </c>
      <c r="D49" s="23">
        <f t="shared" si="3"/>
        <v>12</v>
      </c>
      <c r="E49">
        <f>IFERROR(AVERAGEIFS('sa-rent-combined'!$U:$U,'sa-rent-combined'!$A:$A,"Metro",'sa-rent-combined'!$B:$B,$C49,'sa-rent-combined'!$C:$C,$D49),
AVERAGEIFS('sa-rent-combined'!$U:$U,'sa-rent-combined'!$A:$A,"Metro Total",'sa-rent-combined'!$B:$B,$C49,'sa-rent-combined'!$C:$C,$D49))</f>
        <v>312.5</v>
      </c>
      <c r="F49">
        <f>IFERROR(AVERAGEIFS('sa-rent-combined'!$U:$U,'sa-rent-combined'!$A:$A,"Rest of State",'sa-rent-combined'!$B:$B,$C49,'sa-rent-combined'!$C:$C,$D49),
AVERAGEIFS('sa-rent-combined'!$U:$U,'sa-rent-combined'!$A:$A,"Rest of State Total",'sa-rent-combined'!$B:$B,$C49,'sa-rent-combined'!$C:$C,$D49))</f>
        <v>230</v>
      </c>
    </row>
    <row r="50" spans="1:6" x14ac:dyDescent="0.25">
      <c r="A50" s="3"/>
      <c r="B50" s="1">
        <v>40603</v>
      </c>
      <c r="C50" s="23">
        <f t="shared" si="2"/>
        <v>2011</v>
      </c>
      <c r="D50" s="23">
        <f t="shared" si="3"/>
        <v>3</v>
      </c>
      <c r="E50">
        <f>IFERROR(AVERAGEIFS('sa-rent-combined'!$U:$U,'sa-rent-combined'!$A:$A,"Metro",'sa-rent-combined'!$B:$B,$C50,'sa-rent-combined'!$C:$C,$D50),
AVERAGEIFS('sa-rent-combined'!$U:$U,'sa-rent-combined'!$A:$A,"Metro Total",'sa-rent-combined'!$B:$B,$C50,'sa-rent-combined'!$C:$C,$D50))</f>
        <v>320</v>
      </c>
      <c r="F50">
        <f>IFERROR(AVERAGEIFS('sa-rent-combined'!$U:$U,'sa-rent-combined'!$A:$A,"Rest of State",'sa-rent-combined'!$B:$B,$C50,'sa-rent-combined'!$C:$C,$D50),
AVERAGEIFS('sa-rent-combined'!$U:$U,'sa-rent-combined'!$A:$A,"Rest of State Total",'sa-rent-combined'!$B:$B,$C50,'sa-rent-combined'!$C:$C,$D50))</f>
        <v>240</v>
      </c>
    </row>
    <row r="51" spans="1:6" x14ac:dyDescent="0.25">
      <c r="A51" s="3"/>
      <c r="B51" s="1">
        <v>40695</v>
      </c>
      <c r="C51" s="23">
        <f t="shared" si="2"/>
        <v>2011</v>
      </c>
      <c r="D51" s="23">
        <f t="shared" si="3"/>
        <v>6</v>
      </c>
      <c r="E51">
        <f>IFERROR(AVERAGEIFS('sa-rent-combined'!$U:$U,'sa-rent-combined'!$A:$A,"Metro",'sa-rent-combined'!$B:$B,$C51,'sa-rent-combined'!$C:$C,$D51),
AVERAGEIFS('sa-rent-combined'!$U:$U,'sa-rent-combined'!$A:$A,"Metro Total",'sa-rent-combined'!$B:$B,$C51,'sa-rent-combined'!$C:$C,$D51))</f>
        <v>320</v>
      </c>
      <c r="F51">
        <f>IFERROR(AVERAGEIFS('sa-rent-combined'!$U:$U,'sa-rent-combined'!$A:$A,"Rest of State",'sa-rent-combined'!$B:$B,$C51,'sa-rent-combined'!$C:$C,$D51),
AVERAGEIFS('sa-rent-combined'!$U:$U,'sa-rent-combined'!$A:$A,"Rest of State Total",'sa-rent-combined'!$B:$B,$C51,'sa-rent-combined'!$C:$C,$D51))</f>
        <v>240</v>
      </c>
    </row>
    <row r="52" spans="1:6" x14ac:dyDescent="0.25">
      <c r="A52" s="3"/>
      <c r="B52" s="1">
        <v>40787</v>
      </c>
      <c r="C52" s="23">
        <f t="shared" si="2"/>
        <v>2011</v>
      </c>
      <c r="D52" s="23">
        <f t="shared" si="3"/>
        <v>9</v>
      </c>
      <c r="E52">
        <f>IFERROR(AVERAGEIFS('sa-rent-combined'!$U:$U,'sa-rent-combined'!$A:$A,"Metro",'sa-rent-combined'!$B:$B,$C52,'sa-rent-combined'!$C:$C,$D52),
AVERAGEIFS('sa-rent-combined'!$U:$U,'sa-rent-combined'!$A:$A,"Metro Total",'sa-rent-combined'!$B:$B,$C52,'sa-rent-combined'!$C:$C,$D52))</f>
        <v>320</v>
      </c>
      <c r="F52">
        <f>IFERROR(AVERAGEIFS('sa-rent-combined'!$U:$U,'sa-rent-combined'!$A:$A,"Rest of State",'sa-rent-combined'!$B:$B,$C52,'sa-rent-combined'!$C:$C,$D52),
AVERAGEIFS('sa-rent-combined'!$U:$U,'sa-rent-combined'!$A:$A,"Rest of State Total",'sa-rent-combined'!$B:$B,$C52,'sa-rent-combined'!$C:$C,$D52))</f>
        <v>245</v>
      </c>
    </row>
    <row r="53" spans="1:6" x14ac:dyDescent="0.25">
      <c r="A53" s="3"/>
      <c r="B53" s="1">
        <v>40878</v>
      </c>
      <c r="C53" s="23">
        <f t="shared" si="2"/>
        <v>2011</v>
      </c>
      <c r="D53" s="23">
        <f t="shared" si="3"/>
        <v>12</v>
      </c>
      <c r="E53">
        <f>IFERROR(AVERAGEIFS('sa-rent-combined'!$U:$U,'sa-rent-combined'!$A:$A,"Metro",'sa-rent-combined'!$B:$B,$C53,'sa-rent-combined'!$C:$C,$D53),
AVERAGEIFS('sa-rent-combined'!$U:$U,'sa-rent-combined'!$A:$A,"Metro Total",'sa-rent-combined'!$B:$B,$C53,'sa-rent-combined'!$C:$C,$D53))</f>
        <v>320</v>
      </c>
      <c r="F53">
        <f>IFERROR(AVERAGEIFS('sa-rent-combined'!$U:$U,'sa-rent-combined'!$A:$A,"Rest of State",'sa-rent-combined'!$B:$B,$C53,'sa-rent-combined'!$C:$C,$D53),
AVERAGEIFS('sa-rent-combined'!$U:$U,'sa-rent-combined'!$A:$A,"Rest of State Total",'sa-rent-combined'!$B:$B,$C53,'sa-rent-combined'!$C:$C,$D53))</f>
        <v>240</v>
      </c>
    </row>
    <row r="54" spans="1:6" x14ac:dyDescent="0.25">
      <c r="A54" s="3"/>
      <c r="B54" s="1">
        <v>40969</v>
      </c>
      <c r="C54" s="23">
        <f t="shared" si="2"/>
        <v>2012</v>
      </c>
      <c r="D54" s="23">
        <f t="shared" si="3"/>
        <v>3</v>
      </c>
      <c r="E54">
        <f>IFERROR(AVERAGEIFS('sa-rent-combined'!$U:$U,'sa-rent-combined'!$A:$A,"Metro",'sa-rent-combined'!$B:$B,$C54,'sa-rent-combined'!$C:$C,$D54),
AVERAGEIFS('sa-rent-combined'!$U:$U,'sa-rent-combined'!$A:$A,"Metro Total",'sa-rent-combined'!$B:$B,$C54,'sa-rent-combined'!$C:$C,$D54))</f>
        <v>330</v>
      </c>
      <c r="F54">
        <f>IFERROR(AVERAGEIFS('sa-rent-combined'!$U:$U,'sa-rent-combined'!$A:$A,"Rest of State",'sa-rent-combined'!$B:$B,$C54,'sa-rent-combined'!$C:$C,$D54),
AVERAGEIFS('sa-rent-combined'!$U:$U,'sa-rent-combined'!$A:$A,"Rest of State Total",'sa-rent-combined'!$B:$B,$C54,'sa-rent-combined'!$C:$C,$D54))</f>
        <v>250</v>
      </c>
    </row>
    <row r="55" spans="1:6" x14ac:dyDescent="0.25">
      <c r="A55" s="3"/>
      <c r="B55" s="1">
        <v>41061</v>
      </c>
      <c r="C55" s="23">
        <f t="shared" si="2"/>
        <v>2012</v>
      </c>
      <c r="D55" s="23">
        <f t="shared" si="3"/>
        <v>6</v>
      </c>
      <c r="E55">
        <f>IFERROR(AVERAGEIFS('sa-rent-combined'!$U:$U,'sa-rent-combined'!$A:$A,"Metro",'sa-rent-combined'!$B:$B,$C55,'sa-rent-combined'!$C:$C,$D55),
AVERAGEIFS('sa-rent-combined'!$U:$U,'sa-rent-combined'!$A:$A,"Metro Total",'sa-rent-combined'!$B:$B,$C55,'sa-rent-combined'!$C:$C,$D55))</f>
        <v>320</v>
      </c>
      <c r="F55">
        <f>IFERROR(AVERAGEIFS('sa-rent-combined'!$U:$U,'sa-rent-combined'!$A:$A,"Rest of State",'sa-rent-combined'!$B:$B,$C55,'sa-rent-combined'!$C:$C,$D55),
AVERAGEIFS('sa-rent-combined'!$U:$U,'sa-rent-combined'!$A:$A,"Rest of State Total",'sa-rent-combined'!$B:$B,$C55,'sa-rent-combined'!$C:$C,$D55))</f>
        <v>245</v>
      </c>
    </row>
    <row r="56" spans="1:6" x14ac:dyDescent="0.25">
      <c r="A56" s="3"/>
      <c r="B56" s="1">
        <v>41153</v>
      </c>
      <c r="C56" s="23">
        <f t="shared" si="2"/>
        <v>2012</v>
      </c>
      <c r="D56" s="23">
        <f t="shared" si="3"/>
        <v>9</v>
      </c>
      <c r="E56">
        <f>IFERROR(AVERAGEIFS('sa-rent-combined'!$U:$U,'sa-rent-combined'!$A:$A,"Metro",'sa-rent-combined'!$B:$B,$C56,'sa-rent-combined'!$C:$C,$D56),
AVERAGEIFS('sa-rent-combined'!$U:$U,'sa-rent-combined'!$A:$A,"Metro Total",'sa-rent-combined'!$B:$B,$C56,'sa-rent-combined'!$C:$C,$D56))</f>
        <v>320</v>
      </c>
      <c r="F56">
        <f>IFERROR(AVERAGEIFS('sa-rent-combined'!$U:$U,'sa-rent-combined'!$A:$A,"Rest of State",'sa-rent-combined'!$B:$B,$C56,'sa-rent-combined'!$C:$C,$D56),
AVERAGEIFS('sa-rent-combined'!$U:$U,'sa-rent-combined'!$A:$A,"Rest of State Total",'sa-rent-combined'!$B:$B,$C56,'sa-rent-combined'!$C:$C,$D56))</f>
        <v>250</v>
      </c>
    </row>
    <row r="57" spans="1:6" x14ac:dyDescent="0.25">
      <c r="A57" s="3"/>
      <c r="B57" s="1">
        <v>41244</v>
      </c>
      <c r="C57" s="23">
        <f t="shared" si="2"/>
        <v>2012</v>
      </c>
      <c r="D57" s="23">
        <f t="shared" si="3"/>
        <v>12</v>
      </c>
      <c r="E57">
        <f>IFERROR(AVERAGEIFS('sa-rent-combined'!$U:$U,'sa-rent-combined'!$A:$A,"Metro",'sa-rent-combined'!$B:$B,$C57,'sa-rent-combined'!$C:$C,$D57),
AVERAGEIFS('sa-rent-combined'!$U:$U,'sa-rent-combined'!$A:$A,"Metro Total",'sa-rent-combined'!$B:$B,$C57,'sa-rent-combined'!$C:$C,$D57))</f>
        <v>325</v>
      </c>
      <c r="F57">
        <f>IFERROR(AVERAGEIFS('sa-rent-combined'!$U:$U,'sa-rent-combined'!$A:$A,"Rest of State",'sa-rent-combined'!$B:$B,$C57,'sa-rent-combined'!$C:$C,$D57),
AVERAGEIFS('sa-rent-combined'!$U:$U,'sa-rent-combined'!$A:$A,"Rest of State Total",'sa-rent-combined'!$B:$B,$C57,'sa-rent-combined'!$C:$C,$D57))</f>
        <v>245</v>
      </c>
    </row>
    <row r="58" spans="1:6" x14ac:dyDescent="0.25">
      <c r="A58" s="3"/>
      <c r="B58" s="1">
        <v>41334</v>
      </c>
      <c r="C58" s="23">
        <f t="shared" si="2"/>
        <v>2013</v>
      </c>
      <c r="D58" s="23">
        <f t="shared" si="3"/>
        <v>3</v>
      </c>
      <c r="E58">
        <f>IFERROR(AVERAGEIFS('sa-rent-combined'!$U:$U,'sa-rent-combined'!$A:$A,"Metro",'sa-rent-combined'!$B:$B,$C58,'sa-rent-combined'!$C:$C,$D58),
AVERAGEIFS('sa-rent-combined'!$U:$U,'sa-rent-combined'!$A:$A,"Metro Total",'sa-rent-combined'!$B:$B,$C58,'sa-rent-combined'!$C:$C,$D58))</f>
        <v>330</v>
      </c>
      <c r="F58">
        <f>IFERROR(AVERAGEIFS('sa-rent-combined'!$U:$U,'sa-rent-combined'!$A:$A,"Rest of State",'sa-rent-combined'!$B:$B,$C58,'sa-rent-combined'!$C:$C,$D58),
AVERAGEIFS('sa-rent-combined'!$U:$U,'sa-rent-combined'!$A:$A,"Rest of State Total",'sa-rent-combined'!$B:$B,$C58,'sa-rent-combined'!$C:$C,$D58))</f>
        <v>250</v>
      </c>
    </row>
    <row r="59" spans="1:6" x14ac:dyDescent="0.25">
      <c r="A59" s="3"/>
      <c r="B59" s="1">
        <v>41426</v>
      </c>
      <c r="C59" s="23">
        <f t="shared" si="2"/>
        <v>2013</v>
      </c>
      <c r="D59" s="23">
        <f t="shared" si="3"/>
        <v>6</v>
      </c>
      <c r="E59">
        <f>IFERROR(AVERAGEIFS('sa-rent-combined'!$U:$U,'sa-rent-combined'!$A:$A,"Metro",'sa-rent-combined'!$B:$B,$C59,'sa-rent-combined'!$C:$C,$D59),
AVERAGEIFS('sa-rent-combined'!$U:$U,'sa-rent-combined'!$A:$A,"Metro Total",'sa-rent-combined'!$B:$B,$C59,'sa-rent-combined'!$C:$C,$D59))</f>
        <v>320</v>
      </c>
      <c r="F59">
        <f>IFERROR(AVERAGEIFS('sa-rent-combined'!$U:$U,'sa-rent-combined'!$A:$A,"Rest of State",'sa-rent-combined'!$B:$B,$C59,'sa-rent-combined'!$C:$C,$D59),
AVERAGEIFS('sa-rent-combined'!$U:$U,'sa-rent-combined'!$A:$A,"Rest of State Total",'sa-rent-combined'!$B:$B,$C59,'sa-rent-combined'!$C:$C,$D59))</f>
        <v>250</v>
      </c>
    </row>
    <row r="60" spans="1:6" x14ac:dyDescent="0.25">
      <c r="A60" s="3"/>
      <c r="B60" s="1">
        <v>41518</v>
      </c>
      <c r="C60" s="23">
        <f t="shared" si="2"/>
        <v>2013</v>
      </c>
      <c r="D60" s="23">
        <f t="shared" si="3"/>
        <v>9</v>
      </c>
      <c r="E60">
        <f>IFERROR(AVERAGEIFS('sa-rent-combined'!$U:$U,'sa-rent-combined'!$A:$A,"Metro",'sa-rent-combined'!$B:$B,$C60,'sa-rent-combined'!$C:$C,$D60),
AVERAGEIFS('sa-rent-combined'!$U:$U,'sa-rent-combined'!$A:$A,"Metro Total",'sa-rent-combined'!$B:$B,$C60,'sa-rent-combined'!$C:$C,$D60))</f>
        <v>325</v>
      </c>
      <c r="F60">
        <f>IFERROR(AVERAGEIFS('sa-rent-combined'!$U:$U,'sa-rent-combined'!$A:$A,"Rest of State",'sa-rent-combined'!$B:$B,$C60,'sa-rent-combined'!$C:$C,$D60),
AVERAGEIFS('sa-rent-combined'!$U:$U,'sa-rent-combined'!$A:$A,"Rest of State Total",'sa-rent-combined'!$B:$B,$C60,'sa-rent-combined'!$C:$C,$D60))</f>
        <v>250</v>
      </c>
    </row>
    <row r="61" spans="1:6" x14ac:dyDescent="0.25">
      <c r="A61" s="3"/>
      <c r="B61" s="1">
        <v>41609</v>
      </c>
      <c r="C61" s="23">
        <f t="shared" si="2"/>
        <v>2013</v>
      </c>
      <c r="D61" s="23">
        <f t="shared" si="3"/>
        <v>12</v>
      </c>
      <c r="E61">
        <f>IFERROR(AVERAGEIFS('sa-rent-combined'!$U:$U,'sa-rent-combined'!$A:$A,"Metro",'sa-rent-combined'!$B:$B,$C61,'sa-rent-combined'!$C:$C,$D61),
AVERAGEIFS('sa-rent-combined'!$U:$U,'sa-rent-combined'!$A:$A,"Metro Total",'sa-rent-combined'!$B:$B,$C61,'sa-rent-combined'!$C:$C,$D61))</f>
        <v>327.5</v>
      </c>
      <c r="F61">
        <f>IFERROR(AVERAGEIFS('sa-rent-combined'!$U:$U,'sa-rent-combined'!$A:$A,"Rest of State",'sa-rent-combined'!$B:$B,$C61,'sa-rent-combined'!$C:$C,$D61),
AVERAGEIFS('sa-rent-combined'!$U:$U,'sa-rent-combined'!$A:$A,"Rest of State Total",'sa-rent-combined'!$B:$B,$C61,'sa-rent-combined'!$C:$C,$D61))</f>
        <v>250</v>
      </c>
    </row>
    <row r="62" spans="1:6" x14ac:dyDescent="0.25">
      <c r="A62" s="3"/>
      <c r="B62" s="1">
        <v>41699</v>
      </c>
      <c r="C62" s="23">
        <f t="shared" si="2"/>
        <v>2014</v>
      </c>
      <c r="D62" s="23">
        <f t="shared" si="3"/>
        <v>3</v>
      </c>
      <c r="E62">
        <f>IFERROR(AVERAGEIFS('sa-rent-combined'!$U:$U,'sa-rent-combined'!$A:$A,"Metro",'sa-rent-combined'!$B:$B,$C62,'sa-rent-combined'!$C:$C,$D62),
AVERAGEIFS('sa-rent-combined'!$U:$U,'sa-rent-combined'!$A:$A,"Metro Total",'sa-rent-combined'!$B:$B,$C62,'sa-rent-combined'!$C:$C,$D62))</f>
        <v>330</v>
      </c>
      <c r="F62">
        <f>IFERROR(AVERAGEIFS('sa-rent-combined'!$U:$U,'sa-rent-combined'!$A:$A,"Rest of State",'sa-rent-combined'!$B:$B,$C62,'sa-rent-combined'!$C:$C,$D62),
AVERAGEIFS('sa-rent-combined'!$U:$U,'sa-rent-combined'!$A:$A,"Rest of State Total",'sa-rent-combined'!$B:$B,$C62,'sa-rent-combined'!$C:$C,$D62))</f>
        <v>250</v>
      </c>
    </row>
    <row r="63" spans="1:6" x14ac:dyDescent="0.25">
      <c r="A63" s="3"/>
      <c r="B63" s="1">
        <v>41791</v>
      </c>
      <c r="C63" s="23">
        <f t="shared" si="2"/>
        <v>2014</v>
      </c>
      <c r="D63" s="23">
        <f t="shared" si="3"/>
        <v>6</v>
      </c>
      <c r="E63">
        <f>IFERROR(AVERAGEIFS('sa-rent-combined'!$U:$U,'sa-rent-combined'!$A:$A,"Metro",'sa-rent-combined'!$B:$B,$C63,'sa-rent-combined'!$C:$C,$D63),
AVERAGEIFS('sa-rent-combined'!$U:$U,'sa-rent-combined'!$A:$A,"Metro Total",'sa-rent-combined'!$B:$B,$C63,'sa-rent-combined'!$C:$C,$D63))</f>
        <v>340</v>
      </c>
      <c r="F63">
        <f>IFERROR(AVERAGEIFS('sa-rent-combined'!$U:$U,'sa-rent-combined'!$A:$A,"Rest of State",'sa-rent-combined'!$B:$B,$C63,'sa-rent-combined'!$C:$C,$D63),
AVERAGEIFS('sa-rent-combined'!$U:$U,'sa-rent-combined'!$A:$A,"Rest of State Total",'sa-rent-combined'!$B:$B,$C63,'sa-rent-combined'!$C:$C,$D63))</f>
        <v>253</v>
      </c>
    </row>
    <row r="64" spans="1:6" x14ac:dyDescent="0.25">
      <c r="A64" s="3"/>
      <c r="B64" s="1">
        <v>41883</v>
      </c>
      <c r="C64" s="23">
        <f t="shared" si="2"/>
        <v>2014</v>
      </c>
      <c r="D64" s="23">
        <f t="shared" si="3"/>
        <v>9</v>
      </c>
      <c r="E64">
        <f>IFERROR(AVERAGEIFS('sa-rent-combined'!$U:$U,'sa-rent-combined'!$A:$A,"Metro",'sa-rent-combined'!$B:$B,$C64,'sa-rent-combined'!$C:$C,$D64),
AVERAGEIFS('sa-rent-combined'!$U:$U,'sa-rent-combined'!$A:$A,"Metro Total",'sa-rent-combined'!$B:$B,$C64,'sa-rent-combined'!$C:$C,$D64))</f>
        <v>330</v>
      </c>
      <c r="F64">
        <f>IFERROR(AVERAGEIFS('sa-rent-combined'!$U:$U,'sa-rent-combined'!$A:$A,"Rest of State",'sa-rent-combined'!$B:$B,$C64,'sa-rent-combined'!$C:$C,$D64),
AVERAGEIFS('sa-rent-combined'!$U:$U,'sa-rent-combined'!$A:$A,"Rest of State Total",'sa-rent-combined'!$B:$B,$C64,'sa-rent-combined'!$C:$C,$D64))</f>
        <v>255</v>
      </c>
    </row>
    <row r="65" spans="1:6" x14ac:dyDescent="0.25">
      <c r="A65" s="3"/>
      <c r="B65" s="1">
        <v>41974</v>
      </c>
      <c r="C65" s="23">
        <f t="shared" si="2"/>
        <v>2014</v>
      </c>
      <c r="D65" s="23">
        <f t="shared" si="3"/>
        <v>12</v>
      </c>
      <c r="E65">
        <f>IFERROR(AVERAGEIFS('sa-rent-combined'!$U:$U,'sa-rent-combined'!$A:$A,"Metro",'sa-rent-combined'!$B:$B,$C65,'sa-rent-combined'!$C:$C,$D65),
AVERAGEIFS('sa-rent-combined'!$U:$U,'sa-rent-combined'!$A:$A,"Metro Total",'sa-rent-combined'!$B:$B,$C65,'sa-rent-combined'!$C:$C,$D65))</f>
        <v>330</v>
      </c>
      <c r="F65">
        <f>IFERROR(AVERAGEIFS('sa-rent-combined'!$U:$U,'sa-rent-combined'!$A:$A,"Rest of State",'sa-rent-combined'!$B:$B,$C65,'sa-rent-combined'!$C:$C,$D65),
AVERAGEIFS('sa-rent-combined'!$U:$U,'sa-rent-combined'!$A:$A,"Rest of State Total",'sa-rent-combined'!$B:$B,$C65,'sa-rent-combined'!$C:$C,$D65))</f>
        <v>255</v>
      </c>
    </row>
    <row r="66" spans="1:6" x14ac:dyDescent="0.25">
      <c r="A66" s="3"/>
      <c r="B66" s="1">
        <v>42064</v>
      </c>
      <c r="C66" s="23">
        <f t="shared" ref="C66:C97" si="4">YEAR(B66)</f>
        <v>2015</v>
      </c>
      <c r="D66" s="23">
        <f t="shared" ref="D66:D97" si="5">MONTH(B66)</f>
        <v>3</v>
      </c>
      <c r="E66">
        <f>IFERROR(AVERAGEIFS('sa-rent-combined'!$U:$U,'sa-rent-combined'!$A:$A,"Metro",'sa-rent-combined'!$B:$B,$C66,'sa-rent-combined'!$C:$C,$D66),
AVERAGEIFS('sa-rent-combined'!$U:$U,'sa-rent-combined'!$A:$A,"Metro Total",'sa-rent-combined'!$B:$B,$C66,'sa-rent-combined'!$C:$C,$D66))</f>
        <v>340</v>
      </c>
      <c r="F66">
        <f>IFERROR(AVERAGEIFS('sa-rent-combined'!$U:$U,'sa-rent-combined'!$A:$A,"Rest of State",'sa-rent-combined'!$B:$B,$C66,'sa-rent-combined'!$C:$C,$D66),
AVERAGEIFS('sa-rent-combined'!$U:$U,'sa-rent-combined'!$A:$A,"Rest of State Total",'sa-rent-combined'!$B:$B,$C66,'sa-rent-combined'!$C:$C,$D66))</f>
        <v>255</v>
      </c>
    </row>
    <row r="67" spans="1:6" x14ac:dyDescent="0.25">
      <c r="A67" s="3"/>
      <c r="B67" s="1">
        <v>42156</v>
      </c>
      <c r="C67" s="23">
        <f t="shared" si="4"/>
        <v>2015</v>
      </c>
      <c r="D67" s="23">
        <f t="shared" si="5"/>
        <v>6</v>
      </c>
      <c r="E67">
        <f>IFERROR(AVERAGEIFS('sa-rent-combined'!$U:$U,'sa-rent-combined'!$A:$A,"Metro",'sa-rent-combined'!$B:$B,$C67,'sa-rent-combined'!$C:$C,$D67),
AVERAGEIFS('sa-rent-combined'!$U:$U,'sa-rent-combined'!$A:$A,"Metro Total",'sa-rent-combined'!$B:$B,$C67,'sa-rent-combined'!$C:$C,$D67))</f>
        <v>340</v>
      </c>
      <c r="F67">
        <f>IFERROR(AVERAGEIFS('sa-rent-combined'!$U:$U,'sa-rent-combined'!$A:$A,"Rest of State",'sa-rent-combined'!$B:$B,$C67,'sa-rent-combined'!$C:$C,$D67),
AVERAGEIFS('sa-rent-combined'!$U:$U,'sa-rent-combined'!$A:$A,"Rest of State Total",'sa-rent-combined'!$B:$B,$C67,'sa-rent-combined'!$C:$C,$D67))</f>
        <v>250</v>
      </c>
    </row>
    <row r="68" spans="1:6" x14ac:dyDescent="0.25">
      <c r="A68" s="3"/>
      <c r="B68" s="1">
        <v>42248</v>
      </c>
      <c r="C68" s="23">
        <f t="shared" si="4"/>
        <v>2015</v>
      </c>
      <c r="D68" s="23">
        <f t="shared" si="5"/>
        <v>9</v>
      </c>
      <c r="E68">
        <f>IFERROR(AVERAGEIFS('sa-rent-combined'!$U:$U,'sa-rent-combined'!$A:$A,"Metro",'sa-rent-combined'!$B:$B,$C68,'sa-rent-combined'!$C:$C,$D68),
AVERAGEIFS('sa-rent-combined'!$U:$U,'sa-rent-combined'!$A:$A,"Metro Total",'sa-rent-combined'!$B:$B,$C68,'sa-rent-combined'!$C:$C,$D68))</f>
        <v>340</v>
      </c>
      <c r="F68">
        <f>IFERROR(AVERAGEIFS('sa-rent-combined'!$U:$U,'sa-rent-combined'!$A:$A,"Rest of State",'sa-rent-combined'!$B:$B,$C68,'sa-rent-combined'!$C:$C,$D68),
AVERAGEIFS('sa-rent-combined'!$U:$U,'sa-rent-combined'!$A:$A,"Rest of State Total",'sa-rent-combined'!$B:$B,$C68,'sa-rent-combined'!$C:$C,$D68))</f>
        <v>250</v>
      </c>
    </row>
    <row r="69" spans="1:6" x14ac:dyDescent="0.25">
      <c r="A69" s="3"/>
      <c r="B69" s="1">
        <v>42339</v>
      </c>
      <c r="C69" s="23">
        <f t="shared" si="4"/>
        <v>2015</v>
      </c>
      <c r="D69" s="23">
        <f t="shared" si="5"/>
        <v>12</v>
      </c>
      <c r="E69">
        <f>IFERROR(AVERAGEIFS('sa-rent-combined'!$U:$U,'sa-rent-combined'!$A:$A,"Metro",'sa-rent-combined'!$B:$B,$C69,'sa-rent-combined'!$C:$C,$D69),
AVERAGEIFS('sa-rent-combined'!$U:$U,'sa-rent-combined'!$A:$A,"Metro Total",'sa-rent-combined'!$B:$B,$C69,'sa-rent-combined'!$C:$C,$D69))</f>
        <v>330</v>
      </c>
      <c r="F69">
        <f>IFERROR(AVERAGEIFS('sa-rent-combined'!$U:$U,'sa-rent-combined'!$A:$A,"Rest of State",'sa-rent-combined'!$B:$B,$C69,'sa-rent-combined'!$C:$C,$D69),
AVERAGEIFS('sa-rent-combined'!$U:$U,'sa-rent-combined'!$A:$A,"Rest of State Total",'sa-rent-combined'!$B:$B,$C69,'sa-rent-combined'!$C:$C,$D69))</f>
        <v>250</v>
      </c>
    </row>
    <row r="70" spans="1:6" x14ac:dyDescent="0.25">
      <c r="A70" s="3"/>
      <c r="B70" s="1">
        <v>42430</v>
      </c>
      <c r="C70" s="23">
        <f t="shared" si="4"/>
        <v>2016</v>
      </c>
      <c r="D70" s="23">
        <f t="shared" si="5"/>
        <v>3</v>
      </c>
      <c r="E70">
        <f>IFERROR(AVERAGEIFS('sa-rent-combined'!$U:$U,'sa-rent-combined'!$A:$A,"Metro",'sa-rent-combined'!$B:$B,$C70,'sa-rent-combined'!$C:$C,$D70),
AVERAGEIFS('sa-rent-combined'!$U:$U,'sa-rent-combined'!$A:$A,"Metro Total",'sa-rent-combined'!$B:$B,$C70,'sa-rent-combined'!$C:$C,$D70))</f>
        <v>341</v>
      </c>
      <c r="F70">
        <f>IFERROR(AVERAGEIFS('sa-rent-combined'!$U:$U,'sa-rent-combined'!$A:$A,"Rest of State",'sa-rent-combined'!$B:$B,$C70,'sa-rent-combined'!$C:$C,$D70),
AVERAGEIFS('sa-rent-combined'!$U:$U,'sa-rent-combined'!$A:$A,"Rest of State Total",'sa-rent-combined'!$B:$B,$C70,'sa-rent-combined'!$C:$C,$D70))</f>
        <v>250</v>
      </c>
    </row>
    <row r="71" spans="1:6" x14ac:dyDescent="0.25">
      <c r="A71" s="3"/>
      <c r="B71" s="1">
        <v>42522</v>
      </c>
      <c r="C71" s="23">
        <f t="shared" si="4"/>
        <v>2016</v>
      </c>
      <c r="D71" s="23">
        <f t="shared" si="5"/>
        <v>6</v>
      </c>
      <c r="E71">
        <f>IFERROR(AVERAGEIFS('sa-rent-combined'!$U:$U,'sa-rent-combined'!$A:$A,"Metro",'sa-rent-combined'!$B:$B,$C71,'sa-rent-combined'!$C:$C,$D71),
AVERAGEIFS('sa-rent-combined'!$U:$U,'sa-rent-combined'!$A:$A,"Metro Total",'sa-rent-combined'!$B:$B,$C71,'sa-rent-combined'!$C:$C,$D71))</f>
        <v>335</v>
      </c>
      <c r="F71">
        <f>IFERROR(AVERAGEIFS('sa-rent-combined'!$U:$U,'sa-rent-combined'!$A:$A,"Rest of State",'sa-rent-combined'!$B:$B,$C71,'sa-rent-combined'!$C:$C,$D71),
AVERAGEIFS('sa-rent-combined'!$U:$U,'sa-rent-combined'!$A:$A,"Rest of State Total",'sa-rent-combined'!$B:$B,$C71,'sa-rent-combined'!$C:$C,$D71))</f>
        <v>250</v>
      </c>
    </row>
    <row r="72" spans="1:6" x14ac:dyDescent="0.25">
      <c r="A72" s="3"/>
      <c r="B72" s="1">
        <v>42614</v>
      </c>
      <c r="C72" s="23">
        <f t="shared" si="4"/>
        <v>2016</v>
      </c>
      <c r="D72" s="23">
        <f t="shared" si="5"/>
        <v>9</v>
      </c>
      <c r="E72">
        <f>IFERROR(AVERAGEIFS('sa-rent-combined'!$U:$U,'sa-rent-combined'!$A:$A,"Metro",'sa-rent-combined'!$B:$B,$C72,'sa-rent-combined'!$C:$C,$D72),
AVERAGEIFS('sa-rent-combined'!$U:$U,'sa-rent-combined'!$A:$A,"Metro Total",'sa-rent-combined'!$B:$B,$C72,'sa-rent-combined'!$C:$C,$D72))</f>
        <v>340</v>
      </c>
      <c r="F72">
        <f>IFERROR(AVERAGEIFS('sa-rent-combined'!$U:$U,'sa-rent-combined'!$A:$A,"Rest of State",'sa-rent-combined'!$B:$B,$C72,'sa-rent-combined'!$C:$C,$D72),
AVERAGEIFS('sa-rent-combined'!$U:$U,'sa-rent-combined'!$A:$A,"Rest of State Total",'sa-rent-combined'!$B:$B,$C72,'sa-rent-combined'!$C:$C,$D72))</f>
        <v>250</v>
      </c>
    </row>
    <row r="73" spans="1:6" x14ac:dyDescent="0.25">
      <c r="A73" s="3"/>
      <c r="B73" s="1">
        <v>42705</v>
      </c>
      <c r="C73" s="23">
        <f t="shared" si="4"/>
        <v>2016</v>
      </c>
      <c r="D73" s="23">
        <f t="shared" si="5"/>
        <v>12</v>
      </c>
      <c r="E73">
        <f>IFERROR(AVERAGEIFS('sa-rent-combined'!$U:$U,'sa-rent-combined'!$A:$A,"Metro",'sa-rent-combined'!$B:$B,$C73,'sa-rent-combined'!$C:$C,$D73),
AVERAGEIFS('sa-rent-combined'!$U:$U,'sa-rent-combined'!$A:$A,"Metro Total",'sa-rent-combined'!$B:$B,$C73,'sa-rent-combined'!$C:$C,$D73))</f>
        <v>340</v>
      </c>
      <c r="F73">
        <f>IFERROR(AVERAGEIFS('sa-rent-combined'!$U:$U,'sa-rent-combined'!$A:$A,"Rest of State",'sa-rent-combined'!$B:$B,$C73,'sa-rent-combined'!$C:$C,$D73),
AVERAGEIFS('sa-rent-combined'!$U:$U,'sa-rent-combined'!$A:$A,"Rest of State Total",'sa-rent-combined'!$B:$B,$C73,'sa-rent-combined'!$C:$C,$D73))</f>
        <v>250</v>
      </c>
    </row>
    <row r="74" spans="1:6" x14ac:dyDescent="0.25">
      <c r="A74" s="3"/>
      <c r="B74" s="1">
        <v>42795</v>
      </c>
      <c r="C74" s="23">
        <f t="shared" si="4"/>
        <v>2017</v>
      </c>
      <c r="D74" s="23">
        <f t="shared" si="5"/>
        <v>3</v>
      </c>
      <c r="E74">
        <f>IFERROR(AVERAGEIFS('sa-rent-combined'!$U:$U,'sa-rent-combined'!$A:$A,"Metro",'sa-rent-combined'!$B:$B,$C74,'sa-rent-combined'!$C:$C,$D74),
AVERAGEIFS('sa-rent-combined'!$U:$U,'sa-rent-combined'!$A:$A,"Metro Total",'sa-rent-combined'!$B:$B,$C74,'sa-rent-combined'!$C:$C,$D74))</f>
        <v>350</v>
      </c>
      <c r="F74">
        <f>IFERROR(AVERAGEIFS('sa-rent-combined'!$U:$U,'sa-rent-combined'!$A:$A,"Rest of State",'sa-rent-combined'!$B:$B,$C74,'sa-rent-combined'!$C:$C,$D74),
AVERAGEIFS('sa-rent-combined'!$U:$U,'sa-rent-combined'!$A:$A,"Rest of State Total",'sa-rent-combined'!$B:$B,$C74,'sa-rent-combined'!$C:$C,$D74))</f>
        <v>250</v>
      </c>
    </row>
    <row r="75" spans="1:6" x14ac:dyDescent="0.25">
      <c r="A75" s="3"/>
      <c r="B75" s="1">
        <v>42887</v>
      </c>
      <c r="C75" s="23">
        <f t="shared" si="4"/>
        <v>2017</v>
      </c>
      <c r="D75" s="23">
        <f t="shared" si="5"/>
        <v>6</v>
      </c>
      <c r="E75">
        <f>IFERROR(AVERAGEIFS('sa-rent-combined'!$U:$U,'sa-rent-combined'!$A:$A,"Metro",'sa-rent-combined'!$B:$B,$C75,'sa-rent-combined'!$C:$C,$D75),
AVERAGEIFS('sa-rent-combined'!$U:$U,'sa-rent-combined'!$A:$A,"Metro Total",'sa-rent-combined'!$B:$B,$C75,'sa-rent-combined'!$C:$C,$D75))</f>
        <v>340</v>
      </c>
      <c r="F75">
        <f>IFERROR(AVERAGEIFS('sa-rent-combined'!$U:$U,'sa-rent-combined'!$A:$A,"Rest of State",'sa-rent-combined'!$B:$B,$C75,'sa-rent-combined'!$C:$C,$D75),
AVERAGEIFS('sa-rent-combined'!$U:$U,'sa-rent-combined'!$A:$A,"Rest of State Total",'sa-rent-combined'!$B:$B,$C75,'sa-rent-combined'!$C:$C,$D75))</f>
        <v>250</v>
      </c>
    </row>
    <row r="76" spans="1:6" x14ac:dyDescent="0.25">
      <c r="A76" s="3"/>
      <c r="B76" s="1">
        <v>42979</v>
      </c>
      <c r="C76" s="23">
        <f t="shared" si="4"/>
        <v>2017</v>
      </c>
      <c r="D76" s="23">
        <f t="shared" si="5"/>
        <v>9</v>
      </c>
      <c r="E76">
        <f>IFERROR(AVERAGEIFS('sa-rent-combined'!$U:$U,'sa-rent-combined'!$A:$A,"Metro",'sa-rent-combined'!$B:$B,$C76,'sa-rent-combined'!$C:$C,$D76),
AVERAGEIFS('sa-rent-combined'!$U:$U,'sa-rent-combined'!$A:$A,"Metro Total",'sa-rent-combined'!$B:$B,$C76,'sa-rent-combined'!$C:$C,$D76))</f>
        <v>345</v>
      </c>
      <c r="F76">
        <f>IFERROR(AVERAGEIFS('sa-rent-combined'!$U:$U,'sa-rent-combined'!$A:$A,"Rest of State",'sa-rent-combined'!$B:$B,$C76,'sa-rent-combined'!$C:$C,$D76),
AVERAGEIFS('sa-rent-combined'!$U:$U,'sa-rent-combined'!$A:$A,"Rest of State Total",'sa-rent-combined'!$B:$B,$C76,'sa-rent-combined'!$C:$C,$D76))</f>
        <v>250</v>
      </c>
    </row>
    <row r="77" spans="1:6" x14ac:dyDescent="0.25">
      <c r="A77" s="3"/>
      <c r="B77" s="1">
        <v>43070</v>
      </c>
      <c r="C77" s="23">
        <f t="shared" si="4"/>
        <v>2017</v>
      </c>
      <c r="D77" s="23">
        <f t="shared" si="5"/>
        <v>12</v>
      </c>
      <c r="E77">
        <f>IFERROR(AVERAGEIFS('sa-rent-combined'!$U:$U,'sa-rent-combined'!$A:$A,"Metro",'sa-rent-combined'!$B:$B,$C77,'sa-rent-combined'!$C:$C,$D77),
AVERAGEIFS('sa-rent-combined'!$U:$U,'sa-rent-combined'!$A:$A,"Metro Total",'sa-rent-combined'!$B:$B,$C77,'sa-rent-combined'!$C:$C,$D77))</f>
        <v>345</v>
      </c>
      <c r="F77">
        <f>IFERROR(AVERAGEIFS('sa-rent-combined'!$U:$U,'sa-rent-combined'!$A:$A,"Rest of State",'sa-rent-combined'!$B:$B,$C77,'sa-rent-combined'!$C:$C,$D77),
AVERAGEIFS('sa-rent-combined'!$U:$U,'sa-rent-combined'!$A:$A,"Rest of State Total",'sa-rent-combined'!$B:$B,$C77,'sa-rent-combined'!$C:$C,$D77))</f>
        <v>255</v>
      </c>
    </row>
    <row r="78" spans="1:6" x14ac:dyDescent="0.25">
      <c r="A78" s="3"/>
      <c r="B78" s="1">
        <v>43160</v>
      </c>
      <c r="C78" s="23">
        <f t="shared" si="4"/>
        <v>2018</v>
      </c>
      <c r="D78" s="23">
        <f t="shared" si="5"/>
        <v>3</v>
      </c>
      <c r="E78">
        <f>IFERROR(AVERAGEIFS('sa-rent-combined'!$U:$U,'sa-rent-combined'!$A:$A,"Metro",'sa-rent-combined'!$B:$B,$C78,'sa-rent-combined'!$C:$C,$D78),
AVERAGEIFS('sa-rent-combined'!$U:$U,'sa-rent-combined'!$A:$A,"Metro Total",'sa-rent-combined'!$B:$B,$C78,'sa-rent-combined'!$C:$C,$D78))</f>
        <v>360</v>
      </c>
      <c r="F78">
        <f>IFERROR(AVERAGEIFS('sa-rent-combined'!$U:$U,'sa-rent-combined'!$A:$A,"Rest of State",'sa-rent-combined'!$B:$B,$C78,'sa-rent-combined'!$C:$C,$D78),
AVERAGEIFS('sa-rent-combined'!$U:$U,'sa-rent-combined'!$A:$A,"Rest of State Total",'sa-rent-combined'!$B:$B,$C78,'sa-rent-combined'!$C:$C,$D78))</f>
        <v>260</v>
      </c>
    </row>
    <row r="79" spans="1:6" x14ac:dyDescent="0.25">
      <c r="A79" s="3"/>
      <c r="B79" s="1">
        <v>43252</v>
      </c>
      <c r="C79" s="23">
        <f t="shared" si="4"/>
        <v>2018</v>
      </c>
      <c r="D79" s="23">
        <f t="shared" si="5"/>
        <v>6</v>
      </c>
      <c r="E79">
        <f>IFERROR(AVERAGEIFS('sa-rent-combined'!$U:$U,'sa-rent-combined'!$A:$A,"Metro",'sa-rent-combined'!$B:$B,$C79,'sa-rent-combined'!$C:$C,$D79),
AVERAGEIFS('sa-rent-combined'!$U:$U,'sa-rent-combined'!$A:$A,"Metro Total",'sa-rent-combined'!$B:$B,$C79,'sa-rent-combined'!$C:$C,$D79))</f>
        <v>350</v>
      </c>
      <c r="F79">
        <f>IFERROR(AVERAGEIFS('sa-rent-combined'!$U:$U,'sa-rent-combined'!$A:$A,"Rest of State",'sa-rent-combined'!$B:$B,$C79,'sa-rent-combined'!$C:$C,$D79),
AVERAGEIFS('sa-rent-combined'!$U:$U,'sa-rent-combined'!$A:$A,"Rest of State Total",'sa-rent-combined'!$B:$B,$C79,'sa-rent-combined'!$C:$C,$D79))</f>
        <v>260</v>
      </c>
    </row>
    <row r="80" spans="1:6" x14ac:dyDescent="0.25">
      <c r="A80" s="3"/>
      <c r="B80" s="1">
        <v>43344</v>
      </c>
      <c r="C80" s="23">
        <f t="shared" si="4"/>
        <v>2018</v>
      </c>
      <c r="D80" s="23">
        <f t="shared" si="5"/>
        <v>9</v>
      </c>
      <c r="E80">
        <f>IFERROR(AVERAGEIFS('sa-rent-combined'!$U:$U,'sa-rent-combined'!$A:$A,"Metro",'sa-rent-combined'!$B:$B,$C80,'sa-rent-combined'!$C:$C,$D80),
AVERAGEIFS('sa-rent-combined'!$U:$U,'sa-rent-combined'!$A:$A,"Metro Total",'sa-rent-combined'!$B:$B,$C80,'sa-rent-combined'!$C:$C,$D80))</f>
        <v>350</v>
      </c>
      <c r="F80">
        <f>IFERROR(AVERAGEIFS('sa-rent-combined'!$U:$U,'sa-rent-combined'!$A:$A,"Rest of State",'sa-rent-combined'!$B:$B,$C80,'sa-rent-combined'!$C:$C,$D80),
AVERAGEIFS('sa-rent-combined'!$U:$U,'sa-rent-combined'!$A:$A,"Rest of State Total",'sa-rent-combined'!$B:$B,$C80,'sa-rent-combined'!$C:$C,$D80))</f>
        <v>260</v>
      </c>
    </row>
    <row r="81" spans="1:6" x14ac:dyDescent="0.25">
      <c r="A81" s="3"/>
      <c r="B81" s="1">
        <v>43435</v>
      </c>
      <c r="C81" s="23">
        <f t="shared" si="4"/>
        <v>2018</v>
      </c>
      <c r="D81" s="23">
        <f t="shared" si="5"/>
        <v>12</v>
      </c>
      <c r="E81">
        <f>IFERROR(AVERAGEIFS('sa-rent-combined'!$U:$U,'sa-rent-combined'!$A:$A,"Metro",'sa-rent-combined'!$B:$B,$C81,'sa-rent-combined'!$C:$C,$D81),
AVERAGEIFS('sa-rent-combined'!$U:$U,'sa-rent-combined'!$A:$A,"Metro Total",'sa-rent-combined'!$B:$B,$C81,'sa-rent-combined'!$C:$C,$D81))</f>
        <v>355</v>
      </c>
      <c r="F81">
        <f>IFERROR(AVERAGEIFS('sa-rent-combined'!$U:$U,'sa-rent-combined'!$A:$A,"Rest of State",'sa-rent-combined'!$B:$B,$C81,'sa-rent-combined'!$C:$C,$D81),
AVERAGEIFS('sa-rent-combined'!$U:$U,'sa-rent-combined'!$A:$A,"Rest of State Total",'sa-rent-combined'!$B:$B,$C81,'sa-rent-combined'!$C:$C,$D81))</f>
        <v>260</v>
      </c>
    </row>
    <row r="82" spans="1:6" x14ac:dyDescent="0.25">
      <c r="A82" s="3"/>
      <c r="B82" s="1">
        <v>43525</v>
      </c>
      <c r="C82" s="23">
        <f t="shared" si="4"/>
        <v>2019</v>
      </c>
      <c r="D82" s="23">
        <f t="shared" si="5"/>
        <v>3</v>
      </c>
      <c r="E82">
        <f>IFERROR(AVERAGEIFS('sa-rent-combined'!$U:$U,'sa-rent-combined'!$A:$A,"Metro",'sa-rent-combined'!$B:$B,$C82,'sa-rent-combined'!$C:$C,$D82),
AVERAGEIFS('sa-rent-combined'!$U:$U,'sa-rent-combined'!$A:$A,"Metro Total",'sa-rent-combined'!$B:$B,$C82,'sa-rent-combined'!$C:$C,$D82))</f>
        <v>370</v>
      </c>
      <c r="F82">
        <f>IFERROR(AVERAGEIFS('sa-rent-combined'!$U:$U,'sa-rent-combined'!$A:$A,"Rest of State",'sa-rent-combined'!$B:$B,$C82,'sa-rent-combined'!$C:$C,$D82),
AVERAGEIFS('sa-rent-combined'!$U:$U,'sa-rent-combined'!$A:$A,"Rest of State Total",'sa-rent-combined'!$B:$B,$C82,'sa-rent-combined'!$C:$C,$D82))</f>
        <v>270</v>
      </c>
    </row>
    <row r="83" spans="1:6" x14ac:dyDescent="0.25">
      <c r="A83" s="3"/>
      <c r="B83" s="1">
        <v>43617</v>
      </c>
      <c r="C83" s="23">
        <f t="shared" si="4"/>
        <v>2019</v>
      </c>
      <c r="D83" s="23">
        <f t="shared" si="5"/>
        <v>6</v>
      </c>
      <c r="E83">
        <f>IFERROR(AVERAGEIFS('sa-rent-combined'!$U:$U,'sa-rent-combined'!$A:$A,"Metro",'sa-rent-combined'!$B:$B,$C83,'sa-rent-combined'!$C:$C,$D83),
AVERAGEIFS('sa-rent-combined'!$U:$U,'sa-rent-combined'!$A:$A,"Metro Total",'sa-rent-combined'!$B:$B,$C83,'sa-rent-combined'!$C:$C,$D83))</f>
        <v>360</v>
      </c>
      <c r="F83">
        <f>IFERROR(AVERAGEIFS('sa-rent-combined'!$U:$U,'sa-rent-combined'!$A:$A,"Rest of State",'sa-rent-combined'!$B:$B,$C83,'sa-rent-combined'!$C:$C,$D83),
AVERAGEIFS('sa-rent-combined'!$U:$U,'sa-rent-combined'!$A:$A,"Rest of State Total",'sa-rent-combined'!$B:$B,$C83,'sa-rent-combined'!$C:$C,$D83))</f>
        <v>267.5</v>
      </c>
    </row>
    <row r="84" spans="1:6" x14ac:dyDescent="0.25">
      <c r="A84" s="3"/>
      <c r="B84" s="1">
        <v>43709</v>
      </c>
      <c r="C84" s="23">
        <f t="shared" si="4"/>
        <v>2019</v>
      </c>
      <c r="D84" s="23">
        <f t="shared" si="5"/>
        <v>9</v>
      </c>
      <c r="E84">
        <f>IFERROR(AVERAGEIFS('sa-rent-combined'!$U:$U,'sa-rent-combined'!$A:$A,"Metro",'sa-rent-combined'!$B:$B,$C84,'sa-rent-combined'!$C:$C,$D84),
AVERAGEIFS('sa-rent-combined'!$U:$U,'sa-rent-combined'!$A:$A,"Metro Total",'sa-rent-combined'!$B:$B,$C84,'sa-rent-combined'!$C:$C,$D84))</f>
        <v>360</v>
      </c>
      <c r="F84">
        <f>IFERROR(AVERAGEIFS('sa-rent-combined'!$U:$U,'sa-rent-combined'!$A:$A,"Rest of State",'sa-rent-combined'!$B:$B,$C84,'sa-rent-combined'!$C:$C,$D84),
AVERAGEIFS('sa-rent-combined'!$U:$U,'sa-rent-combined'!$A:$A,"Rest of State Total",'sa-rent-combined'!$B:$B,$C84,'sa-rent-combined'!$C:$C,$D84))</f>
        <v>270</v>
      </c>
    </row>
    <row r="85" spans="1:6" x14ac:dyDescent="0.25">
      <c r="A85" s="3"/>
      <c r="B85" s="1">
        <v>43800</v>
      </c>
      <c r="C85" s="23">
        <f t="shared" si="4"/>
        <v>2019</v>
      </c>
      <c r="D85" s="23">
        <f t="shared" si="5"/>
        <v>12</v>
      </c>
      <c r="E85">
        <f>IFERROR(AVERAGEIFS('sa-rent-combined'!$U:$U,'sa-rent-combined'!$A:$A,"Metro",'sa-rent-combined'!$B:$B,$C85,'sa-rent-combined'!$C:$C,$D85),
AVERAGEIFS('sa-rent-combined'!$U:$U,'sa-rent-combined'!$A:$A,"Metro Total",'sa-rent-combined'!$B:$B,$C85,'sa-rent-combined'!$C:$C,$D85))</f>
        <v>370</v>
      </c>
      <c r="F85">
        <f>IFERROR(AVERAGEIFS('sa-rent-combined'!$U:$U,'sa-rent-combined'!$A:$A,"Rest of State",'sa-rent-combined'!$B:$B,$C85,'sa-rent-combined'!$C:$C,$D85),
AVERAGEIFS('sa-rent-combined'!$U:$U,'sa-rent-combined'!$A:$A,"Rest of State Total",'sa-rent-combined'!$B:$B,$C85,'sa-rent-combined'!$C:$C,$D85))</f>
        <v>270</v>
      </c>
    </row>
    <row r="86" spans="1:6" x14ac:dyDescent="0.25">
      <c r="A86" s="3"/>
      <c r="B86" s="1">
        <v>43891</v>
      </c>
      <c r="C86" s="23">
        <f t="shared" si="4"/>
        <v>2020</v>
      </c>
      <c r="D86" s="23">
        <f t="shared" si="5"/>
        <v>3</v>
      </c>
      <c r="E86">
        <f>IFERROR(AVERAGEIFS('sa-rent-combined'!$U:$U,'sa-rent-combined'!$A:$A,"Metro",'sa-rent-combined'!$B:$B,$C86,'sa-rent-combined'!$C:$C,$D86),
AVERAGEIFS('sa-rent-combined'!$U:$U,'sa-rent-combined'!$A:$A,"Metro Total",'sa-rent-combined'!$B:$B,$C86,'sa-rent-combined'!$C:$C,$D86))</f>
        <v>380</v>
      </c>
      <c r="F86">
        <f>IFERROR(AVERAGEIFS('sa-rent-combined'!$U:$U,'sa-rent-combined'!$A:$A,"Rest of State",'sa-rent-combined'!$B:$B,$C86,'sa-rent-combined'!$C:$C,$D86),
AVERAGEIFS('sa-rent-combined'!$U:$U,'sa-rent-combined'!$A:$A,"Rest of State Total",'sa-rent-combined'!$B:$B,$C86,'sa-rent-combined'!$C:$C,$D86))</f>
        <v>280</v>
      </c>
    </row>
    <row r="87" spans="1:6" x14ac:dyDescent="0.25">
      <c r="A87" s="3"/>
      <c r="B87" s="1">
        <v>43983</v>
      </c>
      <c r="C87" s="23">
        <f t="shared" si="4"/>
        <v>2020</v>
      </c>
      <c r="D87" s="23">
        <f t="shared" si="5"/>
        <v>6</v>
      </c>
      <c r="E87">
        <f>IFERROR(AVERAGEIFS('sa-rent-combined'!$U:$U,'sa-rent-combined'!$A:$A,"Metro",'sa-rent-combined'!$B:$B,$C87,'sa-rent-combined'!$C:$C,$D87),
AVERAGEIFS('sa-rent-combined'!$U:$U,'sa-rent-combined'!$A:$A,"Metro Total",'sa-rent-combined'!$B:$B,$C87,'sa-rent-combined'!$C:$C,$D87))</f>
        <v>360</v>
      </c>
      <c r="F87">
        <f>IFERROR(AVERAGEIFS('sa-rent-combined'!$U:$U,'sa-rent-combined'!$A:$A,"Rest of State",'sa-rent-combined'!$B:$B,$C87,'sa-rent-combined'!$C:$C,$D87),
AVERAGEIFS('sa-rent-combined'!$U:$U,'sa-rent-combined'!$A:$A,"Rest of State Total",'sa-rent-combined'!$B:$B,$C87,'sa-rent-combined'!$C:$C,$D87))</f>
        <v>270</v>
      </c>
    </row>
    <row r="88" spans="1:6" x14ac:dyDescent="0.25">
      <c r="A88" s="3"/>
      <c r="B88" s="1">
        <v>44075</v>
      </c>
      <c r="C88" s="23">
        <f t="shared" si="4"/>
        <v>2020</v>
      </c>
      <c r="D88" s="23">
        <f t="shared" si="5"/>
        <v>9</v>
      </c>
      <c r="E88">
        <f>IFERROR(AVERAGEIFS('sa-rent-combined'!$U:$U,'sa-rent-combined'!$A:$A,"Metro",'sa-rent-combined'!$B:$B,$C88,'sa-rent-combined'!$C:$C,$D88),
AVERAGEIFS('sa-rent-combined'!$U:$U,'sa-rent-combined'!$A:$A,"Metro Total",'sa-rent-combined'!$B:$B,$C88,'sa-rent-combined'!$C:$C,$D88))</f>
        <v>375</v>
      </c>
      <c r="F88">
        <f>IFERROR(AVERAGEIFS('sa-rent-combined'!$U:$U,'sa-rent-combined'!$A:$A,"Rest of State",'sa-rent-combined'!$B:$B,$C88,'sa-rent-combined'!$C:$C,$D88),
AVERAGEIFS('sa-rent-combined'!$U:$U,'sa-rent-combined'!$A:$A,"Rest of State Total",'sa-rent-combined'!$B:$B,$C88,'sa-rent-combined'!$C:$C,$D88))</f>
        <v>280</v>
      </c>
    </row>
    <row r="89" spans="1:6" x14ac:dyDescent="0.25">
      <c r="A89" s="3"/>
      <c r="B89" s="1">
        <v>44166</v>
      </c>
      <c r="C89" s="23">
        <f t="shared" si="4"/>
        <v>2020</v>
      </c>
      <c r="D89" s="23">
        <f t="shared" si="5"/>
        <v>12</v>
      </c>
      <c r="E89">
        <f>IFERROR(AVERAGEIFS('sa-rent-combined'!$U:$U,'sa-rent-combined'!$A:$A,"Metro",'sa-rent-combined'!$B:$B,$C89,'sa-rent-combined'!$C:$C,$D89),
AVERAGEIFS('sa-rent-combined'!$U:$U,'sa-rent-combined'!$A:$A,"Metro Total",'sa-rent-combined'!$B:$B,$C89,'sa-rent-combined'!$C:$C,$D89))</f>
        <v>390</v>
      </c>
      <c r="F89">
        <f>IFERROR(AVERAGEIFS('sa-rent-combined'!$U:$U,'sa-rent-combined'!$A:$A,"Rest of State",'sa-rent-combined'!$B:$B,$C89,'sa-rent-combined'!$C:$C,$D89),
AVERAGEIFS('sa-rent-combined'!$U:$U,'sa-rent-combined'!$A:$A,"Rest of State Total",'sa-rent-combined'!$B:$B,$C89,'sa-rent-combined'!$C:$C,$D89))</f>
        <v>280</v>
      </c>
    </row>
    <row r="90" spans="1:6" x14ac:dyDescent="0.25">
      <c r="A90" s="3"/>
      <c r="B90" s="1">
        <v>44256</v>
      </c>
      <c r="C90" s="23">
        <f t="shared" si="4"/>
        <v>2021</v>
      </c>
      <c r="D90" s="23">
        <f t="shared" si="5"/>
        <v>3</v>
      </c>
      <c r="E90">
        <f>IFERROR(AVERAGEIFS('sa-rent-combined'!$U:$U,'sa-rent-combined'!$A:$A,"Metro",'sa-rent-combined'!$B:$B,$C90,'sa-rent-combined'!$C:$C,$D90),
AVERAGEIFS('sa-rent-combined'!$U:$U,'sa-rent-combined'!$A:$A,"Metro Total",'sa-rent-combined'!$B:$B,$C90,'sa-rent-combined'!$C:$C,$D90))</f>
        <v>400</v>
      </c>
      <c r="F90">
        <f>IFERROR(AVERAGEIFS('sa-rent-combined'!$U:$U,'sa-rent-combined'!$A:$A,"Rest of State",'sa-rent-combined'!$B:$B,$C90,'sa-rent-combined'!$C:$C,$D90),
AVERAGEIFS('sa-rent-combined'!$U:$U,'sa-rent-combined'!$A:$A,"Rest of State Total",'sa-rent-combined'!$B:$B,$C90,'sa-rent-combined'!$C:$C,$D90))</f>
        <v>290</v>
      </c>
    </row>
    <row r="91" spans="1:6" x14ac:dyDescent="0.25">
      <c r="A91" s="3"/>
      <c r="B91" s="1">
        <v>44348</v>
      </c>
      <c r="C91" s="23">
        <f t="shared" si="4"/>
        <v>2021</v>
      </c>
      <c r="D91" s="23">
        <f t="shared" si="5"/>
        <v>6</v>
      </c>
      <c r="E91">
        <f>IFERROR(AVERAGEIFS('sa-rent-combined'!$U:$U,'sa-rent-combined'!$A:$A,"Metro",'sa-rent-combined'!$B:$B,$C91,'sa-rent-combined'!$C:$C,$D91),
AVERAGEIFS('sa-rent-combined'!$U:$U,'sa-rent-combined'!$A:$A,"Metro Total",'sa-rent-combined'!$B:$B,$C91,'sa-rent-combined'!$C:$C,$D91))</f>
        <v>400</v>
      </c>
      <c r="F91">
        <f>IFERROR(AVERAGEIFS('sa-rent-combined'!$U:$U,'sa-rent-combined'!$A:$A,"Rest of State",'sa-rent-combined'!$B:$B,$C91,'sa-rent-combined'!$C:$C,$D91),
AVERAGEIFS('sa-rent-combined'!$U:$U,'sa-rent-combined'!$A:$A,"Rest of State Total",'sa-rent-combined'!$B:$B,$C91,'sa-rent-combined'!$C:$C,$D91))</f>
        <v>300</v>
      </c>
    </row>
    <row r="92" spans="1:6" x14ac:dyDescent="0.25">
      <c r="A92" s="3"/>
      <c r="B92" s="1">
        <v>44440</v>
      </c>
      <c r="C92" s="23">
        <f t="shared" si="4"/>
        <v>2021</v>
      </c>
      <c r="D92" s="23">
        <f t="shared" si="5"/>
        <v>9</v>
      </c>
      <c r="E92">
        <f>IFERROR(AVERAGEIFS('sa-rent-combined'!$U:$U,'sa-rent-combined'!$A:$A,"Metro",'sa-rent-combined'!$B:$B,$C92,'sa-rent-combined'!$C:$C,$D92),
AVERAGEIFS('sa-rent-combined'!$U:$U,'sa-rent-combined'!$A:$A,"Metro Total",'sa-rent-combined'!$B:$B,$C92,'sa-rent-combined'!$C:$C,$D92))</f>
        <v>410</v>
      </c>
      <c r="F92">
        <f>IFERROR(AVERAGEIFS('sa-rent-combined'!$U:$U,'sa-rent-combined'!$A:$A,"Rest of State",'sa-rent-combined'!$B:$B,$C92,'sa-rent-combined'!$C:$C,$D92),
AVERAGEIFS('sa-rent-combined'!$U:$U,'sa-rent-combined'!$A:$A,"Rest of State Total",'sa-rent-combined'!$B:$B,$C92,'sa-rent-combined'!$C:$C,$D92))</f>
        <v>290</v>
      </c>
    </row>
    <row r="93" spans="1:6" x14ac:dyDescent="0.25">
      <c r="A93" s="3"/>
      <c r="B93" s="1">
        <v>44531</v>
      </c>
      <c r="C93" s="23">
        <f t="shared" si="4"/>
        <v>2021</v>
      </c>
      <c r="D93" s="23">
        <f t="shared" si="5"/>
        <v>12</v>
      </c>
      <c r="E93">
        <f>IFERROR(AVERAGEIFS('sa-rent-combined'!$U:$U,'sa-rent-combined'!$A:$A,"Metro",'sa-rent-combined'!$B:$B,$C93,'sa-rent-combined'!$C:$C,$D93),
AVERAGEIFS('sa-rent-combined'!$U:$U,'sa-rent-combined'!$A:$A,"Metro Total",'sa-rent-combined'!$B:$B,$C93,'sa-rent-combined'!$C:$C,$D93))</f>
        <v>420</v>
      </c>
      <c r="F93">
        <f>IFERROR(AVERAGEIFS('sa-rent-combined'!$U:$U,'sa-rent-combined'!$A:$A,"Rest of State",'sa-rent-combined'!$B:$B,$C93,'sa-rent-combined'!$C:$C,$D93),
AVERAGEIFS('sa-rent-combined'!$U:$U,'sa-rent-combined'!$A:$A,"Rest of State Total",'sa-rent-combined'!$B:$B,$C93,'sa-rent-combined'!$C:$C,$D93))</f>
        <v>305</v>
      </c>
    </row>
    <row r="94" spans="1:6" x14ac:dyDescent="0.25">
      <c r="A94" s="3"/>
      <c r="B94" s="1">
        <v>44621</v>
      </c>
      <c r="C94" s="23">
        <f t="shared" si="4"/>
        <v>2022</v>
      </c>
      <c r="D94" s="23">
        <f t="shared" si="5"/>
        <v>3</v>
      </c>
      <c r="E94">
        <f>IFERROR(AVERAGEIFS('sa-rent-combined'!$U:$U,'sa-rent-combined'!$A:$A,"Metro",'sa-rent-combined'!$B:$B,$C94,'sa-rent-combined'!$C:$C,$D94),
AVERAGEIFS('sa-rent-combined'!$U:$U,'sa-rent-combined'!$A:$A,"Metro Total",'sa-rent-combined'!$B:$B,$C94,'sa-rent-combined'!$C:$C,$D94))</f>
        <v>445</v>
      </c>
      <c r="F94">
        <f>IFERROR(AVERAGEIFS('sa-rent-combined'!$U:$U,'sa-rent-combined'!$A:$A,"Rest of State",'sa-rent-combined'!$B:$B,$C94,'sa-rent-combined'!$C:$C,$D94),
AVERAGEIFS('sa-rent-combined'!$U:$U,'sa-rent-combined'!$A:$A,"Rest of State Total",'sa-rent-combined'!$B:$B,$C94,'sa-rent-combined'!$C:$C,$D94))</f>
        <v>315</v>
      </c>
    </row>
    <row r="95" spans="1:6" x14ac:dyDescent="0.25">
      <c r="A95" s="3"/>
      <c r="B95" s="1">
        <v>44713</v>
      </c>
      <c r="C95" s="23">
        <f t="shared" si="4"/>
        <v>2022</v>
      </c>
      <c r="D95" s="23">
        <f t="shared" si="5"/>
        <v>6</v>
      </c>
      <c r="E95">
        <f>IFERROR(AVERAGEIFS('sa-rent-combined'!$U:$U,'sa-rent-combined'!$A:$A,"Metro",'sa-rent-combined'!$B:$B,$C95,'sa-rent-combined'!$C:$C,$D95),
AVERAGEIFS('sa-rent-combined'!$U:$U,'sa-rent-combined'!$A:$A,"Metro Total",'sa-rent-combined'!$B:$B,$C95,'sa-rent-combined'!$C:$C,$D95))</f>
        <v>450</v>
      </c>
      <c r="F95">
        <f>IFERROR(AVERAGEIFS('sa-rent-combined'!$U:$U,'sa-rent-combined'!$A:$A,"Rest of State",'sa-rent-combined'!$B:$B,$C95,'sa-rent-combined'!$C:$C,$D95),
AVERAGEIFS('sa-rent-combined'!$U:$U,'sa-rent-combined'!$A:$A,"Rest of State Total",'sa-rent-combined'!$B:$B,$C95,'sa-rent-combined'!$C:$C,$D95))</f>
        <v>320</v>
      </c>
    </row>
    <row r="96" spans="1:6" x14ac:dyDescent="0.25">
      <c r="A96" s="3"/>
      <c r="B96" s="1">
        <v>44805</v>
      </c>
      <c r="C96" s="23">
        <f t="shared" si="4"/>
        <v>2022</v>
      </c>
      <c r="D96" s="23">
        <f t="shared" si="5"/>
        <v>9</v>
      </c>
      <c r="E96">
        <f>IFERROR(AVERAGEIFS('sa-rent-combined'!$U:$U,'sa-rent-combined'!$A:$A,"Metro",'sa-rent-combined'!$B:$B,$C96,'sa-rent-combined'!$C:$C,$D96),
AVERAGEIFS('sa-rent-combined'!$U:$U,'sa-rent-combined'!$A:$A,"Metro Total",'sa-rent-combined'!$B:$B,$C96,'sa-rent-combined'!$C:$C,$D96))</f>
        <v>460</v>
      </c>
      <c r="F96">
        <f>IFERROR(AVERAGEIFS('sa-rent-combined'!$U:$U,'sa-rent-combined'!$A:$A,"Rest of State",'sa-rent-combined'!$B:$B,$C96,'sa-rent-combined'!$C:$C,$D96),
AVERAGEIFS('sa-rent-combined'!$U:$U,'sa-rent-combined'!$A:$A,"Rest of State Total",'sa-rent-combined'!$B:$B,$C96,'sa-rent-combined'!$C:$C,$D96))</f>
        <v>330</v>
      </c>
    </row>
    <row r="97" spans="1:6" x14ac:dyDescent="0.25">
      <c r="A97" s="3"/>
      <c r="B97" s="1">
        <v>44896</v>
      </c>
      <c r="C97" s="23">
        <f t="shared" si="4"/>
        <v>2022</v>
      </c>
      <c r="D97" s="23">
        <f t="shared" si="5"/>
        <v>12</v>
      </c>
      <c r="E97">
        <f>IFERROR(AVERAGEIFS('sa-rent-combined'!$U:$U,'sa-rent-combined'!$A:$A,"Metro",'sa-rent-combined'!$B:$B,$C97,'sa-rent-combined'!$C:$C,$D97),
AVERAGEIFS('sa-rent-combined'!$U:$U,'sa-rent-combined'!$A:$A,"Metro Total",'sa-rent-combined'!$B:$B,$C97,'sa-rent-combined'!$C:$C,$D97))</f>
        <v>480</v>
      </c>
      <c r="F97">
        <f>IFERROR(AVERAGEIFS('sa-rent-combined'!$U:$U,'sa-rent-combined'!$A:$A,"Rest of State",'sa-rent-combined'!$B:$B,$C97,'sa-rent-combined'!$C:$C,$D97),
AVERAGEIFS('sa-rent-combined'!$U:$U,'sa-rent-combined'!$A:$A,"Rest of State Total",'sa-rent-combined'!$B:$B,$C97,'sa-rent-combined'!$C:$C,$D97))</f>
        <v>350</v>
      </c>
    </row>
    <row r="98" spans="1:6" x14ac:dyDescent="0.25">
      <c r="B98" s="1">
        <v>44986</v>
      </c>
      <c r="C98" s="23">
        <f t="shared" ref="C98:C109" si="6">YEAR(B98)</f>
        <v>2023</v>
      </c>
      <c r="D98" s="23">
        <f t="shared" ref="D98:D109" si="7">MONTH(B98)</f>
        <v>3</v>
      </c>
      <c r="E98">
        <f>IFERROR(AVERAGEIFS('sa-rent-combined'!$U:$U,'sa-rent-combined'!$A:$A,"Metro",'sa-rent-combined'!$B:$B,$C98,'sa-rent-combined'!$C:$C,$D98),
AVERAGEIFS('sa-rent-combined'!$U:$U,'sa-rent-combined'!$A:$A,"Metro Total",'sa-rent-combined'!$B:$B,$C98,'sa-rent-combined'!$C:$C,$D98))</f>
        <v>500</v>
      </c>
      <c r="F98">
        <f>IFERROR(AVERAGEIFS('sa-rent-combined'!$U:$U,'sa-rent-combined'!$A:$A,"Rest of State",'sa-rent-combined'!$B:$B,$C98,'sa-rent-combined'!$C:$C,$D98),
AVERAGEIFS('sa-rent-combined'!$U:$U,'sa-rent-combined'!$A:$A,"Rest of State Total",'sa-rent-combined'!$B:$B,$C98,'sa-rent-combined'!$C:$C,$D98))</f>
        <v>350</v>
      </c>
    </row>
    <row r="99" spans="1:6" x14ac:dyDescent="0.25">
      <c r="B99" s="1">
        <v>45078</v>
      </c>
      <c r="C99" s="23">
        <f t="shared" si="6"/>
        <v>2023</v>
      </c>
      <c r="D99" s="23">
        <f t="shared" si="7"/>
        <v>6</v>
      </c>
      <c r="E99">
        <f>IFERROR(AVERAGEIFS('sa-rent-combined'!$U:$U,'sa-rent-combined'!$A:$A,"Metro",'sa-rent-combined'!$B:$B,$C99,'sa-rent-combined'!$C:$C,$D99),
AVERAGEIFS('sa-rent-combined'!$U:$U,'sa-rent-combined'!$A:$A,"Metro Total",'sa-rent-combined'!$B:$B,$C99,'sa-rent-combined'!$C:$C,$D99))</f>
        <v>505</v>
      </c>
      <c r="F99">
        <f>IFERROR(AVERAGEIFS('sa-rent-combined'!$U:$U,'sa-rent-combined'!$A:$A,"Rest of State",'sa-rent-combined'!$B:$B,$C99,'sa-rent-combined'!$C:$C,$D99),
AVERAGEIFS('sa-rent-combined'!$U:$U,'sa-rent-combined'!$A:$A,"Rest of State Total",'sa-rent-combined'!$B:$B,$C99,'sa-rent-combined'!$C:$C,$D99))</f>
        <v>360</v>
      </c>
    </row>
    <row r="100" spans="1:6" x14ac:dyDescent="0.25">
      <c r="B100" s="1">
        <v>45170</v>
      </c>
      <c r="C100" s="23">
        <f t="shared" si="6"/>
        <v>2023</v>
      </c>
      <c r="D100" s="23">
        <f t="shared" si="7"/>
        <v>9</v>
      </c>
      <c r="E100">
        <f>IFERROR(AVERAGEIFS('sa-rent-combined'!$U:$U,'sa-rent-combined'!$A:$A,"Metro",'sa-rent-combined'!$B:$B,$C100,'sa-rent-combined'!$C:$C,$D100),
AVERAGEIFS('sa-rent-combined'!$U:$U,'sa-rent-combined'!$A:$A,"Metro Total",'sa-rent-combined'!$B:$B,$C100,'sa-rent-combined'!$C:$C,$D100))</f>
        <v>525</v>
      </c>
      <c r="F100">
        <f>IFERROR(AVERAGEIFS('sa-rent-combined'!$U:$U,'sa-rent-combined'!$A:$A,"Rest of State",'sa-rent-combined'!$B:$B,$C100,'sa-rent-combined'!$C:$C,$D100),
AVERAGEIFS('sa-rent-combined'!$U:$U,'sa-rent-combined'!$A:$A,"Rest of State Total",'sa-rent-combined'!$B:$B,$C100,'sa-rent-combined'!$C:$C,$D100))</f>
        <v>375</v>
      </c>
    </row>
    <row r="101" spans="1:6" x14ac:dyDescent="0.25">
      <c r="B101" s="1">
        <v>45261</v>
      </c>
      <c r="C101" s="23">
        <f t="shared" si="6"/>
        <v>2023</v>
      </c>
      <c r="D101" s="23">
        <f t="shared" si="7"/>
        <v>12</v>
      </c>
      <c r="E101">
        <f>IFERROR(AVERAGEIFS('sa-rent-combined'!$U:$U,'sa-rent-combined'!$A:$A,"Metro",'sa-rent-combined'!$B:$B,$C101,'sa-rent-combined'!$C:$C,$D101),
AVERAGEIFS('sa-rent-combined'!$U:$U,'sa-rent-combined'!$A:$A,"Metro Total",'sa-rent-combined'!$B:$B,$C101,'sa-rent-combined'!$C:$C,$D101))</f>
        <v>540</v>
      </c>
      <c r="F101">
        <f>IFERROR(AVERAGEIFS('sa-rent-combined'!$U:$U,'sa-rent-combined'!$A:$A,"Rest of State",'sa-rent-combined'!$B:$B,$C101,'sa-rent-combined'!$C:$C,$D101),
AVERAGEIFS('sa-rent-combined'!$U:$U,'sa-rent-combined'!$A:$A,"Rest of State Total",'sa-rent-combined'!$B:$B,$C101,'sa-rent-combined'!$C:$C,$D101))</f>
        <v>390</v>
      </c>
    </row>
    <row r="102" spans="1:6" x14ac:dyDescent="0.25">
      <c r="B102" s="1">
        <v>45352</v>
      </c>
      <c r="C102" s="23">
        <f t="shared" si="6"/>
        <v>2024</v>
      </c>
      <c r="D102" s="23">
        <f t="shared" si="7"/>
        <v>3</v>
      </c>
      <c r="E102">
        <f>IFERROR(AVERAGEIFS('sa-rent-combined'!$U:$U,'sa-rent-combined'!$A:$A,"Metro",'sa-rent-combined'!$B:$B,$C102,'sa-rent-combined'!$C:$C,$D102),
AVERAGEIFS('sa-rent-combined'!$U:$U,'sa-rent-combined'!$A:$A,"Metro Total",'sa-rent-combined'!$B:$B,$C102,'sa-rent-combined'!$C:$C,$D102))</f>
        <v>550</v>
      </c>
      <c r="F102">
        <f>IFERROR(AVERAGEIFS('sa-rent-combined'!$U:$U,'sa-rent-combined'!$A:$A,"Rest of State",'sa-rent-combined'!$B:$B,$C102,'sa-rent-combined'!$C:$C,$D102),
AVERAGEIFS('sa-rent-combined'!$U:$U,'sa-rent-combined'!$A:$A,"Rest of State Total",'sa-rent-combined'!$B:$B,$C102,'sa-rent-combined'!$C:$C,$D102))</f>
        <v>390</v>
      </c>
    </row>
    <row r="103" spans="1:6" x14ac:dyDescent="0.25">
      <c r="B103" s="1">
        <v>45444</v>
      </c>
      <c r="C103" s="23">
        <f t="shared" si="6"/>
        <v>2024</v>
      </c>
      <c r="D103" s="23">
        <f t="shared" si="7"/>
        <v>6</v>
      </c>
      <c r="E103">
        <f>IFERROR(AVERAGEIFS('sa-rent-combined'!$U:$U,'sa-rent-combined'!$A:$A,"Metro",'sa-rent-combined'!$B:$B,$C103,'sa-rent-combined'!$C:$C,$D103),
AVERAGEIFS('sa-rent-combined'!$U:$U,'sa-rent-combined'!$A:$A,"Metro Total",'sa-rent-combined'!$B:$B,$C103,'sa-rent-combined'!$C:$C,$D103))</f>
        <v>560</v>
      </c>
      <c r="F103">
        <f>IFERROR(AVERAGEIFS('sa-rent-combined'!$U:$U,'sa-rent-combined'!$A:$A,"Rest of State",'sa-rent-combined'!$B:$B,$C103,'sa-rent-combined'!$C:$C,$D103),
AVERAGEIFS('sa-rent-combined'!$U:$U,'sa-rent-combined'!$A:$A,"Rest of State Total",'sa-rent-combined'!$B:$B,$C103,'sa-rent-combined'!$C:$C,$D103))</f>
        <v>400</v>
      </c>
    </row>
    <row r="104" spans="1:6" x14ac:dyDescent="0.25">
      <c r="B104" s="1">
        <v>45536</v>
      </c>
      <c r="C104" s="23">
        <f t="shared" si="6"/>
        <v>2024</v>
      </c>
      <c r="D104" s="23">
        <f t="shared" si="7"/>
        <v>9</v>
      </c>
      <c r="E104">
        <f>IFERROR(AVERAGEIFS('sa-rent-combined'!$U:$U,'sa-rent-combined'!$A:$A,"Metro",'sa-rent-combined'!$B:$B,$C104,'sa-rent-combined'!$C:$C,$D104),
AVERAGEIFS('sa-rent-combined'!$U:$U,'sa-rent-combined'!$A:$A,"Metro Total",'sa-rent-combined'!$B:$B,$C104,'sa-rent-combined'!$C:$C,$D104))</f>
        <v>575</v>
      </c>
      <c r="F104">
        <f>IFERROR(AVERAGEIFS('sa-rent-combined'!$U:$U,'sa-rent-combined'!$A:$A,"Rest of State",'sa-rent-combined'!$B:$B,$C104,'sa-rent-combined'!$C:$C,$D104),
AVERAGEIFS('sa-rent-combined'!$U:$U,'sa-rent-combined'!$A:$A,"Rest of State Total",'sa-rent-combined'!$B:$B,$C104,'sa-rent-combined'!$C:$C,$D104))</f>
        <v>420</v>
      </c>
    </row>
    <row r="105" spans="1:6" x14ac:dyDescent="0.25">
      <c r="B105" s="1">
        <v>45627</v>
      </c>
      <c r="C105" s="23">
        <f t="shared" si="6"/>
        <v>2024</v>
      </c>
      <c r="D105" s="23">
        <f t="shared" si="7"/>
        <v>12</v>
      </c>
      <c r="E105">
        <f>IFERROR(AVERAGEIFS('sa-rent-combined'!$U:$U,'sa-rent-combined'!$A:$A,"Metro",'sa-rent-combined'!$B:$B,$C105,'sa-rent-combined'!$C:$C,$D105),
AVERAGEIFS('sa-rent-combined'!$U:$U,'sa-rent-combined'!$A:$A,"Metro Total",'sa-rent-combined'!$B:$B,$C105,'sa-rent-combined'!$C:$C,$D105))</f>
        <v>580</v>
      </c>
      <c r="F105">
        <f>IFERROR(AVERAGEIFS('sa-rent-combined'!$U:$U,'sa-rent-combined'!$A:$A,"Rest of State",'sa-rent-combined'!$B:$B,$C105,'sa-rent-combined'!$C:$C,$D105),
AVERAGEIFS('sa-rent-combined'!$U:$U,'sa-rent-combined'!$A:$A,"Rest of State Total",'sa-rent-combined'!$B:$B,$C105,'sa-rent-combined'!$C:$C,$D105))</f>
        <v>420</v>
      </c>
    </row>
    <row r="106" spans="1:6" x14ac:dyDescent="0.25">
      <c r="B106" s="1">
        <v>45717</v>
      </c>
      <c r="C106" s="23">
        <f t="shared" si="6"/>
        <v>2025</v>
      </c>
      <c r="D106" s="23">
        <f t="shared" si="7"/>
        <v>3</v>
      </c>
      <c r="E106">
        <f>IFERROR(AVERAGEIFS('sa-rent-combined'!$U:$U,'sa-rent-combined'!$A:$A,"Metro",'sa-rent-combined'!$B:$B,$C106,'sa-rent-combined'!$C:$C,$D106),
AVERAGEIFS('sa-rent-combined'!$U:$U,'sa-rent-combined'!$A:$A,"Metro Total",'sa-rent-combined'!$B:$B,$C106,'sa-rent-combined'!$C:$C,$D106))</f>
        <v>590</v>
      </c>
      <c r="F106">
        <f>IFERROR(AVERAGEIFS('sa-rent-combined'!$U:$U,'sa-rent-combined'!$A:$A,"Rest of State",'sa-rent-combined'!$B:$B,$C106,'sa-rent-combined'!$C:$C,$D106),
AVERAGEIFS('sa-rent-combined'!$U:$U,'sa-rent-combined'!$A:$A,"Rest of State Total",'sa-rent-combined'!$B:$B,$C106,'sa-rent-combined'!$C:$C,$D106))</f>
        <v>425</v>
      </c>
    </row>
    <row r="107" spans="1:6" x14ac:dyDescent="0.25">
      <c r="B107" s="1">
        <v>45809</v>
      </c>
      <c r="C107" s="23">
        <f t="shared" si="6"/>
        <v>2025</v>
      </c>
      <c r="D107" s="23">
        <f t="shared" si="7"/>
        <v>6</v>
      </c>
      <c r="E107">
        <f>IFERROR(AVERAGEIFS('sa-rent-combined'!$U:$U,'sa-rent-combined'!$A:$A,"Metro",'sa-rent-combined'!$B:$B,$C107,'sa-rent-combined'!$C:$C,$D107),
AVERAGEIFS('sa-rent-combined'!$U:$U,'sa-rent-combined'!$A:$A,"Metro Total",'sa-rent-combined'!$B:$B,$C107,'sa-rent-combined'!$C:$C,$D107))</f>
        <v>600</v>
      </c>
      <c r="F107">
        <f>IFERROR(AVERAGEIFS('sa-rent-combined'!$U:$U,'sa-rent-combined'!$A:$A,"Rest of State",'sa-rent-combined'!$B:$B,$C107,'sa-rent-combined'!$C:$C,$D107),
AVERAGEIFS('sa-rent-combined'!$U:$U,'sa-rent-combined'!$A:$A,"Rest of State Total",'sa-rent-combined'!$B:$B,$C107,'sa-rent-combined'!$C:$C,$D107))</f>
        <v>420</v>
      </c>
    </row>
    <row r="108" spans="1:6" x14ac:dyDescent="0.25">
      <c r="B108" s="1">
        <v>45901</v>
      </c>
      <c r="C108" s="23">
        <f t="shared" si="6"/>
        <v>2025</v>
      </c>
      <c r="D108" s="23">
        <f t="shared" si="7"/>
        <v>9</v>
      </c>
      <c r="E108">
        <f>IFERROR(AVERAGEIFS('sa-rent-combined'!$U:$U,'sa-rent-combined'!$A:$A,"Metro",'sa-rent-combined'!$B:$B,$C108,'sa-rent-combined'!$C:$C,$D108),
AVERAGEIFS('sa-rent-combined'!$U:$U,'sa-rent-combined'!$A:$A,"Metro Total",'sa-rent-combined'!$B:$B,$C108,'sa-rent-combined'!$C:$C,$D108))</f>
        <v>600</v>
      </c>
      <c r="F108">
        <f>IFERROR(AVERAGEIFS('sa-rent-combined'!$U:$U,'sa-rent-combined'!$A:$A,"Rest of State",'sa-rent-combined'!$B:$B,$C108,'sa-rent-combined'!$C:$C,$D108),
AVERAGEIFS('sa-rent-combined'!$U:$U,'sa-rent-combined'!$A:$A,"Rest of State Total",'sa-rent-combined'!$B:$B,$C108,'sa-rent-combined'!$C:$C,$D108))</f>
        <v>450</v>
      </c>
    </row>
    <row r="109" spans="1:6" x14ac:dyDescent="0.25">
      <c r="B109" s="1">
        <v>45992</v>
      </c>
      <c r="C109" s="23">
        <f t="shared" si="6"/>
        <v>2025</v>
      </c>
      <c r="D109" s="23">
        <f t="shared" si="7"/>
        <v>12</v>
      </c>
      <c r="E109">
        <f>IFERROR(AVERAGEIFS('sa-rent-combined'!$U:$U,'sa-rent-combined'!$A:$A,"Metro",'sa-rent-combined'!$B:$B,$C109,'sa-rent-combined'!$C:$C,$D109),
AVERAGEIFS('sa-rent-combined'!$U:$U,'sa-rent-combined'!$A:$A,"Metro Total",'sa-rent-combined'!$B:$B,$C109,'sa-rent-combined'!$C:$C,$D109))</f>
        <v>600</v>
      </c>
      <c r="F109">
        <f>IFERROR(AVERAGEIFS('sa-rent-combined'!$U:$U,'sa-rent-combined'!$A:$A,"Rest of State",'sa-rent-combined'!$B:$B,$C109,'sa-rent-combined'!$C:$C,$D109),
AVERAGEIFS('sa-rent-combined'!$U:$U,'sa-rent-combined'!$A:$A,"Rest of State Total",'sa-rent-combined'!$B:$B,$C109,'sa-rent-combined'!$C:$C,$D109))</f>
        <v>450</v>
      </c>
    </row>
  </sheetData>
  <autoFilter ref="A1:F97" xr:uid="{57ABFE4F-8ED8-46E2-A3E7-D09420486E88}"/>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E5FF-33B3-45DE-90C0-718532EAC6FD}">
  <sheetPr>
    <tabColor theme="7"/>
  </sheetPr>
  <dimension ref="A1"/>
  <sheetViews>
    <sheetView workbookViewId="0">
      <selection activeCell="W36" sqref="W36"/>
    </sheetView>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86809-5450-4201-B4D8-CDF1566DB35B}">
  <sheetPr>
    <tabColor theme="7"/>
  </sheetPr>
  <dimension ref="A1:BI106"/>
  <sheetViews>
    <sheetView workbookViewId="0">
      <pane xSplit="1" ySplit="10" topLeftCell="B86" activePane="bottomRight" state="frozen"/>
      <selection pane="topRight" activeCell="B1" sqref="B1"/>
      <selection pane="bottomLeft" activeCell="A11" sqref="A11"/>
      <selection pane="bottomRight" activeCell="F112" sqref="F112"/>
    </sheetView>
  </sheetViews>
  <sheetFormatPr defaultColWidth="14.7109375" defaultRowHeight="11.25" x14ac:dyDescent="0.2"/>
  <cols>
    <col min="1" max="16384" width="14.7109375" style="39"/>
  </cols>
  <sheetData>
    <row r="1" spans="1:61" s="35" customFormat="1" ht="99.95" customHeight="1" x14ac:dyDescent="0.2">
      <c r="B1" s="36" t="s">
        <v>498</v>
      </c>
      <c r="C1" s="36" t="s">
        <v>499</v>
      </c>
      <c r="D1" s="36" t="s">
        <v>500</v>
      </c>
      <c r="E1" s="36" t="s">
        <v>501</v>
      </c>
      <c r="F1" s="36" t="s">
        <v>502</v>
      </c>
      <c r="G1" s="36" t="s">
        <v>503</v>
      </c>
      <c r="H1" s="36" t="s">
        <v>504</v>
      </c>
      <c r="I1" s="36" t="s">
        <v>505</v>
      </c>
      <c r="J1" s="36" t="s">
        <v>506</v>
      </c>
      <c r="K1" s="36" t="s">
        <v>507</v>
      </c>
      <c r="L1" s="36" t="s">
        <v>508</v>
      </c>
      <c r="M1" s="36" t="s">
        <v>509</v>
      </c>
      <c r="N1" s="36" t="s">
        <v>510</v>
      </c>
      <c r="O1" s="36" t="s">
        <v>511</v>
      </c>
      <c r="P1" s="36" t="s">
        <v>512</v>
      </c>
      <c r="Q1" s="36" t="s">
        <v>513</v>
      </c>
      <c r="R1" s="36" t="s">
        <v>514</v>
      </c>
      <c r="S1" s="36" t="s">
        <v>515</v>
      </c>
      <c r="T1" s="36" t="s">
        <v>516</v>
      </c>
      <c r="U1" s="36" t="s">
        <v>517</v>
      </c>
      <c r="V1" s="36" t="s">
        <v>518</v>
      </c>
      <c r="W1" s="36" t="s">
        <v>519</v>
      </c>
      <c r="X1" s="36" t="s">
        <v>520</v>
      </c>
      <c r="Y1" s="36" t="s">
        <v>521</v>
      </c>
      <c r="Z1" s="36" t="s">
        <v>522</v>
      </c>
      <c r="AA1" s="36" t="s">
        <v>523</v>
      </c>
      <c r="AB1" s="36" t="s">
        <v>524</v>
      </c>
      <c r="AC1" s="36" t="s">
        <v>525</v>
      </c>
      <c r="AD1" s="36" t="s">
        <v>526</v>
      </c>
      <c r="AE1" s="36" t="s">
        <v>527</v>
      </c>
      <c r="AF1" s="36" t="s">
        <v>528</v>
      </c>
      <c r="AG1" s="36" t="s">
        <v>529</v>
      </c>
      <c r="AH1" s="36" t="s">
        <v>530</v>
      </c>
      <c r="AI1" s="36" t="s">
        <v>531</v>
      </c>
      <c r="AJ1" s="36" t="s">
        <v>532</v>
      </c>
      <c r="AK1" s="36" t="s">
        <v>533</v>
      </c>
      <c r="AL1" s="36" t="s">
        <v>534</v>
      </c>
      <c r="AM1" s="36" t="s">
        <v>535</v>
      </c>
      <c r="AN1" s="36" t="s">
        <v>536</v>
      </c>
      <c r="AO1" s="36" t="s">
        <v>537</v>
      </c>
      <c r="AP1" s="36" t="s">
        <v>538</v>
      </c>
      <c r="AQ1" s="36" t="s">
        <v>539</v>
      </c>
      <c r="AR1" s="36" t="s">
        <v>540</v>
      </c>
      <c r="AS1" s="36" t="s">
        <v>541</v>
      </c>
      <c r="AT1" s="36" t="s">
        <v>542</v>
      </c>
      <c r="AU1" s="36" t="s">
        <v>543</v>
      </c>
      <c r="AV1" s="36" t="s">
        <v>544</v>
      </c>
      <c r="AW1" s="36" t="s">
        <v>545</v>
      </c>
      <c r="AX1" s="36" t="s">
        <v>546</v>
      </c>
      <c r="AY1" s="36" t="s">
        <v>547</v>
      </c>
      <c r="AZ1" s="36" t="s">
        <v>548</v>
      </c>
      <c r="BA1" s="36" t="s">
        <v>549</v>
      </c>
      <c r="BB1" s="36" t="s">
        <v>550</v>
      </c>
      <c r="BC1" s="36" t="s">
        <v>551</v>
      </c>
      <c r="BD1" s="36" t="s">
        <v>552</v>
      </c>
      <c r="BE1" s="36" t="s">
        <v>553</v>
      </c>
      <c r="BF1" s="36" t="s">
        <v>554</v>
      </c>
      <c r="BG1" s="36" t="s">
        <v>555</v>
      </c>
      <c r="BH1" s="36" t="s">
        <v>556</v>
      </c>
      <c r="BI1" s="36" t="s">
        <v>557</v>
      </c>
    </row>
    <row r="2" spans="1:61" x14ac:dyDescent="0.2">
      <c r="A2" s="37" t="s">
        <v>558</v>
      </c>
      <c r="B2" s="38" t="s">
        <v>559</v>
      </c>
      <c r="C2" s="38" t="s">
        <v>559</v>
      </c>
      <c r="D2" s="38" t="s">
        <v>559</v>
      </c>
      <c r="E2" s="38" t="s">
        <v>559</v>
      </c>
      <c r="F2" s="38" t="s">
        <v>559</v>
      </c>
      <c r="G2" s="38" t="s">
        <v>559</v>
      </c>
      <c r="H2" s="38" t="s">
        <v>559</v>
      </c>
      <c r="I2" s="38" t="s">
        <v>559</v>
      </c>
      <c r="J2" s="38" t="s">
        <v>559</v>
      </c>
      <c r="K2" s="38" t="s">
        <v>559</v>
      </c>
      <c r="L2" s="38" t="s">
        <v>559</v>
      </c>
      <c r="M2" s="38" t="s">
        <v>559</v>
      </c>
      <c r="N2" s="38" t="s">
        <v>559</v>
      </c>
      <c r="O2" s="38" t="s">
        <v>559</v>
      </c>
      <c r="P2" s="38" t="s">
        <v>559</v>
      </c>
      <c r="Q2" s="38" t="s">
        <v>559</v>
      </c>
      <c r="R2" s="38" t="s">
        <v>559</v>
      </c>
      <c r="S2" s="38" t="s">
        <v>559</v>
      </c>
      <c r="T2" s="38" t="s">
        <v>559</v>
      </c>
      <c r="U2" s="38" t="s">
        <v>559</v>
      </c>
      <c r="V2" s="38" t="s">
        <v>559</v>
      </c>
      <c r="W2" s="38" t="s">
        <v>559</v>
      </c>
      <c r="X2" s="38" t="s">
        <v>559</v>
      </c>
      <c r="Y2" s="38" t="s">
        <v>559</v>
      </c>
      <c r="Z2" s="38" t="s">
        <v>559</v>
      </c>
      <c r="AA2" s="38" t="s">
        <v>559</v>
      </c>
      <c r="AB2" s="38" t="s">
        <v>559</v>
      </c>
      <c r="AC2" s="38" t="s">
        <v>559</v>
      </c>
      <c r="AD2" s="38" t="s">
        <v>559</v>
      </c>
      <c r="AE2" s="38" t="s">
        <v>559</v>
      </c>
      <c r="AF2" s="38" t="s">
        <v>560</v>
      </c>
      <c r="AG2" s="38" t="s">
        <v>560</v>
      </c>
      <c r="AH2" s="38" t="s">
        <v>560</v>
      </c>
      <c r="AI2" s="38" t="s">
        <v>560</v>
      </c>
      <c r="AJ2" s="38" t="s">
        <v>560</v>
      </c>
      <c r="AK2" s="38" t="s">
        <v>560</v>
      </c>
      <c r="AL2" s="38" t="s">
        <v>560</v>
      </c>
      <c r="AM2" s="38" t="s">
        <v>560</v>
      </c>
      <c r="AN2" s="38" t="s">
        <v>560</v>
      </c>
      <c r="AO2" s="38" t="s">
        <v>560</v>
      </c>
      <c r="AP2" s="38" t="s">
        <v>560</v>
      </c>
      <c r="AQ2" s="38" t="s">
        <v>560</v>
      </c>
      <c r="AR2" s="38" t="s">
        <v>560</v>
      </c>
      <c r="AS2" s="38" t="s">
        <v>560</v>
      </c>
      <c r="AT2" s="38" t="s">
        <v>560</v>
      </c>
      <c r="AU2" s="38" t="s">
        <v>560</v>
      </c>
      <c r="AV2" s="38" t="s">
        <v>560</v>
      </c>
      <c r="AW2" s="38" t="s">
        <v>560</v>
      </c>
      <c r="AX2" s="38" t="s">
        <v>560</v>
      </c>
      <c r="AY2" s="38" t="s">
        <v>560</v>
      </c>
      <c r="AZ2" s="38" t="s">
        <v>560</v>
      </c>
      <c r="BA2" s="38" t="s">
        <v>560</v>
      </c>
      <c r="BB2" s="38" t="s">
        <v>560</v>
      </c>
      <c r="BC2" s="38" t="s">
        <v>560</v>
      </c>
      <c r="BD2" s="38" t="s">
        <v>560</v>
      </c>
      <c r="BE2" s="38" t="s">
        <v>560</v>
      </c>
      <c r="BF2" s="38" t="s">
        <v>560</v>
      </c>
      <c r="BG2" s="38" t="s">
        <v>560</v>
      </c>
      <c r="BH2" s="38" t="s">
        <v>560</v>
      </c>
      <c r="BI2" s="38" t="s">
        <v>560</v>
      </c>
    </row>
    <row r="3" spans="1:61" x14ac:dyDescent="0.2">
      <c r="A3" s="37" t="s">
        <v>561</v>
      </c>
      <c r="B3" s="38" t="s">
        <v>38</v>
      </c>
      <c r="C3" s="38" t="s">
        <v>38</v>
      </c>
      <c r="D3" s="38" t="s">
        <v>38</v>
      </c>
      <c r="E3" s="38" t="s">
        <v>38</v>
      </c>
      <c r="F3" s="38" t="s">
        <v>38</v>
      </c>
      <c r="G3" s="38" t="s">
        <v>38</v>
      </c>
      <c r="H3" s="38" t="s">
        <v>38</v>
      </c>
      <c r="I3" s="38" t="s">
        <v>38</v>
      </c>
      <c r="J3" s="38" t="s">
        <v>38</v>
      </c>
      <c r="K3" s="38" t="s">
        <v>38</v>
      </c>
      <c r="L3" s="38" t="s">
        <v>38</v>
      </c>
      <c r="M3" s="38" t="s">
        <v>38</v>
      </c>
      <c r="N3" s="38" t="s">
        <v>38</v>
      </c>
      <c r="O3" s="38" t="s">
        <v>38</v>
      </c>
      <c r="P3" s="38" t="s">
        <v>38</v>
      </c>
      <c r="Q3" s="38" t="s">
        <v>38</v>
      </c>
      <c r="R3" s="38" t="s">
        <v>38</v>
      </c>
      <c r="S3" s="38" t="s">
        <v>38</v>
      </c>
      <c r="T3" s="38" t="s">
        <v>38</v>
      </c>
      <c r="U3" s="38" t="s">
        <v>38</v>
      </c>
      <c r="V3" s="38" t="s">
        <v>38</v>
      </c>
      <c r="W3" s="38" t="s">
        <v>38</v>
      </c>
      <c r="X3" s="38" t="s">
        <v>38</v>
      </c>
      <c r="Y3" s="38" t="s">
        <v>38</v>
      </c>
      <c r="Z3" s="38" t="s">
        <v>38</v>
      </c>
      <c r="AA3" s="38" t="s">
        <v>38</v>
      </c>
      <c r="AB3" s="38" t="s">
        <v>38</v>
      </c>
      <c r="AC3" s="38" t="s">
        <v>38</v>
      </c>
      <c r="AD3" s="38" t="s">
        <v>38</v>
      </c>
      <c r="AE3" s="38" t="s">
        <v>38</v>
      </c>
      <c r="AF3" s="38" t="s">
        <v>38</v>
      </c>
      <c r="AG3" s="38" t="s">
        <v>38</v>
      </c>
      <c r="AH3" s="38" t="s">
        <v>38</v>
      </c>
      <c r="AI3" s="38" t="s">
        <v>38</v>
      </c>
      <c r="AJ3" s="38" t="s">
        <v>38</v>
      </c>
      <c r="AK3" s="38" t="s">
        <v>38</v>
      </c>
      <c r="AL3" s="38" t="s">
        <v>38</v>
      </c>
      <c r="AM3" s="38" t="s">
        <v>38</v>
      </c>
      <c r="AN3" s="38" t="s">
        <v>38</v>
      </c>
      <c r="AO3" s="38" t="s">
        <v>38</v>
      </c>
      <c r="AP3" s="38" t="s">
        <v>38</v>
      </c>
      <c r="AQ3" s="38" t="s">
        <v>38</v>
      </c>
      <c r="AR3" s="38" t="s">
        <v>38</v>
      </c>
      <c r="AS3" s="38" t="s">
        <v>38</v>
      </c>
      <c r="AT3" s="38" t="s">
        <v>38</v>
      </c>
      <c r="AU3" s="38" t="s">
        <v>38</v>
      </c>
      <c r="AV3" s="38" t="s">
        <v>38</v>
      </c>
      <c r="AW3" s="38" t="s">
        <v>38</v>
      </c>
      <c r="AX3" s="38" t="s">
        <v>38</v>
      </c>
      <c r="AY3" s="38" t="s">
        <v>38</v>
      </c>
      <c r="AZ3" s="38" t="s">
        <v>38</v>
      </c>
      <c r="BA3" s="38" t="s">
        <v>38</v>
      </c>
      <c r="BB3" s="38" t="s">
        <v>38</v>
      </c>
      <c r="BC3" s="38" t="s">
        <v>38</v>
      </c>
      <c r="BD3" s="38" t="s">
        <v>38</v>
      </c>
      <c r="BE3" s="38" t="s">
        <v>38</v>
      </c>
      <c r="BF3" s="38" t="s">
        <v>38</v>
      </c>
      <c r="BG3" s="38" t="s">
        <v>38</v>
      </c>
      <c r="BH3" s="38" t="s">
        <v>38</v>
      </c>
      <c r="BI3" s="38" t="s">
        <v>38</v>
      </c>
    </row>
    <row r="4" spans="1:61" x14ac:dyDescent="0.2">
      <c r="A4" s="37" t="s">
        <v>562</v>
      </c>
      <c r="B4" s="38" t="s">
        <v>563</v>
      </c>
      <c r="C4" s="38" t="s">
        <v>563</v>
      </c>
      <c r="D4" s="38" t="s">
        <v>563</v>
      </c>
      <c r="E4" s="38" t="s">
        <v>563</v>
      </c>
      <c r="F4" s="38" t="s">
        <v>563</v>
      </c>
      <c r="G4" s="38" t="s">
        <v>563</v>
      </c>
      <c r="H4" s="38" t="s">
        <v>563</v>
      </c>
      <c r="I4" s="38" t="s">
        <v>563</v>
      </c>
      <c r="J4" s="38" t="s">
        <v>563</v>
      </c>
      <c r="K4" s="38" t="s">
        <v>563</v>
      </c>
      <c r="L4" s="38" t="s">
        <v>563</v>
      </c>
      <c r="M4" s="38" t="s">
        <v>563</v>
      </c>
      <c r="N4" s="38" t="s">
        <v>563</v>
      </c>
      <c r="O4" s="38" t="s">
        <v>563</v>
      </c>
      <c r="P4" s="38" t="s">
        <v>563</v>
      </c>
      <c r="Q4" s="38" t="s">
        <v>563</v>
      </c>
      <c r="R4" s="38" t="s">
        <v>563</v>
      </c>
      <c r="S4" s="38" t="s">
        <v>563</v>
      </c>
      <c r="T4" s="38" t="s">
        <v>563</v>
      </c>
      <c r="U4" s="38" t="s">
        <v>563</v>
      </c>
      <c r="V4" s="38" t="s">
        <v>563</v>
      </c>
      <c r="W4" s="38" t="s">
        <v>563</v>
      </c>
      <c r="X4" s="38" t="s">
        <v>563</v>
      </c>
      <c r="Y4" s="38" t="s">
        <v>563</v>
      </c>
      <c r="Z4" s="38" t="s">
        <v>563</v>
      </c>
      <c r="AA4" s="38" t="s">
        <v>563</v>
      </c>
      <c r="AB4" s="38" t="s">
        <v>563</v>
      </c>
      <c r="AC4" s="38" t="s">
        <v>563</v>
      </c>
      <c r="AD4" s="38" t="s">
        <v>563</v>
      </c>
      <c r="AE4" s="38" t="s">
        <v>563</v>
      </c>
      <c r="AF4" s="38" t="s">
        <v>563</v>
      </c>
      <c r="AG4" s="38" t="s">
        <v>563</v>
      </c>
      <c r="AH4" s="38" t="s">
        <v>563</v>
      </c>
      <c r="AI4" s="38" t="s">
        <v>563</v>
      </c>
      <c r="AJ4" s="38" t="s">
        <v>563</v>
      </c>
      <c r="AK4" s="38" t="s">
        <v>563</v>
      </c>
      <c r="AL4" s="38" t="s">
        <v>563</v>
      </c>
      <c r="AM4" s="38" t="s">
        <v>563</v>
      </c>
      <c r="AN4" s="38" t="s">
        <v>563</v>
      </c>
      <c r="AO4" s="38" t="s">
        <v>563</v>
      </c>
      <c r="AP4" s="38" t="s">
        <v>563</v>
      </c>
      <c r="AQ4" s="38" t="s">
        <v>563</v>
      </c>
      <c r="AR4" s="38" t="s">
        <v>563</v>
      </c>
      <c r="AS4" s="38" t="s">
        <v>563</v>
      </c>
      <c r="AT4" s="38" t="s">
        <v>563</v>
      </c>
      <c r="AU4" s="38" t="s">
        <v>563</v>
      </c>
      <c r="AV4" s="38" t="s">
        <v>563</v>
      </c>
      <c r="AW4" s="38" t="s">
        <v>563</v>
      </c>
      <c r="AX4" s="38" t="s">
        <v>563</v>
      </c>
      <c r="AY4" s="38" t="s">
        <v>563</v>
      </c>
      <c r="AZ4" s="38" t="s">
        <v>563</v>
      </c>
      <c r="BA4" s="38" t="s">
        <v>563</v>
      </c>
      <c r="BB4" s="38" t="s">
        <v>563</v>
      </c>
      <c r="BC4" s="38" t="s">
        <v>563</v>
      </c>
      <c r="BD4" s="38" t="s">
        <v>563</v>
      </c>
      <c r="BE4" s="38" t="s">
        <v>563</v>
      </c>
      <c r="BF4" s="38" t="s">
        <v>563</v>
      </c>
      <c r="BG4" s="38" t="s">
        <v>563</v>
      </c>
      <c r="BH4" s="38" t="s">
        <v>563</v>
      </c>
      <c r="BI4" s="38" t="s">
        <v>563</v>
      </c>
    </row>
    <row r="5" spans="1:61" x14ac:dyDescent="0.2">
      <c r="A5" s="37" t="s">
        <v>35</v>
      </c>
      <c r="B5" s="38" t="s">
        <v>2</v>
      </c>
      <c r="C5" s="38" t="s">
        <v>2</v>
      </c>
      <c r="D5" s="38" t="s">
        <v>2</v>
      </c>
      <c r="E5" s="38" t="s">
        <v>2</v>
      </c>
      <c r="F5" s="38" t="s">
        <v>2</v>
      </c>
      <c r="G5" s="38" t="s">
        <v>2</v>
      </c>
      <c r="H5" s="38" t="s">
        <v>2</v>
      </c>
      <c r="I5" s="38" t="s">
        <v>2</v>
      </c>
      <c r="J5" s="38" t="s">
        <v>2</v>
      </c>
      <c r="K5" s="38" t="s">
        <v>2</v>
      </c>
      <c r="L5" s="38" t="s">
        <v>2</v>
      </c>
      <c r="M5" s="38" t="s">
        <v>2</v>
      </c>
      <c r="N5" s="38" t="s">
        <v>2</v>
      </c>
      <c r="O5" s="38" t="s">
        <v>2</v>
      </c>
      <c r="P5" s="38" t="s">
        <v>2</v>
      </c>
      <c r="Q5" s="38" t="s">
        <v>2</v>
      </c>
      <c r="R5" s="38" t="s">
        <v>2</v>
      </c>
      <c r="S5" s="38" t="s">
        <v>2</v>
      </c>
      <c r="T5" s="38" t="s">
        <v>2</v>
      </c>
      <c r="U5" s="38" t="s">
        <v>2</v>
      </c>
      <c r="V5" s="38" t="s">
        <v>2</v>
      </c>
      <c r="W5" s="38" t="s">
        <v>2</v>
      </c>
      <c r="X5" s="38" t="s">
        <v>2</v>
      </c>
      <c r="Y5" s="38" t="s">
        <v>2</v>
      </c>
      <c r="Z5" s="38" t="s">
        <v>2</v>
      </c>
      <c r="AA5" s="38" t="s">
        <v>2</v>
      </c>
      <c r="AB5" s="38" t="s">
        <v>2</v>
      </c>
      <c r="AC5" s="38" t="s">
        <v>2</v>
      </c>
      <c r="AD5" s="38" t="s">
        <v>2</v>
      </c>
      <c r="AE5" s="38" t="s">
        <v>2</v>
      </c>
      <c r="AF5" s="38" t="s">
        <v>2</v>
      </c>
      <c r="AG5" s="38" t="s">
        <v>2</v>
      </c>
      <c r="AH5" s="38" t="s">
        <v>2</v>
      </c>
      <c r="AI5" s="38" t="s">
        <v>2</v>
      </c>
      <c r="AJ5" s="38" t="s">
        <v>2</v>
      </c>
      <c r="AK5" s="38" t="s">
        <v>2</v>
      </c>
      <c r="AL5" s="38" t="s">
        <v>2</v>
      </c>
      <c r="AM5" s="38" t="s">
        <v>2</v>
      </c>
      <c r="AN5" s="38" t="s">
        <v>2</v>
      </c>
      <c r="AO5" s="38" t="s">
        <v>2</v>
      </c>
      <c r="AP5" s="38" t="s">
        <v>2</v>
      </c>
      <c r="AQ5" s="38" t="s">
        <v>2</v>
      </c>
      <c r="AR5" s="38" t="s">
        <v>2</v>
      </c>
      <c r="AS5" s="38" t="s">
        <v>2</v>
      </c>
      <c r="AT5" s="38" t="s">
        <v>2</v>
      </c>
      <c r="AU5" s="38" t="s">
        <v>2</v>
      </c>
      <c r="AV5" s="38" t="s">
        <v>2</v>
      </c>
      <c r="AW5" s="38" t="s">
        <v>2</v>
      </c>
      <c r="AX5" s="38" t="s">
        <v>2</v>
      </c>
      <c r="AY5" s="38" t="s">
        <v>2</v>
      </c>
      <c r="AZ5" s="38" t="s">
        <v>2</v>
      </c>
      <c r="BA5" s="38" t="s">
        <v>2</v>
      </c>
      <c r="BB5" s="38" t="s">
        <v>2</v>
      </c>
      <c r="BC5" s="38" t="s">
        <v>2</v>
      </c>
      <c r="BD5" s="38" t="s">
        <v>2</v>
      </c>
      <c r="BE5" s="38" t="s">
        <v>2</v>
      </c>
      <c r="BF5" s="38" t="s">
        <v>2</v>
      </c>
      <c r="BG5" s="38" t="s">
        <v>2</v>
      </c>
      <c r="BH5" s="38" t="s">
        <v>2</v>
      </c>
      <c r="BI5" s="38" t="s">
        <v>2</v>
      </c>
    </row>
    <row r="6" spans="1:61" x14ac:dyDescent="0.2">
      <c r="A6" s="37" t="s">
        <v>564</v>
      </c>
      <c r="B6" s="39">
        <v>3</v>
      </c>
      <c r="C6" s="39">
        <v>3</v>
      </c>
      <c r="D6" s="39">
        <v>3</v>
      </c>
      <c r="E6" s="39">
        <v>3</v>
      </c>
      <c r="F6" s="39">
        <v>3</v>
      </c>
      <c r="G6" s="39">
        <v>3</v>
      </c>
      <c r="H6" s="39">
        <v>3</v>
      </c>
      <c r="I6" s="39">
        <v>3</v>
      </c>
      <c r="J6" s="39">
        <v>3</v>
      </c>
      <c r="K6" s="39">
        <v>3</v>
      </c>
      <c r="L6" s="39">
        <v>3</v>
      </c>
      <c r="M6" s="39">
        <v>3</v>
      </c>
      <c r="N6" s="39">
        <v>3</v>
      </c>
      <c r="O6" s="39">
        <v>3</v>
      </c>
      <c r="P6" s="39">
        <v>3</v>
      </c>
      <c r="Q6" s="39">
        <v>3</v>
      </c>
      <c r="R6" s="39">
        <v>3</v>
      </c>
      <c r="S6" s="39">
        <v>3</v>
      </c>
      <c r="T6" s="39">
        <v>3</v>
      </c>
      <c r="U6" s="39">
        <v>3</v>
      </c>
      <c r="V6" s="39">
        <v>3</v>
      </c>
      <c r="W6" s="39">
        <v>3</v>
      </c>
      <c r="X6" s="39">
        <v>3</v>
      </c>
      <c r="Y6" s="39">
        <v>3</v>
      </c>
      <c r="Z6" s="39">
        <v>3</v>
      </c>
      <c r="AA6" s="39">
        <v>3</v>
      </c>
      <c r="AB6" s="39">
        <v>3</v>
      </c>
      <c r="AC6" s="39">
        <v>3</v>
      </c>
      <c r="AD6" s="39">
        <v>3</v>
      </c>
      <c r="AE6" s="39">
        <v>3</v>
      </c>
      <c r="AF6" s="39">
        <v>3</v>
      </c>
      <c r="AG6" s="39">
        <v>3</v>
      </c>
      <c r="AH6" s="39">
        <v>3</v>
      </c>
      <c r="AI6" s="39">
        <v>3</v>
      </c>
      <c r="AJ6" s="39">
        <v>3</v>
      </c>
      <c r="AK6" s="39">
        <v>3</v>
      </c>
      <c r="AL6" s="39">
        <v>3</v>
      </c>
      <c r="AM6" s="39">
        <v>3</v>
      </c>
      <c r="AN6" s="39">
        <v>3</v>
      </c>
      <c r="AO6" s="39">
        <v>3</v>
      </c>
      <c r="AP6" s="39">
        <v>3</v>
      </c>
      <c r="AQ6" s="39">
        <v>3</v>
      </c>
      <c r="AR6" s="39">
        <v>3</v>
      </c>
      <c r="AS6" s="39">
        <v>3</v>
      </c>
      <c r="AT6" s="39">
        <v>3</v>
      </c>
      <c r="AU6" s="39">
        <v>3</v>
      </c>
      <c r="AV6" s="39">
        <v>3</v>
      </c>
      <c r="AW6" s="39">
        <v>3</v>
      </c>
      <c r="AX6" s="39">
        <v>3</v>
      </c>
      <c r="AY6" s="39">
        <v>3</v>
      </c>
      <c r="AZ6" s="39">
        <v>3</v>
      </c>
      <c r="BA6" s="39">
        <v>3</v>
      </c>
      <c r="BB6" s="39">
        <v>3</v>
      </c>
      <c r="BC6" s="39">
        <v>3</v>
      </c>
      <c r="BD6" s="39">
        <v>3</v>
      </c>
      <c r="BE6" s="39">
        <v>3</v>
      </c>
      <c r="BF6" s="39">
        <v>3</v>
      </c>
      <c r="BG6" s="39">
        <v>3</v>
      </c>
      <c r="BH6" s="39">
        <v>3</v>
      </c>
      <c r="BI6" s="39">
        <v>3</v>
      </c>
    </row>
    <row r="7" spans="1:61" s="41" customFormat="1" x14ac:dyDescent="0.2">
      <c r="A7" s="40" t="s">
        <v>565</v>
      </c>
      <c r="B7" s="41">
        <v>37316</v>
      </c>
      <c r="C7" s="41">
        <v>37865</v>
      </c>
      <c r="D7" s="41">
        <v>37316</v>
      </c>
      <c r="E7" s="41">
        <v>37865</v>
      </c>
      <c r="F7" s="41">
        <v>37316</v>
      </c>
      <c r="G7" s="41">
        <v>37865</v>
      </c>
      <c r="H7" s="41">
        <v>37316</v>
      </c>
      <c r="I7" s="41">
        <v>37865</v>
      </c>
      <c r="J7" s="41">
        <v>37316</v>
      </c>
      <c r="K7" s="41">
        <v>37865</v>
      </c>
      <c r="L7" s="41">
        <v>37316</v>
      </c>
      <c r="M7" s="41">
        <v>37865</v>
      </c>
      <c r="N7" s="41">
        <v>37316</v>
      </c>
      <c r="O7" s="41">
        <v>37865</v>
      </c>
      <c r="P7" s="41">
        <v>37316</v>
      </c>
      <c r="Q7" s="41">
        <v>37865</v>
      </c>
      <c r="R7" s="41">
        <v>37865</v>
      </c>
      <c r="S7" s="41">
        <v>37865</v>
      </c>
      <c r="T7" s="41">
        <v>37865</v>
      </c>
      <c r="U7" s="41">
        <v>37865</v>
      </c>
      <c r="V7" s="41">
        <v>37865</v>
      </c>
      <c r="W7" s="41">
        <v>37865</v>
      </c>
      <c r="X7" s="41">
        <v>37865</v>
      </c>
      <c r="Y7" s="41">
        <v>37865</v>
      </c>
      <c r="Z7" s="41">
        <v>37865</v>
      </c>
      <c r="AA7" s="41">
        <v>37865</v>
      </c>
      <c r="AB7" s="41">
        <v>37865</v>
      </c>
      <c r="AC7" s="41">
        <v>37865</v>
      </c>
      <c r="AD7" s="41">
        <v>37865</v>
      </c>
      <c r="AE7" s="41">
        <v>37865</v>
      </c>
      <c r="AF7" s="41">
        <v>37316</v>
      </c>
      <c r="AG7" s="41">
        <v>37865</v>
      </c>
      <c r="AH7" s="41">
        <v>37316</v>
      </c>
      <c r="AI7" s="41">
        <v>37865</v>
      </c>
      <c r="AJ7" s="41">
        <v>37316</v>
      </c>
      <c r="AK7" s="41">
        <v>37865</v>
      </c>
      <c r="AL7" s="41">
        <v>37316</v>
      </c>
      <c r="AM7" s="41">
        <v>37865</v>
      </c>
      <c r="AN7" s="41">
        <v>37316</v>
      </c>
      <c r="AO7" s="41">
        <v>37865</v>
      </c>
      <c r="AP7" s="41">
        <v>37316</v>
      </c>
      <c r="AQ7" s="41">
        <v>37865</v>
      </c>
      <c r="AR7" s="41">
        <v>37316</v>
      </c>
      <c r="AS7" s="41">
        <v>37865</v>
      </c>
      <c r="AT7" s="41">
        <v>37316</v>
      </c>
      <c r="AU7" s="41">
        <v>37865</v>
      </c>
      <c r="AV7" s="41">
        <v>37865</v>
      </c>
      <c r="AW7" s="41">
        <v>37865</v>
      </c>
      <c r="AX7" s="41">
        <v>37865</v>
      </c>
      <c r="AY7" s="41">
        <v>37865</v>
      </c>
      <c r="AZ7" s="41">
        <v>37865</v>
      </c>
      <c r="BA7" s="41">
        <v>37865</v>
      </c>
      <c r="BB7" s="41">
        <v>37865</v>
      </c>
      <c r="BC7" s="41">
        <v>37865</v>
      </c>
      <c r="BD7" s="41">
        <v>37865</v>
      </c>
      <c r="BE7" s="41">
        <v>37865</v>
      </c>
      <c r="BF7" s="41">
        <v>37865</v>
      </c>
      <c r="BG7" s="41">
        <v>37865</v>
      </c>
      <c r="BH7" s="41">
        <v>37865</v>
      </c>
      <c r="BI7" s="41">
        <v>37865</v>
      </c>
    </row>
    <row r="8" spans="1:61" s="41" customFormat="1" x14ac:dyDescent="0.2">
      <c r="A8" s="40" t="s">
        <v>566</v>
      </c>
      <c r="B8" s="41">
        <v>45992</v>
      </c>
      <c r="C8" s="41">
        <v>45992</v>
      </c>
      <c r="D8" s="41">
        <v>45992</v>
      </c>
      <c r="E8" s="41">
        <v>45992</v>
      </c>
      <c r="F8" s="41">
        <v>45992</v>
      </c>
      <c r="G8" s="41">
        <v>45992</v>
      </c>
      <c r="H8" s="41">
        <v>45992</v>
      </c>
      <c r="I8" s="41">
        <v>45992</v>
      </c>
      <c r="J8" s="41">
        <v>45992</v>
      </c>
      <c r="K8" s="41">
        <v>45992</v>
      </c>
      <c r="L8" s="41">
        <v>45992</v>
      </c>
      <c r="M8" s="41">
        <v>45992</v>
      </c>
      <c r="N8" s="41">
        <v>45992</v>
      </c>
      <c r="O8" s="41">
        <v>45992</v>
      </c>
      <c r="P8" s="41">
        <v>45992</v>
      </c>
      <c r="Q8" s="41">
        <v>45992</v>
      </c>
      <c r="R8" s="41">
        <v>45992</v>
      </c>
      <c r="S8" s="41">
        <v>45992</v>
      </c>
      <c r="T8" s="41">
        <v>45992</v>
      </c>
      <c r="U8" s="41">
        <v>45992</v>
      </c>
      <c r="V8" s="41">
        <v>45992</v>
      </c>
      <c r="W8" s="41">
        <v>45992</v>
      </c>
      <c r="X8" s="41">
        <v>45992</v>
      </c>
      <c r="Y8" s="41">
        <v>45992</v>
      </c>
      <c r="Z8" s="41">
        <v>45992</v>
      </c>
      <c r="AA8" s="41">
        <v>45992</v>
      </c>
      <c r="AB8" s="41">
        <v>45992</v>
      </c>
      <c r="AC8" s="41">
        <v>45992</v>
      </c>
      <c r="AD8" s="41">
        <v>45992</v>
      </c>
      <c r="AE8" s="41">
        <v>45992</v>
      </c>
      <c r="AF8" s="41">
        <v>45992</v>
      </c>
      <c r="AG8" s="41">
        <v>45992</v>
      </c>
      <c r="AH8" s="41">
        <v>45992</v>
      </c>
      <c r="AI8" s="41">
        <v>45992</v>
      </c>
      <c r="AJ8" s="41">
        <v>45992</v>
      </c>
      <c r="AK8" s="41">
        <v>45992</v>
      </c>
      <c r="AL8" s="41">
        <v>45992</v>
      </c>
      <c r="AM8" s="41">
        <v>45992</v>
      </c>
      <c r="AN8" s="41">
        <v>45992</v>
      </c>
      <c r="AO8" s="41">
        <v>45992</v>
      </c>
      <c r="AP8" s="41">
        <v>45992</v>
      </c>
      <c r="AQ8" s="41">
        <v>45992</v>
      </c>
      <c r="AR8" s="41">
        <v>45992</v>
      </c>
      <c r="AS8" s="41">
        <v>45992</v>
      </c>
      <c r="AT8" s="41">
        <v>45992</v>
      </c>
      <c r="AU8" s="41">
        <v>45992</v>
      </c>
      <c r="AV8" s="41">
        <v>45992</v>
      </c>
      <c r="AW8" s="41">
        <v>45992</v>
      </c>
      <c r="AX8" s="41">
        <v>45992</v>
      </c>
      <c r="AY8" s="41">
        <v>45992</v>
      </c>
      <c r="AZ8" s="41">
        <v>45992</v>
      </c>
      <c r="BA8" s="41">
        <v>45992</v>
      </c>
      <c r="BB8" s="41">
        <v>45992</v>
      </c>
      <c r="BC8" s="41">
        <v>45992</v>
      </c>
      <c r="BD8" s="41">
        <v>45992</v>
      </c>
      <c r="BE8" s="41">
        <v>45992</v>
      </c>
      <c r="BF8" s="41">
        <v>45992</v>
      </c>
      <c r="BG8" s="41">
        <v>45992</v>
      </c>
      <c r="BH8" s="41">
        <v>45992</v>
      </c>
      <c r="BI8" s="41">
        <v>45992</v>
      </c>
    </row>
    <row r="9" spans="1:61" x14ac:dyDescent="0.2">
      <c r="A9" s="37" t="s">
        <v>567</v>
      </c>
      <c r="B9" s="39">
        <v>96</v>
      </c>
      <c r="C9" s="39">
        <v>90</v>
      </c>
      <c r="D9" s="39">
        <v>96</v>
      </c>
      <c r="E9" s="39">
        <v>90</v>
      </c>
      <c r="F9" s="39">
        <v>96</v>
      </c>
      <c r="G9" s="39">
        <v>90</v>
      </c>
      <c r="H9" s="39">
        <v>96</v>
      </c>
      <c r="I9" s="39">
        <v>90</v>
      </c>
      <c r="J9" s="39">
        <v>96</v>
      </c>
      <c r="K9" s="39">
        <v>90</v>
      </c>
      <c r="L9" s="39">
        <v>96</v>
      </c>
      <c r="M9" s="39">
        <v>90</v>
      </c>
      <c r="N9" s="39">
        <v>96</v>
      </c>
      <c r="O9" s="39">
        <v>90</v>
      </c>
      <c r="P9" s="39">
        <v>96</v>
      </c>
      <c r="Q9" s="39">
        <v>90</v>
      </c>
      <c r="R9" s="39">
        <v>90</v>
      </c>
      <c r="S9" s="39">
        <v>90</v>
      </c>
      <c r="T9" s="39">
        <v>90</v>
      </c>
      <c r="U9" s="39">
        <v>90</v>
      </c>
      <c r="V9" s="39">
        <v>90</v>
      </c>
      <c r="W9" s="39">
        <v>90</v>
      </c>
      <c r="X9" s="39">
        <v>90</v>
      </c>
      <c r="Y9" s="39">
        <v>90</v>
      </c>
      <c r="Z9" s="39">
        <v>90</v>
      </c>
      <c r="AA9" s="39">
        <v>90</v>
      </c>
      <c r="AB9" s="39">
        <v>90</v>
      </c>
      <c r="AC9" s="39">
        <v>90</v>
      </c>
      <c r="AD9" s="39">
        <v>90</v>
      </c>
      <c r="AE9" s="39">
        <v>90</v>
      </c>
      <c r="AF9" s="39">
        <v>96</v>
      </c>
      <c r="AG9" s="39">
        <v>90</v>
      </c>
      <c r="AH9" s="39">
        <v>96</v>
      </c>
      <c r="AI9" s="39">
        <v>90</v>
      </c>
      <c r="AJ9" s="39">
        <v>96</v>
      </c>
      <c r="AK9" s="39">
        <v>90</v>
      </c>
      <c r="AL9" s="39">
        <v>96</v>
      </c>
      <c r="AM9" s="39">
        <v>90</v>
      </c>
      <c r="AN9" s="39">
        <v>96</v>
      </c>
      <c r="AO9" s="39">
        <v>90</v>
      </c>
      <c r="AP9" s="39">
        <v>96</v>
      </c>
      <c r="AQ9" s="39">
        <v>90</v>
      </c>
      <c r="AR9" s="39">
        <v>96</v>
      </c>
      <c r="AS9" s="39">
        <v>90</v>
      </c>
      <c r="AT9" s="39">
        <v>96</v>
      </c>
      <c r="AU9" s="39">
        <v>90</v>
      </c>
      <c r="AV9" s="39">
        <v>90</v>
      </c>
      <c r="AW9" s="39">
        <v>90</v>
      </c>
      <c r="AX9" s="39">
        <v>90</v>
      </c>
      <c r="AY9" s="39">
        <v>90</v>
      </c>
      <c r="AZ9" s="39">
        <v>90</v>
      </c>
      <c r="BA9" s="39">
        <v>90</v>
      </c>
      <c r="BB9" s="39">
        <v>90</v>
      </c>
      <c r="BC9" s="39">
        <v>90</v>
      </c>
      <c r="BD9" s="39">
        <v>90</v>
      </c>
      <c r="BE9" s="39">
        <v>90</v>
      </c>
      <c r="BF9" s="39">
        <v>90</v>
      </c>
      <c r="BG9" s="39">
        <v>90</v>
      </c>
      <c r="BH9" s="39">
        <v>90</v>
      </c>
      <c r="BI9" s="39">
        <v>90</v>
      </c>
    </row>
    <row r="10" spans="1:61" x14ac:dyDescent="0.2">
      <c r="A10" s="37" t="s">
        <v>44</v>
      </c>
      <c r="B10" s="38" t="s">
        <v>568</v>
      </c>
      <c r="C10" s="38" t="s">
        <v>569</v>
      </c>
      <c r="D10" s="38" t="s">
        <v>570</v>
      </c>
      <c r="E10" s="38" t="s">
        <v>571</v>
      </c>
      <c r="F10" s="38" t="s">
        <v>572</v>
      </c>
      <c r="G10" s="38" t="s">
        <v>573</v>
      </c>
      <c r="H10" s="38" t="s">
        <v>574</v>
      </c>
      <c r="I10" s="38" t="s">
        <v>575</v>
      </c>
      <c r="J10" s="38" t="s">
        <v>576</v>
      </c>
      <c r="K10" s="38" t="s">
        <v>577</v>
      </c>
      <c r="L10" s="38" t="s">
        <v>578</v>
      </c>
      <c r="M10" s="38" t="s">
        <v>579</v>
      </c>
      <c r="N10" s="38" t="s">
        <v>580</v>
      </c>
      <c r="O10" s="38" t="s">
        <v>581</v>
      </c>
      <c r="P10" s="38" t="s">
        <v>582</v>
      </c>
      <c r="Q10" s="38" t="s">
        <v>583</v>
      </c>
      <c r="R10" s="38" t="s">
        <v>584</v>
      </c>
      <c r="S10" s="38" t="s">
        <v>585</v>
      </c>
      <c r="T10" s="38" t="s">
        <v>586</v>
      </c>
      <c r="U10" s="38" t="s">
        <v>587</v>
      </c>
      <c r="V10" s="38" t="s">
        <v>588</v>
      </c>
      <c r="W10" s="38" t="s">
        <v>589</v>
      </c>
      <c r="X10" s="38" t="s">
        <v>590</v>
      </c>
      <c r="Y10" s="38" t="s">
        <v>591</v>
      </c>
      <c r="Z10" s="38" t="s">
        <v>592</v>
      </c>
      <c r="AA10" s="38" t="s">
        <v>593</v>
      </c>
      <c r="AB10" s="38" t="s">
        <v>594</v>
      </c>
      <c r="AC10" s="38" t="s">
        <v>595</v>
      </c>
      <c r="AD10" s="38" t="s">
        <v>596</v>
      </c>
      <c r="AE10" s="38" t="s">
        <v>597</v>
      </c>
      <c r="AF10" s="38" t="s">
        <v>598</v>
      </c>
      <c r="AG10" s="38" t="s">
        <v>599</v>
      </c>
      <c r="AH10" s="38" t="s">
        <v>600</v>
      </c>
      <c r="AI10" s="38" t="s">
        <v>601</v>
      </c>
      <c r="AJ10" s="38" t="s">
        <v>602</v>
      </c>
      <c r="AK10" s="38" t="s">
        <v>603</v>
      </c>
      <c r="AL10" s="38" t="s">
        <v>604</v>
      </c>
      <c r="AM10" s="38" t="s">
        <v>605</v>
      </c>
      <c r="AN10" s="38" t="s">
        <v>606</v>
      </c>
      <c r="AO10" s="38" t="s">
        <v>607</v>
      </c>
      <c r="AP10" s="38" t="s">
        <v>608</v>
      </c>
      <c r="AQ10" s="38" t="s">
        <v>609</v>
      </c>
      <c r="AR10" s="38" t="s">
        <v>610</v>
      </c>
      <c r="AS10" s="38" t="s">
        <v>611</v>
      </c>
      <c r="AT10" s="38" t="s">
        <v>612</v>
      </c>
      <c r="AU10" s="38" t="s">
        <v>613</v>
      </c>
      <c r="AV10" s="38" t="s">
        <v>614</v>
      </c>
      <c r="AW10" s="38" t="s">
        <v>615</v>
      </c>
      <c r="AX10" s="38" t="s">
        <v>616</v>
      </c>
      <c r="AY10" s="38" t="s">
        <v>617</v>
      </c>
      <c r="AZ10" s="38" t="s">
        <v>618</v>
      </c>
      <c r="BA10" s="38" t="s">
        <v>619</v>
      </c>
      <c r="BB10" s="38" t="s">
        <v>620</v>
      </c>
      <c r="BC10" s="38" t="s">
        <v>621</v>
      </c>
      <c r="BD10" s="38" t="s">
        <v>622</v>
      </c>
      <c r="BE10" s="38" t="s">
        <v>623</v>
      </c>
      <c r="BF10" s="38" t="s">
        <v>624</v>
      </c>
      <c r="BG10" s="38" t="s">
        <v>625</v>
      </c>
      <c r="BH10" s="38" t="s">
        <v>626</v>
      </c>
      <c r="BI10" s="38" t="s">
        <v>627</v>
      </c>
    </row>
    <row r="11" spans="1:61" x14ac:dyDescent="0.2">
      <c r="A11" s="42">
        <v>37316</v>
      </c>
      <c r="B11" s="43">
        <v>365</v>
      </c>
      <c r="D11" s="43">
        <v>241</v>
      </c>
      <c r="F11" s="43">
        <v>185</v>
      </c>
      <c r="H11" s="43">
        <v>166</v>
      </c>
      <c r="J11" s="43">
        <v>190</v>
      </c>
      <c r="L11" s="43">
        <v>123.3</v>
      </c>
      <c r="N11" s="43">
        <v>190</v>
      </c>
      <c r="P11" s="43">
        <v>245</v>
      </c>
      <c r="AF11" s="44">
        <v>13078</v>
      </c>
      <c r="AH11" s="44">
        <v>16024</v>
      </c>
      <c r="AJ11" s="44">
        <v>11042</v>
      </c>
      <c r="AL11" s="44">
        <v>5534</v>
      </c>
      <c r="AN11" s="44">
        <v>8929</v>
      </c>
      <c r="AP11" s="44">
        <v>1482</v>
      </c>
      <c r="AR11" s="44">
        <v>432</v>
      </c>
      <c r="AT11" s="44">
        <v>1553</v>
      </c>
    </row>
    <row r="12" spans="1:61" x14ac:dyDescent="0.2">
      <c r="A12" s="42">
        <v>37408</v>
      </c>
      <c r="B12" s="43">
        <v>393.5</v>
      </c>
      <c r="D12" s="43">
        <v>260</v>
      </c>
      <c r="F12" s="43">
        <v>182.6</v>
      </c>
      <c r="H12" s="43">
        <v>175</v>
      </c>
      <c r="J12" s="43">
        <v>190</v>
      </c>
      <c r="L12" s="43">
        <v>117</v>
      </c>
      <c r="N12" s="43">
        <v>188.3</v>
      </c>
      <c r="P12" s="43">
        <v>258</v>
      </c>
      <c r="AF12" s="44">
        <v>15569</v>
      </c>
      <c r="AH12" s="44">
        <v>17304</v>
      </c>
      <c r="AJ12" s="44">
        <v>11948</v>
      </c>
      <c r="AL12" s="44">
        <v>5574</v>
      </c>
      <c r="AN12" s="44">
        <v>8286</v>
      </c>
      <c r="AP12" s="44">
        <v>1475</v>
      </c>
      <c r="AR12" s="44">
        <v>472</v>
      </c>
      <c r="AT12" s="44">
        <v>1773</v>
      </c>
    </row>
    <row r="13" spans="1:61" x14ac:dyDescent="0.2">
      <c r="A13" s="42">
        <v>37500</v>
      </c>
      <c r="B13" s="43">
        <v>413</v>
      </c>
      <c r="D13" s="43">
        <v>265</v>
      </c>
      <c r="F13" s="43">
        <v>198</v>
      </c>
      <c r="H13" s="43">
        <v>181</v>
      </c>
      <c r="J13" s="43">
        <v>195</v>
      </c>
      <c r="L13" s="43">
        <v>124</v>
      </c>
      <c r="N13" s="43">
        <v>190</v>
      </c>
      <c r="P13" s="43">
        <v>275</v>
      </c>
      <c r="AF13" s="44">
        <v>16761</v>
      </c>
      <c r="AH13" s="44">
        <v>15888</v>
      </c>
      <c r="AJ13" s="44">
        <v>11772</v>
      </c>
      <c r="AL13" s="44">
        <v>4983</v>
      </c>
      <c r="AN13" s="44">
        <v>7340</v>
      </c>
      <c r="AP13" s="44">
        <v>1491</v>
      </c>
      <c r="AR13" s="44">
        <v>512</v>
      </c>
      <c r="AT13" s="44">
        <v>1411</v>
      </c>
    </row>
    <row r="14" spans="1:61" x14ac:dyDescent="0.2">
      <c r="A14" s="42">
        <v>37591</v>
      </c>
      <c r="B14" s="43">
        <v>444</v>
      </c>
      <c r="D14" s="43">
        <v>280</v>
      </c>
      <c r="F14" s="43">
        <v>208</v>
      </c>
      <c r="H14" s="43">
        <v>195</v>
      </c>
      <c r="J14" s="43">
        <v>206</v>
      </c>
      <c r="L14" s="43">
        <v>128</v>
      </c>
      <c r="N14" s="43">
        <v>195</v>
      </c>
      <c r="P14" s="43">
        <v>291</v>
      </c>
      <c r="AF14" s="44">
        <v>15447</v>
      </c>
      <c r="AH14" s="44">
        <v>16320</v>
      </c>
      <c r="AJ14" s="44">
        <v>11552</v>
      </c>
      <c r="AL14" s="44">
        <v>5139</v>
      </c>
      <c r="AN14" s="44">
        <v>7673</v>
      </c>
      <c r="AP14" s="44">
        <v>1474</v>
      </c>
      <c r="AR14" s="44">
        <v>469</v>
      </c>
      <c r="AT14" s="44">
        <v>1504</v>
      </c>
    </row>
    <row r="15" spans="1:61" x14ac:dyDescent="0.2">
      <c r="A15" s="42">
        <v>37681</v>
      </c>
      <c r="B15" s="43">
        <v>434.5</v>
      </c>
      <c r="D15" s="43">
        <v>270</v>
      </c>
      <c r="F15" s="43">
        <v>225</v>
      </c>
      <c r="H15" s="43">
        <v>209.4</v>
      </c>
      <c r="J15" s="43">
        <v>216</v>
      </c>
      <c r="L15" s="43">
        <v>145</v>
      </c>
      <c r="N15" s="43">
        <v>198</v>
      </c>
      <c r="P15" s="43">
        <v>300</v>
      </c>
      <c r="AF15" s="44">
        <v>13734</v>
      </c>
      <c r="AH15" s="44">
        <v>14699</v>
      </c>
      <c r="AJ15" s="44">
        <v>13572</v>
      </c>
      <c r="AL15" s="44">
        <v>5229</v>
      </c>
      <c r="AN15" s="44">
        <v>9446</v>
      </c>
      <c r="AP15" s="44">
        <v>1607</v>
      </c>
      <c r="AR15" s="44">
        <v>497</v>
      </c>
      <c r="AT15" s="44">
        <v>1386</v>
      </c>
    </row>
    <row r="16" spans="1:61" x14ac:dyDescent="0.2">
      <c r="A16" s="42">
        <v>37773</v>
      </c>
      <c r="B16" s="43">
        <v>460</v>
      </c>
      <c r="D16" s="43">
        <v>287.5</v>
      </c>
      <c r="F16" s="43">
        <v>240</v>
      </c>
      <c r="H16" s="43">
        <v>220.5</v>
      </c>
      <c r="J16" s="43">
        <v>225</v>
      </c>
      <c r="L16" s="43">
        <v>149</v>
      </c>
      <c r="N16" s="43">
        <v>200.5</v>
      </c>
      <c r="P16" s="43">
        <v>334.5</v>
      </c>
      <c r="AF16" s="44">
        <v>16415</v>
      </c>
      <c r="AH16" s="44">
        <v>16655</v>
      </c>
      <c r="AJ16" s="44">
        <v>13095</v>
      </c>
      <c r="AL16" s="44">
        <v>5317</v>
      </c>
      <c r="AN16" s="44">
        <v>9902</v>
      </c>
      <c r="AP16" s="44">
        <v>1561</v>
      </c>
      <c r="AR16" s="44">
        <v>562</v>
      </c>
      <c r="AT16" s="44">
        <v>1617</v>
      </c>
    </row>
    <row r="17" spans="1:61" x14ac:dyDescent="0.2">
      <c r="A17" s="42">
        <v>37865</v>
      </c>
      <c r="B17" s="43">
        <v>480</v>
      </c>
      <c r="C17" s="43">
        <v>247.3</v>
      </c>
      <c r="D17" s="43">
        <v>295</v>
      </c>
      <c r="E17" s="43">
        <v>176</v>
      </c>
      <c r="F17" s="43">
        <v>269</v>
      </c>
      <c r="G17" s="43">
        <v>197</v>
      </c>
      <c r="H17" s="43">
        <v>235</v>
      </c>
      <c r="I17" s="43">
        <v>150</v>
      </c>
      <c r="J17" s="43">
        <v>236</v>
      </c>
      <c r="K17" s="43">
        <v>160</v>
      </c>
      <c r="L17" s="43">
        <v>165</v>
      </c>
      <c r="M17" s="43">
        <v>125</v>
      </c>
      <c r="N17" s="43">
        <v>214</v>
      </c>
      <c r="O17" s="43">
        <v>195</v>
      </c>
      <c r="P17" s="43">
        <v>360</v>
      </c>
      <c r="Q17" s="43">
        <v>371</v>
      </c>
      <c r="R17" s="43">
        <v>240</v>
      </c>
      <c r="S17" s="43">
        <v>276</v>
      </c>
      <c r="T17" s="43">
        <v>160</v>
      </c>
      <c r="U17" s="43">
        <v>221</v>
      </c>
      <c r="V17" s="43">
        <v>230</v>
      </c>
      <c r="W17" s="43">
        <v>182.5</v>
      </c>
      <c r="X17" s="43">
        <v>82</v>
      </c>
      <c r="Y17" s="43">
        <v>195</v>
      </c>
      <c r="Z17" s="43">
        <v>135.5</v>
      </c>
      <c r="AA17" s="43">
        <v>165</v>
      </c>
      <c r="AB17" s="43">
        <v>130</v>
      </c>
      <c r="AC17" s="43">
        <v>130</v>
      </c>
      <c r="AD17" s="43">
        <v>136</v>
      </c>
      <c r="AE17" s="43">
        <v>290</v>
      </c>
      <c r="AF17" s="44">
        <v>17027</v>
      </c>
      <c r="AG17" s="44">
        <v>15816</v>
      </c>
      <c r="AH17" s="44">
        <v>17317</v>
      </c>
      <c r="AI17" s="44">
        <v>9910</v>
      </c>
      <c r="AJ17" s="44">
        <v>14494</v>
      </c>
      <c r="AK17" s="44">
        <v>17000</v>
      </c>
      <c r="AL17" s="44">
        <v>4831</v>
      </c>
      <c r="AM17" s="44">
        <v>2254</v>
      </c>
      <c r="AN17" s="44">
        <v>8247</v>
      </c>
      <c r="AO17" s="44">
        <v>3277</v>
      </c>
      <c r="AP17" s="44">
        <v>1594</v>
      </c>
      <c r="AQ17" s="44">
        <v>2968</v>
      </c>
      <c r="AR17" s="44">
        <v>642</v>
      </c>
      <c r="AS17" s="44">
        <v>191</v>
      </c>
      <c r="AT17" s="44">
        <v>1437</v>
      </c>
      <c r="AU17" s="44">
        <v>13969</v>
      </c>
      <c r="AV17" s="44">
        <v>3383</v>
      </c>
      <c r="AW17" s="44">
        <v>8010</v>
      </c>
      <c r="AX17" s="44">
        <v>1163</v>
      </c>
      <c r="AY17" s="44">
        <v>5754</v>
      </c>
      <c r="AZ17" s="44">
        <v>9466</v>
      </c>
      <c r="BA17" s="44">
        <v>1935</v>
      </c>
      <c r="BB17" s="44">
        <v>301</v>
      </c>
      <c r="BC17" s="44">
        <v>2927</v>
      </c>
      <c r="BD17" s="44">
        <v>497</v>
      </c>
      <c r="BE17" s="44">
        <v>477</v>
      </c>
      <c r="BF17" s="44">
        <v>319</v>
      </c>
      <c r="BG17" s="44">
        <v>367</v>
      </c>
      <c r="BH17" s="44">
        <v>86</v>
      </c>
      <c r="BI17" s="44">
        <v>1023</v>
      </c>
    </row>
    <row r="18" spans="1:61" x14ac:dyDescent="0.2">
      <c r="A18" s="42">
        <v>37956</v>
      </c>
      <c r="B18" s="43">
        <v>520</v>
      </c>
      <c r="C18" s="43">
        <v>255</v>
      </c>
      <c r="D18" s="43">
        <v>320</v>
      </c>
      <c r="E18" s="43">
        <v>185</v>
      </c>
      <c r="F18" s="43">
        <v>296.39999999999998</v>
      </c>
      <c r="G18" s="43">
        <v>205</v>
      </c>
      <c r="H18" s="43">
        <v>247.5</v>
      </c>
      <c r="I18" s="43">
        <v>162</v>
      </c>
      <c r="J18" s="43">
        <v>250</v>
      </c>
      <c r="K18" s="43">
        <v>164</v>
      </c>
      <c r="L18" s="43">
        <v>182.3</v>
      </c>
      <c r="M18" s="43">
        <v>139.30000000000001</v>
      </c>
      <c r="N18" s="43">
        <v>226</v>
      </c>
      <c r="O18" s="43">
        <v>204.5</v>
      </c>
      <c r="P18" s="43">
        <v>375</v>
      </c>
      <c r="Q18" s="43">
        <v>387</v>
      </c>
      <c r="R18" s="43">
        <v>250</v>
      </c>
      <c r="S18" s="43">
        <v>285</v>
      </c>
      <c r="T18" s="43">
        <v>170</v>
      </c>
      <c r="U18" s="43">
        <v>241.6</v>
      </c>
      <c r="V18" s="43">
        <v>240</v>
      </c>
      <c r="W18" s="43">
        <v>191</v>
      </c>
      <c r="X18" s="43">
        <v>85</v>
      </c>
      <c r="Y18" s="43">
        <v>198</v>
      </c>
      <c r="Z18" s="43">
        <v>138</v>
      </c>
      <c r="AA18" s="43">
        <v>175</v>
      </c>
      <c r="AB18" s="43">
        <v>120</v>
      </c>
      <c r="AC18" s="43">
        <v>135.5</v>
      </c>
      <c r="AD18" s="43">
        <v>129</v>
      </c>
      <c r="AE18" s="43">
        <v>300</v>
      </c>
      <c r="AF18" s="44">
        <v>11847</v>
      </c>
      <c r="AG18" s="44">
        <v>13175</v>
      </c>
      <c r="AH18" s="44">
        <v>14573</v>
      </c>
      <c r="AI18" s="44">
        <v>8962</v>
      </c>
      <c r="AJ18" s="44">
        <v>9212</v>
      </c>
      <c r="AK18" s="44">
        <v>15007</v>
      </c>
      <c r="AL18" s="44">
        <v>4597</v>
      </c>
      <c r="AM18" s="44">
        <v>2101</v>
      </c>
      <c r="AN18" s="44">
        <v>6893</v>
      </c>
      <c r="AO18" s="44">
        <v>2985</v>
      </c>
      <c r="AP18" s="44">
        <v>1258</v>
      </c>
      <c r="AQ18" s="44">
        <v>2050</v>
      </c>
      <c r="AR18" s="44">
        <v>630</v>
      </c>
      <c r="AS18" s="44">
        <v>194</v>
      </c>
      <c r="AT18" s="44">
        <v>1232</v>
      </c>
      <c r="AU18" s="44">
        <v>9830</v>
      </c>
      <c r="AV18" s="44">
        <v>2730</v>
      </c>
      <c r="AW18" s="44">
        <v>6753</v>
      </c>
      <c r="AX18" s="44">
        <v>1101</v>
      </c>
      <c r="AY18" s="44">
        <v>3663</v>
      </c>
      <c r="AZ18" s="44">
        <v>6382</v>
      </c>
      <c r="BA18" s="44">
        <v>1684</v>
      </c>
      <c r="BB18" s="44">
        <v>297</v>
      </c>
      <c r="BC18" s="44">
        <v>2517</v>
      </c>
      <c r="BD18" s="44">
        <v>461</v>
      </c>
      <c r="BE18" s="44">
        <v>329</v>
      </c>
      <c r="BF18" s="44">
        <v>293</v>
      </c>
      <c r="BG18" s="44">
        <v>372</v>
      </c>
      <c r="BH18" s="44">
        <v>95</v>
      </c>
      <c r="BI18" s="44">
        <v>921</v>
      </c>
    </row>
    <row r="19" spans="1:61" x14ac:dyDescent="0.2">
      <c r="A19" s="42">
        <v>38047</v>
      </c>
      <c r="B19" s="43">
        <v>523</v>
      </c>
      <c r="C19" s="43">
        <v>265</v>
      </c>
      <c r="D19" s="43">
        <v>305</v>
      </c>
      <c r="E19" s="43">
        <v>190</v>
      </c>
      <c r="F19" s="43">
        <v>302.7</v>
      </c>
      <c r="G19" s="43">
        <v>224</v>
      </c>
      <c r="H19" s="43">
        <v>250</v>
      </c>
      <c r="I19" s="43">
        <v>166.6</v>
      </c>
      <c r="J19" s="43">
        <v>255</v>
      </c>
      <c r="K19" s="43">
        <v>178</v>
      </c>
      <c r="L19" s="43">
        <v>200</v>
      </c>
      <c r="M19" s="43">
        <v>156</v>
      </c>
      <c r="N19" s="43">
        <v>239.5</v>
      </c>
      <c r="O19" s="43">
        <v>217.8</v>
      </c>
      <c r="P19" s="43">
        <v>375</v>
      </c>
      <c r="Q19" s="43">
        <v>380</v>
      </c>
      <c r="R19" s="43">
        <v>269</v>
      </c>
      <c r="S19" s="43">
        <v>272.5</v>
      </c>
      <c r="T19" s="43">
        <v>173</v>
      </c>
      <c r="U19" s="43">
        <v>249</v>
      </c>
      <c r="V19" s="43">
        <v>257</v>
      </c>
      <c r="W19" s="43">
        <v>193.5</v>
      </c>
      <c r="X19" s="43">
        <v>82.9</v>
      </c>
      <c r="Y19" s="43">
        <v>208</v>
      </c>
      <c r="Z19" s="43">
        <v>139</v>
      </c>
      <c r="AA19" s="43">
        <v>192</v>
      </c>
      <c r="AB19" s="43">
        <v>145</v>
      </c>
      <c r="AC19" s="43">
        <v>147.1</v>
      </c>
      <c r="AD19" s="43">
        <v>150</v>
      </c>
      <c r="AE19" s="43">
        <v>295</v>
      </c>
      <c r="AF19" s="44">
        <v>10210</v>
      </c>
      <c r="AG19" s="44">
        <v>11193</v>
      </c>
      <c r="AH19" s="44">
        <v>12802</v>
      </c>
      <c r="AI19" s="44">
        <v>8553</v>
      </c>
      <c r="AJ19" s="44">
        <v>9169</v>
      </c>
      <c r="AK19" s="44">
        <v>14930</v>
      </c>
      <c r="AL19" s="44">
        <v>4648</v>
      </c>
      <c r="AM19" s="44">
        <v>2198</v>
      </c>
      <c r="AN19" s="44">
        <v>7688</v>
      </c>
      <c r="AO19" s="44">
        <v>3296</v>
      </c>
      <c r="AP19" s="44">
        <v>1262</v>
      </c>
      <c r="AQ19" s="44">
        <v>2047</v>
      </c>
      <c r="AR19" s="44">
        <v>542</v>
      </c>
      <c r="AS19" s="44">
        <v>182</v>
      </c>
      <c r="AT19" s="44">
        <v>1031</v>
      </c>
      <c r="AU19" s="44">
        <v>7610</v>
      </c>
      <c r="AV19" s="44">
        <v>2369</v>
      </c>
      <c r="AW19" s="44">
        <v>5546</v>
      </c>
      <c r="AX19" s="44">
        <v>1125</v>
      </c>
      <c r="AY19" s="44">
        <v>3160</v>
      </c>
      <c r="AZ19" s="44">
        <v>5802</v>
      </c>
      <c r="BA19" s="44">
        <v>1770</v>
      </c>
      <c r="BB19" s="44">
        <v>294</v>
      </c>
      <c r="BC19" s="44">
        <v>2811</v>
      </c>
      <c r="BD19" s="44">
        <v>455</v>
      </c>
      <c r="BE19" s="44">
        <v>407</v>
      </c>
      <c r="BF19" s="44">
        <v>278</v>
      </c>
      <c r="BG19" s="44">
        <v>272</v>
      </c>
      <c r="BH19" s="44">
        <v>77</v>
      </c>
      <c r="BI19" s="44">
        <v>789</v>
      </c>
    </row>
    <row r="20" spans="1:61" x14ac:dyDescent="0.2">
      <c r="A20" s="42">
        <v>38139</v>
      </c>
      <c r="B20" s="43">
        <v>498</v>
      </c>
      <c r="C20" s="43">
        <v>270</v>
      </c>
      <c r="D20" s="43">
        <v>307.5</v>
      </c>
      <c r="E20" s="43">
        <v>195</v>
      </c>
      <c r="F20" s="43">
        <v>305</v>
      </c>
      <c r="G20" s="43">
        <v>235</v>
      </c>
      <c r="H20" s="43">
        <v>257.5</v>
      </c>
      <c r="I20" s="43">
        <v>169</v>
      </c>
      <c r="J20" s="43">
        <v>262</v>
      </c>
      <c r="K20" s="43">
        <v>178</v>
      </c>
      <c r="L20" s="43">
        <v>225</v>
      </c>
      <c r="M20" s="43">
        <v>156</v>
      </c>
      <c r="N20" s="43">
        <v>248.8</v>
      </c>
      <c r="O20" s="43">
        <v>215</v>
      </c>
      <c r="P20" s="43">
        <v>375</v>
      </c>
      <c r="Q20" s="43">
        <v>380</v>
      </c>
      <c r="R20" s="43">
        <v>265</v>
      </c>
      <c r="S20" s="43">
        <v>280</v>
      </c>
      <c r="T20" s="43">
        <v>172</v>
      </c>
      <c r="U20" s="43">
        <v>249</v>
      </c>
      <c r="V20" s="43">
        <v>264</v>
      </c>
      <c r="W20" s="43">
        <v>200</v>
      </c>
      <c r="X20" s="43">
        <v>81.5</v>
      </c>
      <c r="Y20" s="43">
        <v>215</v>
      </c>
      <c r="Z20" s="43">
        <v>148.5</v>
      </c>
      <c r="AA20" s="43">
        <v>192.8</v>
      </c>
      <c r="AB20" s="43">
        <v>149</v>
      </c>
      <c r="AC20" s="43">
        <v>152</v>
      </c>
      <c r="AD20" s="43">
        <v>130</v>
      </c>
      <c r="AE20" s="43">
        <v>300</v>
      </c>
      <c r="AF20" s="44">
        <v>11922</v>
      </c>
      <c r="AG20" s="44">
        <v>11226</v>
      </c>
      <c r="AH20" s="44">
        <v>13623</v>
      </c>
      <c r="AI20" s="44">
        <v>8079</v>
      </c>
      <c r="AJ20" s="44">
        <v>8421</v>
      </c>
      <c r="AK20" s="44">
        <v>13054</v>
      </c>
      <c r="AL20" s="44">
        <v>4499</v>
      </c>
      <c r="AM20" s="44">
        <v>2074</v>
      </c>
      <c r="AN20" s="44">
        <v>6773</v>
      </c>
      <c r="AO20" s="44">
        <v>2869</v>
      </c>
      <c r="AP20" s="44">
        <v>1094</v>
      </c>
      <c r="AQ20" s="44">
        <v>1654</v>
      </c>
      <c r="AR20" s="44">
        <v>536</v>
      </c>
      <c r="AS20" s="44">
        <v>207</v>
      </c>
      <c r="AT20" s="44">
        <v>1145</v>
      </c>
      <c r="AU20" s="44">
        <v>10106</v>
      </c>
      <c r="AV20" s="44">
        <v>2331</v>
      </c>
      <c r="AW20" s="44">
        <v>6178</v>
      </c>
      <c r="AX20" s="44">
        <v>1027</v>
      </c>
      <c r="AY20" s="44">
        <v>2924</v>
      </c>
      <c r="AZ20" s="44">
        <v>4890</v>
      </c>
      <c r="BA20" s="44">
        <v>1694</v>
      </c>
      <c r="BB20" s="44">
        <v>297</v>
      </c>
      <c r="BC20" s="44">
        <v>2262</v>
      </c>
      <c r="BD20" s="44">
        <v>406</v>
      </c>
      <c r="BE20" s="44">
        <v>336</v>
      </c>
      <c r="BF20" s="44">
        <v>235</v>
      </c>
      <c r="BG20" s="44">
        <v>341</v>
      </c>
      <c r="BH20" s="44">
        <v>69</v>
      </c>
      <c r="BI20" s="44">
        <v>655</v>
      </c>
    </row>
    <row r="21" spans="1:61" x14ac:dyDescent="0.2">
      <c r="A21" s="42">
        <v>38231</v>
      </c>
      <c r="B21" s="43">
        <v>500</v>
      </c>
      <c r="C21" s="43">
        <v>275</v>
      </c>
      <c r="D21" s="43">
        <v>302</v>
      </c>
      <c r="E21" s="43">
        <v>195</v>
      </c>
      <c r="F21" s="43">
        <v>305</v>
      </c>
      <c r="G21" s="43">
        <v>244</v>
      </c>
      <c r="H21" s="43">
        <v>261</v>
      </c>
      <c r="I21" s="43">
        <v>175</v>
      </c>
      <c r="J21" s="43">
        <v>259</v>
      </c>
      <c r="K21" s="43">
        <v>185</v>
      </c>
      <c r="L21" s="43">
        <v>230</v>
      </c>
      <c r="M21" s="43">
        <v>160</v>
      </c>
      <c r="N21" s="43">
        <v>245</v>
      </c>
      <c r="O21" s="43">
        <v>227.5</v>
      </c>
      <c r="P21" s="43">
        <v>352.5</v>
      </c>
      <c r="Q21" s="43">
        <v>380</v>
      </c>
      <c r="R21" s="43">
        <v>260</v>
      </c>
      <c r="S21" s="43">
        <v>276</v>
      </c>
      <c r="T21" s="43">
        <v>175</v>
      </c>
      <c r="U21" s="43">
        <v>264</v>
      </c>
      <c r="V21" s="43">
        <v>269</v>
      </c>
      <c r="W21" s="43">
        <v>220</v>
      </c>
      <c r="X21" s="43">
        <v>90.8</v>
      </c>
      <c r="Y21" s="43">
        <v>215</v>
      </c>
      <c r="Z21" s="43">
        <v>156</v>
      </c>
      <c r="AA21" s="43">
        <v>195</v>
      </c>
      <c r="AB21" s="43">
        <v>155</v>
      </c>
      <c r="AC21" s="43">
        <v>156.5</v>
      </c>
      <c r="AD21" s="43">
        <v>170.3</v>
      </c>
      <c r="AE21" s="43">
        <v>280</v>
      </c>
      <c r="AF21" s="44">
        <v>10240</v>
      </c>
      <c r="AG21" s="44">
        <v>9570</v>
      </c>
      <c r="AH21" s="44">
        <v>13974</v>
      </c>
      <c r="AI21" s="44">
        <v>8461</v>
      </c>
      <c r="AJ21" s="44">
        <v>8546</v>
      </c>
      <c r="AK21" s="44">
        <v>13264</v>
      </c>
      <c r="AL21" s="44">
        <v>4462</v>
      </c>
      <c r="AM21" s="44">
        <v>2016</v>
      </c>
      <c r="AN21" s="44">
        <v>8522</v>
      </c>
      <c r="AO21" s="44">
        <v>3517</v>
      </c>
      <c r="AP21" s="44">
        <v>976</v>
      </c>
      <c r="AQ21" s="44">
        <v>1601</v>
      </c>
      <c r="AR21" s="44">
        <v>586</v>
      </c>
      <c r="AS21" s="44">
        <v>214</v>
      </c>
      <c r="AT21" s="44">
        <v>843</v>
      </c>
      <c r="AU21" s="44">
        <v>8179</v>
      </c>
      <c r="AV21" s="44">
        <v>1758</v>
      </c>
      <c r="AW21" s="44">
        <v>6658</v>
      </c>
      <c r="AX21" s="44">
        <v>1156</v>
      </c>
      <c r="AY21" s="44">
        <v>3188</v>
      </c>
      <c r="AZ21" s="44">
        <v>5176</v>
      </c>
      <c r="BA21" s="44">
        <v>1990</v>
      </c>
      <c r="BB21" s="44">
        <v>272</v>
      </c>
      <c r="BC21" s="44">
        <v>3193</v>
      </c>
      <c r="BD21" s="44">
        <v>454</v>
      </c>
      <c r="BE21" s="44">
        <v>287</v>
      </c>
      <c r="BF21" s="44">
        <v>215</v>
      </c>
      <c r="BG21" s="44">
        <v>387</v>
      </c>
      <c r="BH21" s="44">
        <v>86</v>
      </c>
      <c r="BI21" s="44">
        <v>727</v>
      </c>
    </row>
    <row r="22" spans="1:61" x14ac:dyDescent="0.2">
      <c r="A22" s="42">
        <v>38322</v>
      </c>
      <c r="B22" s="43">
        <v>515</v>
      </c>
      <c r="C22" s="43">
        <v>278</v>
      </c>
      <c r="D22" s="43">
        <v>321</v>
      </c>
      <c r="E22" s="43">
        <v>205</v>
      </c>
      <c r="F22" s="43">
        <v>310</v>
      </c>
      <c r="G22" s="43">
        <v>255</v>
      </c>
      <c r="H22" s="43">
        <v>270</v>
      </c>
      <c r="I22" s="43">
        <v>182</v>
      </c>
      <c r="J22" s="43">
        <v>280</v>
      </c>
      <c r="K22" s="43">
        <v>199.8</v>
      </c>
      <c r="L22" s="43">
        <v>237.3</v>
      </c>
      <c r="M22" s="43">
        <v>166.5</v>
      </c>
      <c r="N22" s="43">
        <v>259</v>
      </c>
      <c r="O22" s="43">
        <v>227</v>
      </c>
      <c r="P22" s="43">
        <v>372</v>
      </c>
      <c r="Q22" s="43">
        <v>390</v>
      </c>
      <c r="R22" s="43">
        <v>265</v>
      </c>
      <c r="S22" s="43">
        <v>281</v>
      </c>
      <c r="T22" s="43">
        <v>180</v>
      </c>
      <c r="U22" s="43">
        <v>267</v>
      </c>
      <c r="V22" s="43">
        <v>278</v>
      </c>
      <c r="W22" s="43">
        <v>220</v>
      </c>
      <c r="X22" s="43">
        <v>112</v>
      </c>
      <c r="Y22" s="43">
        <v>229</v>
      </c>
      <c r="Z22" s="43">
        <v>165</v>
      </c>
      <c r="AA22" s="43">
        <v>200</v>
      </c>
      <c r="AB22" s="43">
        <v>158</v>
      </c>
      <c r="AC22" s="43">
        <v>171</v>
      </c>
      <c r="AD22" s="43">
        <v>175</v>
      </c>
      <c r="AE22" s="43">
        <v>289</v>
      </c>
      <c r="AF22" s="44">
        <v>10843</v>
      </c>
      <c r="AG22" s="44">
        <v>10303</v>
      </c>
      <c r="AH22" s="44">
        <v>14959</v>
      </c>
      <c r="AI22" s="44">
        <v>8369</v>
      </c>
      <c r="AJ22" s="44">
        <v>8295</v>
      </c>
      <c r="AK22" s="44">
        <v>13349</v>
      </c>
      <c r="AL22" s="44">
        <v>4588</v>
      </c>
      <c r="AM22" s="44">
        <v>2066</v>
      </c>
      <c r="AN22" s="44">
        <v>7680</v>
      </c>
      <c r="AO22" s="44">
        <v>3352</v>
      </c>
      <c r="AP22" s="44">
        <v>1000</v>
      </c>
      <c r="AQ22" s="44">
        <v>1518</v>
      </c>
      <c r="AR22" s="44">
        <v>573</v>
      </c>
      <c r="AS22" s="44">
        <v>233</v>
      </c>
      <c r="AT22" s="44">
        <v>1168</v>
      </c>
      <c r="AU22" s="44">
        <v>8506</v>
      </c>
      <c r="AV22" s="44">
        <v>2006</v>
      </c>
      <c r="AW22" s="44">
        <v>7071</v>
      </c>
      <c r="AX22" s="44">
        <v>1123</v>
      </c>
      <c r="AY22" s="44">
        <v>3031</v>
      </c>
      <c r="AZ22" s="44">
        <v>5136</v>
      </c>
      <c r="BA22" s="44">
        <v>1693</v>
      </c>
      <c r="BB22" s="44">
        <v>241</v>
      </c>
      <c r="BC22" s="44">
        <v>2887</v>
      </c>
      <c r="BD22" s="44">
        <v>433</v>
      </c>
      <c r="BE22" s="44">
        <v>267</v>
      </c>
      <c r="BF22" s="44">
        <v>159</v>
      </c>
      <c r="BG22" s="44">
        <v>337</v>
      </c>
      <c r="BH22" s="44">
        <v>93</v>
      </c>
      <c r="BI22" s="44">
        <v>770</v>
      </c>
    </row>
    <row r="23" spans="1:61" x14ac:dyDescent="0.2">
      <c r="A23" s="42">
        <v>38412</v>
      </c>
      <c r="B23" s="43">
        <v>486</v>
      </c>
      <c r="C23" s="43">
        <v>280</v>
      </c>
      <c r="D23" s="43">
        <v>310</v>
      </c>
      <c r="E23" s="43">
        <v>210</v>
      </c>
      <c r="F23" s="43">
        <v>312</v>
      </c>
      <c r="G23" s="43">
        <v>270</v>
      </c>
      <c r="H23" s="43">
        <v>270</v>
      </c>
      <c r="I23" s="43">
        <v>187</v>
      </c>
      <c r="J23" s="43">
        <v>290</v>
      </c>
      <c r="K23" s="43">
        <v>225</v>
      </c>
      <c r="L23" s="43">
        <v>240</v>
      </c>
      <c r="M23" s="43">
        <v>179</v>
      </c>
      <c r="N23" s="43">
        <v>275</v>
      </c>
      <c r="O23" s="43">
        <v>231</v>
      </c>
      <c r="P23" s="43">
        <v>374.7</v>
      </c>
      <c r="Q23" s="43">
        <v>385</v>
      </c>
      <c r="R23" s="43">
        <v>270</v>
      </c>
      <c r="S23" s="43">
        <v>285</v>
      </c>
      <c r="T23" s="43">
        <v>190</v>
      </c>
      <c r="U23" s="43">
        <v>257</v>
      </c>
      <c r="V23" s="43">
        <v>282.5</v>
      </c>
      <c r="W23" s="43">
        <v>212</v>
      </c>
      <c r="X23" s="43">
        <v>125</v>
      </c>
      <c r="Y23" s="43">
        <v>235</v>
      </c>
      <c r="Z23" s="43">
        <v>183</v>
      </c>
      <c r="AA23" s="43">
        <v>220</v>
      </c>
      <c r="AB23" s="43">
        <v>166</v>
      </c>
      <c r="AC23" s="43">
        <v>175</v>
      </c>
      <c r="AD23" s="43">
        <v>170.5</v>
      </c>
      <c r="AE23" s="43">
        <v>304.5</v>
      </c>
      <c r="AF23" s="44">
        <v>8967</v>
      </c>
      <c r="AG23" s="44">
        <v>9110</v>
      </c>
      <c r="AH23" s="44">
        <v>13292</v>
      </c>
      <c r="AI23" s="44">
        <v>8020</v>
      </c>
      <c r="AJ23" s="44">
        <v>8731</v>
      </c>
      <c r="AK23" s="44">
        <v>13591</v>
      </c>
      <c r="AL23" s="44">
        <v>4412</v>
      </c>
      <c r="AM23" s="44">
        <v>2045</v>
      </c>
      <c r="AN23" s="44">
        <v>8619</v>
      </c>
      <c r="AO23" s="44">
        <v>3851</v>
      </c>
      <c r="AP23" s="44">
        <v>875</v>
      </c>
      <c r="AQ23" s="44">
        <v>1514</v>
      </c>
      <c r="AR23" s="44">
        <v>596</v>
      </c>
      <c r="AS23" s="44">
        <v>199</v>
      </c>
      <c r="AT23" s="44">
        <v>1002</v>
      </c>
      <c r="AU23" s="44">
        <v>6743</v>
      </c>
      <c r="AV23" s="44">
        <v>1862</v>
      </c>
      <c r="AW23" s="44">
        <v>6617</v>
      </c>
      <c r="AX23" s="44">
        <v>1188</v>
      </c>
      <c r="AY23" s="44">
        <v>2761</v>
      </c>
      <c r="AZ23" s="44">
        <v>5073</v>
      </c>
      <c r="BA23" s="44">
        <v>1785</v>
      </c>
      <c r="BB23" s="44">
        <v>216</v>
      </c>
      <c r="BC23" s="44">
        <v>3289</v>
      </c>
      <c r="BD23" s="44">
        <v>457</v>
      </c>
      <c r="BE23" s="44">
        <v>239</v>
      </c>
      <c r="BF23" s="44">
        <v>217</v>
      </c>
      <c r="BG23" s="44">
        <v>374</v>
      </c>
      <c r="BH23" s="44">
        <v>102</v>
      </c>
      <c r="BI23" s="44">
        <v>705</v>
      </c>
    </row>
    <row r="24" spans="1:61" x14ac:dyDescent="0.2">
      <c r="A24" s="42">
        <v>38504</v>
      </c>
      <c r="B24" s="43">
        <v>500</v>
      </c>
      <c r="C24" s="43">
        <v>280</v>
      </c>
      <c r="D24" s="43">
        <v>320</v>
      </c>
      <c r="E24" s="43">
        <v>205</v>
      </c>
      <c r="F24" s="43">
        <v>312</v>
      </c>
      <c r="G24" s="43">
        <v>280</v>
      </c>
      <c r="H24" s="43">
        <v>271</v>
      </c>
      <c r="I24" s="43">
        <v>192</v>
      </c>
      <c r="J24" s="43">
        <v>300</v>
      </c>
      <c r="K24" s="43">
        <v>230</v>
      </c>
      <c r="L24" s="43">
        <v>250</v>
      </c>
      <c r="M24" s="43">
        <v>178.3</v>
      </c>
      <c r="N24" s="43">
        <v>280</v>
      </c>
      <c r="O24" s="43">
        <v>230</v>
      </c>
      <c r="P24" s="43">
        <v>373.5</v>
      </c>
      <c r="Q24" s="43">
        <v>387</v>
      </c>
      <c r="R24" s="43">
        <v>262</v>
      </c>
      <c r="S24" s="43">
        <v>287</v>
      </c>
      <c r="T24" s="43">
        <v>190</v>
      </c>
      <c r="U24" s="43">
        <v>265</v>
      </c>
      <c r="V24" s="43">
        <v>282</v>
      </c>
      <c r="W24" s="43">
        <v>216.5</v>
      </c>
      <c r="X24" s="43">
        <v>124.8</v>
      </c>
      <c r="Y24" s="43">
        <v>247.5</v>
      </c>
      <c r="Z24" s="43">
        <v>175</v>
      </c>
      <c r="AA24" s="43">
        <v>233.5</v>
      </c>
      <c r="AB24" s="43">
        <v>170</v>
      </c>
      <c r="AC24" s="43">
        <v>207</v>
      </c>
      <c r="AD24" s="43">
        <v>180</v>
      </c>
      <c r="AE24" s="43">
        <v>307.8</v>
      </c>
      <c r="AF24" s="44">
        <v>10272</v>
      </c>
      <c r="AG24" s="44">
        <v>9338</v>
      </c>
      <c r="AH24" s="44">
        <v>15115</v>
      </c>
      <c r="AI24" s="44">
        <v>8235</v>
      </c>
      <c r="AJ24" s="44">
        <v>8287</v>
      </c>
      <c r="AK24" s="44">
        <v>12026</v>
      </c>
      <c r="AL24" s="44">
        <v>4424</v>
      </c>
      <c r="AM24" s="44">
        <v>1907</v>
      </c>
      <c r="AN24" s="44">
        <v>8604</v>
      </c>
      <c r="AO24" s="44">
        <v>3416</v>
      </c>
      <c r="AP24" s="44">
        <v>852</v>
      </c>
      <c r="AQ24" s="44">
        <v>1256</v>
      </c>
      <c r="AR24" s="44">
        <v>567</v>
      </c>
      <c r="AS24" s="44">
        <v>194</v>
      </c>
      <c r="AT24" s="44">
        <v>1071</v>
      </c>
      <c r="AU24" s="44">
        <v>8076</v>
      </c>
      <c r="AV24" s="44">
        <v>1745</v>
      </c>
      <c r="AW24" s="44">
        <v>7434</v>
      </c>
      <c r="AX24" s="44">
        <v>1078</v>
      </c>
      <c r="AY24" s="44">
        <v>2789</v>
      </c>
      <c r="AZ24" s="44">
        <v>4502</v>
      </c>
      <c r="BA24" s="44">
        <v>1665</v>
      </c>
      <c r="BB24" s="44">
        <v>238</v>
      </c>
      <c r="BC24" s="44">
        <v>3194</v>
      </c>
      <c r="BD24" s="44">
        <v>429</v>
      </c>
      <c r="BE24" s="44">
        <v>242</v>
      </c>
      <c r="BF24" s="44">
        <v>163</v>
      </c>
      <c r="BG24" s="44">
        <v>322</v>
      </c>
      <c r="BH24" s="44">
        <v>82</v>
      </c>
      <c r="BI24" s="44">
        <v>832</v>
      </c>
    </row>
    <row r="25" spans="1:61" x14ac:dyDescent="0.2">
      <c r="A25" s="42">
        <v>38596</v>
      </c>
      <c r="B25" s="43">
        <v>490</v>
      </c>
      <c r="C25" s="43">
        <v>280</v>
      </c>
      <c r="D25" s="43">
        <v>320</v>
      </c>
      <c r="E25" s="43">
        <v>210</v>
      </c>
      <c r="F25" s="43">
        <v>314.89999999999998</v>
      </c>
      <c r="G25" s="43">
        <v>285</v>
      </c>
      <c r="H25" s="43">
        <v>275</v>
      </c>
      <c r="I25" s="43">
        <v>189.3</v>
      </c>
      <c r="J25" s="43">
        <v>315</v>
      </c>
      <c r="K25" s="43">
        <v>245</v>
      </c>
      <c r="L25" s="43">
        <v>245</v>
      </c>
      <c r="M25" s="43">
        <v>180</v>
      </c>
      <c r="N25" s="43">
        <v>295</v>
      </c>
      <c r="O25" s="43">
        <v>232</v>
      </c>
      <c r="P25" s="43">
        <v>365</v>
      </c>
      <c r="Q25" s="43">
        <v>380</v>
      </c>
      <c r="R25" s="43">
        <v>268</v>
      </c>
      <c r="S25" s="43">
        <v>286</v>
      </c>
      <c r="T25" s="43">
        <v>191.3</v>
      </c>
      <c r="U25" s="43">
        <v>271.7</v>
      </c>
      <c r="V25" s="43">
        <v>282</v>
      </c>
      <c r="W25" s="43">
        <v>225.3</v>
      </c>
      <c r="X25" s="43">
        <v>131</v>
      </c>
      <c r="Y25" s="43">
        <v>255</v>
      </c>
      <c r="Z25" s="43">
        <v>190</v>
      </c>
      <c r="AA25" s="43">
        <v>200</v>
      </c>
      <c r="AB25" s="43">
        <v>175</v>
      </c>
      <c r="AC25" s="43">
        <v>195</v>
      </c>
      <c r="AD25" s="43">
        <v>188.5</v>
      </c>
      <c r="AE25" s="43">
        <v>305</v>
      </c>
      <c r="AF25" s="44">
        <v>10834</v>
      </c>
      <c r="AG25" s="44">
        <v>9838</v>
      </c>
      <c r="AH25" s="44">
        <v>14188</v>
      </c>
      <c r="AI25" s="44">
        <v>7820</v>
      </c>
      <c r="AJ25" s="44">
        <v>8955</v>
      </c>
      <c r="AK25" s="44">
        <v>12954</v>
      </c>
      <c r="AL25" s="44">
        <v>4516</v>
      </c>
      <c r="AM25" s="44">
        <v>1950</v>
      </c>
      <c r="AN25" s="44">
        <v>8947</v>
      </c>
      <c r="AO25" s="44">
        <v>3655</v>
      </c>
      <c r="AP25" s="44">
        <v>980</v>
      </c>
      <c r="AQ25" s="44">
        <v>1536</v>
      </c>
      <c r="AR25" s="44">
        <v>586</v>
      </c>
      <c r="AS25" s="44">
        <v>232</v>
      </c>
      <c r="AT25" s="44">
        <v>1037</v>
      </c>
      <c r="AU25" s="44">
        <v>8566</v>
      </c>
      <c r="AV25" s="44">
        <v>2055</v>
      </c>
      <c r="AW25" s="44">
        <v>7295</v>
      </c>
      <c r="AX25" s="44">
        <v>1043</v>
      </c>
      <c r="AY25" s="44">
        <v>2842</v>
      </c>
      <c r="AZ25" s="44">
        <v>4991</v>
      </c>
      <c r="BA25" s="44">
        <v>1704</v>
      </c>
      <c r="BB25" s="44">
        <v>251</v>
      </c>
      <c r="BC25" s="44">
        <v>3396</v>
      </c>
      <c r="BD25" s="44">
        <v>495</v>
      </c>
      <c r="BE25" s="44">
        <v>297</v>
      </c>
      <c r="BF25" s="44">
        <v>174</v>
      </c>
      <c r="BG25" s="44">
        <v>361</v>
      </c>
      <c r="BH25" s="44">
        <v>84</v>
      </c>
      <c r="BI25" s="44">
        <v>778</v>
      </c>
    </row>
    <row r="26" spans="1:61" x14ac:dyDescent="0.2">
      <c r="A26" s="42">
        <v>38687</v>
      </c>
      <c r="B26" s="43">
        <v>500</v>
      </c>
      <c r="C26" s="43">
        <v>285</v>
      </c>
      <c r="D26" s="43">
        <v>332</v>
      </c>
      <c r="E26" s="43">
        <v>220</v>
      </c>
      <c r="F26" s="43">
        <v>320</v>
      </c>
      <c r="G26" s="43">
        <v>290</v>
      </c>
      <c r="H26" s="43">
        <v>280</v>
      </c>
      <c r="I26" s="43">
        <v>199</v>
      </c>
      <c r="J26" s="43">
        <v>340</v>
      </c>
      <c r="K26" s="43">
        <v>265</v>
      </c>
      <c r="L26" s="43">
        <v>252.5</v>
      </c>
      <c r="M26" s="43">
        <v>192</v>
      </c>
      <c r="N26" s="43">
        <v>320</v>
      </c>
      <c r="O26" s="43">
        <v>246</v>
      </c>
      <c r="P26" s="43">
        <v>387</v>
      </c>
      <c r="Q26" s="43">
        <v>383</v>
      </c>
      <c r="R26" s="43">
        <v>270</v>
      </c>
      <c r="S26" s="43">
        <v>290</v>
      </c>
      <c r="T26" s="43">
        <v>195</v>
      </c>
      <c r="U26" s="43">
        <v>280</v>
      </c>
      <c r="V26" s="43">
        <v>290</v>
      </c>
      <c r="W26" s="43">
        <v>228.8</v>
      </c>
      <c r="X26" s="43">
        <v>145</v>
      </c>
      <c r="Y26" s="43">
        <v>276</v>
      </c>
      <c r="Z26" s="43">
        <v>220</v>
      </c>
      <c r="AA26" s="43">
        <v>215</v>
      </c>
      <c r="AB26" s="43">
        <v>165</v>
      </c>
      <c r="AC26" s="43">
        <v>225</v>
      </c>
      <c r="AD26" s="43">
        <v>197.8</v>
      </c>
      <c r="AE26" s="43">
        <v>308</v>
      </c>
      <c r="AF26" s="44">
        <v>9786</v>
      </c>
      <c r="AG26" s="44">
        <v>10586</v>
      </c>
      <c r="AH26" s="44">
        <v>15709</v>
      </c>
      <c r="AI26" s="44">
        <v>8773</v>
      </c>
      <c r="AJ26" s="44">
        <v>8485</v>
      </c>
      <c r="AK26" s="44">
        <v>12749</v>
      </c>
      <c r="AL26" s="44">
        <v>4512</v>
      </c>
      <c r="AM26" s="44">
        <v>2032</v>
      </c>
      <c r="AN26" s="44">
        <v>9147</v>
      </c>
      <c r="AO26" s="44">
        <v>3715</v>
      </c>
      <c r="AP26" s="44">
        <v>1020</v>
      </c>
      <c r="AQ26" s="44">
        <v>1500</v>
      </c>
      <c r="AR26" s="44">
        <v>566</v>
      </c>
      <c r="AS26" s="44">
        <v>253</v>
      </c>
      <c r="AT26" s="44">
        <v>1205</v>
      </c>
      <c r="AU26" s="44">
        <v>7810</v>
      </c>
      <c r="AV26" s="44">
        <v>2081</v>
      </c>
      <c r="AW26" s="44">
        <v>7369</v>
      </c>
      <c r="AX26" s="44">
        <v>1126</v>
      </c>
      <c r="AY26" s="44">
        <v>2706</v>
      </c>
      <c r="AZ26" s="44">
        <v>4559</v>
      </c>
      <c r="BA26" s="44">
        <v>1840</v>
      </c>
      <c r="BB26" s="44">
        <v>281</v>
      </c>
      <c r="BC26" s="44">
        <v>3304</v>
      </c>
      <c r="BD26" s="44">
        <v>492</v>
      </c>
      <c r="BE26" s="44">
        <v>301</v>
      </c>
      <c r="BF26" s="44">
        <v>207</v>
      </c>
      <c r="BG26" s="44">
        <v>399</v>
      </c>
      <c r="BH26" s="44">
        <v>82</v>
      </c>
      <c r="BI26" s="44">
        <v>845</v>
      </c>
    </row>
    <row r="27" spans="1:61" x14ac:dyDescent="0.2">
      <c r="A27" s="42">
        <v>38777</v>
      </c>
      <c r="B27" s="43">
        <v>470</v>
      </c>
      <c r="C27" s="43">
        <v>290</v>
      </c>
      <c r="D27" s="43">
        <v>330</v>
      </c>
      <c r="E27" s="43">
        <v>224</v>
      </c>
      <c r="F27" s="43">
        <v>325</v>
      </c>
      <c r="G27" s="43">
        <v>309</v>
      </c>
      <c r="H27" s="43">
        <v>280</v>
      </c>
      <c r="I27" s="43">
        <v>210</v>
      </c>
      <c r="J27" s="43">
        <v>370</v>
      </c>
      <c r="K27" s="43">
        <v>295</v>
      </c>
      <c r="L27" s="43">
        <v>260</v>
      </c>
      <c r="M27" s="43">
        <v>192</v>
      </c>
      <c r="N27" s="43">
        <v>341.5</v>
      </c>
      <c r="O27" s="43">
        <v>215</v>
      </c>
      <c r="P27" s="43">
        <v>385</v>
      </c>
      <c r="Q27" s="43">
        <v>375</v>
      </c>
      <c r="R27" s="43">
        <v>280</v>
      </c>
      <c r="S27" s="43">
        <v>299.5</v>
      </c>
      <c r="T27" s="43">
        <v>200</v>
      </c>
      <c r="U27" s="43">
        <v>280</v>
      </c>
      <c r="V27" s="43">
        <v>292.60000000000002</v>
      </c>
      <c r="W27" s="43">
        <v>225</v>
      </c>
      <c r="X27" s="43">
        <v>151.30000000000001</v>
      </c>
      <c r="Y27" s="43">
        <v>292</v>
      </c>
      <c r="Z27" s="43">
        <v>235</v>
      </c>
      <c r="AA27" s="43">
        <v>225</v>
      </c>
      <c r="AB27" s="43">
        <v>170</v>
      </c>
      <c r="AC27" s="43">
        <v>235</v>
      </c>
      <c r="AD27" s="43">
        <v>170</v>
      </c>
      <c r="AE27" s="43">
        <v>310</v>
      </c>
      <c r="AF27" s="44">
        <v>10484</v>
      </c>
      <c r="AG27" s="44">
        <v>10290</v>
      </c>
      <c r="AH27" s="44">
        <v>12882</v>
      </c>
      <c r="AI27" s="44">
        <v>7811</v>
      </c>
      <c r="AJ27" s="44">
        <v>10005</v>
      </c>
      <c r="AK27" s="44">
        <v>14329</v>
      </c>
      <c r="AL27" s="44">
        <v>4842</v>
      </c>
      <c r="AM27" s="44">
        <v>2199</v>
      </c>
      <c r="AN27" s="44">
        <v>10203</v>
      </c>
      <c r="AO27" s="44">
        <v>4111</v>
      </c>
      <c r="AP27" s="44">
        <v>1243</v>
      </c>
      <c r="AQ27" s="44">
        <v>1848</v>
      </c>
      <c r="AR27" s="44">
        <v>554</v>
      </c>
      <c r="AS27" s="44">
        <v>271</v>
      </c>
      <c r="AT27" s="44">
        <v>1141</v>
      </c>
      <c r="AU27" s="44">
        <v>7690</v>
      </c>
      <c r="AV27" s="44">
        <v>2185</v>
      </c>
      <c r="AW27" s="44">
        <v>6237</v>
      </c>
      <c r="AX27" s="44">
        <v>1164</v>
      </c>
      <c r="AY27" s="44">
        <v>3157</v>
      </c>
      <c r="AZ27" s="44">
        <v>5372</v>
      </c>
      <c r="BA27" s="44">
        <v>1778</v>
      </c>
      <c r="BB27" s="44">
        <v>300</v>
      </c>
      <c r="BC27" s="44">
        <v>3499</v>
      </c>
      <c r="BD27" s="44">
        <v>455</v>
      </c>
      <c r="BE27" s="44">
        <v>365</v>
      </c>
      <c r="BF27" s="44">
        <v>203</v>
      </c>
      <c r="BG27" s="44">
        <v>354</v>
      </c>
      <c r="BH27" s="44">
        <v>103</v>
      </c>
      <c r="BI27" s="44">
        <v>793</v>
      </c>
    </row>
    <row r="28" spans="1:61" x14ac:dyDescent="0.2">
      <c r="A28" s="42">
        <v>38869</v>
      </c>
      <c r="B28" s="43">
        <v>495</v>
      </c>
      <c r="C28" s="43">
        <v>290</v>
      </c>
      <c r="D28" s="43">
        <v>345</v>
      </c>
      <c r="E28" s="43">
        <v>220</v>
      </c>
      <c r="F28" s="43">
        <v>330</v>
      </c>
      <c r="G28" s="43">
        <v>312.5</v>
      </c>
      <c r="H28" s="43">
        <v>286</v>
      </c>
      <c r="I28" s="43">
        <v>210</v>
      </c>
      <c r="J28" s="43">
        <v>415</v>
      </c>
      <c r="K28" s="43">
        <v>324</v>
      </c>
      <c r="L28" s="43">
        <v>270</v>
      </c>
      <c r="M28" s="43">
        <v>200</v>
      </c>
      <c r="N28" s="43">
        <v>349.5</v>
      </c>
      <c r="O28" s="43">
        <v>240</v>
      </c>
      <c r="P28" s="43">
        <v>399.5</v>
      </c>
      <c r="Q28" s="43">
        <v>390</v>
      </c>
      <c r="R28" s="43">
        <v>277.5</v>
      </c>
      <c r="S28" s="43">
        <v>306.60000000000002</v>
      </c>
      <c r="T28" s="43">
        <v>197.8</v>
      </c>
      <c r="U28" s="43">
        <v>295</v>
      </c>
      <c r="V28" s="43">
        <v>295</v>
      </c>
      <c r="W28" s="43">
        <v>235</v>
      </c>
      <c r="X28" s="43">
        <v>145</v>
      </c>
      <c r="Y28" s="43">
        <v>332.5</v>
      </c>
      <c r="Z28" s="43">
        <v>230</v>
      </c>
      <c r="AA28" s="43">
        <v>229</v>
      </c>
      <c r="AB28" s="43">
        <v>178.5</v>
      </c>
      <c r="AC28" s="43">
        <v>245</v>
      </c>
      <c r="AD28" s="43">
        <v>198</v>
      </c>
      <c r="AE28" s="43">
        <v>325</v>
      </c>
      <c r="AF28" s="44">
        <v>11867</v>
      </c>
      <c r="AG28" s="44">
        <v>10371</v>
      </c>
      <c r="AH28" s="44">
        <v>14022</v>
      </c>
      <c r="AI28" s="44">
        <v>7700</v>
      </c>
      <c r="AJ28" s="44">
        <v>9189</v>
      </c>
      <c r="AK28" s="44">
        <v>13152</v>
      </c>
      <c r="AL28" s="44">
        <v>4928</v>
      </c>
      <c r="AM28" s="44">
        <v>2111</v>
      </c>
      <c r="AN28" s="44">
        <v>8864</v>
      </c>
      <c r="AO28" s="44">
        <v>3574</v>
      </c>
      <c r="AP28" s="44">
        <v>1124</v>
      </c>
      <c r="AQ28" s="44">
        <v>1569</v>
      </c>
      <c r="AR28" s="44">
        <v>514</v>
      </c>
      <c r="AS28" s="44">
        <v>229</v>
      </c>
      <c r="AT28" s="44">
        <v>1294</v>
      </c>
      <c r="AU28" s="44">
        <v>9547</v>
      </c>
      <c r="AV28" s="44">
        <v>2233</v>
      </c>
      <c r="AW28" s="44">
        <v>7092</v>
      </c>
      <c r="AX28" s="44">
        <v>1072</v>
      </c>
      <c r="AY28" s="44">
        <v>3246</v>
      </c>
      <c r="AZ28" s="44">
        <v>4764</v>
      </c>
      <c r="BA28" s="44">
        <v>1988</v>
      </c>
      <c r="BB28" s="44">
        <v>236</v>
      </c>
      <c r="BC28" s="44">
        <v>2903</v>
      </c>
      <c r="BD28" s="44">
        <v>478</v>
      </c>
      <c r="BE28" s="44">
        <v>317</v>
      </c>
      <c r="BF28" s="44">
        <v>226</v>
      </c>
      <c r="BG28" s="44">
        <v>324</v>
      </c>
      <c r="BH28" s="44">
        <v>77</v>
      </c>
      <c r="BI28" s="44">
        <v>1006</v>
      </c>
    </row>
    <row r="29" spans="1:61" x14ac:dyDescent="0.2">
      <c r="A29" s="42">
        <v>38961</v>
      </c>
      <c r="B29" s="43">
        <v>482</v>
      </c>
      <c r="C29" s="43">
        <v>285</v>
      </c>
      <c r="D29" s="43">
        <v>346</v>
      </c>
      <c r="E29" s="43">
        <v>222</v>
      </c>
      <c r="F29" s="43">
        <v>335</v>
      </c>
      <c r="G29" s="43">
        <v>318.39999999999998</v>
      </c>
      <c r="H29" s="43">
        <v>290</v>
      </c>
      <c r="I29" s="43">
        <v>200</v>
      </c>
      <c r="J29" s="43">
        <v>450</v>
      </c>
      <c r="K29" s="43">
        <v>335</v>
      </c>
      <c r="L29" s="43">
        <v>270</v>
      </c>
      <c r="M29" s="43">
        <v>195</v>
      </c>
      <c r="N29" s="43">
        <v>360</v>
      </c>
      <c r="O29" s="43">
        <v>247.5</v>
      </c>
      <c r="P29" s="43">
        <v>413</v>
      </c>
      <c r="Q29" s="43">
        <v>380</v>
      </c>
      <c r="R29" s="43">
        <v>275</v>
      </c>
      <c r="S29" s="43">
        <v>315</v>
      </c>
      <c r="T29" s="43">
        <v>191</v>
      </c>
      <c r="U29" s="43">
        <v>292</v>
      </c>
      <c r="V29" s="43">
        <v>300</v>
      </c>
      <c r="W29" s="43">
        <v>240</v>
      </c>
      <c r="X29" s="43">
        <v>131</v>
      </c>
      <c r="Y29" s="43">
        <v>350</v>
      </c>
      <c r="Z29" s="43">
        <v>260</v>
      </c>
      <c r="AA29" s="43">
        <v>230</v>
      </c>
      <c r="AB29" s="43">
        <v>180.8</v>
      </c>
      <c r="AC29" s="43">
        <v>246.5</v>
      </c>
      <c r="AD29" s="43">
        <v>213.5</v>
      </c>
      <c r="AE29" s="43">
        <v>312</v>
      </c>
      <c r="AF29" s="44">
        <v>11078</v>
      </c>
      <c r="AG29" s="44">
        <v>10226</v>
      </c>
      <c r="AH29" s="44">
        <v>14401</v>
      </c>
      <c r="AI29" s="44">
        <v>7954</v>
      </c>
      <c r="AJ29" s="44">
        <v>9954</v>
      </c>
      <c r="AK29" s="44">
        <v>14102</v>
      </c>
      <c r="AL29" s="44">
        <v>4774</v>
      </c>
      <c r="AM29" s="44">
        <v>2103</v>
      </c>
      <c r="AN29" s="44">
        <v>7184</v>
      </c>
      <c r="AO29" s="44">
        <v>3070</v>
      </c>
      <c r="AP29" s="44">
        <v>956</v>
      </c>
      <c r="AQ29" s="44">
        <v>1619</v>
      </c>
      <c r="AR29" s="44">
        <v>535</v>
      </c>
      <c r="AS29" s="44">
        <v>200</v>
      </c>
      <c r="AT29" s="44">
        <v>1136</v>
      </c>
      <c r="AU29" s="44">
        <v>8849</v>
      </c>
      <c r="AV29" s="44">
        <v>2229</v>
      </c>
      <c r="AW29" s="44">
        <v>7461</v>
      </c>
      <c r="AX29" s="44">
        <v>1136</v>
      </c>
      <c r="AY29" s="44">
        <v>3397</v>
      </c>
      <c r="AZ29" s="44">
        <v>5049</v>
      </c>
      <c r="BA29" s="44">
        <v>2011</v>
      </c>
      <c r="BB29" s="44">
        <v>238</v>
      </c>
      <c r="BC29" s="44">
        <v>2810</v>
      </c>
      <c r="BD29" s="44">
        <v>442</v>
      </c>
      <c r="BE29" s="44">
        <v>337</v>
      </c>
      <c r="BF29" s="44">
        <v>240</v>
      </c>
      <c r="BG29" s="44">
        <v>340</v>
      </c>
      <c r="BH29" s="44">
        <v>91</v>
      </c>
      <c r="BI29" s="44">
        <v>915</v>
      </c>
    </row>
    <row r="30" spans="1:61" x14ac:dyDescent="0.2">
      <c r="A30" s="42">
        <v>39052</v>
      </c>
      <c r="B30" s="43">
        <v>500</v>
      </c>
      <c r="C30" s="43">
        <v>290</v>
      </c>
      <c r="D30" s="43">
        <v>360</v>
      </c>
      <c r="E30" s="43">
        <v>230</v>
      </c>
      <c r="F30" s="43">
        <v>343.5</v>
      </c>
      <c r="G30" s="43">
        <v>330</v>
      </c>
      <c r="H30" s="43">
        <v>300</v>
      </c>
      <c r="I30" s="43">
        <v>215</v>
      </c>
      <c r="J30" s="43">
        <v>470</v>
      </c>
      <c r="K30" s="43">
        <v>350</v>
      </c>
      <c r="L30" s="43">
        <v>278</v>
      </c>
      <c r="M30" s="43">
        <v>199</v>
      </c>
      <c r="N30" s="43">
        <v>380</v>
      </c>
      <c r="O30" s="43">
        <v>260</v>
      </c>
      <c r="P30" s="43">
        <v>420.8</v>
      </c>
      <c r="Q30" s="43">
        <v>393.1</v>
      </c>
      <c r="R30" s="43">
        <v>277</v>
      </c>
      <c r="S30" s="43">
        <v>315</v>
      </c>
      <c r="T30" s="43">
        <v>192</v>
      </c>
      <c r="U30" s="43">
        <v>298</v>
      </c>
      <c r="V30" s="43">
        <v>310</v>
      </c>
      <c r="W30" s="43">
        <v>246</v>
      </c>
      <c r="X30" s="43">
        <v>150</v>
      </c>
      <c r="Y30" s="43">
        <v>362.5</v>
      </c>
      <c r="Z30" s="43">
        <v>297</v>
      </c>
      <c r="AA30" s="43">
        <v>231</v>
      </c>
      <c r="AB30" s="43">
        <v>185.5</v>
      </c>
      <c r="AC30" s="43">
        <v>260</v>
      </c>
      <c r="AD30" s="43">
        <v>198</v>
      </c>
      <c r="AE30" s="43">
        <v>317.5</v>
      </c>
      <c r="AF30" s="44">
        <v>11450</v>
      </c>
      <c r="AG30" s="44">
        <v>10374</v>
      </c>
      <c r="AH30" s="44">
        <v>15088</v>
      </c>
      <c r="AI30" s="44">
        <v>7533</v>
      </c>
      <c r="AJ30" s="44">
        <v>9627</v>
      </c>
      <c r="AK30" s="44">
        <v>13529</v>
      </c>
      <c r="AL30" s="44">
        <v>4955</v>
      </c>
      <c r="AM30" s="44">
        <v>2235</v>
      </c>
      <c r="AN30" s="44">
        <v>5860</v>
      </c>
      <c r="AO30" s="44">
        <v>2513</v>
      </c>
      <c r="AP30" s="44">
        <v>971</v>
      </c>
      <c r="AQ30" s="44">
        <v>1556</v>
      </c>
      <c r="AR30" s="44">
        <v>495</v>
      </c>
      <c r="AS30" s="44">
        <v>204</v>
      </c>
      <c r="AT30" s="44">
        <v>1318</v>
      </c>
      <c r="AU30" s="44">
        <v>8884</v>
      </c>
      <c r="AV30" s="44">
        <v>2166</v>
      </c>
      <c r="AW30" s="44">
        <v>7587</v>
      </c>
      <c r="AX30" s="44">
        <v>1107</v>
      </c>
      <c r="AY30" s="44">
        <v>3314</v>
      </c>
      <c r="AZ30" s="44">
        <v>5026</v>
      </c>
      <c r="BA30" s="44">
        <v>1886</v>
      </c>
      <c r="BB30" s="44">
        <v>259</v>
      </c>
      <c r="BC30" s="44">
        <v>2226</v>
      </c>
      <c r="BD30" s="44">
        <v>362</v>
      </c>
      <c r="BE30" s="44">
        <v>318</v>
      </c>
      <c r="BF30" s="44">
        <v>236</v>
      </c>
      <c r="BG30" s="44">
        <v>306</v>
      </c>
      <c r="BH30" s="44">
        <v>71</v>
      </c>
      <c r="BI30" s="44">
        <v>945</v>
      </c>
    </row>
    <row r="31" spans="1:61" x14ac:dyDescent="0.2">
      <c r="A31" s="42">
        <v>39142</v>
      </c>
      <c r="B31" s="43">
        <v>480</v>
      </c>
      <c r="C31" s="43">
        <v>300</v>
      </c>
      <c r="D31" s="43">
        <v>345</v>
      </c>
      <c r="E31" s="43">
        <v>230</v>
      </c>
      <c r="F31" s="43">
        <v>352</v>
      </c>
      <c r="G31" s="43">
        <v>347</v>
      </c>
      <c r="H31" s="43">
        <v>305</v>
      </c>
      <c r="I31" s="43">
        <v>223</v>
      </c>
      <c r="J31" s="43">
        <v>475</v>
      </c>
      <c r="K31" s="43">
        <v>370</v>
      </c>
      <c r="L31" s="43">
        <v>280</v>
      </c>
      <c r="M31" s="43">
        <v>210</v>
      </c>
      <c r="N31" s="43">
        <v>389.5</v>
      </c>
      <c r="O31" s="43">
        <v>250</v>
      </c>
      <c r="P31" s="43">
        <v>430</v>
      </c>
      <c r="Q31" s="43">
        <v>380</v>
      </c>
      <c r="R31" s="43">
        <v>270</v>
      </c>
      <c r="S31" s="43">
        <v>320</v>
      </c>
      <c r="T31" s="43">
        <v>200</v>
      </c>
      <c r="U31" s="43">
        <v>305</v>
      </c>
      <c r="V31" s="43">
        <v>320</v>
      </c>
      <c r="W31" s="43">
        <v>245</v>
      </c>
      <c r="X31" s="43">
        <v>150</v>
      </c>
      <c r="Y31" s="43">
        <v>370</v>
      </c>
      <c r="Z31" s="43">
        <v>285</v>
      </c>
      <c r="AA31" s="43">
        <v>240</v>
      </c>
      <c r="AB31" s="43">
        <v>184</v>
      </c>
      <c r="AC31" s="43">
        <v>280</v>
      </c>
      <c r="AD31" s="43">
        <v>232.8</v>
      </c>
      <c r="AE31" s="43">
        <v>325</v>
      </c>
      <c r="AF31" s="44">
        <v>11641</v>
      </c>
      <c r="AG31" s="44">
        <v>10605</v>
      </c>
      <c r="AH31" s="44">
        <v>15291</v>
      </c>
      <c r="AI31" s="44">
        <v>8528</v>
      </c>
      <c r="AJ31" s="44">
        <v>12341</v>
      </c>
      <c r="AK31" s="44">
        <v>15869</v>
      </c>
      <c r="AL31" s="44">
        <v>5396</v>
      </c>
      <c r="AM31" s="44">
        <v>2363</v>
      </c>
      <c r="AN31" s="44">
        <v>6548</v>
      </c>
      <c r="AO31" s="44">
        <v>2693</v>
      </c>
      <c r="AP31" s="44">
        <v>1210</v>
      </c>
      <c r="AQ31" s="44">
        <v>1775</v>
      </c>
      <c r="AR31" s="44">
        <v>496</v>
      </c>
      <c r="AS31" s="44">
        <v>183</v>
      </c>
      <c r="AT31" s="44">
        <v>1308</v>
      </c>
      <c r="AU31" s="44">
        <v>9065</v>
      </c>
      <c r="AV31" s="44">
        <v>2339</v>
      </c>
      <c r="AW31" s="44">
        <v>8296</v>
      </c>
      <c r="AX31" s="44">
        <v>1267</v>
      </c>
      <c r="AY31" s="44">
        <v>4020</v>
      </c>
      <c r="AZ31" s="44">
        <v>6339</v>
      </c>
      <c r="BA31" s="44">
        <v>2135</v>
      </c>
      <c r="BB31" s="44">
        <v>303</v>
      </c>
      <c r="BC31" s="44">
        <v>2428</v>
      </c>
      <c r="BD31" s="44">
        <v>362</v>
      </c>
      <c r="BE31" s="44">
        <v>406</v>
      </c>
      <c r="BF31" s="44">
        <v>285</v>
      </c>
      <c r="BG31" s="44">
        <v>406</v>
      </c>
      <c r="BH31" s="44">
        <v>86</v>
      </c>
      <c r="BI31" s="44">
        <v>1076</v>
      </c>
    </row>
    <row r="32" spans="1:61" x14ac:dyDescent="0.2">
      <c r="A32" s="42">
        <v>39234</v>
      </c>
      <c r="B32" s="43">
        <v>512.29999999999995</v>
      </c>
      <c r="C32" s="43">
        <v>300</v>
      </c>
      <c r="D32" s="43">
        <v>362</v>
      </c>
      <c r="E32" s="43">
        <v>230</v>
      </c>
      <c r="F32" s="43">
        <v>375</v>
      </c>
      <c r="G32" s="43">
        <v>365</v>
      </c>
      <c r="H32" s="43">
        <v>315</v>
      </c>
      <c r="I32" s="43">
        <v>223.3</v>
      </c>
      <c r="J32" s="43">
        <v>465</v>
      </c>
      <c r="K32" s="43">
        <v>374</v>
      </c>
      <c r="L32" s="43">
        <v>291.5</v>
      </c>
      <c r="M32" s="43">
        <v>220</v>
      </c>
      <c r="N32" s="43">
        <v>395</v>
      </c>
      <c r="O32" s="43">
        <v>278.8</v>
      </c>
      <c r="P32" s="43">
        <v>445</v>
      </c>
      <c r="Q32" s="43">
        <v>395</v>
      </c>
      <c r="R32" s="43">
        <v>280</v>
      </c>
      <c r="S32" s="43">
        <v>340</v>
      </c>
      <c r="T32" s="43">
        <v>201</v>
      </c>
      <c r="U32" s="43">
        <v>325</v>
      </c>
      <c r="V32" s="43">
        <v>327</v>
      </c>
      <c r="W32" s="43">
        <v>265</v>
      </c>
      <c r="X32" s="43">
        <v>156</v>
      </c>
      <c r="Y32" s="43">
        <v>370</v>
      </c>
      <c r="Z32" s="43">
        <v>299</v>
      </c>
      <c r="AA32" s="43">
        <v>240</v>
      </c>
      <c r="AB32" s="43">
        <v>191</v>
      </c>
      <c r="AC32" s="43">
        <v>302.5</v>
      </c>
      <c r="AD32" s="43">
        <v>213</v>
      </c>
      <c r="AE32" s="43">
        <v>355</v>
      </c>
      <c r="AF32" s="44">
        <v>13978</v>
      </c>
      <c r="AG32" s="44">
        <v>11810</v>
      </c>
      <c r="AH32" s="44">
        <v>17528</v>
      </c>
      <c r="AI32" s="44">
        <v>8752</v>
      </c>
      <c r="AJ32" s="44">
        <v>11698</v>
      </c>
      <c r="AK32" s="44">
        <v>14731</v>
      </c>
      <c r="AL32" s="44">
        <v>5762</v>
      </c>
      <c r="AM32" s="44">
        <v>2464</v>
      </c>
      <c r="AN32" s="44">
        <v>6139</v>
      </c>
      <c r="AO32" s="44">
        <v>2753</v>
      </c>
      <c r="AP32" s="44">
        <v>1195</v>
      </c>
      <c r="AQ32" s="44">
        <v>1665</v>
      </c>
      <c r="AR32" s="44">
        <v>450</v>
      </c>
      <c r="AS32" s="44">
        <v>172</v>
      </c>
      <c r="AT32" s="44">
        <v>1260</v>
      </c>
      <c r="AU32" s="44">
        <v>11923</v>
      </c>
      <c r="AV32" s="44">
        <v>2541</v>
      </c>
      <c r="AW32" s="44">
        <v>10408</v>
      </c>
      <c r="AX32" s="44">
        <v>1188</v>
      </c>
      <c r="AY32" s="44">
        <v>4227</v>
      </c>
      <c r="AZ32" s="44">
        <v>6132</v>
      </c>
      <c r="BA32" s="44">
        <v>2196</v>
      </c>
      <c r="BB32" s="44">
        <v>348</v>
      </c>
      <c r="BC32" s="44">
        <v>2206</v>
      </c>
      <c r="BD32" s="44">
        <v>339</v>
      </c>
      <c r="BE32" s="44">
        <v>394</v>
      </c>
      <c r="BF32" s="44">
        <v>253</v>
      </c>
      <c r="BG32" s="44">
        <v>450</v>
      </c>
      <c r="BH32" s="44">
        <v>85</v>
      </c>
      <c r="BI32" s="44">
        <v>1136</v>
      </c>
    </row>
    <row r="33" spans="1:61" x14ac:dyDescent="0.2">
      <c r="A33" s="42">
        <v>39326</v>
      </c>
      <c r="B33" s="43">
        <v>514</v>
      </c>
      <c r="C33" s="43">
        <v>300</v>
      </c>
      <c r="D33" s="43">
        <v>370</v>
      </c>
      <c r="E33" s="43">
        <v>233.5</v>
      </c>
      <c r="F33" s="43">
        <v>390</v>
      </c>
      <c r="G33" s="43">
        <v>376</v>
      </c>
      <c r="H33" s="43">
        <v>335</v>
      </c>
      <c r="I33" s="43">
        <v>228</v>
      </c>
      <c r="J33" s="43">
        <v>475</v>
      </c>
      <c r="K33" s="43">
        <v>376.4</v>
      </c>
      <c r="L33" s="43">
        <v>285</v>
      </c>
      <c r="M33" s="43">
        <v>220</v>
      </c>
      <c r="N33" s="43">
        <v>400</v>
      </c>
      <c r="O33" s="43">
        <v>270</v>
      </c>
      <c r="P33" s="43">
        <v>460</v>
      </c>
      <c r="Q33" s="43">
        <v>400</v>
      </c>
      <c r="R33" s="43">
        <v>275</v>
      </c>
      <c r="S33" s="43">
        <v>345</v>
      </c>
      <c r="T33" s="43">
        <v>205</v>
      </c>
      <c r="U33" s="43">
        <v>340</v>
      </c>
      <c r="V33" s="43">
        <v>330</v>
      </c>
      <c r="W33" s="43">
        <v>285</v>
      </c>
      <c r="X33" s="43">
        <v>166.6</v>
      </c>
      <c r="Y33" s="43">
        <v>376</v>
      </c>
      <c r="Z33" s="43">
        <v>307.3</v>
      </c>
      <c r="AA33" s="43">
        <v>250</v>
      </c>
      <c r="AB33" s="43">
        <v>190</v>
      </c>
      <c r="AC33" s="43">
        <v>310</v>
      </c>
      <c r="AD33" s="43">
        <v>219</v>
      </c>
      <c r="AE33" s="43">
        <v>365</v>
      </c>
      <c r="AF33" s="44">
        <v>13014</v>
      </c>
      <c r="AG33" s="44">
        <v>11531</v>
      </c>
      <c r="AH33" s="44">
        <v>17375</v>
      </c>
      <c r="AI33" s="44">
        <v>8675</v>
      </c>
      <c r="AJ33" s="44">
        <v>11840</v>
      </c>
      <c r="AK33" s="44">
        <v>15139</v>
      </c>
      <c r="AL33" s="44">
        <v>5457</v>
      </c>
      <c r="AM33" s="44">
        <v>2394</v>
      </c>
      <c r="AN33" s="44">
        <v>6151</v>
      </c>
      <c r="AO33" s="44">
        <v>2813</v>
      </c>
      <c r="AP33" s="44">
        <v>1062</v>
      </c>
      <c r="AQ33" s="44">
        <v>1738</v>
      </c>
      <c r="AR33" s="44">
        <v>464</v>
      </c>
      <c r="AS33" s="44">
        <v>211</v>
      </c>
      <c r="AT33" s="44">
        <v>1259</v>
      </c>
      <c r="AU33" s="44">
        <v>11817</v>
      </c>
      <c r="AV33" s="44">
        <v>2552</v>
      </c>
      <c r="AW33" s="44">
        <v>11507</v>
      </c>
      <c r="AX33" s="44">
        <v>1369</v>
      </c>
      <c r="AY33" s="44">
        <v>4321</v>
      </c>
      <c r="AZ33" s="44">
        <v>6512</v>
      </c>
      <c r="BA33" s="44">
        <v>2136</v>
      </c>
      <c r="BB33" s="44">
        <v>324</v>
      </c>
      <c r="BC33" s="44">
        <v>2041</v>
      </c>
      <c r="BD33" s="44">
        <v>426</v>
      </c>
      <c r="BE33" s="44">
        <v>414</v>
      </c>
      <c r="BF33" s="44">
        <v>301</v>
      </c>
      <c r="BG33" s="44">
        <v>452</v>
      </c>
      <c r="BH33" s="44">
        <v>95</v>
      </c>
      <c r="BI33" s="44">
        <v>959</v>
      </c>
    </row>
    <row r="34" spans="1:61" x14ac:dyDescent="0.2">
      <c r="A34" s="42">
        <v>39417</v>
      </c>
      <c r="B34" s="43">
        <v>540</v>
      </c>
      <c r="C34" s="43">
        <v>310</v>
      </c>
      <c r="D34" s="43">
        <v>410</v>
      </c>
      <c r="E34" s="43">
        <v>245</v>
      </c>
      <c r="F34" s="43">
        <v>415</v>
      </c>
      <c r="G34" s="43">
        <v>380</v>
      </c>
      <c r="H34" s="43">
        <v>358</v>
      </c>
      <c r="I34" s="43">
        <v>245</v>
      </c>
      <c r="J34" s="43">
        <v>480</v>
      </c>
      <c r="K34" s="43">
        <v>379.5</v>
      </c>
      <c r="L34" s="43">
        <v>310</v>
      </c>
      <c r="M34" s="43">
        <v>230</v>
      </c>
      <c r="N34" s="43">
        <v>418.5</v>
      </c>
      <c r="O34" s="43">
        <v>289</v>
      </c>
      <c r="P34" s="43">
        <v>468</v>
      </c>
      <c r="Q34" s="43">
        <v>410</v>
      </c>
      <c r="R34" s="43">
        <v>292</v>
      </c>
      <c r="S34" s="43">
        <v>365</v>
      </c>
      <c r="T34" s="43">
        <v>210</v>
      </c>
      <c r="U34" s="43">
        <v>357</v>
      </c>
      <c r="V34" s="43">
        <v>348</v>
      </c>
      <c r="W34" s="43">
        <v>290</v>
      </c>
      <c r="X34" s="43">
        <v>169.5</v>
      </c>
      <c r="Y34" s="43">
        <v>385</v>
      </c>
      <c r="Z34" s="43">
        <v>319.5</v>
      </c>
      <c r="AA34" s="43">
        <v>260</v>
      </c>
      <c r="AB34" s="43">
        <v>196.3</v>
      </c>
      <c r="AC34" s="43">
        <v>307.5</v>
      </c>
      <c r="AD34" s="43">
        <v>210</v>
      </c>
      <c r="AE34" s="43">
        <v>365</v>
      </c>
      <c r="AF34" s="44">
        <v>12960</v>
      </c>
      <c r="AG34" s="44">
        <v>11322</v>
      </c>
      <c r="AH34" s="44">
        <v>18143</v>
      </c>
      <c r="AI34" s="44">
        <v>8973</v>
      </c>
      <c r="AJ34" s="44">
        <v>10406</v>
      </c>
      <c r="AK34" s="44">
        <v>13608</v>
      </c>
      <c r="AL34" s="44">
        <v>5334</v>
      </c>
      <c r="AM34" s="44">
        <v>2373</v>
      </c>
      <c r="AN34" s="44">
        <v>6314</v>
      </c>
      <c r="AO34" s="44">
        <v>2500</v>
      </c>
      <c r="AP34" s="44">
        <v>1096</v>
      </c>
      <c r="AQ34" s="44">
        <v>1669</v>
      </c>
      <c r="AR34" s="44">
        <v>411</v>
      </c>
      <c r="AS34" s="44">
        <v>187</v>
      </c>
      <c r="AT34" s="44">
        <v>1380</v>
      </c>
      <c r="AU34" s="44">
        <v>11523</v>
      </c>
      <c r="AV34" s="44">
        <v>2470</v>
      </c>
      <c r="AW34" s="44">
        <v>11227</v>
      </c>
      <c r="AX34" s="44">
        <v>1372</v>
      </c>
      <c r="AY34" s="44">
        <v>3686</v>
      </c>
      <c r="AZ34" s="44">
        <v>5485</v>
      </c>
      <c r="BA34" s="44">
        <v>2029</v>
      </c>
      <c r="BB34" s="44">
        <v>330</v>
      </c>
      <c r="BC34" s="44">
        <v>2106</v>
      </c>
      <c r="BD34" s="44">
        <v>320</v>
      </c>
      <c r="BE34" s="44">
        <v>311</v>
      </c>
      <c r="BF34" s="44">
        <v>252</v>
      </c>
      <c r="BG34" s="44">
        <v>375</v>
      </c>
      <c r="BH34" s="44">
        <v>73</v>
      </c>
      <c r="BI34" s="44">
        <v>1022</v>
      </c>
    </row>
    <row r="35" spans="1:61" x14ac:dyDescent="0.2">
      <c r="A35" s="42">
        <v>39508</v>
      </c>
      <c r="B35" s="43">
        <v>495</v>
      </c>
      <c r="C35" s="43">
        <v>308</v>
      </c>
      <c r="D35" s="43">
        <v>385</v>
      </c>
      <c r="E35" s="43">
        <v>243.5</v>
      </c>
      <c r="F35" s="43">
        <v>425</v>
      </c>
      <c r="G35" s="43">
        <v>380</v>
      </c>
      <c r="H35" s="43">
        <v>360</v>
      </c>
      <c r="I35" s="43">
        <v>250</v>
      </c>
      <c r="J35" s="43">
        <v>470</v>
      </c>
      <c r="K35" s="43">
        <v>390</v>
      </c>
      <c r="L35" s="43">
        <v>308.5</v>
      </c>
      <c r="M35" s="43">
        <v>239.5</v>
      </c>
      <c r="N35" s="43">
        <v>420</v>
      </c>
      <c r="O35" s="43">
        <v>285</v>
      </c>
      <c r="P35" s="43">
        <v>470</v>
      </c>
      <c r="Q35" s="43">
        <v>397.5</v>
      </c>
      <c r="R35" s="43">
        <v>288.3</v>
      </c>
      <c r="S35" s="43">
        <v>360</v>
      </c>
      <c r="T35" s="43">
        <v>229</v>
      </c>
      <c r="U35" s="43">
        <v>360</v>
      </c>
      <c r="V35" s="43">
        <v>355</v>
      </c>
      <c r="W35" s="43">
        <v>295</v>
      </c>
      <c r="X35" s="43">
        <v>175</v>
      </c>
      <c r="Y35" s="43">
        <v>380</v>
      </c>
      <c r="Z35" s="43">
        <v>320</v>
      </c>
      <c r="AA35" s="43">
        <v>245</v>
      </c>
      <c r="AB35" s="43">
        <v>200</v>
      </c>
      <c r="AC35" s="43">
        <v>306.3</v>
      </c>
      <c r="AD35" s="43">
        <v>225</v>
      </c>
      <c r="AE35" s="43">
        <v>370</v>
      </c>
      <c r="AF35" s="44">
        <v>9631</v>
      </c>
      <c r="AG35" s="44">
        <v>9338</v>
      </c>
      <c r="AH35" s="44">
        <v>13154</v>
      </c>
      <c r="AI35" s="44">
        <v>7639</v>
      </c>
      <c r="AJ35" s="44">
        <v>8405</v>
      </c>
      <c r="AK35" s="44">
        <v>10820</v>
      </c>
      <c r="AL35" s="44">
        <v>4567</v>
      </c>
      <c r="AM35" s="44">
        <v>2156</v>
      </c>
      <c r="AN35" s="44">
        <v>5487</v>
      </c>
      <c r="AO35" s="44">
        <v>2139</v>
      </c>
      <c r="AP35" s="44">
        <v>939</v>
      </c>
      <c r="AQ35" s="44">
        <v>1488</v>
      </c>
      <c r="AR35" s="44">
        <v>357</v>
      </c>
      <c r="AS35" s="44">
        <v>174</v>
      </c>
      <c r="AT35" s="44">
        <v>960</v>
      </c>
      <c r="AU35" s="44">
        <v>8753</v>
      </c>
      <c r="AV35" s="44">
        <v>2166</v>
      </c>
      <c r="AW35" s="44">
        <v>7886</v>
      </c>
      <c r="AX35" s="44">
        <v>1159</v>
      </c>
      <c r="AY35" s="44">
        <v>2691</v>
      </c>
      <c r="AZ35" s="44">
        <v>4622</v>
      </c>
      <c r="BA35" s="44">
        <v>1834</v>
      </c>
      <c r="BB35" s="44">
        <v>307</v>
      </c>
      <c r="BC35" s="44">
        <v>1901</v>
      </c>
      <c r="BD35" s="44">
        <v>308</v>
      </c>
      <c r="BE35" s="44">
        <v>325</v>
      </c>
      <c r="BF35" s="44">
        <v>223</v>
      </c>
      <c r="BG35" s="44">
        <v>348</v>
      </c>
      <c r="BH35" s="44">
        <v>87</v>
      </c>
      <c r="BI35" s="44">
        <v>776</v>
      </c>
    </row>
    <row r="36" spans="1:61" x14ac:dyDescent="0.2">
      <c r="A36" s="42">
        <v>39600</v>
      </c>
      <c r="B36" s="43">
        <v>517</v>
      </c>
      <c r="C36" s="43">
        <v>305</v>
      </c>
      <c r="D36" s="43">
        <v>400</v>
      </c>
      <c r="E36" s="43">
        <v>239</v>
      </c>
      <c r="F36" s="43">
        <v>425</v>
      </c>
      <c r="G36" s="43">
        <v>380</v>
      </c>
      <c r="H36" s="43">
        <v>365</v>
      </c>
      <c r="I36" s="43">
        <v>240</v>
      </c>
      <c r="J36" s="43">
        <v>455</v>
      </c>
      <c r="K36" s="43">
        <v>360</v>
      </c>
      <c r="L36" s="43">
        <v>305</v>
      </c>
      <c r="M36" s="43">
        <v>230</v>
      </c>
      <c r="N36" s="43">
        <v>422.3</v>
      </c>
      <c r="O36" s="43">
        <v>285</v>
      </c>
      <c r="P36" s="43">
        <v>474</v>
      </c>
      <c r="Q36" s="43">
        <v>395</v>
      </c>
      <c r="R36" s="43">
        <v>272.3</v>
      </c>
      <c r="S36" s="43">
        <v>360</v>
      </c>
      <c r="T36" s="43">
        <v>210</v>
      </c>
      <c r="U36" s="43">
        <v>367</v>
      </c>
      <c r="V36" s="43">
        <v>355</v>
      </c>
      <c r="W36" s="43">
        <v>290</v>
      </c>
      <c r="X36" s="43">
        <v>173.8</v>
      </c>
      <c r="Y36" s="43">
        <v>372.3</v>
      </c>
      <c r="Z36" s="43">
        <v>313</v>
      </c>
      <c r="AA36" s="43">
        <v>257</v>
      </c>
      <c r="AB36" s="43">
        <v>205</v>
      </c>
      <c r="AC36" s="43">
        <v>310</v>
      </c>
      <c r="AD36" s="43">
        <v>222.5</v>
      </c>
      <c r="AE36" s="43">
        <v>352</v>
      </c>
      <c r="AF36" s="44">
        <v>10618</v>
      </c>
      <c r="AG36" s="44">
        <v>8501</v>
      </c>
      <c r="AH36" s="44">
        <v>14039</v>
      </c>
      <c r="AI36" s="44">
        <v>7134</v>
      </c>
      <c r="AJ36" s="44">
        <v>6616</v>
      </c>
      <c r="AK36" s="44">
        <v>7770</v>
      </c>
      <c r="AL36" s="44">
        <v>4437</v>
      </c>
      <c r="AM36" s="44">
        <v>1703</v>
      </c>
      <c r="AN36" s="44">
        <v>4356</v>
      </c>
      <c r="AO36" s="44">
        <v>1738</v>
      </c>
      <c r="AP36" s="44">
        <v>811</v>
      </c>
      <c r="AQ36" s="44">
        <v>1369</v>
      </c>
      <c r="AR36" s="44">
        <v>388</v>
      </c>
      <c r="AS36" s="44">
        <v>175</v>
      </c>
      <c r="AT36" s="44">
        <v>1021</v>
      </c>
      <c r="AU36" s="44">
        <v>9971</v>
      </c>
      <c r="AV36" s="44">
        <v>1842</v>
      </c>
      <c r="AW36" s="44">
        <v>8465</v>
      </c>
      <c r="AX36" s="44">
        <v>1082</v>
      </c>
      <c r="AY36" s="44">
        <v>2198</v>
      </c>
      <c r="AZ36" s="44">
        <v>3266</v>
      </c>
      <c r="BA36" s="44">
        <v>1662</v>
      </c>
      <c r="BB36" s="44">
        <v>202</v>
      </c>
      <c r="BC36" s="44">
        <v>1478</v>
      </c>
      <c r="BD36" s="44">
        <v>240</v>
      </c>
      <c r="BE36" s="44">
        <v>267</v>
      </c>
      <c r="BF36" s="44">
        <v>172</v>
      </c>
      <c r="BG36" s="44">
        <v>296</v>
      </c>
      <c r="BH36" s="44">
        <v>80</v>
      </c>
      <c r="BI36" s="44">
        <v>965</v>
      </c>
    </row>
    <row r="37" spans="1:61" x14ac:dyDescent="0.2">
      <c r="A37" s="42">
        <v>39692</v>
      </c>
      <c r="B37" s="43">
        <v>482</v>
      </c>
      <c r="C37" s="43">
        <v>297.5</v>
      </c>
      <c r="D37" s="43">
        <v>385</v>
      </c>
      <c r="E37" s="43">
        <v>235</v>
      </c>
      <c r="F37" s="43">
        <v>410</v>
      </c>
      <c r="G37" s="43">
        <v>365</v>
      </c>
      <c r="H37" s="43">
        <v>360</v>
      </c>
      <c r="I37" s="43">
        <v>245</v>
      </c>
      <c r="J37" s="43">
        <v>440</v>
      </c>
      <c r="K37" s="43">
        <v>365</v>
      </c>
      <c r="L37" s="43">
        <v>292.5</v>
      </c>
      <c r="M37" s="43">
        <v>235</v>
      </c>
      <c r="N37" s="43">
        <v>430</v>
      </c>
      <c r="O37" s="43">
        <v>285</v>
      </c>
      <c r="P37" s="43">
        <v>447</v>
      </c>
      <c r="Q37" s="43">
        <v>385</v>
      </c>
      <c r="R37" s="43">
        <v>280</v>
      </c>
      <c r="S37" s="43">
        <v>365</v>
      </c>
      <c r="T37" s="43">
        <v>198</v>
      </c>
      <c r="U37" s="43">
        <v>350</v>
      </c>
      <c r="V37" s="43">
        <v>340</v>
      </c>
      <c r="W37" s="43">
        <v>315.10000000000002</v>
      </c>
      <c r="X37" s="43">
        <v>190</v>
      </c>
      <c r="Y37" s="43">
        <v>360</v>
      </c>
      <c r="Z37" s="43">
        <v>300</v>
      </c>
      <c r="AA37" s="43">
        <v>240</v>
      </c>
      <c r="AB37" s="43">
        <v>200</v>
      </c>
      <c r="AC37" s="43">
        <v>348</v>
      </c>
      <c r="AD37" s="43">
        <v>220</v>
      </c>
      <c r="AE37" s="43">
        <v>365</v>
      </c>
      <c r="AF37" s="44">
        <v>10653</v>
      </c>
      <c r="AG37" s="44">
        <v>8156</v>
      </c>
      <c r="AH37" s="44">
        <v>13119</v>
      </c>
      <c r="AI37" s="44">
        <v>6418</v>
      </c>
      <c r="AJ37" s="44">
        <v>7103</v>
      </c>
      <c r="AK37" s="44">
        <v>9421</v>
      </c>
      <c r="AL37" s="44">
        <v>4166</v>
      </c>
      <c r="AM37" s="44">
        <v>1542</v>
      </c>
      <c r="AN37" s="44">
        <v>5020</v>
      </c>
      <c r="AO37" s="44">
        <v>1929</v>
      </c>
      <c r="AP37" s="44">
        <v>782</v>
      </c>
      <c r="AQ37" s="44">
        <v>1220</v>
      </c>
      <c r="AR37" s="44">
        <v>439</v>
      </c>
      <c r="AS37" s="44">
        <v>162</v>
      </c>
      <c r="AT37" s="44">
        <v>1000</v>
      </c>
      <c r="AU37" s="44">
        <v>9828</v>
      </c>
      <c r="AV37" s="44">
        <v>1761</v>
      </c>
      <c r="AW37" s="44">
        <v>7748</v>
      </c>
      <c r="AX37" s="44">
        <v>1003</v>
      </c>
      <c r="AY37" s="44">
        <v>2450</v>
      </c>
      <c r="AZ37" s="44">
        <v>3392</v>
      </c>
      <c r="BA37" s="44">
        <v>1788</v>
      </c>
      <c r="BB37" s="44">
        <v>181</v>
      </c>
      <c r="BC37" s="44">
        <v>1643</v>
      </c>
      <c r="BD37" s="44">
        <v>259</v>
      </c>
      <c r="BE37" s="44">
        <v>251</v>
      </c>
      <c r="BF37" s="44">
        <v>185</v>
      </c>
      <c r="BG37" s="44">
        <v>367</v>
      </c>
      <c r="BH37" s="44">
        <v>72</v>
      </c>
      <c r="BI37" s="44">
        <v>758</v>
      </c>
    </row>
    <row r="38" spans="1:61" x14ac:dyDescent="0.2">
      <c r="A38" s="42">
        <v>39783</v>
      </c>
      <c r="B38" s="43">
        <v>468</v>
      </c>
      <c r="C38" s="43">
        <v>290</v>
      </c>
      <c r="D38" s="43">
        <v>385</v>
      </c>
      <c r="E38" s="43">
        <v>236</v>
      </c>
      <c r="F38" s="43">
        <v>399</v>
      </c>
      <c r="G38" s="43">
        <v>365</v>
      </c>
      <c r="H38" s="43">
        <v>355</v>
      </c>
      <c r="I38" s="43">
        <v>245</v>
      </c>
      <c r="J38" s="43">
        <v>425</v>
      </c>
      <c r="K38" s="43">
        <v>351</v>
      </c>
      <c r="L38" s="43">
        <v>300</v>
      </c>
      <c r="M38" s="43">
        <v>225</v>
      </c>
      <c r="N38" s="43">
        <v>445</v>
      </c>
      <c r="O38" s="43">
        <v>296.8</v>
      </c>
      <c r="P38" s="43">
        <v>450</v>
      </c>
      <c r="Q38" s="43">
        <v>373</v>
      </c>
      <c r="R38" s="43">
        <v>280</v>
      </c>
      <c r="S38" s="43">
        <v>350</v>
      </c>
      <c r="T38" s="43">
        <v>195</v>
      </c>
      <c r="U38" s="43">
        <v>350</v>
      </c>
      <c r="V38" s="43">
        <v>316</v>
      </c>
      <c r="W38" s="43">
        <v>300.8</v>
      </c>
      <c r="X38" s="43">
        <v>202</v>
      </c>
      <c r="Y38" s="43">
        <v>350</v>
      </c>
      <c r="Z38" s="43">
        <v>300</v>
      </c>
      <c r="AA38" s="43">
        <v>245</v>
      </c>
      <c r="AB38" s="43">
        <v>200</v>
      </c>
      <c r="AC38" s="43">
        <v>329</v>
      </c>
      <c r="AD38" s="43">
        <v>240</v>
      </c>
      <c r="AE38" s="43">
        <v>360.5</v>
      </c>
      <c r="AF38" s="44">
        <v>11240</v>
      </c>
      <c r="AG38" s="44">
        <v>8893</v>
      </c>
      <c r="AH38" s="44">
        <v>13092</v>
      </c>
      <c r="AI38" s="44">
        <v>6793</v>
      </c>
      <c r="AJ38" s="44">
        <v>6938</v>
      </c>
      <c r="AK38" s="44">
        <v>9240</v>
      </c>
      <c r="AL38" s="44">
        <v>4225</v>
      </c>
      <c r="AM38" s="44">
        <v>1670</v>
      </c>
      <c r="AN38" s="44">
        <v>4254</v>
      </c>
      <c r="AO38" s="44">
        <v>1707</v>
      </c>
      <c r="AP38" s="44">
        <v>860</v>
      </c>
      <c r="AQ38" s="44">
        <v>1353</v>
      </c>
      <c r="AR38" s="44">
        <v>459</v>
      </c>
      <c r="AS38" s="44">
        <v>169</v>
      </c>
      <c r="AT38" s="44">
        <v>988</v>
      </c>
      <c r="AU38" s="44">
        <v>10127</v>
      </c>
      <c r="AV38" s="44">
        <v>1907</v>
      </c>
      <c r="AW38" s="44">
        <v>7470</v>
      </c>
      <c r="AX38" s="44">
        <v>1029</v>
      </c>
      <c r="AY38" s="44">
        <v>2463</v>
      </c>
      <c r="AZ38" s="44">
        <v>3233</v>
      </c>
      <c r="BA38" s="44">
        <v>1720</v>
      </c>
      <c r="BB38" s="44">
        <v>228</v>
      </c>
      <c r="BC38" s="44">
        <v>1406</v>
      </c>
      <c r="BD38" s="44">
        <v>217</v>
      </c>
      <c r="BE38" s="44">
        <v>320</v>
      </c>
      <c r="BF38" s="44">
        <v>215</v>
      </c>
      <c r="BG38" s="44">
        <v>328</v>
      </c>
      <c r="BH38" s="44">
        <v>71</v>
      </c>
      <c r="BI38" s="44">
        <v>715</v>
      </c>
    </row>
    <row r="39" spans="1:61" x14ac:dyDescent="0.2">
      <c r="A39" s="42">
        <v>39873</v>
      </c>
      <c r="B39" s="43">
        <v>448</v>
      </c>
      <c r="C39" s="43">
        <v>300</v>
      </c>
      <c r="D39" s="43">
        <v>375</v>
      </c>
      <c r="E39" s="43">
        <v>238</v>
      </c>
      <c r="F39" s="43">
        <v>400</v>
      </c>
      <c r="G39" s="43">
        <v>370</v>
      </c>
      <c r="H39" s="43">
        <v>353.5</v>
      </c>
      <c r="I39" s="43">
        <v>248</v>
      </c>
      <c r="J39" s="43">
        <v>439</v>
      </c>
      <c r="K39" s="43">
        <v>360</v>
      </c>
      <c r="L39" s="43">
        <v>296.5</v>
      </c>
      <c r="M39" s="43">
        <v>235</v>
      </c>
      <c r="N39" s="43">
        <v>455</v>
      </c>
      <c r="O39" s="43">
        <v>321</v>
      </c>
      <c r="P39" s="43">
        <v>459.5</v>
      </c>
      <c r="Q39" s="43">
        <v>380</v>
      </c>
      <c r="R39" s="43">
        <v>270.5</v>
      </c>
      <c r="S39" s="43">
        <v>348</v>
      </c>
      <c r="T39" s="43">
        <v>210</v>
      </c>
      <c r="U39" s="43">
        <v>349.8</v>
      </c>
      <c r="V39" s="43">
        <v>324</v>
      </c>
      <c r="W39" s="43">
        <v>300</v>
      </c>
      <c r="X39" s="43">
        <v>175</v>
      </c>
      <c r="Y39" s="43">
        <v>350</v>
      </c>
      <c r="Z39" s="43">
        <v>315</v>
      </c>
      <c r="AA39" s="43">
        <v>255</v>
      </c>
      <c r="AB39" s="43">
        <v>213</v>
      </c>
      <c r="AC39" s="43">
        <v>370</v>
      </c>
      <c r="AD39" s="43">
        <v>249</v>
      </c>
      <c r="AE39" s="43">
        <v>372.5</v>
      </c>
      <c r="AF39" s="44">
        <v>12259</v>
      </c>
      <c r="AG39" s="44">
        <v>10211</v>
      </c>
      <c r="AH39" s="44">
        <v>13091</v>
      </c>
      <c r="AI39" s="44">
        <v>7329</v>
      </c>
      <c r="AJ39" s="44">
        <v>9329</v>
      </c>
      <c r="AK39" s="44">
        <v>11278</v>
      </c>
      <c r="AL39" s="44">
        <v>4585</v>
      </c>
      <c r="AM39" s="44">
        <v>2048</v>
      </c>
      <c r="AN39" s="44">
        <v>5916</v>
      </c>
      <c r="AO39" s="44">
        <v>2164</v>
      </c>
      <c r="AP39" s="44">
        <v>1100</v>
      </c>
      <c r="AQ39" s="44">
        <v>1634</v>
      </c>
      <c r="AR39" s="44">
        <v>425</v>
      </c>
      <c r="AS39" s="44">
        <v>198</v>
      </c>
      <c r="AT39" s="44">
        <v>1122</v>
      </c>
      <c r="AU39" s="44">
        <v>11641</v>
      </c>
      <c r="AV39" s="44">
        <v>2324</v>
      </c>
      <c r="AW39" s="44">
        <v>7684</v>
      </c>
      <c r="AX39" s="44">
        <v>1270</v>
      </c>
      <c r="AY39" s="44">
        <v>3162</v>
      </c>
      <c r="AZ39" s="44">
        <v>4165</v>
      </c>
      <c r="BA39" s="44">
        <v>1865</v>
      </c>
      <c r="BB39" s="44">
        <v>223</v>
      </c>
      <c r="BC39" s="44">
        <v>1989</v>
      </c>
      <c r="BD39" s="44">
        <v>288</v>
      </c>
      <c r="BE39" s="44">
        <v>436</v>
      </c>
      <c r="BF39" s="44">
        <v>312</v>
      </c>
      <c r="BG39" s="44">
        <v>421</v>
      </c>
      <c r="BH39" s="44">
        <v>87</v>
      </c>
      <c r="BI39" s="44">
        <v>849</v>
      </c>
    </row>
    <row r="40" spans="1:61" x14ac:dyDescent="0.2">
      <c r="A40" s="42">
        <v>39965</v>
      </c>
      <c r="B40" s="43">
        <v>490</v>
      </c>
      <c r="C40" s="43">
        <v>300</v>
      </c>
      <c r="D40" s="43">
        <v>400</v>
      </c>
      <c r="E40" s="43">
        <v>245</v>
      </c>
      <c r="F40" s="43">
        <v>420</v>
      </c>
      <c r="G40" s="43">
        <v>372.8</v>
      </c>
      <c r="H40" s="43">
        <v>363</v>
      </c>
      <c r="I40" s="43">
        <v>245</v>
      </c>
      <c r="J40" s="43">
        <v>455</v>
      </c>
      <c r="K40" s="43">
        <v>370</v>
      </c>
      <c r="L40" s="43">
        <v>310</v>
      </c>
      <c r="M40" s="43">
        <v>240</v>
      </c>
      <c r="N40" s="43">
        <v>465</v>
      </c>
      <c r="O40" s="43">
        <v>335</v>
      </c>
      <c r="P40" s="43">
        <v>455</v>
      </c>
      <c r="Q40" s="43">
        <v>398</v>
      </c>
      <c r="R40" s="43">
        <v>280</v>
      </c>
      <c r="S40" s="43">
        <v>379.5</v>
      </c>
      <c r="T40" s="43">
        <v>217.8</v>
      </c>
      <c r="U40" s="43">
        <v>365</v>
      </c>
      <c r="V40" s="43">
        <v>330</v>
      </c>
      <c r="W40" s="43">
        <v>310</v>
      </c>
      <c r="X40" s="43">
        <v>174.5</v>
      </c>
      <c r="Y40" s="43">
        <v>380</v>
      </c>
      <c r="Z40" s="43">
        <v>325</v>
      </c>
      <c r="AA40" s="43">
        <v>260</v>
      </c>
      <c r="AB40" s="43">
        <v>220</v>
      </c>
      <c r="AC40" s="43">
        <v>360</v>
      </c>
      <c r="AD40" s="43">
        <v>300</v>
      </c>
      <c r="AE40" s="43">
        <v>375</v>
      </c>
      <c r="AF40" s="44">
        <v>14318</v>
      </c>
      <c r="AG40" s="44">
        <v>9672</v>
      </c>
      <c r="AH40" s="44">
        <v>15315</v>
      </c>
      <c r="AI40" s="44">
        <v>8359</v>
      </c>
      <c r="AJ40" s="44">
        <v>8806</v>
      </c>
      <c r="AK40" s="44">
        <v>9924</v>
      </c>
      <c r="AL40" s="44">
        <v>4877</v>
      </c>
      <c r="AM40" s="44">
        <v>1885</v>
      </c>
      <c r="AN40" s="44">
        <v>7148</v>
      </c>
      <c r="AO40" s="44">
        <v>2136</v>
      </c>
      <c r="AP40" s="44">
        <v>1001</v>
      </c>
      <c r="AQ40" s="44">
        <v>1609</v>
      </c>
      <c r="AR40" s="44">
        <v>469</v>
      </c>
      <c r="AS40" s="44">
        <v>174</v>
      </c>
      <c r="AT40" s="44">
        <v>1319</v>
      </c>
      <c r="AU40" s="44">
        <v>13995</v>
      </c>
      <c r="AV40" s="44">
        <v>2296</v>
      </c>
      <c r="AW40" s="44">
        <v>9685</v>
      </c>
      <c r="AX40" s="44">
        <v>1402</v>
      </c>
      <c r="AY40" s="44">
        <v>3246</v>
      </c>
      <c r="AZ40" s="44">
        <v>3966</v>
      </c>
      <c r="BA40" s="44">
        <v>1898</v>
      </c>
      <c r="BB40" s="44">
        <v>262</v>
      </c>
      <c r="BC40" s="44">
        <v>2376</v>
      </c>
      <c r="BD40" s="44">
        <v>278</v>
      </c>
      <c r="BE40" s="44">
        <v>348</v>
      </c>
      <c r="BF40" s="44">
        <v>272</v>
      </c>
      <c r="BG40" s="44">
        <v>441</v>
      </c>
      <c r="BH40" s="44">
        <v>91</v>
      </c>
      <c r="BI40" s="44">
        <v>1165</v>
      </c>
    </row>
    <row r="41" spans="1:61" x14ac:dyDescent="0.2">
      <c r="A41" s="42">
        <v>40057</v>
      </c>
      <c r="B41" s="43">
        <v>500</v>
      </c>
      <c r="C41" s="43">
        <v>310</v>
      </c>
      <c r="D41" s="43">
        <v>422</v>
      </c>
      <c r="E41" s="43">
        <v>250</v>
      </c>
      <c r="F41" s="43">
        <v>430</v>
      </c>
      <c r="G41" s="43">
        <v>380</v>
      </c>
      <c r="H41" s="43">
        <v>370</v>
      </c>
      <c r="I41" s="43">
        <v>260</v>
      </c>
      <c r="J41" s="43">
        <v>473</v>
      </c>
      <c r="K41" s="43">
        <v>375</v>
      </c>
      <c r="L41" s="43">
        <v>310.10000000000002</v>
      </c>
      <c r="M41" s="43">
        <v>245</v>
      </c>
      <c r="N41" s="43">
        <v>490</v>
      </c>
      <c r="O41" s="43">
        <v>345</v>
      </c>
      <c r="P41" s="43">
        <v>456</v>
      </c>
      <c r="Q41" s="43">
        <v>423</v>
      </c>
      <c r="R41" s="43">
        <v>289</v>
      </c>
      <c r="S41" s="43">
        <v>392</v>
      </c>
      <c r="T41" s="43">
        <v>221</v>
      </c>
      <c r="U41" s="43">
        <v>370</v>
      </c>
      <c r="V41" s="43">
        <v>345</v>
      </c>
      <c r="W41" s="43">
        <v>310</v>
      </c>
      <c r="X41" s="43">
        <v>170</v>
      </c>
      <c r="Y41" s="43">
        <v>390</v>
      </c>
      <c r="Z41" s="43">
        <v>331</v>
      </c>
      <c r="AA41" s="43">
        <v>270</v>
      </c>
      <c r="AB41" s="43">
        <v>220</v>
      </c>
      <c r="AC41" s="43">
        <v>377</v>
      </c>
      <c r="AD41" s="43">
        <v>307.5</v>
      </c>
      <c r="AE41" s="43">
        <v>378</v>
      </c>
      <c r="AF41" s="44">
        <v>14816</v>
      </c>
      <c r="AG41" s="44">
        <v>12211</v>
      </c>
      <c r="AH41" s="44">
        <v>16313</v>
      </c>
      <c r="AI41" s="44">
        <v>8296</v>
      </c>
      <c r="AJ41" s="44">
        <v>9068</v>
      </c>
      <c r="AK41" s="44">
        <v>10999</v>
      </c>
      <c r="AL41" s="44">
        <v>4473</v>
      </c>
      <c r="AM41" s="44">
        <v>1922</v>
      </c>
      <c r="AN41" s="44">
        <v>7701</v>
      </c>
      <c r="AO41" s="44">
        <v>2348</v>
      </c>
      <c r="AP41" s="44">
        <v>1033</v>
      </c>
      <c r="AQ41" s="44">
        <v>1528</v>
      </c>
      <c r="AR41" s="44">
        <v>436</v>
      </c>
      <c r="AS41" s="44">
        <v>199</v>
      </c>
      <c r="AT41" s="44">
        <v>1381</v>
      </c>
      <c r="AU41" s="44">
        <v>16289</v>
      </c>
      <c r="AV41" s="44">
        <v>2959</v>
      </c>
      <c r="AW41" s="44">
        <v>11517</v>
      </c>
      <c r="AX41" s="44">
        <v>1499</v>
      </c>
      <c r="AY41" s="44">
        <v>3820</v>
      </c>
      <c r="AZ41" s="44">
        <v>4622</v>
      </c>
      <c r="BA41" s="44">
        <v>1818</v>
      </c>
      <c r="BB41" s="44">
        <v>253</v>
      </c>
      <c r="BC41" s="44">
        <v>2842</v>
      </c>
      <c r="BD41" s="44">
        <v>390</v>
      </c>
      <c r="BE41" s="44">
        <v>418</v>
      </c>
      <c r="BF41" s="44">
        <v>288</v>
      </c>
      <c r="BG41" s="44">
        <v>463</v>
      </c>
      <c r="BH41" s="44">
        <v>90</v>
      </c>
      <c r="BI41" s="44">
        <v>1347</v>
      </c>
    </row>
    <row r="42" spans="1:61" x14ac:dyDescent="0.2">
      <c r="A42" s="42">
        <v>40148</v>
      </c>
      <c r="B42" s="43">
        <v>595</v>
      </c>
      <c r="C42" s="43">
        <v>340</v>
      </c>
      <c r="D42" s="43">
        <v>477.5</v>
      </c>
      <c r="E42" s="43">
        <v>266.5</v>
      </c>
      <c r="F42" s="43">
        <v>455</v>
      </c>
      <c r="G42" s="43">
        <v>395</v>
      </c>
      <c r="H42" s="43">
        <v>398.8</v>
      </c>
      <c r="I42" s="43">
        <v>267</v>
      </c>
      <c r="J42" s="43">
        <v>505</v>
      </c>
      <c r="K42" s="43">
        <v>400</v>
      </c>
      <c r="L42" s="43">
        <v>350</v>
      </c>
      <c r="M42" s="43">
        <v>252.3</v>
      </c>
      <c r="N42" s="43">
        <v>520</v>
      </c>
      <c r="O42" s="43">
        <v>368</v>
      </c>
      <c r="P42" s="43">
        <v>509</v>
      </c>
      <c r="Q42" s="43">
        <v>450</v>
      </c>
      <c r="R42" s="43">
        <v>310</v>
      </c>
      <c r="S42" s="43">
        <v>421</v>
      </c>
      <c r="T42" s="43">
        <v>232</v>
      </c>
      <c r="U42" s="43">
        <v>381</v>
      </c>
      <c r="V42" s="43">
        <v>356.1</v>
      </c>
      <c r="W42" s="43">
        <v>326.8</v>
      </c>
      <c r="X42" s="43">
        <v>196</v>
      </c>
      <c r="Y42" s="43">
        <v>415</v>
      </c>
      <c r="Z42" s="43">
        <v>339</v>
      </c>
      <c r="AA42" s="43">
        <v>285</v>
      </c>
      <c r="AB42" s="43">
        <v>220</v>
      </c>
      <c r="AC42" s="43">
        <v>400</v>
      </c>
      <c r="AD42" s="43">
        <v>332.5</v>
      </c>
      <c r="AE42" s="43">
        <v>402.5</v>
      </c>
      <c r="AF42" s="44">
        <v>12786</v>
      </c>
      <c r="AG42" s="44">
        <v>10119</v>
      </c>
      <c r="AH42" s="44">
        <v>16586</v>
      </c>
      <c r="AI42" s="44">
        <v>7422</v>
      </c>
      <c r="AJ42" s="44">
        <v>7844</v>
      </c>
      <c r="AK42" s="44">
        <v>9791</v>
      </c>
      <c r="AL42" s="44">
        <v>4234</v>
      </c>
      <c r="AM42" s="44">
        <v>1718</v>
      </c>
      <c r="AN42" s="44">
        <v>6635</v>
      </c>
      <c r="AO42" s="44">
        <v>2017</v>
      </c>
      <c r="AP42" s="44">
        <v>921</v>
      </c>
      <c r="AQ42" s="44">
        <v>1286</v>
      </c>
      <c r="AR42" s="44">
        <v>363</v>
      </c>
      <c r="AS42" s="44">
        <v>157</v>
      </c>
      <c r="AT42" s="44">
        <v>1297</v>
      </c>
      <c r="AU42" s="44">
        <v>11800</v>
      </c>
      <c r="AV42" s="44">
        <v>2643</v>
      </c>
      <c r="AW42" s="44">
        <v>9724</v>
      </c>
      <c r="AX42" s="44">
        <v>1298</v>
      </c>
      <c r="AY42" s="44">
        <v>3206</v>
      </c>
      <c r="AZ42" s="44">
        <v>3772</v>
      </c>
      <c r="BA42" s="44">
        <v>1770</v>
      </c>
      <c r="BB42" s="44">
        <v>229</v>
      </c>
      <c r="BC42" s="44">
        <v>2383</v>
      </c>
      <c r="BD42" s="44">
        <v>375</v>
      </c>
      <c r="BE42" s="44">
        <v>335</v>
      </c>
      <c r="BF42" s="44">
        <v>230</v>
      </c>
      <c r="BG42" s="44">
        <v>316</v>
      </c>
      <c r="BH42" s="44">
        <v>60</v>
      </c>
      <c r="BI42" s="44">
        <v>1043</v>
      </c>
    </row>
    <row r="43" spans="1:61" x14ac:dyDescent="0.2">
      <c r="A43" s="42">
        <v>40238</v>
      </c>
      <c r="B43" s="43">
        <v>583</v>
      </c>
      <c r="C43" s="43">
        <v>340</v>
      </c>
      <c r="D43" s="43">
        <v>468</v>
      </c>
      <c r="E43" s="43">
        <v>275</v>
      </c>
      <c r="F43" s="43">
        <v>460</v>
      </c>
      <c r="G43" s="43">
        <v>400</v>
      </c>
      <c r="H43" s="43">
        <v>402</v>
      </c>
      <c r="I43" s="43">
        <v>280</v>
      </c>
      <c r="J43" s="43">
        <v>518</v>
      </c>
      <c r="K43" s="43">
        <v>410</v>
      </c>
      <c r="L43" s="43">
        <v>350.5</v>
      </c>
      <c r="M43" s="43">
        <v>262</v>
      </c>
      <c r="N43" s="43">
        <v>529</v>
      </c>
      <c r="O43" s="43">
        <v>364</v>
      </c>
      <c r="P43" s="43">
        <v>530</v>
      </c>
      <c r="Q43" s="43">
        <v>450</v>
      </c>
      <c r="R43" s="43">
        <v>306</v>
      </c>
      <c r="S43" s="43">
        <v>424</v>
      </c>
      <c r="T43" s="43">
        <v>235</v>
      </c>
      <c r="U43" s="43">
        <v>385</v>
      </c>
      <c r="V43" s="43">
        <v>360</v>
      </c>
      <c r="W43" s="43">
        <v>333</v>
      </c>
      <c r="X43" s="43">
        <v>199.5</v>
      </c>
      <c r="Y43" s="43">
        <v>420</v>
      </c>
      <c r="Z43" s="43">
        <v>347.5</v>
      </c>
      <c r="AA43" s="43">
        <v>278.5</v>
      </c>
      <c r="AB43" s="43">
        <v>226.5</v>
      </c>
      <c r="AC43" s="43">
        <v>430.2</v>
      </c>
      <c r="AD43" s="43">
        <v>335</v>
      </c>
      <c r="AE43" s="43">
        <v>410</v>
      </c>
      <c r="AF43" s="44">
        <v>11091</v>
      </c>
      <c r="AG43" s="44">
        <v>8729</v>
      </c>
      <c r="AH43" s="44">
        <v>14148</v>
      </c>
      <c r="AI43" s="44">
        <v>7161</v>
      </c>
      <c r="AJ43" s="44">
        <v>7640</v>
      </c>
      <c r="AK43" s="44">
        <v>9304</v>
      </c>
      <c r="AL43" s="44">
        <v>3993</v>
      </c>
      <c r="AM43" s="44">
        <v>1681</v>
      </c>
      <c r="AN43" s="44">
        <v>6401</v>
      </c>
      <c r="AO43" s="44">
        <v>2010</v>
      </c>
      <c r="AP43" s="44">
        <v>976</v>
      </c>
      <c r="AQ43" s="44">
        <v>1333</v>
      </c>
      <c r="AR43" s="44">
        <v>339</v>
      </c>
      <c r="AS43" s="44">
        <v>86</v>
      </c>
      <c r="AT43" s="44">
        <v>971</v>
      </c>
      <c r="AU43" s="44">
        <v>9925</v>
      </c>
      <c r="AV43" s="44">
        <v>2093</v>
      </c>
      <c r="AW43" s="44">
        <v>9015</v>
      </c>
      <c r="AX43" s="44">
        <v>1271</v>
      </c>
      <c r="AY43" s="44">
        <v>2960</v>
      </c>
      <c r="AZ43" s="44">
        <v>3793</v>
      </c>
      <c r="BA43" s="44">
        <v>1605</v>
      </c>
      <c r="BB43" s="44">
        <v>191</v>
      </c>
      <c r="BC43" s="44">
        <v>2496</v>
      </c>
      <c r="BD43" s="44">
        <v>328</v>
      </c>
      <c r="BE43" s="44">
        <v>296</v>
      </c>
      <c r="BF43" s="44">
        <v>211</v>
      </c>
      <c r="BG43" s="44">
        <v>285</v>
      </c>
      <c r="BH43" s="44">
        <v>23</v>
      </c>
      <c r="BI43" s="44">
        <v>878</v>
      </c>
    </row>
    <row r="44" spans="1:61" x14ac:dyDescent="0.2">
      <c r="A44" s="42">
        <v>40330</v>
      </c>
      <c r="B44" s="43">
        <v>612.5</v>
      </c>
      <c r="C44" s="43">
        <v>340</v>
      </c>
      <c r="D44" s="43">
        <v>500</v>
      </c>
      <c r="E44" s="43">
        <v>278.2</v>
      </c>
      <c r="F44" s="43">
        <v>465</v>
      </c>
      <c r="G44" s="43">
        <v>395</v>
      </c>
      <c r="H44" s="43">
        <v>410</v>
      </c>
      <c r="I44" s="43">
        <v>278</v>
      </c>
      <c r="J44" s="43">
        <v>510</v>
      </c>
      <c r="K44" s="43">
        <v>385</v>
      </c>
      <c r="L44" s="43">
        <v>343.8</v>
      </c>
      <c r="M44" s="43">
        <v>257</v>
      </c>
      <c r="N44" s="43">
        <v>530</v>
      </c>
      <c r="O44" s="43">
        <v>395</v>
      </c>
      <c r="P44" s="43">
        <v>516.20000000000005</v>
      </c>
      <c r="Q44" s="43">
        <v>480</v>
      </c>
      <c r="R44" s="43">
        <v>305</v>
      </c>
      <c r="S44" s="43">
        <v>450</v>
      </c>
      <c r="T44" s="43">
        <v>229.8</v>
      </c>
      <c r="U44" s="43">
        <v>392.5</v>
      </c>
      <c r="V44" s="43">
        <v>355</v>
      </c>
      <c r="W44" s="43">
        <v>337.5</v>
      </c>
      <c r="X44" s="43">
        <v>172.5</v>
      </c>
      <c r="Y44" s="43">
        <v>417</v>
      </c>
      <c r="Z44" s="43">
        <v>348.5</v>
      </c>
      <c r="AA44" s="43">
        <v>280</v>
      </c>
      <c r="AB44" s="43">
        <v>235</v>
      </c>
      <c r="AC44" s="43">
        <v>430</v>
      </c>
      <c r="AD44" s="43">
        <v>320</v>
      </c>
      <c r="AE44" s="43">
        <v>413.5</v>
      </c>
      <c r="AF44" s="44">
        <v>12610</v>
      </c>
      <c r="AG44" s="44">
        <v>9551</v>
      </c>
      <c r="AH44" s="44">
        <v>15641</v>
      </c>
      <c r="AI44" s="44">
        <v>7249</v>
      </c>
      <c r="AJ44" s="44">
        <v>6869</v>
      </c>
      <c r="AK44" s="44">
        <v>8203</v>
      </c>
      <c r="AL44" s="44">
        <v>4197</v>
      </c>
      <c r="AM44" s="44">
        <v>1461</v>
      </c>
      <c r="AN44" s="44">
        <v>5064</v>
      </c>
      <c r="AO44" s="44">
        <v>1468</v>
      </c>
      <c r="AP44" s="44">
        <v>841</v>
      </c>
      <c r="AQ44" s="44">
        <v>1214</v>
      </c>
      <c r="AR44" s="44">
        <v>310</v>
      </c>
      <c r="AS44" s="44">
        <v>122</v>
      </c>
      <c r="AT44" s="44">
        <v>1234</v>
      </c>
      <c r="AU44" s="44">
        <v>12183</v>
      </c>
      <c r="AV44" s="44">
        <v>2379</v>
      </c>
      <c r="AW44" s="44">
        <v>9884</v>
      </c>
      <c r="AX44" s="44">
        <v>1206</v>
      </c>
      <c r="AY44" s="44">
        <v>2823</v>
      </c>
      <c r="AZ44" s="44">
        <v>3224</v>
      </c>
      <c r="BA44" s="44">
        <v>1665</v>
      </c>
      <c r="BB44" s="44">
        <v>150</v>
      </c>
      <c r="BC44" s="44">
        <v>1815</v>
      </c>
      <c r="BD44" s="44">
        <v>196</v>
      </c>
      <c r="BE44" s="44">
        <v>279</v>
      </c>
      <c r="BF44" s="44">
        <v>180</v>
      </c>
      <c r="BG44" s="44">
        <v>296</v>
      </c>
      <c r="BH44" s="44">
        <v>71</v>
      </c>
      <c r="BI44" s="44">
        <v>1509</v>
      </c>
    </row>
    <row r="45" spans="1:61" x14ac:dyDescent="0.2">
      <c r="A45" s="42">
        <v>40422</v>
      </c>
      <c r="B45" s="43">
        <v>598</v>
      </c>
      <c r="C45" s="43">
        <v>340</v>
      </c>
      <c r="D45" s="43">
        <v>488.3</v>
      </c>
      <c r="E45" s="43">
        <v>280</v>
      </c>
      <c r="F45" s="43">
        <v>460</v>
      </c>
      <c r="G45" s="43">
        <v>388</v>
      </c>
      <c r="H45" s="43">
        <v>400</v>
      </c>
      <c r="I45" s="43">
        <v>275</v>
      </c>
      <c r="J45" s="43">
        <v>500</v>
      </c>
      <c r="K45" s="43">
        <v>380</v>
      </c>
      <c r="L45" s="43">
        <v>340</v>
      </c>
      <c r="M45" s="43">
        <v>260</v>
      </c>
      <c r="N45" s="43">
        <v>535</v>
      </c>
      <c r="O45" s="43">
        <v>421.5</v>
      </c>
      <c r="P45" s="43">
        <v>530</v>
      </c>
      <c r="Q45" s="43">
        <v>477</v>
      </c>
      <c r="R45" s="43">
        <v>300</v>
      </c>
      <c r="S45" s="43">
        <v>445</v>
      </c>
      <c r="T45" s="43">
        <v>235</v>
      </c>
      <c r="U45" s="43">
        <v>383.8</v>
      </c>
      <c r="V45" s="43">
        <v>347.5</v>
      </c>
      <c r="W45" s="43">
        <v>330.5</v>
      </c>
      <c r="X45" s="43">
        <v>200</v>
      </c>
      <c r="Y45" s="43">
        <v>410</v>
      </c>
      <c r="Z45" s="43">
        <v>329</v>
      </c>
      <c r="AA45" s="43">
        <v>287.5</v>
      </c>
      <c r="AB45" s="43">
        <v>235</v>
      </c>
      <c r="AC45" s="43">
        <v>400</v>
      </c>
      <c r="AD45" s="43">
        <v>307.3</v>
      </c>
      <c r="AE45" s="43">
        <v>425</v>
      </c>
      <c r="AF45" s="44">
        <v>11334</v>
      </c>
      <c r="AG45" s="44">
        <v>9204</v>
      </c>
      <c r="AH45" s="44">
        <v>13632</v>
      </c>
      <c r="AI45" s="44">
        <v>6607</v>
      </c>
      <c r="AJ45" s="44">
        <v>6930</v>
      </c>
      <c r="AK45" s="44">
        <v>8490</v>
      </c>
      <c r="AL45" s="44">
        <v>4128</v>
      </c>
      <c r="AM45" s="44">
        <v>1513</v>
      </c>
      <c r="AN45" s="44">
        <v>5131</v>
      </c>
      <c r="AO45" s="44">
        <v>1561</v>
      </c>
      <c r="AP45" s="44">
        <v>840</v>
      </c>
      <c r="AQ45" s="44">
        <v>1176</v>
      </c>
      <c r="AR45" s="44">
        <v>278</v>
      </c>
      <c r="AS45" s="44">
        <v>159</v>
      </c>
      <c r="AT45" s="44">
        <v>1042</v>
      </c>
      <c r="AU45" s="44">
        <v>11407</v>
      </c>
      <c r="AV45" s="44">
        <v>2169</v>
      </c>
      <c r="AW45" s="44">
        <v>9544</v>
      </c>
      <c r="AX45" s="44">
        <v>1164</v>
      </c>
      <c r="AY45" s="44">
        <v>2618</v>
      </c>
      <c r="AZ45" s="44">
        <v>2951</v>
      </c>
      <c r="BA45" s="44">
        <v>1615</v>
      </c>
      <c r="BB45" s="44">
        <v>190</v>
      </c>
      <c r="BC45" s="44">
        <v>1810</v>
      </c>
      <c r="BD45" s="44">
        <v>207</v>
      </c>
      <c r="BE45" s="44">
        <v>276</v>
      </c>
      <c r="BF45" s="44">
        <v>241</v>
      </c>
      <c r="BG45" s="44">
        <v>276</v>
      </c>
      <c r="BH45" s="44">
        <v>64</v>
      </c>
      <c r="BI45" s="44">
        <v>955</v>
      </c>
    </row>
    <row r="46" spans="1:61" x14ac:dyDescent="0.2">
      <c r="A46" s="42">
        <v>40513</v>
      </c>
      <c r="B46" s="43">
        <v>620</v>
      </c>
      <c r="C46" s="43">
        <v>340</v>
      </c>
      <c r="D46" s="43">
        <v>520</v>
      </c>
      <c r="E46" s="43">
        <v>292.5</v>
      </c>
      <c r="F46" s="43">
        <v>460</v>
      </c>
      <c r="G46" s="43">
        <v>387.5</v>
      </c>
      <c r="H46" s="43">
        <v>410</v>
      </c>
      <c r="I46" s="43">
        <v>277.3</v>
      </c>
      <c r="J46" s="43">
        <v>500</v>
      </c>
      <c r="K46" s="43">
        <v>385</v>
      </c>
      <c r="L46" s="43">
        <v>345</v>
      </c>
      <c r="M46" s="43">
        <v>260</v>
      </c>
      <c r="N46" s="43">
        <v>545</v>
      </c>
      <c r="O46" s="43">
        <v>435</v>
      </c>
      <c r="P46" s="43">
        <v>534.5</v>
      </c>
      <c r="Q46" s="43">
        <v>487.6</v>
      </c>
      <c r="R46" s="43">
        <v>305</v>
      </c>
      <c r="S46" s="43">
        <v>460</v>
      </c>
      <c r="T46" s="43">
        <v>255</v>
      </c>
      <c r="U46" s="43">
        <v>385</v>
      </c>
      <c r="V46" s="43">
        <v>347.5</v>
      </c>
      <c r="W46" s="43">
        <v>335</v>
      </c>
      <c r="X46" s="43">
        <v>185</v>
      </c>
      <c r="Y46" s="43">
        <v>410</v>
      </c>
      <c r="Z46" s="43">
        <v>335</v>
      </c>
      <c r="AA46" s="43">
        <v>288</v>
      </c>
      <c r="AB46" s="43">
        <v>230</v>
      </c>
      <c r="AC46" s="43">
        <v>420.5</v>
      </c>
      <c r="AD46" s="43">
        <v>350</v>
      </c>
      <c r="AE46" s="43">
        <v>424.9</v>
      </c>
      <c r="AF46" s="44">
        <v>11704</v>
      </c>
      <c r="AG46" s="44">
        <v>9206</v>
      </c>
      <c r="AH46" s="44">
        <v>13141</v>
      </c>
      <c r="AI46" s="44">
        <v>5922</v>
      </c>
      <c r="AJ46" s="44">
        <v>6385</v>
      </c>
      <c r="AK46" s="44">
        <v>8115</v>
      </c>
      <c r="AL46" s="44">
        <v>4009</v>
      </c>
      <c r="AM46" s="44">
        <v>1410</v>
      </c>
      <c r="AN46" s="44">
        <v>4959</v>
      </c>
      <c r="AO46" s="44">
        <v>1585</v>
      </c>
      <c r="AP46" s="44">
        <v>837</v>
      </c>
      <c r="AQ46" s="44">
        <v>1184</v>
      </c>
      <c r="AR46" s="44">
        <v>277</v>
      </c>
      <c r="AS46" s="44">
        <v>139</v>
      </c>
      <c r="AT46" s="44">
        <v>1324</v>
      </c>
      <c r="AU46" s="44">
        <v>10797</v>
      </c>
      <c r="AV46" s="44">
        <v>2162</v>
      </c>
      <c r="AW46" s="44">
        <v>7410</v>
      </c>
      <c r="AX46" s="44">
        <v>876</v>
      </c>
      <c r="AY46" s="44">
        <v>2348</v>
      </c>
      <c r="AZ46" s="44">
        <v>2787</v>
      </c>
      <c r="BA46" s="44">
        <v>1554</v>
      </c>
      <c r="BB46" s="44">
        <v>161</v>
      </c>
      <c r="BC46" s="44">
        <v>1856</v>
      </c>
      <c r="BD46" s="44">
        <v>193</v>
      </c>
      <c r="BE46" s="44">
        <v>315</v>
      </c>
      <c r="BF46" s="44">
        <v>177</v>
      </c>
      <c r="BG46" s="44">
        <v>221</v>
      </c>
      <c r="BH46" s="44">
        <v>64</v>
      </c>
      <c r="BI46" s="44">
        <v>1108</v>
      </c>
    </row>
    <row r="47" spans="1:61" x14ac:dyDescent="0.2">
      <c r="A47" s="42">
        <v>40603</v>
      </c>
      <c r="B47" s="43">
        <v>575</v>
      </c>
      <c r="C47" s="43">
        <v>345</v>
      </c>
      <c r="D47" s="43">
        <v>485</v>
      </c>
      <c r="E47" s="43">
        <v>293</v>
      </c>
      <c r="F47" s="43">
        <v>450</v>
      </c>
      <c r="G47" s="43">
        <v>392.8</v>
      </c>
      <c r="H47" s="43">
        <v>400</v>
      </c>
      <c r="I47" s="43">
        <v>270</v>
      </c>
      <c r="J47" s="43">
        <v>500</v>
      </c>
      <c r="K47" s="43">
        <v>385.3</v>
      </c>
      <c r="L47" s="43">
        <v>338</v>
      </c>
      <c r="M47" s="43">
        <v>263.89999999999998</v>
      </c>
      <c r="N47" s="43">
        <v>510</v>
      </c>
      <c r="O47" s="43">
        <v>430</v>
      </c>
      <c r="P47" s="43">
        <v>530</v>
      </c>
      <c r="Q47" s="43">
        <v>479</v>
      </c>
      <c r="R47" s="43">
        <v>299</v>
      </c>
      <c r="S47" s="43">
        <v>445</v>
      </c>
      <c r="T47" s="43">
        <v>250</v>
      </c>
      <c r="U47" s="43">
        <v>379</v>
      </c>
      <c r="V47" s="43">
        <v>340</v>
      </c>
      <c r="W47" s="43">
        <v>339</v>
      </c>
      <c r="X47" s="43">
        <v>210</v>
      </c>
      <c r="Y47" s="43">
        <v>405</v>
      </c>
      <c r="Z47" s="43">
        <v>310</v>
      </c>
      <c r="AA47" s="43">
        <v>291.5</v>
      </c>
      <c r="AB47" s="43">
        <v>235</v>
      </c>
      <c r="AC47" s="43">
        <v>415</v>
      </c>
      <c r="AD47" s="43">
        <v>335</v>
      </c>
      <c r="AE47" s="43">
        <v>415</v>
      </c>
      <c r="AF47" s="44">
        <v>9917</v>
      </c>
      <c r="AG47" s="44">
        <v>8195</v>
      </c>
      <c r="AH47" s="44">
        <v>10767</v>
      </c>
      <c r="AI47" s="44">
        <v>5715</v>
      </c>
      <c r="AJ47" s="44">
        <v>5874</v>
      </c>
      <c r="AK47" s="44">
        <v>7438</v>
      </c>
      <c r="AL47" s="44">
        <v>3719</v>
      </c>
      <c r="AM47" s="44">
        <v>1437</v>
      </c>
      <c r="AN47" s="44">
        <v>5661</v>
      </c>
      <c r="AO47" s="44">
        <v>1670</v>
      </c>
      <c r="AP47" s="44">
        <v>849</v>
      </c>
      <c r="AQ47" s="44">
        <v>1236</v>
      </c>
      <c r="AR47" s="44">
        <v>270</v>
      </c>
      <c r="AS47" s="44">
        <v>123</v>
      </c>
      <c r="AT47" s="44">
        <v>1001</v>
      </c>
      <c r="AU47" s="44">
        <v>9188</v>
      </c>
      <c r="AV47" s="44">
        <v>1847</v>
      </c>
      <c r="AW47" s="44">
        <v>5680</v>
      </c>
      <c r="AX47" s="44">
        <v>764</v>
      </c>
      <c r="AY47" s="44">
        <v>2039</v>
      </c>
      <c r="AZ47" s="44">
        <v>2556</v>
      </c>
      <c r="BA47" s="44">
        <v>1519</v>
      </c>
      <c r="BB47" s="44">
        <v>154</v>
      </c>
      <c r="BC47" s="44">
        <v>1968</v>
      </c>
      <c r="BD47" s="44">
        <v>200</v>
      </c>
      <c r="BE47" s="44">
        <v>294</v>
      </c>
      <c r="BF47" s="44">
        <v>191</v>
      </c>
      <c r="BG47" s="44">
        <v>191</v>
      </c>
      <c r="BH47" s="44">
        <v>51</v>
      </c>
      <c r="BI47" s="44">
        <v>1103</v>
      </c>
    </row>
    <row r="48" spans="1:61" x14ac:dyDescent="0.2">
      <c r="A48" s="42">
        <v>40695</v>
      </c>
      <c r="B48" s="43">
        <v>592</v>
      </c>
      <c r="C48" s="43">
        <v>342</v>
      </c>
      <c r="D48" s="43">
        <v>502.5</v>
      </c>
      <c r="E48" s="43">
        <v>295</v>
      </c>
      <c r="F48" s="43">
        <v>442</v>
      </c>
      <c r="G48" s="43">
        <v>383</v>
      </c>
      <c r="H48" s="43">
        <v>395</v>
      </c>
      <c r="I48" s="43">
        <v>275</v>
      </c>
      <c r="J48" s="43">
        <v>485</v>
      </c>
      <c r="K48" s="43">
        <v>380</v>
      </c>
      <c r="L48" s="43">
        <v>330</v>
      </c>
      <c r="M48" s="43">
        <v>250</v>
      </c>
      <c r="N48" s="43">
        <v>500</v>
      </c>
      <c r="O48" s="43">
        <v>400</v>
      </c>
      <c r="P48" s="43">
        <v>533</v>
      </c>
      <c r="Q48" s="43">
        <v>485</v>
      </c>
      <c r="R48" s="43">
        <v>297.3</v>
      </c>
      <c r="S48" s="43">
        <v>450</v>
      </c>
      <c r="T48" s="43">
        <v>248.3</v>
      </c>
      <c r="U48" s="43">
        <v>382.5</v>
      </c>
      <c r="V48" s="43">
        <v>335</v>
      </c>
      <c r="W48" s="43">
        <v>328.5</v>
      </c>
      <c r="X48" s="43">
        <v>176.5</v>
      </c>
      <c r="Y48" s="43">
        <v>405</v>
      </c>
      <c r="Z48" s="43">
        <v>335</v>
      </c>
      <c r="AA48" s="43">
        <v>294</v>
      </c>
      <c r="AB48" s="43">
        <v>232.5</v>
      </c>
      <c r="AC48" s="43">
        <v>415</v>
      </c>
      <c r="AD48" s="43">
        <v>315</v>
      </c>
      <c r="AE48" s="43">
        <v>415</v>
      </c>
      <c r="AF48" s="44">
        <v>11165</v>
      </c>
      <c r="AG48" s="44">
        <v>8791</v>
      </c>
      <c r="AH48" s="44">
        <v>12686</v>
      </c>
      <c r="AI48" s="44">
        <v>6235</v>
      </c>
      <c r="AJ48" s="44">
        <v>5954</v>
      </c>
      <c r="AK48" s="44">
        <v>7524</v>
      </c>
      <c r="AL48" s="44">
        <v>3667</v>
      </c>
      <c r="AM48" s="44">
        <v>1329</v>
      </c>
      <c r="AN48" s="44">
        <v>5145</v>
      </c>
      <c r="AO48" s="44">
        <v>1695</v>
      </c>
      <c r="AP48" s="44">
        <v>708</v>
      </c>
      <c r="AQ48" s="44">
        <v>1062</v>
      </c>
      <c r="AR48" s="44">
        <v>315</v>
      </c>
      <c r="AS48" s="44">
        <v>130</v>
      </c>
      <c r="AT48" s="44">
        <v>1187</v>
      </c>
      <c r="AU48" s="44">
        <v>10384</v>
      </c>
      <c r="AV48" s="44">
        <v>1986</v>
      </c>
      <c r="AW48" s="44">
        <v>7118</v>
      </c>
      <c r="AX48" s="44">
        <v>846</v>
      </c>
      <c r="AY48" s="44">
        <v>2064</v>
      </c>
      <c r="AZ48" s="44">
        <v>2539</v>
      </c>
      <c r="BA48" s="44">
        <v>1522</v>
      </c>
      <c r="BB48" s="44">
        <v>162</v>
      </c>
      <c r="BC48" s="44">
        <v>1861</v>
      </c>
      <c r="BD48" s="44">
        <v>217</v>
      </c>
      <c r="BE48" s="44">
        <v>278</v>
      </c>
      <c r="BF48" s="44">
        <v>187</v>
      </c>
      <c r="BG48" s="44">
        <v>241</v>
      </c>
      <c r="BH48" s="44">
        <v>49</v>
      </c>
      <c r="BI48" s="44">
        <v>1146</v>
      </c>
    </row>
    <row r="49" spans="1:61" x14ac:dyDescent="0.2">
      <c r="A49" s="42">
        <v>40787</v>
      </c>
      <c r="B49" s="43">
        <v>567</v>
      </c>
      <c r="C49" s="43">
        <v>335</v>
      </c>
      <c r="D49" s="43">
        <v>487</v>
      </c>
      <c r="E49" s="43">
        <v>286.5</v>
      </c>
      <c r="F49" s="43">
        <v>433</v>
      </c>
      <c r="G49" s="43">
        <v>380</v>
      </c>
      <c r="H49" s="43">
        <v>390</v>
      </c>
      <c r="I49" s="43">
        <v>260</v>
      </c>
      <c r="J49" s="43">
        <v>470</v>
      </c>
      <c r="K49" s="43">
        <v>375</v>
      </c>
      <c r="L49" s="43">
        <v>335</v>
      </c>
      <c r="M49" s="43">
        <v>250</v>
      </c>
      <c r="N49" s="43">
        <v>497</v>
      </c>
      <c r="O49" s="43">
        <v>397</v>
      </c>
      <c r="P49" s="43">
        <v>490</v>
      </c>
      <c r="Q49" s="43">
        <v>480</v>
      </c>
      <c r="R49" s="43">
        <v>290</v>
      </c>
      <c r="S49" s="43">
        <v>437.5</v>
      </c>
      <c r="T49" s="43">
        <v>235</v>
      </c>
      <c r="U49" s="43">
        <v>370</v>
      </c>
      <c r="V49" s="43">
        <v>325.8</v>
      </c>
      <c r="W49" s="43">
        <v>320</v>
      </c>
      <c r="X49" s="43">
        <v>190</v>
      </c>
      <c r="Y49" s="43">
        <v>395</v>
      </c>
      <c r="Z49" s="43">
        <v>315</v>
      </c>
      <c r="AA49" s="43">
        <v>272.5</v>
      </c>
      <c r="AB49" s="43">
        <v>228.5</v>
      </c>
      <c r="AC49" s="43">
        <v>398</v>
      </c>
      <c r="AD49" s="43">
        <v>360.5</v>
      </c>
      <c r="AE49" s="43">
        <v>425</v>
      </c>
      <c r="AF49" s="44">
        <v>11397</v>
      </c>
      <c r="AG49" s="44">
        <v>8934</v>
      </c>
      <c r="AH49" s="44">
        <v>11960</v>
      </c>
      <c r="AI49" s="44">
        <v>5617</v>
      </c>
      <c r="AJ49" s="44">
        <v>6615</v>
      </c>
      <c r="AK49" s="44">
        <v>8598</v>
      </c>
      <c r="AL49" s="44">
        <v>3566</v>
      </c>
      <c r="AM49" s="44">
        <v>1317</v>
      </c>
      <c r="AN49" s="44">
        <v>5454</v>
      </c>
      <c r="AO49" s="44">
        <v>1661</v>
      </c>
      <c r="AP49" s="44">
        <v>680</v>
      </c>
      <c r="AQ49" s="44">
        <v>1025</v>
      </c>
      <c r="AR49" s="44">
        <v>335</v>
      </c>
      <c r="AS49" s="44">
        <v>123</v>
      </c>
      <c r="AT49" s="44">
        <v>1201</v>
      </c>
      <c r="AU49" s="44">
        <v>10565</v>
      </c>
      <c r="AV49" s="44">
        <v>1928</v>
      </c>
      <c r="AW49" s="44">
        <v>6375</v>
      </c>
      <c r="AX49" s="44">
        <v>805</v>
      </c>
      <c r="AY49" s="44">
        <v>2397</v>
      </c>
      <c r="AZ49" s="44">
        <v>2823</v>
      </c>
      <c r="BA49" s="44">
        <v>1371</v>
      </c>
      <c r="BB49" s="44">
        <v>153</v>
      </c>
      <c r="BC49" s="44">
        <v>1767</v>
      </c>
      <c r="BD49" s="44">
        <v>193</v>
      </c>
      <c r="BE49" s="44">
        <v>217</v>
      </c>
      <c r="BF49" s="44">
        <v>189</v>
      </c>
      <c r="BG49" s="44">
        <v>208</v>
      </c>
      <c r="BH49" s="44">
        <v>36</v>
      </c>
      <c r="BI49" s="44">
        <v>871</v>
      </c>
    </row>
    <row r="50" spans="1:61" x14ac:dyDescent="0.2">
      <c r="A50" s="42">
        <v>40878</v>
      </c>
      <c r="B50" s="43">
        <v>533</v>
      </c>
      <c r="C50" s="43">
        <v>330</v>
      </c>
      <c r="D50" s="43">
        <v>495</v>
      </c>
      <c r="E50" s="43">
        <v>290.5</v>
      </c>
      <c r="F50" s="43">
        <v>430</v>
      </c>
      <c r="G50" s="43">
        <v>380</v>
      </c>
      <c r="H50" s="43">
        <v>385</v>
      </c>
      <c r="I50" s="43">
        <v>270</v>
      </c>
      <c r="J50" s="43">
        <v>480</v>
      </c>
      <c r="K50" s="43">
        <v>372.5</v>
      </c>
      <c r="L50" s="43">
        <v>337.5</v>
      </c>
      <c r="M50" s="43">
        <v>250</v>
      </c>
      <c r="N50" s="43">
        <v>515</v>
      </c>
      <c r="O50" s="43">
        <v>410</v>
      </c>
      <c r="P50" s="43">
        <v>500</v>
      </c>
      <c r="Q50" s="43">
        <v>460</v>
      </c>
      <c r="R50" s="43">
        <v>297</v>
      </c>
      <c r="S50" s="43">
        <v>432.5</v>
      </c>
      <c r="T50" s="43">
        <v>245.3</v>
      </c>
      <c r="U50" s="43">
        <v>380</v>
      </c>
      <c r="V50" s="43">
        <v>327.10000000000002</v>
      </c>
      <c r="W50" s="43">
        <v>327.3</v>
      </c>
      <c r="X50" s="43">
        <v>176</v>
      </c>
      <c r="Y50" s="43">
        <v>400</v>
      </c>
      <c r="Z50" s="43">
        <v>328.3</v>
      </c>
      <c r="AA50" s="43">
        <v>275</v>
      </c>
      <c r="AB50" s="43">
        <v>240</v>
      </c>
      <c r="AC50" s="43">
        <v>399.5</v>
      </c>
      <c r="AD50" s="43">
        <v>336.5</v>
      </c>
      <c r="AE50" s="43">
        <v>415</v>
      </c>
      <c r="AF50" s="44">
        <v>13950</v>
      </c>
      <c r="AG50" s="44">
        <v>11050</v>
      </c>
      <c r="AH50" s="44">
        <v>12819</v>
      </c>
      <c r="AI50" s="44">
        <v>6335</v>
      </c>
      <c r="AJ50" s="44">
        <v>6447</v>
      </c>
      <c r="AK50" s="44">
        <v>8498</v>
      </c>
      <c r="AL50" s="44">
        <v>3566</v>
      </c>
      <c r="AM50" s="44">
        <v>1346</v>
      </c>
      <c r="AN50" s="44">
        <v>5784</v>
      </c>
      <c r="AO50" s="44">
        <v>1801</v>
      </c>
      <c r="AP50" s="44">
        <v>769</v>
      </c>
      <c r="AQ50" s="44">
        <v>959</v>
      </c>
      <c r="AR50" s="44">
        <v>425</v>
      </c>
      <c r="AS50" s="44">
        <v>122</v>
      </c>
      <c r="AT50" s="44">
        <v>1214</v>
      </c>
      <c r="AU50" s="44">
        <v>13108</v>
      </c>
      <c r="AV50" s="44">
        <v>2240</v>
      </c>
      <c r="AW50" s="44">
        <v>6840</v>
      </c>
      <c r="AX50" s="44">
        <v>834</v>
      </c>
      <c r="AY50" s="44">
        <v>2619</v>
      </c>
      <c r="AZ50" s="44">
        <v>2964</v>
      </c>
      <c r="BA50" s="44">
        <v>1276</v>
      </c>
      <c r="BB50" s="44">
        <v>170</v>
      </c>
      <c r="BC50" s="44">
        <v>1989</v>
      </c>
      <c r="BD50" s="44">
        <v>240</v>
      </c>
      <c r="BE50" s="44">
        <v>177</v>
      </c>
      <c r="BF50" s="44">
        <v>142</v>
      </c>
      <c r="BG50" s="44">
        <v>266</v>
      </c>
      <c r="BH50" s="44">
        <v>49</v>
      </c>
      <c r="BI50" s="44">
        <v>896</v>
      </c>
    </row>
    <row r="51" spans="1:61" x14ac:dyDescent="0.2">
      <c r="A51" s="42">
        <v>40969</v>
      </c>
      <c r="B51" s="43">
        <v>607.5</v>
      </c>
      <c r="C51" s="43">
        <v>345</v>
      </c>
      <c r="D51" s="43">
        <v>478</v>
      </c>
      <c r="E51" s="43">
        <v>297.5</v>
      </c>
      <c r="F51" s="43">
        <v>430</v>
      </c>
      <c r="G51" s="43">
        <v>380</v>
      </c>
      <c r="H51" s="43">
        <v>382</v>
      </c>
      <c r="I51" s="43">
        <v>270</v>
      </c>
      <c r="J51" s="43">
        <v>489.5</v>
      </c>
      <c r="K51" s="43">
        <v>385</v>
      </c>
      <c r="L51" s="43">
        <v>343</v>
      </c>
      <c r="M51" s="43">
        <v>250</v>
      </c>
      <c r="N51" s="43">
        <v>525</v>
      </c>
      <c r="O51" s="43">
        <v>395</v>
      </c>
      <c r="P51" s="43">
        <v>512.5</v>
      </c>
      <c r="Q51" s="43">
        <v>500</v>
      </c>
      <c r="R51" s="43">
        <v>298.5</v>
      </c>
      <c r="S51" s="43">
        <v>430</v>
      </c>
      <c r="T51" s="43">
        <v>245</v>
      </c>
      <c r="U51" s="43">
        <v>376</v>
      </c>
      <c r="V51" s="43">
        <v>330</v>
      </c>
      <c r="W51" s="43">
        <v>317</v>
      </c>
      <c r="X51" s="43">
        <v>180</v>
      </c>
      <c r="Y51" s="43">
        <v>406</v>
      </c>
      <c r="Z51" s="43">
        <v>325</v>
      </c>
      <c r="AA51" s="43">
        <v>268.8</v>
      </c>
      <c r="AB51" s="43">
        <v>228</v>
      </c>
      <c r="AC51" s="43">
        <v>420</v>
      </c>
      <c r="AD51" s="43">
        <v>310</v>
      </c>
      <c r="AE51" s="43">
        <v>415</v>
      </c>
      <c r="AF51" s="44">
        <v>9593</v>
      </c>
      <c r="AG51" s="44">
        <v>7811</v>
      </c>
      <c r="AH51" s="44">
        <v>11757</v>
      </c>
      <c r="AI51" s="44">
        <v>5919</v>
      </c>
      <c r="AJ51" s="44">
        <v>6811</v>
      </c>
      <c r="AK51" s="44">
        <v>9341</v>
      </c>
      <c r="AL51" s="44">
        <v>3681</v>
      </c>
      <c r="AM51" s="44">
        <v>1415</v>
      </c>
      <c r="AN51" s="44">
        <v>5995</v>
      </c>
      <c r="AO51" s="44">
        <v>1973</v>
      </c>
      <c r="AP51" s="44">
        <v>751</v>
      </c>
      <c r="AQ51" s="44">
        <v>1087</v>
      </c>
      <c r="AR51" s="44">
        <v>458</v>
      </c>
      <c r="AS51" s="44">
        <v>134</v>
      </c>
      <c r="AT51" s="44">
        <v>1099</v>
      </c>
      <c r="AU51" s="44">
        <v>7821</v>
      </c>
      <c r="AV51" s="44">
        <v>1878</v>
      </c>
      <c r="AW51" s="44">
        <v>5399</v>
      </c>
      <c r="AX51" s="44">
        <v>758</v>
      </c>
      <c r="AY51" s="44">
        <v>2858</v>
      </c>
      <c r="AZ51" s="44">
        <v>3103</v>
      </c>
      <c r="BA51" s="44">
        <v>1279</v>
      </c>
      <c r="BB51" s="44">
        <v>180</v>
      </c>
      <c r="BC51" s="44">
        <v>2143</v>
      </c>
      <c r="BD51" s="44">
        <v>203</v>
      </c>
      <c r="BE51" s="44">
        <v>242</v>
      </c>
      <c r="BF51" s="44">
        <v>155</v>
      </c>
      <c r="BG51" s="44">
        <v>323</v>
      </c>
      <c r="BH51" s="44">
        <v>52</v>
      </c>
      <c r="BI51" s="44">
        <v>816</v>
      </c>
    </row>
    <row r="52" spans="1:61" x14ac:dyDescent="0.2">
      <c r="A52" s="42">
        <v>41061</v>
      </c>
      <c r="B52" s="43">
        <v>600</v>
      </c>
      <c r="C52" s="43">
        <v>346</v>
      </c>
      <c r="D52" s="43">
        <v>485</v>
      </c>
      <c r="E52" s="43">
        <v>285</v>
      </c>
      <c r="F52" s="43">
        <v>435</v>
      </c>
      <c r="G52" s="43">
        <v>375</v>
      </c>
      <c r="H52" s="43">
        <v>385</v>
      </c>
      <c r="I52" s="43">
        <v>270</v>
      </c>
      <c r="J52" s="43">
        <v>499</v>
      </c>
      <c r="K52" s="43">
        <v>375</v>
      </c>
      <c r="L52" s="43">
        <v>327.5</v>
      </c>
      <c r="M52" s="43">
        <v>247</v>
      </c>
      <c r="N52" s="43">
        <v>543.5</v>
      </c>
      <c r="O52" s="43">
        <v>392.5</v>
      </c>
      <c r="P52" s="43">
        <v>482.5</v>
      </c>
      <c r="Q52" s="43">
        <v>510</v>
      </c>
      <c r="R52" s="43">
        <v>306.5</v>
      </c>
      <c r="S52" s="43">
        <v>430</v>
      </c>
      <c r="T52" s="43">
        <v>245</v>
      </c>
      <c r="U52" s="43">
        <v>381</v>
      </c>
      <c r="V52" s="43">
        <v>330</v>
      </c>
      <c r="W52" s="43">
        <v>315</v>
      </c>
      <c r="X52" s="43">
        <v>179</v>
      </c>
      <c r="Y52" s="43">
        <v>400</v>
      </c>
      <c r="Z52" s="43">
        <v>326.8</v>
      </c>
      <c r="AA52" s="43">
        <v>275</v>
      </c>
      <c r="AB52" s="43">
        <v>222.5</v>
      </c>
      <c r="AC52" s="43">
        <v>435</v>
      </c>
      <c r="AD52" s="43">
        <v>364.5</v>
      </c>
      <c r="AE52" s="43">
        <v>416.8</v>
      </c>
      <c r="AF52" s="44">
        <v>10923</v>
      </c>
      <c r="AG52" s="44">
        <v>8663</v>
      </c>
      <c r="AH52" s="44">
        <v>12839</v>
      </c>
      <c r="AI52" s="44">
        <v>6050</v>
      </c>
      <c r="AJ52" s="44">
        <v>6179</v>
      </c>
      <c r="AK52" s="44">
        <v>7755</v>
      </c>
      <c r="AL52" s="44">
        <v>3671</v>
      </c>
      <c r="AM52" s="44">
        <v>1283</v>
      </c>
      <c r="AN52" s="44">
        <v>5528</v>
      </c>
      <c r="AO52" s="44">
        <v>1652</v>
      </c>
      <c r="AP52" s="44">
        <v>682</v>
      </c>
      <c r="AQ52" s="44">
        <v>1010</v>
      </c>
      <c r="AR52" s="44">
        <v>388</v>
      </c>
      <c r="AS52" s="44">
        <v>112</v>
      </c>
      <c r="AT52" s="44">
        <v>1235</v>
      </c>
      <c r="AU52" s="44">
        <v>10331</v>
      </c>
      <c r="AV52" s="44">
        <v>1968</v>
      </c>
      <c r="AW52" s="44">
        <v>6314</v>
      </c>
      <c r="AX52" s="44">
        <v>768</v>
      </c>
      <c r="AY52" s="44">
        <v>2684</v>
      </c>
      <c r="AZ52" s="44">
        <v>2885</v>
      </c>
      <c r="BA52" s="44">
        <v>1254</v>
      </c>
      <c r="BB52" s="44">
        <v>165</v>
      </c>
      <c r="BC52" s="44">
        <v>1968</v>
      </c>
      <c r="BD52" s="44">
        <v>172</v>
      </c>
      <c r="BE52" s="44">
        <v>211</v>
      </c>
      <c r="BF52" s="44">
        <v>134</v>
      </c>
      <c r="BG52" s="44">
        <v>327</v>
      </c>
      <c r="BH52" s="44">
        <v>52</v>
      </c>
      <c r="BI52" s="44">
        <v>854</v>
      </c>
    </row>
    <row r="53" spans="1:61" x14ac:dyDescent="0.2">
      <c r="A53" s="42">
        <v>41153</v>
      </c>
      <c r="B53" s="43">
        <v>585</v>
      </c>
      <c r="C53" s="43">
        <v>335</v>
      </c>
      <c r="D53" s="43">
        <v>480</v>
      </c>
      <c r="E53" s="43">
        <v>290</v>
      </c>
      <c r="F53" s="43">
        <v>435</v>
      </c>
      <c r="G53" s="43">
        <v>380</v>
      </c>
      <c r="H53" s="43">
        <v>386</v>
      </c>
      <c r="I53" s="43">
        <v>265</v>
      </c>
      <c r="J53" s="43">
        <v>495</v>
      </c>
      <c r="K53" s="43">
        <v>380</v>
      </c>
      <c r="L53" s="43">
        <v>315</v>
      </c>
      <c r="M53" s="43">
        <v>249</v>
      </c>
      <c r="N53" s="43">
        <v>540</v>
      </c>
      <c r="O53" s="43">
        <v>385.5</v>
      </c>
      <c r="P53" s="43">
        <v>490</v>
      </c>
      <c r="Q53" s="43">
        <v>487</v>
      </c>
      <c r="R53" s="43">
        <v>290</v>
      </c>
      <c r="S53" s="43">
        <v>425</v>
      </c>
      <c r="T53" s="43">
        <v>235</v>
      </c>
      <c r="U53" s="43">
        <v>387.5</v>
      </c>
      <c r="V53" s="43">
        <v>315</v>
      </c>
      <c r="W53" s="43">
        <v>325</v>
      </c>
      <c r="X53" s="43">
        <v>156</v>
      </c>
      <c r="Y53" s="43">
        <v>400</v>
      </c>
      <c r="Z53" s="43">
        <v>322.5</v>
      </c>
      <c r="AA53" s="43">
        <v>275</v>
      </c>
      <c r="AB53" s="43">
        <v>225</v>
      </c>
      <c r="AC53" s="43">
        <v>410</v>
      </c>
      <c r="AD53" s="43">
        <v>315</v>
      </c>
      <c r="AE53" s="43">
        <v>411</v>
      </c>
      <c r="AF53" s="44">
        <v>11449</v>
      </c>
      <c r="AG53" s="44">
        <v>9665</v>
      </c>
      <c r="AH53" s="44">
        <v>12194</v>
      </c>
      <c r="AI53" s="44">
        <v>5676</v>
      </c>
      <c r="AJ53" s="44">
        <v>7809</v>
      </c>
      <c r="AK53" s="44">
        <v>9941</v>
      </c>
      <c r="AL53" s="44">
        <v>3641</v>
      </c>
      <c r="AM53" s="44">
        <v>1249</v>
      </c>
      <c r="AN53" s="44">
        <v>6091</v>
      </c>
      <c r="AO53" s="44">
        <v>1816</v>
      </c>
      <c r="AP53" s="44">
        <v>674</v>
      </c>
      <c r="AQ53" s="44">
        <v>1055</v>
      </c>
      <c r="AR53" s="44">
        <v>432</v>
      </c>
      <c r="AS53" s="44">
        <v>142</v>
      </c>
      <c r="AT53" s="44">
        <v>1125</v>
      </c>
      <c r="AU53" s="44">
        <v>9633</v>
      </c>
      <c r="AV53" s="44">
        <v>2102</v>
      </c>
      <c r="AW53" s="44">
        <v>6167</v>
      </c>
      <c r="AX53" s="44">
        <v>702</v>
      </c>
      <c r="AY53" s="44">
        <v>3008</v>
      </c>
      <c r="AZ53" s="44">
        <v>3320</v>
      </c>
      <c r="BA53" s="44">
        <v>1306</v>
      </c>
      <c r="BB53" s="44">
        <v>150</v>
      </c>
      <c r="BC53" s="44">
        <v>2201</v>
      </c>
      <c r="BD53" s="44">
        <v>218</v>
      </c>
      <c r="BE53" s="44">
        <v>260</v>
      </c>
      <c r="BF53" s="44">
        <v>187</v>
      </c>
      <c r="BG53" s="44">
        <v>422</v>
      </c>
      <c r="BH53" s="44">
        <v>55</v>
      </c>
      <c r="BI53" s="44">
        <v>885</v>
      </c>
    </row>
    <row r="54" spans="1:61" x14ac:dyDescent="0.2">
      <c r="A54" s="42">
        <v>41244</v>
      </c>
      <c r="B54" s="43">
        <v>640</v>
      </c>
      <c r="C54" s="43">
        <v>360</v>
      </c>
      <c r="D54" s="43">
        <v>508</v>
      </c>
      <c r="E54" s="43">
        <v>291.5</v>
      </c>
      <c r="F54" s="43">
        <v>440</v>
      </c>
      <c r="G54" s="43">
        <v>380</v>
      </c>
      <c r="H54" s="43">
        <v>395</v>
      </c>
      <c r="I54" s="43">
        <v>250</v>
      </c>
      <c r="J54" s="43">
        <v>510</v>
      </c>
      <c r="K54" s="43">
        <v>370</v>
      </c>
      <c r="L54" s="43">
        <v>331.3</v>
      </c>
      <c r="M54" s="43">
        <v>252.3</v>
      </c>
      <c r="N54" s="43">
        <v>561</v>
      </c>
      <c r="O54" s="43">
        <v>428</v>
      </c>
      <c r="P54" s="43">
        <v>519</v>
      </c>
      <c r="Q54" s="43">
        <v>525</v>
      </c>
      <c r="R54" s="43">
        <v>308.5</v>
      </c>
      <c r="S54" s="43">
        <v>440</v>
      </c>
      <c r="T54" s="43">
        <v>240</v>
      </c>
      <c r="U54" s="43">
        <v>385</v>
      </c>
      <c r="V54" s="43">
        <v>322.3</v>
      </c>
      <c r="W54" s="43">
        <v>325</v>
      </c>
      <c r="X54" s="43">
        <v>170</v>
      </c>
      <c r="Y54" s="43">
        <v>410</v>
      </c>
      <c r="Z54" s="43">
        <v>310</v>
      </c>
      <c r="AA54" s="43">
        <v>294</v>
      </c>
      <c r="AB54" s="43">
        <v>220</v>
      </c>
      <c r="AC54" s="43">
        <v>410.5</v>
      </c>
      <c r="AD54" s="43">
        <v>300</v>
      </c>
      <c r="AE54" s="43">
        <v>415.5</v>
      </c>
      <c r="AF54" s="44">
        <v>12333</v>
      </c>
      <c r="AG54" s="44">
        <v>8885</v>
      </c>
      <c r="AH54" s="44">
        <v>14223</v>
      </c>
      <c r="AI54" s="44">
        <v>6231</v>
      </c>
      <c r="AJ54" s="44">
        <v>7515</v>
      </c>
      <c r="AK54" s="44">
        <v>8806</v>
      </c>
      <c r="AL54" s="44">
        <v>3874</v>
      </c>
      <c r="AM54" s="44">
        <v>1345</v>
      </c>
      <c r="AN54" s="44">
        <v>6471</v>
      </c>
      <c r="AO54" s="44">
        <v>1515</v>
      </c>
      <c r="AP54" s="44">
        <v>790</v>
      </c>
      <c r="AQ54" s="44">
        <v>1086</v>
      </c>
      <c r="AR54" s="44">
        <v>424</v>
      </c>
      <c r="AS54" s="44">
        <v>167</v>
      </c>
      <c r="AT54" s="44">
        <v>1243</v>
      </c>
      <c r="AU54" s="44">
        <v>10716</v>
      </c>
      <c r="AV54" s="44">
        <v>2064</v>
      </c>
      <c r="AW54" s="44">
        <v>6785</v>
      </c>
      <c r="AX54" s="44">
        <v>787</v>
      </c>
      <c r="AY54" s="44">
        <v>2897</v>
      </c>
      <c r="AZ54" s="44">
        <v>3244</v>
      </c>
      <c r="BA54" s="44">
        <v>1400</v>
      </c>
      <c r="BB54" s="44">
        <v>147</v>
      </c>
      <c r="BC54" s="44">
        <v>2173</v>
      </c>
      <c r="BD54" s="44">
        <v>225</v>
      </c>
      <c r="BE54" s="44">
        <v>206</v>
      </c>
      <c r="BF54" s="44">
        <v>179</v>
      </c>
      <c r="BG54" s="44">
        <v>352</v>
      </c>
      <c r="BH54" s="44">
        <v>54</v>
      </c>
      <c r="BI54" s="44">
        <v>871</v>
      </c>
    </row>
    <row r="55" spans="1:61" x14ac:dyDescent="0.2">
      <c r="A55" s="42">
        <v>41334</v>
      </c>
      <c r="B55" s="43">
        <v>615</v>
      </c>
      <c r="C55" s="43">
        <v>357.5</v>
      </c>
      <c r="D55" s="43">
        <v>486</v>
      </c>
      <c r="E55" s="43">
        <v>298</v>
      </c>
      <c r="F55" s="43">
        <v>440</v>
      </c>
      <c r="G55" s="43">
        <v>390</v>
      </c>
      <c r="H55" s="43">
        <v>395</v>
      </c>
      <c r="I55" s="43">
        <v>247.5</v>
      </c>
      <c r="J55" s="43">
        <v>520</v>
      </c>
      <c r="K55" s="43">
        <v>380.5</v>
      </c>
      <c r="L55" s="43">
        <v>340</v>
      </c>
      <c r="M55" s="43">
        <v>250</v>
      </c>
      <c r="N55" s="43">
        <v>530</v>
      </c>
      <c r="O55" s="43">
        <v>415</v>
      </c>
      <c r="P55" s="43">
        <v>505</v>
      </c>
      <c r="Q55" s="43">
        <v>520</v>
      </c>
      <c r="R55" s="43">
        <v>300</v>
      </c>
      <c r="S55" s="43">
        <v>435</v>
      </c>
      <c r="T55" s="43">
        <v>235</v>
      </c>
      <c r="U55" s="43">
        <v>392</v>
      </c>
      <c r="V55" s="43">
        <v>327.8</v>
      </c>
      <c r="W55" s="43">
        <v>325</v>
      </c>
      <c r="X55" s="43">
        <v>185</v>
      </c>
      <c r="Y55" s="43">
        <v>430</v>
      </c>
      <c r="Z55" s="43">
        <v>315</v>
      </c>
      <c r="AA55" s="43">
        <v>276.8</v>
      </c>
      <c r="AB55" s="43">
        <v>227</v>
      </c>
      <c r="AC55" s="43">
        <v>445</v>
      </c>
      <c r="AD55" s="43">
        <v>331.3</v>
      </c>
      <c r="AE55" s="43">
        <v>410</v>
      </c>
      <c r="AF55" s="44">
        <v>10971</v>
      </c>
      <c r="AG55" s="44">
        <v>8665</v>
      </c>
      <c r="AH55" s="44">
        <v>12584</v>
      </c>
      <c r="AI55" s="44">
        <v>6050</v>
      </c>
      <c r="AJ55" s="44">
        <v>7588</v>
      </c>
      <c r="AK55" s="44">
        <v>8835</v>
      </c>
      <c r="AL55" s="44">
        <v>3851</v>
      </c>
      <c r="AM55" s="44">
        <v>1281</v>
      </c>
      <c r="AN55" s="44">
        <v>7931</v>
      </c>
      <c r="AO55" s="44">
        <v>1692</v>
      </c>
      <c r="AP55" s="44">
        <v>814</v>
      </c>
      <c r="AQ55" s="44">
        <v>1112</v>
      </c>
      <c r="AR55" s="44">
        <v>449</v>
      </c>
      <c r="AS55" s="44">
        <v>125</v>
      </c>
      <c r="AT55" s="44">
        <v>1123</v>
      </c>
      <c r="AU55" s="44">
        <v>10022</v>
      </c>
      <c r="AV55" s="44">
        <v>2088</v>
      </c>
      <c r="AW55" s="44">
        <v>5978</v>
      </c>
      <c r="AX55" s="44">
        <v>761</v>
      </c>
      <c r="AY55" s="44">
        <v>2888</v>
      </c>
      <c r="AZ55" s="44">
        <v>3408</v>
      </c>
      <c r="BA55" s="44">
        <v>1514</v>
      </c>
      <c r="BB55" s="44">
        <v>164</v>
      </c>
      <c r="BC55" s="44">
        <v>2537</v>
      </c>
      <c r="BD55" s="44">
        <v>279</v>
      </c>
      <c r="BE55" s="44">
        <v>272</v>
      </c>
      <c r="BF55" s="44">
        <v>191</v>
      </c>
      <c r="BG55" s="44">
        <v>346</v>
      </c>
      <c r="BH55" s="44">
        <v>56</v>
      </c>
      <c r="BI55" s="44">
        <v>760</v>
      </c>
    </row>
    <row r="56" spans="1:61" x14ac:dyDescent="0.2">
      <c r="A56" s="42">
        <v>41426</v>
      </c>
      <c r="B56" s="43">
        <v>650</v>
      </c>
      <c r="C56" s="43">
        <v>355</v>
      </c>
      <c r="D56" s="43">
        <v>500</v>
      </c>
      <c r="E56" s="43">
        <v>282.5</v>
      </c>
      <c r="F56" s="43">
        <v>445</v>
      </c>
      <c r="G56" s="43">
        <v>385.5</v>
      </c>
      <c r="H56" s="43">
        <v>395</v>
      </c>
      <c r="I56" s="43">
        <v>255</v>
      </c>
      <c r="J56" s="43">
        <v>529</v>
      </c>
      <c r="K56" s="43">
        <v>380</v>
      </c>
      <c r="L56" s="43">
        <v>330</v>
      </c>
      <c r="M56" s="43">
        <v>255</v>
      </c>
      <c r="N56" s="43">
        <v>540</v>
      </c>
      <c r="O56" s="43">
        <v>388</v>
      </c>
      <c r="P56" s="43">
        <v>510</v>
      </c>
      <c r="Q56" s="43">
        <v>530</v>
      </c>
      <c r="R56" s="43">
        <v>305</v>
      </c>
      <c r="S56" s="43">
        <v>442</v>
      </c>
      <c r="T56" s="43">
        <v>245</v>
      </c>
      <c r="U56" s="43">
        <v>395</v>
      </c>
      <c r="V56" s="43">
        <v>325</v>
      </c>
      <c r="W56" s="43">
        <v>330</v>
      </c>
      <c r="X56" s="43">
        <v>160.80000000000001</v>
      </c>
      <c r="Y56" s="43">
        <v>426</v>
      </c>
      <c r="Z56" s="43">
        <v>310</v>
      </c>
      <c r="AA56" s="43">
        <v>285</v>
      </c>
      <c r="AB56" s="43">
        <v>219</v>
      </c>
      <c r="AC56" s="43">
        <v>450</v>
      </c>
      <c r="AD56" s="43">
        <v>320</v>
      </c>
      <c r="AE56" s="43">
        <v>412.5</v>
      </c>
      <c r="AF56" s="44">
        <v>13403</v>
      </c>
      <c r="AG56" s="44">
        <v>9680</v>
      </c>
      <c r="AH56" s="44">
        <v>15568</v>
      </c>
      <c r="AI56" s="44">
        <v>6827</v>
      </c>
      <c r="AJ56" s="44">
        <v>8342</v>
      </c>
      <c r="AK56" s="44">
        <v>9303</v>
      </c>
      <c r="AL56" s="44">
        <v>4314</v>
      </c>
      <c r="AM56" s="44">
        <v>1329</v>
      </c>
      <c r="AN56" s="44">
        <v>7971</v>
      </c>
      <c r="AO56" s="44">
        <v>1656</v>
      </c>
      <c r="AP56" s="44">
        <v>817</v>
      </c>
      <c r="AQ56" s="44">
        <v>1145</v>
      </c>
      <c r="AR56" s="44">
        <v>436</v>
      </c>
      <c r="AS56" s="44">
        <v>146</v>
      </c>
      <c r="AT56" s="44">
        <v>1337</v>
      </c>
      <c r="AU56" s="44">
        <v>11976</v>
      </c>
      <c r="AV56" s="44">
        <v>2415</v>
      </c>
      <c r="AW56" s="44">
        <v>7411</v>
      </c>
      <c r="AX56" s="44">
        <v>763</v>
      </c>
      <c r="AY56" s="44">
        <v>3296</v>
      </c>
      <c r="AZ56" s="44">
        <v>3481</v>
      </c>
      <c r="BA56" s="44">
        <v>1533</v>
      </c>
      <c r="BB56" s="44">
        <v>138</v>
      </c>
      <c r="BC56" s="44">
        <v>2540</v>
      </c>
      <c r="BD56" s="44">
        <v>258</v>
      </c>
      <c r="BE56" s="44">
        <v>285</v>
      </c>
      <c r="BF56" s="44">
        <v>191</v>
      </c>
      <c r="BG56" s="44">
        <v>329</v>
      </c>
      <c r="BH56" s="44">
        <v>62</v>
      </c>
      <c r="BI56" s="44">
        <v>876</v>
      </c>
    </row>
    <row r="57" spans="1:61" x14ac:dyDescent="0.2">
      <c r="A57" s="42">
        <v>41518</v>
      </c>
      <c r="B57" s="43">
        <v>670</v>
      </c>
      <c r="C57" s="43">
        <v>350</v>
      </c>
      <c r="D57" s="43">
        <v>520</v>
      </c>
      <c r="E57" s="43">
        <v>298</v>
      </c>
      <c r="F57" s="43">
        <v>449</v>
      </c>
      <c r="G57" s="43">
        <v>386.3</v>
      </c>
      <c r="H57" s="43">
        <v>395</v>
      </c>
      <c r="I57" s="43">
        <v>253</v>
      </c>
      <c r="J57" s="43">
        <v>520</v>
      </c>
      <c r="K57" s="43">
        <v>375</v>
      </c>
      <c r="L57" s="43">
        <v>325</v>
      </c>
      <c r="M57" s="43">
        <v>249.5</v>
      </c>
      <c r="N57" s="43">
        <v>570</v>
      </c>
      <c r="O57" s="43">
        <v>389.9</v>
      </c>
      <c r="P57" s="43">
        <v>505</v>
      </c>
      <c r="Q57" s="43">
        <v>550</v>
      </c>
      <c r="R57" s="43">
        <v>315</v>
      </c>
      <c r="S57" s="43">
        <v>445</v>
      </c>
      <c r="T57" s="43">
        <v>234.9</v>
      </c>
      <c r="U57" s="43">
        <v>395</v>
      </c>
      <c r="V57" s="43">
        <v>327</v>
      </c>
      <c r="W57" s="43">
        <v>324</v>
      </c>
      <c r="X57" s="43">
        <v>180</v>
      </c>
      <c r="Y57" s="43">
        <v>430</v>
      </c>
      <c r="Z57" s="43">
        <v>314.5</v>
      </c>
      <c r="AA57" s="43">
        <v>266</v>
      </c>
      <c r="AB57" s="43">
        <v>216.5</v>
      </c>
      <c r="AC57" s="43">
        <v>459.8</v>
      </c>
      <c r="AD57" s="43">
        <v>305</v>
      </c>
      <c r="AE57" s="43">
        <v>415</v>
      </c>
      <c r="AF57" s="44">
        <v>13981</v>
      </c>
      <c r="AG57" s="44">
        <v>10071</v>
      </c>
      <c r="AH57" s="44">
        <v>14532</v>
      </c>
      <c r="AI57" s="44">
        <v>5958</v>
      </c>
      <c r="AJ57" s="44">
        <v>9131</v>
      </c>
      <c r="AK57" s="44">
        <v>9830</v>
      </c>
      <c r="AL57" s="44">
        <v>4194</v>
      </c>
      <c r="AM57" s="44">
        <v>1359</v>
      </c>
      <c r="AN57" s="44">
        <v>7945</v>
      </c>
      <c r="AO57" s="44">
        <v>1659</v>
      </c>
      <c r="AP57" s="44">
        <v>857</v>
      </c>
      <c r="AQ57" s="44">
        <v>1230</v>
      </c>
      <c r="AR57" s="44">
        <v>450</v>
      </c>
      <c r="AS57" s="44">
        <v>157</v>
      </c>
      <c r="AT57" s="44">
        <v>1290</v>
      </c>
      <c r="AU57" s="44">
        <v>13263</v>
      </c>
      <c r="AV57" s="44">
        <v>2496</v>
      </c>
      <c r="AW57" s="44">
        <v>6987</v>
      </c>
      <c r="AX57" s="44">
        <v>743</v>
      </c>
      <c r="AY57" s="44">
        <v>3583</v>
      </c>
      <c r="AZ57" s="44">
        <v>3816</v>
      </c>
      <c r="BA57" s="44">
        <v>1507</v>
      </c>
      <c r="BB57" s="44">
        <v>160</v>
      </c>
      <c r="BC57" s="44">
        <v>2579</v>
      </c>
      <c r="BD57" s="44">
        <v>256</v>
      </c>
      <c r="BE57" s="44">
        <v>270</v>
      </c>
      <c r="BF57" s="44">
        <v>214</v>
      </c>
      <c r="BG57" s="44">
        <v>358</v>
      </c>
      <c r="BH57" s="44">
        <v>47</v>
      </c>
      <c r="BI57" s="44">
        <v>895</v>
      </c>
    </row>
    <row r="58" spans="1:61" x14ac:dyDescent="0.2">
      <c r="A58" s="42">
        <v>41609</v>
      </c>
      <c r="B58" s="43">
        <v>745</v>
      </c>
      <c r="C58" s="43">
        <v>370</v>
      </c>
      <c r="D58" s="43">
        <v>561</v>
      </c>
      <c r="E58" s="43">
        <v>308</v>
      </c>
      <c r="F58" s="43">
        <v>465</v>
      </c>
      <c r="G58" s="43">
        <v>395</v>
      </c>
      <c r="H58" s="43">
        <v>412</v>
      </c>
      <c r="I58" s="43">
        <v>268.3</v>
      </c>
      <c r="J58" s="43">
        <v>552</v>
      </c>
      <c r="K58" s="43">
        <v>385</v>
      </c>
      <c r="L58" s="43">
        <v>350</v>
      </c>
      <c r="M58" s="43">
        <v>250</v>
      </c>
      <c r="N58" s="43">
        <v>579</v>
      </c>
      <c r="O58" s="43">
        <v>424</v>
      </c>
      <c r="P58" s="43">
        <v>503.3</v>
      </c>
      <c r="Q58" s="43">
        <v>565</v>
      </c>
      <c r="R58" s="43">
        <v>320</v>
      </c>
      <c r="S58" s="43">
        <v>467</v>
      </c>
      <c r="T58" s="43">
        <v>245</v>
      </c>
      <c r="U58" s="43">
        <v>400</v>
      </c>
      <c r="V58" s="43">
        <v>331</v>
      </c>
      <c r="W58" s="43">
        <v>330</v>
      </c>
      <c r="X58" s="43">
        <v>196</v>
      </c>
      <c r="Y58" s="43">
        <v>450</v>
      </c>
      <c r="Z58" s="43">
        <v>320</v>
      </c>
      <c r="AA58" s="43">
        <v>295</v>
      </c>
      <c r="AB58" s="43">
        <v>220</v>
      </c>
      <c r="AC58" s="43">
        <v>481</v>
      </c>
      <c r="AD58" s="43">
        <v>370</v>
      </c>
      <c r="AE58" s="43">
        <v>420.5</v>
      </c>
      <c r="AF58" s="44">
        <v>15556</v>
      </c>
      <c r="AG58" s="44">
        <v>10805</v>
      </c>
      <c r="AH58" s="44">
        <v>17118</v>
      </c>
      <c r="AI58" s="44">
        <v>6849</v>
      </c>
      <c r="AJ58" s="44">
        <v>9466</v>
      </c>
      <c r="AK58" s="44">
        <v>10332</v>
      </c>
      <c r="AL58" s="44">
        <v>4476</v>
      </c>
      <c r="AM58" s="44">
        <v>1448</v>
      </c>
      <c r="AN58" s="44">
        <v>8020</v>
      </c>
      <c r="AO58" s="44">
        <v>1728</v>
      </c>
      <c r="AP58" s="44">
        <v>829</v>
      </c>
      <c r="AQ58" s="44">
        <v>1168</v>
      </c>
      <c r="AR58" s="44">
        <v>441</v>
      </c>
      <c r="AS58" s="44">
        <v>135</v>
      </c>
      <c r="AT58" s="44">
        <v>1353</v>
      </c>
      <c r="AU58" s="44">
        <v>12353</v>
      </c>
      <c r="AV58" s="44">
        <v>2774</v>
      </c>
      <c r="AW58" s="44">
        <v>7967</v>
      </c>
      <c r="AX58" s="44">
        <v>845</v>
      </c>
      <c r="AY58" s="44">
        <v>3647</v>
      </c>
      <c r="AZ58" s="44">
        <v>4027</v>
      </c>
      <c r="BA58" s="44">
        <v>1581</v>
      </c>
      <c r="BB58" s="44">
        <v>167</v>
      </c>
      <c r="BC58" s="44">
        <v>2592</v>
      </c>
      <c r="BD58" s="44">
        <v>242</v>
      </c>
      <c r="BE58" s="44">
        <v>295</v>
      </c>
      <c r="BF58" s="44">
        <v>167</v>
      </c>
      <c r="BG58" s="44">
        <v>351</v>
      </c>
      <c r="BH58" s="44">
        <v>63</v>
      </c>
      <c r="BI58" s="44">
        <v>808</v>
      </c>
    </row>
    <row r="59" spans="1:61" x14ac:dyDescent="0.2">
      <c r="A59" s="42">
        <v>41699</v>
      </c>
      <c r="B59" s="43">
        <v>680</v>
      </c>
      <c r="C59" s="43">
        <v>362</v>
      </c>
      <c r="D59" s="43">
        <v>504</v>
      </c>
      <c r="E59" s="43">
        <v>290</v>
      </c>
      <c r="F59" s="43">
        <v>448</v>
      </c>
      <c r="G59" s="43">
        <v>390</v>
      </c>
      <c r="H59" s="43">
        <v>407</v>
      </c>
      <c r="I59" s="43">
        <v>265</v>
      </c>
      <c r="J59" s="43">
        <v>530.5</v>
      </c>
      <c r="K59" s="43">
        <v>379</v>
      </c>
      <c r="L59" s="43">
        <v>360</v>
      </c>
      <c r="M59" s="43">
        <v>247</v>
      </c>
      <c r="N59" s="43">
        <v>595</v>
      </c>
      <c r="O59" s="43">
        <v>412.5</v>
      </c>
      <c r="P59" s="43">
        <v>553.70000000000005</v>
      </c>
      <c r="Q59" s="43">
        <v>591.5</v>
      </c>
      <c r="R59" s="43">
        <v>330</v>
      </c>
      <c r="S59" s="43">
        <v>475.5</v>
      </c>
      <c r="T59" s="43">
        <v>250</v>
      </c>
      <c r="U59" s="43">
        <v>405</v>
      </c>
      <c r="V59" s="43">
        <v>338</v>
      </c>
      <c r="W59" s="43">
        <v>326</v>
      </c>
      <c r="X59" s="43">
        <v>178.5</v>
      </c>
      <c r="Y59" s="43">
        <v>445</v>
      </c>
      <c r="Z59" s="43">
        <v>325</v>
      </c>
      <c r="AA59" s="43">
        <v>275</v>
      </c>
      <c r="AB59" s="43">
        <v>230</v>
      </c>
      <c r="AC59" s="43">
        <v>496.1</v>
      </c>
      <c r="AD59" s="43">
        <v>337</v>
      </c>
      <c r="AE59" s="43">
        <v>410</v>
      </c>
      <c r="AF59" s="44">
        <v>13416</v>
      </c>
      <c r="AG59" s="44">
        <v>10484</v>
      </c>
      <c r="AH59" s="44">
        <v>12426</v>
      </c>
      <c r="AI59" s="44">
        <v>5090</v>
      </c>
      <c r="AJ59" s="44">
        <v>9595</v>
      </c>
      <c r="AK59" s="44">
        <v>9890</v>
      </c>
      <c r="AL59" s="44">
        <v>4253</v>
      </c>
      <c r="AM59" s="44">
        <v>1552</v>
      </c>
      <c r="AN59" s="44">
        <v>8222</v>
      </c>
      <c r="AO59" s="44">
        <v>1679</v>
      </c>
      <c r="AP59" s="44">
        <v>935</v>
      </c>
      <c r="AQ59" s="44">
        <v>1307</v>
      </c>
      <c r="AR59" s="44">
        <v>372</v>
      </c>
      <c r="AS59" s="44">
        <v>119</v>
      </c>
      <c r="AT59" s="44">
        <v>982</v>
      </c>
      <c r="AU59" s="44">
        <v>12721</v>
      </c>
      <c r="AV59" s="44">
        <v>2564</v>
      </c>
      <c r="AW59" s="44">
        <v>10203</v>
      </c>
      <c r="AX59" s="44">
        <v>922</v>
      </c>
      <c r="AY59" s="44">
        <v>4557</v>
      </c>
      <c r="AZ59" s="44">
        <v>4857</v>
      </c>
      <c r="BA59" s="44">
        <v>1514</v>
      </c>
      <c r="BB59" s="44">
        <v>188</v>
      </c>
      <c r="BC59" s="44">
        <v>3026</v>
      </c>
      <c r="BD59" s="44">
        <v>261</v>
      </c>
      <c r="BE59" s="44">
        <v>313</v>
      </c>
      <c r="BF59" s="44">
        <v>209</v>
      </c>
      <c r="BG59" s="44">
        <v>329</v>
      </c>
      <c r="BH59" s="44">
        <v>56</v>
      </c>
      <c r="BI59" s="44">
        <v>759</v>
      </c>
    </row>
    <row r="60" spans="1:61" x14ac:dyDescent="0.2">
      <c r="A60" s="42">
        <v>41791</v>
      </c>
      <c r="B60" s="43">
        <v>728</v>
      </c>
      <c r="C60" s="43">
        <v>368</v>
      </c>
      <c r="D60" s="43">
        <v>528.9</v>
      </c>
      <c r="E60" s="43">
        <v>286</v>
      </c>
      <c r="F60" s="43">
        <v>459</v>
      </c>
      <c r="G60" s="43">
        <v>390</v>
      </c>
      <c r="H60" s="43">
        <v>405</v>
      </c>
      <c r="I60" s="43">
        <v>250</v>
      </c>
      <c r="J60" s="43">
        <v>525</v>
      </c>
      <c r="K60" s="43">
        <v>366</v>
      </c>
      <c r="L60" s="43">
        <v>340</v>
      </c>
      <c r="M60" s="43">
        <v>236.3</v>
      </c>
      <c r="N60" s="43">
        <v>557.5</v>
      </c>
      <c r="O60" s="43">
        <v>420</v>
      </c>
      <c r="P60" s="43">
        <v>550</v>
      </c>
      <c r="Q60" s="43">
        <v>610</v>
      </c>
      <c r="R60" s="43">
        <v>330</v>
      </c>
      <c r="S60" s="43">
        <v>479</v>
      </c>
      <c r="T60" s="43">
        <v>245</v>
      </c>
      <c r="U60" s="43">
        <v>414</v>
      </c>
      <c r="V60" s="43">
        <v>345</v>
      </c>
      <c r="W60" s="43">
        <v>345</v>
      </c>
      <c r="X60" s="43">
        <v>190</v>
      </c>
      <c r="Y60" s="43">
        <v>452</v>
      </c>
      <c r="Z60" s="43">
        <v>322</v>
      </c>
      <c r="AA60" s="43">
        <v>282</v>
      </c>
      <c r="AB60" s="43">
        <v>226.3</v>
      </c>
      <c r="AC60" s="43">
        <v>465</v>
      </c>
      <c r="AD60" s="43">
        <v>335</v>
      </c>
      <c r="AE60" s="43">
        <v>410</v>
      </c>
      <c r="AF60" s="44">
        <v>15183</v>
      </c>
      <c r="AG60" s="44">
        <v>10900</v>
      </c>
      <c r="AH60" s="44">
        <v>14354</v>
      </c>
      <c r="AI60" s="44">
        <v>5249</v>
      </c>
      <c r="AJ60" s="44">
        <v>9212</v>
      </c>
      <c r="AK60" s="44">
        <v>8732</v>
      </c>
      <c r="AL60" s="44">
        <v>4230</v>
      </c>
      <c r="AM60" s="44">
        <v>1433</v>
      </c>
      <c r="AN60" s="44">
        <v>7635</v>
      </c>
      <c r="AO60" s="44">
        <v>1577</v>
      </c>
      <c r="AP60" s="44">
        <v>931</v>
      </c>
      <c r="AQ60" s="44">
        <v>1388</v>
      </c>
      <c r="AR60" s="44">
        <v>452</v>
      </c>
      <c r="AS60" s="44">
        <v>113</v>
      </c>
      <c r="AT60" s="44">
        <v>1044</v>
      </c>
      <c r="AU60" s="44">
        <v>14466</v>
      </c>
      <c r="AV60" s="44">
        <v>2551</v>
      </c>
      <c r="AW60" s="44">
        <v>12328</v>
      </c>
      <c r="AX60" s="44">
        <v>913</v>
      </c>
      <c r="AY60" s="44">
        <v>4788</v>
      </c>
      <c r="AZ60" s="44">
        <v>4573</v>
      </c>
      <c r="BA60" s="44">
        <v>1665</v>
      </c>
      <c r="BB60" s="44">
        <v>153</v>
      </c>
      <c r="BC60" s="44">
        <v>2908</v>
      </c>
      <c r="BD60" s="44">
        <v>242</v>
      </c>
      <c r="BE60" s="44">
        <v>314</v>
      </c>
      <c r="BF60" s="44">
        <v>230</v>
      </c>
      <c r="BG60" s="44">
        <v>375</v>
      </c>
      <c r="BH60" s="44">
        <v>40</v>
      </c>
      <c r="BI60" s="44">
        <v>931</v>
      </c>
    </row>
    <row r="61" spans="1:61" x14ac:dyDescent="0.2">
      <c r="A61" s="42">
        <v>41883</v>
      </c>
      <c r="B61" s="43">
        <v>730</v>
      </c>
      <c r="C61" s="43">
        <v>368.6</v>
      </c>
      <c r="D61" s="43">
        <v>505</v>
      </c>
      <c r="E61" s="43">
        <v>280</v>
      </c>
      <c r="F61" s="43">
        <v>451</v>
      </c>
      <c r="G61" s="43">
        <v>390</v>
      </c>
      <c r="H61" s="43">
        <v>410</v>
      </c>
      <c r="I61" s="43">
        <v>255</v>
      </c>
      <c r="J61" s="43">
        <v>530</v>
      </c>
      <c r="K61" s="43">
        <v>370</v>
      </c>
      <c r="L61" s="43">
        <v>345</v>
      </c>
      <c r="M61" s="43">
        <v>262.5</v>
      </c>
      <c r="N61" s="43">
        <v>570</v>
      </c>
      <c r="O61" s="43">
        <v>439</v>
      </c>
      <c r="P61" s="43">
        <v>554</v>
      </c>
      <c r="Q61" s="43">
        <v>620</v>
      </c>
      <c r="R61" s="43">
        <v>326</v>
      </c>
      <c r="S61" s="43">
        <v>478.5</v>
      </c>
      <c r="T61" s="43">
        <v>245</v>
      </c>
      <c r="U61" s="43">
        <v>420</v>
      </c>
      <c r="V61" s="43">
        <v>330</v>
      </c>
      <c r="W61" s="43">
        <v>342.5</v>
      </c>
      <c r="X61" s="43">
        <v>190</v>
      </c>
      <c r="Y61" s="43">
        <v>442</v>
      </c>
      <c r="Z61" s="43">
        <v>325</v>
      </c>
      <c r="AA61" s="43">
        <v>267.5</v>
      </c>
      <c r="AB61" s="43">
        <v>235</v>
      </c>
      <c r="AC61" s="43">
        <v>485</v>
      </c>
      <c r="AD61" s="43">
        <v>377.5</v>
      </c>
      <c r="AE61" s="43">
        <v>410</v>
      </c>
      <c r="AF61" s="44">
        <v>14759</v>
      </c>
      <c r="AG61" s="44">
        <v>11019</v>
      </c>
      <c r="AH61" s="44">
        <v>14032</v>
      </c>
      <c r="AI61" s="44">
        <v>5109</v>
      </c>
      <c r="AJ61" s="44">
        <v>9747</v>
      </c>
      <c r="AK61" s="44">
        <v>9528</v>
      </c>
      <c r="AL61" s="44">
        <v>4096</v>
      </c>
      <c r="AM61" s="44">
        <v>1386</v>
      </c>
      <c r="AN61" s="44">
        <v>7304</v>
      </c>
      <c r="AO61" s="44">
        <v>1592</v>
      </c>
      <c r="AP61" s="44">
        <v>786</v>
      </c>
      <c r="AQ61" s="44">
        <v>1171</v>
      </c>
      <c r="AR61" s="44">
        <v>414</v>
      </c>
      <c r="AS61" s="44">
        <v>152</v>
      </c>
      <c r="AT61" s="44">
        <v>960</v>
      </c>
      <c r="AU61" s="44">
        <v>13328</v>
      </c>
      <c r="AV61" s="44">
        <v>2403</v>
      </c>
      <c r="AW61" s="44">
        <v>11956</v>
      </c>
      <c r="AX61" s="44">
        <v>934</v>
      </c>
      <c r="AY61" s="44">
        <v>4979</v>
      </c>
      <c r="AZ61" s="44">
        <v>4859</v>
      </c>
      <c r="BA61" s="44">
        <v>1744</v>
      </c>
      <c r="BB61" s="44">
        <v>177</v>
      </c>
      <c r="BC61" s="44">
        <v>2798</v>
      </c>
      <c r="BD61" s="44">
        <v>277</v>
      </c>
      <c r="BE61" s="44">
        <v>270</v>
      </c>
      <c r="BF61" s="44">
        <v>236</v>
      </c>
      <c r="BG61" s="44">
        <v>397</v>
      </c>
      <c r="BH61" s="44">
        <v>58</v>
      </c>
      <c r="BI61" s="44">
        <v>887</v>
      </c>
    </row>
    <row r="62" spans="1:61" x14ac:dyDescent="0.2">
      <c r="A62" s="42">
        <v>41974</v>
      </c>
      <c r="B62" s="43">
        <v>816</v>
      </c>
      <c r="C62" s="43">
        <v>380</v>
      </c>
      <c r="D62" s="43">
        <v>552.5</v>
      </c>
      <c r="E62" s="43">
        <v>298</v>
      </c>
      <c r="F62" s="43">
        <v>467</v>
      </c>
      <c r="G62" s="43">
        <v>405</v>
      </c>
      <c r="H62" s="43">
        <v>425</v>
      </c>
      <c r="I62" s="43">
        <v>275</v>
      </c>
      <c r="J62" s="43">
        <v>531</v>
      </c>
      <c r="K62" s="43">
        <v>380</v>
      </c>
      <c r="L62" s="43">
        <v>356.5</v>
      </c>
      <c r="M62" s="43">
        <v>253.5</v>
      </c>
      <c r="N62" s="43">
        <v>581</v>
      </c>
      <c r="O62" s="43">
        <v>420</v>
      </c>
      <c r="P62" s="43">
        <v>570</v>
      </c>
      <c r="Q62" s="43">
        <v>650</v>
      </c>
      <c r="R62" s="43">
        <v>333</v>
      </c>
      <c r="S62" s="43">
        <v>490</v>
      </c>
      <c r="T62" s="43">
        <v>250</v>
      </c>
      <c r="U62" s="43">
        <v>420</v>
      </c>
      <c r="V62" s="43">
        <v>340</v>
      </c>
      <c r="W62" s="43">
        <v>345</v>
      </c>
      <c r="X62" s="43">
        <v>180.1</v>
      </c>
      <c r="Y62" s="43">
        <v>445</v>
      </c>
      <c r="Z62" s="43">
        <v>320</v>
      </c>
      <c r="AA62" s="43">
        <v>279.5</v>
      </c>
      <c r="AB62" s="43">
        <v>235</v>
      </c>
      <c r="AC62" s="43">
        <v>465</v>
      </c>
      <c r="AD62" s="43">
        <v>339.5</v>
      </c>
      <c r="AE62" s="43">
        <v>422</v>
      </c>
      <c r="AF62" s="44">
        <v>16311</v>
      </c>
      <c r="AG62" s="44">
        <v>11864</v>
      </c>
      <c r="AH62" s="44">
        <v>16407</v>
      </c>
      <c r="AI62" s="44">
        <v>5323</v>
      </c>
      <c r="AJ62" s="44">
        <v>9365</v>
      </c>
      <c r="AK62" s="44">
        <v>9246</v>
      </c>
      <c r="AL62" s="44">
        <v>4502</v>
      </c>
      <c r="AM62" s="44">
        <v>1442</v>
      </c>
      <c r="AN62" s="44">
        <v>6864</v>
      </c>
      <c r="AO62" s="44">
        <v>1530</v>
      </c>
      <c r="AP62" s="44">
        <v>940</v>
      </c>
      <c r="AQ62" s="44">
        <v>1264</v>
      </c>
      <c r="AR62" s="44">
        <v>352</v>
      </c>
      <c r="AS62" s="44">
        <v>141</v>
      </c>
      <c r="AT62" s="44">
        <v>1216</v>
      </c>
      <c r="AU62" s="44">
        <v>14730</v>
      </c>
      <c r="AV62" s="44">
        <v>2638</v>
      </c>
      <c r="AW62" s="44">
        <v>11872</v>
      </c>
      <c r="AX62" s="44">
        <v>971</v>
      </c>
      <c r="AY62" s="44">
        <v>4576</v>
      </c>
      <c r="AZ62" s="44">
        <v>4571</v>
      </c>
      <c r="BA62" s="44">
        <v>1608</v>
      </c>
      <c r="BB62" s="44">
        <v>136</v>
      </c>
      <c r="BC62" s="44">
        <v>2459</v>
      </c>
      <c r="BD62" s="44">
        <v>233</v>
      </c>
      <c r="BE62" s="44">
        <v>320</v>
      </c>
      <c r="BF62" s="44">
        <v>214</v>
      </c>
      <c r="BG62" s="44">
        <v>394</v>
      </c>
      <c r="BH62" s="44">
        <v>68</v>
      </c>
      <c r="BI62" s="44">
        <v>1027</v>
      </c>
    </row>
    <row r="63" spans="1:61" x14ac:dyDescent="0.2">
      <c r="A63" s="42">
        <v>42064</v>
      </c>
      <c r="B63" s="43">
        <v>792.5</v>
      </c>
      <c r="C63" s="43">
        <v>390</v>
      </c>
      <c r="D63" s="43">
        <v>525</v>
      </c>
      <c r="E63" s="43">
        <v>299</v>
      </c>
      <c r="F63" s="43">
        <v>462.8</v>
      </c>
      <c r="G63" s="43">
        <v>410</v>
      </c>
      <c r="H63" s="43">
        <v>415.5</v>
      </c>
      <c r="I63" s="43">
        <v>265</v>
      </c>
      <c r="J63" s="43">
        <v>536.5</v>
      </c>
      <c r="K63" s="43">
        <v>370</v>
      </c>
      <c r="L63" s="43">
        <v>360</v>
      </c>
      <c r="M63" s="43">
        <v>255</v>
      </c>
      <c r="N63" s="43">
        <v>570</v>
      </c>
      <c r="O63" s="43">
        <v>430</v>
      </c>
      <c r="P63" s="43">
        <v>585</v>
      </c>
      <c r="Q63" s="43">
        <v>657</v>
      </c>
      <c r="R63" s="43">
        <v>340</v>
      </c>
      <c r="S63" s="43">
        <v>480.8</v>
      </c>
      <c r="T63" s="43">
        <v>250</v>
      </c>
      <c r="U63" s="43">
        <v>420</v>
      </c>
      <c r="V63" s="43">
        <v>350</v>
      </c>
      <c r="W63" s="43">
        <v>345</v>
      </c>
      <c r="X63" s="43">
        <v>185</v>
      </c>
      <c r="Y63" s="43">
        <v>440</v>
      </c>
      <c r="Z63" s="43">
        <v>325</v>
      </c>
      <c r="AA63" s="43">
        <v>285</v>
      </c>
      <c r="AB63" s="43">
        <v>220.5</v>
      </c>
      <c r="AC63" s="43">
        <v>485</v>
      </c>
      <c r="AD63" s="43">
        <v>375</v>
      </c>
      <c r="AE63" s="43">
        <v>420</v>
      </c>
      <c r="AF63" s="44">
        <v>13518</v>
      </c>
      <c r="AG63" s="44">
        <v>10929</v>
      </c>
      <c r="AH63" s="44">
        <v>13871</v>
      </c>
      <c r="AI63" s="44">
        <v>5504</v>
      </c>
      <c r="AJ63" s="44">
        <v>9498</v>
      </c>
      <c r="AK63" s="44">
        <v>9421</v>
      </c>
      <c r="AL63" s="44">
        <v>4383</v>
      </c>
      <c r="AM63" s="44">
        <v>1555</v>
      </c>
      <c r="AN63" s="44">
        <v>6830</v>
      </c>
      <c r="AO63" s="44">
        <v>1590</v>
      </c>
      <c r="AP63" s="44">
        <v>945</v>
      </c>
      <c r="AQ63" s="44">
        <v>1439</v>
      </c>
      <c r="AR63" s="44">
        <v>306</v>
      </c>
      <c r="AS63" s="44">
        <v>89</v>
      </c>
      <c r="AT63" s="44">
        <v>1013</v>
      </c>
      <c r="AU63" s="44">
        <v>12507</v>
      </c>
      <c r="AV63" s="44">
        <v>2663</v>
      </c>
      <c r="AW63" s="44">
        <v>10877</v>
      </c>
      <c r="AX63" s="44">
        <v>1016</v>
      </c>
      <c r="AY63" s="44">
        <v>4537</v>
      </c>
      <c r="AZ63" s="44">
        <v>5268</v>
      </c>
      <c r="BA63" s="44">
        <v>1692</v>
      </c>
      <c r="BB63" s="44">
        <v>205</v>
      </c>
      <c r="BC63" s="44">
        <v>2654</v>
      </c>
      <c r="BD63" s="44">
        <v>230</v>
      </c>
      <c r="BE63" s="44">
        <v>303</v>
      </c>
      <c r="BF63" s="44">
        <v>225</v>
      </c>
      <c r="BG63" s="44">
        <v>316</v>
      </c>
      <c r="BH63" s="44">
        <v>43</v>
      </c>
      <c r="BI63" s="44">
        <v>924</v>
      </c>
    </row>
    <row r="64" spans="1:61" x14ac:dyDescent="0.2">
      <c r="A64" s="42">
        <v>42156</v>
      </c>
      <c r="B64" s="43">
        <v>860</v>
      </c>
      <c r="C64" s="43">
        <v>395</v>
      </c>
      <c r="D64" s="43">
        <v>561</v>
      </c>
      <c r="E64" s="43">
        <v>295</v>
      </c>
      <c r="F64" s="43">
        <v>465</v>
      </c>
      <c r="G64" s="43">
        <v>410.3</v>
      </c>
      <c r="H64" s="43">
        <v>420</v>
      </c>
      <c r="I64" s="43">
        <v>260</v>
      </c>
      <c r="J64" s="43">
        <v>537</v>
      </c>
      <c r="K64" s="43">
        <v>355</v>
      </c>
      <c r="L64" s="43">
        <v>350</v>
      </c>
      <c r="M64" s="43">
        <v>252.5</v>
      </c>
      <c r="N64" s="43">
        <v>595</v>
      </c>
      <c r="O64" s="43">
        <v>450</v>
      </c>
      <c r="P64" s="43">
        <v>580</v>
      </c>
      <c r="Q64" s="43">
        <v>705</v>
      </c>
      <c r="R64" s="43">
        <v>350</v>
      </c>
      <c r="S64" s="43">
        <v>515</v>
      </c>
      <c r="T64" s="43">
        <v>255</v>
      </c>
      <c r="U64" s="43">
        <v>425</v>
      </c>
      <c r="V64" s="43">
        <v>350</v>
      </c>
      <c r="W64" s="43">
        <v>345</v>
      </c>
      <c r="X64" s="43">
        <v>210</v>
      </c>
      <c r="Y64" s="43">
        <v>434.5</v>
      </c>
      <c r="Z64" s="43">
        <v>315</v>
      </c>
      <c r="AA64" s="43">
        <v>286</v>
      </c>
      <c r="AB64" s="43">
        <v>232</v>
      </c>
      <c r="AC64" s="43">
        <v>450</v>
      </c>
      <c r="AD64" s="43">
        <v>321.5</v>
      </c>
      <c r="AE64" s="43">
        <v>425</v>
      </c>
      <c r="AF64" s="44">
        <v>14472</v>
      </c>
      <c r="AG64" s="44">
        <v>12124</v>
      </c>
      <c r="AH64" s="44">
        <v>16787</v>
      </c>
      <c r="AI64" s="44">
        <v>5577</v>
      </c>
      <c r="AJ64" s="44">
        <v>10231</v>
      </c>
      <c r="AK64" s="44">
        <v>9420</v>
      </c>
      <c r="AL64" s="44">
        <v>4489</v>
      </c>
      <c r="AM64" s="44">
        <v>1411</v>
      </c>
      <c r="AN64" s="44">
        <v>6336</v>
      </c>
      <c r="AO64" s="44">
        <v>1398</v>
      </c>
      <c r="AP64" s="44">
        <v>924</v>
      </c>
      <c r="AQ64" s="44">
        <v>1425</v>
      </c>
      <c r="AR64" s="44">
        <v>291</v>
      </c>
      <c r="AS64" s="44">
        <v>64</v>
      </c>
      <c r="AT64" s="44">
        <v>1071</v>
      </c>
      <c r="AU64" s="44">
        <v>15127</v>
      </c>
      <c r="AV64" s="44">
        <v>2996</v>
      </c>
      <c r="AW64" s="44">
        <v>15487</v>
      </c>
      <c r="AX64" s="44">
        <v>1002</v>
      </c>
      <c r="AY64" s="44">
        <v>5159</v>
      </c>
      <c r="AZ64" s="44">
        <v>5251</v>
      </c>
      <c r="BA64" s="44">
        <v>1952</v>
      </c>
      <c r="BB64" s="44">
        <v>155</v>
      </c>
      <c r="BC64" s="44">
        <v>2295</v>
      </c>
      <c r="BD64" s="44">
        <v>198</v>
      </c>
      <c r="BE64" s="44">
        <v>335</v>
      </c>
      <c r="BF64" s="44">
        <v>247</v>
      </c>
      <c r="BG64" s="44">
        <v>287</v>
      </c>
      <c r="BH64" s="44">
        <v>34</v>
      </c>
      <c r="BI64" s="44">
        <v>1076</v>
      </c>
    </row>
    <row r="65" spans="1:61" x14ac:dyDescent="0.2">
      <c r="A65" s="42">
        <v>42248</v>
      </c>
      <c r="B65" s="43">
        <v>888.2</v>
      </c>
      <c r="C65" s="43">
        <v>410</v>
      </c>
      <c r="D65" s="43">
        <v>580</v>
      </c>
      <c r="E65" s="43">
        <v>295.60000000000002</v>
      </c>
      <c r="F65" s="43">
        <v>475</v>
      </c>
      <c r="G65" s="43">
        <v>415</v>
      </c>
      <c r="H65" s="43">
        <v>427.5</v>
      </c>
      <c r="I65" s="43">
        <v>260</v>
      </c>
      <c r="J65" s="43">
        <v>520</v>
      </c>
      <c r="K65" s="43">
        <v>350</v>
      </c>
      <c r="L65" s="43">
        <v>340</v>
      </c>
      <c r="M65" s="43">
        <v>257.5</v>
      </c>
      <c r="N65" s="43">
        <v>580</v>
      </c>
      <c r="O65" s="43">
        <v>455</v>
      </c>
      <c r="P65" s="43">
        <v>587.5</v>
      </c>
      <c r="Q65" s="43">
        <v>710</v>
      </c>
      <c r="R65" s="43">
        <v>360</v>
      </c>
      <c r="S65" s="43">
        <v>500</v>
      </c>
      <c r="T65" s="43">
        <v>256</v>
      </c>
      <c r="U65" s="43">
        <v>425</v>
      </c>
      <c r="V65" s="43">
        <v>350.8</v>
      </c>
      <c r="W65" s="43">
        <v>344.5</v>
      </c>
      <c r="X65" s="43">
        <v>190</v>
      </c>
      <c r="Y65" s="43">
        <v>425</v>
      </c>
      <c r="Z65" s="43">
        <v>330</v>
      </c>
      <c r="AA65" s="43">
        <v>296</v>
      </c>
      <c r="AB65" s="43">
        <v>235</v>
      </c>
      <c r="AC65" s="43">
        <v>475</v>
      </c>
      <c r="AD65" s="43">
        <v>305</v>
      </c>
      <c r="AE65" s="43">
        <v>415</v>
      </c>
      <c r="AF65" s="44">
        <v>15306</v>
      </c>
      <c r="AG65" s="44">
        <v>12705</v>
      </c>
      <c r="AH65" s="44">
        <v>16128</v>
      </c>
      <c r="AI65" s="44">
        <v>5548</v>
      </c>
      <c r="AJ65" s="44">
        <v>10729</v>
      </c>
      <c r="AK65" s="44">
        <v>9968</v>
      </c>
      <c r="AL65" s="44">
        <v>4381</v>
      </c>
      <c r="AM65" s="44">
        <v>1286</v>
      </c>
      <c r="AN65" s="44">
        <v>5539</v>
      </c>
      <c r="AO65" s="44">
        <v>1336</v>
      </c>
      <c r="AP65" s="44">
        <v>885</v>
      </c>
      <c r="AQ65" s="44">
        <v>1403</v>
      </c>
      <c r="AR65" s="44">
        <v>248</v>
      </c>
      <c r="AS65" s="44">
        <v>93</v>
      </c>
      <c r="AT65" s="44">
        <v>1048</v>
      </c>
      <c r="AU65" s="44">
        <v>14807</v>
      </c>
      <c r="AV65" s="44">
        <v>3107</v>
      </c>
      <c r="AW65" s="44">
        <v>11607</v>
      </c>
      <c r="AX65" s="44">
        <v>1003</v>
      </c>
      <c r="AY65" s="44">
        <v>5201</v>
      </c>
      <c r="AZ65" s="44">
        <v>5402</v>
      </c>
      <c r="BA65" s="44">
        <v>1698</v>
      </c>
      <c r="BB65" s="44">
        <v>141</v>
      </c>
      <c r="BC65" s="44">
        <v>1953</v>
      </c>
      <c r="BD65" s="44">
        <v>182</v>
      </c>
      <c r="BE65" s="44">
        <v>298</v>
      </c>
      <c r="BF65" s="44">
        <v>224</v>
      </c>
      <c r="BG65" s="44">
        <v>263</v>
      </c>
      <c r="BH65" s="44">
        <v>29</v>
      </c>
      <c r="BI65" s="44">
        <v>1081</v>
      </c>
    </row>
    <row r="66" spans="1:61" x14ac:dyDescent="0.2">
      <c r="A66" s="42">
        <v>42339</v>
      </c>
      <c r="B66" s="43">
        <v>915</v>
      </c>
      <c r="C66" s="43">
        <v>412</v>
      </c>
      <c r="D66" s="43">
        <v>612.29999999999995</v>
      </c>
      <c r="E66" s="43">
        <v>310</v>
      </c>
      <c r="F66" s="43">
        <v>490</v>
      </c>
      <c r="G66" s="43">
        <v>420</v>
      </c>
      <c r="H66" s="43">
        <v>436</v>
      </c>
      <c r="I66" s="43">
        <v>273.5</v>
      </c>
      <c r="J66" s="43">
        <v>525</v>
      </c>
      <c r="K66" s="43">
        <v>350</v>
      </c>
      <c r="L66" s="43">
        <v>370</v>
      </c>
      <c r="M66" s="43">
        <v>265</v>
      </c>
      <c r="N66" s="43">
        <v>575</v>
      </c>
      <c r="O66" s="43">
        <v>412.5</v>
      </c>
      <c r="P66" s="43">
        <v>615</v>
      </c>
      <c r="Q66" s="43">
        <v>723</v>
      </c>
      <c r="R66" s="43">
        <v>362</v>
      </c>
      <c r="S66" s="43">
        <v>505</v>
      </c>
      <c r="T66" s="43">
        <v>265</v>
      </c>
      <c r="U66" s="43">
        <v>420</v>
      </c>
      <c r="V66" s="43">
        <v>360</v>
      </c>
      <c r="W66" s="43">
        <v>345</v>
      </c>
      <c r="X66" s="43">
        <v>182</v>
      </c>
      <c r="Y66" s="43">
        <v>430</v>
      </c>
      <c r="Z66" s="43">
        <v>295</v>
      </c>
      <c r="AA66" s="43">
        <v>292</v>
      </c>
      <c r="AB66" s="43">
        <v>235</v>
      </c>
      <c r="AC66" s="43">
        <v>460</v>
      </c>
      <c r="AD66" s="43">
        <v>265</v>
      </c>
      <c r="AE66" s="43">
        <v>419.9</v>
      </c>
      <c r="AF66" s="44">
        <v>13527</v>
      </c>
      <c r="AG66" s="44">
        <v>12739</v>
      </c>
      <c r="AH66" s="44">
        <v>16165</v>
      </c>
      <c r="AI66" s="44">
        <v>5631</v>
      </c>
      <c r="AJ66" s="44">
        <v>9829</v>
      </c>
      <c r="AK66" s="44">
        <v>8826</v>
      </c>
      <c r="AL66" s="44">
        <v>4422</v>
      </c>
      <c r="AM66" s="44">
        <v>1403</v>
      </c>
      <c r="AN66" s="44">
        <v>5627</v>
      </c>
      <c r="AO66" s="44">
        <v>1404</v>
      </c>
      <c r="AP66" s="44">
        <v>960</v>
      </c>
      <c r="AQ66" s="44">
        <v>1430</v>
      </c>
      <c r="AR66" s="44">
        <v>244</v>
      </c>
      <c r="AS66" s="44">
        <v>82</v>
      </c>
      <c r="AT66" s="44">
        <v>1262</v>
      </c>
      <c r="AU66" s="44">
        <v>11733</v>
      </c>
      <c r="AV66" s="44">
        <v>2877</v>
      </c>
      <c r="AW66" s="44">
        <v>11064</v>
      </c>
      <c r="AX66" s="44">
        <v>982</v>
      </c>
      <c r="AY66" s="44">
        <v>4358</v>
      </c>
      <c r="AZ66" s="44">
        <v>4908</v>
      </c>
      <c r="BA66" s="44">
        <v>1733</v>
      </c>
      <c r="BB66" s="44">
        <v>123</v>
      </c>
      <c r="BC66" s="44">
        <v>2066</v>
      </c>
      <c r="BD66" s="44">
        <v>175</v>
      </c>
      <c r="BE66" s="44">
        <v>311</v>
      </c>
      <c r="BF66" s="44">
        <v>244</v>
      </c>
      <c r="BG66" s="44">
        <v>311</v>
      </c>
      <c r="BH66" s="44">
        <v>53</v>
      </c>
      <c r="BI66" s="44">
        <v>1154</v>
      </c>
    </row>
    <row r="67" spans="1:61" x14ac:dyDescent="0.2">
      <c r="A67" s="42">
        <v>42430</v>
      </c>
      <c r="B67" s="43">
        <v>850</v>
      </c>
      <c r="C67" s="43">
        <v>415</v>
      </c>
      <c r="D67" s="43">
        <v>568</v>
      </c>
      <c r="E67" s="43">
        <v>311</v>
      </c>
      <c r="F67" s="43">
        <v>483.5</v>
      </c>
      <c r="G67" s="43">
        <v>425</v>
      </c>
      <c r="H67" s="43">
        <v>436</v>
      </c>
      <c r="I67" s="43">
        <v>275</v>
      </c>
      <c r="J67" s="43">
        <v>518</v>
      </c>
      <c r="K67" s="43">
        <v>360.5</v>
      </c>
      <c r="L67" s="43">
        <v>360</v>
      </c>
      <c r="M67" s="43">
        <v>264</v>
      </c>
      <c r="N67" s="43">
        <v>570</v>
      </c>
      <c r="O67" s="43">
        <v>472.5</v>
      </c>
      <c r="P67" s="43">
        <v>590</v>
      </c>
      <c r="Q67" s="43">
        <v>706.5</v>
      </c>
      <c r="R67" s="43">
        <v>365</v>
      </c>
      <c r="S67" s="43">
        <v>490</v>
      </c>
      <c r="T67" s="43">
        <v>270</v>
      </c>
      <c r="U67" s="43">
        <v>415</v>
      </c>
      <c r="V67" s="43">
        <v>363</v>
      </c>
      <c r="W67" s="43">
        <v>345</v>
      </c>
      <c r="X67" s="43">
        <v>187</v>
      </c>
      <c r="Y67" s="43">
        <v>430</v>
      </c>
      <c r="Z67" s="43">
        <v>327.5</v>
      </c>
      <c r="AA67" s="43">
        <v>295.8</v>
      </c>
      <c r="AB67" s="43">
        <v>215</v>
      </c>
      <c r="AC67" s="43">
        <v>469.6</v>
      </c>
      <c r="AD67" s="43">
        <v>310</v>
      </c>
      <c r="AE67" s="43">
        <v>425</v>
      </c>
      <c r="AF67" s="44">
        <v>10527</v>
      </c>
      <c r="AG67" s="44">
        <v>10689</v>
      </c>
      <c r="AH67" s="44">
        <v>11654</v>
      </c>
      <c r="AI67" s="44">
        <v>5188</v>
      </c>
      <c r="AJ67" s="44">
        <v>9405</v>
      </c>
      <c r="AK67" s="44">
        <v>8786</v>
      </c>
      <c r="AL67" s="44">
        <v>4143</v>
      </c>
      <c r="AM67" s="44">
        <v>1354</v>
      </c>
      <c r="AN67" s="44">
        <v>5857</v>
      </c>
      <c r="AO67" s="44">
        <v>1448</v>
      </c>
      <c r="AP67" s="44">
        <v>925</v>
      </c>
      <c r="AQ67" s="44">
        <v>1423</v>
      </c>
      <c r="AR67" s="44">
        <v>226</v>
      </c>
      <c r="AS67" s="44">
        <v>60</v>
      </c>
      <c r="AT67" s="44">
        <v>883</v>
      </c>
      <c r="AU67" s="44">
        <v>8920</v>
      </c>
      <c r="AV67" s="44">
        <v>2485</v>
      </c>
      <c r="AW67" s="44">
        <v>8187</v>
      </c>
      <c r="AX67" s="44">
        <v>912</v>
      </c>
      <c r="AY67" s="44">
        <v>3801</v>
      </c>
      <c r="AZ67" s="44">
        <v>4832</v>
      </c>
      <c r="BA67" s="44">
        <v>1682</v>
      </c>
      <c r="BB67" s="44">
        <v>155</v>
      </c>
      <c r="BC67" s="44">
        <v>1968</v>
      </c>
      <c r="BD67" s="44">
        <v>196</v>
      </c>
      <c r="BE67" s="44">
        <v>320</v>
      </c>
      <c r="BF67" s="44">
        <v>225</v>
      </c>
      <c r="BG67" s="44">
        <v>205</v>
      </c>
      <c r="BH67" s="44">
        <v>57</v>
      </c>
      <c r="BI67" s="44">
        <v>837</v>
      </c>
    </row>
    <row r="68" spans="1:61" x14ac:dyDescent="0.2">
      <c r="A68" s="42">
        <v>42522</v>
      </c>
      <c r="B68" s="43">
        <v>895</v>
      </c>
      <c r="C68" s="43">
        <v>425</v>
      </c>
      <c r="D68" s="43">
        <v>610</v>
      </c>
      <c r="E68" s="43">
        <v>305</v>
      </c>
      <c r="F68" s="43">
        <v>495</v>
      </c>
      <c r="G68" s="43">
        <v>425</v>
      </c>
      <c r="H68" s="43">
        <v>440</v>
      </c>
      <c r="I68" s="43">
        <v>265</v>
      </c>
      <c r="J68" s="43">
        <v>520</v>
      </c>
      <c r="K68" s="43">
        <v>330</v>
      </c>
      <c r="L68" s="43">
        <v>365</v>
      </c>
      <c r="M68" s="43">
        <v>253</v>
      </c>
      <c r="N68" s="43">
        <v>548</v>
      </c>
      <c r="O68" s="43">
        <v>426</v>
      </c>
      <c r="P68" s="43">
        <v>623</v>
      </c>
      <c r="Q68" s="43">
        <v>720</v>
      </c>
      <c r="R68" s="43">
        <v>370</v>
      </c>
      <c r="S68" s="43">
        <v>505</v>
      </c>
      <c r="T68" s="43">
        <v>260.8</v>
      </c>
      <c r="U68" s="43">
        <v>413</v>
      </c>
      <c r="V68" s="43">
        <v>365</v>
      </c>
      <c r="W68" s="43">
        <v>367</v>
      </c>
      <c r="X68" s="43">
        <v>202.5</v>
      </c>
      <c r="Y68" s="43">
        <v>410</v>
      </c>
      <c r="Z68" s="43">
        <v>300</v>
      </c>
      <c r="AA68" s="43">
        <v>307.5</v>
      </c>
      <c r="AB68" s="43">
        <v>220</v>
      </c>
      <c r="AC68" s="43">
        <v>437.5</v>
      </c>
      <c r="AD68" s="43">
        <v>320</v>
      </c>
      <c r="AE68" s="43">
        <v>435</v>
      </c>
      <c r="AF68" s="44">
        <v>12638</v>
      </c>
      <c r="AG68" s="44">
        <v>12279</v>
      </c>
      <c r="AH68" s="44">
        <v>15066</v>
      </c>
      <c r="AI68" s="44">
        <v>5561</v>
      </c>
      <c r="AJ68" s="44">
        <v>9625</v>
      </c>
      <c r="AK68" s="44">
        <v>8869</v>
      </c>
      <c r="AL68" s="44">
        <v>4226</v>
      </c>
      <c r="AM68" s="44">
        <v>1381</v>
      </c>
      <c r="AN68" s="44">
        <v>5969</v>
      </c>
      <c r="AO68" s="44">
        <v>1469</v>
      </c>
      <c r="AP68" s="44">
        <v>922</v>
      </c>
      <c r="AQ68" s="44">
        <v>1427</v>
      </c>
      <c r="AR68" s="44">
        <v>247</v>
      </c>
      <c r="AS68" s="44">
        <v>60</v>
      </c>
      <c r="AT68" s="44">
        <v>1060</v>
      </c>
      <c r="AU68" s="44">
        <v>10590</v>
      </c>
      <c r="AV68" s="44">
        <v>2827</v>
      </c>
      <c r="AW68" s="44">
        <v>10671</v>
      </c>
      <c r="AX68" s="44">
        <v>890</v>
      </c>
      <c r="AY68" s="44">
        <v>3584</v>
      </c>
      <c r="AZ68" s="44">
        <v>4758</v>
      </c>
      <c r="BA68" s="44">
        <v>2008</v>
      </c>
      <c r="BB68" s="44">
        <v>155</v>
      </c>
      <c r="BC68" s="44">
        <v>1982</v>
      </c>
      <c r="BD68" s="44">
        <v>199</v>
      </c>
      <c r="BE68" s="44">
        <v>334</v>
      </c>
      <c r="BF68" s="44">
        <v>227</v>
      </c>
      <c r="BG68" s="44">
        <v>230</v>
      </c>
      <c r="BH68" s="44">
        <v>61</v>
      </c>
      <c r="BI68" s="44">
        <v>1163</v>
      </c>
    </row>
    <row r="69" spans="1:61" x14ac:dyDescent="0.2">
      <c r="A69" s="42">
        <v>42614</v>
      </c>
      <c r="B69" s="43">
        <v>900</v>
      </c>
      <c r="C69" s="43">
        <v>430.5</v>
      </c>
      <c r="D69" s="43">
        <v>605</v>
      </c>
      <c r="E69" s="43">
        <v>310</v>
      </c>
      <c r="F69" s="43">
        <v>500</v>
      </c>
      <c r="G69" s="43">
        <v>435</v>
      </c>
      <c r="H69" s="43">
        <v>445</v>
      </c>
      <c r="I69" s="43">
        <v>270</v>
      </c>
      <c r="J69" s="43">
        <v>510</v>
      </c>
      <c r="K69" s="43">
        <v>327.8</v>
      </c>
      <c r="L69" s="43">
        <v>370</v>
      </c>
      <c r="M69" s="43">
        <v>255</v>
      </c>
      <c r="N69" s="43">
        <v>520</v>
      </c>
      <c r="O69" s="43">
        <v>353.5</v>
      </c>
      <c r="P69" s="43">
        <v>615.79999999999995</v>
      </c>
      <c r="Q69" s="43">
        <v>710</v>
      </c>
      <c r="R69" s="43">
        <v>375</v>
      </c>
      <c r="S69" s="43">
        <v>496</v>
      </c>
      <c r="T69" s="43">
        <v>260</v>
      </c>
      <c r="U69" s="43">
        <v>420</v>
      </c>
      <c r="V69" s="43">
        <v>370</v>
      </c>
      <c r="W69" s="43">
        <v>365</v>
      </c>
      <c r="X69" s="43">
        <v>195</v>
      </c>
      <c r="Y69" s="43">
        <v>425</v>
      </c>
      <c r="Z69" s="43">
        <v>270</v>
      </c>
      <c r="AA69" s="43">
        <v>290</v>
      </c>
      <c r="AB69" s="43">
        <v>235</v>
      </c>
      <c r="AC69" s="43">
        <v>342.5</v>
      </c>
      <c r="AD69" s="43">
        <v>300</v>
      </c>
      <c r="AE69" s="43">
        <v>428.5</v>
      </c>
      <c r="AF69" s="44">
        <v>12351</v>
      </c>
      <c r="AG69" s="44">
        <v>12063</v>
      </c>
      <c r="AH69" s="44">
        <v>14109</v>
      </c>
      <c r="AI69" s="44">
        <v>5627</v>
      </c>
      <c r="AJ69" s="44">
        <v>9588</v>
      </c>
      <c r="AK69" s="44">
        <v>9136</v>
      </c>
      <c r="AL69" s="44">
        <v>4023</v>
      </c>
      <c r="AM69" s="44">
        <v>1284</v>
      </c>
      <c r="AN69" s="44">
        <v>5628</v>
      </c>
      <c r="AO69" s="44">
        <v>1532</v>
      </c>
      <c r="AP69" s="44">
        <v>859</v>
      </c>
      <c r="AQ69" s="44">
        <v>1384</v>
      </c>
      <c r="AR69" s="44">
        <v>261</v>
      </c>
      <c r="AS69" s="44">
        <v>92</v>
      </c>
      <c r="AT69" s="44">
        <v>994</v>
      </c>
      <c r="AU69" s="44">
        <v>10672</v>
      </c>
      <c r="AV69" s="44">
        <v>2914</v>
      </c>
      <c r="AW69" s="44">
        <v>9634</v>
      </c>
      <c r="AX69" s="44">
        <v>1016</v>
      </c>
      <c r="AY69" s="44">
        <v>3480</v>
      </c>
      <c r="AZ69" s="44">
        <v>4793</v>
      </c>
      <c r="BA69" s="44">
        <v>1608</v>
      </c>
      <c r="BB69" s="44">
        <v>119</v>
      </c>
      <c r="BC69" s="44">
        <v>1896</v>
      </c>
      <c r="BD69" s="44">
        <v>213</v>
      </c>
      <c r="BE69" s="44">
        <v>296</v>
      </c>
      <c r="BF69" s="44">
        <v>235</v>
      </c>
      <c r="BG69" s="44">
        <v>294</v>
      </c>
      <c r="BH69" s="44">
        <v>53</v>
      </c>
      <c r="BI69" s="44">
        <v>1064</v>
      </c>
    </row>
    <row r="70" spans="1:61" x14ac:dyDescent="0.2">
      <c r="A70" s="42">
        <v>42705</v>
      </c>
      <c r="B70" s="43">
        <v>985.5</v>
      </c>
      <c r="C70" s="43">
        <v>445</v>
      </c>
      <c r="D70" s="43">
        <v>675</v>
      </c>
      <c r="E70" s="43">
        <v>320.8</v>
      </c>
      <c r="F70" s="43">
        <v>515</v>
      </c>
      <c r="G70" s="43">
        <v>439</v>
      </c>
      <c r="H70" s="43">
        <v>447</v>
      </c>
      <c r="I70" s="43">
        <v>280</v>
      </c>
      <c r="J70" s="43">
        <v>525</v>
      </c>
      <c r="K70" s="43">
        <v>345</v>
      </c>
      <c r="L70" s="43">
        <v>392</v>
      </c>
      <c r="M70" s="43">
        <v>274.5</v>
      </c>
      <c r="N70" s="43">
        <v>522</v>
      </c>
      <c r="O70" s="43">
        <v>454.5</v>
      </c>
      <c r="P70" s="43">
        <v>636</v>
      </c>
      <c r="Q70" s="43">
        <v>735</v>
      </c>
      <c r="R70" s="43">
        <v>385</v>
      </c>
      <c r="S70" s="43">
        <v>501.9</v>
      </c>
      <c r="T70" s="43">
        <v>276</v>
      </c>
      <c r="U70" s="43">
        <v>410</v>
      </c>
      <c r="V70" s="43">
        <v>375</v>
      </c>
      <c r="W70" s="43">
        <v>365</v>
      </c>
      <c r="X70" s="43">
        <v>205</v>
      </c>
      <c r="Y70" s="43">
        <v>410</v>
      </c>
      <c r="Z70" s="43">
        <v>288</v>
      </c>
      <c r="AA70" s="43">
        <v>305</v>
      </c>
      <c r="AB70" s="43">
        <v>240</v>
      </c>
      <c r="AC70" s="43">
        <v>381.1</v>
      </c>
      <c r="AD70" s="43">
        <v>326.3</v>
      </c>
      <c r="AE70" s="43">
        <v>430</v>
      </c>
      <c r="AF70" s="44">
        <v>13846</v>
      </c>
      <c r="AG70" s="44">
        <v>13398</v>
      </c>
      <c r="AH70" s="44">
        <v>16565</v>
      </c>
      <c r="AI70" s="44">
        <v>6270</v>
      </c>
      <c r="AJ70" s="44">
        <v>9476</v>
      </c>
      <c r="AK70" s="44">
        <v>9204</v>
      </c>
      <c r="AL70" s="44">
        <v>4515</v>
      </c>
      <c r="AM70" s="44">
        <v>1419</v>
      </c>
      <c r="AN70" s="44">
        <v>5609</v>
      </c>
      <c r="AO70" s="44">
        <v>1490</v>
      </c>
      <c r="AP70" s="44">
        <v>1063</v>
      </c>
      <c r="AQ70" s="44">
        <v>1645</v>
      </c>
      <c r="AR70" s="44">
        <v>259</v>
      </c>
      <c r="AS70" s="44">
        <v>82</v>
      </c>
      <c r="AT70" s="44">
        <v>1239</v>
      </c>
      <c r="AU70" s="44">
        <v>11420</v>
      </c>
      <c r="AV70" s="44">
        <v>3107</v>
      </c>
      <c r="AW70" s="44">
        <v>10814</v>
      </c>
      <c r="AX70" s="44">
        <v>1128</v>
      </c>
      <c r="AY70" s="44">
        <v>3088</v>
      </c>
      <c r="AZ70" s="44">
        <v>4520</v>
      </c>
      <c r="BA70" s="44">
        <v>1639</v>
      </c>
      <c r="BB70" s="44">
        <v>120</v>
      </c>
      <c r="BC70" s="44">
        <v>1914</v>
      </c>
      <c r="BD70" s="44">
        <v>227</v>
      </c>
      <c r="BE70" s="44">
        <v>362</v>
      </c>
      <c r="BF70" s="44">
        <v>247</v>
      </c>
      <c r="BG70" s="44">
        <v>188</v>
      </c>
      <c r="BH70" s="44">
        <v>48</v>
      </c>
      <c r="BI70" s="44">
        <v>1319</v>
      </c>
    </row>
    <row r="71" spans="1:61" x14ac:dyDescent="0.2">
      <c r="A71" s="42">
        <v>42795</v>
      </c>
      <c r="B71" s="43">
        <v>930</v>
      </c>
      <c r="C71" s="43">
        <v>455</v>
      </c>
      <c r="D71" s="43">
        <v>657.5</v>
      </c>
      <c r="E71" s="43">
        <v>328</v>
      </c>
      <c r="F71" s="43">
        <v>510</v>
      </c>
      <c r="G71" s="43">
        <v>440</v>
      </c>
      <c r="H71" s="43">
        <v>451.3</v>
      </c>
      <c r="I71" s="43">
        <v>285</v>
      </c>
      <c r="J71" s="43">
        <v>510</v>
      </c>
      <c r="K71" s="43">
        <v>350</v>
      </c>
      <c r="L71" s="43">
        <v>389.5</v>
      </c>
      <c r="M71" s="43">
        <v>263</v>
      </c>
      <c r="N71" s="43">
        <v>530</v>
      </c>
      <c r="O71" s="43">
        <v>430.1</v>
      </c>
      <c r="P71" s="43">
        <v>654.5</v>
      </c>
      <c r="Q71" s="43">
        <v>730</v>
      </c>
      <c r="R71" s="43">
        <v>395</v>
      </c>
      <c r="S71" s="43">
        <v>520</v>
      </c>
      <c r="T71" s="43">
        <v>272.5</v>
      </c>
      <c r="U71" s="43">
        <v>405</v>
      </c>
      <c r="V71" s="43">
        <v>389</v>
      </c>
      <c r="W71" s="43">
        <v>365</v>
      </c>
      <c r="X71" s="43">
        <v>180</v>
      </c>
      <c r="Y71" s="43">
        <v>415</v>
      </c>
      <c r="Z71" s="43">
        <v>311.5</v>
      </c>
      <c r="AA71" s="43">
        <v>315</v>
      </c>
      <c r="AB71" s="43">
        <v>249</v>
      </c>
      <c r="AC71" s="43">
        <v>375</v>
      </c>
      <c r="AD71" s="43">
        <v>319</v>
      </c>
      <c r="AE71" s="43">
        <v>429.9</v>
      </c>
      <c r="AF71" s="44">
        <v>11314</v>
      </c>
      <c r="AG71" s="44">
        <v>11995</v>
      </c>
      <c r="AH71" s="44">
        <v>13358</v>
      </c>
      <c r="AI71" s="44">
        <v>6070</v>
      </c>
      <c r="AJ71" s="44">
        <v>9089</v>
      </c>
      <c r="AK71" s="44">
        <v>9025</v>
      </c>
      <c r="AL71" s="44">
        <v>4256</v>
      </c>
      <c r="AM71" s="44">
        <v>1479</v>
      </c>
      <c r="AN71" s="44">
        <v>6206</v>
      </c>
      <c r="AO71" s="44">
        <v>1642</v>
      </c>
      <c r="AP71" s="44">
        <v>1113</v>
      </c>
      <c r="AQ71" s="44">
        <v>1861</v>
      </c>
      <c r="AR71" s="44">
        <v>245</v>
      </c>
      <c r="AS71" s="44">
        <v>97</v>
      </c>
      <c r="AT71" s="44">
        <v>1006</v>
      </c>
      <c r="AU71" s="44">
        <v>10118</v>
      </c>
      <c r="AV71" s="44">
        <v>2916</v>
      </c>
      <c r="AW71" s="44">
        <v>9116</v>
      </c>
      <c r="AX71" s="44">
        <v>1091</v>
      </c>
      <c r="AY71" s="44">
        <v>3133</v>
      </c>
      <c r="AZ71" s="44">
        <v>4830</v>
      </c>
      <c r="BA71" s="44">
        <v>1644</v>
      </c>
      <c r="BB71" s="44">
        <v>117</v>
      </c>
      <c r="BC71" s="44">
        <v>2174</v>
      </c>
      <c r="BD71" s="44">
        <v>272</v>
      </c>
      <c r="BE71" s="44">
        <v>415</v>
      </c>
      <c r="BF71" s="44">
        <v>267</v>
      </c>
      <c r="BG71" s="44">
        <v>189</v>
      </c>
      <c r="BH71" s="44">
        <v>37</v>
      </c>
      <c r="BI71" s="44">
        <v>1065</v>
      </c>
    </row>
    <row r="72" spans="1:61" x14ac:dyDescent="0.2">
      <c r="A72" s="42">
        <v>42887</v>
      </c>
      <c r="B72" s="43">
        <v>1050</v>
      </c>
      <c r="C72" s="43">
        <v>460</v>
      </c>
      <c r="D72" s="43">
        <v>720</v>
      </c>
      <c r="E72" s="43">
        <v>332</v>
      </c>
      <c r="F72" s="43">
        <v>518</v>
      </c>
      <c r="G72" s="43">
        <v>449</v>
      </c>
      <c r="H72" s="43">
        <v>450</v>
      </c>
      <c r="I72" s="43">
        <v>270</v>
      </c>
      <c r="J72" s="43">
        <v>506</v>
      </c>
      <c r="K72" s="43">
        <v>327</v>
      </c>
      <c r="L72" s="43">
        <v>400</v>
      </c>
      <c r="M72" s="43">
        <v>275</v>
      </c>
      <c r="N72" s="43">
        <v>500</v>
      </c>
      <c r="O72" s="43">
        <v>423.5</v>
      </c>
      <c r="P72" s="43">
        <v>670</v>
      </c>
      <c r="Q72" s="43">
        <v>770</v>
      </c>
      <c r="R72" s="43">
        <v>424</v>
      </c>
      <c r="S72" s="43">
        <v>568.9</v>
      </c>
      <c r="T72" s="43">
        <v>262.8</v>
      </c>
      <c r="U72" s="43">
        <v>392.5</v>
      </c>
      <c r="V72" s="43">
        <v>380</v>
      </c>
      <c r="W72" s="43">
        <v>383.5</v>
      </c>
      <c r="X72" s="43">
        <v>200</v>
      </c>
      <c r="Y72" s="43">
        <v>405</v>
      </c>
      <c r="Z72" s="43">
        <v>270</v>
      </c>
      <c r="AA72" s="43">
        <v>300</v>
      </c>
      <c r="AB72" s="43">
        <v>250</v>
      </c>
      <c r="AC72" s="43">
        <v>375</v>
      </c>
      <c r="AD72" s="43">
        <v>307.5</v>
      </c>
      <c r="AE72" s="43">
        <v>445</v>
      </c>
      <c r="AF72" s="44">
        <v>12280</v>
      </c>
      <c r="AG72" s="44">
        <v>11763</v>
      </c>
      <c r="AH72" s="44">
        <v>15375</v>
      </c>
      <c r="AI72" s="44">
        <v>5862</v>
      </c>
      <c r="AJ72" s="44">
        <v>8951</v>
      </c>
      <c r="AK72" s="44">
        <v>8303</v>
      </c>
      <c r="AL72" s="44">
        <v>4221</v>
      </c>
      <c r="AM72" s="44">
        <v>1354</v>
      </c>
      <c r="AN72" s="44">
        <v>5845</v>
      </c>
      <c r="AO72" s="44">
        <v>1501</v>
      </c>
      <c r="AP72" s="44">
        <v>982</v>
      </c>
      <c r="AQ72" s="44">
        <v>1690</v>
      </c>
      <c r="AR72" s="44">
        <v>244</v>
      </c>
      <c r="AS72" s="44">
        <v>86</v>
      </c>
      <c r="AT72" s="44">
        <v>1068</v>
      </c>
      <c r="AU72" s="44">
        <v>11180</v>
      </c>
      <c r="AV72" s="44">
        <v>2848</v>
      </c>
      <c r="AW72" s="44">
        <v>12623</v>
      </c>
      <c r="AX72" s="44">
        <v>1112</v>
      </c>
      <c r="AY72" s="44">
        <v>2846</v>
      </c>
      <c r="AZ72" s="44">
        <v>4380</v>
      </c>
      <c r="BA72" s="44">
        <v>1906</v>
      </c>
      <c r="BB72" s="44">
        <v>126</v>
      </c>
      <c r="BC72" s="44">
        <v>2010</v>
      </c>
      <c r="BD72" s="44">
        <v>224</v>
      </c>
      <c r="BE72" s="44">
        <v>347</v>
      </c>
      <c r="BF72" s="44">
        <v>263</v>
      </c>
      <c r="BG72" s="44">
        <v>173</v>
      </c>
      <c r="BH72" s="44">
        <v>34</v>
      </c>
      <c r="BI72" s="44">
        <v>1144</v>
      </c>
    </row>
    <row r="73" spans="1:61" x14ac:dyDescent="0.2">
      <c r="A73" s="42">
        <v>42979</v>
      </c>
      <c r="B73" s="43">
        <v>950</v>
      </c>
      <c r="C73" s="43">
        <v>460</v>
      </c>
      <c r="D73" s="43">
        <v>692</v>
      </c>
      <c r="E73" s="43">
        <v>328</v>
      </c>
      <c r="F73" s="43">
        <v>525</v>
      </c>
      <c r="G73" s="43">
        <v>445</v>
      </c>
      <c r="H73" s="43">
        <v>451</v>
      </c>
      <c r="I73" s="43">
        <v>277.5</v>
      </c>
      <c r="J73" s="43">
        <v>500</v>
      </c>
      <c r="K73" s="43">
        <v>325</v>
      </c>
      <c r="L73" s="43">
        <v>395</v>
      </c>
      <c r="M73" s="43">
        <v>273.5</v>
      </c>
      <c r="N73" s="43">
        <v>500</v>
      </c>
      <c r="O73" s="43">
        <v>443</v>
      </c>
      <c r="P73" s="43">
        <v>667.5</v>
      </c>
      <c r="Q73" s="43">
        <v>720</v>
      </c>
      <c r="R73" s="43">
        <v>410</v>
      </c>
      <c r="S73" s="43">
        <v>540</v>
      </c>
      <c r="T73" s="43">
        <v>279</v>
      </c>
      <c r="U73" s="43">
        <v>400</v>
      </c>
      <c r="V73" s="43">
        <v>385</v>
      </c>
      <c r="W73" s="43">
        <v>375</v>
      </c>
      <c r="X73" s="43">
        <v>172</v>
      </c>
      <c r="Y73" s="43">
        <v>405</v>
      </c>
      <c r="Z73" s="43">
        <v>268</v>
      </c>
      <c r="AA73" s="43">
        <v>320</v>
      </c>
      <c r="AB73" s="43">
        <v>235</v>
      </c>
      <c r="AC73" s="43">
        <v>375</v>
      </c>
      <c r="AD73" s="43">
        <v>330</v>
      </c>
      <c r="AE73" s="43">
        <v>434.5</v>
      </c>
      <c r="AF73" s="44">
        <v>12582</v>
      </c>
      <c r="AG73" s="44">
        <v>13039</v>
      </c>
      <c r="AH73" s="44">
        <v>14913</v>
      </c>
      <c r="AI73" s="44">
        <v>6447</v>
      </c>
      <c r="AJ73" s="44">
        <v>8971</v>
      </c>
      <c r="AK73" s="44">
        <v>8916</v>
      </c>
      <c r="AL73" s="44">
        <v>4079</v>
      </c>
      <c r="AM73" s="44">
        <v>1355</v>
      </c>
      <c r="AN73" s="44">
        <v>5762</v>
      </c>
      <c r="AO73" s="44">
        <v>1535</v>
      </c>
      <c r="AP73" s="44">
        <v>917</v>
      </c>
      <c r="AQ73" s="44">
        <v>1619</v>
      </c>
      <c r="AR73" s="44">
        <v>252</v>
      </c>
      <c r="AS73" s="44">
        <v>94</v>
      </c>
      <c r="AT73" s="44">
        <v>956</v>
      </c>
      <c r="AU73" s="44">
        <v>11380</v>
      </c>
      <c r="AV73" s="44">
        <v>2826</v>
      </c>
      <c r="AW73" s="44">
        <v>10153</v>
      </c>
      <c r="AX73" s="44">
        <v>1167</v>
      </c>
      <c r="AY73" s="44">
        <v>2746</v>
      </c>
      <c r="AZ73" s="44">
        <v>4422</v>
      </c>
      <c r="BA73" s="44">
        <v>1711</v>
      </c>
      <c r="BB73" s="44">
        <v>169</v>
      </c>
      <c r="BC73" s="44">
        <v>1988</v>
      </c>
      <c r="BD73" s="44">
        <v>225</v>
      </c>
      <c r="BE73" s="44">
        <v>402</v>
      </c>
      <c r="BF73" s="44">
        <v>239</v>
      </c>
      <c r="BG73" s="44">
        <v>150</v>
      </c>
      <c r="BH73" s="44">
        <v>41</v>
      </c>
      <c r="BI73" s="44">
        <v>948</v>
      </c>
    </row>
    <row r="74" spans="1:61" x14ac:dyDescent="0.2">
      <c r="A74" s="42">
        <v>43070</v>
      </c>
      <c r="B74" s="43">
        <v>1029</v>
      </c>
      <c r="C74" s="43">
        <v>471.5</v>
      </c>
      <c r="D74" s="43">
        <v>750</v>
      </c>
      <c r="E74" s="43">
        <v>350</v>
      </c>
      <c r="F74" s="43">
        <v>535</v>
      </c>
      <c r="G74" s="43">
        <v>450</v>
      </c>
      <c r="H74" s="43">
        <v>470</v>
      </c>
      <c r="I74" s="43">
        <v>273.39999999999998</v>
      </c>
      <c r="J74" s="43">
        <v>515</v>
      </c>
      <c r="K74" s="43">
        <v>340</v>
      </c>
      <c r="L74" s="43">
        <v>421</v>
      </c>
      <c r="M74" s="43">
        <v>285</v>
      </c>
      <c r="N74" s="43">
        <v>513.79999999999995</v>
      </c>
      <c r="O74" s="43">
        <v>437.5</v>
      </c>
      <c r="P74" s="43">
        <v>690</v>
      </c>
      <c r="Q74" s="43">
        <v>741</v>
      </c>
      <c r="R74" s="43">
        <v>410</v>
      </c>
      <c r="S74" s="43">
        <v>568</v>
      </c>
      <c r="T74" s="43">
        <v>280</v>
      </c>
      <c r="U74" s="43">
        <v>391</v>
      </c>
      <c r="V74" s="43">
        <v>385</v>
      </c>
      <c r="W74" s="43">
        <v>390</v>
      </c>
      <c r="X74" s="43">
        <v>170</v>
      </c>
      <c r="Y74" s="43">
        <v>410</v>
      </c>
      <c r="Z74" s="43">
        <v>255</v>
      </c>
      <c r="AA74" s="43">
        <v>330</v>
      </c>
      <c r="AB74" s="43">
        <v>250</v>
      </c>
      <c r="AC74" s="43">
        <v>340</v>
      </c>
      <c r="AD74" s="43">
        <v>290</v>
      </c>
      <c r="AE74" s="43">
        <v>445.5</v>
      </c>
      <c r="AF74" s="44">
        <v>12012</v>
      </c>
      <c r="AG74" s="44">
        <v>13159</v>
      </c>
      <c r="AH74" s="44">
        <v>16039</v>
      </c>
      <c r="AI74" s="44">
        <v>6807</v>
      </c>
      <c r="AJ74" s="44">
        <v>9006</v>
      </c>
      <c r="AK74" s="44">
        <v>9008</v>
      </c>
      <c r="AL74" s="44">
        <v>4455</v>
      </c>
      <c r="AM74" s="44">
        <v>1431</v>
      </c>
      <c r="AN74" s="44">
        <v>6030</v>
      </c>
      <c r="AO74" s="44">
        <v>1566</v>
      </c>
      <c r="AP74" s="44">
        <v>1059</v>
      </c>
      <c r="AQ74" s="44">
        <v>1719</v>
      </c>
      <c r="AR74" s="44">
        <v>246</v>
      </c>
      <c r="AS74" s="44">
        <v>105</v>
      </c>
      <c r="AT74" s="44">
        <v>1279</v>
      </c>
      <c r="AU74" s="44">
        <v>9741</v>
      </c>
      <c r="AV74" s="44">
        <v>2844</v>
      </c>
      <c r="AW74" s="44">
        <v>10399</v>
      </c>
      <c r="AX74" s="44">
        <v>1280</v>
      </c>
      <c r="AY74" s="44">
        <v>2607</v>
      </c>
      <c r="AZ74" s="44">
        <v>4385</v>
      </c>
      <c r="BA74" s="44">
        <v>2032</v>
      </c>
      <c r="BB74" s="44">
        <v>163</v>
      </c>
      <c r="BC74" s="44">
        <v>2071</v>
      </c>
      <c r="BD74" s="44">
        <v>241</v>
      </c>
      <c r="BE74" s="44">
        <v>342</v>
      </c>
      <c r="BF74" s="44">
        <v>310</v>
      </c>
      <c r="BG74" s="44">
        <v>168</v>
      </c>
      <c r="BH74" s="44">
        <v>41</v>
      </c>
      <c r="BI74" s="44">
        <v>980</v>
      </c>
    </row>
    <row r="75" spans="1:61" x14ac:dyDescent="0.2">
      <c r="A75" s="42">
        <v>43160</v>
      </c>
      <c r="B75" s="43">
        <v>955</v>
      </c>
      <c r="C75" s="43">
        <v>480</v>
      </c>
      <c r="D75" s="43">
        <v>731</v>
      </c>
      <c r="E75" s="43">
        <v>355</v>
      </c>
      <c r="F75" s="43">
        <v>526</v>
      </c>
      <c r="G75" s="43">
        <v>449</v>
      </c>
      <c r="H75" s="43">
        <v>465</v>
      </c>
      <c r="I75" s="43">
        <v>280</v>
      </c>
      <c r="J75" s="43">
        <v>510</v>
      </c>
      <c r="K75" s="43">
        <v>338</v>
      </c>
      <c r="L75" s="43">
        <v>449</v>
      </c>
      <c r="M75" s="43">
        <v>295</v>
      </c>
      <c r="N75" s="43">
        <v>500</v>
      </c>
      <c r="O75" s="43">
        <v>445</v>
      </c>
      <c r="P75" s="43">
        <v>698.5</v>
      </c>
      <c r="Q75" s="43">
        <v>742</v>
      </c>
      <c r="R75" s="43">
        <v>415</v>
      </c>
      <c r="S75" s="43">
        <v>565</v>
      </c>
      <c r="T75" s="43">
        <v>295</v>
      </c>
      <c r="U75" s="43">
        <v>385</v>
      </c>
      <c r="V75" s="43">
        <v>390</v>
      </c>
      <c r="W75" s="43">
        <v>370</v>
      </c>
      <c r="X75" s="43">
        <v>202.5</v>
      </c>
      <c r="Y75" s="43">
        <v>400</v>
      </c>
      <c r="Z75" s="43">
        <v>255</v>
      </c>
      <c r="AA75" s="43">
        <v>338.5</v>
      </c>
      <c r="AB75" s="43">
        <v>249</v>
      </c>
      <c r="AC75" s="43">
        <v>328</v>
      </c>
      <c r="AD75" s="43">
        <v>341.5</v>
      </c>
      <c r="AE75" s="43">
        <v>436</v>
      </c>
      <c r="AF75" s="44">
        <v>9935</v>
      </c>
      <c r="AG75" s="44">
        <v>11247</v>
      </c>
      <c r="AH75" s="44">
        <v>12344</v>
      </c>
      <c r="AI75" s="44">
        <v>6751</v>
      </c>
      <c r="AJ75" s="44">
        <v>8475</v>
      </c>
      <c r="AK75" s="44">
        <v>8770</v>
      </c>
      <c r="AL75" s="44">
        <v>4097</v>
      </c>
      <c r="AM75" s="44">
        <v>1519</v>
      </c>
      <c r="AN75" s="44">
        <v>6005</v>
      </c>
      <c r="AO75" s="44">
        <v>1631</v>
      </c>
      <c r="AP75" s="44">
        <v>989</v>
      </c>
      <c r="AQ75" s="44">
        <v>1831</v>
      </c>
      <c r="AR75" s="44">
        <v>245</v>
      </c>
      <c r="AS75" s="44">
        <v>81</v>
      </c>
      <c r="AT75" s="44">
        <v>950</v>
      </c>
      <c r="AU75" s="44">
        <v>8076</v>
      </c>
      <c r="AV75" s="44">
        <v>2539</v>
      </c>
      <c r="AW75" s="44">
        <v>8689</v>
      </c>
      <c r="AX75" s="44">
        <v>1290</v>
      </c>
      <c r="AY75" s="44">
        <v>2604</v>
      </c>
      <c r="AZ75" s="44">
        <v>4356</v>
      </c>
      <c r="BA75" s="44">
        <v>1623</v>
      </c>
      <c r="BB75" s="44">
        <v>167</v>
      </c>
      <c r="BC75" s="44">
        <v>2113</v>
      </c>
      <c r="BD75" s="44">
        <v>252</v>
      </c>
      <c r="BE75" s="44">
        <v>362</v>
      </c>
      <c r="BF75" s="44">
        <v>332</v>
      </c>
      <c r="BG75" s="44">
        <v>143</v>
      </c>
      <c r="BH75" s="44">
        <v>38</v>
      </c>
      <c r="BI75" s="44">
        <v>878</v>
      </c>
    </row>
    <row r="76" spans="1:61" x14ac:dyDescent="0.2">
      <c r="A76" s="42">
        <v>43252</v>
      </c>
      <c r="B76" s="43">
        <v>973.1</v>
      </c>
      <c r="C76" s="43">
        <v>480</v>
      </c>
      <c r="D76" s="43">
        <v>750</v>
      </c>
      <c r="E76" s="43">
        <v>355</v>
      </c>
      <c r="F76" s="43">
        <v>532</v>
      </c>
      <c r="G76" s="43">
        <v>435</v>
      </c>
      <c r="H76" s="43">
        <v>468</v>
      </c>
      <c r="I76" s="43">
        <v>276</v>
      </c>
      <c r="J76" s="43">
        <v>510</v>
      </c>
      <c r="K76" s="43">
        <v>310</v>
      </c>
      <c r="L76" s="43">
        <v>457.8</v>
      </c>
      <c r="M76" s="43">
        <v>300</v>
      </c>
      <c r="N76" s="43">
        <v>506</v>
      </c>
      <c r="O76" s="43">
        <v>453.5</v>
      </c>
      <c r="P76" s="43">
        <v>690</v>
      </c>
      <c r="Q76" s="43">
        <v>730</v>
      </c>
      <c r="R76" s="43">
        <v>415</v>
      </c>
      <c r="S76" s="43">
        <v>600</v>
      </c>
      <c r="T76" s="43">
        <v>305</v>
      </c>
      <c r="U76" s="43">
        <v>385</v>
      </c>
      <c r="V76" s="43">
        <v>390.3</v>
      </c>
      <c r="W76" s="43">
        <v>380</v>
      </c>
      <c r="X76" s="43">
        <v>186</v>
      </c>
      <c r="Y76" s="43">
        <v>408</v>
      </c>
      <c r="Z76" s="43">
        <v>233.1</v>
      </c>
      <c r="AA76" s="43">
        <v>356</v>
      </c>
      <c r="AB76" s="43">
        <v>255</v>
      </c>
      <c r="AC76" s="43">
        <v>338</v>
      </c>
      <c r="AD76" s="43">
        <v>345</v>
      </c>
      <c r="AE76" s="43">
        <v>431.5</v>
      </c>
      <c r="AF76" s="44">
        <v>10879</v>
      </c>
      <c r="AG76" s="44">
        <v>11838</v>
      </c>
      <c r="AH76" s="44">
        <v>13531</v>
      </c>
      <c r="AI76" s="44">
        <v>6731</v>
      </c>
      <c r="AJ76" s="44">
        <v>8497</v>
      </c>
      <c r="AK76" s="44">
        <v>8554</v>
      </c>
      <c r="AL76" s="44">
        <v>4149</v>
      </c>
      <c r="AM76" s="44">
        <v>1421</v>
      </c>
      <c r="AN76" s="44">
        <v>5676</v>
      </c>
      <c r="AO76" s="44">
        <v>1488</v>
      </c>
      <c r="AP76" s="44">
        <v>935</v>
      </c>
      <c r="AQ76" s="44">
        <v>1796</v>
      </c>
      <c r="AR76" s="44">
        <v>236</v>
      </c>
      <c r="AS76" s="44">
        <v>81</v>
      </c>
      <c r="AT76" s="44">
        <v>1057</v>
      </c>
      <c r="AU76" s="44">
        <v>9466</v>
      </c>
      <c r="AV76" s="44">
        <v>2569</v>
      </c>
      <c r="AW76" s="44">
        <v>11413</v>
      </c>
      <c r="AX76" s="44">
        <v>1374</v>
      </c>
      <c r="AY76" s="44">
        <v>2760</v>
      </c>
      <c r="AZ76" s="44">
        <v>4250</v>
      </c>
      <c r="BA76" s="44">
        <v>1786</v>
      </c>
      <c r="BB76" s="44">
        <v>145</v>
      </c>
      <c r="BC76" s="44">
        <v>1913</v>
      </c>
      <c r="BD76" s="44">
        <v>240</v>
      </c>
      <c r="BE76" s="44">
        <v>375</v>
      </c>
      <c r="BF76" s="44">
        <v>333</v>
      </c>
      <c r="BG76" s="44">
        <v>140</v>
      </c>
      <c r="BH76" s="44">
        <v>41</v>
      </c>
      <c r="BI76" s="44">
        <v>1091</v>
      </c>
    </row>
    <row r="77" spans="1:61" x14ac:dyDescent="0.2">
      <c r="A77" s="42">
        <v>43344</v>
      </c>
      <c r="B77" s="43">
        <v>950</v>
      </c>
      <c r="C77" s="43">
        <v>475</v>
      </c>
      <c r="D77" s="43">
        <v>720</v>
      </c>
      <c r="E77" s="43">
        <v>355</v>
      </c>
      <c r="F77" s="43">
        <v>540</v>
      </c>
      <c r="G77" s="43">
        <v>440</v>
      </c>
      <c r="H77" s="43">
        <v>466.3</v>
      </c>
      <c r="I77" s="43">
        <v>280</v>
      </c>
      <c r="J77" s="43">
        <v>485</v>
      </c>
      <c r="K77" s="43">
        <v>321.5</v>
      </c>
      <c r="L77" s="43">
        <v>440.3</v>
      </c>
      <c r="M77" s="43">
        <v>293</v>
      </c>
      <c r="N77" s="43">
        <v>500</v>
      </c>
      <c r="O77" s="43">
        <v>417</v>
      </c>
      <c r="P77" s="43">
        <v>700</v>
      </c>
      <c r="Q77" s="43">
        <v>730</v>
      </c>
      <c r="R77" s="43">
        <v>429</v>
      </c>
      <c r="S77" s="43">
        <v>568</v>
      </c>
      <c r="T77" s="43">
        <v>289.8</v>
      </c>
      <c r="U77" s="43">
        <v>385</v>
      </c>
      <c r="V77" s="43">
        <v>385</v>
      </c>
      <c r="W77" s="43">
        <v>380</v>
      </c>
      <c r="X77" s="43">
        <v>190</v>
      </c>
      <c r="Y77" s="43">
        <v>395</v>
      </c>
      <c r="Z77" s="43">
        <v>240</v>
      </c>
      <c r="AA77" s="43">
        <v>358</v>
      </c>
      <c r="AB77" s="43">
        <v>265</v>
      </c>
      <c r="AC77" s="43">
        <v>335</v>
      </c>
      <c r="AD77" s="43">
        <v>357</v>
      </c>
      <c r="AE77" s="43">
        <v>445</v>
      </c>
      <c r="AF77" s="44">
        <v>9720</v>
      </c>
      <c r="AG77" s="44">
        <v>10770</v>
      </c>
      <c r="AH77" s="44">
        <v>12138</v>
      </c>
      <c r="AI77" s="44">
        <v>6219</v>
      </c>
      <c r="AJ77" s="44">
        <v>8337</v>
      </c>
      <c r="AK77" s="44">
        <v>8651</v>
      </c>
      <c r="AL77" s="44">
        <v>4014</v>
      </c>
      <c r="AM77" s="44">
        <v>1322</v>
      </c>
      <c r="AN77" s="44">
        <v>5875</v>
      </c>
      <c r="AO77" s="44">
        <v>1564</v>
      </c>
      <c r="AP77" s="44">
        <v>896</v>
      </c>
      <c r="AQ77" s="44">
        <v>1581</v>
      </c>
      <c r="AR77" s="44">
        <v>257</v>
      </c>
      <c r="AS77" s="44">
        <v>89</v>
      </c>
      <c r="AT77" s="44">
        <v>881</v>
      </c>
      <c r="AU77" s="44">
        <v>7933</v>
      </c>
      <c r="AV77" s="44">
        <v>2293</v>
      </c>
      <c r="AW77" s="44">
        <v>9080</v>
      </c>
      <c r="AX77" s="44">
        <v>1220</v>
      </c>
      <c r="AY77" s="44">
        <v>2648</v>
      </c>
      <c r="AZ77" s="44">
        <v>4201</v>
      </c>
      <c r="BA77" s="44">
        <v>1701</v>
      </c>
      <c r="BB77" s="44">
        <v>160</v>
      </c>
      <c r="BC77" s="44">
        <v>1965</v>
      </c>
      <c r="BD77" s="44">
        <v>294</v>
      </c>
      <c r="BE77" s="44">
        <v>359</v>
      </c>
      <c r="BF77" s="44">
        <v>302</v>
      </c>
      <c r="BG77" s="44">
        <v>155</v>
      </c>
      <c r="BH77" s="44">
        <v>46</v>
      </c>
      <c r="BI77" s="44">
        <v>942</v>
      </c>
    </row>
    <row r="78" spans="1:61" x14ac:dyDescent="0.2">
      <c r="A78" s="42">
        <v>43435</v>
      </c>
      <c r="B78" s="43">
        <v>940</v>
      </c>
      <c r="C78" s="43">
        <v>464.8</v>
      </c>
      <c r="D78" s="43">
        <v>735</v>
      </c>
      <c r="E78" s="43">
        <v>370</v>
      </c>
      <c r="F78" s="43">
        <v>540</v>
      </c>
      <c r="G78" s="43">
        <v>433</v>
      </c>
      <c r="H78" s="43">
        <v>480</v>
      </c>
      <c r="I78" s="43">
        <v>295</v>
      </c>
      <c r="J78" s="43">
        <v>489</v>
      </c>
      <c r="K78" s="43">
        <v>320</v>
      </c>
      <c r="L78" s="43">
        <v>465</v>
      </c>
      <c r="M78" s="43">
        <v>310</v>
      </c>
      <c r="N78" s="43">
        <v>510</v>
      </c>
      <c r="O78" s="43">
        <v>452.5</v>
      </c>
      <c r="P78" s="43">
        <v>720</v>
      </c>
      <c r="Q78" s="43">
        <v>725</v>
      </c>
      <c r="R78" s="43">
        <v>412</v>
      </c>
      <c r="S78" s="43">
        <v>565</v>
      </c>
      <c r="T78" s="43">
        <v>295</v>
      </c>
      <c r="U78" s="43">
        <v>390</v>
      </c>
      <c r="V78" s="43">
        <v>390</v>
      </c>
      <c r="W78" s="43">
        <v>371</v>
      </c>
      <c r="X78" s="43">
        <v>190</v>
      </c>
      <c r="Y78" s="43">
        <v>392</v>
      </c>
      <c r="Z78" s="43">
        <v>265</v>
      </c>
      <c r="AA78" s="43">
        <v>375</v>
      </c>
      <c r="AB78" s="43">
        <v>259.5</v>
      </c>
      <c r="AC78" s="43">
        <v>340</v>
      </c>
      <c r="AD78" s="43">
        <v>360</v>
      </c>
      <c r="AE78" s="43">
        <v>447.9</v>
      </c>
      <c r="AF78" s="44">
        <v>9621</v>
      </c>
      <c r="AG78" s="44">
        <v>11238</v>
      </c>
      <c r="AH78" s="44">
        <v>12270</v>
      </c>
      <c r="AI78" s="44">
        <v>6208</v>
      </c>
      <c r="AJ78" s="44">
        <v>7867</v>
      </c>
      <c r="AK78" s="44">
        <v>8201</v>
      </c>
      <c r="AL78" s="44">
        <v>4282</v>
      </c>
      <c r="AM78" s="44">
        <v>1378</v>
      </c>
      <c r="AN78" s="44">
        <v>5752</v>
      </c>
      <c r="AO78" s="44">
        <v>1634</v>
      </c>
      <c r="AP78" s="44">
        <v>907</v>
      </c>
      <c r="AQ78" s="44">
        <v>1593</v>
      </c>
      <c r="AR78" s="44">
        <v>249</v>
      </c>
      <c r="AS78" s="44">
        <v>78</v>
      </c>
      <c r="AT78" s="44">
        <v>1026</v>
      </c>
      <c r="AU78" s="44">
        <v>7301</v>
      </c>
      <c r="AV78" s="44">
        <v>2351</v>
      </c>
      <c r="AW78" s="44">
        <v>8497</v>
      </c>
      <c r="AX78" s="44">
        <v>1207</v>
      </c>
      <c r="AY78" s="44">
        <v>2455</v>
      </c>
      <c r="AZ78" s="44">
        <v>3749</v>
      </c>
      <c r="BA78" s="44">
        <v>1701</v>
      </c>
      <c r="BB78" s="44">
        <v>159</v>
      </c>
      <c r="BC78" s="44">
        <v>1797</v>
      </c>
      <c r="BD78" s="44">
        <v>270</v>
      </c>
      <c r="BE78" s="44">
        <v>366</v>
      </c>
      <c r="BF78" s="44">
        <v>264</v>
      </c>
      <c r="BG78" s="44">
        <v>125</v>
      </c>
      <c r="BH78" s="44">
        <v>41</v>
      </c>
      <c r="BI78" s="44">
        <v>1043</v>
      </c>
    </row>
    <row r="79" spans="1:61" x14ac:dyDescent="0.2">
      <c r="A79" s="42">
        <v>43525</v>
      </c>
      <c r="B79" s="43">
        <v>870</v>
      </c>
      <c r="C79" s="43">
        <v>462</v>
      </c>
      <c r="D79" s="43">
        <v>685</v>
      </c>
      <c r="E79" s="43">
        <v>370</v>
      </c>
      <c r="F79" s="43">
        <v>533</v>
      </c>
      <c r="G79" s="43">
        <v>434</v>
      </c>
      <c r="H79" s="43">
        <v>475</v>
      </c>
      <c r="I79" s="43">
        <v>285</v>
      </c>
      <c r="J79" s="43">
        <v>490</v>
      </c>
      <c r="K79" s="43">
        <v>330</v>
      </c>
      <c r="L79" s="43">
        <v>471.5</v>
      </c>
      <c r="M79" s="43">
        <v>310</v>
      </c>
      <c r="N79" s="43">
        <v>485</v>
      </c>
      <c r="O79" s="43">
        <v>419.5</v>
      </c>
      <c r="P79" s="43">
        <v>690</v>
      </c>
      <c r="Q79" s="43">
        <v>695</v>
      </c>
      <c r="R79" s="43">
        <v>410</v>
      </c>
      <c r="S79" s="43">
        <v>555</v>
      </c>
      <c r="T79" s="43">
        <v>292.3</v>
      </c>
      <c r="U79" s="43">
        <v>387.8</v>
      </c>
      <c r="V79" s="43">
        <v>388</v>
      </c>
      <c r="W79" s="43">
        <v>400</v>
      </c>
      <c r="X79" s="43">
        <v>185</v>
      </c>
      <c r="Y79" s="43">
        <v>387.5</v>
      </c>
      <c r="Z79" s="43">
        <v>256.5</v>
      </c>
      <c r="AA79" s="43">
        <v>390</v>
      </c>
      <c r="AB79" s="43">
        <v>280</v>
      </c>
      <c r="AC79" s="43">
        <v>292.5</v>
      </c>
      <c r="AD79" s="43">
        <v>362</v>
      </c>
      <c r="AE79" s="43">
        <v>450</v>
      </c>
      <c r="AF79" s="44">
        <v>8565</v>
      </c>
      <c r="AG79" s="44">
        <v>9599</v>
      </c>
      <c r="AH79" s="44">
        <v>10284</v>
      </c>
      <c r="AI79" s="44">
        <v>5534</v>
      </c>
      <c r="AJ79" s="44">
        <v>7380</v>
      </c>
      <c r="AK79" s="44">
        <v>7739</v>
      </c>
      <c r="AL79" s="44">
        <v>3793</v>
      </c>
      <c r="AM79" s="44">
        <v>1410</v>
      </c>
      <c r="AN79" s="44">
        <v>5717</v>
      </c>
      <c r="AO79" s="44">
        <v>1579</v>
      </c>
      <c r="AP79" s="44">
        <v>903</v>
      </c>
      <c r="AQ79" s="44">
        <v>1607</v>
      </c>
      <c r="AR79" s="44">
        <v>221</v>
      </c>
      <c r="AS79" s="44">
        <v>80</v>
      </c>
      <c r="AT79" s="44">
        <v>777</v>
      </c>
      <c r="AU79" s="44">
        <v>6344</v>
      </c>
      <c r="AV79" s="44">
        <v>2003</v>
      </c>
      <c r="AW79" s="44">
        <v>7512</v>
      </c>
      <c r="AX79" s="44">
        <v>1076</v>
      </c>
      <c r="AY79" s="44">
        <v>2346</v>
      </c>
      <c r="AZ79" s="44">
        <v>3758</v>
      </c>
      <c r="BA79" s="44">
        <v>1861</v>
      </c>
      <c r="BB79" s="44">
        <v>149</v>
      </c>
      <c r="BC79" s="44">
        <v>1849</v>
      </c>
      <c r="BD79" s="44">
        <v>230</v>
      </c>
      <c r="BE79" s="44">
        <v>341</v>
      </c>
      <c r="BF79" s="44">
        <v>289</v>
      </c>
      <c r="BG79" s="44">
        <v>120</v>
      </c>
      <c r="BH79" s="44">
        <v>46</v>
      </c>
      <c r="BI79" s="44">
        <v>739</v>
      </c>
    </row>
    <row r="80" spans="1:61" x14ac:dyDescent="0.2">
      <c r="A80" s="42">
        <v>43617</v>
      </c>
      <c r="B80" s="43">
        <v>897</v>
      </c>
      <c r="C80" s="43">
        <v>470</v>
      </c>
      <c r="D80" s="43">
        <v>700</v>
      </c>
      <c r="E80" s="43">
        <v>370</v>
      </c>
      <c r="F80" s="43">
        <v>538</v>
      </c>
      <c r="G80" s="43">
        <v>440</v>
      </c>
      <c r="H80" s="43">
        <v>478.5</v>
      </c>
      <c r="I80" s="43">
        <v>276.5</v>
      </c>
      <c r="J80" s="43">
        <v>480</v>
      </c>
      <c r="K80" s="43">
        <v>320</v>
      </c>
      <c r="L80" s="43">
        <v>490</v>
      </c>
      <c r="M80" s="43">
        <v>310</v>
      </c>
      <c r="N80" s="43">
        <v>470</v>
      </c>
      <c r="O80" s="43">
        <v>422.5</v>
      </c>
      <c r="P80" s="43">
        <v>715</v>
      </c>
      <c r="Q80" s="43">
        <v>700</v>
      </c>
      <c r="R80" s="43">
        <v>422</v>
      </c>
      <c r="S80" s="43">
        <v>560</v>
      </c>
      <c r="T80" s="43">
        <v>290</v>
      </c>
      <c r="U80" s="43">
        <v>390</v>
      </c>
      <c r="V80" s="43">
        <v>385</v>
      </c>
      <c r="W80" s="43">
        <v>390</v>
      </c>
      <c r="X80" s="43">
        <v>192</v>
      </c>
      <c r="Y80" s="43">
        <v>379</v>
      </c>
      <c r="Z80" s="43">
        <v>230</v>
      </c>
      <c r="AA80" s="43">
        <v>382.5</v>
      </c>
      <c r="AB80" s="43">
        <v>267</v>
      </c>
      <c r="AC80" s="43">
        <v>306.5</v>
      </c>
      <c r="AD80" s="43">
        <v>351</v>
      </c>
      <c r="AE80" s="43">
        <v>450</v>
      </c>
      <c r="AF80" s="44">
        <v>10397</v>
      </c>
      <c r="AG80" s="44">
        <v>10152</v>
      </c>
      <c r="AH80" s="44">
        <v>12317</v>
      </c>
      <c r="AI80" s="44">
        <v>5447</v>
      </c>
      <c r="AJ80" s="44">
        <v>7514</v>
      </c>
      <c r="AK80" s="44">
        <v>7731</v>
      </c>
      <c r="AL80" s="44">
        <v>3944</v>
      </c>
      <c r="AM80" s="44">
        <v>1310</v>
      </c>
      <c r="AN80" s="44">
        <v>5676</v>
      </c>
      <c r="AO80" s="44">
        <v>1416</v>
      </c>
      <c r="AP80" s="44">
        <v>836</v>
      </c>
      <c r="AQ80" s="44">
        <v>1435</v>
      </c>
      <c r="AR80" s="44">
        <v>223</v>
      </c>
      <c r="AS80" s="44">
        <v>78</v>
      </c>
      <c r="AT80" s="44">
        <v>979</v>
      </c>
      <c r="AU80" s="44">
        <v>8489</v>
      </c>
      <c r="AV80" s="44">
        <v>2235</v>
      </c>
      <c r="AW80" s="44">
        <v>9095</v>
      </c>
      <c r="AX80" s="44">
        <v>1132</v>
      </c>
      <c r="AY80" s="44">
        <v>2265</v>
      </c>
      <c r="AZ80" s="44">
        <v>3849</v>
      </c>
      <c r="BA80" s="44">
        <v>1843</v>
      </c>
      <c r="BB80" s="44">
        <v>127</v>
      </c>
      <c r="BC80" s="44">
        <v>1738</v>
      </c>
      <c r="BD80" s="44">
        <v>227</v>
      </c>
      <c r="BE80" s="44">
        <v>348</v>
      </c>
      <c r="BF80" s="44">
        <v>284</v>
      </c>
      <c r="BG80" s="44">
        <v>170</v>
      </c>
      <c r="BH80" s="44">
        <v>34</v>
      </c>
      <c r="BI80" s="44">
        <v>855</v>
      </c>
    </row>
    <row r="81" spans="1:61" x14ac:dyDescent="0.2">
      <c r="A81" s="42">
        <v>43709</v>
      </c>
      <c r="B81" s="43">
        <v>900</v>
      </c>
      <c r="C81" s="43">
        <v>475</v>
      </c>
      <c r="D81" s="43">
        <v>705</v>
      </c>
      <c r="E81" s="43">
        <v>375</v>
      </c>
      <c r="F81" s="43">
        <v>540</v>
      </c>
      <c r="G81" s="43">
        <v>441</v>
      </c>
      <c r="H81" s="43">
        <v>474</v>
      </c>
      <c r="I81" s="43">
        <v>287.5</v>
      </c>
      <c r="J81" s="43">
        <v>478</v>
      </c>
      <c r="K81" s="43">
        <v>310</v>
      </c>
      <c r="L81" s="43">
        <v>480</v>
      </c>
      <c r="M81" s="43">
        <v>320</v>
      </c>
      <c r="N81" s="43">
        <v>489</v>
      </c>
      <c r="O81" s="43">
        <v>410</v>
      </c>
      <c r="P81" s="43">
        <v>676</v>
      </c>
      <c r="Q81" s="43">
        <v>710</v>
      </c>
      <c r="R81" s="43">
        <v>426</v>
      </c>
      <c r="S81" s="43">
        <v>570</v>
      </c>
      <c r="T81" s="43">
        <v>305</v>
      </c>
      <c r="U81" s="43">
        <v>397.5</v>
      </c>
      <c r="V81" s="43">
        <v>393</v>
      </c>
      <c r="W81" s="43">
        <v>380</v>
      </c>
      <c r="X81" s="43">
        <v>185</v>
      </c>
      <c r="Y81" s="43">
        <v>380</v>
      </c>
      <c r="Z81" s="43">
        <v>240</v>
      </c>
      <c r="AA81" s="43">
        <v>385</v>
      </c>
      <c r="AB81" s="43">
        <v>270</v>
      </c>
      <c r="AC81" s="43">
        <v>285</v>
      </c>
      <c r="AD81" s="43">
        <v>357.5</v>
      </c>
      <c r="AE81" s="43">
        <v>456.9</v>
      </c>
      <c r="AF81" s="44">
        <v>12196</v>
      </c>
      <c r="AG81" s="44">
        <v>11377</v>
      </c>
      <c r="AH81" s="44">
        <v>12832</v>
      </c>
      <c r="AI81" s="44">
        <v>5898</v>
      </c>
      <c r="AJ81" s="44">
        <v>8520</v>
      </c>
      <c r="AK81" s="44">
        <v>9405</v>
      </c>
      <c r="AL81" s="44">
        <v>4016</v>
      </c>
      <c r="AM81" s="44">
        <v>1374</v>
      </c>
      <c r="AN81" s="44">
        <v>6013</v>
      </c>
      <c r="AO81" s="44">
        <v>1742</v>
      </c>
      <c r="AP81" s="44">
        <v>872</v>
      </c>
      <c r="AQ81" s="44">
        <v>1499</v>
      </c>
      <c r="AR81" s="44">
        <v>230</v>
      </c>
      <c r="AS81" s="44">
        <v>71</v>
      </c>
      <c r="AT81" s="44">
        <v>1207</v>
      </c>
      <c r="AU81" s="44">
        <v>10383</v>
      </c>
      <c r="AV81" s="44">
        <v>2658</v>
      </c>
      <c r="AW81" s="44">
        <v>9594</v>
      </c>
      <c r="AX81" s="44">
        <v>1221</v>
      </c>
      <c r="AY81" s="44">
        <v>2755</v>
      </c>
      <c r="AZ81" s="44">
        <v>4331</v>
      </c>
      <c r="BA81" s="44">
        <v>1751</v>
      </c>
      <c r="BB81" s="44">
        <v>169</v>
      </c>
      <c r="BC81" s="44">
        <v>1974</v>
      </c>
      <c r="BD81" s="44">
        <v>297</v>
      </c>
      <c r="BE81" s="44">
        <v>333</v>
      </c>
      <c r="BF81" s="44">
        <v>314</v>
      </c>
      <c r="BG81" s="44">
        <v>157</v>
      </c>
      <c r="BH81" s="44">
        <v>52</v>
      </c>
      <c r="BI81" s="44">
        <v>1095</v>
      </c>
    </row>
    <row r="82" spans="1:61" x14ac:dyDescent="0.2">
      <c r="A82" s="42">
        <v>43800</v>
      </c>
      <c r="B82" s="43">
        <v>985</v>
      </c>
      <c r="C82" s="43">
        <v>500</v>
      </c>
      <c r="D82" s="43">
        <v>760</v>
      </c>
      <c r="E82" s="43">
        <v>390</v>
      </c>
      <c r="F82" s="43">
        <v>550</v>
      </c>
      <c r="G82" s="43">
        <v>448</v>
      </c>
      <c r="H82" s="43">
        <v>485</v>
      </c>
      <c r="I82" s="43">
        <v>290</v>
      </c>
      <c r="J82" s="43">
        <v>495</v>
      </c>
      <c r="K82" s="43">
        <v>337.8</v>
      </c>
      <c r="L82" s="43">
        <v>517</v>
      </c>
      <c r="M82" s="43">
        <v>340</v>
      </c>
      <c r="N82" s="43">
        <v>470</v>
      </c>
      <c r="O82" s="43">
        <v>434.5</v>
      </c>
      <c r="P82" s="43">
        <v>745</v>
      </c>
      <c r="Q82" s="43">
        <v>736</v>
      </c>
      <c r="R82" s="43">
        <v>440</v>
      </c>
      <c r="S82" s="43">
        <v>600</v>
      </c>
      <c r="T82" s="43">
        <v>340</v>
      </c>
      <c r="U82" s="43">
        <v>399</v>
      </c>
      <c r="V82" s="43">
        <v>395</v>
      </c>
      <c r="W82" s="43">
        <v>385</v>
      </c>
      <c r="X82" s="43">
        <v>190</v>
      </c>
      <c r="Y82" s="43">
        <v>380</v>
      </c>
      <c r="Z82" s="43">
        <v>246.5</v>
      </c>
      <c r="AA82" s="43">
        <v>400</v>
      </c>
      <c r="AB82" s="43">
        <v>295</v>
      </c>
      <c r="AC82" s="43">
        <v>320</v>
      </c>
      <c r="AD82" s="43">
        <v>300</v>
      </c>
      <c r="AE82" s="43">
        <v>473.3</v>
      </c>
      <c r="AF82" s="44">
        <v>13545</v>
      </c>
      <c r="AG82" s="44">
        <v>12304</v>
      </c>
      <c r="AH82" s="44">
        <v>15628</v>
      </c>
      <c r="AI82" s="44">
        <v>6858</v>
      </c>
      <c r="AJ82" s="44">
        <v>8429</v>
      </c>
      <c r="AK82" s="44">
        <v>9111</v>
      </c>
      <c r="AL82" s="44">
        <v>4215</v>
      </c>
      <c r="AM82" s="44">
        <v>1578</v>
      </c>
      <c r="AN82" s="44">
        <v>6229</v>
      </c>
      <c r="AO82" s="44">
        <v>1734</v>
      </c>
      <c r="AP82" s="44">
        <v>877</v>
      </c>
      <c r="AQ82" s="44">
        <v>1616</v>
      </c>
      <c r="AR82" s="44">
        <v>239</v>
      </c>
      <c r="AS82" s="44">
        <v>76</v>
      </c>
      <c r="AT82" s="44">
        <v>1321</v>
      </c>
      <c r="AU82" s="44">
        <v>10963</v>
      </c>
      <c r="AV82" s="44">
        <v>2884</v>
      </c>
      <c r="AW82" s="44">
        <v>11399</v>
      </c>
      <c r="AX82" s="44">
        <v>1447</v>
      </c>
      <c r="AY82" s="44">
        <v>2796</v>
      </c>
      <c r="AZ82" s="44">
        <v>4481</v>
      </c>
      <c r="BA82" s="44">
        <v>1807</v>
      </c>
      <c r="BB82" s="44">
        <v>160</v>
      </c>
      <c r="BC82" s="44">
        <v>2076</v>
      </c>
      <c r="BD82" s="44">
        <v>264</v>
      </c>
      <c r="BE82" s="44">
        <v>330</v>
      </c>
      <c r="BF82" s="44">
        <v>279</v>
      </c>
      <c r="BG82" s="44">
        <v>155</v>
      </c>
      <c r="BH82" s="44">
        <v>36</v>
      </c>
      <c r="BI82" s="44">
        <v>1242</v>
      </c>
    </row>
    <row r="83" spans="1:61" x14ac:dyDescent="0.2">
      <c r="A83" s="42">
        <v>43891</v>
      </c>
      <c r="B83" s="43">
        <v>947.5</v>
      </c>
      <c r="C83" s="43">
        <v>490</v>
      </c>
      <c r="D83" s="43">
        <v>730</v>
      </c>
      <c r="E83" s="43">
        <v>390</v>
      </c>
      <c r="F83" s="43">
        <v>540</v>
      </c>
      <c r="G83" s="43">
        <v>430</v>
      </c>
      <c r="H83" s="43">
        <v>472</v>
      </c>
      <c r="I83" s="43">
        <v>290</v>
      </c>
      <c r="J83" s="43">
        <v>477.5</v>
      </c>
      <c r="K83" s="43">
        <v>337</v>
      </c>
      <c r="L83" s="43">
        <v>529</v>
      </c>
      <c r="M83" s="43">
        <v>335.5</v>
      </c>
      <c r="N83" s="43">
        <v>470</v>
      </c>
      <c r="O83" s="43">
        <v>420</v>
      </c>
      <c r="P83" s="43">
        <v>720.5</v>
      </c>
      <c r="Q83" s="43">
        <v>730</v>
      </c>
      <c r="R83" s="43">
        <v>450</v>
      </c>
      <c r="S83" s="43">
        <v>593</v>
      </c>
      <c r="T83" s="43">
        <v>340</v>
      </c>
      <c r="U83" s="43">
        <v>390</v>
      </c>
      <c r="V83" s="43">
        <v>400</v>
      </c>
      <c r="W83" s="43">
        <v>390</v>
      </c>
      <c r="X83" s="43">
        <v>197</v>
      </c>
      <c r="Y83" s="43">
        <v>380</v>
      </c>
      <c r="Z83" s="43">
        <v>233.3</v>
      </c>
      <c r="AA83" s="43">
        <v>425</v>
      </c>
      <c r="AB83" s="43">
        <v>298</v>
      </c>
      <c r="AC83" s="43">
        <v>299</v>
      </c>
      <c r="AD83" s="43">
        <v>328.5</v>
      </c>
      <c r="AE83" s="43">
        <v>460</v>
      </c>
      <c r="AF83" s="44">
        <v>10009</v>
      </c>
      <c r="AG83" s="44">
        <v>10137</v>
      </c>
      <c r="AH83" s="44">
        <v>11249</v>
      </c>
      <c r="AI83" s="44">
        <v>5978</v>
      </c>
      <c r="AJ83" s="44">
        <v>7605</v>
      </c>
      <c r="AK83" s="44">
        <v>8427</v>
      </c>
      <c r="AL83" s="44">
        <v>3625</v>
      </c>
      <c r="AM83" s="44">
        <v>1368</v>
      </c>
      <c r="AN83" s="44">
        <v>5782</v>
      </c>
      <c r="AO83" s="44">
        <v>1639</v>
      </c>
      <c r="AP83" s="44">
        <v>781</v>
      </c>
      <c r="AQ83" s="44">
        <v>1706</v>
      </c>
      <c r="AR83" s="44">
        <v>221</v>
      </c>
      <c r="AS83" s="44">
        <v>65</v>
      </c>
      <c r="AT83" s="44">
        <v>1035</v>
      </c>
      <c r="AU83" s="44">
        <v>8960</v>
      </c>
      <c r="AV83" s="44">
        <v>2565</v>
      </c>
      <c r="AW83" s="44">
        <v>8764</v>
      </c>
      <c r="AX83" s="44">
        <v>1383</v>
      </c>
      <c r="AY83" s="44">
        <v>2830</v>
      </c>
      <c r="AZ83" s="44">
        <v>4081</v>
      </c>
      <c r="BA83" s="44">
        <v>1671</v>
      </c>
      <c r="BB83" s="44">
        <v>168</v>
      </c>
      <c r="BC83" s="44">
        <v>2027</v>
      </c>
      <c r="BD83" s="44">
        <v>281</v>
      </c>
      <c r="BE83" s="44">
        <v>312</v>
      </c>
      <c r="BF83" s="44">
        <v>261</v>
      </c>
      <c r="BG83" s="44">
        <v>129</v>
      </c>
      <c r="BH83" s="44">
        <v>35</v>
      </c>
      <c r="BI83" s="44">
        <v>1015</v>
      </c>
    </row>
    <row r="84" spans="1:61" x14ac:dyDescent="0.2">
      <c r="A84" s="42">
        <v>43983</v>
      </c>
      <c r="B84" s="43">
        <v>955</v>
      </c>
      <c r="C84" s="43">
        <v>490</v>
      </c>
      <c r="D84" s="43">
        <v>720</v>
      </c>
      <c r="E84" s="43">
        <v>395</v>
      </c>
      <c r="F84" s="43">
        <v>547</v>
      </c>
      <c r="G84" s="43">
        <v>430</v>
      </c>
      <c r="H84" s="43">
        <v>487.5</v>
      </c>
      <c r="I84" s="43">
        <v>280</v>
      </c>
      <c r="J84" s="43">
        <v>475</v>
      </c>
      <c r="K84" s="43">
        <v>327</v>
      </c>
      <c r="L84" s="43">
        <v>520</v>
      </c>
      <c r="M84" s="43">
        <v>340</v>
      </c>
      <c r="N84" s="43">
        <v>465</v>
      </c>
      <c r="O84" s="43">
        <v>434.5</v>
      </c>
      <c r="P84" s="43">
        <v>720</v>
      </c>
      <c r="Q84" s="43">
        <v>730</v>
      </c>
      <c r="R84" s="43">
        <v>471</v>
      </c>
      <c r="S84" s="43">
        <v>600</v>
      </c>
      <c r="T84" s="43">
        <v>371.7</v>
      </c>
      <c r="U84" s="43">
        <v>386.5</v>
      </c>
      <c r="V84" s="43">
        <v>404</v>
      </c>
      <c r="W84" s="43">
        <v>421.3</v>
      </c>
      <c r="X84" s="43">
        <v>170</v>
      </c>
      <c r="Y84" s="43">
        <v>350</v>
      </c>
      <c r="Z84" s="43">
        <v>210</v>
      </c>
      <c r="AA84" s="43">
        <v>394.5</v>
      </c>
      <c r="AB84" s="43">
        <v>293.5</v>
      </c>
      <c r="AC84" s="43">
        <v>272</v>
      </c>
      <c r="AD84" s="43">
        <v>365</v>
      </c>
      <c r="AE84" s="43">
        <v>460</v>
      </c>
      <c r="AF84" s="44">
        <v>9532</v>
      </c>
      <c r="AG84" s="44">
        <v>9623</v>
      </c>
      <c r="AH84" s="44">
        <v>9335</v>
      </c>
      <c r="AI84" s="44">
        <v>4728</v>
      </c>
      <c r="AJ84" s="44">
        <v>6917</v>
      </c>
      <c r="AK84" s="44">
        <v>7961</v>
      </c>
      <c r="AL84" s="44">
        <v>3354</v>
      </c>
      <c r="AM84" s="44">
        <v>1250</v>
      </c>
      <c r="AN84" s="44">
        <v>5297</v>
      </c>
      <c r="AO84" s="44">
        <v>1692</v>
      </c>
      <c r="AP84" s="44">
        <v>647</v>
      </c>
      <c r="AQ84" s="44">
        <v>1095</v>
      </c>
      <c r="AR84" s="44">
        <v>209</v>
      </c>
      <c r="AS84" s="44">
        <v>68</v>
      </c>
      <c r="AT84" s="44">
        <v>1008</v>
      </c>
      <c r="AU84" s="44">
        <v>7010</v>
      </c>
      <c r="AV84" s="44">
        <v>2029</v>
      </c>
      <c r="AW84" s="44">
        <v>7441</v>
      </c>
      <c r="AX84" s="44">
        <v>1046</v>
      </c>
      <c r="AY84" s="44">
        <v>2100</v>
      </c>
      <c r="AZ84" s="44">
        <v>3065</v>
      </c>
      <c r="BA84" s="44">
        <v>1645</v>
      </c>
      <c r="BB84" s="44">
        <v>143</v>
      </c>
      <c r="BC84" s="44">
        <v>1745</v>
      </c>
      <c r="BD84" s="44">
        <v>215</v>
      </c>
      <c r="BE84" s="44">
        <v>248</v>
      </c>
      <c r="BF84" s="44">
        <v>192</v>
      </c>
      <c r="BG84" s="44">
        <v>142</v>
      </c>
      <c r="BH84" s="44">
        <v>31</v>
      </c>
      <c r="BI84" s="44">
        <v>1009</v>
      </c>
    </row>
    <row r="85" spans="1:61" x14ac:dyDescent="0.2">
      <c r="A85" s="42">
        <v>44075</v>
      </c>
      <c r="B85" s="43">
        <v>945</v>
      </c>
      <c r="C85" s="43">
        <v>510</v>
      </c>
      <c r="D85" s="43">
        <v>710</v>
      </c>
      <c r="E85" s="43">
        <v>410</v>
      </c>
      <c r="F85" s="43">
        <v>555</v>
      </c>
      <c r="G85" s="43">
        <v>449</v>
      </c>
      <c r="H85" s="43">
        <v>500</v>
      </c>
      <c r="I85" s="43">
        <v>285</v>
      </c>
      <c r="J85" s="43">
        <v>495</v>
      </c>
      <c r="K85" s="43">
        <v>365</v>
      </c>
      <c r="L85" s="43">
        <v>528.5</v>
      </c>
      <c r="M85" s="43">
        <v>350</v>
      </c>
      <c r="N85" s="43">
        <v>500</v>
      </c>
      <c r="O85" s="43">
        <v>440</v>
      </c>
      <c r="P85" s="43">
        <v>755</v>
      </c>
      <c r="Q85" s="43">
        <v>730</v>
      </c>
      <c r="R85" s="43">
        <v>475</v>
      </c>
      <c r="S85" s="43">
        <v>595</v>
      </c>
      <c r="T85" s="43">
        <v>360</v>
      </c>
      <c r="U85" s="43">
        <v>400</v>
      </c>
      <c r="V85" s="43">
        <v>412.5</v>
      </c>
      <c r="W85" s="43">
        <v>411.8</v>
      </c>
      <c r="X85" s="43">
        <v>201</v>
      </c>
      <c r="Y85" s="43">
        <v>385</v>
      </c>
      <c r="Z85" s="43">
        <v>247</v>
      </c>
      <c r="AA85" s="43">
        <v>420</v>
      </c>
      <c r="AB85" s="43">
        <v>305</v>
      </c>
      <c r="AC85" s="43">
        <v>285</v>
      </c>
      <c r="AD85" s="43">
        <v>290</v>
      </c>
      <c r="AE85" s="43">
        <v>488</v>
      </c>
      <c r="AF85" s="44">
        <v>14050</v>
      </c>
      <c r="AG85" s="44">
        <v>15136</v>
      </c>
      <c r="AH85" s="44">
        <v>7227</v>
      </c>
      <c r="AI85" s="44">
        <v>6624</v>
      </c>
      <c r="AJ85" s="44">
        <v>10023</v>
      </c>
      <c r="AK85" s="44">
        <v>12540</v>
      </c>
      <c r="AL85" s="44">
        <v>4291</v>
      </c>
      <c r="AM85" s="44">
        <v>1874</v>
      </c>
      <c r="AN85" s="44">
        <v>7847</v>
      </c>
      <c r="AO85" s="44">
        <v>2597</v>
      </c>
      <c r="AP85" s="44">
        <v>756</v>
      </c>
      <c r="AQ85" s="44">
        <v>1715</v>
      </c>
      <c r="AR85" s="44">
        <v>262</v>
      </c>
      <c r="AS85" s="44">
        <v>121</v>
      </c>
      <c r="AT85" s="44">
        <v>1424</v>
      </c>
      <c r="AU85" s="44">
        <v>10394</v>
      </c>
      <c r="AV85" s="44">
        <v>3498</v>
      </c>
      <c r="AW85" s="44">
        <v>5485</v>
      </c>
      <c r="AX85" s="44">
        <v>1511</v>
      </c>
      <c r="AY85" s="44">
        <v>3162</v>
      </c>
      <c r="AZ85" s="44">
        <v>5192</v>
      </c>
      <c r="BA85" s="44">
        <v>1984</v>
      </c>
      <c r="BB85" s="44">
        <v>204</v>
      </c>
      <c r="BC85" s="44">
        <v>2466</v>
      </c>
      <c r="BD85" s="44">
        <v>319</v>
      </c>
      <c r="BE85" s="44">
        <v>347</v>
      </c>
      <c r="BF85" s="44">
        <v>341</v>
      </c>
      <c r="BG85" s="44">
        <v>117</v>
      </c>
      <c r="BH85" s="44">
        <v>27</v>
      </c>
      <c r="BI85" s="44">
        <v>1468</v>
      </c>
    </row>
    <row r="86" spans="1:61" x14ac:dyDescent="0.2">
      <c r="A86" s="42">
        <v>44166</v>
      </c>
      <c r="B86" s="43">
        <v>999</v>
      </c>
      <c r="C86" s="43">
        <v>541</v>
      </c>
      <c r="D86" s="43">
        <v>760</v>
      </c>
      <c r="E86" s="43">
        <v>439</v>
      </c>
      <c r="F86" s="43">
        <v>575</v>
      </c>
      <c r="G86" s="43">
        <v>460</v>
      </c>
      <c r="H86" s="43">
        <v>512.5</v>
      </c>
      <c r="I86" s="43">
        <v>307.5</v>
      </c>
      <c r="J86" s="43">
        <v>528</v>
      </c>
      <c r="K86" s="43">
        <v>375</v>
      </c>
      <c r="L86" s="43">
        <v>567.70000000000005</v>
      </c>
      <c r="M86" s="43">
        <v>380</v>
      </c>
      <c r="N86" s="43">
        <v>522.5</v>
      </c>
      <c r="O86" s="43">
        <v>417.5</v>
      </c>
      <c r="P86" s="43">
        <v>785</v>
      </c>
      <c r="Q86" s="43">
        <v>743</v>
      </c>
      <c r="R86" s="43">
        <v>480</v>
      </c>
      <c r="S86" s="43">
        <v>620</v>
      </c>
      <c r="T86" s="43">
        <v>351</v>
      </c>
      <c r="U86" s="43">
        <v>415</v>
      </c>
      <c r="V86" s="43">
        <v>430</v>
      </c>
      <c r="W86" s="43">
        <v>415</v>
      </c>
      <c r="X86" s="43">
        <v>217.5</v>
      </c>
      <c r="Y86" s="43">
        <v>400</v>
      </c>
      <c r="Z86" s="43">
        <v>270</v>
      </c>
      <c r="AA86" s="43">
        <v>441</v>
      </c>
      <c r="AB86" s="43">
        <v>321</v>
      </c>
      <c r="AC86" s="43">
        <v>292.5</v>
      </c>
      <c r="AD86" s="43">
        <v>348.5</v>
      </c>
      <c r="AE86" s="43">
        <v>498</v>
      </c>
      <c r="AF86" s="44">
        <v>16275</v>
      </c>
      <c r="AG86" s="44">
        <v>16545</v>
      </c>
      <c r="AH86" s="44">
        <v>15775</v>
      </c>
      <c r="AI86" s="44">
        <v>7988</v>
      </c>
      <c r="AJ86" s="44">
        <v>10940</v>
      </c>
      <c r="AK86" s="44">
        <v>13594</v>
      </c>
      <c r="AL86" s="44">
        <v>4421</v>
      </c>
      <c r="AM86" s="44">
        <v>2035</v>
      </c>
      <c r="AN86" s="44">
        <v>8873</v>
      </c>
      <c r="AO86" s="44">
        <v>2868</v>
      </c>
      <c r="AP86" s="44">
        <v>787</v>
      </c>
      <c r="AQ86" s="44">
        <v>1693</v>
      </c>
      <c r="AR86" s="44">
        <v>306</v>
      </c>
      <c r="AS86" s="44">
        <v>118</v>
      </c>
      <c r="AT86" s="44">
        <v>1636</v>
      </c>
      <c r="AU86" s="44">
        <v>12117</v>
      </c>
      <c r="AV86" s="44">
        <v>3991</v>
      </c>
      <c r="AW86" s="44">
        <v>12583</v>
      </c>
      <c r="AX86" s="44">
        <v>1484</v>
      </c>
      <c r="AY86" s="44">
        <v>3812</v>
      </c>
      <c r="AZ86" s="44">
        <v>6244</v>
      </c>
      <c r="BA86" s="44">
        <v>1911</v>
      </c>
      <c r="BB86" s="44">
        <v>246</v>
      </c>
      <c r="BC86" s="44">
        <v>3136</v>
      </c>
      <c r="BD86" s="44">
        <v>368</v>
      </c>
      <c r="BE86" s="44">
        <v>365</v>
      </c>
      <c r="BF86" s="44">
        <v>327</v>
      </c>
      <c r="BG86" s="44">
        <v>129</v>
      </c>
      <c r="BH86" s="44">
        <v>32</v>
      </c>
      <c r="BI86" s="44">
        <v>1777</v>
      </c>
    </row>
    <row r="87" spans="1:61" x14ac:dyDescent="0.2">
      <c r="A87" s="42">
        <v>44256</v>
      </c>
      <c r="B87" s="43">
        <v>1052</v>
      </c>
      <c r="C87" s="43">
        <v>560</v>
      </c>
      <c r="D87" s="43">
        <v>800</v>
      </c>
      <c r="E87" s="43">
        <v>455</v>
      </c>
      <c r="F87" s="43">
        <v>600</v>
      </c>
      <c r="G87" s="43">
        <v>465</v>
      </c>
      <c r="H87" s="43">
        <v>523</v>
      </c>
      <c r="I87" s="43">
        <v>300</v>
      </c>
      <c r="J87" s="43">
        <v>535</v>
      </c>
      <c r="K87" s="43">
        <v>392.5</v>
      </c>
      <c r="L87" s="43">
        <v>610</v>
      </c>
      <c r="M87" s="43">
        <v>400</v>
      </c>
      <c r="N87" s="43">
        <v>535</v>
      </c>
      <c r="O87" s="43">
        <v>462</v>
      </c>
      <c r="P87" s="43">
        <v>835</v>
      </c>
      <c r="Q87" s="43">
        <v>750</v>
      </c>
      <c r="R87" s="43">
        <v>510</v>
      </c>
      <c r="S87" s="43">
        <v>630</v>
      </c>
      <c r="T87" s="43">
        <v>360</v>
      </c>
      <c r="U87" s="43">
        <v>420</v>
      </c>
      <c r="V87" s="43">
        <v>440</v>
      </c>
      <c r="W87" s="43">
        <v>420</v>
      </c>
      <c r="X87" s="43">
        <v>220</v>
      </c>
      <c r="Y87" s="43">
        <v>414</v>
      </c>
      <c r="Z87" s="43">
        <v>265</v>
      </c>
      <c r="AA87" s="43">
        <v>471.1</v>
      </c>
      <c r="AB87" s="43">
        <v>330</v>
      </c>
      <c r="AC87" s="43">
        <v>340</v>
      </c>
      <c r="AD87" s="43">
        <v>324.5</v>
      </c>
      <c r="AE87" s="43">
        <v>505</v>
      </c>
      <c r="AF87" s="44">
        <v>15288</v>
      </c>
      <c r="AG87" s="44">
        <v>15289</v>
      </c>
      <c r="AH87" s="44">
        <v>16363</v>
      </c>
      <c r="AI87" s="44">
        <v>7785</v>
      </c>
      <c r="AJ87" s="44">
        <v>11441</v>
      </c>
      <c r="AK87" s="44">
        <v>14411</v>
      </c>
      <c r="AL87" s="44">
        <v>4451</v>
      </c>
      <c r="AM87" s="44">
        <v>2154</v>
      </c>
      <c r="AN87" s="44">
        <v>9064</v>
      </c>
      <c r="AO87" s="44">
        <v>3029</v>
      </c>
      <c r="AP87" s="44">
        <v>868</v>
      </c>
      <c r="AQ87" s="44">
        <v>1825</v>
      </c>
      <c r="AR87" s="44">
        <v>335</v>
      </c>
      <c r="AS87" s="44">
        <v>122</v>
      </c>
      <c r="AT87" s="44">
        <v>1237</v>
      </c>
      <c r="AU87" s="44">
        <v>13030</v>
      </c>
      <c r="AV87" s="44">
        <v>3862</v>
      </c>
      <c r="AW87" s="44">
        <v>13276</v>
      </c>
      <c r="AX87" s="44">
        <v>1513</v>
      </c>
      <c r="AY87" s="44">
        <v>4711</v>
      </c>
      <c r="AZ87" s="44">
        <v>7539</v>
      </c>
      <c r="BA87" s="44">
        <v>2415</v>
      </c>
      <c r="BB87" s="44">
        <v>273</v>
      </c>
      <c r="BC87" s="44">
        <v>3401</v>
      </c>
      <c r="BD87" s="44">
        <v>463</v>
      </c>
      <c r="BE87" s="44">
        <v>364</v>
      </c>
      <c r="BF87" s="44">
        <v>351</v>
      </c>
      <c r="BG87" s="44">
        <v>133</v>
      </c>
      <c r="BH87" s="44">
        <v>26</v>
      </c>
      <c r="BI87" s="44">
        <v>1324</v>
      </c>
    </row>
    <row r="88" spans="1:61" x14ac:dyDescent="0.2">
      <c r="A88" s="42">
        <v>44348</v>
      </c>
      <c r="B88" s="43">
        <v>1206.4000000000001</v>
      </c>
      <c r="C88" s="43">
        <v>590</v>
      </c>
      <c r="D88" s="43">
        <v>830</v>
      </c>
      <c r="E88" s="43">
        <v>478.5</v>
      </c>
      <c r="F88" s="43">
        <v>630</v>
      </c>
      <c r="G88" s="43">
        <v>480</v>
      </c>
      <c r="H88" s="43">
        <v>550</v>
      </c>
      <c r="I88" s="43">
        <v>310</v>
      </c>
      <c r="J88" s="43">
        <v>540</v>
      </c>
      <c r="K88" s="43">
        <v>379</v>
      </c>
      <c r="L88" s="43">
        <v>630</v>
      </c>
      <c r="M88" s="43">
        <v>420</v>
      </c>
      <c r="N88" s="43">
        <v>565</v>
      </c>
      <c r="O88" s="43">
        <v>460</v>
      </c>
      <c r="P88" s="43">
        <v>905</v>
      </c>
      <c r="Q88" s="43">
        <v>785</v>
      </c>
      <c r="R88" s="43">
        <v>529</v>
      </c>
      <c r="S88" s="43">
        <v>648.20000000000005</v>
      </c>
      <c r="T88" s="43">
        <v>360</v>
      </c>
      <c r="U88" s="43">
        <v>421.3</v>
      </c>
      <c r="V88" s="43">
        <v>460</v>
      </c>
      <c r="W88" s="43">
        <v>415</v>
      </c>
      <c r="X88" s="43">
        <v>215</v>
      </c>
      <c r="Y88" s="43">
        <v>420</v>
      </c>
      <c r="Z88" s="43">
        <v>297</v>
      </c>
      <c r="AA88" s="43">
        <v>502.5</v>
      </c>
      <c r="AB88" s="43">
        <v>360</v>
      </c>
      <c r="AC88" s="43">
        <v>375</v>
      </c>
      <c r="AD88" s="43">
        <v>300</v>
      </c>
      <c r="AE88" s="43">
        <v>542</v>
      </c>
      <c r="AF88" s="44">
        <v>17458</v>
      </c>
      <c r="AG88" s="44">
        <v>15587</v>
      </c>
      <c r="AH88" s="44">
        <v>17680</v>
      </c>
      <c r="AI88" s="44">
        <v>7789</v>
      </c>
      <c r="AJ88" s="44">
        <v>11805</v>
      </c>
      <c r="AK88" s="44">
        <v>13773</v>
      </c>
      <c r="AL88" s="44">
        <v>4847</v>
      </c>
      <c r="AM88" s="44">
        <v>2067</v>
      </c>
      <c r="AN88" s="44">
        <v>8731</v>
      </c>
      <c r="AO88" s="44">
        <v>2718</v>
      </c>
      <c r="AP88" s="44">
        <v>758</v>
      </c>
      <c r="AQ88" s="44">
        <v>1570</v>
      </c>
      <c r="AR88" s="44">
        <v>402</v>
      </c>
      <c r="AS88" s="44">
        <v>127</v>
      </c>
      <c r="AT88" s="44">
        <v>1330</v>
      </c>
      <c r="AU88" s="44">
        <v>15268</v>
      </c>
      <c r="AV88" s="44">
        <v>3811</v>
      </c>
      <c r="AW88" s="44">
        <v>15762</v>
      </c>
      <c r="AX88" s="44">
        <v>1526</v>
      </c>
      <c r="AY88" s="44">
        <v>5136</v>
      </c>
      <c r="AZ88" s="44">
        <v>7169</v>
      </c>
      <c r="BA88" s="44">
        <v>2560</v>
      </c>
      <c r="BB88" s="44">
        <v>290</v>
      </c>
      <c r="BC88" s="44">
        <v>3154</v>
      </c>
      <c r="BD88" s="44">
        <v>408</v>
      </c>
      <c r="BE88" s="44">
        <v>302</v>
      </c>
      <c r="BF88" s="44">
        <v>274</v>
      </c>
      <c r="BG88" s="44">
        <v>226</v>
      </c>
      <c r="BH88" s="44">
        <v>41</v>
      </c>
      <c r="BI88" s="44">
        <v>1504</v>
      </c>
    </row>
    <row r="89" spans="1:61" x14ac:dyDescent="0.2">
      <c r="A89" s="42">
        <v>44440</v>
      </c>
      <c r="B89" s="43">
        <v>1300</v>
      </c>
      <c r="C89" s="43">
        <v>625</v>
      </c>
      <c r="D89" s="43">
        <v>840</v>
      </c>
      <c r="E89" s="43">
        <v>500</v>
      </c>
      <c r="F89" s="43">
        <v>657</v>
      </c>
      <c r="G89" s="43">
        <v>480</v>
      </c>
      <c r="H89" s="43">
        <v>580</v>
      </c>
      <c r="I89" s="43">
        <v>309</v>
      </c>
      <c r="J89" s="43">
        <v>525</v>
      </c>
      <c r="K89" s="43">
        <v>365</v>
      </c>
      <c r="L89" s="43">
        <v>700</v>
      </c>
      <c r="M89" s="43">
        <v>445</v>
      </c>
      <c r="N89" s="43">
        <v>580</v>
      </c>
      <c r="O89" s="43">
        <v>460</v>
      </c>
      <c r="P89" s="43">
        <v>940</v>
      </c>
      <c r="Q89" s="43">
        <v>800</v>
      </c>
      <c r="R89" s="43">
        <v>550</v>
      </c>
      <c r="S89" s="43">
        <v>650.79999999999995</v>
      </c>
      <c r="T89" s="43">
        <v>380</v>
      </c>
      <c r="U89" s="43">
        <v>430</v>
      </c>
      <c r="V89" s="43">
        <v>480</v>
      </c>
      <c r="W89" s="43">
        <v>425</v>
      </c>
      <c r="X89" s="43">
        <v>217.8</v>
      </c>
      <c r="Y89" s="43">
        <v>415</v>
      </c>
      <c r="Z89" s="43">
        <v>299.5</v>
      </c>
      <c r="AA89" s="43">
        <v>540</v>
      </c>
      <c r="AB89" s="43">
        <v>360</v>
      </c>
      <c r="AC89" s="43">
        <v>360</v>
      </c>
      <c r="AD89" s="43">
        <v>290</v>
      </c>
      <c r="AE89" s="43">
        <v>530</v>
      </c>
      <c r="AF89" s="44">
        <v>15132</v>
      </c>
      <c r="AG89" s="44">
        <v>16242</v>
      </c>
      <c r="AH89" s="44">
        <v>12800</v>
      </c>
      <c r="AI89" s="44">
        <v>6355</v>
      </c>
      <c r="AJ89" s="44">
        <v>13126</v>
      </c>
      <c r="AK89" s="44">
        <v>16084</v>
      </c>
      <c r="AL89" s="44">
        <v>4787</v>
      </c>
      <c r="AM89" s="44">
        <v>2150</v>
      </c>
      <c r="AN89" s="44">
        <v>7254</v>
      </c>
      <c r="AO89" s="44">
        <v>2381</v>
      </c>
      <c r="AP89" s="44">
        <v>790</v>
      </c>
      <c r="AQ89" s="44">
        <v>1607</v>
      </c>
      <c r="AR89" s="44">
        <v>424</v>
      </c>
      <c r="AS89" s="44">
        <v>147</v>
      </c>
      <c r="AT89" s="44">
        <v>1126</v>
      </c>
      <c r="AU89" s="44">
        <v>13104</v>
      </c>
      <c r="AV89" s="44">
        <v>3794</v>
      </c>
      <c r="AW89" s="44">
        <v>11300</v>
      </c>
      <c r="AX89" s="44">
        <v>1261</v>
      </c>
      <c r="AY89" s="44">
        <v>6163</v>
      </c>
      <c r="AZ89" s="44">
        <v>8092</v>
      </c>
      <c r="BA89" s="44">
        <v>2435</v>
      </c>
      <c r="BB89" s="44">
        <v>284</v>
      </c>
      <c r="BC89" s="44">
        <v>3279</v>
      </c>
      <c r="BD89" s="44">
        <v>496</v>
      </c>
      <c r="BE89" s="44">
        <v>319</v>
      </c>
      <c r="BF89" s="44">
        <v>289</v>
      </c>
      <c r="BG89" s="44">
        <v>241</v>
      </c>
      <c r="BH89" s="44">
        <v>37</v>
      </c>
      <c r="BI89" s="44">
        <v>1334</v>
      </c>
    </row>
    <row r="90" spans="1:61" x14ac:dyDescent="0.2">
      <c r="A90" s="42">
        <v>44531</v>
      </c>
      <c r="B90" s="43">
        <v>1360</v>
      </c>
      <c r="C90" s="43">
        <v>685</v>
      </c>
      <c r="D90" s="43">
        <v>940</v>
      </c>
      <c r="E90" s="43">
        <v>553</v>
      </c>
      <c r="F90" s="43">
        <v>750</v>
      </c>
      <c r="G90" s="43">
        <v>500</v>
      </c>
      <c r="H90" s="43">
        <v>630</v>
      </c>
      <c r="I90" s="43">
        <v>335</v>
      </c>
      <c r="J90" s="43">
        <v>558.79999999999995</v>
      </c>
      <c r="K90" s="43">
        <v>380</v>
      </c>
      <c r="L90" s="43">
        <v>754</v>
      </c>
      <c r="M90" s="43">
        <v>500.9</v>
      </c>
      <c r="N90" s="43">
        <v>600</v>
      </c>
      <c r="O90" s="43">
        <v>480</v>
      </c>
      <c r="P90" s="43">
        <v>1040</v>
      </c>
      <c r="Q90" s="43">
        <v>806</v>
      </c>
      <c r="R90" s="43">
        <v>590</v>
      </c>
      <c r="S90" s="43">
        <v>655</v>
      </c>
      <c r="T90" s="43">
        <v>425</v>
      </c>
      <c r="U90" s="43">
        <v>450</v>
      </c>
      <c r="V90" s="43">
        <v>501</v>
      </c>
      <c r="W90" s="43">
        <v>450</v>
      </c>
      <c r="X90" s="43">
        <v>210</v>
      </c>
      <c r="Y90" s="43">
        <v>412.8</v>
      </c>
      <c r="Z90" s="43">
        <v>295</v>
      </c>
      <c r="AA90" s="43">
        <v>570</v>
      </c>
      <c r="AB90" s="43">
        <v>410</v>
      </c>
      <c r="AC90" s="43">
        <v>382</v>
      </c>
      <c r="AD90" s="43">
        <v>300</v>
      </c>
      <c r="AE90" s="43">
        <v>590</v>
      </c>
      <c r="AF90" s="44">
        <v>17181</v>
      </c>
      <c r="AG90" s="44">
        <v>16838</v>
      </c>
      <c r="AH90" s="44">
        <v>20363</v>
      </c>
      <c r="AI90" s="44">
        <v>7892</v>
      </c>
      <c r="AJ90" s="44">
        <v>12911</v>
      </c>
      <c r="AK90" s="44">
        <v>15506</v>
      </c>
      <c r="AL90" s="44">
        <v>5386</v>
      </c>
      <c r="AM90" s="44">
        <v>2402</v>
      </c>
      <c r="AN90" s="44">
        <v>7779</v>
      </c>
      <c r="AO90" s="44">
        <v>2509</v>
      </c>
      <c r="AP90" s="44">
        <v>767</v>
      </c>
      <c r="AQ90" s="44">
        <v>1696</v>
      </c>
      <c r="AR90" s="44">
        <v>443</v>
      </c>
      <c r="AS90" s="44">
        <v>144</v>
      </c>
      <c r="AT90" s="44">
        <v>1477</v>
      </c>
      <c r="AU90" s="44">
        <v>15001</v>
      </c>
      <c r="AV90" s="44">
        <v>3850</v>
      </c>
      <c r="AW90" s="44">
        <v>15119</v>
      </c>
      <c r="AX90" s="44">
        <v>1544</v>
      </c>
      <c r="AY90" s="44">
        <v>6074</v>
      </c>
      <c r="AZ90" s="44">
        <v>7456</v>
      </c>
      <c r="BA90" s="44">
        <v>2642</v>
      </c>
      <c r="BB90" s="44">
        <v>294</v>
      </c>
      <c r="BC90" s="44">
        <v>3254</v>
      </c>
      <c r="BD90" s="44">
        <v>505</v>
      </c>
      <c r="BE90" s="44">
        <v>361</v>
      </c>
      <c r="BF90" s="44">
        <v>292</v>
      </c>
      <c r="BG90" s="44">
        <v>197</v>
      </c>
      <c r="BH90" s="44">
        <v>42</v>
      </c>
      <c r="BI90" s="44">
        <v>1565</v>
      </c>
    </row>
    <row r="91" spans="1:61" x14ac:dyDescent="0.2">
      <c r="A91" s="42">
        <v>44621</v>
      </c>
      <c r="B91" s="43">
        <v>1325</v>
      </c>
      <c r="C91" s="43">
        <v>702</v>
      </c>
      <c r="D91" s="43">
        <v>888</v>
      </c>
      <c r="E91" s="43">
        <v>580</v>
      </c>
      <c r="F91" s="43">
        <v>765</v>
      </c>
      <c r="G91" s="43">
        <v>519</v>
      </c>
      <c r="H91" s="43">
        <v>650</v>
      </c>
      <c r="I91" s="43">
        <v>335</v>
      </c>
      <c r="J91" s="43">
        <v>550</v>
      </c>
      <c r="K91" s="43">
        <v>380</v>
      </c>
      <c r="L91" s="43">
        <v>765</v>
      </c>
      <c r="M91" s="43">
        <v>530.5</v>
      </c>
      <c r="N91" s="43">
        <v>600</v>
      </c>
      <c r="O91" s="43">
        <v>460</v>
      </c>
      <c r="P91" s="43">
        <v>1080</v>
      </c>
      <c r="Q91" s="43">
        <v>780</v>
      </c>
      <c r="R91" s="43">
        <v>610</v>
      </c>
      <c r="S91" s="43">
        <v>640</v>
      </c>
      <c r="T91" s="43">
        <v>419.5</v>
      </c>
      <c r="U91" s="43">
        <v>459</v>
      </c>
      <c r="V91" s="43">
        <v>517</v>
      </c>
      <c r="W91" s="43">
        <v>454.9</v>
      </c>
      <c r="X91" s="43">
        <v>205</v>
      </c>
      <c r="Y91" s="43">
        <v>410</v>
      </c>
      <c r="Z91" s="43">
        <v>320</v>
      </c>
      <c r="AA91" s="43">
        <v>586.29999999999995</v>
      </c>
      <c r="AB91" s="43">
        <v>410</v>
      </c>
      <c r="AC91" s="43">
        <v>402</v>
      </c>
      <c r="AD91" s="43">
        <v>315</v>
      </c>
      <c r="AE91" s="43">
        <v>575</v>
      </c>
      <c r="AF91" s="44">
        <v>12080</v>
      </c>
      <c r="AG91" s="44">
        <v>12535</v>
      </c>
      <c r="AH91" s="44">
        <v>14294</v>
      </c>
      <c r="AI91" s="44">
        <v>6493</v>
      </c>
      <c r="AJ91" s="44">
        <v>10381</v>
      </c>
      <c r="AK91" s="44">
        <v>14272</v>
      </c>
      <c r="AL91" s="44">
        <v>4484</v>
      </c>
      <c r="AM91" s="44">
        <v>2250</v>
      </c>
      <c r="AN91" s="44">
        <v>7729</v>
      </c>
      <c r="AO91" s="44">
        <v>2468</v>
      </c>
      <c r="AP91" s="44">
        <v>814</v>
      </c>
      <c r="AQ91" s="44">
        <v>1590</v>
      </c>
      <c r="AR91" s="44">
        <v>419</v>
      </c>
      <c r="AS91" s="44">
        <v>132</v>
      </c>
      <c r="AT91" s="44">
        <v>827</v>
      </c>
      <c r="AU91" s="44">
        <v>11561</v>
      </c>
      <c r="AV91" s="44">
        <v>3023</v>
      </c>
      <c r="AW91" s="44">
        <v>11607</v>
      </c>
      <c r="AX91" s="44">
        <v>1193</v>
      </c>
      <c r="AY91" s="44">
        <v>5695</v>
      </c>
      <c r="AZ91" s="44">
        <v>6965</v>
      </c>
      <c r="BA91" s="44">
        <v>2359</v>
      </c>
      <c r="BB91" s="44">
        <v>338</v>
      </c>
      <c r="BC91" s="44">
        <v>3521</v>
      </c>
      <c r="BD91" s="44">
        <v>569</v>
      </c>
      <c r="BE91" s="44">
        <v>310</v>
      </c>
      <c r="BF91" s="44">
        <v>264</v>
      </c>
      <c r="BG91" s="44">
        <v>247</v>
      </c>
      <c r="BH91" s="44">
        <v>30</v>
      </c>
      <c r="BI91" s="44">
        <v>944</v>
      </c>
    </row>
    <row r="92" spans="1:61" x14ac:dyDescent="0.2">
      <c r="A92" s="42">
        <v>44713</v>
      </c>
      <c r="B92" s="43">
        <v>1350</v>
      </c>
      <c r="C92" s="43">
        <v>700</v>
      </c>
      <c r="D92" s="43">
        <v>900</v>
      </c>
      <c r="E92" s="43">
        <v>573.1</v>
      </c>
      <c r="F92" s="43">
        <v>773</v>
      </c>
      <c r="G92" s="43">
        <v>528</v>
      </c>
      <c r="H92" s="43">
        <v>663</v>
      </c>
      <c r="I92" s="43">
        <v>350</v>
      </c>
      <c r="J92" s="43">
        <v>565</v>
      </c>
      <c r="K92" s="43">
        <v>375</v>
      </c>
      <c r="L92" s="43">
        <v>765</v>
      </c>
      <c r="M92" s="43">
        <v>525</v>
      </c>
      <c r="N92" s="43">
        <v>585</v>
      </c>
      <c r="O92" s="43">
        <v>487</v>
      </c>
      <c r="P92" s="43">
        <v>1059</v>
      </c>
      <c r="Q92" s="43">
        <v>775</v>
      </c>
      <c r="R92" s="43">
        <v>600</v>
      </c>
      <c r="S92" s="43">
        <v>640</v>
      </c>
      <c r="T92" s="43">
        <v>425</v>
      </c>
      <c r="U92" s="43">
        <v>470</v>
      </c>
      <c r="V92" s="43">
        <v>540</v>
      </c>
      <c r="W92" s="43">
        <v>465</v>
      </c>
      <c r="X92" s="43">
        <v>211</v>
      </c>
      <c r="Y92" s="43">
        <v>405</v>
      </c>
      <c r="Z92" s="43">
        <v>324.5</v>
      </c>
      <c r="AA92" s="43">
        <v>575</v>
      </c>
      <c r="AB92" s="43">
        <v>420</v>
      </c>
      <c r="AC92" s="43">
        <v>400</v>
      </c>
      <c r="AD92" s="43">
        <v>320</v>
      </c>
      <c r="AE92" s="43">
        <v>600</v>
      </c>
      <c r="AF92" s="44">
        <v>11840</v>
      </c>
      <c r="AG92" s="44">
        <v>12387</v>
      </c>
      <c r="AH92" s="44">
        <v>14801</v>
      </c>
      <c r="AI92" s="44">
        <v>6074</v>
      </c>
      <c r="AJ92" s="44">
        <v>9553</v>
      </c>
      <c r="AK92" s="44">
        <v>12547</v>
      </c>
      <c r="AL92" s="44">
        <v>4727</v>
      </c>
      <c r="AM92" s="44">
        <v>2090</v>
      </c>
      <c r="AN92" s="44">
        <v>6902</v>
      </c>
      <c r="AO92" s="44">
        <v>2233</v>
      </c>
      <c r="AP92" s="44">
        <v>761</v>
      </c>
      <c r="AQ92" s="44">
        <v>1374</v>
      </c>
      <c r="AR92" s="44">
        <v>395</v>
      </c>
      <c r="AS92" s="44">
        <v>115</v>
      </c>
      <c r="AT92" s="44">
        <v>1094</v>
      </c>
      <c r="AU92" s="44">
        <v>11150</v>
      </c>
      <c r="AV92" s="44">
        <v>2705</v>
      </c>
      <c r="AW92" s="44">
        <v>12340</v>
      </c>
      <c r="AX92" s="44">
        <v>1103</v>
      </c>
      <c r="AY92" s="44">
        <v>5154</v>
      </c>
      <c r="AZ92" s="44">
        <v>6009</v>
      </c>
      <c r="BA92" s="44">
        <v>2253</v>
      </c>
      <c r="BB92" s="44">
        <v>298</v>
      </c>
      <c r="BC92" s="44">
        <v>3158</v>
      </c>
      <c r="BD92" s="44">
        <v>466</v>
      </c>
      <c r="BE92" s="44">
        <v>300</v>
      </c>
      <c r="BF92" s="44">
        <v>242</v>
      </c>
      <c r="BG92" s="44">
        <v>221</v>
      </c>
      <c r="BH92" s="44">
        <v>39</v>
      </c>
      <c r="BI92" s="44">
        <v>1189</v>
      </c>
    </row>
    <row r="93" spans="1:61" x14ac:dyDescent="0.2">
      <c r="A93" s="42">
        <v>44805</v>
      </c>
      <c r="B93" s="43">
        <v>1300</v>
      </c>
      <c r="C93" s="43">
        <v>690</v>
      </c>
      <c r="D93" s="43">
        <v>850</v>
      </c>
      <c r="E93" s="43">
        <v>560</v>
      </c>
      <c r="F93" s="43">
        <v>750</v>
      </c>
      <c r="G93" s="43">
        <v>528</v>
      </c>
      <c r="H93" s="43">
        <v>654</v>
      </c>
      <c r="I93" s="43">
        <v>345</v>
      </c>
      <c r="J93" s="43">
        <v>555</v>
      </c>
      <c r="K93" s="43">
        <v>380</v>
      </c>
      <c r="L93" s="43">
        <v>720</v>
      </c>
      <c r="M93" s="43">
        <v>510</v>
      </c>
      <c r="N93" s="43">
        <v>560</v>
      </c>
      <c r="O93" s="43">
        <v>459.5</v>
      </c>
      <c r="P93" s="43">
        <v>1000</v>
      </c>
      <c r="Q93" s="43">
        <v>750</v>
      </c>
      <c r="R93" s="43">
        <v>595</v>
      </c>
      <c r="S93" s="43">
        <v>618</v>
      </c>
      <c r="T93" s="43">
        <v>420</v>
      </c>
      <c r="U93" s="43">
        <v>470</v>
      </c>
      <c r="V93" s="43">
        <v>530</v>
      </c>
      <c r="W93" s="43">
        <v>485</v>
      </c>
      <c r="X93" s="43">
        <v>225</v>
      </c>
      <c r="Y93" s="43">
        <v>400</v>
      </c>
      <c r="Z93" s="43">
        <v>300</v>
      </c>
      <c r="AA93" s="43">
        <v>565</v>
      </c>
      <c r="AB93" s="43">
        <v>422.5</v>
      </c>
      <c r="AC93" s="43">
        <v>360</v>
      </c>
      <c r="AD93" s="43">
        <v>306.5</v>
      </c>
      <c r="AE93" s="43">
        <v>596</v>
      </c>
      <c r="AF93" s="44">
        <v>11204</v>
      </c>
      <c r="AG93" s="44">
        <v>11168</v>
      </c>
      <c r="AH93" s="44">
        <v>12427</v>
      </c>
      <c r="AI93" s="44">
        <v>5491</v>
      </c>
      <c r="AJ93" s="44">
        <v>9127</v>
      </c>
      <c r="AK93" s="44">
        <v>12461</v>
      </c>
      <c r="AL93" s="44">
        <v>4313</v>
      </c>
      <c r="AM93" s="44">
        <v>1751</v>
      </c>
      <c r="AN93" s="44">
        <v>7060</v>
      </c>
      <c r="AO93" s="44">
        <v>2200</v>
      </c>
      <c r="AP93" s="44">
        <v>628</v>
      </c>
      <c r="AQ93" s="44">
        <v>1238</v>
      </c>
      <c r="AR93" s="44">
        <v>354</v>
      </c>
      <c r="AS93" s="44">
        <v>100</v>
      </c>
      <c r="AT93" s="44">
        <v>1058</v>
      </c>
      <c r="AU93" s="44">
        <v>10432</v>
      </c>
      <c r="AV93" s="44">
        <v>2608</v>
      </c>
      <c r="AW93" s="44">
        <v>10155</v>
      </c>
      <c r="AX93" s="44">
        <v>1031</v>
      </c>
      <c r="AY93" s="44">
        <v>4934</v>
      </c>
      <c r="AZ93" s="44">
        <v>5887</v>
      </c>
      <c r="BA93" s="44">
        <v>1959</v>
      </c>
      <c r="BB93" s="44">
        <v>245</v>
      </c>
      <c r="BC93" s="44">
        <v>3003</v>
      </c>
      <c r="BD93" s="44">
        <v>487</v>
      </c>
      <c r="BE93" s="44">
        <v>261</v>
      </c>
      <c r="BF93" s="44">
        <v>260</v>
      </c>
      <c r="BG93" s="44">
        <v>218</v>
      </c>
      <c r="BH93" s="44">
        <v>20</v>
      </c>
      <c r="BI93" s="44">
        <v>1143</v>
      </c>
    </row>
    <row r="94" spans="1:61" x14ac:dyDescent="0.2">
      <c r="A94" s="42">
        <v>44896</v>
      </c>
      <c r="B94" s="43">
        <v>1300</v>
      </c>
      <c r="C94" s="43">
        <v>700</v>
      </c>
      <c r="D94" s="43">
        <v>875</v>
      </c>
      <c r="E94" s="43">
        <v>570</v>
      </c>
      <c r="F94" s="43">
        <v>750</v>
      </c>
      <c r="G94" s="43">
        <v>530</v>
      </c>
      <c r="H94" s="43">
        <v>675</v>
      </c>
      <c r="I94" s="43">
        <v>363.3</v>
      </c>
      <c r="J94" s="43">
        <v>580</v>
      </c>
      <c r="K94" s="43">
        <v>390</v>
      </c>
      <c r="L94" s="43">
        <v>731.5</v>
      </c>
      <c r="M94" s="43">
        <v>535</v>
      </c>
      <c r="N94" s="43">
        <v>590</v>
      </c>
      <c r="O94" s="43">
        <v>497</v>
      </c>
      <c r="P94" s="43">
        <v>1000</v>
      </c>
      <c r="Q94" s="43">
        <v>765</v>
      </c>
      <c r="R94" s="43">
        <v>600</v>
      </c>
      <c r="S94" s="43">
        <v>615</v>
      </c>
      <c r="T94" s="43">
        <v>415</v>
      </c>
      <c r="U94" s="43">
        <v>480</v>
      </c>
      <c r="V94" s="43">
        <v>535</v>
      </c>
      <c r="W94" s="43">
        <v>480</v>
      </c>
      <c r="X94" s="43">
        <v>220</v>
      </c>
      <c r="Y94" s="43">
        <v>400</v>
      </c>
      <c r="Z94" s="43">
        <v>313.5</v>
      </c>
      <c r="AA94" s="43">
        <v>565</v>
      </c>
      <c r="AB94" s="43">
        <v>415</v>
      </c>
      <c r="AC94" s="43">
        <v>382.5</v>
      </c>
      <c r="AD94" s="43">
        <v>320</v>
      </c>
      <c r="AE94" s="43">
        <v>600</v>
      </c>
      <c r="AF94" s="44">
        <v>10941</v>
      </c>
      <c r="AG94" s="44">
        <v>10689</v>
      </c>
      <c r="AH94" s="44">
        <v>12390</v>
      </c>
      <c r="AI94" s="44">
        <v>5286</v>
      </c>
      <c r="AJ94" s="44">
        <v>8223</v>
      </c>
      <c r="AK94" s="44">
        <v>11347</v>
      </c>
      <c r="AL94" s="44">
        <v>4046</v>
      </c>
      <c r="AM94" s="44">
        <v>1798</v>
      </c>
      <c r="AN94" s="44">
        <v>6833</v>
      </c>
      <c r="AO94" s="44">
        <v>2036</v>
      </c>
      <c r="AP94" s="44">
        <v>714</v>
      </c>
      <c r="AQ94" s="44">
        <v>1177</v>
      </c>
      <c r="AR94" s="44">
        <v>317</v>
      </c>
      <c r="AS94" s="44">
        <v>78</v>
      </c>
      <c r="AT94" s="44">
        <v>1189</v>
      </c>
      <c r="AU94" s="44">
        <v>9711</v>
      </c>
      <c r="AV94" s="44">
        <v>2398</v>
      </c>
      <c r="AW94" s="44">
        <v>9938</v>
      </c>
      <c r="AX94" s="44">
        <v>964</v>
      </c>
      <c r="AY94" s="44">
        <v>4391</v>
      </c>
      <c r="AZ94" s="44">
        <v>5042</v>
      </c>
      <c r="BA94" s="44">
        <v>1952</v>
      </c>
      <c r="BB94" s="44">
        <v>232</v>
      </c>
      <c r="BC94" s="44">
        <v>3053</v>
      </c>
      <c r="BD94" s="44">
        <v>428</v>
      </c>
      <c r="BE94" s="44">
        <v>310</v>
      </c>
      <c r="BF94" s="44">
        <v>254</v>
      </c>
      <c r="BG94" s="44">
        <v>196</v>
      </c>
      <c r="BH94" s="44">
        <v>29</v>
      </c>
      <c r="BI94" s="44">
        <v>1008</v>
      </c>
    </row>
    <row r="95" spans="1:61" x14ac:dyDescent="0.2">
      <c r="A95" s="42">
        <v>44986</v>
      </c>
      <c r="B95" s="43">
        <v>1250.0999999999999</v>
      </c>
      <c r="C95" s="43">
        <v>700</v>
      </c>
      <c r="D95" s="43">
        <v>835</v>
      </c>
      <c r="E95" s="43">
        <v>570</v>
      </c>
      <c r="F95" s="43">
        <v>757</v>
      </c>
      <c r="G95" s="43">
        <v>540</v>
      </c>
      <c r="H95" s="43">
        <v>680</v>
      </c>
      <c r="I95" s="43">
        <v>381.8</v>
      </c>
      <c r="J95" s="43">
        <v>578</v>
      </c>
      <c r="K95" s="43">
        <v>400</v>
      </c>
      <c r="L95" s="43">
        <v>705</v>
      </c>
      <c r="M95" s="43">
        <v>520</v>
      </c>
      <c r="N95" s="43">
        <v>575</v>
      </c>
      <c r="O95" s="43">
        <v>505.4</v>
      </c>
      <c r="P95" s="43">
        <v>984</v>
      </c>
      <c r="Q95" s="43">
        <v>765</v>
      </c>
      <c r="R95" s="43">
        <v>601.79999999999995</v>
      </c>
      <c r="S95" s="43">
        <v>605</v>
      </c>
      <c r="T95" s="43">
        <v>422.5</v>
      </c>
      <c r="U95" s="43">
        <v>483</v>
      </c>
      <c r="V95" s="43">
        <v>550</v>
      </c>
      <c r="W95" s="43">
        <v>489.5</v>
      </c>
      <c r="X95" s="43">
        <v>245</v>
      </c>
      <c r="Y95" s="43">
        <v>402.6</v>
      </c>
      <c r="Z95" s="43">
        <v>320</v>
      </c>
      <c r="AA95" s="43">
        <v>560</v>
      </c>
      <c r="AB95" s="43">
        <v>420</v>
      </c>
      <c r="AC95" s="43">
        <v>370</v>
      </c>
      <c r="AD95" s="43">
        <v>305</v>
      </c>
      <c r="AE95" s="43">
        <v>610</v>
      </c>
      <c r="AF95" s="44">
        <v>9819</v>
      </c>
      <c r="AG95" s="44">
        <v>9609</v>
      </c>
      <c r="AH95" s="44">
        <v>10804</v>
      </c>
      <c r="AI95" s="44">
        <v>4942</v>
      </c>
      <c r="AJ95" s="44">
        <v>8221</v>
      </c>
      <c r="AK95" s="44">
        <v>10976</v>
      </c>
      <c r="AL95" s="44">
        <v>3777</v>
      </c>
      <c r="AM95" s="44">
        <v>1703</v>
      </c>
      <c r="AN95" s="44">
        <v>7047</v>
      </c>
      <c r="AO95" s="44">
        <v>2026</v>
      </c>
      <c r="AP95" s="44">
        <v>736</v>
      </c>
      <c r="AQ95" s="44">
        <v>1265</v>
      </c>
      <c r="AR95" s="44">
        <v>254</v>
      </c>
      <c r="AS95" s="44">
        <v>78</v>
      </c>
      <c r="AT95" s="44">
        <v>920</v>
      </c>
      <c r="AU95" s="44">
        <v>9928</v>
      </c>
      <c r="AV95" s="44">
        <v>2198</v>
      </c>
      <c r="AW95" s="44">
        <v>9772</v>
      </c>
      <c r="AX95" s="44">
        <v>915</v>
      </c>
      <c r="AY95" s="44">
        <v>4695</v>
      </c>
      <c r="AZ95" s="44">
        <v>5287</v>
      </c>
      <c r="BA95" s="44">
        <v>1945</v>
      </c>
      <c r="BB95" s="44">
        <v>261</v>
      </c>
      <c r="BC95" s="44">
        <v>3480</v>
      </c>
      <c r="BD95" s="44">
        <v>467</v>
      </c>
      <c r="BE95" s="44">
        <v>277</v>
      </c>
      <c r="BF95" s="44">
        <v>254</v>
      </c>
      <c r="BG95" s="44">
        <v>166</v>
      </c>
      <c r="BH95" s="44">
        <v>20</v>
      </c>
      <c r="BI95" s="44">
        <v>865</v>
      </c>
    </row>
    <row r="96" spans="1:61" x14ac:dyDescent="0.2">
      <c r="A96" s="42">
        <v>45078</v>
      </c>
      <c r="B96" s="43">
        <v>1355</v>
      </c>
      <c r="C96" s="43">
        <v>710</v>
      </c>
      <c r="D96" s="43">
        <v>840.3</v>
      </c>
      <c r="E96" s="43">
        <v>570</v>
      </c>
      <c r="F96" s="43">
        <v>775</v>
      </c>
      <c r="G96" s="43">
        <v>560</v>
      </c>
      <c r="H96" s="43">
        <v>702</v>
      </c>
      <c r="I96" s="43">
        <v>395</v>
      </c>
      <c r="J96" s="43">
        <v>600</v>
      </c>
      <c r="K96" s="43">
        <v>400</v>
      </c>
      <c r="L96" s="43">
        <v>696.5</v>
      </c>
      <c r="M96" s="43">
        <v>535</v>
      </c>
      <c r="N96" s="43">
        <v>590</v>
      </c>
      <c r="O96" s="43">
        <v>478</v>
      </c>
      <c r="P96" s="43">
        <v>983</v>
      </c>
      <c r="Q96" s="43">
        <v>800</v>
      </c>
      <c r="R96" s="43">
        <v>608</v>
      </c>
      <c r="S96" s="43">
        <v>620</v>
      </c>
      <c r="T96" s="43">
        <v>440</v>
      </c>
      <c r="U96" s="43">
        <v>500</v>
      </c>
      <c r="V96" s="43">
        <v>562.5</v>
      </c>
      <c r="W96" s="43">
        <v>525</v>
      </c>
      <c r="X96" s="43">
        <v>256</v>
      </c>
      <c r="Y96" s="43">
        <v>410</v>
      </c>
      <c r="Z96" s="43">
        <v>323</v>
      </c>
      <c r="AA96" s="43">
        <v>557</v>
      </c>
      <c r="AB96" s="43">
        <v>460</v>
      </c>
      <c r="AC96" s="43">
        <v>387.5</v>
      </c>
      <c r="AD96" s="43">
        <v>340</v>
      </c>
      <c r="AE96" s="43">
        <v>600</v>
      </c>
      <c r="AF96" s="44">
        <v>12105</v>
      </c>
      <c r="AG96" s="44">
        <v>10773</v>
      </c>
      <c r="AH96" s="44">
        <v>12738</v>
      </c>
      <c r="AI96" s="44">
        <v>5006</v>
      </c>
      <c r="AJ96" s="44">
        <v>8803</v>
      </c>
      <c r="AK96" s="44">
        <v>11141</v>
      </c>
      <c r="AL96" s="44">
        <v>4127</v>
      </c>
      <c r="AM96" s="44">
        <v>1693</v>
      </c>
      <c r="AN96" s="44">
        <v>6765</v>
      </c>
      <c r="AO96" s="44">
        <v>1993</v>
      </c>
      <c r="AP96" s="44">
        <v>682</v>
      </c>
      <c r="AQ96" s="44">
        <v>1221</v>
      </c>
      <c r="AR96" s="44">
        <v>294</v>
      </c>
      <c r="AS96" s="44">
        <v>78</v>
      </c>
      <c r="AT96" s="44">
        <v>1006</v>
      </c>
      <c r="AU96" s="44">
        <v>12650</v>
      </c>
      <c r="AV96" s="44">
        <v>2467</v>
      </c>
      <c r="AW96" s="44">
        <v>11337</v>
      </c>
      <c r="AX96" s="44">
        <v>993</v>
      </c>
      <c r="AY96" s="44">
        <v>4740</v>
      </c>
      <c r="AZ96" s="44">
        <v>5391</v>
      </c>
      <c r="BA96" s="44">
        <v>1898</v>
      </c>
      <c r="BB96" s="44">
        <v>244</v>
      </c>
      <c r="BC96" s="44">
        <v>3537</v>
      </c>
      <c r="BD96" s="44">
        <v>460</v>
      </c>
      <c r="BE96" s="44">
        <v>350</v>
      </c>
      <c r="BF96" s="44">
        <v>263</v>
      </c>
      <c r="BG96" s="44">
        <v>197</v>
      </c>
      <c r="BH96" s="44">
        <v>15</v>
      </c>
      <c r="BI96" s="44">
        <v>1009</v>
      </c>
    </row>
    <row r="97" spans="1:61" x14ac:dyDescent="0.2">
      <c r="A97" s="42">
        <v>45170</v>
      </c>
      <c r="B97" s="43">
        <v>1370</v>
      </c>
      <c r="C97" s="43">
        <v>718</v>
      </c>
      <c r="D97" s="43">
        <v>832</v>
      </c>
      <c r="E97" s="43">
        <v>570</v>
      </c>
      <c r="F97" s="43">
        <v>800</v>
      </c>
      <c r="G97" s="43">
        <v>570</v>
      </c>
      <c r="H97" s="43">
        <v>715</v>
      </c>
      <c r="I97" s="43">
        <v>410</v>
      </c>
      <c r="J97" s="43">
        <v>600</v>
      </c>
      <c r="K97" s="43">
        <v>410</v>
      </c>
      <c r="L97" s="43">
        <v>695</v>
      </c>
      <c r="M97" s="43">
        <v>527.5</v>
      </c>
      <c r="N97" s="43">
        <v>585</v>
      </c>
      <c r="O97" s="43">
        <v>463.5</v>
      </c>
      <c r="P97" s="43">
        <v>985</v>
      </c>
      <c r="Q97" s="43">
        <v>795</v>
      </c>
      <c r="R97" s="43">
        <v>625</v>
      </c>
      <c r="S97" s="43">
        <v>625</v>
      </c>
      <c r="T97" s="43">
        <v>420</v>
      </c>
      <c r="U97" s="43">
        <v>525</v>
      </c>
      <c r="V97" s="43">
        <v>580</v>
      </c>
      <c r="W97" s="43">
        <v>520</v>
      </c>
      <c r="X97" s="43">
        <v>287</v>
      </c>
      <c r="Y97" s="43">
        <v>420</v>
      </c>
      <c r="Z97" s="43">
        <v>320</v>
      </c>
      <c r="AA97" s="43">
        <v>550</v>
      </c>
      <c r="AB97" s="43">
        <v>435</v>
      </c>
      <c r="AC97" s="43">
        <v>376</v>
      </c>
      <c r="AD97" s="43">
        <v>260</v>
      </c>
      <c r="AE97" s="43">
        <v>619</v>
      </c>
      <c r="AF97" s="44">
        <v>12993</v>
      </c>
      <c r="AG97" s="44">
        <v>11061</v>
      </c>
      <c r="AH97" s="44">
        <v>13014</v>
      </c>
      <c r="AI97" s="44">
        <v>4985</v>
      </c>
      <c r="AJ97" s="44">
        <v>9490</v>
      </c>
      <c r="AK97" s="44">
        <v>11989</v>
      </c>
      <c r="AL97" s="44">
        <v>4099</v>
      </c>
      <c r="AM97" s="44">
        <v>1684</v>
      </c>
      <c r="AN97" s="44">
        <v>7190</v>
      </c>
      <c r="AO97" s="44">
        <v>2166</v>
      </c>
      <c r="AP97" s="44">
        <v>689</v>
      </c>
      <c r="AQ97" s="44">
        <v>1123</v>
      </c>
      <c r="AR97" s="44">
        <v>339</v>
      </c>
      <c r="AS97" s="44">
        <v>94</v>
      </c>
      <c r="AT97" s="44">
        <v>953</v>
      </c>
      <c r="AU97" s="44">
        <v>13540</v>
      </c>
      <c r="AV97" s="44">
        <v>2618</v>
      </c>
      <c r="AW97" s="44">
        <v>11971</v>
      </c>
      <c r="AX97" s="44">
        <v>959</v>
      </c>
      <c r="AY97" s="44">
        <v>5478</v>
      </c>
      <c r="AZ97" s="44">
        <v>5968</v>
      </c>
      <c r="BA97" s="44">
        <v>1979</v>
      </c>
      <c r="BB97" s="44">
        <v>219</v>
      </c>
      <c r="BC97" s="44">
        <v>3609</v>
      </c>
      <c r="BD97" s="44">
        <v>477</v>
      </c>
      <c r="BE97" s="44">
        <v>289</v>
      </c>
      <c r="BF97" s="44">
        <v>245</v>
      </c>
      <c r="BG97" s="44">
        <v>195</v>
      </c>
      <c r="BH97" s="44">
        <v>25</v>
      </c>
      <c r="BI97" s="44">
        <v>948</v>
      </c>
    </row>
    <row r="98" spans="1:61" x14ac:dyDescent="0.2">
      <c r="A98" s="42">
        <v>45261</v>
      </c>
      <c r="B98" s="43">
        <v>1420</v>
      </c>
      <c r="C98" s="43">
        <v>720</v>
      </c>
      <c r="D98" s="43">
        <v>865</v>
      </c>
      <c r="E98" s="43">
        <v>580</v>
      </c>
      <c r="F98" s="43">
        <v>830</v>
      </c>
      <c r="G98" s="43">
        <v>580</v>
      </c>
      <c r="H98" s="43">
        <v>750</v>
      </c>
      <c r="I98" s="43">
        <v>430</v>
      </c>
      <c r="J98" s="43">
        <v>660</v>
      </c>
      <c r="K98" s="43">
        <v>443</v>
      </c>
      <c r="L98" s="43">
        <v>715</v>
      </c>
      <c r="M98" s="43">
        <v>525</v>
      </c>
      <c r="N98" s="43">
        <v>589.5</v>
      </c>
      <c r="O98" s="43">
        <v>466.3</v>
      </c>
      <c r="P98" s="43">
        <v>1000</v>
      </c>
      <c r="Q98" s="43">
        <v>800</v>
      </c>
      <c r="R98" s="43">
        <v>630</v>
      </c>
      <c r="S98" s="43">
        <v>632.5</v>
      </c>
      <c r="T98" s="43">
        <v>510</v>
      </c>
      <c r="U98" s="43">
        <v>548</v>
      </c>
      <c r="V98" s="43">
        <v>591.5</v>
      </c>
      <c r="W98" s="43">
        <v>565.5</v>
      </c>
      <c r="X98" s="43">
        <v>268</v>
      </c>
      <c r="Y98" s="43">
        <v>445</v>
      </c>
      <c r="Z98" s="43">
        <v>339</v>
      </c>
      <c r="AA98" s="43">
        <v>540</v>
      </c>
      <c r="AB98" s="43">
        <v>435.5</v>
      </c>
      <c r="AC98" s="43">
        <v>375</v>
      </c>
      <c r="AD98" s="43">
        <v>277.5</v>
      </c>
      <c r="AE98" s="43">
        <v>625</v>
      </c>
      <c r="AF98" s="44">
        <v>12596</v>
      </c>
      <c r="AG98" s="44">
        <v>11871</v>
      </c>
      <c r="AH98" s="44">
        <v>14235</v>
      </c>
      <c r="AI98" s="44">
        <v>5358</v>
      </c>
      <c r="AJ98" s="44">
        <v>9413</v>
      </c>
      <c r="AK98" s="44">
        <v>11718</v>
      </c>
      <c r="AL98" s="44">
        <v>4463</v>
      </c>
      <c r="AM98" s="44">
        <v>1802</v>
      </c>
      <c r="AN98" s="44">
        <v>7523</v>
      </c>
      <c r="AO98" s="44">
        <v>2261</v>
      </c>
      <c r="AP98" s="44">
        <v>738</v>
      </c>
      <c r="AQ98" s="44">
        <v>1237</v>
      </c>
      <c r="AR98" s="44">
        <v>288</v>
      </c>
      <c r="AS98" s="44">
        <v>72</v>
      </c>
      <c r="AT98" s="44">
        <v>1011</v>
      </c>
      <c r="AU98" s="44">
        <v>12681</v>
      </c>
      <c r="AV98" s="44">
        <v>2832</v>
      </c>
      <c r="AW98" s="44">
        <v>13080</v>
      </c>
      <c r="AX98" s="44">
        <v>1248</v>
      </c>
      <c r="AY98" s="44">
        <v>5034</v>
      </c>
      <c r="AZ98" s="44">
        <v>5504</v>
      </c>
      <c r="BA98" s="44">
        <v>2040</v>
      </c>
      <c r="BB98" s="44">
        <v>253</v>
      </c>
      <c r="BC98" s="44">
        <v>3852</v>
      </c>
      <c r="BD98" s="44">
        <v>481</v>
      </c>
      <c r="BE98" s="44">
        <v>277</v>
      </c>
      <c r="BF98" s="44">
        <v>255</v>
      </c>
      <c r="BG98" s="44">
        <v>191</v>
      </c>
      <c r="BH98" s="44">
        <v>18</v>
      </c>
      <c r="BI98" s="44">
        <v>909</v>
      </c>
    </row>
    <row r="99" spans="1:61" x14ac:dyDescent="0.2">
      <c r="A99" s="42">
        <v>45352</v>
      </c>
      <c r="B99" s="43">
        <v>1401</v>
      </c>
      <c r="C99" s="43">
        <v>747</v>
      </c>
      <c r="D99" s="43">
        <v>845</v>
      </c>
      <c r="E99" s="43">
        <v>575</v>
      </c>
      <c r="F99" s="43">
        <v>850.3</v>
      </c>
      <c r="G99" s="43">
        <v>605</v>
      </c>
      <c r="H99" s="43">
        <v>765</v>
      </c>
      <c r="I99" s="43">
        <v>455</v>
      </c>
      <c r="J99" s="43">
        <v>700</v>
      </c>
      <c r="K99" s="43">
        <v>450</v>
      </c>
      <c r="L99" s="43">
        <v>705</v>
      </c>
      <c r="M99" s="43">
        <v>535</v>
      </c>
      <c r="N99" s="43">
        <v>570</v>
      </c>
      <c r="O99" s="43">
        <v>425</v>
      </c>
      <c r="P99" s="43">
        <v>985</v>
      </c>
      <c r="Q99" s="43">
        <v>790</v>
      </c>
      <c r="R99" s="43">
        <v>626.79999999999995</v>
      </c>
      <c r="S99" s="43">
        <v>629</v>
      </c>
      <c r="T99" s="43">
        <v>502</v>
      </c>
      <c r="U99" s="43">
        <v>580</v>
      </c>
      <c r="V99" s="43">
        <v>625</v>
      </c>
      <c r="W99" s="43">
        <v>570</v>
      </c>
      <c r="X99" s="43">
        <v>270</v>
      </c>
      <c r="Y99" s="43">
        <v>475</v>
      </c>
      <c r="Z99" s="43">
        <v>365</v>
      </c>
      <c r="AA99" s="43">
        <v>551</v>
      </c>
      <c r="AB99" s="43">
        <v>450</v>
      </c>
      <c r="AC99" s="43">
        <v>390</v>
      </c>
      <c r="AD99" s="43">
        <v>350</v>
      </c>
      <c r="AE99" s="43">
        <v>597</v>
      </c>
      <c r="AF99" s="44">
        <v>11689</v>
      </c>
      <c r="AG99" s="44">
        <v>10887</v>
      </c>
      <c r="AH99" s="44">
        <v>13514</v>
      </c>
      <c r="AI99" s="44">
        <v>5509</v>
      </c>
      <c r="AJ99" s="44">
        <v>9068</v>
      </c>
      <c r="AK99" s="44">
        <v>11696</v>
      </c>
      <c r="AL99" s="44">
        <v>4086</v>
      </c>
      <c r="AM99" s="44">
        <v>1812</v>
      </c>
      <c r="AN99" s="44">
        <v>6998</v>
      </c>
      <c r="AO99" s="44">
        <v>2209</v>
      </c>
      <c r="AP99" s="44">
        <v>759</v>
      </c>
      <c r="AQ99" s="44">
        <v>1409</v>
      </c>
      <c r="AR99" s="44">
        <v>300</v>
      </c>
      <c r="AS99" s="44">
        <v>71</v>
      </c>
      <c r="AT99" s="44">
        <v>908</v>
      </c>
      <c r="AU99" s="44">
        <v>12554</v>
      </c>
      <c r="AV99" s="44">
        <v>2798</v>
      </c>
      <c r="AW99" s="44">
        <v>12729</v>
      </c>
      <c r="AX99" s="44">
        <v>1433</v>
      </c>
      <c r="AY99" s="44">
        <v>5133</v>
      </c>
      <c r="AZ99" s="44">
        <v>5700</v>
      </c>
      <c r="BA99" s="44">
        <v>1955</v>
      </c>
      <c r="BB99" s="44">
        <v>271</v>
      </c>
      <c r="BC99" s="44">
        <v>3913</v>
      </c>
      <c r="BD99" s="44">
        <v>528</v>
      </c>
      <c r="BE99" s="44">
        <v>295</v>
      </c>
      <c r="BF99" s="44">
        <v>277</v>
      </c>
      <c r="BG99" s="44">
        <v>174</v>
      </c>
      <c r="BH99" s="44">
        <v>27</v>
      </c>
      <c r="BI99" s="44">
        <v>958</v>
      </c>
    </row>
    <row r="100" spans="1:61" x14ac:dyDescent="0.2">
      <c r="A100" s="42">
        <v>45444</v>
      </c>
      <c r="B100" s="43">
        <v>1455</v>
      </c>
      <c r="C100" s="43">
        <v>750</v>
      </c>
      <c r="D100" s="43">
        <v>845</v>
      </c>
      <c r="E100" s="43">
        <v>570</v>
      </c>
      <c r="F100" s="43">
        <v>890</v>
      </c>
      <c r="G100" s="43">
        <v>630</v>
      </c>
      <c r="H100" s="43">
        <v>785</v>
      </c>
      <c r="I100" s="43">
        <v>450</v>
      </c>
      <c r="J100" s="43">
        <v>756</v>
      </c>
      <c r="K100" s="43">
        <v>470</v>
      </c>
      <c r="L100" s="43">
        <v>695.5</v>
      </c>
      <c r="M100" s="43">
        <v>537</v>
      </c>
      <c r="N100" s="43">
        <v>582.5</v>
      </c>
      <c r="O100" s="43">
        <v>438.8</v>
      </c>
      <c r="P100" s="43">
        <v>990</v>
      </c>
      <c r="Q100" s="43">
        <v>800</v>
      </c>
      <c r="R100" s="43">
        <v>645</v>
      </c>
      <c r="S100" s="43">
        <v>630</v>
      </c>
      <c r="T100" s="43">
        <v>440</v>
      </c>
      <c r="U100" s="43">
        <v>610</v>
      </c>
      <c r="V100" s="43">
        <v>640</v>
      </c>
      <c r="W100" s="43">
        <v>630</v>
      </c>
      <c r="X100" s="43">
        <v>265</v>
      </c>
      <c r="Y100" s="43">
        <v>510</v>
      </c>
      <c r="Z100" s="43">
        <v>380</v>
      </c>
      <c r="AA100" s="43">
        <v>555</v>
      </c>
      <c r="AB100" s="43">
        <v>445</v>
      </c>
      <c r="AC100" s="43">
        <v>356</v>
      </c>
      <c r="AD100" s="43">
        <v>323</v>
      </c>
      <c r="AE100" s="43">
        <v>630</v>
      </c>
      <c r="AF100" s="44">
        <v>13509</v>
      </c>
      <c r="AG100" s="44">
        <v>12245</v>
      </c>
      <c r="AH100" s="44">
        <v>15542</v>
      </c>
      <c r="AI100" s="44">
        <v>6018</v>
      </c>
      <c r="AJ100" s="44">
        <v>9605</v>
      </c>
      <c r="AK100" s="44">
        <v>11947</v>
      </c>
      <c r="AL100" s="44">
        <v>4519</v>
      </c>
      <c r="AM100" s="44">
        <v>1728</v>
      </c>
      <c r="AN100" s="44">
        <v>6844</v>
      </c>
      <c r="AO100" s="44">
        <v>2158</v>
      </c>
      <c r="AP100" s="44">
        <v>755</v>
      </c>
      <c r="AQ100" s="44">
        <v>1334</v>
      </c>
      <c r="AR100" s="44">
        <v>322</v>
      </c>
      <c r="AS100" s="44">
        <v>76</v>
      </c>
      <c r="AT100" s="44">
        <v>1058</v>
      </c>
      <c r="AU100" s="44">
        <v>14241</v>
      </c>
      <c r="AV100" s="44">
        <v>2833</v>
      </c>
      <c r="AW100" s="44">
        <v>14367</v>
      </c>
      <c r="AX100" s="44">
        <v>1135</v>
      </c>
      <c r="AY100" s="44">
        <v>5082</v>
      </c>
      <c r="AZ100" s="44">
        <v>5520</v>
      </c>
      <c r="BA100" s="44">
        <v>2128</v>
      </c>
      <c r="BB100" s="44">
        <v>250</v>
      </c>
      <c r="BC100" s="44">
        <v>3683</v>
      </c>
      <c r="BD100" s="44">
        <v>575</v>
      </c>
      <c r="BE100" s="44">
        <v>291</v>
      </c>
      <c r="BF100" s="44">
        <v>287</v>
      </c>
      <c r="BG100" s="44">
        <v>213</v>
      </c>
      <c r="BH100" s="44">
        <v>38</v>
      </c>
      <c r="BI100" s="44">
        <v>1041</v>
      </c>
    </row>
    <row r="101" spans="1:61" x14ac:dyDescent="0.2">
      <c r="A101" s="42">
        <v>45536</v>
      </c>
      <c r="B101" s="43">
        <v>1410</v>
      </c>
      <c r="C101" s="43">
        <v>745</v>
      </c>
      <c r="D101" s="43">
        <v>825</v>
      </c>
      <c r="E101" s="43">
        <v>560</v>
      </c>
      <c r="F101" s="43">
        <v>890</v>
      </c>
      <c r="G101" s="43">
        <v>649</v>
      </c>
      <c r="H101" s="43">
        <v>818.3</v>
      </c>
      <c r="I101" s="43">
        <v>465</v>
      </c>
      <c r="J101" s="43">
        <v>780</v>
      </c>
      <c r="K101" s="43">
        <v>495</v>
      </c>
      <c r="L101" s="43">
        <v>700</v>
      </c>
      <c r="M101" s="43">
        <v>515.1</v>
      </c>
      <c r="N101" s="43">
        <v>558.79999999999995</v>
      </c>
      <c r="O101" s="43">
        <v>422.7</v>
      </c>
      <c r="P101" s="43">
        <v>1000</v>
      </c>
      <c r="Q101" s="43">
        <v>815</v>
      </c>
      <c r="R101" s="43">
        <v>640</v>
      </c>
      <c r="S101" s="43">
        <v>618</v>
      </c>
      <c r="T101" s="43">
        <v>420</v>
      </c>
      <c r="U101" s="43">
        <v>631</v>
      </c>
      <c r="V101" s="43">
        <v>660</v>
      </c>
      <c r="W101" s="43">
        <v>610</v>
      </c>
      <c r="X101" s="43">
        <v>249.5</v>
      </c>
      <c r="Y101" s="43">
        <v>540</v>
      </c>
      <c r="Z101" s="43">
        <v>380</v>
      </c>
      <c r="AA101" s="43">
        <v>525</v>
      </c>
      <c r="AB101" s="43">
        <v>450</v>
      </c>
      <c r="AC101" s="43">
        <v>350</v>
      </c>
      <c r="AD101" s="43">
        <v>280</v>
      </c>
      <c r="AE101" s="43">
        <v>595</v>
      </c>
      <c r="AF101" s="44">
        <v>13499</v>
      </c>
      <c r="AG101" s="44">
        <v>12203</v>
      </c>
      <c r="AH101" s="44">
        <v>14718</v>
      </c>
      <c r="AI101" s="44">
        <v>5736</v>
      </c>
      <c r="AJ101" s="44">
        <v>10370</v>
      </c>
      <c r="AK101" s="44">
        <v>13134</v>
      </c>
      <c r="AL101" s="44">
        <v>4460</v>
      </c>
      <c r="AM101" s="44">
        <v>1837</v>
      </c>
      <c r="AN101" s="44">
        <v>6961</v>
      </c>
      <c r="AO101" s="44">
        <v>2338</v>
      </c>
      <c r="AP101" s="44">
        <v>778</v>
      </c>
      <c r="AQ101" s="44">
        <v>1241</v>
      </c>
      <c r="AR101" s="44">
        <v>420</v>
      </c>
      <c r="AS101" s="44">
        <v>82</v>
      </c>
      <c r="AT101" s="44">
        <v>993</v>
      </c>
      <c r="AU101" s="44">
        <v>14071</v>
      </c>
      <c r="AV101" s="44">
        <v>3072</v>
      </c>
      <c r="AW101" s="44">
        <v>13741</v>
      </c>
      <c r="AX101" s="44">
        <v>1194</v>
      </c>
      <c r="AY101" s="44">
        <v>5745</v>
      </c>
      <c r="AZ101" s="44">
        <v>6205</v>
      </c>
      <c r="BA101" s="44">
        <v>2238</v>
      </c>
      <c r="BB101" s="44">
        <v>296</v>
      </c>
      <c r="BC101" s="44">
        <v>3829</v>
      </c>
      <c r="BD101" s="44">
        <v>510</v>
      </c>
      <c r="BE101" s="44">
        <v>298</v>
      </c>
      <c r="BF101" s="44">
        <v>285</v>
      </c>
      <c r="BG101" s="44">
        <v>237</v>
      </c>
      <c r="BH101" s="44">
        <v>27</v>
      </c>
      <c r="BI101" s="44">
        <v>1014</v>
      </c>
    </row>
    <row r="102" spans="1:61" x14ac:dyDescent="0.2">
      <c r="A102" s="42">
        <v>45627</v>
      </c>
      <c r="B102" s="43">
        <v>1450</v>
      </c>
      <c r="C102" s="43">
        <v>760</v>
      </c>
      <c r="D102" s="43">
        <v>850</v>
      </c>
      <c r="E102" s="43">
        <v>560</v>
      </c>
      <c r="F102" s="43">
        <v>935</v>
      </c>
      <c r="G102" s="43">
        <v>675</v>
      </c>
      <c r="H102" s="43">
        <v>850</v>
      </c>
      <c r="I102" s="43">
        <v>500</v>
      </c>
      <c r="J102" s="43">
        <v>820</v>
      </c>
      <c r="K102" s="43">
        <v>520</v>
      </c>
      <c r="L102" s="43">
        <v>715</v>
      </c>
      <c r="M102" s="43">
        <v>550</v>
      </c>
      <c r="N102" s="43">
        <v>560</v>
      </c>
      <c r="O102" s="43">
        <v>462.5</v>
      </c>
      <c r="P102" s="43">
        <v>1000</v>
      </c>
      <c r="Q102" s="43">
        <v>820</v>
      </c>
      <c r="R102" s="43">
        <v>650</v>
      </c>
      <c r="S102" s="43">
        <v>625</v>
      </c>
      <c r="T102" s="43">
        <v>415</v>
      </c>
      <c r="U102" s="43">
        <v>655</v>
      </c>
      <c r="V102" s="43">
        <v>670</v>
      </c>
      <c r="W102" s="43">
        <v>640</v>
      </c>
      <c r="X102" s="43">
        <v>320</v>
      </c>
      <c r="Y102" s="43">
        <v>557.5</v>
      </c>
      <c r="Z102" s="43">
        <v>400</v>
      </c>
      <c r="AA102" s="43">
        <v>539.5</v>
      </c>
      <c r="AB102" s="43">
        <v>462.5</v>
      </c>
      <c r="AC102" s="43">
        <v>341</v>
      </c>
      <c r="AD102" s="43">
        <v>261.5</v>
      </c>
      <c r="AE102" s="43">
        <v>610</v>
      </c>
      <c r="AF102" s="44">
        <v>13345</v>
      </c>
      <c r="AG102" s="44">
        <v>12819</v>
      </c>
      <c r="AH102" s="44">
        <v>16886</v>
      </c>
      <c r="AI102" s="44">
        <v>6726</v>
      </c>
      <c r="AJ102" s="44">
        <v>9571</v>
      </c>
      <c r="AK102" s="44">
        <v>12365</v>
      </c>
      <c r="AL102" s="44">
        <v>4548</v>
      </c>
      <c r="AM102" s="44">
        <v>1745</v>
      </c>
      <c r="AN102" s="44">
        <v>6894</v>
      </c>
      <c r="AO102" s="44">
        <v>2169</v>
      </c>
      <c r="AP102" s="44">
        <v>800</v>
      </c>
      <c r="AQ102" s="44">
        <v>1296</v>
      </c>
      <c r="AR102" s="44">
        <v>533</v>
      </c>
      <c r="AS102" s="44">
        <v>112</v>
      </c>
      <c r="AT102" s="44">
        <v>1150</v>
      </c>
      <c r="AU102" s="44">
        <v>12148</v>
      </c>
      <c r="AV102" s="44">
        <v>2913</v>
      </c>
      <c r="AW102" s="44">
        <v>14097</v>
      </c>
      <c r="AX102" s="44">
        <v>1263</v>
      </c>
      <c r="AY102" s="44">
        <v>4795</v>
      </c>
      <c r="AZ102" s="44">
        <v>5623</v>
      </c>
      <c r="BA102" s="44">
        <v>2153</v>
      </c>
      <c r="BB102" s="44">
        <v>271</v>
      </c>
      <c r="BC102" s="44">
        <v>3600</v>
      </c>
      <c r="BD102" s="44">
        <v>495</v>
      </c>
      <c r="BE102" s="44">
        <v>314</v>
      </c>
      <c r="BF102" s="44">
        <v>300</v>
      </c>
      <c r="BG102" s="44">
        <v>232</v>
      </c>
      <c r="BH102" s="44">
        <v>29</v>
      </c>
      <c r="BI102" s="44">
        <v>1043</v>
      </c>
    </row>
    <row r="103" spans="1:61" x14ac:dyDescent="0.2">
      <c r="A103" s="42">
        <v>45717</v>
      </c>
      <c r="B103" s="43">
        <v>1450</v>
      </c>
      <c r="C103" s="43">
        <v>760</v>
      </c>
      <c r="D103" s="43">
        <v>840</v>
      </c>
      <c r="E103" s="43">
        <v>575</v>
      </c>
      <c r="F103" s="43">
        <v>947.5</v>
      </c>
      <c r="G103" s="43">
        <v>710</v>
      </c>
      <c r="H103" s="43">
        <v>853</v>
      </c>
      <c r="I103" s="43">
        <v>490</v>
      </c>
      <c r="J103" s="43">
        <v>821.5</v>
      </c>
      <c r="K103" s="43">
        <v>540</v>
      </c>
      <c r="L103" s="43">
        <v>710.5</v>
      </c>
      <c r="M103" s="43">
        <v>550</v>
      </c>
      <c r="N103" s="43">
        <v>600</v>
      </c>
      <c r="O103" s="43">
        <v>430</v>
      </c>
      <c r="P103" s="43">
        <v>975</v>
      </c>
      <c r="Q103" s="43">
        <v>820</v>
      </c>
      <c r="R103" s="43">
        <v>650</v>
      </c>
      <c r="S103" s="43">
        <v>625</v>
      </c>
      <c r="T103" s="43">
        <v>430</v>
      </c>
      <c r="U103" s="43">
        <v>685</v>
      </c>
      <c r="V103" s="43">
        <v>700</v>
      </c>
      <c r="W103" s="43">
        <v>640</v>
      </c>
      <c r="X103" s="43">
        <v>297</v>
      </c>
      <c r="Y103" s="43">
        <v>575</v>
      </c>
      <c r="Z103" s="43">
        <v>420</v>
      </c>
      <c r="AA103" s="43">
        <v>550</v>
      </c>
      <c r="AB103" s="43">
        <v>442</v>
      </c>
      <c r="AC103" s="43">
        <v>360</v>
      </c>
      <c r="AD103" s="43">
        <v>263</v>
      </c>
      <c r="AE103" s="43">
        <v>600</v>
      </c>
      <c r="AF103" s="44">
        <v>11589</v>
      </c>
      <c r="AG103" s="44">
        <v>12098</v>
      </c>
      <c r="AH103" s="44">
        <v>14613</v>
      </c>
      <c r="AI103" s="44">
        <v>6784</v>
      </c>
      <c r="AJ103" s="44">
        <v>8377</v>
      </c>
      <c r="AK103" s="44">
        <v>11497</v>
      </c>
      <c r="AL103" s="44">
        <v>4309</v>
      </c>
      <c r="AM103" s="44">
        <v>1742</v>
      </c>
      <c r="AN103" s="44">
        <v>6764</v>
      </c>
      <c r="AO103" s="44">
        <v>2114</v>
      </c>
      <c r="AP103" s="44">
        <v>875</v>
      </c>
      <c r="AQ103" s="44">
        <v>1493</v>
      </c>
      <c r="AR103" s="44">
        <v>471</v>
      </c>
      <c r="AS103" s="44">
        <v>87</v>
      </c>
      <c r="AT103" s="44">
        <v>1022</v>
      </c>
      <c r="AU103" s="44">
        <v>11423</v>
      </c>
      <c r="AV103" s="44">
        <v>3035</v>
      </c>
      <c r="AW103" s="44">
        <v>12740</v>
      </c>
      <c r="AX103" s="44">
        <v>1365</v>
      </c>
      <c r="AY103" s="44">
        <v>4545</v>
      </c>
      <c r="AZ103" s="44">
        <v>5518</v>
      </c>
      <c r="BA103" s="44">
        <v>1991</v>
      </c>
      <c r="BB103" s="44">
        <v>237</v>
      </c>
      <c r="BC103" s="44">
        <v>3444</v>
      </c>
      <c r="BD103" s="44">
        <v>440</v>
      </c>
      <c r="BE103" s="44">
        <v>354</v>
      </c>
      <c r="BF103" s="44">
        <v>274</v>
      </c>
      <c r="BG103" s="44">
        <v>238</v>
      </c>
      <c r="BH103" s="44">
        <v>29</v>
      </c>
      <c r="BI103" s="44">
        <v>1046</v>
      </c>
    </row>
    <row r="104" spans="1:61" x14ac:dyDescent="0.2">
      <c r="A104" s="42">
        <v>45809</v>
      </c>
      <c r="B104" s="43">
        <v>1520</v>
      </c>
      <c r="C104" s="43">
        <v>770</v>
      </c>
      <c r="D104" s="43">
        <v>845</v>
      </c>
      <c r="E104" s="43">
        <v>575</v>
      </c>
      <c r="F104" s="43">
        <v>970</v>
      </c>
      <c r="G104" s="43">
        <v>725</v>
      </c>
      <c r="H104" s="43">
        <v>868</v>
      </c>
      <c r="I104" s="43">
        <v>510</v>
      </c>
      <c r="J104" s="43">
        <v>850</v>
      </c>
      <c r="K104" s="43">
        <v>550</v>
      </c>
      <c r="L104" s="43">
        <v>707.5</v>
      </c>
      <c r="M104" s="43">
        <v>550</v>
      </c>
      <c r="N104" s="43">
        <v>624</v>
      </c>
      <c r="O104" s="43">
        <v>443.5</v>
      </c>
      <c r="P104" s="43">
        <v>1000</v>
      </c>
      <c r="Q104" s="43">
        <v>835</v>
      </c>
      <c r="R104" s="43">
        <v>665</v>
      </c>
      <c r="S104" s="43">
        <v>625</v>
      </c>
      <c r="T104" s="43">
        <v>435</v>
      </c>
      <c r="U104" s="43">
        <v>706</v>
      </c>
      <c r="V104" s="43">
        <v>720</v>
      </c>
      <c r="W104" s="43">
        <v>663</v>
      </c>
      <c r="X104" s="43">
        <v>330</v>
      </c>
      <c r="Y104" s="43">
        <v>600</v>
      </c>
      <c r="Z104" s="43">
        <v>410</v>
      </c>
      <c r="AA104" s="43">
        <v>555.29999999999995</v>
      </c>
      <c r="AB104" s="43">
        <v>450</v>
      </c>
      <c r="AC104" s="43">
        <v>389</v>
      </c>
      <c r="AD104" s="43">
        <v>300</v>
      </c>
      <c r="AE104" s="43">
        <v>600</v>
      </c>
      <c r="AF104" s="44">
        <v>13762</v>
      </c>
      <c r="AG104" s="44">
        <v>13082</v>
      </c>
      <c r="AH104" s="44">
        <v>17640</v>
      </c>
      <c r="AI104" s="44">
        <v>7450</v>
      </c>
      <c r="AJ104" s="44">
        <v>9518</v>
      </c>
      <c r="AK104" s="44">
        <v>11745</v>
      </c>
      <c r="AL104" s="44">
        <v>4920</v>
      </c>
      <c r="AM104" s="44">
        <v>1755</v>
      </c>
      <c r="AN104" s="44">
        <v>7402</v>
      </c>
      <c r="AO104" s="44">
        <v>2232</v>
      </c>
      <c r="AP104" s="44">
        <v>931</v>
      </c>
      <c r="AQ104" s="44">
        <v>1564</v>
      </c>
      <c r="AR104" s="44">
        <v>580</v>
      </c>
      <c r="AS104" s="44">
        <v>109</v>
      </c>
      <c r="AT104" s="44">
        <v>1135</v>
      </c>
      <c r="AU104" s="44">
        <v>13329</v>
      </c>
      <c r="AV104" s="44">
        <v>3125</v>
      </c>
      <c r="AW104" s="44">
        <v>14939</v>
      </c>
      <c r="AX104" s="44">
        <v>1387</v>
      </c>
      <c r="AY104" s="44">
        <v>4948</v>
      </c>
      <c r="AZ104" s="44">
        <v>5915</v>
      </c>
      <c r="BA104" s="44">
        <v>2318</v>
      </c>
      <c r="BB104" s="44">
        <v>226</v>
      </c>
      <c r="BC104" s="44">
        <v>3253</v>
      </c>
      <c r="BD104" s="44">
        <v>452</v>
      </c>
      <c r="BE104" s="44">
        <v>330</v>
      </c>
      <c r="BF104" s="44">
        <v>295</v>
      </c>
      <c r="BG104" s="44">
        <v>343</v>
      </c>
      <c r="BH104" s="44">
        <v>33</v>
      </c>
      <c r="BI104" s="44">
        <v>1191</v>
      </c>
    </row>
    <row r="105" spans="1:61" x14ac:dyDescent="0.2">
      <c r="A105" s="42">
        <v>45901</v>
      </c>
      <c r="B105" s="43">
        <v>1511</v>
      </c>
      <c r="C105" s="43">
        <v>780</v>
      </c>
      <c r="D105" s="43">
        <v>846.8</v>
      </c>
      <c r="E105" s="43">
        <v>590</v>
      </c>
      <c r="F105" s="43">
        <v>1020</v>
      </c>
      <c r="G105" s="43">
        <v>765</v>
      </c>
      <c r="H105" s="43">
        <v>900</v>
      </c>
      <c r="I105" s="43">
        <v>535</v>
      </c>
      <c r="J105" s="43">
        <v>871</v>
      </c>
      <c r="K105" s="43">
        <v>577.5</v>
      </c>
      <c r="L105" s="43">
        <v>715</v>
      </c>
      <c r="M105" s="43">
        <v>575</v>
      </c>
      <c r="N105" s="43">
        <v>670</v>
      </c>
      <c r="O105" s="43">
        <v>433</v>
      </c>
      <c r="P105" s="43">
        <v>1027</v>
      </c>
      <c r="Q105" s="43">
        <v>840</v>
      </c>
      <c r="R105" s="43">
        <v>675</v>
      </c>
      <c r="S105" s="43">
        <v>630</v>
      </c>
      <c r="T105" s="43">
        <v>440</v>
      </c>
      <c r="U105" s="43">
        <v>740</v>
      </c>
      <c r="V105" s="43">
        <v>740</v>
      </c>
      <c r="W105" s="43">
        <v>685.8</v>
      </c>
      <c r="X105" s="43">
        <v>365</v>
      </c>
      <c r="Y105" s="43">
        <v>625.9</v>
      </c>
      <c r="Z105" s="43">
        <v>430</v>
      </c>
      <c r="AA105" s="43">
        <v>582.5</v>
      </c>
      <c r="AB105" s="43">
        <v>455</v>
      </c>
      <c r="AC105" s="43">
        <v>405</v>
      </c>
      <c r="AD105" s="43">
        <v>310</v>
      </c>
      <c r="AE105" s="43">
        <v>612</v>
      </c>
      <c r="AF105" s="44">
        <v>14929</v>
      </c>
      <c r="AG105" s="44">
        <v>13953</v>
      </c>
      <c r="AH105" s="44">
        <v>17798</v>
      </c>
      <c r="AI105" s="44">
        <v>7875</v>
      </c>
      <c r="AJ105" s="44">
        <v>10508</v>
      </c>
      <c r="AK105" s="44">
        <v>12555</v>
      </c>
      <c r="AL105" s="44">
        <v>4871</v>
      </c>
      <c r="AM105" s="44">
        <v>1811</v>
      </c>
      <c r="AN105" s="44">
        <v>6746</v>
      </c>
      <c r="AO105" s="44">
        <v>2236</v>
      </c>
      <c r="AP105" s="44">
        <v>803</v>
      </c>
      <c r="AQ105" s="44">
        <v>1387</v>
      </c>
      <c r="AR105" s="44">
        <v>595</v>
      </c>
      <c r="AS105" s="44">
        <v>124</v>
      </c>
      <c r="AT105" s="44">
        <v>1111</v>
      </c>
      <c r="AU105" s="44">
        <v>14498</v>
      </c>
      <c r="AV105" s="44">
        <v>3493</v>
      </c>
      <c r="AW105" s="44">
        <v>15128</v>
      </c>
      <c r="AX105" s="44">
        <v>1621</v>
      </c>
      <c r="AY105" s="44">
        <v>5299</v>
      </c>
      <c r="AZ105" s="44">
        <v>6134</v>
      </c>
      <c r="BA105" s="44">
        <v>2636</v>
      </c>
      <c r="BB105" s="44">
        <v>272</v>
      </c>
      <c r="BC105" s="44">
        <v>3406</v>
      </c>
      <c r="BD105" s="44">
        <v>538</v>
      </c>
      <c r="BE105" s="44">
        <v>313</v>
      </c>
      <c r="BF105" s="44">
        <v>324</v>
      </c>
      <c r="BG105" s="44">
        <v>397</v>
      </c>
      <c r="BH105" s="44">
        <v>55</v>
      </c>
      <c r="BI105" s="44">
        <v>1154</v>
      </c>
    </row>
    <row r="106" spans="1:61" x14ac:dyDescent="0.2">
      <c r="A106" s="42">
        <v>45992</v>
      </c>
      <c r="B106" s="43">
        <v>1515</v>
      </c>
      <c r="C106" s="43">
        <v>800</v>
      </c>
      <c r="D106" s="43">
        <v>875</v>
      </c>
      <c r="E106" s="43">
        <v>610</v>
      </c>
      <c r="F106" s="43">
        <v>1100</v>
      </c>
      <c r="G106" s="43">
        <v>799.4</v>
      </c>
      <c r="H106" s="43">
        <v>950</v>
      </c>
      <c r="I106" s="43">
        <v>575</v>
      </c>
      <c r="J106" s="43">
        <v>951</v>
      </c>
      <c r="K106" s="43">
        <v>622</v>
      </c>
      <c r="L106" s="43">
        <v>749.5</v>
      </c>
      <c r="M106" s="43">
        <v>609</v>
      </c>
      <c r="N106" s="43">
        <v>711</v>
      </c>
      <c r="O106" s="43">
        <v>460</v>
      </c>
      <c r="P106" s="43">
        <v>1042.5</v>
      </c>
      <c r="Q106" s="43">
        <v>850</v>
      </c>
      <c r="R106" s="43">
        <v>700</v>
      </c>
      <c r="S106" s="43">
        <v>660</v>
      </c>
      <c r="T106" s="43">
        <v>465</v>
      </c>
      <c r="U106" s="43">
        <v>793</v>
      </c>
      <c r="V106" s="43">
        <v>786</v>
      </c>
      <c r="W106" s="43">
        <v>730</v>
      </c>
      <c r="X106" s="43">
        <v>410</v>
      </c>
      <c r="Y106" s="43">
        <v>700</v>
      </c>
      <c r="Z106" s="43">
        <v>450</v>
      </c>
      <c r="AA106" s="43">
        <v>586</v>
      </c>
      <c r="AB106" s="43">
        <v>493.5</v>
      </c>
      <c r="AC106" s="43">
        <v>433.2</v>
      </c>
      <c r="AD106" s="43">
        <v>315</v>
      </c>
      <c r="AE106" s="43">
        <v>620</v>
      </c>
      <c r="AF106" s="44">
        <v>12879</v>
      </c>
      <c r="AG106" s="44">
        <v>13851</v>
      </c>
      <c r="AH106" s="44">
        <v>15965</v>
      </c>
      <c r="AI106" s="44">
        <v>7336</v>
      </c>
      <c r="AJ106" s="44">
        <v>8493</v>
      </c>
      <c r="AK106" s="44">
        <v>10192</v>
      </c>
      <c r="AL106" s="44">
        <v>4808</v>
      </c>
      <c r="AM106" s="44">
        <v>1789</v>
      </c>
      <c r="AN106" s="44">
        <v>6193</v>
      </c>
      <c r="AO106" s="44">
        <v>1931</v>
      </c>
      <c r="AP106" s="44">
        <v>488</v>
      </c>
      <c r="AQ106" s="44">
        <v>806</v>
      </c>
      <c r="AR106" s="44">
        <v>408</v>
      </c>
      <c r="AS106" s="44">
        <v>105</v>
      </c>
      <c r="AT106" s="44">
        <v>1090</v>
      </c>
      <c r="AU106" s="44">
        <v>12725</v>
      </c>
      <c r="AV106" s="44">
        <v>3501</v>
      </c>
      <c r="AW106" s="44">
        <v>14962</v>
      </c>
      <c r="AX106" s="44">
        <v>1469</v>
      </c>
      <c r="AY106" s="44">
        <v>4273</v>
      </c>
      <c r="AZ106" s="44">
        <v>5033</v>
      </c>
      <c r="BA106" s="44">
        <v>2096</v>
      </c>
      <c r="BB106" s="44">
        <v>279</v>
      </c>
      <c r="BC106" s="44">
        <v>2960</v>
      </c>
      <c r="BD106" s="44">
        <v>498</v>
      </c>
      <c r="BE106" s="44">
        <v>209</v>
      </c>
      <c r="BF106" s="44">
        <v>188</v>
      </c>
      <c r="BG106" s="44">
        <v>289</v>
      </c>
      <c r="BH106" s="44">
        <v>39</v>
      </c>
      <c r="BI106" s="44">
        <v>1225</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0EFC7-7237-4430-B607-A7F5094CDFDA}">
  <sheetPr>
    <tabColor theme="7"/>
  </sheetPr>
  <dimension ref="A1:D102"/>
  <sheetViews>
    <sheetView zoomScaleNormal="100" workbookViewId="0">
      <selection activeCell="D3" sqref="D3"/>
    </sheetView>
  </sheetViews>
  <sheetFormatPr defaultRowHeight="15" x14ac:dyDescent="0.25"/>
  <cols>
    <col min="1" max="1" width="24.28515625" bestFit="1" customWidth="1"/>
    <col min="2" max="2" width="20" bestFit="1" customWidth="1"/>
  </cols>
  <sheetData>
    <row r="1" spans="1:4" x14ac:dyDescent="0.25">
      <c r="A1" t="s">
        <v>23</v>
      </c>
      <c r="B1" s="1" t="s">
        <v>1</v>
      </c>
      <c r="C1" t="s">
        <v>634</v>
      </c>
      <c r="D1" t="s">
        <v>635</v>
      </c>
    </row>
    <row r="2" spans="1:4" x14ac:dyDescent="0.25">
      <c r="A2" t="s">
        <v>11</v>
      </c>
      <c r="B2" s="2">
        <v>37316</v>
      </c>
      <c r="C2" cm="1">
        <f t="array" ref="C2:C97">_xlfn.XLOOKUP("Median Price of Established House*Adelaide*",'ABS-total-value-dwellings'!1:1,'ABS-total-value-dwellings'!11:106,"na",2)</f>
        <v>166</v>
      </c>
      <c r="D2" cm="1">
        <f t="array" ref="D2:D97">_xlfn.XLOOKUP("Median Price of Established House*Rest of SA*",'ABS-total-value-dwellings'!1:1,'ABS-total-value-dwellings'!11:106,"na",2)</f>
        <v>0</v>
      </c>
    </row>
    <row r="3" spans="1:4" x14ac:dyDescent="0.25">
      <c r="A3" t="s">
        <v>13</v>
      </c>
      <c r="B3" s="2">
        <v>37408</v>
      </c>
      <c r="C3">
        <v>175</v>
      </c>
      <c r="D3">
        <v>0</v>
      </c>
    </row>
    <row r="4" spans="1:4" x14ac:dyDescent="0.25">
      <c r="B4" s="2">
        <v>37500</v>
      </c>
      <c r="C4">
        <v>181</v>
      </c>
      <c r="D4">
        <v>0</v>
      </c>
    </row>
    <row r="5" spans="1:4" x14ac:dyDescent="0.25">
      <c r="B5" s="2">
        <v>37591</v>
      </c>
      <c r="C5">
        <v>195</v>
      </c>
      <c r="D5">
        <v>0</v>
      </c>
    </row>
    <row r="6" spans="1:4" x14ac:dyDescent="0.25">
      <c r="B6" s="2">
        <v>37681</v>
      </c>
      <c r="C6">
        <v>209.4</v>
      </c>
      <c r="D6">
        <v>0</v>
      </c>
    </row>
    <row r="7" spans="1:4" x14ac:dyDescent="0.25">
      <c r="B7" s="2">
        <v>37773</v>
      </c>
      <c r="C7">
        <v>220.5</v>
      </c>
      <c r="D7">
        <v>0</v>
      </c>
    </row>
    <row r="8" spans="1:4" x14ac:dyDescent="0.25">
      <c r="B8" s="2">
        <v>37865</v>
      </c>
      <c r="C8">
        <v>235</v>
      </c>
      <c r="D8">
        <v>150</v>
      </c>
    </row>
    <row r="9" spans="1:4" x14ac:dyDescent="0.25">
      <c r="B9" s="2">
        <v>37956</v>
      </c>
      <c r="C9">
        <v>247.5</v>
      </c>
      <c r="D9">
        <v>162</v>
      </c>
    </row>
    <row r="10" spans="1:4" x14ac:dyDescent="0.25">
      <c r="B10" s="2">
        <v>38047</v>
      </c>
      <c r="C10">
        <v>250</v>
      </c>
      <c r="D10">
        <v>166.6</v>
      </c>
    </row>
    <row r="11" spans="1:4" x14ac:dyDescent="0.25">
      <c r="B11" s="2">
        <v>38139</v>
      </c>
      <c r="C11">
        <v>257.5</v>
      </c>
      <c r="D11">
        <v>169</v>
      </c>
    </row>
    <row r="12" spans="1:4" x14ac:dyDescent="0.25">
      <c r="B12" s="2">
        <v>38231</v>
      </c>
      <c r="C12">
        <v>261</v>
      </c>
      <c r="D12">
        <v>175</v>
      </c>
    </row>
    <row r="13" spans="1:4" x14ac:dyDescent="0.25">
      <c r="B13" s="2">
        <v>38322</v>
      </c>
      <c r="C13">
        <v>270</v>
      </c>
      <c r="D13">
        <v>182</v>
      </c>
    </row>
    <row r="14" spans="1:4" x14ac:dyDescent="0.25">
      <c r="B14" s="2">
        <v>38412</v>
      </c>
      <c r="C14">
        <v>270</v>
      </c>
      <c r="D14">
        <v>187</v>
      </c>
    </row>
    <row r="15" spans="1:4" x14ac:dyDescent="0.25">
      <c r="B15" s="2">
        <v>38504</v>
      </c>
      <c r="C15">
        <v>271</v>
      </c>
      <c r="D15">
        <v>192</v>
      </c>
    </row>
    <row r="16" spans="1:4" x14ac:dyDescent="0.25">
      <c r="B16" s="2">
        <v>38596</v>
      </c>
      <c r="C16">
        <v>275</v>
      </c>
      <c r="D16">
        <v>189.3</v>
      </c>
    </row>
    <row r="17" spans="2:4" x14ac:dyDescent="0.25">
      <c r="B17" s="2">
        <v>38687</v>
      </c>
      <c r="C17">
        <v>280</v>
      </c>
      <c r="D17">
        <v>199</v>
      </c>
    </row>
    <row r="18" spans="2:4" x14ac:dyDescent="0.25">
      <c r="B18" s="2">
        <v>38777</v>
      </c>
      <c r="C18">
        <v>280</v>
      </c>
      <c r="D18">
        <v>210</v>
      </c>
    </row>
    <row r="19" spans="2:4" x14ac:dyDescent="0.25">
      <c r="B19" s="2">
        <v>38869</v>
      </c>
      <c r="C19">
        <v>286</v>
      </c>
      <c r="D19">
        <v>210</v>
      </c>
    </row>
    <row r="20" spans="2:4" x14ac:dyDescent="0.25">
      <c r="B20" s="2">
        <v>38961</v>
      </c>
      <c r="C20">
        <v>290</v>
      </c>
      <c r="D20">
        <v>200</v>
      </c>
    </row>
    <row r="21" spans="2:4" x14ac:dyDescent="0.25">
      <c r="B21" s="2">
        <v>39052</v>
      </c>
      <c r="C21">
        <v>300</v>
      </c>
      <c r="D21">
        <v>215</v>
      </c>
    </row>
    <row r="22" spans="2:4" x14ac:dyDescent="0.25">
      <c r="B22" s="2">
        <v>39142</v>
      </c>
      <c r="C22">
        <v>305</v>
      </c>
      <c r="D22">
        <v>223</v>
      </c>
    </row>
    <row r="23" spans="2:4" x14ac:dyDescent="0.25">
      <c r="B23" s="2">
        <v>39234</v>
      </c>
      <c r="C23">
        <v>315</v>
      </c>
      <c r="D23">
        <v>223.3</v>
      </c>
    </row>
    <row r="24" spans="2:4" x14ac:dyDescent="0.25">
      <c r="B24" s="2">
        <v>39326</v>
      </c>
      <c r="C24">
        <v>335</v>
      </c>
      <c r="D24">
        <v>228</v>
      </c>
    </row>
    <row r="25" spans="2:4" x14ac:dyDescent="0.25">
      <c r="B25" s="2">
        <v>39417</v>
      </c>
      <c r="C25">
        <v>358</v>
      </c>
      <c r="D25">
        <v>245</v>
      </c>
    </row>
    <row r="26" spans="2:4" x14ac:dyDescent="0.25">
      <c r="B26" s="2">
        <v>39508</v>
      </c>
      <c r="C26">
        <v>360</v>
      </c>
      <c r="D26">
        <v>250</v>
      </c>
    </row>
    <row r="27" spans="2:4" x14ac:dyDescent="0.25">
      <c r="B27" s="2">
        <v>39600</v>
      </c>
      <c r="C27">
        <v>365</v>
      </c>
      <c r="D27">
        <v>240</v>
      </c>
    </row>
    <row r="28" spans="2:4" x14ac:dyDescent="0.25">
      <c r="B28" s="2">
        <v>39692</v>
      </c>
      <c r="C28">
        <v>360</v>
      </c>
      <c r="D28">
        <v>245</v>
      </c>
    </row>
    <row r="29" spans="2:4" x14ac:dyDescent="0.25">
      <c r="B29" s="2">
        <v>39783</v>
      </c>
      <c r="C29">
        <v>355</v>
      </c>
      <c r="D29">
        <v>245</v>
      </c>
    </row>
    <row r="30" spans="2:4" x14ac:dyDescent="0.25">
      <c r="B30" s="2">
        <v>39873</v>
      </c>
      <c r="C30">
        <v>353.5</v>
      </c>
      <c r="D30">
        <v>248</v>
      </c>
    </row>
    <row r="31" spans="2:4" x14ac:dyDescent="0.25">
      <c r="B31" s="2">
        <v>39965</v>
      </c>
      <c r="C31">
        <v>363</v>
      </c>
      <c r="D31">
        <v>245</v>
      </c>
    </row>
    <row r="32" spans="2:4" x14ac:dyDescent="0.25">
      <c r="B32" s="2">
        <v>40057</v>
      </c>
      <c r="C32">
        <v>370</v>
      </c>
      <c r="D32">
        <v>260</v>
      </c>
    </row>
    <row r="33" spans="2:4" x14ac:dyDescent="0.25">
      <c r="B33" s="2">
        <v>40148</v>
      </c>
      <c r="C33">
        <v>398.8</v>
      </c>
      <c r="D33">
        <v>267</v>
      </c>
    </row>
    <row r="34" spans="2:4" x14ac:dyDescent="0.25">
      <c r="B34" s="2">
        <v>40238</v>
      </c>
      <c r="C34">
        <v>402</v>
      </c>
      <c r="D34">
        <v>280</v>
      </c>
    </row>
    <row r="35" spans="2:4" x14ac:dyDescent="0.25">
      <c r="B35" s="2">
        <v>40330</v>
      </c>
      <c r="C35">
        <v>410</v>
      </c>
      <c r="D35">
        <v>278</v>
      </c>
    </row>
    <row r="36" spans="2:4" x14ac:dyDescent="0.25">
      <c r="B36" s="2">
        <v>40422</v>
      </c>
      <c r="C36">
        <v>400</v>
      </c>
      <c r="D36">
        <v>275</v>
      </c>
    </row>
    <row r="37" spans="2:4" x14ac:dyDescent="0.25">
      <c r="B37" s="2">
        <v>40513</v>
      </c>
      <c r="C37">
        <v>410</v>
      </c>
      <c r="D37">
        <v>277.3</v>
      </c>
    </row>
    <row r="38" spans="2:4" x14ac:dyDescent="0.25">
      <c r="B38" s="2">
        <v>40603</v>
      </c>
      <c r="C38">
        <v>400</v>
      </c>
      <c r="D38">
        <v>270</v>
      </c>
    </row>
    <row r="39" spans="2:4" x14ac:dyDescent="0.25">
      <c r="B39" s="2">
        <v>40695</v>
      </c>
      <c r="C39">
        <v>395</v>
      </c>
      <c r="D39">
        <v>275</v>
      </c>
    </row>
    <row r="40" spans="2:4" x14ac:dyDescent="0.25">
      <c r="B40" s="2">
        <v>40787</v>
      </c>
      <c r="C40">
        <v>390</v>
      </c>
      <c r="D40">
        <v>260</v>
      </c>
    </row>
    <row r="41" spans="2:4" x14ac:dyDescent="0.25">
      <c r="B41" s="2">
        <v>40878</v>
      </c>
      <c r="C41">
        <v>385</v>
      </c>
      <c r="D41">
        <v>270</v>
      </c>
    </row>
    <row r="42" spans="2:4" x14ac:dyDescent="0.25">
      <c r="B42" s="2">
        <v>40969</v>
      </c>
      <c r="C42">
        <v>382</v>
      </c>
      <c r="D42">
        <v>270</v>
      </c>
    </row>
    <row r="43" spans="2:4" x14ac:dyDescent="0.25">
      <c r="B43" s="2">
        <v>41061</v>
      </c>
      <c r="C43">
        <v>385</v>
      </c>
      <c r="D43">
        <v>270</v>
      </c>
    </row>
    <row r="44" spans="2:4" x14ac:dyDescent="0.25">
      <c r="B44" s="2">
        <v>41153</v>
      </c>
      <c r="C44">
        <v>386</v>
      </c>
      <c r="D44">
        <v>265</v>
      </c>
    </row>
    <row r="45" spans="2:4" x14ac:dyDescent="0.25">
      <c r="B45" s="2">
        <v>41244</v>
      </c>
      <c r="C45">
        <v>395</v>
      </c>
      <c r="D45">
        <v>250</v>
      </c>
    </row>
    <row r="46" spans="2:4" x14ac:dyDescent="0.25">
      <c r="B46" s="2">
        <v>41334</v>
      </c>
      <c r="C46">
        <v>395</v>
      </c>
      <c r="D46">
        <v>247.5</v>
      </c>
    </row>
    <row r="47" spans="2:4" x14ac:dyDescent="0.25">
      <c r="B47" s="2">
        <v>41426</v>
      </c>
      <c r="C47">
        <v>395</v>
      </c>
      <c r="D47">
        <v>255</v>
      </c>
    </row>
    <row r="48" spans="2:4" x14ac:dyDescent="0.25">
      <c r="B48" s="2">
        <v>41518</v>
      </c>
      <c r="C48">
        <v>395</v>
      </c>
      <c r="D48">
        <v>253</v>
      </c>
    </row>
    <row r="49" spans="2:4" x14ac:dyDescent="0.25">
      <c r="B49" s="2">
        <v>41609</v>
      </c>
      <c r="C49">
        <v>412</v>
      </c>
      <c r="D49">
        <v>268.3</v>
      </c>
    </row>
    <row r="50" spans="2:4" x14ac:dyDescent="0.25">
      <c r="B50" s="2">
        <v>41699</v>
      </c>
      <c r="C50">
        <v>407</v>
      </c>
      <c r="D50">
        <v>265</v>
      </c>
    </row>
    <row r="51" spans="2:4" x14ac:dyDescent="0.25">
      <c r="B51" s="2">
        <v>41791</v>
      </c>
      <c r="C51">
        <v>405</v>
      </c>
      <c r="D51">
        <v>250</v>
      </c>
    </row>
    <row r="52" spans="2:4" x14ac:dyDescent="0.25">
      <c r="B52" s="2">
        <v>41883</v>
      </c>
      <c r="C52">
        <v>410</v>
      </c>
      <c r="D52">
        <v>255</v>
      </c>
    </row>
    <row r="53" spans="2:4" x14ac:dyDescent="0.25">
      <c r="B53" s="2">
        <v>41974</v>
      </c>
      <c r="C53">
        <v>425</v>
      </c>
      <c r="D53">
        <v>275</v>
      </c>
    </row>
    <row r="54" spans="2:4" x14ac:dyDescent="0.25">
      <c r="B54" s="2">
        <v>42064</v>
      </c>
      <c r="C54">
        <v>415.5</v>
      </c>
      <c r="D54">
        <v>265</v>
      </c>
    </row>
    <row r="55" spans="2:4" x14ac:dyDescent="0.25">
      <c r="B55" s="2">
        <v>42156</v>
      </c>
      <c r="C55">
        <v>420</v>
      </c>
      <c r="D55">
        <v>260</v>
      </c>
    </row>
    <row r="56" spans="2:4" x14ac:dyDescent="0.25">
      <c r="B56" s="2">
        <v>42248</v>
      </c>
      <c r="C56">
        <v>427.5</v>
      </c>
      <c r="D56">
        <v>260</v>
      </c>
    </row>
    <row r="57" spans="2:4" x14ac:dyDescent="0.25">
      <c r="B57" s="2">
        <v>42339</v>
      </c>
      <c r="C57">
        <v>436</v>
      </c>
      <c r="D57">
        <v>273.5</v>
      </c>
    </row>
    <row r="58" spans="2:4" x14ac:dyDescent="0.25">
      <c r="B58" s="2">
        <v>42430</v>
      </c>
      <c r="C58">
        <v>436</v>
      </c>
      <c r="D58">
        <v>275</v>
      </c>
    </row>
    <row r="59" spans="2:4" x14ac:dyDescent="0.25">
      <c r="B59" s="2">
        <v>42522</v>
      </c>
      <c r="C59">
        <v>440</v>
      </c>
      <c r="D59">
        <v>265</v>
      </c>
    </row>
    <row r="60" spans="2:4" x14ac:dyDescent="0.25">
      <c r="B60" s="2">
        <v>42614</v>
      </c>
      <c r="C60">
        <v>445</v>
      </c>
      <c r="D60">
        <v>270</v>
      </c>
    </row>
    <row r="61" spans="2:4" x14ac:dyDescent="0.25">
      <c r="B61" s="2">
        <v>42705</v>
      </c>
      <c r="C61">
        <v>447</v>
      </c>
      <c r="D61">
        <v>280</v>
      </c>
    </row>
    <row r="62" spans="2:4" x14ac:dyDescent="0.25">
      <c r="B62" s="2">
        <v>42795</v>
      </c>
      <c r="C62">
        <v>451.3</v>
      </c>
      <c r="D62">
        <v>285</v>
      </c>
    </row>
    <row r="63" spans="2:4" x14ac:dyDescent="0.25">
      <c r="B63" s="2">
        <v>42887</v>
      </c>
      <c r="C63">
        <v>450</v>
      </c>
      <c r="D63">
        <v>270</v>
      </c>
    </row>
    <row r="64" spans="2:4" x14ac:dyDescent="0.25">
      <c r="B64" s="2">
        <v>42979</v>
      </c>
      <c r="C64">
        <v>451</v>
      </c>
      <c r="D64">
        <v>277.5</v>
      </c>
    </row>
    <row r="65" spans="2:4" x14ac:dyDescent="0.25">
      <c r="B65" s="2">
        <v>43070</v>
      </c>
      <c r="C65">
        <v>470</v>
      </c>
      <c r="D65">
        <v>273.39999999999998</v>
      </c>
    </row>
    <row r="66" spans="2:4" x14ac:dyDescent="0.25">
      <c r="B66" s="2">
        <v>43160</v>
      </c>
      <c r="C66">
        <v>465</v>
      </c>
      <c r="D66">
        <v>280</v>
      </c>
    </row>
    <row r="67" spans="2:4" x14ac:dyDescent="0.25">
      <c r="B67" s="2">
        <v>43252</v>
      </c>
      <c r="C67">
        <v>468</v>
      </c>
      <c r="D67">
        <v>276</v>
      </c>
    </row>
    <row r="68" spans="2:4" x14ac:dyDescent="0.25">
      <c r="B68" s="2">
        <v>43344</v>
      </c>
      <c r="C68">
        <v>466.3</v>
      </c>
      <c r="D68">
        <v>280</v>
      </c>
    </row>
    <row r="69" spans="2:4" x14ac:dyDescent="0.25">
      <c r="B69" s="2">
        <v>43435</v>
      </c>
      <c r="C69">
        <v>480</v>
      </c>
      <c r="D69">
        <v>295</v>
      </c>
    </row>
    <row r="70" spans="2:4" x14ac:dyDescent="0.25">
      <c r="B70" s="2">
        <v>43525</v>
      </c>
      <c r="C70">
        <v>475</v>
      </c>
      <c r="D70">
        <v>285</v>
      </c>
    </row>
    <row r="71" spans="2:4" x14ac:dyDescent="0.25">
      <c r="B71" s="2">
        <v>43617</v>
      </c>
      <c r="C71">
        <v>478.5</v>
      </c>
      <c r="D71">
        <v>276.5</v>
      </c>
    </row>
    <row r="72" spans="2:4" x14ac:dyDescent="0.25">
      <c r="B72" s="2">
        <v>43709</v>
      </c>
      <c r="C72">
        <v>474</v>
      </c>
      <c r="D72">
        <v>287.5</v>
      </c>
    </row>
    <row r="73" spans="2:4" x14ac:dyDescent="0.25">
      <c r="B73" s="2">
        <v>43800</v>
      </c>
      <c r="C73">
        <v>485</v>
      </c>
      <c r="D73">
        <v>290</v>
      </c>
    </row>
    <row r="74" spans="2:4" x14ac:dyDescent="0.25">
      <c r="B74" s="2">
        <v>43891</v>
      </c>
      <c r="C74">
        <v>472</v>
      </c>
      <c r="D74">
        <v>290</v>
      </c>
    </row>
    <row r="75" spans="2:4" x14ac:dyDescent="0.25">
      <c r="B75" s="2">
        <v>43983</v>
      </c>
      <c r="C75">
        <v>487.5</v>
      </c>
      <c r="D75">
        <v>280</v>
      </c>
    </row>
    <row r="76" spans="2:4" x14ac:dyDescent="0.25">
      <c r="B76" s="2">
        <v>44075</v>
      </c>
      <c r="C76">
        <v>500</v>
      </c>
      <c r="D76">
        <v>285</v>
      </c>
    </row>
    <row r="77" spans="2:4" x14ac:dyDescent="0.25">
      <c r="B77" s="2">
        <v>44166</v>
      </c>
      <c r="C77">
        <v>512.5</v>
      </c>
      <c r="D77">
        <v>307.5</v>
      </c>
    </row>
    <row r="78" spans="2:4" x14ac:dyDescent="0.25">
      <c r="B78" s="2">
        <v>44256</v>
      </c>
      <c r="C78">
        <v>523</v>
      </c>
      <c r="D78">
        <v>300</v>
      </c>
    </row>
    <row r="79" spans="2:4" x14ac:dyDescent="0.25">
      <c r="B79" s="2">
        <v>44348</v>
      </c>
      <c r="C79">
        <v>550</v>
      </c>
      <c r="D79">
        <v>310</v>
      </c>
    </row>
    <row r="80" spans="2:4" x14ac:dyDescent="0.25">
      <c r="B80" s="2">
        <v>44440</v>
      </c>
      <c r="C80">
        <v>580</v>
      </c>
      <c r="D80">
        <v>309</v>
      </c>
    </row>
    <row r="81" spans="2:4" x14ac:dyDescent="0.25">
      <c r="B81" s="2">
        <v>44531</v>
      </c>
      <c r="C81">
        <v>630</v>
      </c>
      <c r="D81">
        <v>335</v>
      </c>
    </row>
    <row r="82" spans="2:4" x14ac:dyDescent="0.25">
      <c r="B82" s="2">
        <v>44621</v>
      </c>
      <c r="C82">
        <v>650</v>
      </c>
      <c r="D82">
        <v>335</v>
      </c>
    </row>
    <row r="83" spans="2:4" x14ac:dyDescent="0.25">
      <c r="B83" s="2">
        <v>44713</v>
      </c>
      <c r="C83">
        <v>663</v>
      </c>
      <c r="D83">
        <v>350</v>
      </c>
    </row>
    <row r="84" spans="2:4" x14ac:dyDescent="0.25">
      <c r="B84" s="2">
        <v>44805</v>
      </c>
      <c r="C84">
        <v>654</v>
      </c>
      <c r="D84">
        <v>345</v>
      </c>
    </row>
    <row r="85" spans="2:4" x14ac:dyDescent="0.25">
      <c r="B85" s="2">
        <v>44896</v>
      </c>
      <c r="C85">
        <v>675</v>
      </c>
      <c r="D85">
        <v>363.3</v>
      </c>
    </row>
    <row r="86" spans="2:4" x14ac:dyDescent="0.25">
      <c r="B86" s="2">
        <v>44986</v>
      </c>
      <c r="C86">
        <v>680</v>
      </c>
      <c r="D86">
        <v>381.8</v>
      </c>
    </row>
    <row r="87" spans="2:4" x14ac:dyDescent="0.25">
      <c r="B87" s="2">
        <v>45078</v>
      </c>
      <c r="C87">
        <v>702</v>
      </c>
      <c r="D87">
        <v>395</v>
      </c>
    </row>
    <row r="88" spans="2:4" x14ac:dyDescent="0.25">
      <c r="B88" s="2">
        <v>45170</v>
      </c>
      <c r="C88">
        <v>715</v>
      </c>
      <c r="D88">
        <v>410</v>
      </c>
    </row>
    <row r="89" spans="2:4" x14ac:dyDescent="0.25">
      <c r="B89" s="2">
        <v>45261</v>
      </c>
      <c r="C89">
        <v>750</v>
      </c>
      <c r="D89">
        <v>430</v>
      </c>
    </row>
    <row r="90" spans="2:4" x14ac:dyDescent="0.25">
      <c r="B90" s="2">
        <v>45352</v>
      </c>
      <c r="C90">
        <v>765</v>
      </c>
      <c r="D90">
        <v>455</v>
      </c>
    </row>
    <row r="91" spans="2:4" x14ac:dyDescent="0.25">
      <c r="B91" s="2">
        <v>45444</v>
      </c>
      <c r="C91">
        <v>785</v>
      </c>
      <c r="D91">
        <v>450</v>
      </c>
    </row>
    <row r="92" spans="2:4" x14ac:dyDescent="0.25">
      <c r="B92" s="2">
        <v>45536</v>
      </c>
      <c r="C92">
        <v>818.3</v>
      </c>
      <c r="D92">
        <v>465</v>
      </c>
    </row>
    <row r="93" spans="2:4" x14ac:dyDescent="0.25">
      <c r="B93" s="2">
        <v>45627</v>
      </c>
      <c r="C93">
        <v>850</v>
      </c>
      <c r="D93">
        <v>500</v>
      </c>
    </row>
    <row r="94" spans="2:4" x14ac:dyDescent="0.25">
      <c r="B94" s="2">
        <v>45717</v>
      </c>
      <c r="C94">
        <v>853</v>
      </c>
      <c r="D94">
        <v>490</v>
      </c>
    </row>
    <row r="95" spans="2:4" x14ac:dyDescent="0.25">
      <c r="B95" s="2">
        <v>45809</v>
      </c>
      <c r="C95">
        <v>868</v>
      </c>
      <c r="D95">
        <v>510</v>
      </c>
    </row>
    <row r="96" spans="2:4" x14ac:dyDescent="0.25">
      <c r="B96" s="2">
        <v>45901</v>
      </c>
      <c r="C96">
        <v>900</v>
      </c>
      <c r="D96">
        <v>535</v>
      </c>
    </row>
    <row r="97" spans="2:4" x14ac:dyDescent="0.25">
      <c r="B97" s="2">
        <v>45992</v>
      </c>
      <c r="C97">
        <v>950</v>
      </c>
      <c r="D97">
        <v>575</v>
      </c>
    </row>
    <row r="98" spans="2:4" x14ac:dyDescent="0.25">
      <c r="B98" s="2"/>
    </row>
    <row r="99" spans="2:4" x14ac:dyDescent="0.25">
      <c r="B99" s="2"/>
    </row>
    <row r="100" spans="2:4" x14ac:dyDescent="0.25">
      <c r="B100" s="2"/>
    </row>
    <row r="101" spans="2:4" x14ac:dyDescent="0.25">
      <c r="B101" s="2"/>
    </row>
    <row r="102" spans="2:4" x14ac:dyDescent="0.25">
      <c r="B102" s="2"/>
    </row>
  </sheetData>
  <autoFilter ref="B1:D102" xr:uid="{01F0EFC7-7237-4430-B607-A7F5094CDFD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CC8C7-C0AE-4250-8278-0C9D574A35AA}">
  <sheetPr>
    <tabColor theme="7"/>
  </sheetPr>
  <dimension ref="A1:D97"/>
  <sheetViews>
    <sheetView zoomScaleNormal="100" workbookViewId="0">
      <selection activeCell="C3" sqref="C3"/>
    </sheetView>
  </sheetViews>
  <sheetFormatPr defaultRowHeight="15" x14ac:dyDescent="0.25"/>
  <cols>
    <col min="1" max="1" width="24.28515625" bestFit="1" customWidth="1"/>
    <col min="2" max="2" width="20" bestFit="1" customWidth="1"/>
  </cols>
  <sheetData>
    <row r="1" spans="1:4" x14ac:dyDescent="0.25">
      <c r="A1" t="s">
        <v>23</v>
      </c>
      <c r="B1" s="1" t="s">
        <v>1</v>
      </c>
      <c r="C1" t="s">
        <v>634</v>
      </c>
      <c r="D1" t="s">
        <v>635</v>
      </c>
    </row>
    <row r="2" spans="1:4" x14ac:dyDescent="0.25">
      <c r="A2" t="s">
        <v>12</v>
      </c>
      <c r="B2" s="2">
        <v>37316</v>
      </c>
      <c r="C2" cm="1">
        <f t="array" ref="C2:C97">_xlfn.XLOOKUP("Median Price of Attached Dwelling*Adelaide*",'ABS-total-value-dwellings'!1:1,'ABS-total-value-dwellings'!11:106,"na",2)</f>
        <v>0</v>
      </c>
      <c r="D2" cm="1">
        <f t="array" ref="D2:D97">_xlfn.XLOOKUP("Median Price of Attached Dwelling*Rest of SA*",'ABS-total-value-dwellings'!1:1,'ABS-total-value-dwellings'!11:106,"na",2)</f>
        <v>0</v>
      </c>
    </row>
    <row r="3" spans="1:4" x14ac:dyDescent="0.25">
      <c r="A3" t="s">
        <v>13</v>
      </c>
      <c r="B3" s="2">
        <v>37408</v>
      </c>
      <c r="C3">
        <v>0</v>
      </c>
      <c r="D3">
        <v>0</v>
      </c>
    </row>
    <row r="4" spans="1:4" x14ac:dyDescent="0.25">
      <c r="B4" s="2">
        <v>37500</v>
      </c>
      <c r="C4">
        <v>0</v>
      </c>
      <c r="D4">
        <v>0</v>
      </c>
    </row>
    <row r="5" spans="1:4" x14ac:dyDescent="0.25">
      <c r="B5" s="2">
        <v>37591</v>
      </c>
      <c r="C5">
        <v>0</v>
      </c>
      <c r="D5">
        <v>0</v>
      </c>
    </row>
    <row r="6" spans="1:4" x14ac:dyDescent="0.25">
      <c r="B6" s="2">
        <v>37681</v>
      </c>
      <c r="C6">
        <v>0</v>
      </c>
      <c r="D6">
        <v>0</v>
      </c>
    </row>
    <row r="7" spans="1:4" x14ac:dyDescent="0.25">
      <c r="B7" s="2">
        <v>37773</v>
      </c>
      <c r="C7">
        <v>0</v>
      </c>
      <c r="D7">
        <v>0</v>
      </c>
    </row>
    <row r="8" spans="1:4" x14ac:dyDescent="0.25">
      <c r="B8" s="2">
        <v>37865</v>
      </c>
      <c r="C8">
        <v>182.5</v>
      </c>
      <c r="D8">
        <v>82</v>
      </c>
    </row>
    <row r="9" spans="1:4" x14ac:dyDescent="0.25">
      <c r="B9" s="2">
        <v>37956</v>
      </c>
      <c r="C9">
        <v>191</v>
      </c>
      <c r="D9">
        <v>85</v>
      </c>
    </row>
    <row r="10" spans="1:4" x14ac:dyDescent="0.25">
      <c r="B10" s="2">
        <v>38047</v>
      </c>
      <c r="C10">
        <v>193.5</v>
      </c>
      <c r="D10">
        <v>82.9</v>
      </c>
    </row>
    <row r="11" spans="1:4" x14ac:dyDescent="0.25">
      <c r="B11" s="2">
        <v>38139</v>
      </c>
      <c r="C11">
        <v>200</v>
      </c>
      <c r="D11">
        <v>81.5</v>
      </c>
    </row>
    <row r="12" spans="1:4" x14ac:dyDescent="0.25">
      <c r="B12" s="2">
        <v>38231</v>
      </c>
      <c r="C12">
        <v>220</v>
      </c>
      <c r="D12">
        <v>90.8</v>
      </c>
    </row>
    <row r="13" spans="1:4" x14ac:dyDescent="0.25">
      <c r="B13" s="2">
        <v>38322</v>
      </c>
      <c r="C13">
        <v>220</v>
      </c>
      <c r="D13">
        <v>112</v>
      </c>
    </row>
    <row r="14" spans="1:4" x14ac:dyDescent="0.25">
      <c r="B14" s="2">
        <v>38412</v>
      </c>
      <c r="C14">
        <v>212</v>
      </c>
      <c r="D14">
        <v>125</v>
      </c>
    </row>
    <row r="15" spans="1:4" x14ac:dyDescent="0.25">
      <c r="B15" s="2">
        <v>38504</v>
      </c>
      <c r="C15">
        <v>216.5</v>
      </c>
      <c r="D15">
        <v>124.8</v>
      </c>
    </row>
    <row r="16" spans="1:4" x14ac:dyDescent="0.25">
      <c r="B16" s="2">
        <v>38596</v>
      </c>
      <c r="C16">
        <v>225.3</v>
      </c>
      <c r="D16">
        <v>131</v>
      </c>
    </row>
    <row r="17" spans="2:4" x14ac:dyDescent="0.25">
      <c r="B17" s="2">
        <v>38687</v>
      </c>
      <c r="C17">
        <v>228.8</v>
      </c>
      <c r="D17">
        <v>145</v>
      </c>
    </row>
    <row r="18" spans="2:4" x14ac:dyDescent="0.25">
      <c r="B18" s="2">
        <v>38777</v>
      </c>
      <c r="C18">
        <v>225</v>
      </c>
      <c r="D18">
        <v>151.30000000000001</v>
      </c>
    </row>
    <row r="19" spans="2:4" x14ac:dyDescent="0.25">
      <c r="B19" s="2">
        <v>38869</v>
      </c>
      <c r="C19">
        <v>235</v>
      </c>
      <c r="D19">
        <v>145</v>
      </c>
    </row>
    <row r="20" spans="2:4" x14ac:dyDescent="0.25">
      <c r="B20" s="2">
        <v>38961</v>
      </c>
      <c r="C20">
        <v>240</v>
      </c>
      <c r="D20">
        <v>131</v>
      </c>
    </row>
    <row r="21" spans="2:4" x14ac:dyDescent="0.25">
      <c r="B21" s="2">
        <v>39052</v>
      </c>
      <c r="C21">
        <v>246</v>
      </c>
      <c r="D21">
        <v>150</v>
      </c>
    </row>
    <row r="22" spans="2:4" x14ac:dyDescent="0.25">
      <c r="B22" s="2">
        <v>39142</v>
      </c>
      <c r="C22">
        <v>245</v>
      </c>
      <c r="D22">
        <v>150</v>
      </c>
    </row>
    <row r="23" spans="2:4" x14ac:dyDescent="0.25">
      <c r="B23" s="2">
        <v>39234</v>
      </c>
      <c r="C23">
        <v>265</v>
      </c>
      <c r="D23">
        <v>156</v>
      </c>
    </row>
    <row r="24" spans="2:4" x14ac:dyDescent="0.25">
      <c r="B24" s="2">
        <v>39326</v>
      </c>
      <c r="C24">
        <v>285</v>
      </c>
      <c r="D24">
        <v>166.6</v>
      </c>
    </row>
    <row r="25" spans="2:4" x14ac:dyDescent="0.25">
      <c r="B25" s="2">
        <v>39417</v>
      </c>
      <c r="C25">
        <v>290</v>
      </c>
      <c r="D25">
        <v>169.5</v>
      </c>
    </row>
    <row r="26" spans="2:4" x14ac:dyDescent="0.25">
      <c r="B26" s="2">
        <v>39508</v>
      </c>
      <c r="C26">
        <v>295</v>
      </c>
      <c r="D26">
        <v>175</v>
      </c>
    </row>
    <row r="27" spans="2:4" x14ac:dyDescent="0.25">
      <c r="B27" s="2">
        <v>39600</v>
      </c>
      <c r="C27">
        <v>290</v>
      </c>
      <c r="D27">
        <v>173.8</v>
      </c>
    </row>
    <row r="28" spans="2:4" x14ac:dyDescent="0.25">
      <c r="B28" s="2">
        <v>39692</v>
      </c>
      <c r="C28">
        <v>315.10000000000002</v>
      </c>
      <c r="D28">
        <v>190</v>
      </c>
    </row>
    <row r="29" spans="2:4" x14ac:dyDescent="0.25">
      <c r="B29" s="2">
        <v>39783</v>
      </c>
      <c r="C29">
        <v>300.8</v>
      </c>
      <c r="D29">
        <v>202</v>
      </c>
    </row>
    <row r="30" spans="2:4" x14ac:dyDescent="0.25">
      <c r="B30" s="2">
        <v>39873</v>
      </c>
      <c r="C30">
        <v>300</v>
      </c>
      <c r="D30">
        <v>175</v>
      </c>
    </row>
    <row r="31" spans="2:4" x14ac:dyDescent="0.25">
      <c r="B31" s="2">
        <v>39965</v>
      </c>
      <c r="C31">
        <v>310</v>
      </c>
      <c r="D31">
        <v>174.5</v>
      </c>
    </row>
    <row r="32" spans="2:4" x14ac:dyDescent="0.25">
      <c r="B32" s="2">
        <v>40057</v>
      </c>
      <c r="C32">
        <v>310</v>
      </c>
      <c r="D32">
        <v>170</v>
      </c>
    </row>
    <row r="33" spans="2:4" x14ac:dyDescent="0.25">
      <c r="B33" s="2">
        <v>40148</v>
      </c>
      <c r="C33">
        <v>326.8</v>
      </c>
      <c r="D33">
        <v>196</v>
      </c>
    </row>
    <row r="34" spans="2:4" x14ac:dyDescent="0.25">
      <c r="B34" s="2">
        <v>40238</v>
      </c>
      <c r="C34">
        <v>333</v>
      </c>
      <c r="D34">
        <v>199.5</v>
      </c>
    </row>
    <row r="35" spans="2:4" x14ac:dyDescent="0.25">
      <c r="B35" s="2">
        <v>40330</v>
      </c>
      <c r="C35">
        <v>337.5</v>
      </c>
      <c r="D35">
        <v>172.5</v>
      </c>
    </row>
    <row r="36" spans="2:4" x14ac:dyDescent="0.25">
      <c r="B36" s="2">
        <v>40422</v>
      </c>
      <c r="C36">
        <v>330.5</v>
      </c>
      <c r="D36">
        <v>200</v>
      </c>
    </row>
    <row r="37" spans="2:4" x14ac:dyDescent="0.25">
      <c r="B37" s="2">
        <v>40513</v>
      </c>
      <c r="C37">
        <v>335</v>
      </c>
      <c r="D37">
        <v>185</v>
      </c>
    </row>
    <row r="38" spans="2:4" x14ac:dyDescent="0.25">
      <c r="B38" s="2">
        <v>40603</v>
      </c>
      <c r="C38">
        <v>339</v>
      </c>
      <c r="D38">
        <v>210</v>
      </c>
    </row>
    <row r="39" spans="2:4" x14ac:dyDescent="0.25">
      <c r="B39" s="2">
        <v>40695</v>
      </c>
      <c r="C39">
        <v>328.5</v>
      </c>
      <c r="D39">
        <v>176.5</v>
      </c>
    </row>
    <row r="40" spans="2:4" x14ac:dyDescent="0.25">
      <c r="B40" s="2">
        <v>40787</v>
      </c>
      <c r="C40">
        <v>320</v>
      </c>
      <c r="D40">
        <v>190</v>
      </c>
    </row>
    <row r="41" spans="2:4" x14ac:dyDescent="0.25">
      <c r="B41" s="2">
        <v>40878</v>
      </c>
      <c r="C41">
        <v>327.3</v>
      </c>
      <c r="D41">
        <v>176</v>
      </c>
    </row>
    <row r="42" spans="2:4" x14ac:dyDescent="0.25">
      <c r="B42" s="2">
        <v>40969</v>
      </c>
      <c r="C42">
        <v>317</v>
      </c>
      <c r="D42">
        <v>180</v>
      </c>
    </row>
    <row r="43" spans="2:4" x14ac:dyDescent="0.25">
      <c r="B43" s="2">
        <v>41061</v>
      </c>
      <c r="C43">
        <v>315</v>
      </c>
      <c r="D43">
        <v>179</v>
      </c>
    </row>
    <row r="44" spans="2:4" x14ac:dyDescent="0.25">
      <c r="B44" s="2">
        <v>41153</v>
      </c>
      <c r="C44">
        <v>325</v>
      </c>
      <c r="D44">
        <v>156</v>
      </c>
    </row>
    <row r="45" spans="2:4" x14ac:dyDescent="0.25">
      <c r="B45" s="2">
        <v>41244</v>
      </c>
      <c r="C45">
        <v>325</v>
      </c>
      <c r="D45">
        <v>170</v>
      </c>
    </row>
    <row r="46" spans="2:4" x14ac:dyDescent="0.25">
      <c r="B46" s="2">
        <v>41334</v>
      </c>
      <c r="C46">
        <v>325</v>
      </c>
      <c r="D46">
        <v>185</v>
      </c>
    </row>
    <row r="47" spans="2:4" x14ac:dyDescent="0.25">
      <c r="B47" s="2">
        <v>41426</v>
      </c>
      <c r="C47">
        <v>330</v>
      </c>
      <c r="D47">
        <v>160.80000000000001</v>
      </c>
    </row>
    <row r="48" spans="2:4" x14ac:dyDescent="0.25">
      <c r="B48" s="2">
        <v>41518</v>
      </c>
      <c r="C48">
        <v>324</v>
      </c>
      <c r="D48">
        <v>180</v>
      </c>
    </row>
    <row r="49" spans="2:4" x14ac:dyDescent="0.25">
      <c r="B49" s="2">
        <v>41609</v>
      </c>
      <c r="C49">
        <v>330</v>
      </c>
      <c r="D49">
        <v>196</v>
      </c>
    </row>
    <row r="50" spans="2:4" x14ac:dyDescent="0.25">
      <c r="B50" s="2">
        <v>41699</v>
      </c>
      <c r="C50">
        <v>326</v>
      </c>
      <c r="D50">
        <v>178.5</v>
      </c>
    </row>
    <row r="51" spans="2:4" x14ac:dyDescent="0.25">
      <c r="B51" s="2">
        <v>41791</v>
      </c>
      <c r="C51">
        <v>345</v>
      </c>
      <c r="D51">
        <v>190</v>
      </c>
    </row>
    <row r="52" spans="2:4" x14ac:dyDescent="0.25">
      <c r="B52" s="2">
        <v>41883</v>
      </c>
      <c r="C52">
        <v>342.5</v>
      </c>
      <c r="D52">
        <v>190</v>
      </c>
    </row>
    <row r="53" spans="2:4" x14ac:dyDescent="0.25">
      <c r="B53" s="2">
        <v>41974</v>
      </c>
      <c r="C53">
        <v>345</v>
      </c>
      <c r="D53">
        <v>180.1</v>
      </c>
    </row>
    <row r="54" spans="2:4" x14ac:dyDescent="0.25">
      <c r="B54" s="2">
        <v>42064</v>
      </c>
      <c r="C54">
        <v>345</v>
      </c>
      <c r="D54">
        <v>185</v>
      </c>
    </row>
    <row r="55" spans="2:4" x14ac:dyDescent="0.25">
      <c r="B55" s="2">
        <v>42156</v>
      </c>
      <c r="C55">
        <v>345</v>
      </c>
      <c r="D55">
        <v>210</v>
      </c>
    </row>
    <row r="56" spans="2:4" x14ac:dyDescent="0.25">
      <c r="B56" s="2">
        <v>42248</v>
      </c>
      <c r="C56">
        <v>344.5</v>
      </c>
      <c r="D56">
        <v>190</v>
      </c>
    </row>
    <row r="57" spans="2:4" x14ac:dyDescent="0.25">
      <c r="B57" s="2">
        <v>42339</v>
      </c>
      <c r="C57">
        <v>345</v>
      </c>
      <c r="D57">
        <v>182</v>
      </c>
    </row>
    <row r="58" spans="2:4" x14ac:dyDescent="0.25">
      <c r="B58" s="2">
        <v>42430</v>
      </c>
      <c r="C58">
        <v>345</v>
      </c>
      <c r="D58">
        <v>187</v>
      </c>
    </row>
    <row r="59" spans="2:4" x14ac:dyDescent="0.25">
      <c r="B59" s="2">
        <v>42522</v>
      </c>
      <c r="C59">
        <v>367</v>
      </c>
      <c r="D59">
        <v>202.5</v>
      </c>
    </row>
    <row r="60" spans="2:4" x14ac:dyDescent="0.25">
      <c r="B60" s="2">
        <v>42614</v>
      </c>
      <c r="C60">
        <v>365</v>
      </c>
      <c r="D60">
        <v>195</v>
      </c>
    </row>
    <row r="61" spans="2:4" x14ac:dyDescent="0.25">
      <c r="B61" s="2">
        <v>42705</v>
      </c>
      <c r="C61">
        <v>365</v>
      </c>
      <c r="D61">
        <v>205</v>
      </c>
    </row>
    <row r="62" spans="2:4" x14ac:dyDescent="0.25">
      <c r="B62" s="2">
        <v>42795</v>
      </c>
      <c r="C62">
        <v>365</v>
      </c>
      <c r="D62">
        <v>180</v>
      </c>
    </row>
    <row r="63" spans="2:4" x14ac:dyDescent="0.25">
      <c r="B63" s="2">
        <v>42887</v>
      </c>
      <c r="C63">
        <v>383.5</v>
      </c>
      <c r="D63">
        <v>200</v>
      </c>
    </row>
    <row r="64" spans="2:4" x14ac:dyDescent="0.25">
      <c r="B64" s="2">
        <v>42979</v>
      </c>
      <c r="C64">
        <v>375</v>
      </c>
      <c r="D64">
        <v>172</v>
      </c>
    </row>
    <row r="65" spans="2:4" x14ac:dyDescent="0.25">
      <c r="B65" s="2">
        <v>43070</v>
      </c>
      <c r="C65">
        <v>390</v>
      </c>
      <c r="D65">
        <v>170</v>
      </c>
    </row>
    <row r="66" spans="2:4" x14ac:dyDescent="0.25">
      <c r="B66" s="2">
        <v>43160</v>
      </c>
      <c r="C66">
        <v>370</v>
      </c>
      <c r="D66">
        <v>202.5</v>
      </c>
    </row>
    <row r="67" spans="2:4" x14ac:dyDescent="0.25">
      <c r="B67" s="2">
        <v>43252</v>
      </c>
      <c r="C67">
        <v>380</v>
      </c>
      <c r="D67">
        <v>186</v>
      </c>
    </row>
    <row r="68" spans="2:4" x14ac:dyDescent="0.25">
      <c r="B68" s="2">
        <v>43344</v>
      </c>
      <c r="C68">
        <v>380</v>
      </c>
      <c r="D68">
        <v>190</v>
      </c>
    </row>
    <row r="69" spans="2:4" x14ac:dyDescent="0.25">
      <c r="B69" s="2">
        <v>43435</v>
      </c>
      <c r="C69">
        <v>371</v>
      </c>
      <c r="D69">
        <v>190</v>
      </c>
    </row>
    <row r="70" spans="2:4" x14ac:dyDescent="0.25">
      <c r="B70" s="2">
        <v>43525</v>
      </c>
      <c r="C70">
        <v>400</v>
      </c>
      <c r="D70">
        <v>185</v>
      </c>
    </row>
    <row r="71" spans="2:4" x14ac:dyDescent="0.25">
      <c r="B71" s="2">
        <v>43617</v>
      </c>
      <c r="C71">
        <v>390</v>
      </c>
      <c r="D71">
        <v>192</v>
      </c>
    </row>
    <row r="72" spans="2:4" x14ac:dyDescent="0.25">
      <c r="B72" s="2">
        <v>43709</v>
      </c>
      <c r="C72">
        <v>380</v>
      </c>
      <c r="D72">
        <v>185</v>
      </c>
    </row>
    <row r="73" spans="2:4" x14ac:dyDescent="0.25">
      <c r="B73" s="2">
        <v>43800</v>
      </c>
      <c r="C73">
        <v>385</v>
      </c>
      <c r="D73">
        <v>190</v>
      </c>
    </row>
    <row r="74" spans="2:4" x14ac:dyDescent="0.25">
      <c r="B74" s="2">
        <v>43891</v>
      </c>
      <c r="C74">
        <v>390</v>
      </c>
      <c r="D74">
        <v>197</v>
      </c>
    </row>
    <row r="75" spans="2:4" x14ac:dyDescent="0.25">
      <c r="B75" s="2">
        <v>43983</v>
      </c>
      <c r="C75">
        <v>421.3</v>
      </c>
      <c r="D75">
        <v>170</v>
      </c>
    </row>
    <row r="76" spans="2:4" x14ac:dyDescent="0.25">
      <c r="B76" s="2">
        <v>44075</v>
      </c>
      <c r="C76">
        <v>411.8</v>
      </c>
      <c r="D76">
        <v>201</v>
      </c>
    </row>
    <row r="77" spans="2:4" x14ac:dyDescent="0.25">
      <c r="B77" s="2">
        <v>44166</v>
      </c>
      <c r="C77">
        <v>415</v>
      </c>
      <c r="D77">
        <v>217.5</v>
      </c>
    </row>
    <row r="78" spans="2:4" x14ac:dyDescent="0.25">
      <c r="B78" s="2">
        <v>44256</v>
      </c>
      <c r="C78">
        <v>420</v>
      </c>
      <c r="D78">
        <v>220</v>
      </c>
    </row>
    <row r="79" spans="2:4" x14ac:dyDescent="0.25">
      <c r="B79" s="2">
        <v>44348</v>
      </c>
      <c r="C79">
        <v>415</v>
      </c>
      <c r="D79">
        <v>215</v>
      </c>
    </row>
    <row r="80" spans="2:4" x14ac:dyDescent="0.25">
      <c r="B80" s="2">
        <v>44440</v>
      </c>
      <c r="C80">
        <v>425</v>
      </c>
      <c r="D80">
        <v>217.8</v>
      </c>
    </row>
    <row r="81" spans="2:4" x14ac:dyDescent="0.25">
      <c r="B81" s="2">
        <v>44531</v>
      </c>
      <c r="C81">
        <v>450</v>
      </c>
      <c r="D81">
        <v>210</v>
      </c>
    </row>
    <row r="82" spans="2:4" x14ac:dyDescent="0.25">
      <c r="B82" s="2">
        <v>44621</v>
      </c>
      <c r="C82">
        <v>454.9</v>
      </c>
      <c r="D82">
        <v>205</v>
      </c>
    </row>
    <row r="83" spans="2:4" x14ac:dyDescent="0.25">
      <c r="B83" s="2">
        <v>44713</v>
      </c>
      <c r="C83">
        <v>465</v>
      </c>
      <c r="D83">
        <v>211</v>
      </c>
    </row>
    <row r="84" spans="2:4" x14ac:dyDescent="0.25">
      <c r="B84" s="2">
        <v>44805</v>
      </c>
      <c r="C84">
        <v>485</v>
      </c>
      <c r="D84">
        <v>225</v>
      </c>
    </row>
    <row r="85" spans="2:4" x14ac:dyDescent="0.25">
      <c r="B85" s="2">
        <v>44896</v>
      </c>
      <c r="C85">
        <v>480</v>
      </c>
      <c r="D85">
        <v>220</v>
      </c>
    </row>
    <row r="86" spans="2:4" x14ac:dyDescent="0.25">
      <c r="B86" s="2">
        <v>44986</v>
      </c>
      <c r="C86">
        <v>489.5</v>
      </c>
      <c r="D86">
        <v>245</v>
      </c>
    </row>
    <row r="87" spans="2:4" x14ac:dyDescent="0.25">
      <c r="B87" s="2">
        <v>45078</v>
      </c>
      <c r="C87">
        <v>525</v>
      </c>
      <c r="D87">
        <v>256</v>
      </c>
    </row>
    <row r="88" spans="2:4" x14ac:dyDescent="0.25">
      <c r="B88" s="2">
        <v>45170</v>
      </c>
      <c r="C88">
        <v>520</v>
      </c>
      <c r="D88">
        <v>287</v>
      </c>
    </row>
    <row r="89" spans="2:4" x14ac:dyDescent="0.25">
      <c r="B89" s="2">
        <v>45261</v>
      </c>
      <c r="C89">
        <v>565.5</v>
      </c>
      <c r="D89">
        <v>268</v>
      </c>
    </row>
    <row r="90" spans="2:4" x14ac:dyDescent="0.25">
      <c r="B90" s="2">
        <v>45352</v>
      </c>
      <c r="C90">
        <v>570</v>
      </c>
      <c r="D90">
        <v>270</v>
      </c>
    </row>
    <row r="91" spans="2:4" x14ac:dyDescent="0.25">
      <c r="B91" s="2">
        <v>45444</v>
      </c>
      <c r="C91">
        <v>630</v>
      </c>
      <c r="D91">
        <v>265</v>
      </c>
    </row>
    <row r="92" spans="2:4" x14ac:dyDescent="0.25">
      <c r="B92" s="2">
        <v>45536</v>
      </c>
      <c r="C92">
        <v>610</v>
      </c>
      <c r="D92">
        <v>249.5</v>
      </c>
    </row>
    <row r="93" spans="2:4" x14ac:dyDescent="0.25">
      <c r="B93" s="2">
        <v>45627</v>
      </c>
      <c r="C93">
        <v>640</v>
      </c>
      <c r="D93">
        <v>320</v>
      </c>
    </row>
    <row r="94" spans="2:4" x14ac:dyDescent="0.25">
      <c r="B94" s="2">
        <v>45717</v>
      </c>
      <c r="C94">
        <v>640</v>
      </c>
      <c r="D94">
        <v>297</v>
      </c>
    </row>
    <row r="95" spans="2:4" x14ac:dyDescent="0.25">
      <c r="B95" s="2">
        <v>45809</v>
      </c>
      <c r="C95">
        <v>663</v>
      </c>
      <c r="D95">
        <v>330</v>
      </c>
    </row>
    <row r="96" spans="2:4" x14ac:dyDescent="0.25">
      <c r="B96" s="2">
        <v>45901</v>
      </c>
      <c r="C96">
        <v>685.8</v>
      </c>
      <c r="D96">
        <v>365</v>
      </c>
    </row>
    <row r="97" spans="2:4" x14ac:dyDescent="0.25">
      <c r="B97" s="2">
        <v>45992</v>
      </c>
      <c r="C97">
        <v>730</v>
      </c>
      <c r="D97">
        <v>410</v>
      </c>
    </row>
  </sheetData>
  <autoFilter ref="B1:D97" xr:uid="{01F0EFC7-7237-4430-B607-A7F5094CDFD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13</vt:i4>
      </vt:variant>
      <vt:variant>
        <vt:lpstr>Charts</vt:lpstr>
      </vt:variant>
      <vt:variant>
        <vt:i4>2</vt:i4>
      </vt:variant>
      <vt:variant>
        <vt:lpstr>Named Ranges</vt:lpstr>
      </vt:variant>
      <vt:variant>
        <vt:i4>197</vt:i4>
      </vt:variant>
    </vt:vector>
  </HeadingPairs>
  <TitlesOfParts>
    <vt:vector size="212" baseType="lpstr">
      <vt:lpstr>analysis</vt:lpstr>
      <vt:lpstr>cpi</vt:lpstr>
      <vt:lpstr>msci-indices</vt:lpstr>
      <vt:lpstr>mortgage-rates</vt:lpstr>
      <vt:lpstr>sa-rent &gt;&gt;</vt:lpstr>
      <vt:lpstr>sa-rent-combined</vt:lpstr>
      <vt:lpstr>Table_4</vt:lpstr>
      <vt:lpstr>2BR_F-processed</vt:lpstr>
      <vt:lpstr>3BR_H-processed</vt:lpstr>
      <vt:lpstr>sa-buy &gt;&gt;</vt:lpstr>
      <vt:lpstr>ABS-total-value-dwellings</vt:lpstr>
      <vt:lpstr>ns-combined</vt:lpstr>
      <vt:lpstr>s-combined</vt:lpstr>
      <vt:lpstr>chart-2bflat</vt:lpstr>
      <vt:lpstr>chart-3bhouse</vt:lpstr>
      <vt:lpstr>A83728543L</vt:lpstr>
      <vt:lpstr>A83728543L_Data</vt:lpstr>
      <vt:lpstr>A83728543L_Latest</vt:lpstr>
      <vt:lpstr>A83728544R</vt:lpstr>
      <vt:lpstr>A83728544R_Data</vt:lpstr>
      <vt:lpstr>A83728544R_Latest</vt:lpstr>
      <vt:lpstr>A83728545T</vt:lpstr>
      <vt:lpstr>A83728545T_Data</vt:lpstr>
      <vt:lpstr>A83728545T_Latest</vt:lpstr>
      <vt:lpstr>A83728546V</vt:lpstr>
      <vt:lpstr>A83728546V_Data</vt:lpstr>
      <vt:lpstr>A83728546V_Latest</vt:lpstr>
      <vt:lpstr>A83728547W</vt:lpstr>
      <vt:lpstr>A83728547W_Data</vt:lpstr>
      <vt:lpstr>A83728547W_Latest</vt:lpstr>
      <vt:lpstr>A83728548X</vt:lpstr>
      <vt:lpstr>A83728548X_Data</vt:lpstr>
      <vt:lpstr>A83728548X_Latest</vt:lpstr>
      <vt:lpstr>A83728549A</vt:lpstr>
      <vt:lpstr>A83728549A_Data</vt:lpstr>
      <vt:lpstr>A83728549A_Latest</vt:lpstr>
      <vt:lpstr>A83728550K</vt:lpstr>
      <vt:lpstr>A83728550K_Data</vt:lpstr>
      <vt:lpstr>A83728550K_Latest</vt:lpstr>
      <vt:lpstr>A83728551L</vt:lpstr>
      <vt:lpstr>A83728551L_Data</vt:lpstr>
      <vt:lpstr>A83728551L_Latest</vt:lpstr>
      <vt:lpstr>A83728552R</vt:lpstr>
      <vt:lpstr>A83728552R_Data</vt:lpstr>
      <vt:lpstr>A83728552R_Latest</vt:lpstr>
      <vt:lpstr>A83728553T</vt:lpstr>
      <vt:lpstr>A83728553T_Data</vt:lpstr>
      <vt:lpstr>A83728553T_Latest</vt:lpstr>
      <vt:lpstr>A83728554V</vt:lpstr>
      <vt:lpstr>A83728554V_Data</vt:lpstr>
      <vt:lpstr>A83728554V_Latest</vt:lpstr>
      <vt:lpstr>A83728555W</vt:lpstr>
      <vt:lpstr>A83728555W_Data</vt:lpstr>
      <vt:lpstr>A83728555W_Latest</vt:lpstr>
      <vt:lpstr>A83728556X</vt:lpstr>
      <vt:lpstr>A83728556X_Data</vt:lpstr>
      <vt:lpstr>A83728556X_Latest</vt:lpstr>
      <vt:lpstr>A83728557A</vt:lpstr>
      <vt:lpstr>A83728557A_Data</vt:lpstr>
      <vt:lpstr>A83728557A_Latest</vt:lpstr>
      <vt:lpstr>A83728558C</vt:lpstr>
      <vt:lpstr>A83728558C_Data</vt:lpstr>
      <vt:lpstr>A83728558C_Latest</vt:lpstr>
      <vt:lpstr>A83728559F</vt:lpstr>
      <vt:lpstr>A83728559F_Data</vt:lpstr>
      <vt:lpstr>A83728559F_Latest</vt:lpstr>
      <vt:lpstr>A83728560R</vt:lpstr>
      <vt:lpstr>A83728560R_Data</vt:lpstr>
      <vt:lpstr>A83728560R_Latest</vt:lpstr>
      <vt:lpstr>A83728561T</vt:lpstr>
      <vt:lpstr>A83728561T_Data</vt:lpstr>
      <vt:lpstr>A83728561T_Latest</vt:lpstr>
      <vt:lpstr>A83728562V</vt:lpstr>
      <vt:lpstr>A83728562V_Data</vt:lpstr>
      <vt:lpstr>A83728562V_Latest</vt:lpstr>
      <vt:lpstr>A83728563W</vt:lpstr>
      <vt:lpstr>A83728563W_Data</vt:lpstr>
      <vt:lpstr>A83728563W_Latest</vt:lpstr>
      <vt:lpstr>A83728564X</vt:lpstr>
      <vt:lpstr>A83728564X_Data</vt:lpstr>
      <vt:lpstr>A83728564X_Latest</vt:lpstr>
      <vt:lpstr>A83728565A</vt:lpstr>
      <vt:lpstr>A83728565A_Data</vt:lpstr>
      <vt:lpstr>A83728565A_Latest</vt:lpstr>
      <vt:lpstr>A83728566C</vt:lpstr>
      <vt:lpstr>A83728566C_Data</vt:lpstr>
      <vt:lpstr>A83728566C_Latest</vt:lpstr>
      <vt:lpstr>A83728567F</vt:lpstr>
      <vt:lpstr>A83728567F_Data</vt:lpstr>
      <vt:lpstr>A83728567F_Latest</vt:lpstr>
      <vt:lpstr>A83728568J</vt:lpstr>
      <vt:lpstr>A83728568J_Data</vt:lpstr>
      <vt:lpstr>A83728568J_Latest</vt:lpstr>
      <vt:lpstr>A83728569K</vt:lpstr>
      <vt:lpstr>A83728569K_Data</vt:lpstr>
      <vt:lpstr>A83728569K_Latest</vt:lpstr>
      <vt:lpstr>A83728570V</vt:lpstr>
      <vt:lpstr>A83728570V_Data</vt:lpstr>
      <vt:lpstr>A83728570V_Latest</vt:lpstr>
      <vt:lpstr>A83728571W</vt:lpstr>
      <vt:lpstr>A83728571W_Data</vt:lpstr>
      <vt:lpstr>A83728571W_Latest</vt:lpstr>
      <vt:lpstr>A83728572X</vt:lpstr>
      <vt:lpstr>A83728572X_Data</vt:lpstr>
      <vt:lpstr>A83728572X_Latest</vt:lpstr>
      <vt:lpstr>A83728573A</vt:lpstr>
      <vt:lpstr>A83728573A_Data</vt:lpstr>
      <vt:lpstr>A83728573A_Latest</vt:lpstr>
      <vt:lpstr>A83728574C</vt:lpstr>
      <vt:lpstr>A83728574C_Data</vt:lpstr>
      <vt:lpstr>A83728574C_Latest</vt:lpstr>
      <vt:lpstr>A83728575F</vt:lpstr>
      <vt:lpstr>A83728575F_Data</vt:lpstr>
      <vt:lpstr>A83728575F_Latest</vt:lpstr>
      <vt:lpstr>A83728576J</vt:lpstr>
      <vt:lpstr>A83728576J_Data</vt:lpstr>
      <vt:lpstr>A83728576J_Latest</vt:lpstr>
      <vt:lpstr>A83728577K</vt:lpstr>
      <vt:lpstr>A83728577K_Data</vt:lpstr>
      <vt:lpstr>A83728577K_Latest</vt:lpstr>
      <vt:lpstr>A83728578L</vt:lpstr>
      <vt:lpstr>A83728578L_Data</vt:lpstr>
      <vt:lpstr>A83728578L_Latest</vt:lpstr>
      <vt:lpstr>A83728579R</vt:lpstr>
      <vt:lpstr>A83728579R_Data</vt:lpstr>
      <vt:lpstr>A83728579R_Latest</vt:lpstr>
      <vt:lpstr>A83728580X</vt:lpstr>
      <vt:lpstr>A83728580X_Data</vt:lpstr>
      <vt:lpstr>A83728580X_Latest</vt:lpstr>
      <vt:lpstr>A83728581A</vt:lpstr>
      <vt:lpstr>A83728581A_Data</vt:lpstr>
      <vt:lpstr>A83728581A_Latest</vt:lpstr>
      <vt:lpstr>A83728582C</vt:lpstr>
      <vt:lpstr>A83728582C_Data</vt:lpstr>
      <vt:lpstr>A83728582C_Latest</vt:lpstr>
      <vt:lpstr>A83728583F</vt:lpstr>
      <vt:lpstr>A83728583F_Data</vt:lpstr>
      <vt:lpstr>A83728583F_Latest</vt:lpstr>
      <vt:lpstr>A83728584J</vt:lpstr>
      <vt:lpstr>A83728584J_Data</vt:lpstr>
      <vt:lpstr>A83728584J_Latest</vt:lpstr>
      <vt:lpstr>A83728585K</vt:lpstr>
      <vt:lpstr>A83728585K_Data</vt:lpstr>
      <vt:lpstr>A83728585K_Latest</vt:lpstr>
      <vt:lpstr>A83728586L</vt:lpstr>
      <vt:lpstr>A83728586L_Data</vt:lpstr>
      <vt:lpstr>A83728586L_Latest</vt:lpstr>
      <vt:lpstr>A83728587R</vt:lpstr>
      <vt:lpstr>A83728587R_Data</vt:lpstr>
      <vt:lpstr>A83728587R_Latest</vt:lpstr>
      <vt:lpstr>A83728588T</vt:lpstr>
      <vt:lpstr>A83728588T_Data</vt:lpstr>
      <vt:lpstr>A83728588T_Latest</vt:lpstr>
      <vt:lpstr>A83728589V</vt:lpstr>
      <vt:lpstr>A83728589V_Data</vt:lpstr>
      <vt:lpstr>A83728589V_Latest</vt:lpstr>
      <vt:lpstr>A83728590C</vt:lpstr>
      <vt:lpstr>A83728590C_Data</vt:lpstr>
      <vt:lpstr>A83728590C_Latest</vt:lpstr>
      <vt:lpstr>A83728591F</vt:lpstr>
      <vt:lpstr>A83728591F_Data</vt:lpstr>
      <vt:lpstr>A83728591F_Latest</vt:lpstr>
      <vt:lpstr>A83728592J</vt:lpstr>
      <vt:lpstr>A83728592J_Data</vt:lpstr>
      <vt:lpstr>A83728592J_Latest</vt:lpstr>
      <vt:lpstr>A83728593K</vt:lpstr>
      <vt:lpstr>A83728593K_Data</vt:lpstr>
      <vt:lpstr>A83728593K_Latest</vt:lpstr>
      <vt:lpstr>A83728594L</vt:lpstr>
      <vt:lpstr>A83728594L_Data</vt:lpstr>
      <vt:lpstr>A83728594L_Latest</vt:lpstr>
      <vt:lpstr>A83728595R</vt:lpstr>
      <vt:lpstr>A83728595R_Data</vt:lpstr>
      <vt:lpstr>A83728595R_Latest</vt:lpstr>
      <vt:lpstr>A83728596T</vt:lpstr>
      <vt:lpstr>A83728596T_Data</vt:lpstr>
      <vt:lpstr>A83728596T_Latest</vt:lpstr>
      <vt:lpstr>A83728597V</vt:lpstr>
      <vt:lpstr>A83728597V_Data</vt:lpstr>
      <vt:lpstr>A83728597V_Latest</vt:lpstr>
      <vt:lpstr>A83728598W</vt:lpstr>
      <vt:lpstr>A83728598W_Data</vt:lpstr>
      <vt:lpstr>A83728598W_Latest</vt:lpstr>
      <vt:lpstr>A83728599X</vt:lpstr>
      <vt:lpstr>A83728599X_Data</vt:lpstr>
      <vt:lpstr>A83728599X_Latest</vt:lpstr>
      <vt:lpstr>A83728600W</vt:lpstr>
      <vt:lpstr>A83728600W_Data</vt:lpstr>
      <vt:lpstr>A83728600W_Latest</vt:lpstr>
      <vt:lpstr>A83728601X</vt:lpstr>
      <vt:lpstr>A83728601X_Data</vt:lpstr>
      <vt:lpstr>A83728601X_Latest</vt:lpstr>
      <vt:lpstr>A83728602A</vt:lpstr>
      <vt:lpstr>A83728602A_Data</vt:lpstr>
      <vt:lpstr>A83728602A_Latest</vt:lpstr>
      <vt:lpstr>AusPortfolio</vt:lpstr>
      <vt:lpstr>CGT</vt:lpstr>
      <vt:lpstr>Council_Area</vt:lpstr>
      <vt:lpstr>Date_Range</vt:lpstr>
      <vt:lpstr>Date_Range_Data</vt:lpstr>
      <vt:lpstr>eff_invest</vt:lpstr>
      <vt:lpstr>FlatDwellingType</vt:lpstr>
      <vt:lpstr>FlatNumberOfBedrooms</vt:lpstr>
      <vt:lpstr>GlobalPortfolio</vt:lpstr>
      <vt:lpstr>'3BR_H-processed'!HouseDwellingType</vt:lpstr>
      <vt:lpstr>'3BR_H-processed'!HouseNumberOfBedrooms</vt:lpstr>
      <vt:lpstr>InvestFees</vt:lpstr>
      <vt:lpstr>MortgageRate</vt:lpstr>
      <vt:lpstr>Q_end</vt:lpstr>
      <vt:lpstr>Q_start</vt:lpstr>
      <vt:lpstr>Qstart</vt:lpstr>
      <vt:lpstr>TopOfTable_Table_4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Hatta Misra</dc:creator>
  <cp:lastModifiedBy>Hatta Misra</cp:lastModifiedBy>
  <dcterms:created xsi:type="dcterms:W3CDTF">2026-03-29T09:11:49Z</dcterms:created>
  <dcterms:modified xsi:type="dcterms:W3CDTF">2026-09-06T01:13:59Z</dcterms:modified>
</cp:coreProperties>
</file>