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beea78131baf44/Documents/Personal Projects/2026-03 aus rent vs buy/"/>
    </mc:Choice>
  </mc:AlternateContent>
  <xr:revisionPtr revIDLastSave="666" documentId="11_F25DC773A252ABDACC1048DEE11E513E5BDE58E8" xr6:coauthVersionLast="47" xr6:coauthVersionMax="47" xr10:uidLastSave="{68CE0D1C-0440-439C-8584-0B7F19BEDF70}"/>
  <bookViews>
    <workbookView xWindow="14295" yWindow="0" windowWidth="14610" windowHeight="17385" tabRatio="906" activeTab="3" xr2:uid="{00000000-000D-0000-FFFF-FFFF00000000}"/>
  </bookViews>
  <sheets>
    <sheet name="Base Case inputs" sheetId="2" r:id="rId1"/>
    <sheet name="Base Case summary" sheetId="1" r:id="rId2"/>
    <sheet name="Base Case charts" sheetId="11" r:id="rId3"/>
    <sheet name="Sensitivity tables" sheetId="12" r:id="rId4"/>
    <sheet name="Sydney" sheetId="3" r:id="rId5"/>
    <sheet name="Melbourne" sheetId="4" r:id="rId6"/>
    <sheet name="Brisbane" sheetId="5" r:id="rId7"/>
    <sheet name="Perth" sheetId="6" r:id="rId8"/>
    <sheet name="Adelaide" sheetId="7" r:id="rId9"/>
    <sheet name="Canberra" sheetId="8" r:id="rId10"/>
    <sheet name="Hobart" sheetId="9" r:id="rId11"/>
    <sheet name="Darwin" sheetId="10" r:id="rId12"/>
  </sheets>
  <definedNames>
    <definedName name="_xlnm._FilterDatabase" localSheetId="1" hidden="1">'Base Case summary'!$A$1:$K$11</definedName>
    <definedName name="Q_end">'Base Case summary'!$B$11</definedName>
    <definedName name="Q_start">'Base Case summary'!$B$9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2" l="1"/>
  <c r="G35" i="12"/>
  <c r="F23" i="12"/>
  <c r="G23" i="12"/>
  <c r="H23" i="12"/>
  <c r="F11" i="12"/>
  <c r="D35" i="12"/>
  <c r="C35" i="12"/>
  <c r="B35" i="12"/>
  <c r="D23" i="12"/>
  <c r="C23" i="12"/>
  <c r="B23" i="12"/>
  <c r="C11" i="12"/>
  <c r="D11" i="12"/>
  <c r="B11" i="12"/>
  <c r="G28" i="12"/>
  <c r="G29" i="12"/>
  <c r="G30" i="12"/>
  <c r="G31" i="12"/>
  <c r="G32" i="12"/>
  <c r="G33" i="12"/>
  <c r="G34" i="12"/>
  <c r="G27" i="12"/>
  <c r="G16" i="12"/>
  <c r="G17" i="12"/>
  <c r="G18" i="12"/>
  <c r="G19" i="12"/>
  <c r="G20" i="12"/>
  <c r="G21" i="12"/>
  <c r="G22" i="12"/>
  <c r="G15" i="12"/>
  <c r="F34" i="12"/>
  <c r="F33" i="12"/>
  <c r="F32" i="12"/>
  <c r="F31" i="12"/>
  <c r="F30" i="12"/>
  <c r="F29" i="12"/>
  <c r="F28" i="12"/>
  <c r="F27" i="12"/>
  <c r="F22" i="12"/>
  <c r="H22" i="12" s="1"/>
  <c r="F21" i="12"/>
  <c r="H21" i="12" s="1"/>
  <c r="F20" i="12"/>
  <c r="H20" i="12" s="1"/>
  <c r="F19" i="12"/>
  <c r="H19" i="12" s="1"/>
  <c r="F18" i="12"/>
  <c r="H18" i="12" s="1"/>
  <c r="F17" i="12"/>
  <c r="H17" i="12" s="1"/>
  <c r="F16" i="12"/>
  <c r="H16" i="12" s="1"/>
  <c r="F15" i="12"/>
  <c r="H15" i="12" s="1"/>
  <c r="F4" i="12"/>
  <c r="F5" i="12"/>
  <c r="F6" i="12"/>
  <c r="F7" i="12"/>
  <c r="F8" i="12"/>
  <c r="F9" i="12"/>
  <c r="F10" i="12"/>
  <c r="F3" i="12"/>
  <c r="K7" i="1"/>
  <c r="K5" i="1"/>
  <c r="K6" i="1"/>
  <c r="K8" i="1"/>
  <c r="K9" i="1"/>
  <c r="K10" i="1"/>
  <c r="K11" i="1"/>
  <c r="K4" i="1"/>
  <c r="M5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M3" i="1"/>
  <c r="M4" i="1"/>
  <c r="M2" i="1"/>
  <c r="L3" i="1"/>
  <c r="N3" i="1"/>
  <c r="L4" i="1"/>
  <c r="N4" i="1"/>
  <c r="L5" i="1"/>
  <c r="N5" i="1"/>
  <c r="N2" i="1"/>
  <c r="L2" i="1"/>
  <c r="F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5" i="11"/>
  <c r="B5" i="11" a="1"/>
  <c r="K3" i="1"/>
  <c r="K2" i="1"/>
  <c r="B19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<sst xmlns="http://schemas.openxmlformats.org/spreadsheetml/2006/main" count="1456" uniqueCount="92">
  <si>
    <t>3-bedroom houses</t>
  </si>
  <si>
    <t>2-bedroom units</t>
  </si>
  <si>
    <t>Sydney</t>
  </si>
  <si>
    <t>Analysis start quarter</t>
  </si>
  <si>
    <t>Analysis end quarter</t>
  </si>
  <si>
    <t>Council/Area</t>
  </si>
  <si>
    <t>Depreciation (% of initial home value per year)</t>
  </si>
  <si>
    <t>Renovations, alterations, and additions (% of current home value per year)</t>
  </si>
  <si>
    <t>Loan term (years)</t>
  </si>
  <si>
    <t>Mortgage</t>
  </si>
  <si>
    <t>Mortgage rates (Standard/Discounted)</t>
  </si>
  <si>
    <t>Discounted</t>
  </si>
  <si>
    <t>Deposit (% of home purchase price)</t>
  </si>
  <si>
    <t>Lenders' mortgage insurance (% of home purchase price)</t>
  </si>
  <si>
    <t>Home transaction costs (% of home value)</t>
  </si>
  <si>
    <t>When buying the house (cashflow costs)</t>
  </si>
  <si>
    <t>Real estate agent commissions (purchase)</t>
  </si>
  <si>
    <t>Stamp duty (purchase)</t>
  </si>
  <si>
    <t>When selling the house (derating of home value)</t>
  </si>
  <si>
    <t>Real estate agent commissions (sale)</t>
  </si>
  <si>
    <t>Other selling costs</t>
  </si>
  <si>
    <t>Home ownership running costs (% of gross rents)</t>
  </si>
  <si>
    <t>Council rates</t>
  </si>
  <si>
    <t>Maintenance incl. body corporate fees</t>
  </si>
  <si>
    <t>Plant depreciation</t>
  </si>
  <si>
    <t>Other expenses</t>
  </si>
  <si>
    <t>Total home ownership running costs</t>
  </si>
  <si>
    <t>Average maint + reno spending (% home value)</t>
  </si>
  <si>
    <t>Average maint + reno spending (% rents)</t>
  </si>
  <si>
    <t>Renter investment parameters</t>
  </si>
  <si>
    <t>% of portfolio in global equities</t>
  </si>
  <si>
    <t>% of portfolio in Australian equities</t>
  </si>
  <si>
    <t>Investment fees (% of investment value per year)</t>
  </si>
  <si>
    <t>Investing through superannuation?</t>
  </si>
  <si>
    <t>No</t>
  </si>
  <si>
    <t>Marginal income tax rate (including Medicare levy)</t>
  </si>
  <si>
    <t>Concessional super contributions tax rate</t>
  </si>
  <si>
    <t>Tax concessions on contributions (0% if not investing through super)</t>
  </si>
  <si>
    <t>Marginal income tax rate on withdrawal</t>
  </si>
  <si>
    <t>Consider CGT? Note: Unlikely  to reflect realistic tax liabilities</t>
  </si>
  <si>
    <t>Marginal CGT &amp; dividend income tax rate (0% if investing through super)</t>
  </si>
  <si>
    <t>Other renter parameters</t>
  </si>
  <si>
    <t>Renter's insurance and other costs ($ per year, end-quarter dollars)</t>
  </si>
  <si>
    <t>Investment efficiency</t>
  </si>
  <si>
    <t>Varies by state/territory</t>
  </si>
  <si>
    <t>Rent vs buy analysis</t>
  </si>
  <si>
    <t>Varies</t>
  </si>
  <si>
    <t>Not applicable</t>
  </si>
  <si>
    <t>Melbourne</t>
  </si>
  <si>
    <t>Brisbane</t>
  </si>
  <si>
    <t>Perth</t>
  </si>
  <si>
    <t>Adelaide</t>
  </si>
  <si>
    <t>Canberra</t>
  </si>
  <si>
    <t>Hobart</t>
  </si>
  <si>
    <t>Darwin</t>
  </si>
  <si>
    <t>Median home price growth p.a.</t>
  </si>
  <si>
    <t>Adjusted home price growth p.a.</t>
  </si>
  <si>
    <t>Rent growth p.a.</t>
  </si>
  <si>
    <t>CPI growth p.a.</t>
  </si>
  <si>
    <t>Investment index growth p.a.</t>
  </si>
  <si>
    <t>70-30</t>
  </si>
  <si>
    <t>100% Aus</t>
  </si>
  <si>
    <t>100% Global</t>
  </si>
  <si>
    <t>Quarter ending</t>
  </si>
  <si>
    <t>Renter's portfolio</t>
  </si>
  <si>
    <t>Owner's home equity</t>
  </si>
  <si>
    <t>Home type</t>
  </si>
  <si>
    <t>2-bedroom flats</t>
  </si>
  <si>
    <t>Home type:</t>
  </si>
  <si>
    <t>City:</t>
  </si>
  <si>
    <t>Metric</t>
  </si>
  <si>
    <t>Dwelling type</t>
  </si>
  <si>
    <t>Ending renter-to-owner wealth ratio</t>
  </si>
  <si>
    <t>min</t>
  </si>
  <si>
    <t>max</t>
  </si>
  <si>
    <t>med</t>
  </si>
  <si>
    <t>Average renter-to-owner cashflow ratio</t>
  </si>
  <si>
    <t>Mean</t>
  </si>
  <si>
    <t>5% down payment</t>
  </si>
  <si>
    <t>20% down payment (base case)</t>
  </si>
  <si>
    <t>100% down payment</t>
  </si>
  <si>
    <t>Ending wealth ratio, 3-bed houses</t>
  </si>
  <si>
    <t>Base case</t>
  </si>
  <si>
    <t>Leverage</t>
  </si>
  <si>
    <t>50% discount method</t>
  </si>
  <si>
    <t>CPI indexation method</t>
  </si>
  <si>
    <t>CGT (32% MTR)</t>
  </si>
  <si>
    <t>Delta</t>
  </si>
  <si>
    <t>Average*</t>
  </si>
  <si>
    <t>Concessional super &amp; 32% income tax rate</t>
  </si>
  <si>
    <t>Concessional super &amp; 47% income tax rate</t>
  </si>
  <si>
    <t>Concessional superannuation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</si>
</sst>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">
    <xf numFmtId="0" fontId="0" fillId="0" borderId="0" xfId="0"/>
    <xf numFmtId="17" fontId="0" fillId="0" borderId="0" xfId="0" applyNumberFormat="1"/>
    <xf numFmtId="10" fontId="0" fillId="0" borderId="0" xfId="0" applyNumberFormat="1"/>
    <xf numFmtId="1" fontId="0" fillId="0" borderId="0" xfId="0" applyNumberFormat="1"/>
    <xf numFmtId="0" fontId="1" fillId="0" borderId="0" xfId="0" applyFont="1"/>
    <xf numFmtId="9" fontId="0" fillId="0" borderId="0" xfId="0" applyNumberFormat="1"/>
    <xf numFmtId="0" fontId="2" fillId="0" borderId="0" xfId="0" applyFont="1"/>
    <xf numFmtId="164" fontId="0" fillId="0" borderId="0" xfId="0" applyNumberFormat="1"/>
    <xf numFmtId="10" fontId="2" fillId="0" borderId="0" xfId="0" applyNumberFormat="1" applyFont="1"/>
    <xf numFmtId="0" fontId="3" fillId="0" borderId="0" xfId="0" applyFont="1"/>
    <xf numFmtId="9" fontId="2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0" fontId="0" fillId="0" borderId="0" xfId="2" applyNumberFormat="1" applyFont="1"/>
    <xf numFmtId="165" fontId="0" fillId="0" borderId="0" xfId="1" applyNumberFormat="1" applyFont="1"/>
    <xf numFmtId="10" fontId="1" fillId="0" borderId="0" xfId="2" applyNumberFormat="1" applyFont="1"/>
    <xf numFmtId="10" fontId="4" fillId="0" borderId="0" xfId="2" applyNumberFormat="1" applyFont="1"/>
    <xf numFmtId="164" fontId="0" fillId="0" borderId="0" xfId="2" applyNumberFormat="1" applyFont="1"/>
    <xf numFmtId="164" fontId="1" fillId="0" borderId="0" xfId="2" applyNumberFormat="1" applyFont="1"/>
    <xf numFmtId="2" fontId="0" fillId="0" borderId="0" xfId="2" applyNumberFormat="1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'Base Case charts'!$F$5</c:f>
          <c:strCache>
            <c:ptCount val="1"/>
            <c:pt idx="0">
              <c:v>Renter vs owner wealth, Darwin 3-bedroom houses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72018129822667E-2"/>
          <c:y val="0.15864383682636621"/>
          <c:w val="0.88513497863585977"/>
          <c:h val="0.59756043484608967"/>
        </c:manualLayout>
      </c:layout>
      <c:lineChart>
        <c:grouping val="standard"/>
        <c:varyColors val="0"/>
        <c:ser>
          <c:idx val="0"/>
          <c:order val="0"/>
          <c:tx>
            <c:strRef>
              <c:f>'Base Case charts'!$C$4</c:f>
              <c:strCache>
                <c:ptCount val="1"/>
                <c:pt idx="0">
                  <c:v>Owner's home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Case charts'!$A$5:$A$84</c:f>
              <c:numCache>
                <c:formatCode>mmm\-yy</c:formatCode>
                <c:ptCount val="80"/>
                <c:pt idx="0">
                  <c:v>38777</c:v>
                </c:pt>
                <c:pt idx="1">
                  <c:v>38869</c:v>
                </c:pt>
                <c:pt idx="2">
                  <c:v>38961</c:v>
                </c:pt>
                <c:pt idx="3">
                  <c:v>39052</c:v>
                </c:pt>
                <c:pt idx="4">
                  <c:v>39142</c:v>
                </c:pt>
                <c:pt idx="5">
                  <c:v>39234</c:v>
                </c:pt>
                <c:pt idx="6">
                  <c:v>39326</c:v>
                </c:pt>
                <c:pt idx="7">
                  <c:v>39417</c:v>
                </c:pt>
                <c:pt idx="8">
                  <c:v>39508</c:v>
                </c:pt>
                <c:pt idx="9">
                  <c:v>39600</c:v>
                </c:pt>
                <c:pt idx="10">
                  <c:v>39692</c:v>
                </c:pt>
                <c:pt idx="11">
                  <c:v>39783</c:v>
                </c:pt>
                <c:pt idx="12">
                  <c:v>39873</c:v>
                </c:pt>
                <c:pt idx="13">
                  <c:v>39965</c:v>
                </c:pt>
                <c:pt idx="14">
                  <c:v>40057</c:v>
                </c:pt>
                <c:pt idx="15">
                  <c:v>40148</c:v>
                </c:pt>
                <c:pt idx="16">
                  <c:v>40238</c:v>
                </c:pt>
                <c:pt idx="17">
                  <c:v>40330</c:v>
                </c:pt>
                <c:pt idx="18">
                  <c:v>40422</c:v>
                </c:pt>
                <c:pt idx="19">
                  <c:v>40513</c:v>
                </c:pt>
                <c:pt idx="20">
                  <c:v>40603</c:v>
                </c:pt>
                <c:pt idx="21">
                  <c:v>40695</c:v>
                </c:pt>
                <c:pt idx="22">
                  <c:v>40787</c:v>
                </c:pt>
                <c:pt idx="23">
                  <c:v>40878</c:v>
                </c:pt>
                <c:pt idx="24">
                  <c:v>40969</c:v>
                </c:pt>
                <c:pt idx="25">
                  <c:v>41061</c:v>
                </c:pt>
                <c:pt idx="26">
                  <c:v>41153</c:v>
                </c:pt>
                <c:pt idx="27">
                  <c:v>41244</c:v>
                </c:pt>
                <c:pt idx="28">
                  <c:v>41334</c:v>
                </c:pt>
                <c:pt idx="29">
                  <c:v>41426</c:v>
                </c:pt>
                <c:pt idx="30">
                  <c:v>41518</c:v>
                </c:pt>
                <c:pt idx="31">
                  <c:v>41609</c:v>
                </c:pt>
                <c:pt idx="32">
                  <c:v>41699</c:v>
                </c:pt>
                <c:pt idx="33">
                  <c:v>41791</c:v>
                </c:pt>
                <c:pt idx="34">
                  <c:v>41883</c:v>
                </c:pt>
                <c:pt idx="35">
                  <c:v>41974</c:v>
                </c:pt>
                <c:pt idx="36">
                  <c:v>42064</c:v>
                </c:pt>
                <c:pt idx="37">
                  <c:v>42156</c:v>
                </c:pt>
                <c:pt idx="38">
                  <c:v>42248</c:v>
                </c:pt>
                <c:pt idx="39">
                  <c:v>42339</c:v>
                </c:pt>
                <c:pt idx="40">
                  <c:v>42430</c:v>
                </c:pt>
                <c:pt idx="41">
                  <c:v>42522</c:v>
                </c:pt>
                <c:pt idx="42">
                  <c:v>42614</c:v>
                </c:pt>
                <c:pt idx="43">
                  <c:v>42705</c:v>
                </c:pt>
                <c:pt idx="44">
                  <c:v>42795</c:v>
                </c:pt>
                <c:pt idx="45">
                  <c:v>42887</c:v>
                </c:pt>
                <c:pt idx="46">
                  <c:v>42979</c:v>
                </c:pt>
                <c:pt idx="47">
                  <c:v>43070</c:v>
                </c:pt>
                <c:pt idx="48">
                  <c:v>43160</c:v>
                </c:pt>
                <c:pt idx="49">
                  <c:v>43252</c:v>
                </c:pt>
                <c:pt idx="50">
                  <c:v>43344</c:v>
                </c:pt>
                <c:pt idx="51">
                  <c:v>43435</c:v>
                </c:pt>
                <c:pt idx="52">
                  <c:v>43525</c:v>
                </c:pt>
                <c:pt idx="53">
                  <c:v>43617</c:v>
                </c:pt>
                <c:pt idx="54">
                  <c:v>43709</c:v>
                </c:pt>
                <c:pt idx="55">
                  <c:v>43800</c:v>
                </c:pt>
                <c:pt idx="56">
                  <c:v>43891</c:v>
                </c:pt>
                <c:pt idx="57">
                  <c:v>43983</c:v>
                </c:pt>
                <c:pt idx="58">
                  <c:v>44075</c:v>
                </c:pt>
                <c:pt idx="59">
                  <c:v>44166</c:v>
                </c:pt>
                <c:pt idx="60">
                  <c:v>44256</c:v>
                </c:pt>
                <c:pt idx="61">
                  <c:v>44348</c:v>
                </c:pt>
                <c:pt idx="62">
                  <c:v>44440</c:v>
                </c:pt>
                <c:pt idx="63">
                  <c:v>44531</c:v>
                </c:pt>
                <c:pt idx="64">
                  <c:v>44621</c:v>
                </c:pt>
                <c:pt idx="65">
                  <c:v>44713</c:v>
                </c:pt>
                <c:pt idx="66">
                  <c:v>44805</c:v>
                </c:pt>
                <c:pt idx="67">
                  <c:v>44896</c:v>
                </c:pt>
                <c:pt idx="68">
                  <c:v>44986</c:v>
                </c:pt>
                <c:pt idx="69">
                  <c:v>45078</c:v>
                </c:pt>
                <c:pt idx="70">
                  <c:v>45170</c:v>
                </c:pt>
                <c:pt idx="71">
                  <c:v>45261</c:v>
                </c:pt>
                <c:pt idx="72">
                  <c:v>45352</c:v>
                </c:pt>
                <c:pt idx="73">
                  <c:v>45444</c:v>
                </c:pt>
                <c:pt idx="74">
                  <c:v>45536</c:v>
                </c:pt>
                <c:pt idx="75">
                  <c:v>45627</c:v>
                </c:pt>
                <c:pt idx="76">
                  <c:v>45717</c:v>
                </c:pt>
                <c:pt idx="77">
                  <c:v>45809</c:v>
                </c:pt>
                <c:pt idx="78">
                  <c:v>45901</c:v>
                </c:pt>
                <c:pt idx="79">
                  <c:v>45992</c:v>
                </c:pt>
              </c:numCache>
            </c:numRef>
          </c:cat>
          <c:val>
            <c:numRef>
              <c:f>'Base Case charts'!$C$5:$C$84</c:f>
              <c:numCache>
                <c:formatCode>_-* #,##0_-;\-* #,##0_-;_-* "-"??_-;_-@_-</c:formatCode>
                <c:ptCount val="80"/>
                <c:pt idx="0">
                  <c:v>59634.4375</c:v>
                </c:pt>
                <c:pt idx="1">
                  <c:v>66698.726785879233</c:v>
                </c:pt>
                <c:pt idx="2">
                  <c:v>76153.101191119698</c:v>
                </c:pt>
                <c:pt idx="3">
                  <c:v>94832.013587346009</c:v>
                </c:pt>
                <c:pt idx="4">
                  <c:v>103173.41258204234</c:v>
                </c:pt>
                <c:pt idx="5">
                  <c:v>107597.76673265209</c:v>
                </c:pt>
                <c:pt idx="6">
                  <c:v>111536.86402514949</c:v>
                </c:pt>
                <c:pt idx="7">
                  <c:v>128634.06802150811</c:v>
                </c:pt>
                <c:pt idx="8">
                  <c:v>129049.46706170961</c:v>
                </c:pt>
                <c:pt idx="9">
                  <c:v>130159.13795463048</c:v>
                </c:pt>
                <c:pt idx="10">
                  <c:v>136539.85803079023</c:v>
                </c:pt>
                <c:pt idx="11">
                  <c:v>150062.73939166858</c:v>
                </c:pt>
                <c:pt idx="12">
                  <c:v>159087.05278220057</c:v>
                </c:pt>
                <c:pt idx="13">
                  <c:v>168302.27007454561</c:v>
                </c:pt>
                <c:pt idx="14">
                  <c:v>192174.60609946659</c:v>
                </c:pt>
                <c:pt idx="15">
                  <c:v>220881.69976730781</c:v>
                </c:pt>
                <c:pt idx="16">
                  <c:v>228835.04177686138</c:v>
                </c:pt>
                <c:pt idx="17">
                  <c:v>228921.55324695745</c:v>
                </c:pt>
                <c:pt idx="18">
                  <c:v>232846.99872605098</c:v>
                </c:pt>
                <c:pt idx="19">
                  <c:v>241667.61148822922</c:v>
                </c:pt>
                <c:pt idx="20">
                  <c:v>206444.08628042485</c:v>
                </c:pt>
                <c:pt idx="21">
                  <c:v>195781.07956586356</c:v>
                </c:pt>
                <c:pt idx="22">
                  <c:v>192024.09203590895</c:v>
                </c:pt>
                <c:pt idx="23">
                  <c:v>208822.8756870683</c:v>
                </c:pt>
                <c:pt idx="24">
                  <c:v>217865.88321006339</c:v>
                </c:pt>
                <c:pt idx="25">
                  <c:v>235181.40087495797</c:v>
                </c:pt>
                <c:pt idx="26">
                  <c:v>231080.11936265157</c:v>
                </c:pt>
                <c:pt idx="27">
                  <c:v>250964.46095264785</c:v>
                </c:pt>
                <c:pt idx="28">
                  <c:v>220081.48957997342</c:v>
                </c:pt>
                <c:pt idx="29">
                  <c:v>229388.08020469328</c:v>
                </c:pt>
                <c:pt idx="30">
                  <c:v>258286.50353241607</c:v>
                </c:pt>
                <c:pt idx="31">
                  <c:v>266661.87453254138</c:v>
                </c:pt>
                <c:pt idx="32">
                  <c:v>281873.54713353951</c:v>
                </c:pt>
                <c:pt idx="33">
                  <c:v>244793.77596876989</c:v>
                </c:pt>
                <c:pt idx="34">
                  <c:v>256705.07755395767</c:v>
                </c:pt>
                <c:pt idx="35">
                  <c:v>267142.10741927737</c:v>
                </c:pt>
                <c:pt idx="36">
                  <c:v>256078.46295138661</c:v>
                </c:pt>
                <c:pt idx="37">
                  <c:v>280302.79385940603</c:v>
                </c:pt>
                <c:pt idx="38">
                  <c:v>265427.95095882233</c:v>
                </c:pt>
                <c:pt idx="39">
                  <c:v>260396.88333760353</c:v>
                </c:pt>
                <c:pt idx="40">
                  <c:v>255374.16324033073</c:v>
                </c:pt>
                <c:pt idx="41">
                  <c:v>233783.30823538336</c:v>
                </c:pt>
                <c:pt idx="42">
                  <c:v>206468.95656883353</c:v>
                </c:pt>
                <c:pt idx="43">
                  <c:v>208592.96090811689</c:v>
                </c:pt>
                <c:pt idx="44">
                  <c:v>216602.36138382569</c:v>
                </c:pt>
                <c:pt idx="45">
                  <c:v>187482.85779544446</c:v>
                </c:pt>
                <c:pt idx="46">
                  <c:v>187802.07873074181</c:v>
                </c:pt>
                <c:pt idx="47">
                  <c:v>201636.76740878215</c:v>
                </c:pt>
                <c:pt idx="48">
                  <c:v>188485.10796771912</c:v>
                </c:pt>
                <c:pt idx="49">
                  <c:v>194750.23051020797</c:v>
                </c:pt>
                <c:pt idx="50">
                  <c:v>189302.97364686339</c:v>
                </c:pt>
                <c:pt idx="51">
                  <c:v>199517.64203841382</c:v>
                </c:pt>
                <c:pt idx="52">
                  <c:v>175530.38380446212</c:v>
                </c:pt>
                <c:pt idx="53">
                  <c:v>161413.02647344809</c:v>
                </c:pt>
                <c:pt idx="54">
                  <c:v>180632.38686363003</c:v>
                </c:pt>
                <c:pt idx="55">
                  <c:v>162735.1171965283</c:v>
                </c:pt>
                <c:pt idx="56">
                  <c:v>163506.39529932296</c:v>
                </c:pt>
                <c:pt idx="57">
                  <c:v>159464.49550047578</c:v>
                </c:pt>
                <c:pt idx="58">
                  <c:v>194596.58703364286</c:v>
                </c:pt>
                <c:pt idx="59">
                  <c:v>217442.4915583001</c:v>
                </c:pt>
                <c:pt idx="60">
                  <c:v>230481.21914143232</c:v>
                </c:pt>
                <c:pt idx="61">
                  <c:v>260612.71972313561</c:v>
                </c:pt>
                <c:pt idx="62">
                  <c:v>276040.09410523629</c:v>
                </c:pt>
                <c:pt idx="63">
                  <c:v>296361.43489177048</c:v>
                </c:pt>
                <c:pt idx="64">
                  <c:v>297111.23896133853</c:v>
                </c:pt>
                <c:pt idx="65">
                  <c:v>283232.87680975662</c:v>
                </c:pt>
                <c:pt idx="66">
                  <c:v>259544.20413704045</c:v>
                </c:pt>
                <c:pt idx="67">
                  <c:v>289493.87740744359</c:v>
                </c:pt>
                <c:pt idx="68">
                  <c:v>275394.852393282</c:v>
                </c:pt>
                <c:pt idx="69">
                  <c:v>290639.62376198731</c:v>
                </c:pt>
                <c:pt idx="70">
                  <c:v>286269.97254230629</c:v>
                </c:pt>
                <c:pt idx="71">
                  <c:v>291251.49825984793</c:v>
                </c:pt>
                <c:pt idx="72">
                  <c:v>272794.58352263237</c:v>
                </c:pt>
                <c:pt idx="73">
                  <c:v>285719.21685609419</c:v>
                </c:pt>
                <c:pt idx="74">
                  <c:v>263316.02198314294</c:v>
                </c:pt>
                <c:pt idx="75">
                  <c:v>265375.3556198125</c:v>
                </c:pt>
                <c:pt idx="76">
                  <c:v>305402.84895976022</c:v>
                </c:pt>
                <c:pt idx="77">
                  <c:v>329767.88861683162</c:v>
                </c:pt>
                <c:pt idx="78">
                  <c:v>375673.85427673475</c:v>
                </c:pt>
                <c:pt idx="79">
                  <c:v>416643.88371386228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2-423E-8655-14118043717F}"/>
            </c:ext>
          </c:extLst>
        </c:ser>
        <c:ser>
          <c:idx val="1"/>
          <c:order val="1"/>
          <c:tx>
            <c:strRef>
              <c:f>'Base Case charts'!$B$4</c:f>
              <c:strCache>
                <c:ptCount val="1"/>
                <c:pt idx="0">
                  <c:v>Renter's portfolio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'Base Case charts'!$A$5:$A$84</c:f>
              <c:numCache>
                <c:formatCode>mmm\-yy</c:formatCode>
                <c:ptCount val="80"/>
                <c:pt idx="0">
                  <c:v>38777</c:v>
                </c:pt>
                <c:pt idx="1">
                  <c:v>38869</c:v>
                </c:pt>
                <c:pt idx="2">
                  <c:v>38961</c:v>
                </c:pt>
                <c:pt idx="3">
                  <c:v>39052</c:v>
                </c:pt>
                <c:pt idx="4">
                  <c:v>39142</c:v>
                </c:pt>
                <c:pt idx="5">
                  <c:v>39234</c:v>
                </c:pt>
                <c:pt idx="6">
                  <c:v>39326</c:v>
                </c:pt>
                <c:pt idx="7">
                  <c:v>39417</c:v>
                </c:pt>
                <c:pt idx="8">
                  <c:v>39508</c:v>
                </c:pt>
                <c:pt idx="9">
                  <c:v>39600</c:v>
                </c:pt>
                <c:pt idx="10">
                  <c:v>39692</c:v>
                </c:pt>
                <c:pt idx="11">
                  <c:v>39783</c:v>
                </c:pt>
                <c:pt idx="12">
                  <c:v>39873</c:v>
                </c:pt>
                <c:pt idx="13">
                  <c:v>39965</c:v>
                </c:pt>
                <c:pt idx="14">
                  <c:v>40057</c:v>
                </c:pt>
                <c:pt idx="15">
                  <c:v>40148</c:v>
                </c:pt>
                <c:pt idx="16">
                  <c:v>40238</c:v>
                </c:pt>
                <c:pt idx="17">
                  <c:v>40330</c:v>
                </c:pt>
                <c:pt idx="18">
                  <c:v>40422</c:v>
                </c:pt>
                <c:pt idx="19">
                  <c:v>40513</c:v>
                </c:pt>
                <c:pt idx="20">
                  <c:v>40603</c:v>
                </c:pt>
                <c:pt idx="21">
                  <c:v>40695</c:v>
                </c:pt>
                <c:pt idx="22">
                  <c:v>40787</c:v>
                </c:pt>
                <c:pt idx="23">
                  <c:v>40878</c:v>
                </c:pt>
                <c:pt idx="24">
                  <c:v>40969</c:v>
                </c:pt>
                <c:pt idx="25">
                  <c:v>41061</c:v>
                </c:pt>
                <c:pt idx="26">
                  <c:v>41153</c:v>
                </c:pt>
                <c:pt idx="27">
                  <c:v>41244</c:v>
                </c:pt>
                <c:pt idx="28">
                  <c:v>41334</c:v>
                </c:pt>
                <c:pt idx="29">
                  <c:v>41426</c:v>
                </c:pt>
                <c:pt idx="30">
                  <c:v>41518</c:v>
                </c:pt>
                <c:pt idx="31">
                  <c:v>41609</c:v>
                </c:pt>
                <c:pt idx="32">
                  <c:v>41699</c:v>
                </c:pt>
                <c:pt idx="33">
                  <c:v>41791</c:v>
                </c:pt>
                <c:pt idx="34">
                  <c:v>41883</c:v>
                </c:pt>
                <c:pt idx="35">
                  <c:v>41974</c:v>
                </c:pt>
                <c:pt idx="36">
                  <c:v>42064</c:v>
                </c:pt>
                <c:pt idx="37">
                  <c:v>42156</c:v>
                </c:pt>
                <c:pt idx="38">
                  <c:v>42248</c:v>
                </c:pt>
                <c:pt idx="39">
                  <c:v>42339</c:v>
                </c:pt>
                <c:pt idx="40">
                  <c:v>42430</c:v>
                </c:pt>
                <c:pt idx="41">
                  <c:v>42522</c:v>
                </c:pt>
                <c:pt idx="42">
                  <c:v>42614</c:v>
                </c:pt>
                <c:pt idx="43">
                  <c:v>42705</c:v>
                </c:pt>
                <c:pt idx="44">
                  <c:v>42795</c:v>
                </c:pt>
                <c:pt idx="45">
                  <c:v>42887</c:v>
                </c:pt>
                <c:pt idx="46">
                  <c:v>42979</c:v>
                </c:pt>
                <c:pt idx="47">
                  <c:v>43070</c:v>
                </c:pt>
                <c:pt idx="48">
                  <c:v>43160</c:v>
                </c:pt>
                <c:pt idx="49">
                  <c:v>43252</c:v>
                </c:pt>
                <c:pt idx="50">
                  <c:v>43344</c:v>
                </c:pt>
                <c:pt idx="51">
                  <c:v>43435</c:v>
                </c:pt>
                <c:pt idx="52">
                  <c:v>43525</c:v>
                </c:pt>
                <c:pt idx="53">
                  <c:v>43617</c:v>
                </c:pt>
                <c:pt idx="54">
                  <c:v>43709</c:v>
                </c:pt>
                <c:pt idx="55">
                  <c:v>43800</c:v>
                </c:pt>
                <c:pt idx="56">
                  <c:v>43891</c:v>
                </c:pt>
                <c:pt idx="57">
                  <c:v>43983</c:v>
                </c:pt>
                <c:pt idx="58">
                  <c:v>44075</c:v>
                </c:pt>
                <c:pt idx="59">
                  <c:v>44166</c:v>
                </c:pt>
                <c:pt idx="60">
                  <c:v>44256</c:v>
                </c:pt>
                <c:pt idx="61">
                  <c:v>44348</c:v>
                </c:pt>
                <c:pt idx="62">
                  <c:v>44440</c:v>
                </c:pt>
                <c:pt idx="63">
                  <c:v>44531</c:v>
                </c:pt>
                <c:pt idx="64">
                  <c:v>44621</c:v>
                </c:pt>
                <c:pt idx="65">
                  <c:v>44713</c:v>
                </c:pt>
                <c:pt idx="66">
                  <c:v>44805</c:v>
                </c:pt>
                <c:pt idx="67">
                  <c:v>44896</c:v>
                </c:pt>
                <c:pt idx="68">
                  <c:v>44986</c:v>
                </c:pt>
                <c:pt idx="69">
                  <c:v>45078</c:v>
                </c:pt>
                <c:pt idx="70">
                  <c:v>45170</c:v>
                </c:pt>
                <c:pt idx="71">
                  <c:v>45261</c:v>
                </c:pt>
                <c:pt idx="72">
                  <c:v>45352</c:v>
                </c:pt>
                <c:pt idx="73">
                  <c:v>45444</c:v>
                </c:pt>
                <c:pt idx="74">
                  <c:v>45536</c:v>
                </c:pt>
                <c:pt idx="75">
                  <c:v>45627</c:v>
                </c:pt>
                <c:pt idx="76">
                  <c:v>45717</c:v>
                </c:pt>
                <c:pt idx="77">
                  <c:v>45809</c:v>
                </c:pt>
                <c:pt idx="78">
                  <c:v>45901</c:v>
                </c:pt>
                <c:pt idx="79">
                  <c:v>45992</c:v>
                </c:pt>
              </c:numCache>
            </c:numRef>
          </c:cat>
          <c:val>
            <c:numRef>
              <c:f>'Base Case charts'!$B$5:$B$84</c:f>
              <c:numCache>
                <c:formatCode>_-* #,##0_-;\-* #,##0_-;_-* "-"??_-;_-@_-</c:formatCode>
                <c:ptCount val="80"/>
                <c:pt idx="0">
                  <c:v>97682.604046995664</c:v>
                </c:pt>
                <c:pt idx="1">
                  <c:v>99572.505446283714</c:v>
                </c:pt>
                <c:pt idx="2">
                  <c:v>105893.7686714673</c:v>
                </c:pt>
                <c:pt idx="3">
                  <c:v>118540.01285687168</c:v>
                </c:pt>
                <c:pt idx="4">
                  <c:v>125990.45012596587</c:v>
                </c:pt>
                <c:pt idx="5">
                  <c:v>136510.56832373864</c:v>
                </c:pt>
                <c:pt idx="6">
                  <c:v>143411.99850092444</c:v>
                </c:pt>
                <c:pt idx="7">
                  <c:v>142192.7032826143</c:v>
                </c:pt>
                <c:pt idx="8">
                  <c:v>129768.24008041013</c:v>
                </c:pt>
                <c:pt idx="9">
                  <c:v>130880.63040682222</c:v>
                </c:pt>
                <c:pt idx="10">
                  <c:v>115394.02733557233</c:v>
                </c:pt>
                <c:pt idx="11">
                  <c:v>92404.682397177035</c:v>
                </c:pt>
                <c:pt idx="12">
                  <c:v>85146.375067715344</c:v>
                </c:pt>
                <c:pt idx="13">
                  <c:v>101913.50467413261</c:v>
                </c:pt>
                <c:pt idx="14">
                  <c:v>122448.07898823518</c:v>
                </c:pt>
                <c:pt idx="15">
                  <c:v>128178.50578184731</c:v>
                </c:pt>
                <c:pt idx="16">
                  <c:v>133353.01901216581</c:v>
                </c:pt>
                <c:pt idx="17">
                  <c:v>118099.24002714353</c:v>
                </c:pt>
                <c:pt idx="18">
                  <c:v>134077.60448484131</c:v>
                </c:pt>
                <c:pt idx="19">
                  <c:v>146475.63522219111</c:v>
                </c:pt>
                <c:pt idx="20">
                  <c:v>154350.91871724316</c:v>
                </c:pt>
                <c:pt idx="21">
                  <c:v>153806.66548368012</c:v>
                </c:pt>
                <c:pt idx="22">
                  <c:v>130618.30762060783</c:v>
                </c:pt>
                <c:pt idx="23">
                  <c:v>139303.80773885481</c:v>
                </c:pt>
                <c:pt idx="24">
                  <c:v>155474.89701117913</c:v>
                </c:pt>
                <c:pt idx="25">
                  <c:v>147951.79591757455</c:v>
                </c:pt>
                <c:pt idx="26">
                  <c:v>159397.80134238928</c:v>
                </c:pt>
                <c:pt idx="27">
                  <c:v>166058.1636678559</c:v>
                </c:pt>
                <c:pt idx="28">
                  <c:v>179809.8854516079</c:v>
                </c:pt>
                <c:pt idx="29">
                  <c:v>178834.91682244226</c:v>
                </c:pt>
                <c:pt idx="30">
                  <c:v>194978.69648679637</c:v>
                </c:pt>
                <c:pt idx="31">
                  <c:v>207645.20362177922</c:v>
                </c:pt>
                <c:pt idx="32">
                  <c:v>210850.85719208728</c:v>
                </c:pt>
                <c:pt idx="33">
                  <c:v>217825.06617262025</c:v>
                </c:pt>
                <c:pt idx="34">
                  <c:v>212734.79427669113</c:v>
                </c:pt>
                <c:pt idx="35">
                  <c:v>215848.52495299091</c:v>
                </c:pt>
                <c:pt idx="36">
                  <c:v>225898.7841266669</c:v>
                </c:pt>
                <c:pt idx="37">
                  <c:v>221536.19908503909</c:v>
                </c:pt>
                <c:pt idx="38">
                  <c:v>202971.70272947851</c:v>
                </c:pt>
                <c:pt idx="39">
                  <c:v>213865.24407128405</c:v>
                </c:pt>
                <c:pt idx="40">
                  <c:v>211744.78185462634</c:v>
                </c:pt>
                <c:pt idx="41">
                  <c:v>215810.01435311473</c:v>
                </c:pt>
                <c:pt idx="42">
                  <c:v>226952.74200727089</c:v>
                </c:pt>
                <c:pt idx="43">
                  <c:v>233701.29217214457</c:v>
                </c:pt>
                <c:pt idx="44">
                  <c:v>247647.17690844284</c:v>
                </c:pt>
                <c:pt idx="45">
                  <c:v>253438.06758463179</c:v>
                </c:pt>
                <c:pt idx="46">
                  <c:v>263260.29536608193</c:v>
                </c:pt>
                <c:pt idx="47">
                  <c:v>279663.15794597263</c:v>
                </c:pt>
                <c:pt idx="48">
                  <c:v>274324.23362586449</c:v>
                </c:pt>
                <c:pt idx="49">
                  <c:v>285666.72406309948</c:v>
                </c:pt>
                <c:pt idx="50">
                  <c:v>296108.53680535569</c:v>
                </c:pt>
                <c:pt idx="51">
                  <c:v>260004.56025494213</c:v>
                </c:pt>
                <c:pt idx="52">
                  <c:v>292100.51144894026</c:v>
                </c:pt>
                <c:pt idx="53">
                  <c:v>307285.25113932526</c:v>
                </c:pt>
                <c:pt idx="54">
                  <c:v>310962.95724186272</c:v>
                </c:pt>
                <c:pt idx="55">
                  <c:v>330370.59756740613</c:v>
                </c:pt>
                <c:pt idx="56">
                  <c:v>255701.7275897084</c:v>
                </c:pt>
                <c:pt idx="57">
                  <c:v>305063.29157498456</c:v>
                </c:pt>
                <c:pt idx="58">
                  <c:v>322222.85034674208</c:v>
                </c:pt>
                <c:pt idx="59">
                  <c:v>370322.67095428833</c:v>
                </c:pt>
                <c:pt idx="60">
                  <c:v>389243.45555708196</c:v>
                </c:pt>
                <c:pt idx="61">
                  <c:v>419058.96935636073</c:v>
                </c:pt>
                <c:pt idx="62">
                  <c:v>419963.0903193928</c:v>
                </c:pt>
                <c:pt idx="63">
                  <c:v>443225.49334027094</c:v>
                </c:pt>
                <c:pt idx="64">
                  <c:v>429378.43299620092</c:v>
                </c:pt>
                <c:pt idx="65">
                  <c:v>364194.9808142797</c:v>
                </c:pt>
                <c:pt idx="66">
                  <c:v>348800.62533648906</c:v>
                </c:pt>
                <c:pt idx="67">
                  <c:v>382244.35236542654</c:v>
                </c:pt>
                <c:pt idx="68">
                  <c:v>404979.43740065832</c:v>
                </c:pt>
                <c:pt idx="69">
                  <c:v>423816.51499365823</c:v>
                </c:pt>
                <c:pt idx="70">
                  <c:v>411963.29420220264</c:v>
                </c:pt>
                <c:pt idx="71">
                  <c:v>455082.93860936904</c:v>
                </c:pt>
                <c:pt idx="72">
                  <c:v>488837.10825507599</c:v>
                </c:pt>
                <c:pt idx="73">
                  <c:v>493515.082244777</c:v>
                </c:pt>
                <c:pt idx="74">
                  <c:v>527054.3152587869</c:v>
                </c:pt>
                <c:pt idx="75">
                  <c:v>522992.45614994201</c:v>
                </c:pt>
                <c:pt idx="76">
                  <c:v>510057.99134484975</c:v>
                </c:pt>
                <c:pt idx="77">
                  <c:v>564040.78571944742</c:v>
                </c:pt>
                <c:pt idx="78">
                  <c:v>599578.23415202729</c:v>
                </c:pt>
                <c:pt idx="79">
                  <c:v>609140.29532297188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2-423E-8655-141180437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651184"/>
        <c:axId val="1041653584"/>
      </c:lineChart>
      <c:dateAx>
        <c:axId val="104165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53584"/>
        <c:crosses val="autoZero"/>
        <c:auto val="1"/>
        <c:lblOffset val="100"/>
        <c:baseTimeUnit val="months"/>
        <c:majorUnit val="12"/>
        <c:minorUnit val="4"/>
      </c:dateAx>
      <c:valAx>
        <c:axId val="104165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51184"/>
        <c:crosses val="autoZero"/>
        <c:crossBetween val="between"/>
        <c:majorUnit val="200000"/>
        <c:minorUnit val="100000"/>
        <c:dispUnits>
          <c:builtInUnit val="thousands"/>
          <c:dispUnitsLbl>
            <c:layout>
              <c:manualLayout>
                <c:xMode val="edge"/>
                <c:yMode val="edge"/>
                <c:x val="3.5763163378520701E-2"/>
                <c:y val="5.7917591222324163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900"/>
                    <a:t>A$</a:t>
                  </a:r>
                  <a:r>
                    <a:rPr lang="en-US" sz="900" baseline="0"/>
                    <a:t> '000</a:t>
                  </a:r>
                  <a:endParaRPr lang="en-US" sz="90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1187450</xdr:colOff>
      <xdr:row>0</xdr:row>
      <xdr:rowOff>171450</xdr:rowOff>
    </xdr:from>
    <xdr:to>
      <xdr:col>11</xdr:col>
      <xdr:colOff>334343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23A49-D010-4D87-9BB9-F2ED1DCEC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5C19-F7AC-4C06-BA0D-5A6CFFEC127F}">
  <sheetPr>
    <tabColor theme="4"/>
  </sheetPr>
  <dimension ref="A1:B45"/>
  <sheetViews>
    <sheetView workbookViewId="0">
      <selection activeCell="D16" sqref="D16"/>
    </sheetView>
  </sheetViews>
  <sheetFormatPr defaultRowHeight="15" x14ac:dyDescent="0.25"/>
  <cols>
    <col min="1" max="1" width="68.7109375" customWidth="1"/>
    <col min="2" max="2" width="22.85546875" customWidth="1"/>
  </cols>
  <sheetData>
    <row r="1" spans="1:2" x14ac:dyDescent="0.25">
      <c r="A1" s="9" t="s">
        <v>45</v>
      </c>
    </row>
    <row r="2" spans="1:2" x14ac:dyDescent="0.25">
      <c r="A2" t="s">
        <v>3</v>
      </c>
      <c r="B2" s="1">
        <v>38777</v>
      </c>
    </row>
    <row r="3" spans="1:2" x14ac:dyDescent="0.25">
      <c r="A3" t="s">
        <v>4</v>
      </c>
      <c r="B3" s="1">
        <v>45992</v>
      </c>
    </row>
    <row r="4" spans="1:2" x14ac:dyDescent="0.25">
      <c r="A4" t="s">
        <v>5</v>
      </c>
      <c r="B4" s="8" t="s">
        <v>44</v>
      </c>
    </row>
    <row r="5" spans="1:2" x14ac:dyDescent="0.25">
      <c r="A5" t="s">
        <v>6</v>
      </c>
      <c r="B5" s="2">
        <v>0.01</v>
      </c>
    </row>
    <row r="6" spans="1:2" x14ac:dyDescent="0.25">
      <c r="A6" t="s">
        <v>7</v>
      </c>
      <c r="B6" s="2">
        <v>1.15E-2</v>
      </c>
    </row>
    <row r="7" spans="1:2" x14ac:dyDescent="0.25">
      <c r="A7" t="s">
        <v>8</v>
      </c>
      <c r="B7" s="3">
        <v>25</v>
      </c>
    </row>
    <row r="9" spans="1:2" x14ac:dyDescent="0.25">
      <c r="A9" s="4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s="5">
        <v>0.2</v>
      </c>
    </row>
    <row r="12" spans="1:2" x14ac:dyDescent="0.25">
      <c r="A12" t="s">
        <v>13</v>
      </c>
      <c r="B12" s="2">
        <v>0</v>
      </c>
    </row>
    <row r="14" spans="1:2" x14ac:dyDescent="0.25">
      <c r="A14" s="4" t="s">
        <v>14</v>
      </c>
    </row>
    <row r="15" spans="1:2" x14ac:dyDescent="0.25">
      <c r="A15" s="6" t="s">
        <v>15</v>
      </c>
    </row>
    <row r="16" spans="1:2" x14ac:dyDescent="0.25">
      <c r="A16" t="s">
        <v>16</v>
      </c>
      <c r="B16" s="2">
        <v>1.4999999999999999E-2</v>
      </c>
    </row>
    <row r="17" spans="1:2" x14ac:dyDescent="0.25">
      <c r="A17" t="s">
        <v>17</v>
      </c>
      <c r="B17" s="8" t="s">
        <v>44</v>
      </c>
    </row>
    <row r="18" spans="1:2" x14ac:dyDescent="0.25">
      <c r="A18" s="6" t="s">
        <v>18</v>
      </c>
    </row>
    <row r="19" spans="1:2" x14ac:dyDescent="0.25">
      <c r="A19" t="s">
        <v>19</v>
      </c>
      <c r="B19" s="2">
        <v>1.4999999999999999E-2</v>
      </c>
    </row>
    <row r="20" spans="1:2" x14ac:dyDescent="0.25">
      <c r="A20" t="s">
        <v>20</v>
      </c>
      <c r="B20" s="2">
        <v>5.0000000000000001E-3</v>
      </c>
    </row>
    <row r="22" spans="1:2" x14ac:dyDescent="0.25">
      <c r="A22" s="4" t="s">
        <v>21</v>
      </c>
    </row>
    <row r="23" spans="1:2" x14ac:dyDescent="0.25">
      <c r="A23" t="s">
        <v>22</v>
      </c>
      <c r="B23" s="5">
        <v>7.0000000000000007E-2</v>
      </c>
    </row>
    <row r="24" spans="1:2" x14ac:dyDescent="0.25">
      <c r="A24" t="s">
        <v>23</v>
      </c>
      <c r="B24" s="5">
        <v>0.16</v>
      </c>
    </row>
    <row r="25" spans="1:2" x14ac:dyDescent="0.25">
      <c r="A25" t="s">
        <v>24</v>
      </c>
      <c r="B25" s="5">
        <v>7.0000000000000007E-2</v>
      </c>
    </row>
    <row r="26" spans="1:2" x14ac:dyDescent="0.25">
      <c r="A26" t="s">
        <v>25</v>
      </c>
      <c r="B26" s="5">
        <v>0.05</v>
      </c>
    </row>
    <row r="27" spans="1:2" x14ac:dyDescent="0.25">
      <c r="A27" t="s">
        <v>26</v>
      </c>
      <c r="B27" s="5">
        <v>0.35000000000000003</v>
      </c>
    </row>
    <row r="28" spans="1:2" x14ac:dyDescent="0.25">
      <c r="A28" s="6" t="s">
        <v>27</v>
      </c>
      <c r="B28" s="8" t="s">
        <v>46</v>
      </c>
    </row>
    <row r="29" spans="1:2" x14ac:dyDescent="0.25">
      <c r="A29" s="6" t="s">
        <v>28</v>
      </c>
      <c r="B29" s="5">
        <v>0.35000000000000048</v>
      </c>
    </row>
    <row r="30" spans="1:2" x14ac:dyDescent="0.25">
      <c r="A30" s="6"/>
      <c r="B30" s="7"/>
    </row>
    <row r="31" spans="1:2" x14ac:dyDescent="0.25">
      <c r="A31" s="4" t="s">
        <v>29</v>
      </c>
    </row>
    <row r="32" spans="1:2" x14ac:dyDescent="0.25">
      <c r="A32" t="s">
        <v>30</v>
      </c>
      <c r="B32" s="5">
        <v>0.7</v>
      </c>
    </row>
    <row r="33" spans="1:2" x14ac:dyDescent="0.25">
      <c r="A33" t="s">
        <v>31</v>
      </c>
      <c r="B33" s="5">
        <v>0.30000000000000004</v>
      </c>
    </row>
    <row r="34" spans="1:2" x14ac:dyDescent="0.25">
      <c r="A34" t="s">
        <v>32</v>
      </c>
      <c r="B34" s="2">
        <v>2.5000000000000001E-3</v>
      </c>
    </row>
    <row r="35" spans="1:2" x14ac:dyDescent="0.25">
      <c r="A35" s="6" t="s">
        <v>33</v>
      </c>
      <c r="B35" t="s">
        <v>34</v>
      </c>
    </row>
    <row r="36" spans="1:2" x14ac:dyDescent="0.25">
      <c r="A36" t="s">
        <v>35</v>
      </c>
      <c r="B36" s="10" t="s">
        <v>47</v>
      </c>
    </row>
    <row r="37" spans="1:2" x14ac:dyDescent="0.25">
      <c r="A37" t="s">
        <v>36</v>
      </c>
      <c r="B37" s="10" t="s">
        <v>47</v>
      </c>
    </row>
    <row r="38" spans="1:2" x14ac:dyDescent="0.25">
      <c r="A38" t="s">
        <v>37</v>
      </c>
      <c r="B38" s="10" t="s">
        <v>47</v>
      </c>
    </row>
    <row r="39" spans="1:2" x14ac:dyDescent="0.25">
      <c r="A39" t="s">
        <v>38</v>
      </c>
      <c r="B39" s="10" t="s">
        <v>47</v>
      </c>
    </row>
    <row r="40" spans="1:2" x14ac:dyDescent="0.25">
      <c r="A40" s="6" t="s">
        <v>39</v>
      </c>
      <c r="B40" t="s">
        <v>34</v>
      </c>
    </row>
    <row r="41" spans="1:2" x14ac:dyDescent="0.25">
      <c r="A41" t="s">
        <v>40</v>
      </c>
      <c r="B41" s="10" t="s">
        <v>47</v>
      </c>
    </row>
    <row r="43" spans="1:2" x14ac:dyDescent="0.25">
      <c r="A43" s="6" t="s">
        <v>41</v>
      </c>
      <c r="B43" s="5"/>
    </row>
    <row r="44" spans="1:2" x14ac:dyDescent="0.25">
      <c r="A44" t="s">
        <v>42</v>
      </c>
      <c r="B44" s="3">
        <v>800</v>
      </c>
    </row>
    <row r="45" spans="1:2" x14ac:dyDescent="0.25">
      <c r="A45" t="s">
        <v>43</v>
      </c>
      <c r="B4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O29"/>
  <sheetViews>
    <sheetView zoomScale="84" zoomScaleNormal="115" workbookViewId="0">
      <selection activeCell="D21" sqref="D21:D29"/>
    </sheetView>
  </sheetViews>
  <sheetFormatPr defaultRowHeight="15" x14ac:dyDescent="0.25"/>
  <cols>
    <col min="1" max="1" width="35.85546875" bestFit="1" customWidth="1"/>
    <col min="2" max="2" width="18.5703125" customWidth="1"/>
    <col min="3" max="10" width="11.28515625" customWidth="1"/>
    <col min="11" max="11" width="17.140625" customWidth="1"/>
  </cols>
  <sheetData>
    <row r="1" spans="1:15" x14ac:dyDescent="0.25">
      <c r="A1" t="s">
        <v>70</v>
      </c>
      <c r="B1" t="s">
        <v>71</v>
      </c>
      <c r="C1" t="s">
        <v>2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77</v>
      </c>
      <c r="L1" t="s">
        <v>73</v>
      </c>
      <c r="M1" t="s">
        <v>75</v>
      </c>
      <c r="N1" t="s">
        <v>74</v>
      </c>
    </row>
    <row r="2" spans="1:15" x14ac:dyDescent="0.25">
      <c r="A2" s="21" t="s">
        <v>72</v>
      </c>
      <c r="B2" s="4" t="s">
        <v>1</v>
      </c>
      <c r="C2" s="11">
        <v>1.6997760125055212</v>
      </c>
      <c r="D2" s="11">
        <v>1.7481719670063975</v>
      </c>
      <c r="E2" s="11">
        <v>1.070759360144147</v>
      </c>
      <c r="F2" s="11">
        <v>1.4100306803419977</v>
      </c>
      <c r="G2" s="11">
        <v>0.93643338021934541</v>
      </c>
      <c r="H2" s="11">
        <v>1.7196500558073635</v>
      </c>
      <c r="I2" s="11">
        <v>1.1549546303056861</v>
      </c>
      <c r="J2" s="11">
        <v>1.2209999730050705</v>
      </c>
      <c r="K2" s="12">
        <f>GEOMEAN(C2:J2)</f>
        <v>1.3366316148170674</v>
      </c>
      <c r="L2" s="11">
        <f>MIN(C2:J2)</f>
        <v>0.93643338021934541</v>
      </c>
      <c r="M2" s="11">
        <f>MEDIAN(C2:J2)</f>
        <v>1.315515326673534</v>
      </c>
      <c r="N2" s="11">
        <f>MAX(C2:J2)</f>
        <v>1.7481719670063975</v>
      </c>
      <c r="O2" s="11"/>
    </row>
    <row r="3" spans="1:15" x14ac:dyDescent="0.25">
      <c r="A3" s="21" t="s">
        <v>72</v>
      </c>
      <c r="B3" s="4" t="s">
        <v>0</v>
      </c>
      <c r="C3" s="11">
        <v>1.1910480959387382</v>
      </c>
      <c r="D3" s="11">
        <v>1.5572554896303625</v>
      </c>
      <c r="E3" s="11">
        <v>0.98793046123754236</v>
      </c>
      <c r="F3" s="11">
        <v>1.4804049347415043</v>
      </c>
      <c r="G3" s="11">
        <v>0.94039311329935982</v>
      </c>
      <c r="H3" s="11">
        <v>1.2515874980470107</v>
      </c>
      <c r="I3" s="11">
        <v>0.98724673217712922</v>
      </c>
      <c r="J3" s="11">
        <v>1.4620166505103673</v>
      </c>
      <c r="K3" s="12">
        <f>GEOMEAN(C3:J3)</f>
        <v>1.2104395175400753</v>
      </c>
      <c r="L3" s="11">
        <f t="shared" ref="L3:L5" si="0">MIN(C3:J3)</f>
        <v>0.94039311329935982</v>
      </c>
      <c r="M3" s="11">
        <f>MEDIAN(C3:J3)</f>
        <v>1.2213177969928743</v>
      </c>
      <c r="N3" s="11">
        <f t="shared" ref="N3:N5" si="1">MAX(C3:J3)</f>
        <v>1.5572554896303625</v>
      </c>
      <c r="O3" s="11"/>
    </row>
    <row r="4" spans="1:15" x14ac:dyDescent="0.25">
      <c r="A4" s="20" t="s">
        <v>76</v>
      </c>
      <c r="B4" t="s">
        <v>1</v>
      </c>
      <c r="C4" s="17">
        <v>0.82981044811598337</v>
      </c>
      <c r="D4" s="17">
        <v>0.84150720426472492</v>
      </c>
      <c r="E4" s="17">
        <v>0.87279621758464199</v>
      </c>
      <c r="F4" s="17">
        <v>0.83489578894869387</v>
      </c>
      <c r="G4" s="17">
        <v>0.85513845079998929</v>
      </c>
      <c r="H4" s="17">
        <v>0.87761523669873598</v>
      </c>
      <c r="I4" s="17">
        <v>0.90027153239405977</v>
      </c>
      <c r="J4" s="17">
        <v>1.0334924956448206</v>
      </c>
      <c r="K4" s="18">
        <f t="shared" ref="K4:K11" si="2">AVERAGE(C4:J4)</f>
        <v>0.88069092180645625</v>
      </c>
      <c r="L4" s="19">
        <f t="shared" si="0"/>
        <v>0.82981044811598337</v>
      </c>
      <c r="M4" s="11">
        <f>MEDIAN(C4:J4)</f>
        <v>0.86396733419231564</v>
      </c>
      <c r="N4" s="19">
        <f t="shared" si="1"/>
        <v>1.0334924956448206</v>
      </c>
      <c r="O4" s="18"/>
    </row>
    <row r="5" spans="1:15" x14ac:dyDescent="0.25">
      <c r="A5" s="20" t="s">
        <v>76</v>
      </c>
      <c r="B5" t="s">
        <v>0</v>
      </c>
      <c r="C5" s="17">
        <v>0.67712267571892359</v>
      </c>
      <c r="D5" s="17">
        <v>0.7466074113509269</v>
      </c>
      <c r="E5" s="17">
        <v>0.7864447928606737</v>
      </c>
      <c r="F5" s="17">
        <v>0.75531478503640503</v>
      </c>
      <c r="G5" s="17">
        <v>0.8259689945636729</v>
      </c>
      <c r="H5" s="17">
        <v>0.83380605128609253</v>
      </c>
      <c r="I5" s="17">
        <v>0.91114233445031578</v>
      </c>
      <c r="J5" s="17">
        <v>0.92424571094245922</v>
      </c>
      <c r="K5" s="18">
        <f t="shared" si="2"/>
        <v>0.80758159452618372</v>
      </c>
      <c r="L5" s="19">
        <f t="shared" si="0"/>
        <v>0.67712267571892359</v>
      </c>
      <c r="M5" s="11">
        <f>MEDIAN(C5:J5)</f>
        <v>0.80620689371217336</v>
      </c>
      <c r="N5" s="19">
        <f t="shared" si="1"/>
        <v>0.92424571094245922</v>
      </c>
      <c r="O5" s="18"/>
    </row>
    <row r="6" spans="1:15" x14ac:dyDescent="0.25">
      <c r="A6" t="s">
        <v>55</v>
      </c>
      <c r="B6" t="s">
        <v>1</v>
      </c>
      <c r="C6" s="13">
        <v>4.0890370217833594E-2</v>
      </c>
      <c r="D6" s="13">
        <v>4.0297022435272112E-2</v>
      </c>
      <c r="E6" s="2">
        <v>5.3430183351062865E-2</v>
      </c>
      <c r="F6" s="13">
        <v>4.4685963272582674E-2</v>
      </c>
      <c r="G6" s="13">
        <v>6.0613173662908526E-2</v>
      </c>
      <c r="H6" s="13">
        <v>3.5264923841377582E-2</v>
      </c>
      <c r="I6" s="13">
        <v>4.9024798605356246E-2</v>
      </c>
      <c r="J6" s="13">
        <v>3.1053092726748277E-2</v>
      </c>
      <c r="K6" s="15">
        <f t="shared" si="2"/>
        <v>4.4407441014142734E-2</v>
      </c>
      <c r="L6" s="19">
        <f t="shared" ref="L6:L11" si="3">(MIN(C6:J6))*100</f>
        <v>3.1053092726748277</v>
      </c>
      <c r="M6" s="11">
        <f t="shared" ref="M6:M11" si="4">(MEDIAN(C6:J6))*100</f>
        <v>4.2788166745208134</v>
      </c>
      <c r="N6" s="19">
        <f t="shared" ref="N6:N11" si="5">(MAX(C6:J6))*100</f>
        <v>6.0613173662908526</v>
      </c>
      <c r="O6" s="15"/>
    </row>
    <row r="7" spans="1:15" x14ac:dyDescent="0.25">
      <c r="A7" t="s">
        <v>55</v>
      </c>
      <c r="B7" t="s">
        <v>0</v>
      </c>
      <c r="C7" s="13">
        <v>6.305707889924661E-2</v>
      </c>
      <c r="D7" s="13">
        <v>4.9964717889481758E-2</v>
      </c>
      <c r="E7" s="13">
        <v>6.2858539487578913E-2</v>
      </c>
      <c r="F7" s="13">
        <v>4.8332234010756148E-2</v>
      </c>
      <c r="G7" s="13">
        <v>6.2987796523327644E-2</v>
      </c>
      <c r="H7" s="13">
        <v>5.1067885309542316E-2</v>
      </c>
      <c r="I7" s="13">
        <v>5.4362410846366949E-2</v>
      </c>
      <c r="J7" s="13">
        <v>3.7346735654114838E-2</v>
      </c>
      <c r="K7" s="15">
        <f t="shared" si="2"/>
        <v>5.3747174827551897E-2</v>
      </c>
      <c r="L7" s="19">
        <f t="shared" si="3"/>
        <v>3.7346735654114838</v>
      </c>
      <c r="M7" s="11">
        <f t="shared" si="4"/>
        <v>5.2715148077954632</v>
      </c>
      <c r="N7" s="19">
        <f t="shared" si="5"/>
        <v>6.305707889924661</v>
      </c>
      <c r="O7" s="15"/>
    </row>
    <row r="8" spans="1:15" x14ac:dyDescent="0.25">
      <c r="A8" t="s">
        <v>56</v>
      </c>
      <c r="B8" t="s">
        <v>1</v>
      </c>
      <c r="C8" s="13">
        <v>2.5246657455820776E-2</v>
      </c>
      <c r="D8" s="13">
        <v>2.4194280065041429E-2</v>
      </c>
      <c r="E8" s="2">
        <v>4.2189163589536394E-2</v>
      </c>
      <c r="F8" s="13">
        <v>3.1719585966531572E-2</v>
      </c>
      <c r="G8" s="13">
        <v>4.9956018869446783E-2</v>
      </c>
      <c r="H8" s="13">
        <v>1.9060416024281102E-2</v>
      </c>
      <c r="I8" s="13">
        <v>3.6161721895209276E-2</v>
      </c>
      <c r="J8" s="13">
        <v>1.2138207506991128E-2</v>
      </c>
      <c r="K8" s="15">
        <f t="shared" si="2"/>
        <v>3.0083256421607307E-2</v>
      </c>
      <c r="L8" s="19">
        <f t="shared" si="3"/>
        <v>1.2138207506991128</v>
      </c>
      <c r="M8" s="11">
        <f t="shared" si="4"/>
        <v>2.8483121711176174</v>
      </c>
      <c r="N8" s="19">
        <f t="shared" si="5"/>
        <v>4.9956018869446783</v>
      </c>
      <c r="O8" s="15"/>
    </row>
    <row r="9" spans="1:15" x14ac:dyDescent="0.25">
      <c r="A9" t="s">
        <v>56</v>
      </c>
      <c r="B9" t="s">
        <v>0</v>
      </c>
      <c r="C9" s="13">
        <v>5.2061805646878234E-2</v>
      </c>
      <c r="D9" s="13">
        <v>3.5744888367202465E-2</v>
      </c>
      <c r="E9" s="13">
        <v>5.2783780813137504E-2</v>
      </c>
      <c r="F9" s="13">
        <v>3.6201982559688872E-2</v>
      </c>
      <c r="G9" s="13">
        <v>5.2745727661320574E-2</v>
      </c>
      <c r="H9" s="13">
        <v>3.7977277267540854E-2</v>
      </c>
      <c r="I9" s="13">
        <v>4.2153082070852443E-2</v>
      </c>
      <c r="J9" s="13">
        <v>2.140435366397786E-2</v>
      </c>
      <c r="K9" s="15">
        <f t="shared" si="2"/>
        <v>4.1384112256324851E-2</v>
      </c>
      <c r="L9" s="19">
        <f t="shared" si="3"/>
        <v>2.140435366397786</v>
      </c>
      <c r="M9" s="11">
        <f t="shared" si="4"/>
        <v>4.0065179669196649</v>
      </c>
      <c r="N9" s="19">
        <f t="shared" si="5"/>
        <v>5.2783780813137504</v>
      </c>
      <c r="O9" s="15"/>
    </row>
    <row r="10" spans="1:15" x14ac:dyDescent="0.25">
      <c r="A10" t="s">
        <v>57</v>
      </c>
      <c r="B10" t="s">
        <v>1</v>
      </c>
      <c r="C10" s="13">
        <v>4.8258695207800129E-2</v>
      </c>
      <c r="D10" s="13">
        <v>5.0124057068757777E-2</v>
      </c>
      <c r="E10" s="2">
        <v>5.5502163774186819E-2</v>
      </c>
      <c r="F10" s="13">
        <v>4.5267687507156484E-2</v>
      </c>
      <c r="G10" s="13">
        <v>4.55007340587259E-2</v>
      </c>
      <c r="H10" s="13">
        <v>2.6885149562792421E-2</v>
      </c>
      <c r="I10" s="13">
        <v>3.6962249976527195E-2</v>
      </c>
      <c r="J10" s="13">
        <v>3.2296976639227148E-2</v>
      </c>
      <c r="K10" s="15">
        <f t="shared" si="2"/>
        <v>4.2599714224396734E-2</v>
      </c>
      <c r="L10" s="19">
        <f t="shared" si="3"/>
        <v>2.6885149562792421</v>
      </c>
      <c r="M10" s="11">
        <f t="shared" si="4"/>
        <v>4.5384210782941192</v>
      </c>
      <c r="N10" s="19">
        <f t="shared" si="5"/>
        <v>5.5502163774186819</v>
      </c>
      <c r="O10" s="15"/>
    </row>
    <row r="11" spans="1:15" x14ac:dyDescent="0.25">
      <c r="A11" t="s">
        <v>57</v>
      </c>
      <c r="B11" t="s">
        <v>0</v>
      </c>
      <c r="C11" s="13">
        <v>4.9766255368866252E-2</v>
      </c>
      <c r="D11" s="13">
        <v>4.4556035220769896E-2</v>
      </c>
      <c r="E11" s="13">
        <v>4.6836133744807107E-2</v>
      </c>
      <c r="F11" s="13">
        <v>4.3021999897177476E-2</v>
      </c>
      <c r="G11" s="13">
        <v>4.6296774059967127E-2</v>
      </c>
      <c r="H11" s="13">
        <v>3.0914330112016053E-2</v>
      </c>
      <c r="I11" s="13">
        <v>3.7497867254460804E-2</v>
      </c>
      <c r="J11" s="13">
        <v>3.2676104363610348E-2</v>
      </c>
      <c r="K11" s="15">
        <f t="shared" si="2"/>
        <v>4.1445687502709383E-2</v>
      </c>
      <c r="L11" s="19">
        <f t="shared" si="3"/>
        <v>3.0914330112016053</v>
      </c>
      <c r="M11" s="11">
        <f t="shared" si="4"/>
        <v>4.3789017558973686</v>
      </c>
      <c r="N11" s="19">
        <f t="shared" si="5"/>
        <v>4.9766255368866252</v>
      </c>
      <c r="O11" s="15"/>
    </row>
    <row r="14" spans="1:15" x14ac:dyDescent="0.25">
      <c r="A14" s="4" t="s">
        <v>59</v>
      </c>
      <c r="B14" s="4" t="s">
        <v>60</v>
      </c>
      <c r="C14" s="16">
        <v>8.0631421747286103E-2</v>
      </c>
      <c r="F14" s="17"/>
    </row>
    <row r="15" spans="1:15" x14ac:dyDescent="0.25">
      <c r="A15" t="s">
        <v>59</v>
      </c>
      <c r="B15" t="s">
        <v>61</v>
      </c>
      <c r="C15" s="13">
        <v>7.4437133987429238E-2</v>
      </c>
      <c r="F15" s="17"/>
    </row>
    <row r="16" spans="1:15" x14ac:dyDescent="0.25">
      <c r="A16" t="s">
        <v>59</v>
      </c>
      <c r="B16" t="s">
        <v>62</v>
      </c>
      <c r="C16" s="13">
        <v>8.3092429341050655E-2</v>
      </c>
      <c r="F16" s="17"/>
    </row>
    <row r="17" spans="1:12" x14ac:dyDescent="0.25">
      <c r="A17" t="s">
        <v>58</v>
      </c>
      <c r="B17" s="2"/>
      <c r="C17" s="13">
        <v>2.7199757989349482E-2</v>
      </c>
      <c r="F17" s="17"/>
    </row>
    <row r="18" spans="1:12" x14ac:dyDescent="0.25">
      <c r="F18" s="17"/>
    </row>
    <row r="19" spans="1:12" x14ac:dyDescent="0.25">
      <c r="B19" t="str" cm="1">
        <f t="array" ref="B19:L29">TRANSPOSE(A1:K11)</f>
        <v>Metric</v>
      </c>
      <c r="C19" t="str">
        <v>Ending renter-to-owner wealth ratio</v>
      </c>
      <c r="D19" t="str">
        <v>Ending renter-to-owner wealth ratio</v>
      </c>
      <c r="E19" t="str">
        <v>Average renter-to-owner cashflow ratio</v>
      </c>
      <c r="F19" s="17" t="str">
        <v>Average renter-to-owner cashflow ratio</v>
      </c>
      <c r="G19" t="str">
        <v>Median home price growth p.a.</v>
      </c>
      <c r="H19" t="str">
        <v>Median home price growth p.a.</v>
      </c>
      <c r="I19" t="str">
        <v>Adjusted home price growth p.a.</v>
      </c>
      <c r="J19" t="str">
        <v>Adjusted home price growth p.a.</v>
      </c>
      <c r="K19" t="str">
        <v>Rent growth p.a.</v>
      </c>
      <c r="L19" t="str">
        <v>Rent growth p.a.</v>
      </c>
    </row>
    <row r="20" spans="1:12" x14ac:dyDescent="0.25">
      <c r="B20" t="str">
        <v>Dwelling type</v>
      </c>
      <c r="C20" t="str">
        <v>2-bedroom units</v>
      </c>
      <c r="D20" t="str">
        <v>3-bedroom houses</v>
      </c>
      <c r="E20" t="str">
        <v>2-bedroom units</v>
      </c>
      <c r="F20" s="17" t="str">
        <v>3-bedroom houses</v>
      </c>
      <c r="G20" t="str">
        <v>2-bedroom units</v>
      </c>
      <c r="H20" t="str">
        <v>3-bedroom houses</v>
      </c>
      <c r="I20" t="str">
        <v>2-bedroom units</v>
      </c>
      <c r="J20" t="str">
        <v>3-bedroom houses</v>
      </c>
      <c r="K20" t="str">
        <v>2-bedroom units</v>
      </c>
      <c r="L20" t="str">
        <v>3-bedroom houses</v>
      </c>
    </row>
    <row r="21" spans="1:12" x14ac:dyDescent="0.25">
      <c r="B21" t="str">
        <v>Sydney</v>
      </c>
      <c r="C21" s="11">
        <v>1.6997760125055212</v>
      </c>
      <c r="D21" s="11">
        <v>1.1910480959387382</v>
      </c>
      <c r="E21" s="17">
        <v>0.82981044811598337</v>
      </c>
      <c r="F21" s="17">
        <v>0.67712267571892359</v>
      </c>
      <c r="G21" s="13">
        <v>4.0890370217833594E-2</v>
      </c>
      <c r="H21" s="13">
        <v>6.305707889924661E-2</v>
      </c>
      <c r="I21" s="13">
        <v>2.5246657455820776E-2</v>
      </c>
      <c r="J21" s="13">
        <v>5.2061805646878234E-2</v>
      </c>
      <c r="K21" s="13">
        <v>4.8258695207800129E-2</v>
      </c>
      <c r="L21" s="13">
        <v>4.9766255368866252E-2</v>
      </c>
    </row>
    <row r="22" spans="1:12" x14ac:dyDescent="0.25">
      <c r="B22" t="str">
        <v>Melbourne</v>
      </c>
      <c r="C22" s="11">
        <v>1.7481719670063975</v>
      </c>
      <c r="D22" s="11">
        <v>1.5572554896303625</v>
      </c>
      <c r="E22" s="17">
        <v>0.84150720426472492</v>
      </c>
      <c r="F22" s="17">
        <v>0.7466074113509269</v>
      </c>
      <c r="G22" s="13">
        <v>4.0297022435272112E-2</v>
      </c>
      <c r="H22" s="13">
        <v>4.9964717889481758E-2</v>
      </c>
      <c r="I22" s="13">
        <v>2.4194280065041429E-2</v>
      </c>
      <c r="J22" s="13">
        <v>3.5744888367202465E-2</v>
      </c>
      <c r="K22" s="13">
        <v>5.0124057068757777E-2</v>
      </c>
      <c r="L22" s="13">
        <v>4.4556035220769896E-2</v>
      </c>
    </row>
    <row r="23" spans="1:12" x14ac:dyDescent="0.25">
      <c r="B23" t="str">
        <v>Brisbane</v>
      </c>
      <c r="C23" s="11">
        <v>1.070759360144147</v>
      </c>
      <c r="D23" s="11">
        <v>0.98793046123754236</v>
      </c>
      <c r="E23" s="17">
        <v>0.87279621758464199</v>
      </c>
      <c r="F23" s="17">
        <v>0.7864447928606737</v>
      </c>
      <c r="G23" s="13">
        <v>5.3430183351062865E-2</v>
      </c>
      <c r="H23" s="13">
        <v>6.2858539487578913E-2</v>
      </c>
      <c r="I23" s="13">
        <v>4.2189163589536394E-2</v>
      </c>
      <c r="J23" s="13">
        <v>5.2783780813137504E-2</v>
      </c>
      <c r="K23" s="13">
        <v>5.5502163774186819E-2</v>
      </c>
      <c r="L23" s="13">
        <v>4.6836133744807107E-2</v>
      </c>
    </row>
    <row r="24" spans="1:12" x14ac:dyDescent="0.25">
      <c r="B24" t="str">
        <v>Perth</v>
      </c>
      <c r="C24" s="11">
        <v>1.4100306803419977</v>
      </c>
      <c r="D24" s="11">
        <v>1.4804049347415043</v>
      </c>
      <c r="E24" s="17">
        <v>0.83489578894869387</v>
      </c>
      <c r="F24" s="17">
        <v>0.75531478503640503</v>
      </c>
      <c r="G24" s="13">
        <v>4.4685963272582674E-2</v>
      </c>
      <c r="H24" s="13">
        <v>4.8332234010756148E-2</v>
      </c>
      <c r="I24" s="13">
        <v>3.1719585966531572E-2</v>
      </c>
      <c r="J24" s="13">
        <v>3.6201982559688872E-2</v>
      </c>
      <c r="K24" s="13">
        <v>4.5267687507156484E-2</v>
      </c>
      <c r="L24" s="13">
        <v>4.3021999897177476E-2</v>
      </c>
    </row>
    <row r="25" spans="1:12" x14ac:dyDescent="0.25">
      <c r="B25" t="str">
        <v>Adelaide</v>
      </c>
      <c r="C25" s="11">
        <v>0.93643338021934541</v>
      </c>
      <c r="D25" s="11">
        <v>0.94039311329935982</v>
      </c>
      <c r="E25" s="17">
        <v>0.85513845079998929</v>
      </c>
      <c r="F25" s="17">
        <v>0.8259689945636729</v>
      </c>
      <c r="G25" s="13">
        <v>6.0613173662908526E-2</v>
      </c>
      <c r="H25" s="13">
        <v>6.2987796523327644E-2</v>
      </c>
      <c r="I25" s="13">
        <v>4.9956018869446783E-2</v>
      </c>
      <c r="J25" s="13">
        <v>5.2745727661320574E-2</v>
      </c>
      <c r="K25" s="13">
        <v>4.55007340587259E-2</v>
      </c>
      <c r="L25" s="13">
        <v>4.6296774059967127E-2</v>
      </c>
    </row>
    <row r="26" spans="1:12" x14ac:dyDescent="0.25">
      <c r="B26" t="str">
        <v>Canberra</v>
      </c>
      <c r="C26" s="11">
        <v>1.7196500558073635</v>
      </c>
      <c r="D26" s="11">
        <v>1.2515874980470107</v>
      </c>
      <c r="E26" s="17">
        <v>0.87761523669873598</v>
      </c>
      <c r="F26" s="17">
        <v>0.83380605128609253</v>
      </c>
      <c r="G26" s="13">
        <v>3.5264923841377582E-2</v>
      </c>
      <c r="H26" s="13">
        <v>5.1067885309542316E-2</v>
      </c>
      <c r="I26" s="13">
        <v>1.9060416024281102E-2</v>
      </c>
      <c r="J26" s="13">
        <v>3.7977277267540854E-2</v>
      </c>
      <c r="K26" s="13">
        <v>2.6885149562792421E-2</v>
      </c>
      <c r="L26" s="13">
        <v>3.0914330112016053E-2</v>
      </c>
    </row>
    <row r="27" spans="1:12" x14ac:dyDescent="0.25">
      <c r="B27" t="str">
        <v>Hobart</v>
      </c>
      <c r="C27" s="11">
        <v>1.1549546303056861</v>
      </c>
      <c r="D27" s="11">
        <v>0.98724673217712922</v>
      </c>
      <c r="E27" s="17">
        <v>0.90027153239405977</v>
      </c>
      <c r="F27" s="17">
        <v>0.91114233445031578</v>
      </c>
      <c r="G27" s="13">
        <v>4.9024798605356246E-2</v>
      </c>
      <c r="H27" s="13">
        <v>5.4362410846366949E-2</v>
      </c>
      <c r="I27" s="13">
        <v>3.6161721895209276E-2</v>
      </c>
      <c r="J27" s="13">
        <v>4.2153082070852443E-2</v>
      </c>
      <c r="K27" s="13">
        <v>3.6962249976527195E-2</v>
      </c>
      <c r="L27" s="13">
        <v>3.7497867254460804E-2</v>
      </c>
    </row>
    <row r="28" spans="1:12" x14ac:dyDescent="0.25">
      <c r="B28" t="str">
        <v>Darwin</v>
      </c>
      <c r="C28" s="11">
        <v>1.2209999730050705</v>
      </c>
      <c r="D28" s="11">
        <v>1.4620166505103673</v>
      </c>
      <c r="E28" s="17">
        <v>1.0334924956448206</v>
      </c>
      <c r="F28" s="17">
        <v>0.92424571094245922</v>
      </c>
      <c r="G28" s="13">
        <v>3.1053092726748277E-2</v>
      </c>
      <c r="H28" s="13">
        <v>3.7346735654114838E-2</v>
      </c>
      <c r="I28" s="13">
        <v>1.2138207506991128E-2</v>
      </c>
      <c r="J28" s="13">
        <v>2.140435366397786E-2</v>
      </c>
      <c r="K28" s="13">
        <v>3.2296976639227148E-2</v>
      </c>
      <c r="L28" s="13">
        <v>3.2676104363610348E-2</v>
      </c>
    </row>
    <row r="29" spans="1:12" x14ac:dyDescent="0.25">
      <c r="B29" t="str">
        <v>Mean</v>
      </c>
      <c r="C29" s="11">
        <v>1.3366316148170674</v>
      </c>
      <c r="D29" s="11">
        <v>1.2104395175400753</v>
      </c>
      <c r="E29" s="17">
        <v>0.88069092180645625</v>
      </c>
      <c r="F29" s="17">
        <v>0.80758159452618372</v>
      </c>
      <c r="G29" s="13">
        <v>4.4407441014142734E-2</v>
      </c>
      <c r="H29" s="13">
        <v>5.3747174827551897E-2</v>
      </c>
      <c r="I29" s="13">
        <v>3.0083256421607307E-2</v>
      </c>
      <c r="J29" s="13">
        <v>4.1384112256324851E-2</v>
      </c>
      <c r="K29" s="13">
        <v>4.2599714224396734E-2</v>
      </c>
      <c r="L29" s="13">
        <v>4.1445687502709383E-2</v>
      </c>
    </row>
  </sheetData>
  <autoFilter ref="A1:K11" xr:uid="{00000000-0001-0000-0000-000000000000}"/>
  <conditionalFormatting sqref="C4:J5">
    <cfRule type="colorScale" priority="5">
      <colorScale>
        <cfvo type="min"/>
        <cfvo type="num" val="1"/>
        <cfvo type="max"/>
        <color rgb="FFF8696B"/>
        <color rgb="FFFCFCFF"/>
        <color rgb="FF5A8AC6"/>
      </colorScale>
    </cfRule>
  </conditionalFormatting>
  <conditionalFormatting sqref="C6:J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8:J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0:J1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K3">
    <cfRule type="colorScale" priority="11">
      <colorScale>
        <cfvo type="min"/>
        <cfvo type="num" val="1"/>
        <cfvo type="max"/>
        <color rgb="FF5A8AC6"/>
        <color rgb="FFFCFCFF"/>
        <color rgb="FFF8696B"/>
      </colorScale>
    </cfRule>
  </conditionalFormatting>
  <conditionalFormatting sqref="F14:F20">
    <cfRule type="colorScale" priority="1">
      <colorScale>
        <cfvo type="min"/>
        <cfvo type="num" val="1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8470-68CD-4F0E-9777-8539A7976726}">
  <sheetPr>
    <tabColor theme="4"/>
  </sheetPr>
  <dimension ref="A1:F84"/>
  <sheetViews>
    <sheetView zoomScaleNormal="100" workbookViewId="0">
      <selection activeCell="C17" sqref="C17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6" x14ac:dyDescent="0.25">
      <c r="A1" t="s">
        <v>69</v>
      </c>
      <c r="B1" t="s">
        <v>54</v>
      </c>
      <c r="D1" s="4"/>
    </row>
    <row r="2" spans="1:6" x14ac:dyDescent="0.25">
      <c r="A2" t="s">
        <v>68</v>
      </c>
      <c r="B2" t="s">
        <v>0</v>
      </c>
    </row>
    <row r="4" spans="1:6" x14ac:dyDescent="0.25">
      <c r="A4" s="4" t="s">
        <v>63</v>
      </c>
      <c r="B4" s="4" t="s">
        <v>64</v>
      </c>
      <c r="C4" s="4" t="s">
        <v>65</v>
      </c>
      <c r="D4" s="4" t="s">
        <v>66</v>
      </c>
    </row>
    <row r="5" spans="1:6" x14ac:dyDescent="0.25">
      <c r="A5" s="1">
        <v>38777</v>
      </c>
      <c r="B5" s="14" cm="1">
        <f t="array" aca="1" ref="B5:C84" ca="1">IF(B2="2-bedroom units",INDIRECT("'"&amp;B1&amp;"'!B2:C81"),INDIRECT("'"&amp;B1&amp;"'!B82:C161"))</f>
        <v>97682.604046995664</v>
      </c>
      <c r="C5" s="14">
        <f ca="1"/>
        <v>59634.4375</v>
      </c>
      <c r="D5" t="str">
        <f>$B$2</f>
        <v>3-bedroom houses</v>
      </c>
      <c r="F5" t="str">
        <f>"Renter vs owner wealth, "&amp;B1&amp;" "&amp;B2</f>
        <v>Renter vs owner wealth, Darwin 3-bedroom houses</v>
      </c>
    </row>
    <row r="6" spans="1:6" x14ac:dyDescent="0.25">
      <c r="A6" s="1">
        <v>38869</v>
      </c>
      <c r="B6" s="14">
        <f ca="1"/>
        <v>99572.505446283714</v>
      </c>
      <c r="C6" s="14">
        <f ca="1"/>
        <v>66698.726785879233</v>
      </c>
      <c r="D6" t="str">
        <f t="shared" ref="D6:D69" si="0">$B$2</f>
        <v>3-bedroom houses</v>
      </c>
    </row>
    <row r="7" spans="1:6" x14ac:dyDescent="0.25">
      <c r="A7" s="1">
        <v>38961</v>
      </c>
      <c r="B7" s="14">
        <f ca="1"/>
        <v>105893.7686714673</v>
      </c>
      <c r="C7" s="14">
        <f ca="1"/>
        <v>76153.101191119698</v>
      </c>
      <c r="D7" t="str">
        <f t="shared" si="0"/>
        <v>3-bedroom houses</v>
      </c>
    </row>
    <row r="8" spans="1:6" x14ac:dyDescent="0.25">
      <c r="A8" s="1">
        <v>39052</v>
      </c>
      <c r="B8" s="14">
        <f ca="1"/>
        <v>118540.01285687168</v>
      </c>
      <c r="C8" s="14">
        <f ca="1"/>
        <v>94832.013587346009</v>
      </c>
      <c r="D8" t="str">
        <f t="shared" si="0"/>
        <v>3-bedroom houses</v>
      </c>
    </row>
    <row r="9" spans="1:6" x14ac:dyDescent="0.25">
      <c r="A9" s="1">
        <v>39142</v>
      </c>
      <c r="B9" s="14">
        <f ca="1"/>
        <v>125990.45012596587</v>
      </c>
      <c r="C9" s="14">
        <f ca="1"/>
        <v>103173.41258204234</v>
      </c>
      <c r="D9" t="str">
        <f t="shared" si="0"/>
        <v>3-bedroom houses</v>
      </c>
    </row>
    <row r="10" spans="1:6" x14ac:dyDescent="0.25">
      <c r="A10" s="1">
        <v>39234</v>
      </c>
      <c r="B10" s="14">
        <f ca="1"/>
        <v>136510.56832373864</v>
      </c>
      <c r="C10" s="14">
        <f ca="1"/>
        <v>107597.76673265209</v>
      </c>
      <c r="D10" t="str">
        <f t="shared" si="0"/>
        <v>3-bedroom houses</v>
      </c>
    </row>
    <row r="11" spans="1:6" x14ac:dyDescent="0.25">
      <c r="A11" s="1">
        <v>39326</v>
      </c>
      <c r="B11" s="14">
        <f ca="1"/>
        <v>143411.99850092444</v>
      </c>
      <c r="C11" s="14">
        <f ca="1"/>
        <v>111536.86402514949</v>
      </c>
      <c r="D11" t="str">
        <f t="shared" si="0"/>
        <v>3-bedroom houses</v>
      </c>
    </row>
    <row r="12" spans="1:6" x14ac:dyDescent="0.25">
      <c r="A12" s="1">
        <v>39417</v>
      </c>
      <c r="B12" s="14">
        <f ca="1"/>
        <v>142192.7032826143</v>
      </c>
      <c r="C12" s="14">
        <f ca="1"/>
        <v>128634.06802150811</v>
      </c>
      <c r="D12" t="str">
        <f t="shared" si="0"/>
        <v>3-bedroom houses</v>
      </c>
    </row>
    <row r="13" spans="1:6" x14ac:dyDescent="0.25">
      <c r="A13" s="1">
        <v>39508</v>
      </c>
      <c r="B13" s="14">
        <f ca="1"/>
        <v>129768.24008041013</v>
      </c>
      <c r="C13" s="14">
        <f ca="1"/>
        <v>129049.46706170961</v>
      </c>
      <c r="D13" t="str">
        <f t="shared" si="0"/>
        <v>3-bedroom houses</v>
      </c>
    </row>
    <row r="14" spans="1:6" x14ac:dyDescent="0.25">
      <c r="A14" s="1">
        <v>39600</v>
      </c>
      <c r="B14" s="14">
        <f ca="1"/>
        <v>130880.63040682222</v>
      </c>
      <c r="C14" s="14">
        <f ca="1"/>
        <v>130159.13795463048</v>
      </c>
      <c r="D14" t="str">
        <f t="shared" si="0"/>
        <v>3-bedroom houses</v>
      </c>
    </row>
    <row r="15" spans="1:6" x14ac:dyDescent="0.25">
      <c r="A15" s="1">
        <v>39692</v>
      </c>
      <c r="B15" s="14">
        <f ca="1"/>
        <v>115394.02733557233</v>
      </c>
      <c r="C15" s="14">
        <f ca="1"/>
        <v>136539.85803079023</v>
      </c>
      <c r="D15" t="str">
        <f t="shared" si="0"/>
        <v>3-bedroom houses</v>
      </c>
    </row>
    <row r="16" spans="1:6" x14ac:dyDescent="0.25">
      <c r="A16" s="1">
        <v>39783</v>
      </c>
      <c r="B16" s="14">
        <f ca="1"/>
        <v>92404.682397177035</v>
      </c>
      <c r="C16" s="14">
        <f ca="1"/>
        <v>150062.73939166858</v>
      </c>
      <c r="D16" t="str">
        <f t="shared" si="0"/>
        <v>3-bedroom houses</v>
      </c>
    </row>
    <row r="17" spans="1:4" x14ac:dyDescent="0.25">
      <c r="A17" s="1">
        <v>39873</v>
      </c>
      <c r="B17" s="14">
        <f ca="1"/>
        <v>85146.375067715344</v>
      </c>
      <c r="C17" s="14">
        <f ca="1"/>
        <v>159087.05278220057</v>
      </c>
      <c r="D17" t="str">
        <f t="shared" si="0"/>
        <v>3-bedroom houses</v>
      </c>
    </row>
    <row r="18" spans="1:4" x14ac:dyDescent="0.25">
      <c r="A18" s="1">
        <v>39965</v>
      </c>
      <c r="B18" s="14">
        <f ca="1"/>
        <v>101913.50467413261</v>
      </c>
      <c r="C18" s="14">
        <f ca="1"/>
        <v>168302.27007454561</v>
      </c>
      <c r="D18" t="str">
        <f t="shared" si="0"/>
        <v>3-bedroom houses</v>
      </c>
    </row>
    <row r="19" spans="1:4" x14ac:dyDescent="0.25">
      <c r="A19" s="1">
        <v>40057</v>
      </c>
      <c r="B19" s="14">
        <f ca="1"/>
        <v>122448.07898823518</v>
      </c>
      <c r="C19" s="14">
        <f ca="1"/>
        <v>192174.60609946659</v>
      </c>
      <c r="D19" t="str">
        <f t="shared" si="0"/>
        <v>3-bedroom houses</v>
      </c>
    </row>
    <row r="20" spans="1:4" x14ac:dyDescent="0.25">
      <c r="A20" s="1">
        <v>40148</v>
      </c>
      <c r="B20" s="14">
        <f ca="1"/>
        <v>128178.50578184731</v>
      </c>
      <c r="C20" s="14">
        <f ca="1"/>
        <v>220881.69976730781</v>
      </c>
      <c r="D20" t="str">
        <f t="shared" si="0"/>
        <v>3-bedroom houses</v>
      </c>
    </row>
    <row r="21" spans="1:4" x14ac:dyDescent="0.25">
      <c r="A21" s="1">
        <v>40238</v>
      </c>
      <c r="B21" s="14">
        <f ca="1"/>
        <v>133353.01901216581</v>
      </c>
      <c r="C21" s="14">
        <f ca="1"/>
        <v>228835.04177686138</v>
      </c>
      <c r="D21" t="str">
        <f t="shared" si="0"/>
        <v>3-bedroom houses</v>
      </c>
    </row>
    <row r="22" spans="1:4" x14ac:dyDescent="0.25">
      <c r="A22" s="1">
        <v>40330</v>
      </c>
      <c r="B22" s="14">
        <f ca="1"/>
        <v>118099.24002714353</v>
      </c>
      <c r="C22" s="14">
        <f ca="1"/>
        <v>228921.55324695745</v>
      </c>
      <c r="D22" t="str">
        <f t="shared" si="0"/>
        <v>3-bedroom houses</v>
      </c>
    </row>
    <row r="23" spans="1:4" x14ac:dyDescent="0.25">
      <c r="A23" s="1">
        <v>40422</v>
      </c>
      <c r="B23" s="14">
        <f ca="1"/>
        <v>134077.60448484131</v>
      </c>
      <c r="C23" s="14">
        <f ca="1"/>
        <v>232846.99872605098</v>
      </c>
      <c r="D23" t="str">
        <f t="shared" si="0"/>
        <v>3-bedroom houses</v>
      </c>
    </row>
    <row r="24" spans="1:4" x14ac:dyDescent="0.25">
      <c r="A24" s="1">
        <v>40513</v>
      </c>
      <c r="B24" s="14">
        <f ca="1"/>
        <v>146475.63522219111</v>
      </c>
      <c r="C24" s="14">
        <f ca="1"/>
        <v>241667.61148822922</v>
      </c>
      <c r="D24" t="str">
        <f t="shared" si="0"/>
        <v>3-bedroom houses</v>
      </c>
    </row>
    <row r="25" spans="1:4" x14ac:dyDescent="0.25">
      <c r="A25" s="1">
        <v>40603</v>
      </c>
      <c r="B25" s="14">
        <f ca="1"/>
        <v>154350.91871724316</v>
      </c>
      <c r="C25" s="14">
        <f ca="1"/>
        <v>206444.08628042485</v>
      </c>
      <c r="D25" t="str">
        <f t="shared" si="0"/>
        <v>3-bedroom houses</v>
      </c>
    </row>
    <row r="26" spans="1:4" x14ac:dyDescent="0.25">
      <c r="A26" s="1">
        <v>40695</v>
      </c>
      <c r="B26" s="14">
        <f ca="1"/>
        <v>153806.66548368012</v>
      </c>
      <c r="C26" s="14">
        <f ca="1"/>
        <v>195781.07956586356</v>
      </c>
      <c r="D26" t="str">
        <f t="shared" si="0"/>
        <v>3-bedroom houses</v>
      </c>
    </row>
    <row r="27" spans="1:4" x14ac:dyDescent="0.25">
      <c r="A27" s="1">
        <v>40787</v>
      </c>
      <c r="B27" s="14">
        <f ca="1"/>
        <v>130618.30762060783</v>
      </c>
      <c r="C27" s="14">
        <f ca="1"/>
        <v>192024.09203590895</v>
      </c>
      <c r="D27" t="str">
        <f t="shared" si="0"/>
        <v>3-bedroom houses</v>
      </c>
    </row>
    <row r="28" spans="1:4" x14ac:dyDescent="0.25">
      <c r="A28" s="1">
        <v>40878</v>
      </c>
      <c r="B28" s="14">
        <f ca="1"/>
        <v>139303.80773885481</v>
      </c>
      <c r="C28" s="14">
        <f ca="1"/>
        <v>208822.8756870683</v>
      </c>
      <c r="D28" t="str">
        <f t="shared" si="0"/>
        <v>3-bedroom houses</v>
      </c>
    </row>
    <row r="29" spans="1:4" x14ac:dyDescent="0.25">
      <c r="A29" s="1">
        <v>40969</v>
      </c>
      <c r="B29" s="14">
        <f ca="1"/>
        <v>155474.89701117913</v>
      </c>
      <c r="C29" s="14">
        <f ca="1"/>
        <v>217865.88321006339</v>
      </c>
      <c r="D29" t="str">
        <f t="shared" si="0"/>
        <v>3-bedroom houses</v>
      </c>
    </row>
    <row r="30" spans="1:4" x14ac:dyDescent="0.25">
      <c r="A30" s="1">
        <v>41061</v>
      </c>
      <c r="B30" s="14">
        <f ca="1"/>
        <v>147951.79591757455</v>
      </c>
      <c r="C30" s="14">
        <f ca="1"/>
        <v>235181.40087495797</v>
      </c>
      <c r="D30" t="str">
        <f t="shared" si="0"/>
        <v>3-bedroom houses</v>
      </c>
    </row>
    <row r="31" spans="1:4" x14ac:dyDescent="0.25">
      <c r="A31" s="1">
        <v>41153</v>
      </c>
      <c r="B31" s="14">
        <f ca="1"/>
        <v>159397.80134238928</v>
      </c>
      <c r="C31" s="14">
        <f ca="1"/>
        <v>231080.11936265157</v>
      </c>
      <c r="D31" t="str">
        <f t="shared" si="0"/>
        <v>3-bedroom houses</v>
      </c>
    </row>
    <row r="32" spans="1:4" x14ac:dyDescent="0.25">
      <c r="A32" s="1">
        <v>41244</v>
      </c>
      <c r="B32" s="14">
        <f ca="1"/>
        <v>166058.1636678559</v>
      </c>
      <c r="C32" s="14">
        <f ca="1"/>
        <v>250964.46095264785</v>
      </c>
      <c r="D32" t="str">
        <f t="shared" si="0"/>
        <v>3-bedroom houses</v>
      </c>
    </row>
    <row r="33" spans="1:4" x14ac:dyDescent="0.25">
      <c r="A33" s="1">
        <v>41334</v>
      </c>
      <c r="B33" s="14">
        <f ca="1"/>
        <v>179809.8854516079</v>
      </c>
      <c r="C33" s="14">
        <f ca="1"/>
        <v>220081.48957997342</v>
      </c>
      <c r="D33" t="str">
        <f t="shared" si="0"/>
        <v>3-bedroom houses</v>
      </c>
    </row>
    <row r="34" spans="1:4" x14ac:dyDescent="0.25">
      <c r="A34" s="1">
        <v>41426</v>
      </c>
      <c r="B34" s="14">
        <f ca="1"/>
        <v>178834.91682244226</v>
      </c>
      <c r="C34" s="14">
        <f ca="1"/>
        <v>229388.08020469328</v>
      </c>
      <c r="D34" t="str">
        <f t="shared" si="0"/>
        <v>3-bedroom houses</v>
      </c>
    </row>
    <row r="35" spans="1:4" x14ac:dyDescent="0.25">
      <c r="A35" s="1">
        <v>41518</v>
      </c>
      <c r="B35" s="14">
        <f ca="1"/>
        <v>194978.69648679637</v>
      </c>
      <c r="C35" s="14">
        <f ca="1"/>
        <v>258286.50353241607</v>
      </c>
      <c r="D35" t="str">
        <f t="shared" si="0"/>
        <v>3-bedroom houses</v>
      </c>
    </row>
    <row r="36" spans="1:4" x14ac:dyDescent="0.25">
      <c r="A36" s="1">
        <v>41609</v>
      </c>
      <c r="B36" s="14">
        <f ca="1"/>
        <v>207645.20362177922</v>
      </c>
      <c r="C36" s="14">
        <f ca="1"/>
        <v>266661.87453254138</v>
      </c>
      <c r="D36" t="str">
        <f t="shared" si="0"/>
        <v>3-bedroom houses</v>
      </c>
    </row>
    <row r="37" spans="1:4" x14ac:dyDescent="0.25">
      <c r="A37" s="1">
        <v>41699</v>
      </c>
      <c r="B37" s="14">
        <f ca="1"/>
        <v>210850.85719208728</v>
      </c>
      <c r="C37" s="14">
        <f ca="1"/>
        <v>281873.54713353951</v>
      </c>
      <c r="D37" t="str">
        <f t="shared" si="0"/>
        <v>3-bedroom houses</v>
      </c>
    </row>
    <row r="38" spans="1:4" x14ac:dyDescent="0.25">
      <c r="A38" s="1">
        <v>41791</v>
      </c>
      <c r="B38" s="14">
        <f ca="1"/>
        <v>217825.06617262025</v>
      </c>
      <c r="C38" s="14">
        <f ca="1"/>
        <v>244793.77596876989</v>
      </c>
      <c r="D38" t="str">
        <f t="shared" si="0"/>
        <v>3-bedroom houses</v>
      </c>
    </row>
    <row r="39" spans="1:4" x14ac:dyDescent="0.25">
      <c r="A39" s="1">
        <v>41883</v>
      </c>
      <c r="B39" s="14">
        <f ca="1"/>
        <v>212734.79427669113</v>
      </c>
      <c r="C39" s="14">
        <f ca="1"/>
        <v>256705.07755395767</v>
      </c>
      <c r="D39" t="str">
        <f t="shared" si="0"/>
        <v>3-bedroom houses</v>
      </c>
    </row>
    <row r="40" spans="1:4" x14ac:dyDescent="0.25">
      <c r="A40" s="1">
        <v>41974</v>
      </c>
      <c r="B40" s="14">
        <f ca="1"/>
        <v>215848.52495299091</v>
      </c>
      <c r="C40" s="14">
        <f ca="1"/>
        <v>267142.10741927737</v>
      </c>
      <c r="D40" t="str">
        <f t="shared" si="0"/>
        <v>3-bedroom houses</v>
      </c>
    </row>
    <row r="41" spans="1:4" x14ac:dyDescent="0.25">
      <c r="A41" s="1">
        <v>42064</v>
      </c>
      <c r="B41" s="14">
        <f ca="1"/>
        <v>225898.7841266669</v>
      </c>
      <c r="C41" s="14">
        <f ca="1"/>
        <v>256078.46295138661</v>
      </c>
      <c r="D41" t="str">
        <f t="shared" si="0"/>
        <v>3-bedroom houses</v>
      </c>
    </row>
    <row r="42" spans="1:4" x14ac:dyDescent="0.25">
      <c r="A42" s="1">
        <v>42156</v>
      </c>
      <c r="B42" s="14">
        <f ca="1"/>
        <v>221536.19908503909</v>
      </c>
      <c r="C42" s="14">
        <f ca="1"/>
        <v>280302.79385940603</v>
      </c>
      <c r="D42" t="str">
        <f t="shared" si="0"/>
        <v>3-bedroom houses</v>
      </c>
    </row>
    <row r="43" spans="1:4" x14ac:dyDescent="0.25">
      <c r="A43" s="1">
        <v>42248</v>
      </c>
      <c r="B43" s="14">
        <f ca="1"/>
        <v>202971.70272947851</v>
      </c>
      <c r="C43" s="14">
        <f ca="1"/>
        <v>265427.95095882233</v>
      </c>
      <c r="D43" t="str">
        <f t="shared" si="0"/>
        <v>3-bedroom houses</v>
      </c>
    </row>
    <row r="44" spans="1:4" x14ac:dyDescent="0.25">
      <c r="A44" s="1">
        <v>42339</v>
      </c>
      <c r="B44" s="14">
        <f ca="1"/>
        <v>213865.24407128405</v>
      </c>
      <c r="C44" s="14">
        <f ca="1"/>
        <v>260396.88333760353</v>
      </c>
      <c r="D44" t="str">
        <f t="shared" si="0"/>
        <v>3-bedroom houses</v>
      </c>
    </row>
    <row r="45" spans="1:4" x14ac:dyDescent="0.25">
      <c r="A45" s="1">
        <v>42430</v>
      </c>
      <c r="B45" s="14">
        <f ca="1"/>
        <v>211744.78185462634</v>
      </c>
      <c r="C45" s="14">
        <f ca="1"/>
        <v>255374.16324033073</v>
      </c>
      <c r="D45" t="str">
        <f t="shared" si="0"/>
        <v>3-bedroom houses</v>
      </c>
    </row>
    <row r="46" spans="1:4" x14ac:dyDescent="0.25">
      <c r="A46" s="1">
        <v>42522</v>
      </c>
      <c r="B46" s="14">
        <f ca="1"/>
        <v>215810.01435311473</v>
      </c>
      <c r="C46" s="14">
        <f ca="1"/>
        <v>233783.30823538336</v>
      </c>
      <c r="D46" t="str">
        <f t="shared" si="0"/>
        <v>3-bedroom houses</v>
      </c>
    </row>
    <row r="47" spans="1:4" x14ac:dyDescent="0.25">
      <c r="A47" s="1">
        <v>42614</v>
      </c>
      <c r="B47" s="14">
        <f ca="1"/>
        <v>226952.74200727089</v>
      </c>
      <c r="C47" s="14">
        <f ca="1"/>
        <v>206468.95656883353</v>
      </c>
      <c r="D47" t="str">
        <f t="shared" si="0"/>
        <v>3-bedroom houses</v>
      </c>
    </row>
    <row r="48" spans="1:4" x14ac:dyDescent="0.25">
      <c r="A48" s="1">
        <v>42705</v>
      </c>
      <c r="B48" s="14">
        <f ca="1"/>
        <v>233701.29217214457</v>
      </c>
      <c r="C48" s="14">
        <f ca="1"/>
        <v>208592.96090811689</v>
      </c>
      <c r="D48" t="str">
        <f t="shared" si="0"/>
        <v>3-bedroom houses</v>
      </c>
    </row>
    <row r="49" spans="1:4" x14ac:dyDescent="0.25">
      <c r="A49" s="1">
        <v>42795</v>
      </c>
      <c r="B49" s="14">
        <f ca="1"/>
        <v>247647.17690844284</v>
      </c>
      <c r="C49" s="14">
        <f ca="1"/>
        <v>216602.36138382569</v>
      </c>
      <c r="D49" t="str">
        <f t="shared" si="0"/>
        <v>3-bedroom houses</v>
      </c>
    </row>
    <row r="50" spans="1:4" x14ac:dyDescent="0.25">
      <c r="A50" s="1">
        <v>42887</v>
      </c>
      <c r="B50" s="14">
        <f ca="1"/>
        <v>253438.06758463179</v>
      </c>
      <c r="C50" s="14">
        <f ca="1"/>
        <v>187482.85779544446</v>
      </c>
      <c r="D50" t="str">
        <f t="shared" si="0"/>
        <v>3-bedroom houses</v>
      </c>
    </row>
    <row r="51" spans="1:4" x14ac:dyDescent="0.25">
      <c r="A51" s="1">
        <v>42979</v>
      </c>
      <c r="B51" s="14">
        <f ca="1"/>
        <v>263260.29536608193</v>
      </c>
      <c r="C51" s="14">
        <f ca="1"/>
        <v>187802.07873074181</v>
      </c>
      <c r="D51" t="str">
        <f t="shared" si="0"/>
        <v>3-bedroom houses</v>
      </c>
    </row>
    <row r="52" spans="1:4" x14ac:dyDescent="0.25">
      <c r="A52" s="1">
        <v>43070</v>
      </c>
      <c r="B52" s="14">
        <f ca="1"/>
        <v>279663.15794597263</v>
      </c>
      <c r="C52" s="14">
        <f ca="1"/>
        <v>201636.76740878215</v>
      </c>
      <c r="D52" t="str">
        <f t="shared" si="0"/>
        <v>3-bedroom houses</v>
      </c>
    </row>
    <row r="53" spans="1:4" x14ac:dyDescent="0.25">
      <c r="A53" s="1">
        <v>43160</v>
      </c>
      <c r="B53" s="14">
        <f ca="1"/>
        <v>274324.23362586449</v>
      </c>
      <c r="C53" s="14">
        <f ca="1"/>
        <v>188485.10796771912</v>
      </c>
      <c r="D53" t="str">
        <f t="shared" si="0"/>
        <v>3-bedroom houses</v>
      </c>
    </row>
    <row r="54" spans="1:4" x14ac:dyDescent="0.25">
      <c r="A54" s="1">
        <v>43252</v>
      </c>
      <c r="B54" s="14">
        <f ca="1"/>
        <v>285666.72406309948</v>
      </c>
      <c r="C54" s="14">
        <f ca="1"/>
        <v>194750.23051020797</v>
      </c>
      <c r="D54" t="str">
        <f t="shared" si="0"/>
        <v>3-bedroom houses</v>
      </c>
    </row>
    <row r="55" spans="1:4" x14ac:dyDescent="0.25">
      <c r="A55" s="1">
        <v>43344</v>
      </c>
      <c r="B55" s="14">
        <f ca="1"/>
        <v>296108.53680535569</v>
      </c>
      <c r="C55" s="14">
        <f ca="1"/>
        <v>189302.97364686339</v>
      </c>
      <c r="D55" t="str">
        <f t="shared" si="0"/>
        <v>3-bedroom houses</v>
      </c>
    </row>
    <row r="56" spans="1:4" x14ac:dyDescent="0.25">
      <c r="A56" s="1">
        <v>43435</v>
      </c>
      <c r="B56" s="14">
        <f ca="1"/>
        <v>260004.56025494213</v>
      </c>
      <c r="C56" s="14">
        <f ca="1"/>
        <v>199517.64203841382</v>
      </c>
      <c r="D56" t="str">
        <f t="shared" si="0"/>
        <v>3-bedroom houses</v>
      </c>
    </row>
    <row r="57" spans="1:4" x14ac:dyDescent="0.25">
      <c r="A57" s="1">
        <v>43525</v>
      </c>
      <c r="B57" s="14">
        <f ca="1"/>
        <v>292100.51144894026</v>
      </c>
      <c r="C57" s="14">
        <f ca="1"/>
        <v>175530.38380446212</v>
      </c>
      <c r="D57" t="str">
        <f t="shared" si="0"/>
        <v>3-bedroom houses</v>
      </c>
    </row>
    <row r="58" spans="1:4" x14ac:dyDescent="0.25">
      <c r="A58" s="1">
        <v>43617</v>
      </c>
      <c r="B58" s="14">
        <f ca="1"/>
        <v>307285.25113932526</v>
      </c>
      <c r="C58" s="14">
        <f ca="1"/>
        <v>161413.02647344809</v>
      </c>
      <c r="D58" t="str">
        <f t="shared" si="0"/>
        <v>3-bedroom houses</v>
      </c>
    </row>
    <row r="59" spans="1:4" x14ac:dyDescent="0.25">
      <c r="A59" s="1">
        <v>43709</v>
      </c>
      <c r="B59" s="14">
        <f ca="1"/>
        <v>310962.95724186272</v>
      </c>
      <c r="C59" s="14">
        <f ca="1"/>
        <v>180632.38686363003</v>
      </c>
      <c r="D59" t="str">
        <f t="shared" si="0"/>
        <v>3-bedroom houses</v>
      </c>
    </row>
    <row r="60" spans="1:4" x14ac:dyDescent="0.25">
      <c r="A60" s="1">
        <v>43800</v>
      </c>
      <c r="B60" s="14">
        <f ca="1"/>
        <v>330370.59756740613</v>
      </c>
      <c r="C60" s="14">
        <f ca="1"/>
        <v>162735.1171965283</v>
      </c>
      <c r="D60" t="str">
        <f t="shared" si="0"/>
        <v>3-bedroom houses</v>
      </c>
    </row>
    <row r="61" spans="1:4" x14ac:dyDescent="0.25">
      <c r="A61" s="1">
        <v>43891</v>
      </c>
      <c r="B61" s="14">
        <f ca="1"/>
        <v>255701.7275897084</v>
      </c>
      <c r="C61" s="14">
        <f ca="1"/>
        <v>163506.39529932296</v>
      </c>
      <c r="D61" t="str">
        <f t="shared" si="0"/>
        <v>3-bedroom houses</v>
      </c>
    </row>
    <row r="62" spans="1:4" x14ac:dyDescent="0.25">
      <c r="A62" s="1">
        <v>43983</v>
      </c>
      <c r="B62" s="14">
        <f ca="1"/>
        <v>305063.29157498456</v>
      </c>
      <c r="C62" s="14">
        <f ca="1"/>
        <v>159464.49550047578</v>
      </c>
      <c r="D62" t="str">
        <f t="shared" si="0"/>
        <v>3-bedroom houses</v>
      </c>
    </row>
    <row r="63" spans="1:4" x14ac:dyDescent="0.25">
      <c r="A63" s="1">
        <v>44075</v>
      </c>
      <c r="B63" s="14">
        <f ca="1"/>
        <v>322222.85034674208</v>
      </c>
      <c r="C63" s="14">
        <f ca="1"/>
        <v>194596.58703364286</v>
      </c>
      <c r="D63" t="str">
        <f t="shared" si="0"/>
        <v>3-bedroom houses</v>
      </c>
    </row>
    <row r="64" spans="1:4" x14ac:dyDescent="0.25">
      <c r="A64" s="1">
        <v>44166</v>
      </c>
      <c r="B64" s="14">
        <f ca="1"/>
        <v>370322.67095428833</v>
      </c>
      <c r="C64" s="14">
        <f ca="1"/>
        <v>217442.4915583001</v>
      </c>
      <c r="D64" t="str">
        <f t="shared" si="0"/>
        <v>3-bedroom houses</v>
      </c>
    </row>
    <row r="65" spans="1:4" x14ac:dyDescent="0.25">
      <c r="A65" s="1">
        <v>44256</v>
      </c>
      <c r="B65" s="14">
        <f ca="1"/>
        <v>389243.45555708196</v>
      </c>
      <c r="C65" s="14">
        <f ca="1"/>
        <v>230481.21914143232</v>
      </c>
      <c r="D65" t="str">
        <f t="shared" si="0"/>
        <v>3-bedroom houses</v>
      </c>
    </row>
    <row r="66" spans="1:4" x14ac:dyDescent="0.25">
      <c r="A66" s="1">
        <v>44348</v>
      </c>
      <c r="B66" s="14">
        <f ca="1"/>
        <v>419058.96935636073</v>
      </c>
      <c r="C66" s="14">
        <f ca="1"/>
        <v>260612.71972313561</v>
      </c>
      <c r="D66" t="str">
        <f t="shared" si="0"/>
        <v>3-bedroom houses</v>
      </c>
    </row>
    <row r="67" spans="1:4" x14ac:dyDescent="0.25">
      <c r="A67" s="1">
        <v>44440</v>
      </c>
      <c r="B67" s="14">
        <f ca="1"/>
        <v>419963.0903193928</v>
      </c>
      <c r="C67" s="14">
        <f ca="1"/>
        <v>276040.09410523629</v>
      </c>
      <c r="D67" t="str">
        <f t="shared" si="0"/>
        <v>3-bedroom houses</v>
      </c>
    </row>
    <row r="68" spans="1:4" x14ac:dyDescent="0.25">
      <c r="A68" s="1">
        <v>44531</v>
      </c>
      <c r="B68" s="14">
        <f ca="1"/>
        <v>443225.49334027094</v>
      </c>
      <c r="C68" s="14">
        <f ca="1"/>
        <v>296361.43489177048</v>
      </c>
      <c r="D68" t="str">
        <f t="shared" si="0"/>
        <v>3-bedroom houses</v>
      </c>
    </row>
    <row r="69" spans="1:4" x14ac:dyDescent="0.25">
      <c r="A69" s="1">
        <v>44621</v>
      </c>
      <c r="B69" s="14">
        <f ca="1"/>
        <v>429378.43299620092</v>
      </c>
      <c r="C69" s="14">
        <f ca="1"/>
        <v>297111.23896133853</v>
      </c>
      <c r="D69" t="str">
        <f t="shared" si="0"/>
        <v>3-bedroom houses</v>
      </c>
    </row>
    <row r="70" spans="1:4" x14ac:dyDescent="0.25">
      <c r="A70" s="1">
        <v>44713</v>
      </c>
      <c r="B70" s="14">
        <f ca="1"/>
        <v>364194.9808142797</v>
      </c>
      <c r="C70" s="14">
        <f ca="1"/>
        <v>283232.87680975662</v>
      </c>
      <c r="D70" t="str">
        <f t="shared" ref="D70:D84" si="1">$B$2</f>
        <v>3-bedroom houses</v>
      </c>
    </row>
    <row r="71" spans="1:4" x14ac:dyDescent="0.25">
      <c r="A71" s="1">
        <v>44805</v>
      </c>
      <c r="B71" s="14">
        <f ca="1"/>
        <v>348800.62533648906</v>
      </c>
      <c r="C71" s="14">
        <f ca="1"/>
        <v>259544.20413704045</v>
      </c>
      <c r="D71" t="str">
        <f t="shared" si="1"/>
        <v>3-bedroom houses</v>
      </c>
    </row>
    <row r="72" spans="1:4" x14ac:dyDescent="0.25">
      <c r="A72" s="1">
        <v>44896</v>
      </c>
      <c r="B72" s="14">
        <f ca="1"/>
        <v>382244.35236542654</v>
      </c>
      <c r="C72" s="14">
        <f ca="1"/>
        <v>289493.87740744359</v>
      </c>
      <c r="D72" t="str">
        <f t="shared" si="1"/>
        <v>3-bedroom houses</v>
      </c>
    </row>
    <row r="73" spans="1:4" x14ac:dyDescent="0.25">
      <c r="A73" s="1">
        <v>44986</v>
      </c>
      <c r="B73" s="14">
        <f ca="1"/>
        <v>404979.43740065832</v>
      </c>
      <c r="C73" s="14">
        <f ca="1"/>
        <v>275394.852393282</v>
      </c>
      <c r="D73" t="str">
        <f t="shared" si="1"/>
        <v>3-bedroom houses</v>
      </c>
    </row>
    <row r="74" spans="1:4" x14ac:dyDescent="0.25">
      <c r="A74" s="1">
        <v>45078</v>
      </c>
      <c r="B74" s="14">
        <f ca="1"/>
        <v>423816.51499365823</v>
      </c>
      <c r="C74" s="14">
        <f ca="1"/>
        <v>290639.62376198731</v>
      </c>
      <c r="D74" t="str">
        <f t="shared" si="1"/>
        <v>3-bedroom houses</v>
      </c>
    </row>
    <row r="75" spans="1:4" x14ac:dyDescent="0.25">
      <c r="A75" s="1">
        <v>45170</v>
      </c>
      <c r="B75" s="14">
        <f ca="1"/>
        <v>411963.29420220264</v>
      </c>
      <c r="C75" s="14">
        <f ca="1"/>
        <v>286269.97254230629</v>
      </c>
      <c r="D75" t="str">
        <f t="shared" si="1"/>
        <v>3-bedroom houses</v>
      </c>
    </row>
    <row r="76" spans="1:4" x14ac:dyDescent="0.25">
      <c r="A76" s="1">
        <v>45261</v>
      </c>
      <c r="B76" s="14">
        <f ca="1"/>
        <v>455082.93860936904</v>
      </c>
      <c r="C76" s="14">
        <f ca="1"/>
        <v>291251.49825984793</v>
      </c>
      <c r="D76" t="str">
        <f t="shared" si="1"/>
        <v>3-bedroom houses</v>
      </c>
    </row>
    <row r="77" spans="1:4" x14ac:dyDescent="0.25">
      <c r="A77" s="1">
        <v>45352</v>
      </c>
      <c r="B77" s="14">
        <f ca="1"/>
        <v>488837.10825507599</v>
      </c>
      <c r="C77" s="14">
        <f ca="1"/>
        <v>272794.58352263237</v>
      </c>
      <c r="D77" t="str">
        <f t="shared" si="1"/>
        <v>3-bedroom houses</v>
      </c>
    </row>
    <row r="78" spans="1:4" x14ac:dyDescent="0.25">
      <c r="A78" s="1">
        <v>45444</v>
      </c>
      <c r="B78" s="14">
        <f ca="1"/>
        <v>493515.082244777</v>
      </c>
      <c r="C78" s="14">
        <f ca="1"/>
        <v>285719.21685609419</v>
      </c>
      <c r="D78" t="str">
        <f t="shared" si="1"/>
        <v>3-bedroom houses</v>
      </c>
    </row>
    <row r="79" spans="1:4" x14ac:dyDescent="0.25">
      <c r="A79" s="1">
        <v>45536</v>
      </c>
      <c r="B79" s="14">
        <f ca="1"/>
        <v>527054.3152587869</v>
      </c>
      <c r="C79" s="14">
        <f ca="1"/>
        <v>263316.02198314294</v>
      </c>
      <c r="D79" t="str">
        <f t="shared" si="1"/>
        <v>3-bedroom houses</v>
      </c>
    </row>
    <row r="80" spans="1:4" x14ac:dyDescent="0.25">
      <c r="A80" s="1">
        <v>45627</v>
      </c>
      <c r="B80" s="14">
        <f ca="1"/>
        <v>522992.45614994201</v>
      </c>
      <c r="C80" s="14">
        <f ca="1"/>
        <v>265375.3556198125</v>
      </c>
      <c r="D80" t="str">
        <f t="shared" si="1"/>
        <v>3-bedroom houses</v>
      </c>
    </row>
    <row r="81" spans="1:4" x14ac:dyDescent="0.25">
      <c r="A81" s="1">
        <v>45717</v>
      </c>
      <c r="B81" s="14">
        <f ca="1"/>
        <v>510057.99134484975</v>
      </c>
      <c r="C81" s="14">
        <f ca="1"/>
        <v>305402.84895976022</v>
      </c>
      <c r="D81" t="str">
        <f t="shared" si="1"/>
        <v>3-bedroom houses</v>
      </c>
    </row>
    <row r="82" spans="1:4" x14ac:dyDescent="0.25">
      <c r="A82" s="1">
        <v>45809</v>
      </c>
      <c r="B82" s="14">
        <f ca="1"/>
        <v>564040.78571944742</v>
      </c>
      <c r="C82" s="14">
        <f ca="1"/>
        <v>329767.88861683162</v>
      </c>
      <c r="D82" t="str">
        <f t="shared" si="1"/>
        <v>3-bedroom houses</v>
      </c>
    </row>
    <row r="83" spans="1:4" x14ac:dyDescent="0.25">
      <c r="A83" s="1">
        <v>45901</v>
      </c>
      <c r="B83" s="14">
        <f ca="1"/>
        <v>599578.23415202729</v>
      </c>
      <c r="C83" s="14">
        <f ca="1"/>
        <v>375673.85427673475</v>
      </c>
      <c r="D83" t="str">
        <f t="shared" si="1"/>
        <v>3-bedroom houses</v>
      </c>
    </row>
    <row r="84" spans="1:4" x14ac:dyDescent="0.25">
      <c r="A84" s="1">
        <v>45992</v>
      </c>
      <c r="B84" s="14">
        <f ca="1"/>
        <v>609140.29532297188</v>
      </c>
      <c r="C84" s="14">
        <f ca="1"/>
        <v>416643.88371386228</v>
      </c>
      <c r="D84" t="str">
        <f t="shared" si="1"/>
        <v>3-bedroom houses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4C42DE-AEE1-4250-8798-913030C33231}">
          <x14:formula1>
            <xm:f>'Base Case summary'!$B$2:$B$3</xm:f>
          </x14:formula1>
          <xm:sqref>B2</xm:sqref>
        </x14:dataValidation>
        <x14:dataValidation type="list" allowBlank="1" showInputMessage="1" showErrorMessage="1" xr:uid="{4A6B6E62-0204-4EF2-A7CA-D156B776924D}">
          <x14:formula1>
            <xm:f>'Base Case summary'!$C$1:$J$1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0C00-DD42-47C8-A845-1848FBF59AA0}">
  <sheetPr>
    <tabColor theme="5"/>
  </sheetPr>
  <dimension ref="A1:H35"/>
  <sheetViews>
    <sheetView tabSelected="1" topLeftCell="A4" zoomScale="70" zoomScaleNormal="70" workbookViewId="0">
      <selection activeCell="A26" sqref="A26"/>
    </sheetView>
  </sheetViews>
  <sheetFormatPr defaultRowHeight="15" x14ac:dyDescent="0.25"/>
  <cols>
    <col min="1" max="1" width="31.42578125" bestFit="1" customWidth="1"/>
    <col min="2" max="4" width="27.7109375" customWidth="1"/>
    <col min="5" max="5" width="11.140625" customWidth="1"/>
    <col min="6" max="6" width="13.42578125" customWidth="1"/>
  </cols>
  <sheetData>
    <row r="1" spans="1:8" x14ac:dyDescent="0.25">
      <c r="A1" s="9" t="s">
        <v>83</v>
      </c>
    </row>
    <row r="2" spans="1:8" x14ac:dyDescent="0.25">
      <c r="A2" t="s">
        <v>81</v>
      </c>
      <c r="B2" t="s">
        <v>78</v>
      </c>
      <c r="C2" t="s">
        <v>79</v>
      </c>
      <c r="D2" t="s">
        <v>80</v>
      </c>
      <c r="F2" t="s">
        <v>87</v>
      </c>
    </row>
    <row r="3" spans="1:8" x14ac:dyDescent="0.25">
      <c r="A3" t="s">
        <v>2</v>
      </c>
      <c r="B3" s="11">
        <v>1.21</v>
      </c>
      <c r="C3" s="11">
        <v>1.19</v>
      </c>
      <c r="D3" s="11">
        <v>1.1100000000000001</v>
      </c>
      <c r="E3" s="11"/>
      <c r="F3" s="11">
        <f>MAX(B3:D3)-MIN(B3:D3)</f>
        <v>9.9999999999999867E-2</v>
      </c>
      <c r="G3" s="11"/>
    </row>
    <row r="4" spans="1:8" x14ac:dyDescent="0.25">
      <c r="A4" t="s">
        <v>48</v>
      </c>
      <c r="B4" s="11">
        <v>1.59</v>
      </c>
      <c r="C4" s="11">
        <v>1.56</v>
      </c>
      <c r="D4" s="11">
        <v>1.4</v>
      </c>
      <c r="E4" s="11"/>
      <c r="F4" s="11">
        <f t="shared" ref="F4:F11" si="0">MAX(B4:D4)-MIN(B4:D4)</f>
        <v>0.19000000000000017</v>
      </c>
    </row>
    <row r="5" spans="1:8" x14ac:dyDescent="0.25">
      <c r="A5" t="s">
        <v>49</v>
      </c>
      <c r="B5" s="11">
        <v>1</v>
      </c>
      <c r="C5" s="11">
        <v>0.99</v>
      </c>
      <c r="D5" s="11">
        <v>0.93</v>
      </c>
      <c r="E5" s="11"/>
      <c r="F5" s="11">
        <f t="shared" si="0"/>
        <v>6.9999999999999951E-2</v>
      </c>
    </row>
    <row r="6" spans="1:8" x14ac:dyDescent="0.25">
      <c r="A6" t="s">
        <v>50</v>
      </c>
      <c r="B6" s="11">
        <v>1.51</v>
      </c>
      <c r="C6" s="11">
        <v>1.48</v>
      </c>
      <c r="D6" s="11">
        <v>1.34</v>
      </c>
      <c r="E6" s="11"/>
      <c r="F6" s="11">
        <f t="shared" si="0"/>
        <v>0.16999999999999993</v>
      </c>
    </row>
    <row r="7" spans="1:8" x14ac:dyDescent="0.25">
      <c r="A7" t="s">
        <v>51</v>
      </c>
      <c r="B7" s="11">
        <v>0.95</v>
      </c>
      <c r="C7" s="11">
        <v>0.94</v>
      </c>
      <c r="D7" s="11">
        <v>0.89</v>
      </c>
      <c r="E7" s="11"/>
      <c r="F7" s="11">
        <f t="shared" si="0"/>
        <v>5.9999999999999942E-2</v>
      </c>
    </row>
    <row r="8" spans="1:8" x14ac:dyDescent="0.25">
      <c r="A8" t="s">
        <v>52</v>
      </c>
      <c r="B8" s="11">
        <v>1.28</v>
      </c>
      <c r="C8" s="11">
        <v>1.25</v>
      </c>
      <c r="D8" s="11">
        <v>1.1399999999999999</v>
      </c>
      <c r="E8" s="11"/>
      <c r="F8" s="11">
        <f t="shared" si="0"/>
        <v>0.14000000000000012</v>
      </c>
    </row>
    <row r="9" spans="1:8" x14ac:dyDescent="0.25">
      <c r="A9" t="s">
        <v>53</v>
      </c>
      <c r="B9" s="11">
        <v>1</v>
      </c>
      <c r="C9" s="11">
        <v>0.99</v>
      </c>
      <c r="D9" s="11">
        <v>0.92</v>
      </c>
      <c r="E9" s="11"/>
      <c r="F9" s="11">
        <f t="shared" si="0"/>
        <v>7.999999999999996E-2</v>
      </c>
    </row>
    <row r="10" spans="1:8" x14ac:dyDescent="0.25">
      <c r="A10" t="s">
        <v>54</v>
      </c>
      <c r="B10" s="11">
        <v>1.51</v>
      </c>
      <c r="C10" s="11">
        <v>1.46</v>
      </c>
      <c r="D10" s="11">
        <v>1.27</v>
      </c>
      <c r="E10" s="11"/>
      <c r="F10" s="11">
        <f t="shared" si="0"/>
        <v>0.24</v>
      </c>
    </row>
    <row r="11" spans="1:8" x14ac:dyDescent="0.25">
      <c r="A11" t="s">
        <v>88</v>
      </c>
      <c r="B11" s="11">
        <f>GEOMEAN(B3:B10)</f>
        <v>1.2327747927104324</v>
      </c>
      <c r="C11" s="11">
        <f t="shared" ref="C11:D11" si="1">GEOMEAN(C3:C10)</f>
        <v>1.21080525828075</v>
      </c>
      <c r="D11" s="11">
        <f t="shared" si="1"/>
        <v>1.1094702108285235</v>
      </c>
      <c r="E11" s="11"/>
      <c r="F11" s="11">
        <f t="shared" si="0"/>
        <v>0.12330458188190896</v>
      </c>
    </row>
    <row r="12" spans="1:8" x14ac:dyDescent="0.25">
      <c r="C12" s="11"/>
    </row>
    <row r="13" spans="1:8" x14ac:dyDescent="0.25">
      <c r="A13" s="9" t="s">
        <v>86</v>
      </c>
      <c r="C13" s="11"/>
    </row>
    <row r="14" spans="1:8" x14ac:dyDescent="0.25">
      <c r="A14" t="s">
        <v>81</v>
      </c>
      <c r="B14" t="s">
        <v>82</v>
      </c>
      <c r="C14" t="s">
        <v>84</v>
      </c>
      <c r="D14" t="s">
        <v>85</v>
      </c>
      <c r="F14" t="s">
        <v>87</v>
      </c>
    </row>
    <row r="15" spans="1:8" x14ac:dyDescent="0.25">
      <c r="A15" t="s">
        <v>2</v>
      </c>
      <c r="B15" s="11">
        <v>1.19</v>
      </c>
      <c r="C15" s="11">
        <v>1.05</v>
      </c>
      <c r="D15" s="11">
        <v>0.96</v>
      </c>
      <c r="E15" s="11"/>
      <c r="F15" s="11">
        <f>MAX(B15:D15)-MIN(B15:D15)</f>
        <v>0.22999999999999998</v>
      </c>
      <c r="G15" s="11">
        <f>B15-C15</f>
        <v>0.1399999999999999</v>
      </c>
      <c r="H15" s="11">
        <f>F15-G15</f>
        <v>9.000000000000008E-2</v>
      </c>
    </row>
    <row r="16" spans="1:8" x14ac:dyDescent="0.25">
      <c r="A16" t="s">
        <v>48</v>
      </c>
      <c r="B16" s="11">
        <v>1.56</v>
      </c>
      <c r="C16" s="11">
        <v>1.37</v>
      </c>
      <c r="D16" s="11">
        <v>1.25</v>
      </c>
      <c r="E16" s="11"/>
      <c r="F16" s="11">
        <f t="shared" ref="F16:F22" si="2">MAX(B16:D16)-MIN(B16:D16)</f>
        <v>0.31000000000000005</v>
      </c>
      <c r="G16" s="11">
        <f t="shared" ref="G16:G22" si="3">B16-C16</f>
        <v>0.18999999999999995</v>
      </c>
      <c r="H16" s="11">
        <f t="shared" ref="H16:H22" si="4">F16-G16</f>
        <v>0.12000000000000011</v>
      </c>
    </row>
    <row r="17" spans="1:8" x14ac:dyDescent="0.25">
      <c r="A17" t="s">
        <v>49</v>
      </c>
      <c r="B17" s="11">
        <v>0.99</v>
      </c>
      <c r="C17" s="11">
        <v>0.87</v>
      </c>
      <c r="D17" s="11">
        <v>0.79</v>
      </c>
      <c r="E17" s="11"/>
      <c r="F17" s="11">
        <f t="shared" si="2"/>
        <v>0.19999999999999996</v>
      </c>
      <c r="G17" s="11">
        <f t="shared" si="3"/>
        <v>0.12</v>
      </c>
      <c r="H17" s="11">
        <f t="shared" si="4"/>
        <v>7.999999999999996E-2</v>
      </c>
    </row>
    <row r="18" spans="1:8" x14ac:dyDescent="0.25">
      <c r="A18" t="s">
        <v>50</v>
      </c>
      <c r="B18" s="11">
        <v>1.48</v>
      </c>
      <c r="C18" s="11">
        <v>1.3</v>
      </c>
      <c r="D18" s="11">
        <v>1.19</v>
      </c>
      <c r="E18" s="11"/>
      <c r="F18" s="11">
        <f t="shared" si="2"/>
        <v>0.29000000000000004</v>
      </c>
      <c r="G18" s="11">
        <f t="shared" si="3"/>
        <v>0.17999999999999994</v>
      </c>
      <c r="H18" s="11">
        <f t="shared" si="4"/>
        <v>0.1100000000000001</v>
      </c>
    </row>
    <row r="19" spans="1:8" x14ac:dyDescent="0.25">
      <c r="A19" t="s">
        <v>51</v>
      </c>
      <c r="B19" s="11">
        <v>0.94</v>
      </c>
      <c r="C19" s="11">
        <v>0.83</v>
      </c>
      <c r="D19" s="11">
        <v>0.75</v>
      </c>
      <c r="E19" s="11"/>
      <c r="F19" s="11">
        <f t="shared" si="2"/>
        <v>0.18999999999999995</v>
      </c>
      <c r="G19" s="11">
        <f t="shared" si="3"/>
        <v>0.10999999999999999</v>
      </c>
      <c r="H19" s="11">
        <f t="shared" si="4"/>
        <v>7.999999999999996E-2</v>
      </c>
    </row>
    <row r="20" spans="1:8" x14ac:dyDescent="0.25">
      <c r="A20" t="s">
        <v>52</v>
      </c>
      <c r="B20" s="11">
        <v>1.25</v>
      </c>
      <c r="C20" s="11">
        <v>1.1000000000000001</v>
      </c>
      <c r="D20" s="11">
        <v>1</v>
      </c>
      <c r="E20" s="11"/>
      <c r="F20" s="11">
        <f t="shared" si="2"/>
        <v>0.25</v>
      </c>
      <c r="G20" s="11">
        <f t="shared" si="3"/>
        <v>0.14999999999999991</v>
      </c>
      <c r="H20" s="11">
        <f t="shared" si="4"/>
        <v>0.10000000000000009</v>
      </c>
    </row>
    <row r="21" spans="1:8" x14ac:dyDescent="0.25">
      <c r="A21" t="s">
        <v>53</v>
      </c>
      <c r="B21" s="11">
        <v>0.99</v>
      </c>
      <c r="C21" s="11">
        <v>0.86</v>
      </c>
      <c r="D21" s="11">
        <v>0.78</v>
      </c>
      <c r="E21" s="11"/>
      <c r="F21" s="11">
        <f t="shared" si="2"/>
        <v>0.20999999999999996</v>
      </c>
      <c r="G21" s="11">
        <f t="shared" si="3"/>
        <v>0.13</v>
      </c>
      <c r="H21" s="11">
        <f t="shared" si="4"/>
        <v>7.999999999999996E-2</v>
      </c>
    </row>
    <row r="22" spans="1:8" x14ac:dyDescent="0.25">
      <c r="A22" t="s">
        <v>54</v>
      </c>
      <c r="B22" s="11">
        <v>1.46</v>
      </c>
      <c r="C22" s="11">
        <v>1.28</v>
      </c>
      <c r="D22" s="11">
        <v>1.17</v>
      </c>
      <c r="E22" s="11"/>
      <c r="F22" s="11">
        <f t="shared" si="2"/>
        <v>0.29000000000000004</v>
      </c>
      <c r="G22" s="11">
        <f t="shared" si="3"/>
        <v>0.17999999999999994</v>
      </c>
      <c r="H22" s="11">
        <f t="shared" si="4"/>
        <v>0.1100000000000001</v>
      </c>
    </row>
    <row r="23" spans="1:8" x14ac:dyDescent="0.25">
      <c r="A23" t="s">
        <v>88</v>
      </c>
      <c r="B23" s="11">
        <f>GEOMEAN(B15:B22)</f>
        <v>1.21080525828075</v>
      </c>
      <c r="C23" s="11">
        <f t="shared" ref="C23" si="5">GEOMEAN(C15:C22)</f>
        <v>1.0633933955419796</v>
      </c>
      <c r="D23" s="11">
        <f t="shared" ref="D23" si="6">GEOMEAN(D15:D22)</f>
        <v>0.96819342343525183</v>
      </c>
      <c r="E23" s="11"/>
      <c r="F23" s="11">
        <f t="shared" ref="F23" si="7">MAX(B23:D23)-MIN(B23:D23)</f>
        <v>0.2426118348454982</v>
      </c>
      <c r="G23" s="11">
        <f t="shared" ref="G23" si="8">B23-C23</f>
        <v>0.14741186273877038</v>
      </c>
      <c r="H23" s="11">
        <f t="shared" ref="H23" si="9">F23-G23</f>
        <v>9.5199972106727815E-2</v>
      </c>
    </row>
    <row r="25" spans="1:8" x14ac:dyDescent="0.25">
      <c r="A25" s="9" t="s">
        <v>91</v>
      </c>
    </row>
    <row r="26" spans="1:8" x14ac:dyDescent="0.25">
      <c r="A26" t="s">
        <v>81</v>
      </c>
      <c r="B26" t="s">
        <v>82</v>
      </c>
      <c r="C26" t="s">
        <v>89</v>
      </c>
      <c r="D26" t="s">
        <v>90</v>
      </c>
    </row>
    <row r="27" spans="1:8" x14ac:dyDescent="0.25">
      <c r="A27" t="s">
        <v>2</v>
      </c>
      <c r="B27" s="11">
        <v>1.19</v>
      </c>
      <c r="C27" s="11">
        <v>1.39</v>
      </c>
      <c r="D27" s="11">
        <v>1.57</v>
      </c>
      <c r="E27" s="11"/>
      <c r="F27" s="11">
        <f>MAX(B27:D27)-MIN(B27:D27)</f>
        <v>0.38000000000000012</v>
      </c>
      <c r="G27" s="11">
        <f>C27-B27</f>
        <v>0.19999999999999996</v>
      </c>
    </row>
    <row r="28" spans="1:8" x14ac:dyDescent="0.25">
      <c r="A28" t="s">
        <v>48</v>
      </c>
      <c r="B28" s="11">
        <v>1.56</v>
      </c>
      <c r="C28" s="11">
        <v>1.82</v>
      </c>
      <c r="D28" s="11">
        <v>2.06</v>
      </c>
      <c r="E28" s="11"/>
      <c r="F28" s="11">
        <f t="shared" ref="F28:F34" si="10">MAX(B28:D28)-MIN(B28:D28)</f>
        <v>0.5</v>
      </c>
      <c r="G28" s="11">
        <f t="shared" ref="G28:G34" si="11">C28-B28</f>
        <v>0.26</v>
      </c>
    </row>
    <row r="29" spans="1:8" x14ac:dyDescent="0.25">
      <c r="A29" t="s">
        <v>49</v>
      </c>
      <c r="B29" s="11">
        <v>0.99</v>
      </c>
      <c r="C29" s="11">
        <v>1.1599999999999999</v>
      </c>
      <c r="D29" s="11">
        <v>1.3</v>
      </c>
      <c r="E29" s="11"/>
      <c r="F29" s="11">
        <f t="shared" si="10"/>
        <v>0.31000000000000005</v>
      </c>
      <c r="G29" s="11">
        <f t="shared" si="11"/>
        <v>0.16999999999999993</v>
      </c>
    </row>
    <row r="30" spans="1:8" x14ac:dyDescent="0.25">
      <c r="A30" t="s">
        <v>50</v>
      </c>
      <c r="B30" s="11">
        <v>1.48</v>
      </c>
      <c r="C30" s="11">
        <v>1.73</v>
      </c>
      <c r="D30" s="11">
        <v>1.95</v>
      </c>
      <c r="E30" s="11"/>
      <c r="F30" s="11">
        <f t="shared" si="10"/>
        <v>0.47</v>
      </c>
      <c r="G30" s="11">
        <f t="shared" si="11"/>
        <v>0.25</v>
      </c>
    </row>
    <row r="31" spans="1:8" x14ac:dyDescent="0.25">
      <c r="A31" t="s">
        <v>51</v>
      </c>
      <c r="B31" s="11">
        <v>0.94</v>
      </c>
      <c r="C31" s="11">
        <v>1.1000000000000001</v>
      </c>
      <c r="D31" s="11">
        <v>1.24</v>
      </c>
      <c r="E31" s="11"/>
      <c r="F31" s="11">
        <f t="shared" si="10"/>
        <v>0.30000000000000004</v>
      </c>
      <c r="G31" s="11">
        <f t="shared" si="11"/>
        <v>0.16000000000000014</v>
      </c>
    </row>
    <row r="32" spans="1:8" x14ac:dyDescent="0.25">
      <c r="A32" t="s">
        <v>52</v>
      </c>
      <c r="B32" s="11">
        <v>1.25</v>
      </c>
      <c r="C32" s="11">
        <v>1.46</v>
      </c>
      <c r="D32" s="11">
        <v>1.65</v>
      </c>
      <c r="E32" s="11"/>
      <c r="F32" s="11">
        <f t="shared" si="10"/>
        <v>0.39999999999999991</v>
      </c>
      <c r="G32" s="11">
        <f t="shared" si="11"/>
        <v>0.20999999999999996</v>
      </c>
    </row>
    <row r="33" spans="1:7" x14ac:dyDescent="0.25">
      <c r="A33" t="s">
        <v>53</v>
      </c>
      <c r="B33" s="11">
        <v>0.99</v>
      </c>
      <c r="C33" s="11">
        <v>1.1599999999999999</v>
      </c>
      <c r="D33" s="11">
        <v>1.3</v>
      </c>
      <c r="E33" s="11"/>
      <c r="F33" s="11">
        <f t="shared" si="10"/>
        <v>0.31000000000000005</v>
      </c>
      <c r="G33" s="11">
        <f t="shared" si="11"/>
        <v>0.16999999999999993</v>
      </c>
    </row>
    <row r="34" spans="1:7" x14ac:dyDescent="0.25">
      <c r="A34" t="s">
        <v>54</v>
      </c>
      <c r="B34" s="11">
        <v>1.46</v>
      </c>
      <c r="C34" s="11">
        <v>1.71</v>
      </c>
      <c r="D34" s="11">
        <v>1.93</v>
      </c>
      <c r="E34" s="11"/>
      <c r="F34" s="11">
        <f t="shared" si="10"/>
        <v>0.47</v>
      </c>
      <c r="G34" s="11">
        <f t="shared" si="11"/>
        <v>0.25</v>
      </c>
    </row>
    <row r="35" spans="1:7" x14ac:dyDescent="0.25">
      <c r="A35" t="s">
        <v>88</v>
      </c>
      <c r="B35" s="11">
        <f>GEOMEAN(B27:B34)</f>
        <v>1.21080525828075</v>
      </c>
      <c r="C35" s="11">
        <f t="shared" ref="C35" si="12">GEOMEAN(C27:C34)</f>
        <v>1.4161157080067328</v>
      </c>
      <c r="D35" s="11">
        <f t="shared" ref="D35" si="13">GEOMEAN(D27:D34)</f>
        <v>1.5959485661173696</v>
      </c>
      <c r="E35" s="11"/>
      <c r="F35" s="11">
        <f t="shared" ref="F35" si="14">MAX(B35:D35)-MIN(B35:D35)</f>
        <v>0.38514330783661954</v>
      </c>
      <c r="G35" s="11">
        <f t="shared" ref="G35" si="15">C35-B35</f>
        <v>0.20531044972598278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8BFB-0F7E-4B96-A16D-B5040700174F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105571.54796410544</v>
      </c>
      <c r="C2" s="14">
        <v>66357.5</v>
      </c>
      <c r="D2" t="s">
        <v>67</v>
      </c>
    </row>
    <row r="3" spans="1:4" x14ac:dyDescent="0.25">
      <c r="A3" s="1">
        <v>38869</v>
      </c>
      <c r="B3" s="14">
        <v>108626.97358380345</v>
      </c>
      <c r="C3" s="14">
        <v>76268.305244902265</v>
      </c>
      <c r="D3" t="s">
        <v>67</v>
      </c>
    </row>
    <row r="4" spans="1:4" x14ac:dyDescent="0.25">
      <c r="A4" s="1">
        <v>38961</v>
      </c>
      <c r="B4" s="14">
        <v>116565.60317112175</v>
      </c>
      <c r="C4" s="14">
        <v>64617.656706077629</v>
      </c>
      <c r="D4" t="s">
        <v>67</v>
      </c>
    </row>
    <row r="5" spans="1:4" x14ac:dyDescent="0.25">
      <c r="A5" s="1">
        <v>39052</v>
      </c>
      <c r="B5" s="14">
        <v>131557.30473813295</v>
      </c>
      <c r="C5" s="14">
        <v>81304.143779477337</v>
      </c>
      <c r="D5" t="s">
        <v>67</v>
      </c>
    </row>
    <row r="6" spans="1:4" x14ac:dyDescent="0.25">
      <c r="A6" s="1">
        <v>39142</v>
      </c>
      <c r="B6" s="14">
        <v>140867.81100085506</v>
      </c>
      <c r="C6" s="14">
        <v>62739.902543707518</v>
      </c>
      <c r="D6" t="s">
        <v>67</v>
      </c>
    </row>
    <row r="7" spans="1:4" x14ac:dyDescent="0.25">
      <c r="A7" s="1">
        <v>39234</v>
      </c>
      <c r="B7" s="14">
        <v>153682.76129270979</v>
      </c>
      <c r="C7" s="14">
        <v>81379.04479035968</v>
      </c>
      <c r="D7" t="s">
        <v>67</v>
      </c>
    </row>
    <row r="8" spans="1:4" x14ac:dyDescent="0.25">
      <c r="A8" s="1">
        <v>39326</v>
      </c>
      <c r="B8" s="14">
        <v>162463.23480942001</v>
      </c>
      <c r="C8" s="14">
        <v>80439.460518468055</v>
      </c>
      <c r="D8" t="s">
        <v>67</v>
      </c>
    </row>
    <row r="9" spans="1:4" x14ac:dyDescent="0.25">
      <c r="A9" s="1">
        <v>39417</v>
      </c>
      <c r="B9" s="14">
        <v>162015.27255974946</v>
      </c>
      <c r="C9" s="14">
        <v>94135.936597871536</v>
      </c>
      <c r="D9" t="s">
        <v>67</v>
      </c>
    </row>
    <row r="10" spans="1:4" x14ac:dyDescent="0.25">
      <c r="A10" s="1">
        <v>39508</v>
      </c>
      <c r="B10" s="14">
        <v>148497.89656994105</v>
      </c>
      <c r="C10" s="14">
        <v>74547.573157978593</v>
      </c>
      <c r="D10" t="s">
        <v>67</v>
      </c>
    </row>
    <row r="11" spans="1:4" x14ac:dyDescent="0.25">
      <c r="A11" s="1">
        <v>39600</v>
      </c>
      <c r="B11" s="14">
        <v>150458.15712587154</v>
      </c>
      <c r="C11" s="14">
        <v>72509.598785533221</v>
      </c>
      <c r="D11" t="s">
        <v>67</v>
      </c>
    </row>
    <row r="12" spans="1:4" x14ac:dyDescent="0.25">
      <c r="A12" s="1">
        <v>39692</v>
      </c>
      <c r="B12" s="14">
        <v>133252.03213121387</v>
      </c>
      <c r="C12" s="14">
        <v>61681.694880527968</v>
      </c>
      <c r="D12" t="s">
        <v>67</v>
      </c>
    </row>
    <row r="13" spans="1:4" x14ac:dyDescent="0.25">
      <c r="A13" s="1">
        <v>39783</v>
      </c>
      <c r="B13" s="14">
        <v>107280.6406874958</v>
      </c>
      <c r="C13" s="14">
        <v>53848.72941093432</v>
      </c>
      <c r="D13" t="s">
        <v>67</v>
      </c>
    </row>
    <row r="14" spans="1:4" x14ac:dyDescent="0.25">
      <c r="A14" s="1">
        <v>39873</v>
      </c>
      <c r="B14" s="14">
        <v>99813.369126159974</v>
      </c>
      <c r="C14" s="14">
        <v>60194.318798641965</v>
      </c>
      <c r="D14" t="s">
        <v>67</v>
      </c>
    </row>
    <row r="15" spans="1:4" x14ac:dyDescent="0.25">
      <c r="A15" s="1">
        <v>39965</v>
      </c>
      <c r="B15" s="14">
        <v>120721.98974384986</v>
      </c>
      <c r="C15" s="14">
        <v>74581.200412378763</v>
      </c>
      <c r="D15" t="s">
        <v>67</v>
      </c>
    </row>
    <row r="16" spans="1:4" x14ac:dyDescent="0.25">
      <c r="A16" s="1">
        <v>40057</v>
      </c>
      <c r="B16" s="14">
        <v>146313.14884126736</v>
      </c>
      <c r="C16" s="14">
        <v>102636.96945182234</v>
      </c>
      <c r="D16" t="s">
        <v>67</v>
      </c>
    </row>
    <row r="17" spans="1:4" x14ac:dyDescent="0.25">
      <c r="A17" s="1">
        <v>40148</v>
      </c>
      <c r="B17" s="14">
        <v>154221.65848677373</v>
      </c>
      <c r="C17" s="14">
        <v>124769.98949217272</v>
      </c>
      <c r="D17" t="s">
        <v>67</v>
      </c>
    </row>
    <row r="18" spans="1:4" x14ac:dyDescent="0.25">
      <c r="A18" s="1">
        <v>40238</v>
      </c>
      <c r="B18" s="14">
        <v>161596.19214177714</v>
      </c>
      <c r="C18" s="14">
        <v>122244.21156722499</v>
      </c>
      <c r="D18" t="s">
        <v>67</v>
      </c>
    </row>
    <row r="19" spans="1:4" x14ac:dyDescent="0.25">
      <c r="A19" s="1">
        <v>40330</v>
      </c>
      <c r="B19" s="14">
        <v>144076.08620979506</v>
      </c>
      <c r="C19" s="14">
        <v>150965.5274051064</v>
      </c>
      <c r="D19" t="s">
        <v>67</v>
      </c>
    </row>
    <row r="20" spans="1:4" x14ac:dyDescent="0.25">
      <c r="A20" s="1">
        <v>40422</v>
      </c>
      <c r="B20" s="14">
        <v>164812.57276495564</v>
      </c>
      <c r="C20" s="14">
        <v>149235.5086483144</v>
      </c>
      <c r="D20" t="s">
        <v>67</v>
      </c>
    </row>
    <row r="21" spans="1:4" x14ac:dyDescent="0.25">
      <c r="A21" s="1">
        <v>40513</v>
      </c>
      <c r="B21" s="14">
        <v>181213.67783837093</v>
      </c>
      <c r="C21" s="14">
        <v>159260.47855937656</v>
      </c>
      <c r="D21" t="s">
        <v>67</v>
      </c>
    </row>
    <row r="22" spans="1:4" x14ac:dyDescent="0.25">
      <c r="A22" s="1">
        <v>40603</v>
      </c>
      <c r="B22" s="14">
        <v>192060.22435006316</v>
      </c>
      <c r="C22" s="14">
        <v>260076.63901628531</v>
      </c>
      <c r="D22" t="s">
        <v>67</v>
      </c>
    </row>
    <row r="23" spans="1:4" x14ac:dyDescent="0.25">
      <c r="A23" s="1">
        <v>40695</v>
      </c>
      <c r="B23" s="14">
        <v>192442.19873039442</v>
      </c>
      <c r="C23" s="14">
        <v>178883.89948031667</v>
      </c>
      <c r="D23" t="s">
        <v>67</v>
      </c>
    </row>
    <row r="24" spans="1:4" x14ac:dyDescent="0.25">
      <c r="A24" s="1">
        <v>40787</v>
      </c>
      <c r="B24" s="14">
        <v>164342.41665741187</v>
      </c>
      <c r="C24" s="14">
        <v>155618.89487158239</v>
      </c>
      <c r="D24" t="s">
        <v>67</v>
      </c>
    </row>
    <row r="25" spans="1:4" x14ac:dyDescent="0.25">
      <c r="A25" s="1">
        <v>40878</v>
      </c>
      <c r="B25" s="14">
        <v>176441.75035251948</v>
      </c>
      <c r="C25" s="14">
        <v>141244.7641247026</v>
      </c>
      <c r="D25" t="s">
        <v>67</v>
      </c>
    </row>
    <row r="26" spans="1:4" x14ac:dyDescent="0.25">
      <c r="A26" s="1">
        <v>40969</v>
      </c>
      <c r="B26" s="14">
        <v>198119.2149123046</v>
      </c>
      <c r="C26" s="14">
        <v>170030.09368908952</v>
      </c>
      <c r="D26" t="s">
        <v>67</v>
      </c>
    </row>
    <row r="27" spans="1:4" x14ac:dyDescent="0.25">
      <c r="A27" s="1">
        <v>41061</v>
      </c>
      <c r="B27" s="14">
        <v>189584.08290775141</v>
      </c>
      <c r="C27" s="14">
        <v>184067.51085646852</v>
      </c>
      <c r="D27" t="s">
        <v>67</v>
      </c>
    </row>
    <row r="28" spans="1:4" x14ac:dyDescent="0.25">
      <c r="A28" s="1">
        <v>41153</v>
      </c>
      <c r="B28" s="14">
        <v>205463.14297720327</v>
      </c>
      <c r="C28" s="14">
        <v>154239.326084356</v>
      </c>
      <c r="D28" t="s">
        <v>67</v>
      </c>
    </row>
    <row r="29" spans="1:4" x14ac:dyDescent="0.25">
      <c r="A29" s="1">
        <v>41244</v>
      </c>
      <c r="B29" s="14">
        <v>215246.16893568405</v>
      </c>
      <c r="C29" s="14">
        <v>190981.94776575745</v>
      </c>
      <c r="D29" t="s">
        <v>67</v>
      </c>
    </row>
    <row r="30" spans="1:4" x14ac:dyDescent="0.25">
      <c r="A30" s="1">
        <v>41334</v>
      </c>
      <c r="B30" s="14">
        <v>234488.80776628701</v>
      </c>
      <c r="C30" s="14">
        <v>182782.80685326469</v>
      </c>
      <c r="D30" t="s">
        <v>67</v>
      </c>
    </row>
    <row r="31" spans="1:4" x14ac:dyDescent="0.25">
      <c r="A31" s="1">
        <v>41426</v>
      </c>
      <c r="B31" s="14">
        <v>234562.45202171878</v>
      </c>
      <c r="C31" s="14">
        <v>206894.42215309935</v>
      </c>
      <c r="D31" t="s">
        <v>67</v>
      </c>
    </row>
    <row r="32" spans="1:4" x14ac:dyDescent="0.25">
      <c r="A32" s="1">
        <v>41518</v>
      </c>
      <c r="B32" s="14">
        <v>257262.56913853489</v>
      </c>
      <c r="C32" s="14">
        <v>224181.17303753467</v>
      </c>
      <c r="D32" t="s">
        <v>67</v>
      </c>
    </row>
    <row r="33" spans="1:4" x14ac:dyDescent="0.25">
      <c r="A33" s="1">
        <v>41609</v>
      </c>
      <c r="B33" s="14">
        <v>275464.09359469946</v>
      </c>
      <c r="C33" s="14">
        <v>245416.83385026563</v>
      </c>
      <c r="D33" t="s">
        <v>67</v>
      </c>
    </row>
    <row r="34" spans="1:4" x14ac:dyDescent="0.25">
      <c r="A34" s="1">
        <v>41699</v>
      </c>
      <c r="B34" s="14">
        <v>281233.53508582915</v>
      </c>
      <c r="C34" s="14">
        <v>295927.81049998535</v>
      </c>
      <c r="D34" t="s">
        <v>67</v>
      </c>
    </row>
    <row r="35" spans="1:4" x14ac:dyDescent="0.25">
      <c r="A35" s="1">
        <v>41791</v>
      </c>
      <c r="B35" s="14">
        <v>292110.29207119357</v>
      </c>
      <c r="C35" s="14">
        <v>283787.49686861649</v>
      </c>
      <c r="D35" t="s">
        <v>67</v>
      </c>
    </row>
    <row r="36" spans="1:4" x14ac:dyDescent="0.25">
      <c r="A36" s="1">
        <v>41883</v>
      </c>
      <c r="B36" s="14">
        <v>286802.809367212</v>
      </c>
      <c r="C36" s="14">
        <v>305911.11356662924</v>
      </c>
      <c r="D36" t="s">
        <v>67</v>
      </c>
    </row>
    <row r="37" spans="1:4" x14ac:dyDescent="0.25">
      <c r="A37" s="1">
        <v>41974</v>
      </c>
      <c r="B37" s="14">
        <v>292580.73794218065</v>
      </c>
      <c r="C37" s="14">
        <v>302593.79229670682</v>
      </c>
      <c r="D37" t="s">
        <v>67</v>
      </c>
    </row>
    <row r="38" spans="1:4" x14ac:dyDescent="0.25">
      <c r="A38" s="1">
        <v>42064</v>
      </c>
      <c r="B38" s="14">
        <v>307717.00433335803</v>
      </c>
      <c r="C38" s="14">
        <v>316904.16960915632</v>
      </c>
      <c r="D38" t="s">
        <v>67</v>
      </c>
    </row>
    <row r="39" spans="1:4" x14ac:dyDescent="0.25">
      <c r="A39" s="1">
        <v>42156</v>
      </c>
      <c r="B39" s="14">
        <v>303236.70617591491</v>
      </c>
      <c r="C39" s="14">
        <v>341031.5244628822</v>
      </c>
      <c r="D39" t="s">
        <v>67</v>
      </c>
    </row>
    <row r="40" spans="1:4" x14ac:dyDescent="0.25">
      <c r="A40" s="1">
        <v>42248</v>
      </c>
      <c r="B40" s="14">
        <v>279223.05356684851</v>
      </c>
      <c r="C40" s="14">
        <v>345608.71062035859</v>
      </c>
      <c r="D40" t="s">
        <v>67</v>
      </c>
    </row>
    <row r="41" spans="1:4" x14ac:dyDescent="0.25">
      <c r="A41" s="1">
        <v>42339</v>
      </c>
      <c r="B41" s="14">
        <v>295804.13020161306</v>
      </c>
      <c r="C41" s="14">
        <v>345318.61158357048</v>
      </c>
      <c r="D41" t="s">
        <v>67</v>
      </c>
    </row>
    <row r="42" spans="1:4" x14ac:dyDescent="0.25">
      <c r="A42" s="1">
        <v>42430</v>
      </c>
      <c r="B42" s="14">
        <v>293668.51316741237</v>
      </c>
      <c r="C42" s="14">
        <v>335250.55554560956</v>
      </c>
      <c r="D42" t="s">
        <v>67</v>
      </c>
    </row>
    <row r="43" spans="1:4" x14ac:dyDescent="0.25">
      <c r="A43" s="1">
        <v>42522</v>
      </c>
      <c r="B43" s="14">
        <v>300149.11389577168</v>
      </c>
      <c r="C43" s="14">
        <v>359442.4656059902</v>
      </c>
      <c r="D43" t="s">
        <v>67</v>
      </c>
    </row>
    <row r="44" spans="1:4" x14ac:dyDescent="0.25">
      <c r="A44" s="1">
        <v>42614</v>
      </c>
      <c r="B44" s="14">
        <v>316548.15725784609</v>
      </c>
      <c r="C44" s="14">
        <v>364104.57246312359</v>
      </c>
      <c r="D44" t="s">
        <v>67</v>
      </c>
    </row>
    <row r="45" spans="1:4" x14ac:dyDescent="0.25">
      <c r="A45" s="1">
        <v>42705</v>
      </c>
      <c r="B45" s="14">
        <v>326844.31505581696</v>
      </c>
      <c r="C45" s="14">
        <v>383458.25774548872</v>
      </c>
      <c r="D45" t="s">
        <v>67</v>
      </c>
    </row>
    <row r="46" spans="1:4" x14ac:dyDescent="0.25">
      <c r="A46" s="1">
        <v>42795</v>
      </c>
      <c r="B46" s="14">
        <v>346520.75147954084</v>
      </c>
      <c r="C46" s="14">
        <v>373472.29048566252</v>
      </c>
      <c r="D46" t="s">
        <v>67</v>
      </c>
    </row>
    <row r="47" spans="1:4" x14ac:dyDescent="0.25">
      <c r="A47" s="1">
        <v>42887</v>
      </c>
      <c r="B47" s="14">
        <v>354811.38071757759</v>
      </c>
      <c r="C47" s="14">
        <v>422170.22024090448</v>
      </c>
      <c r="D47" t="s">
        <v>67</v>
      </c>
    </row>
    <row r="48" spans="1:4" x14ac:dyDescent="0.25">
      <c r="A48" s="1">
        <v>42979</v>
      </c>
      <c r="B48" s="14">
        <v>368771.03112846392</v>
      </c>
      <c r="C48" s="14">
        <v>373953.94524211378</v>
      </c>
      <c r="D48" t="s">
        <v>67</v>
      </c>
    </row>
    <row r="49" spans="1:4" x14ac:dyDescent="0.25">
      <c r="A49" s="1">
        <v>43070</v>
      </c>
      <c r="B49" s="14">
        <v>391957.92961016158</v>
      </c>
      <c r="C49" s="14">
        <v>390560.01895413536</v>
      </c>
      <c r="D49" t="s">
        <v>67</v>
      </c>
    </row>
    <row r="50" spans="1:4" x14ac:dyDescent="0.25">
      <c r="A50" s="1">
        <v>43160</v>
      </c>
      <c r="B50" s="14">
        <v>384230.54146669316</v>
      </c>
      <c r="C50" s="14">
        <v>377749.52217491431</v>
      </c>
      <c r="D50" t="s">
        <v>67</v>
      </c>
    </row>
    <row r="51" spans="1:4" x14ac:dyDescent="0.25">
      <c r="A51" s="1">
        <v>43252</v>
      </c>
      <c r="B51" s="14">
        <v>399870.72075520596</v>
      </c>
      <c r="C51" s="14">
        <v>382598.06812263251</v>
      </c>
      <c r="D51" t="s">
        <v>67</v>
      </c>
    </row>
    <row r="52" spans="1:4" x14ac:dyDescent="0.25">
      <c r="A52" s="1">
        <v>43344</v>
      </c>
      <c r="B52" s="14">
        <v>414245.33537387196</v>
      </c>
      <c r="C52" s="14">
        <v>372809.15858216124</v>
      </c>
      <c r="D52" t="s">
        <v>67</v>
      </c>
    </row>
    <row r="53" spans="1:4" x14ac:dyDescent="0.25">
      <c r="A53" s="1">
        <v>43435</v>
      </c>
      <c r="B53" s="14">
        <v>363530.95987562032</v>
      </c>
      <c r="C53" s="14">
        <v>377717.75280262728</v>
      </c>
      <c r="D53" t="s">
        <v>67</v>
      </c>
    </row>
    <row r="54" spans="1:4" x14ac:dyDescent="0.25">
      <c r="A54" s="1">
        <v>43525</v>
      </c>
      <c r="B54" s="14">
        <v>407974.48152397719</v>
      </c>
      <c r="C54" s="14">
        <v>348441.74894786405</v>
      </c>
      <c r="D54" t="s">
        <v>67</v>
      </c>
    </row>
    <row r="55" spans="1:4" x14ac:dyDescent="0.25">
      <c r="A55" s="1">
        <v>43617</v>
      </c>
      <c r="B55" s="14">
        <v>428807.73708284769</v>
      </c>
      <c r="C55" s="14">
        <v>353481.16465566691</v>
      </c>
      <c r="D55" t="s">
        <v>67</v>
      </c>
    </row>
    <row r="56" spans="1:4" x14ac:dyDescent="0.25">
      <c r="A56" s="1">
        <v>43709</v>
      </c>
      <c r="B56" s="14">
        <v>433605.705416632</v>
      </c>
      <c r="C56" s="14">
        <v>373242.46611472731</v>
      </c>
      <c r="D56" t="s">
        <v>67</v>
      </c>
    </row>
    <row r="57" spans="1:4" x14ac:dyDescent="0.25">
      <c r="A57" s="1">
        <v>43800</v>
      </c>
      <c r="B57" s="14">
        <v>460325.28473341675</v>
      </c>
      <c r="C57" s="14">
        <v>393022.76267842087</v>
      </c>
      <c r="D57" t="s">
        <v>67</v>
      </c>
    </row>
    <row r="58" spans="1:4" x14ac:dyDescent="0.25">
      <c r="A58" s="1">
        <v>43891</v>
      </c>
      <c r="B58" s="14">
        <v>355960.45070917887</v>
      </c>
      <c r="C58" s="14">
        <v>383485.83018665505</v>
      </c>
      <c r="D58" t="s">
        <v>67</v>
      </c>
    </row>
    <row r="59" spans="1:4" x14ac:dyDescent="0.25">
      <c r="A59" s="1">
        <v>43983</v>
      </c>
      <c r="B59" s="14">
        <v>424196.76859015157</v>
      </c>
      <c r="C59" s="14">
        <v>388715.13732849422</v>
      </c>
      <c r="D59" t="s">
        <v>67</v>
      </c>
    </row>
    <row r="60" spans="1:4" x14ac:dyDescent="0.25">
      <c r="A60" s="1">
        <v>44075</v>
      </c>
      <c r="B60" s="14">
        <v>447644.13225837296</v>
      </c>
      <c r="C60" s="14">
        <v>384241.84789248684</v>
      </c>
      <c r="D60" t="s">
        <v>67</v>
      </c>
    </row>
    <row r="61" spans="1:4" x14ac:dyDescent="0.25">
      <c r="A61" s="1">
        <v>44166</v>
      </c>
      <c r="B61" s="14">
        <v>514017.82802666927</v>
      </c>
      <c r="C61" s="14">
        <v>404242.77203412593</v>
      </c>
      <c r="D61" t="s">
        <v>67</v>
      </c>
    </row>
    <row r="62" spans="1:4" x14ac:dyDescent="0.25">
      <c r="A62" s="1">
        <v>44256</v>
      </c>
      <c r="B62" s="14">
        <v>541020.09664482228</v>
      </c>
      <c r="C62" s="14">
        <v>404675.69913980749</v>
      </c>
      <c r="D62" t="s">
        <v>67</v>
      </c>
    </row>
    <row r="63" spans="1:4" x14ac:dyDescent="0.25">
      <c r="A63" s="1">
        <v>44348</v>
      </c>
      <c r="B63" s="14">
        <v>583246.54937059688</v>
      </c>
      <c r="C63" s="14">
        <v>434454.67123657838</v>
      </c>
      <c r="D63" t="s">
        <v>67</v>
      </c>
    </row>
    <row r="64" spans="1:4" x14ac:dyDescent="0.25">
      <c r="A64" s="1">
        <v>44440</v>
      </c>
      <c r="B64" s="14">
        <v>585266.04334040207</v>
      </c>
      <c r="C64" s="14">
        <v>454419.53877742239</v>
      </c>
      <c r="D64" t="s">
        <v>67</v>
      </c>
    </row>
    <row r="65" spans="1:4" x14ac:dyDescent="0.25">
      <c r="A65" s="1">
        <v>44531</v>
      </c>
      <c r="B65" s="14">
        <v>618487.47089366405</v>
      </c>
      <c r="C65" s="14">
        <v>459727.29993813398</v>
      </c>
      <c r="D65" t="s">
        <v>67</v>
      </c>
    </row>
    <row r="66" spans="1:4" x14ac:dyDescent="0.25">
      <c r="A66" s="1">
        <v>44621</v>
      </c>
      <c r="B66" s="14">
        <v>600305.32396952307</v>
      </c>
      <c r="C66" s="14">
        <v>436715.73327323166</v>
      </c>
      <c r="D66" t="s">
        <v>67</v>
      </c>
    </row>
    <row r="67" spans="1:4" x14ac:dyDescent="0.25">
      <c r="A67" s="1">
        <v>44713</v>
      </c>
      <c r="B67" s="14">
        <v>510161.23327466717</v>
      </c>
      <c r="C67" s="14">
        <v>435301.86195521953</v>
      </c>
      <c r="D67" t="s">
        <v>67</v>
      </c>
    </row>
    <row r="68" spans="1:4" x14ac:dyDescent="0.25">
      <c r="A68" s="1">
        <v>44805</v>
      </c>
      <c r="B68" s="14">
        <v>489658.45087010879</v>
      </c>
      <c r="C68" s="14">
        <v>407419.91469128942</v>
      </c>
      <c r="D68" t="s">
        <v>67</v>
      </c>
    </row>
    <row r="69" spans="1:4" x14ac:dyDescent="0.25">
      <c r="A69" s="1">
        <v>44896</v>
      </c>
      <c r="B69" s="14">
        <v>537807.7438072142</v>
      </c>
      <c r="C69" s="14">
        <v>417534.03868178197</v>
      </c>
      <c r="D69" t="s">
        <v>67</v>
      </c>
    </row>
    <row r="70" spans="1:4" x14ac:dyDescent="0.25">
      <c r="A70" s="1">
        <v>44986</v>
      </c>
      <c r="B70" s="14">
        <v>570610.61448039766</v>
      </c>
      <c r="C70" s="14">
        <v>409063.13621360797</v>
      </c>
      <c r="D70" t="s">
        <v>67</v>
      </c>
    </row>
    <row r="71" spans="1:4" x14ac:dyDescent="0.25">
      <c r="A71" s="1">
        <v>45078</v>
      </c>
      <c r="B71" s="14">
        <v>597947.58395704126</v>
      </c>
      <c r="C71" s="14">
        <v>437734.30567219667</v>
      </c>
      <c r="D71" t="s">
        <v>67</v>
      </c>
    </row>
    <row r="72" spans="1:4" x14ac:dyDescent="0.25">
      <c r="A72" s="1">
        <v>45170</v>
      </c>
      <c r="B72" s="14">
        <v>581989.15936116944</v>
      </c>
      <c r="C72" s="14">
        <v>447724.68096215627</v>
      </c>
      <c r="D72" t="s">
        <v>67</v>
      </c>
    </row>
    <row r="73" spans="1:4" x14ac:dyDescent="0.25">
      <c r="A73" s="1">
        <v>45261</v>
      </c>
      <c r="B73" s="14">
        <v>643761.15668602148</v>
      </c>
      <c r="C73" s="14">
        <v>447975.27143848367</v>
      </c>
      <c r="D73" t="s">
        <v>67</v>
      </c>
    </row>
    <row r="74" spans="1:4" x14ac:dyDescent="0.25">
      <c r="A74" s="1">
        <v>45352</v>
      </c>
      <c r="B74" s="14">
        <v>691408.31177941267</v>
      </c>
      <c r="C74" s="14">
        <v>436528.73344392463</v>
      </c>
      <c r="D74" t="s">
        <v>67</v>
      </c>
    </row>
    <row r="75" spans="1:4" x14ac:dyDescent="0.25">
      <c r="A75" s="1">
        <v>45444</v>
      </c>
      <c r="B75" s="14">
        <v>697939.83793914132</v>
      </c>
      <c r="C75" s="14">
        <v>456448.66182376503</v>
      </c>
      <c r="D75" t="s">
        <v>67</v>
      </c>
    </row>
    <row r="76" spans="1:4" x14ac:dyDescent="0.25">
      <c r="A76" s="1">
        <v>45536</v>
      </c>
      <c r="B76" s="14">
        <v>745301.32218418666</v>
      </c>
      <c r="C76" s="14">
        <v>460766.14739705506</v>
      </c>
      <c r="D76" t="s">
        <v>67</v>
      </c>
    </row>
    <row r="77" spans="1:4" x14ac:dyDescent="0.25">
      <c r="A77" s="1">
        <v>45627</v>
      </c>
      <c r="B77" s="14">
        <v>739492.22088369133</v>
      </c>
      <c r="C77" s="14">
        <v>478823.07428412512</v>
      </c>
      <c r="D77" t="s">
        <v>67</v>
      </c>
    </row>
    <row r="78" spans="1:4" x14ac:dyDescent="0.25">
      <c r="A78" s="1">
        <v>45717</v>
      </c>
      <c r="B78" s="14">
        <v>721534.11459803383</v>
      </c>
      <c r="C78" s="14">
        <v>469534.5804164242</v>
      </c>
      <c r="D78" t="s">
        <v>67</v>
      </c>
    </row>
    <row r="79" spans="1:4" x14ac:dyDescent="0.25">
      <c r="A79" s="1">
        <v>45809</v>
      </c>
      <c r="B79" s="14">
        <v>798322.96047141543</v>
      </c>
      <c r="C79" s="14">
        <v>484799.26491770428</v>
      </c>
      <c r="D79" t="s">
        <v>67</v>
      </c>
    </row>
    <row r="80" spans="1:4" x14ac:dyDescent="0.25">
      <c r="A80" s="1">
        <v>45901</v>
      </c>
      <c r="B80" s="14">
        <v>849063.90107535594</v>
      </c>
      <c r="C80" s="14">
        <v>498192.50964907522</v>
      </c>
      <c r="D80" t="s">
        <v>67</v>
      </c>
    </row>
    <row r="81" spans="1:4" x14ac:dyDescent="0.25">
      <c r="A81" s="1">
        <v>45992</v>
      </c>
      <c r="B81" s="14">
        <v>863029.06939355051</v>
      </c>
      <c r="C81" s="14">
        <v>507731.05576505902</v>
      </c>
      <c r="D81" t="s">
        <v>67</v>
      </c>
    </row>
    <row r="82" spans="1:4" x14ac:dyDescent="0.25">
      <c r="A82" s="1">
        <v>38777</v>
      </c>
      <c r="B82" s="14">
        <v>129731.81831674039</v>
      </c>
      <c r="C82" s="14">
        <v>80327.5</v>
      </c>
      <c r="D82" t="s">
        <v>0</v>
      </c>
    </row>
    <row r="83" spans="1:4" x14ac:dyDescent="0.25">
      <c r="A83" s="1">
        <v>38869</v>
      </c>
      <c r="B83" s="14">
        <v>134266.84441118687</v>
      </c>
      <c r="C83" s="14">
        <v>103741.72477014485</v>
      </c>
      <c r="D83" t="s">
        <v>0</v>
      </c>
    </row>
    <row r="84" spans="1:4" x14ac:dyDescent="0.25">
      <c r="A84" s="1">
        <v>38961</v>
      </c>
      <c r="B84" s="14">
        <v>144870.88288307562</v>
      </c>
      <c r="C84" s="14">
        <v>89913.281802093959</v>
      </c>
      <c r="D84" t="s">
        <v>0</v>
      </c>
    </row>
    <row r="85" spans="1:4" x14ac:dyDescent="0.25">
      <c r="A85" s="1">
        <v>39052</v>
      </c>
      <c r="B85" s="14">
        <v>164302.54714580646</v>
      </c>
      <c r="C85" s="14">
        <v>109306.79904884094</v>
      </c>
      <c r="D85" t="s">
        <v>0</v>
      </c>
    </row>
    <row r="86" spans="1:4" x14ac:dyDescent="0.25">
      <c r="A86" s="1">
        <v>39142</v>
      </c>
      <c r="B86" s="14">
        <v>176732.56389630109</v>
      </c>
      <c r="C86" s="14">
        <v>87573.480710803764</v>
      </c>
      <c r="D86" t="s">
        <v>0</v>
      </c>
    </row>
    <row r="87" spans="1:4" x14ac:dyDescent="0.25">
      <c r="A87" s="1">
        <v>39234</v>
      </c>
      <c r="B87" s="14">
        <v>193617.7020259508</v>
      </c>
      <c r="C87" s="14">
        <v>113804.94237780373</v>
      </c>
      <c r="D87" t="s">
        <v>0</v>
      </c>
    </row>
    <row r="88" spans="1:4" x14ac:dyDescent="0.25">
      <c r="A88" s="1">
        <v>39326</v>
      </c>
      <c r="B88" s="14">
        <v>205447.03859891507</v>
      </c>
      <c r="C88" s="14">
        <v>113599.28115393495</v>
      </c>
      <c r="D88" t="s">
        <v>0</v>
      </c>
    </row>
    <row r="89" spans="1:4" x14ac:dyDescent="0.25">
      <c r="A89" s="1">
        <v>39417</v>
      </c>
      <c r="B89" s="14">
        <v>205579.10249383224</v>
      </c>
      <c r="C89" s="14">
        <v>140725.04825005494</v>
      </c>
      <c r="D89" t="s">
        <v>0</v>
      </c>
    </row>
    <row r="90" spans="1:4" x14ac:dyDescent="0.25">
      <c r="A90" s="1">
        <v>39508</v>
      </c>
      <c r="B90" s="14">
        <v>189101.63241387927</v>
      </c>
      <c r="C90" s="14">
        <v>95436.628033342422</v>
      </c>
      <c r="D90" t="s">
        <v>0</v>
      </c>
    </row>
    <row r="91" spans="1:4" x14ac:dyDescent="0.25">
      <c r="A91" s="1">
        <v>39600</v>
      </c>
      <c r="B91" s="14">
        <v>192317.70646741008</v>
      </c>
      <c r="C91" s="14">
        <v>107816.00116143492</v>
      </c>
      <c r="D91" t="s">
        <v>0</v>
      </c>
    </row>
    <row r="92" spans="1:4" x14ac:dyDescent="0.25">
      <c r="A92" s="1">
        <v>39692</v>
      </c>
      <c r="B92" s="14">
        <v>170950.67388265571</v>
      </c>
      <c r="C92" s="14">
        <v>78140.347750112764</v>
      </c>
      <c r="D92" t="s">
        <v>0</v>
      </c>
    </row>
    <row r="93" spans="1:4" x14ac:dyDescent="0.25">
      <c r="A93" s="1">
        <v>39783</v>
      </c>
      <c r="B93" s="14">
        <v>138269.35697361457</v>
      </c>
      <c r="C93" s="14">
        <v>66178.461918499437</v>
      </c>
      <c r="D93" t="s">
        <v>0</v>
      </c>
    </row>
    <row r="94" spans="1:4" x14ac:dyDescent="0.25">
      <c r="A94" s="1">
        <v>39873</v>
      </c>
      <c r="B94" s="14">
        <v>129545.19363146418</v>
      </c>
      <c r="C94" s="14">
        <v>47010.655650987639</v>
      </c>
      <c r="D94" t="s">
        <v>0</v>
      </c>
    </row>
    <row r="95" spans="1:4" x14ac:dyDescent="0.25">
      <c r="A95" s="1">
        <v>39965</v>
      </c>
      <c r="B95" s="14">
        <v>157849.76115416695</v>
      </c>
      <c r="C95" s="14">
        <v>90729.347867616394</v>
      </c>
      <c r="D95" t="s">
        <v>0</v>
      </c>
    </row>
    <row r="96" spans="1:4" x14ac:dyDescent="0.25">
      <c r="A96" s="1">
        <v>40057</v>
      </c>
      <c r="B96" s="14">
        <v>192482.30149119985</v>
      </c>
      <c r="C96" s="14">
        <v>98204.094599574397</v>
      </c>
      <c r="D96" t="s">
        <v>0</v>
      </c>
    </row>
    <row r="97" spans="1:4" x14ac:dyDescent="0.25">
      <c r="A97" s="1">
        <v>40148</v>
      </c>
      <c r="B97" s="14">
        <v>203842.40536913768</v>
      </c>
      <c r="C97" s="14">
        <v>180922.76359578804</v>
      </c>
      <c r="D97" t="s">
        <v>0</v>
      </c>
    </row>
    <row r="98" spans="1:4" x14ac:dyDescent="0.25">
      <c r="A98" s="1">
        <v>40238</v>
      </c>
      <c r="B98" s="14">
        <v>214332.00875331691</v>
      </c>
      <c r="C98" s="14">
        <v>168416.7429497987</v>
      </c>
      <c r="D98" t="s">
        <v>0</v>
      </c>
    </row>
    <row r="99" spans="1:4" x14ac:dyDescent="0.25">
      <c r="A99" s="1">
        <v>40330</v>
      </c>
      <c r="B99" s="14">
        <v>191703.49595233274</v>
      </c>
      <c r="C99" s="14">
        <v>195975.07922723412</v>
      </c>
      <c r="D99" t="s">
        <v>0</v>
      </c>
    </row>
    <row r="100" spans="1:4" x14ac:dyDescent="0.25">
      <c r="A100" s="1">
        <v>40422</v>
      </c>
      <c r="B100" s="14">
        <v>220079.68856631211</v>
      </c>
      <c r="C100" s="14">
        <v>177435.33283743332</v>
      </c>
      <c r="D100" t="s">
        <v>0</v>
      </c>
    </row>
    <row r="101" spans="1:4" x14ac:dyDescent="0.25">
      <c r="A101" s="1">
        <v>40513</v>
      </c>
      <c r="B101" s="14">
        <v>242695.12904359805</v>
      </c>
      <c r="C101" s="14">
        <v>199041.67799292959</v>
      </c>
      <c r="D101" t="s">
        <v>0</v>
      </c>
    </row>
    <row r="102" spans="1:4" x14ac:dyDescent="0.25">
      <c r="A102" s="1">
        <v>40603</v>
      </c>
      <c r="B102" s="14">
        <v>258046.99089527372</v>
      </c>
      <c r="C102" s="14">
        <v>149191.47749339807</v>
      </c>
      <c r="D102" t="s">
        <v>0</v>
      </c>
    </row>
    <row r="103" spans="1:4" x14ac:dyDescent="0.25">
      <c r="A103" s="1">
        <v>40695</v>
      </c>
      <c r="B103" s="14">
        <v>259352.53880921393</v>
      </c>
      <c r="C103" s="14">
        <v>197240.31910775183</v>
      </c>
      <c r="D103" t="s">
        <v>0</v>
      </c>
    </row>
    <row r="104" spans="1:4" x14ac:dyDescent="0.25">
      <c r="A104" s="1">
        <v>40787</v>
      </c>
      <c r="B104" s="14">
        <v>222164.95909482395</v>
      </c>
      <c r="C104" s="14">
        <v>147483.28063402086</v>
      </c>
      <c r="D104" t="s">
        <v>0</v>
      </c>
    </row>
    <row r="105" spans="1:4" x14ac:dyDescent="0.25">
      <c r="A105" s="1">
        <v>40878</v>
      </c>
      <c r="B105" s="14">
        <v>239402.50031517874</v>
      </c>
      <c r="C105" s="14">
        <v>117449.56315095589</v>
      </c>
      <c r="D105" t="s">
        <v>0</v>
      </c>
    </row>
    <row r="106" spans="1:4" x14ac:dyDescent="0.25">
      <c r="A106" s="1">
        <v>40969</v>
      </c>
      <c r="B106" s="14">
        <v>269631.04038323677</v>
      </c>
      <c r="C106" s="14">
        <v>183412.52130784531</v>
      </c>
      <c r="D106" t="s">
        <v>0</v>
      </c>
    </row>
    <row r="107" spans="1:4" x14ac:dyDescent="0.25">
      <c r="A107" s="1">
        <v>41061</v>
      </c>
      <c r="B107" s="14">
        <v>258741.88240193223</v>
      </c>
      <c r="C107" s="14">
        <v>187615.30919467256</v>
      </c>
      <c r="D107" t="s">
        <v>0</v>
      </c>
    </row>
    <row r="108" spans="1:4" x14ac:dyDescent="0.25">
      <c r="A108" s="1">
        <v>41153</v>
      </c>
      <c r="B108" s="14">
        <v>281251.47394707345</v>
      </c>
      <c r="C108" s="14">
        <v>162669.30920737842</v>
      </c>
      <c r="D108" t="s">
        <v>0</v>
      </c>
    </row>
    <row r="109" spans="1:4" x14ac:dyDescent="0.25">
      <c r="A109" s="1">
        <v>41244</v>
      </c>
      <c r="B109" s="14">
        <v>295475.62793653645</v>
      </c>
      <c r="C109" s="14">
        <v>213082.29861118016</v>
      </c>
      <c r="D109" t="s">
        <v>0</v>
      </c>
    </row>
    <row r="110" spans="1:4" x14ac:dyDescent="0.25">
      <c r="A110" s="1">
        <v>41334</v>
      </c>
      <c r="B110" s="14">
        <v>322872.18610858516</v>
      </c>
      <c r="C110" s="14">
        <v>193132.28592763626</v>
      </c>
      <c r="D110" t="s">
        <v>0</v>
      </c>
    </row>
    <row r="111" spans="1:4" x14ac:dyDescent="0.25">
      <c r="A111" s="1">
        <v>41426</v>
      </c>
      <c r="B111" s="14">
        <v>323907.63041153492</v>
      </c>
      <c r="C111" s="14">
        <v>222147.62944848876</v>
      </c>
      <c r="D111" t="s">
        <v>0</v>
      </c>
    </row>
    <row r="112" spans="1:4" x14ac:dyDescent="0.25">
      <c r="A112" s="1">
        <v>41518</v>
      </c>
      <c r="B112" s="14">
        <v>356316.85742977733</v>
      </c>
      <c r="C112" s="14">
        <v>241410.65025596309</v>
      </c>
      <c r="D112" t="s">
        <v>0</v>
      </c>
    </row>
    <row r="113" spans="1:4" x14ac:dyDescent="0.25">
      <c r="A113" s="1">
        <v>41609</v>
      </c>
      <c r="B113" s="14">
        <v>382557.11297884531</v>
      </c>
      <c r="C113" s="14">
        <v>311538.23308190057</v>
      </c>
      <c r="D113" t="s">
        <v>0</v>
      </c>
    </row>
    <row r="114" spans="1:4" x14ac:dyDescent="0.25">
      <c r="A114" s="1">
        <v>41699</v>
      </c>
      <c r="B114" s="14">
        <v>391691.53996322764</v>
      </c>
      <c r="C114" s="14">
        <v>270096.60613156128</v>
      </c>
      <c r="D114" t="s">
        <v>0</v>
      </c>
    </row>
    <row r="115" spans="1:4" x14ac:dyDescent="0.25">
      <c r="A115" s="1">
        <v>41791</v>
      </c>
      <c r="B115" s="14">
        <v>408000.90897737036</v>
      </c>
      <c r="C115" s="14">
        <v>318712.64094622002</v>
      </c>
      <c r="D115" t="s">
        <v>0</v>
      </c>
    </row>
    <row r="116" spans="1:4" x14ac:dyDescent="0.25">
      <c r="A116" s="1">
        <v>41883</v>
      </c>
      <c r="B116" s="14">
        <v>401703.17477212637</v>
      </c>
      <c r="C116" s="14">
        <v>321296.43352802494</v>
      </c>
      <c r="D116" t="s">
        <v>0</v>
      </c>
    </row>
    <row r="117" spans="1:4" x14ac:dyDescent="0.25">
      <c r="A117" s="1">
        <v>41974</v>
      </c>
      <c r="B117" s="14">
        <v>410950.26062917215</v>
      </c>
      <c r="C117" s="14">
        <v>401101.32093811879</v>
      </c>
      <c r="D117" t="s">
        <v>0</v>
      </c>
    </row>
    <row r="118" spans="1:4" x14ac:dyDescent="0.25">
      <c r="A118" s="1">
        <v>42064</v>
      </c>
      <c r="B118" s="14">
        <v>433613.94532747701</v>
      </c>
      <c r="C118" s="14">
        <v>361498.52110582084</v>
      </c>
      <c r="D118" t="s">
        <v>0</v>
      </c>
    </row>
    <row r="119" spans="1:4" x14ac:dyDescent="0.25">
      <c r="A119" s="1">
        <v>42156</v>
      </c>
      <c r="B119" s="14">
        <v>428649.50142500608</v>
      </c>
      <c r="C119" s="14">
        <v>454030.15461296268</v>
      </c>
      <c r="D119" t="s">
        <v>0</v>
      </c>
    </row>
    <row r="120" spans="1:4" x14ac:dyDescent="0.25">
      <c r="A120" s="1">
        <v>42248</v>
      </c>
      <c r="B120" s="14">
        <v>395986.30535855802</v>
      </c>
      <c r="C120" s="14">
        <v>473082.01154043409</v>
      </c>
      <c r="D120" t="s">
        <v>0</v>
      </c>
    </row>
    <row r="121" spans="1:4" x14ac:dyDescent="0.25">
      <c r="A121" s="1">
        <v>42339</v>
      </c>
      <c r="B121" s="14">
        <v>420957.95728369238</v>
      </c>
      <c r="C121" s="14">
        <v>492115.97060116427</v>
      </c>
      <c r="D121" t="s">
        <v>0</v>
      </c>
    </row>
    <row r="122" spans="1:4" x14ac:dyDescent="0.25">
      <c r="A122" s="1">
        <v>42430</v>
      </c>
      <c r="B122" s="14">
        <v>419002.10487721663</v>
      </c>
      <c r="C122" s="14">
        <v>432914.3106604747</v>
      </c>
      <c r="D122" t="s">
        <v>0</v>
      </c>
    </row>
    <row r="123" spans="1:4" x14ac:dyDescent="0.25">
      <c r="A123" s="1">
        <v>42522</v>
      </c>
      <c r="B123" s="14">
        <v>429379.89763001818</v>
      </c>
      <c r="C123" s="14">
        <v>466750.57020725129</v>
      </c>
      <c r="D123" t="s">
        <v>0</v>
      </c>
    </row>
    <row r="124" spans="1:4" x14ac:dyDescent="0.25">
      <c r="A124" s="1">
        <v>42614</v>
      </c>
      <c r="B124" s="14">
        <v>454036.62047633872</v>
      </c>
      <c r="C124" s="14">
        <v>466389.20613957068</v>
      </c>
      <c r="D124" t="s">
        <v>0</v>
      </c>
    </row>
    <row r="125" spans="1:4" x14ac:dyDescent="0.25">
      <c r="A125" s="1">
        <v>42705</v>
      </c>
      <c r="B125" s="14">
        <v>469974.11201718595</v>
      </c>
      <c r="C125" s="14">
        <v>552074.25279717054</v>
      </c>
      <c r="D125" t="s">
        <v>0</v>
      </c>
    </row>
    <row r="126" spans="1:4" x14ac:dyDescent="0.25">
      <c r="A126" s="1">
        <v>42795</v>
      </c>
      <c r="B126" s="14">
        <v>499577.27053480066</v>
      </c>
      <c r="C126" s="14">
        <v>480227.42400895985</v>
      </c>
      <c r="D126" t="s">
        <v>0</v>
      </c>
    </row>
    <row r="127" spans="1:4" x14ac:dyDescent="0.25">
      <c r="A127" s="1">
        <v>42887</v>
      </c>
      <c r="B127" s="14">
        <v>512824.36684407515</v>
      </c>
      <c r="C127" s="14">
        <v>650950.9376600422</v>
      </c>
      <c r="D127" t="s">
        <v>0</v>
      </c>
    </row>
    <row r="128" spans="1:4" x14ac:dyDescent="0.25">
      <c r="A128" s="1">
        <v>42979</v>
      </c>
      <c r="B128" s="14">
        <v>534341.75376513414</v>
      </c>
      <c r="C128" s="14">
        <v>528085.98818782205</v>
      </c>
      <c r="D128" t="s">
        <v>0</v>
      </c>
    </row>
    <row r="129" spans="1:4" x14ac:dyDescent="0.25">
      <c r="A129" s="1">
        <v>43070</v>
      </c>
      <c r="B129" s="14">
        <v>569305.37443180231</v>
      </c>
      <c r="C129" s="14">
        <v>615704.23794447968</v>
      </c>
      <c r="D129" t="s">
        <v>0</v>
      </c>
    </row>
    <row r="130" spans="1:4" x14ac:dyDescent="0.25">
      <c r="A130" s="1">
        <v>43160</v>
      </c>
      <c r="B130" s="14">
        <v>559561.85232097132</v>
      </c>
      <c r="C130" s="14">
        <v>516462.46552752785</v>
      </c>
      <c r="D130" t="s">
        <v>0</v>
      </c>
    </row>
    <row r="131" spans="1:4" x14ac:dyDescent="0.25">
      <c r="A131" s="1">
        <v>43252</v>
      </c>
      <c r="B131" s="14">
        <v>583940.97943699441</v>
      </c>
      <c r="C131" s="14">
        <v>526989.52114844986</v>
      </c>
      <c r="D131" t="s">
        <v>0</v>
      </c>
    </row>
    <row r="132" spans="1:4" x14ac:dyDescent="0.25">
      <c r="A132" s="1">
        <v>43344</v>
      </c>
      <c r="B132" s="14">
        <v>606549.18351506023</v>
      </c>
      <c r="C132" s="14">
        <v>477921.23591524782</v>
      </c>
      <c r="D132" t="s">
        <v>0</v>
      </c>
    </row>
    <row r="133" spans="1:4" x14ac:dyDescent="0.25">
      <c r="A133" s="1">
        <v>43435</v>
      </c>
      <c r="B133" s="14">
        <v>533658.27065282466</v>
      </c>
      <c r="C133" s="14">
        <v>525746.45523475937</v>
      </c>
      <c r="D133" t="s">
        <v>0</v>
      </c>
    </row>
    <row r="134" spans="1:4" x14ac:dyDescent="0.25">
      <c r="A134" s="1">
        <v>43525</v>
      </c>
      <c r="B134" s="14">
        <v>600344.34014174563</v>
      </c>
      <c r="C134" s="14">
        <v>443508.46372636175</v>
      </c>
      <c r="D134" t="s">
        <v>0</v>
      </c>
    </row>
    <row r="135" spans="1:4" x14ac:dyDescent="0.25">
      <c r="A135" s="1">
        <v>43617</v>
      </c>
      <c r="B135" s="14">
        <v>632399.97836312046</v>
      </c>
      <c r="C135" s="14">
        <v>477825.91432001779</v>
      </c>
      <c r="D135" t="s">
        <v>0</v>
      </c>
    </row>
    <row r="136" spans="1:4" x14ac:dyDescent="0.25">
      <c r="A136" s="1">
        <v>43709</v>
      </c>
      <c r="B136" s="14">
        <v>640866.43934479856</v>
      </c>
      <c r="C136" s="14">
        <v>492596.33845466992</v>
      </c>
      <c r="D136" t="s">
        <v>0</v>
      </c>
    </row>
    <row r="137" spans="1:4" x14ac:dyDescent="0.25">
      <c r="A137" s="1">
        <v>43800</v>
      </c>
      <c r="B137" s="14">
        <v>681824.62321397359</v>
      </c>
      <c r="C137" s="14">
        <v>590471.86192650953</v>
      </c>
      <c r="D137" t="s">
        <v>0</v>
      </c>
    </row>
    <row r="138" spans="1:4" x14ac:dyDescent="0.25">
      <c r="A138" s="1">
        <v>43891</v>
      </c>
      <c r="B138" s="14">
        <v>528235.74404209852</v>
      </c>
      <c r="C138" s="14">
        <v>557190.52917331923</v>
      </c>
      <c r="D138" t="s">
        <v>0</v>
      </c>
    </row>
    <row r="139" spans="1:4" x14ac:dyDescent="0.25">
      <c r="A139" s="1">
        <v>43983</v>
      </c>
      <c r="B139" s="14">
        <v>631047.54499028868</v>
      </c>
      <c r="C139" s="14">
        <v>556349.65755554568</v>
      </c>
      <c r="D139" t="s">
        <v>0</v>
      </c>
    </row>
    <row r="140" spans="1:4" x14ac:dyDescent="0.25">
      <c r="A140" s="1">
        <v>44075</v>
      </c>
      <c r="B140" s="14">
        <v>667332.63395540265</v>
      </c>
      <c r="C140" s="14">
        <v>576131.79402774724</v>
      </c>
      <c r="D140" t="s">
        <v>0</v>
      </c>
    </row>
    <row r="141" spans="1:4" x14ac:dyDescent="0.25">
      <c r="A141" s="1">
        <v>44166</v>
      </c>
      <c r="B141" s="14">
        <v>767807.67050439212</v>
      </c>
      <c r="C141" s="14">
        <v>644751.07062025764</v>
      </c>
      <c r="D141" t="s">
        <v>0</v>
      </c>
    </row>
    <row r="142" spans="1:4" x14ac:dyDescent="0.25">
      <c r="A142" s="1">
        <v>44256</v>
      </c>
      <c r="B142" s="14">
        <v>808646.33839315176</v>
      </c>
      <c r="C142" s="14">
        <v>683894.08764292486</v>
      </c>
      <c r="D142" t="s">
        <v>0</v>
      </c>
    </row>
    <row r="143" spans="1:4" x14ac:dyDescent="0.25">
      <c r="A143" s="1">
        <v>44348</v>
      </c>
      <c r="B143" s="14">
        <v>872304.19711334794</v>
      </c>
      <c r="C143" s="14">
        <v>830444.94860217383</v>
      </c>
      <c r="D143" t="s">
        <v>0</v>
      </c>
    </row>
    <row r="144" spans="1:4" x14ac:dyDescent="0.25">
      <c r="A144" s="1">
        <v>44440</v>
      </c>
      <c r="B144" s="14">
        <v>875860.42428793397</v>
      </c>
      <c r="C144" s="14">
        <v>888675.84088845877</v>
      </c>
      <c r="D144" t="s">
        <v>0</v>
      </c>
    </row>
    <row r="145" spans="1:4" x14ac:dyDescent="0.25">
      <c r="A145" s="1">
        <v>44531</v>
      </c>
      <c r="B145" s="14">
        <v>926141.71266178018</v>
      </c>
      <c r="C145" s="14">
        <v>966346.0583461622</v>
      </c>
      <c r="D145" t="s">
        <v>0</v>
      </c>
    </row>
    <row r="146" spans="1:4" x14ac:dyDescent="0.25">
      <c r="A146" s="1">
        <v>44621</v>
      </c>
      <c r="B146" s="14">
        <v>899556.47090421023</v>
      </c>
      <c r="C146" s="14">
        <v>907027.11580443836</v>
      </c>
      <c r="D146" t="s">
        <v>0</v>
      </c>
    </row>
    <row r="147" spans="1:4" x14ac:dyDescent="0.25">
      <c r="A147" s="1">
        <v>44713</v>
      </c>
      <c r="B147" s="14">
        <v>765017.16693626647</v>
      </c>
      <c r="C147" s="14">
        <v>955403.09394579218</v>
      </c>
      <c r="D147" t="s">
        <v>0</v>
      </c>
    </row>
    <row r="148" spans="1:4" x14ac:dyDescent="0.25">
      <c r="A148" s="1">
        <v>44805</v>
      </c>
      <c r="B148" s="14">
        <v>734815.14935470559</v>
      </c>
      <c r="C148" s="14">
        <v>866727.11831050832</v>
      </c>
      <c r="D148" t="s">
        <v>0</v>
      </c>
    </row>
    <row r="149" spans="1:4" x14ac:dyDescent="0.25">
      <c r="A149" s="1">
        <v>44896</v>
      </c>
      <c r="B149" s="14">
        <v>807674.96934000752</v>
      </c>
      <c r="C149" s="14">
        <v>866014.87366742035</v>
      </c>
      <c r="D149" t="s">
        <v>0</v>
      </c>
    </row>
    <row r="150" spans="1:4" x14ac:dyDescent="0.25">
      <c r="A150" s="1">
        <v>44986</v>
      </c>
      <c r="B150" s="14">
        <v>858509.31522612402</v>
      </c>
      <c r="C150" s="14">
        <v>816457.39304805186</v>
      </c>
      <c r="D150" t="s">
        <v>0</v>
      </c>
    </row>
    <row r="151" spans="1:4" x14ac:dyDescent="0.25">
      <c r="A151" s="1">
        <v>45078</v>
      </c>
      <c r="B151" s="14">
        <v>901186.39258521167</v>
      </c>
      <c r="C151" s="14">
        <v>923366.04555055383</v>
      </c>
      <c r="D151" t="s">
        <v>0</v>
      </c>
    </row>
    <row r="152" spans="1:4" x14ac:dyDescent="0.25">
      <c r="A152" s="1">
        <v>45170</v>
      </c>
      <c r="B152" s="14">
        <v>878606.19983124733</v>
      </c>
      <c r="C152" s="14">
        <v>941978.40774366283</v>
      </c>
      <c r="D152" t="s">
        <v>0</v>
      </c>
    </row>
    <row r="153" spans="1:4" x14ac:dyDescent="0.25">
      <c r="A153" s="1">
        <v>45261</v>
      </c>
      <c r="B153" s="14">
        <v>973516.89833626617</v>
      </c>
      <c r="C153" s="14">
        <v>980148.66200448025</v>
      </c>
      <c r="D153" t="s">
        <v>0</v>
      </c>
    </row>
    <row r="154" spans="1:4" x14ac:dyDescent="0.25">
      <c r="A154" s="1">
        <v>45352</v>
      </c>
      <c r="B154" s="14">
        <v>1047881.3863479707</v>
      </c>
      <c r="C154" s="14">
        <v>959610.76074790885</v>
      </c>
      <c r="D154" t="s">
        <v>0</v>
      </c>
    </row>
    <row r="155" spans="1:4" x14ac:dyDescent="0.25">
      <c r="A155" s="1">
        <v>45444</v>
      </c>
      <c r="B155" s="14">
        <v>1059966.3718342588</v>
      </c>
      <c r="C155" s="14">
        <v>1017377.7924708734</v>
      </c>
      <c r="D155" t="s">
        <v>0</v>
      </c>
    </row>
    <row r="156" spans="1:4" x14ac:dyDescent="0.25">
      <c r="A156" s="1">
        <v>45536</v>
      </c>
      <c r="B156" s="14">
        <v>1134258.1659461148</v>
      </c>
      <c r="C156" s="14">
        <v>971504.88027011929</v>
      </c>
      <c r="D156" t="s">
        <v>0</v>
      </c>
    </row>
    <row r="157" spans="1:4" x14ac:dyDescent="0.25">
      <c r="A157" s="1">
        <v>45627</v>
      </c>
      <c r="B157" s="14">
        <v>1127615.9590502174</v>
      </c>
      <c r="C157" s="14">
        <v>1007928.8970281516</v>
      </c>
      <c r="D157" t="s">
        <v>0</v>
      </c>
    </row>
    <row r="158" spans="1:4" x14ac:dyDescent="0.25">
      <c r="A158" s="1">
        <v>45717</v>
      </c>
      <c r="B158" s="14">
        <v>1102412.2425012009</v>
      </c>
      <c r="C158" s="14">
        <v>985695.85181988194</v>
      </c>
      <c r="D158" t="s">
        <v>0</v>
      </c>
    </row>
    <row r="159" spans="1:4" x14ac:dyDescent="0.25">
      <c r="A159" s="1">
        <v>45809</v>
      </c>
      <c r="B159" s="14">
        <v>1222290.0354529289</v>
      </c>
      <c r="C159" s="14">
        <v>1077966.2593740632</v>
      </c>
      <c r="D159" t="s">
        <v>0</v>
      </c>
    </row>
    <row r="160" spans="1:4" x14ac:dyDescent="0.25">
      <c r="A160" s="1">
        <v>45901</v>
      </c>
      <c r="B160" s="14">
        <v>1302498.4916139345</v>
      </c>
      <c r="C160" s="14">
        <v>1085106.1148383543</v>
      </c>
      <c r="D160" t="s">
        <v>0</v>
      </c>
    </row>
    <row r="161" spans="1:4" x14ac:dyDescent="0.25">
      <c r="A161" s="1">
        <v>45992</v>
      </c>
      <c r="B161" s="14">
        <v>1326334.2592194469</v>
      </c>
      <c r="C161" s="14">
        <v>1113585.8104655978</v>
      </c>
      <c r="D161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B0E3-7D6C-4F28-8371-BCCD16A46946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87190.262280071373</v>
      </c>
      <c r="C2" s="14">
        <v>52300.1875</v>
      </c>
      <c r="D2" t="s">
        <v>67</v>
      </c>
    </row>
    <row r="3" spans="1:4" x14ac:dyDescent="0.25">
      <c r="A3" s="1">
        <v>38869</v>
      </c>
      <c r="B3" s="14">
        <v>89559.766575938294</v>
      </c>
      <c r="C3" s="14">
        <v>58577.637785126921</v>
      </c>
      <c r="D3" t="s">
        <v>67</v>
      </c>
    </row>
    <row r="4" spans="1:4" x14ac:dyDescent="0.25">
      <c r="A4" s="1">
        <v>38961</v>
      </c>
      <c r="B4" s="14">
        <v>95944.683558990902</v>
      </c>
      <c r="C4" s="14">
        <v>66078.866765711165</v>
      </c>
      <c r="D4" t="s">
        <v>67</v>
      </c>
    </row>
    <row r="5" spans="1:4" x14ac:dyDescent="0.25">
      <c r="A5" s="1">
        <v>39052</v>
      </c>
      <c r="B5" s="14">
        <v>108115.86260771913</v>
      </c>
      <c r="C5" s="14">
        <v>65323.572695930139</v>
      </c>
      <c r="D5" t="s">
        <v>67</v>
      </c>
    </row>
    <row r="6" spans="1:4" x14ac:dyDescent="0.25">
      <c r="A6" s="1">
        <v>39142</v>
      </c>
      <c r="B6" s="14">
        <v>115535.58987465032</v>
      </c>
      <c r="C6" s="14">
        <v>69436.187169316807</v>
      </c>
      <c r="D6" t="s">
        <v>67</v>
      </c>
    </row>
    <row r="7" spans="1:4" x14ac:dyDescent="0.25">
      <c r="A7" s="1">
        <v>39234</v>
      </c>
      <c r="B7" s="14">
        <v>125816.21261042976</v>
      </c>
      <c r="C7" s="14">
        <v>88207.76112424396</v>
      </c>
      <c r="D7" t="s">
        <v>67</v>
      </c>
    </row>
    <row r="8" spans="1:4" x14ac:dyDescent="0.25">
      <c r="A8" s="1">
        <v>39326</v>
      </c>
      <c r="B8" s="14">
        <v>132783.10660223995</v>
      </c>
      <c r="C8" s="14">
        <v>92281.726941529399</v>
      </c>
      <c r="D8" t="s">
        <v>67</v>
      </c>
    </row>
    <row r="9" spans="1:4" x14ac:dyDescent="0.25">
      <c r="A9" s="1">
        <v>39417</v>
      </c>
      <c r="B9" s="14">
        <v>132208.94661915911</v>
      </c>
      <c r="C9" s="14">
        <v>110981.78752911187</v>
      </c>
      <c r="D9" t="s">
        <v>67</v>
      </c>
    </row>
    <row r="10" spans="1:4" x14ac:dyDescent="0.25">
      <c r="A10" s="1">
        <v>39508</v>
      </c>
      <c r="B10" s="14">
        <v>120963.42457763417</v>
      </c>
      <c r="C10" s="14">
        <v>105180.88200214363</v>
      </c>
      <c r="D10" t="s">
        <v>67</v>
      </c>
    </row>
    <row r="11" spans="1:4" x14ac:dyDescent="0.25">
      <c r="A11" s="1">
        <v>39600</v>
      </c>
      <c r="B11" s="14">
        <v>122326.9177761598</v>
      </c>
      <c r="C11" s="14">
        <v>104207.08295728211</v>
      </c>
      <c r="D11" t="s">
        <v>67</v>
      </c>
    </row>
    <row r="12" spans="1:4" x14ac:dyDescent="0.25">
      <c r="A12" s="1">
        <v>39692</v>
      </c>
      <c r="B12" s="14">
        <v>108140.12406167781</v>
      </c>
      <c r="C12" s="14">
        <v>108119.94964925823</v>
      </c>
      <c r="D12" t="s">
        <v>67</v>
      </c>
    </row>
    <row r="13" spans="1:4" x14ac:dyDescent="0.25">
      <c r="A13" s="1">
        <v>39783</v>
      </c>
      <c r="B13" s="14">
        <v>86913.219022919409</v>
      </c>
      <c r="C13" s="14">
        <v>92503.379825196927</v>
      </c>
      <c r="D13" t="s">
        <v>67</v>
      </c>
    </row>
    <row r="14" spans="1:4" x14ac:dyDescent="0.25">
      <c r="A14" s="1">
        <v>39873</v>
      </c>
      <c r="B14" s="14">
        <v>80761.149482714347</v>
      </c>
      <c r="C14" s="14">
        <v>90009.835309719114</v>
      </c>
      <c r="D14" t="s">
        <v>67</v>
      </c>
    </row>
    <row r="15" spans="1:4" x14ac:dyDescent="0.25">
      <c r="A15" s="1">
        <v>39965</v>
      </c>
      <c r="B15" s="14">
        <v>97548.927067741664</v>
      </c>
      <c r="C15" s="14">
        <v>120448.36766054589</v>
      </c>
      <c r="D15" t="s">
        <v>67</v>
      </c>
    </row>
    <row r="16" spans="1:4" x14ac:dyDescent="0.25">
      <c r="A16" s="1">
        <v>40057</v>
      </c>
      <c r="B16" s="14">
        <v>118099.88688396523</v>
      </c>
      <c r="C16" s="14">
        <v>132256.39039689681</v>
      </c>
      <c r="D16" t="s">
        <v>67</v>
      </c>
    </row>
    <row r="17" spans="1:4" x14ac:dyDescent="0.25">
      <c r="A17" s="1">
        <v>40148</v>
      </c>
      <c r="B17" s="14">
        <v>124365.41917030083</v>
      </c>
      <c r="C17" s="14">
        <v>160169.46211290982</v>
      </c>
      <c r="D17" t="s">
        <v>67</v>
      </c>
    </row>
    <row r="18" spans="1:4" x14ac:dyDescent="0.25">
      <c r="A18" s="1">
        <v>40238</v>
      </c>
      <c r="B18" s="14">
        <v>130090.99954616839</v>
      </c>
      <c r="C18" s="14">
        <v>162464.21905101024</v>
      </c>
      <c r="D18" t="s">
        <v>67</v>
      </c>
    </row>
    <row r="19" spans="1:4" x14ac:dyDescent="0.25">
      <c r="A19" s="1">
        <v>40330</v>
      </c>
      <c r="B19" s="14">
        <v>115796.8090658025</v>
      </c>
      <c r="C19" s="14">
        <v>187203.21666534047</v>
      </c>
      <c r="D19" t="s">
        <v>67</v>
      </c>
    </row>
    <row r="20" spans="1:4" x14ac:dyDescent="0.25">
      <c r="A20" s="1">
        <v>40422</v>
      </c>
      <c r="B20" s="14">
        <v>132222.74231046115</v>
      </c>
      <c r="C20" s="14">
        <v>181518.10040176363</v>
      </c>
      <c r="D20" t="s">
        <v>67</v>
      </c>
    </row>
    <row r="21" spans="1:4" x14ac:dyDescent="0.25">
      <c r="A21" s="1">
        <v>40513</v>
      </c>
      <c r="B21" s="14">
        <v>145150.39091921947</v>
      </c>
      <c r="C21" s="14">
        <v>195410.83491061392</v>
      </c>
      <c r="D21" t="s">
        <v>67</v>
      </c>
    </row>
    <row r="22" spans="1:4" x14ac:dyDescent="0.25">
      <c r="A22" s="1">
        <v>40603</v>
      </c>
      <c r="B22" s="14">
        <v>153700.52906348181</v>
      </c>
      <c r="C22" s="14">
        <v>179907.43670494069</v>
      </c>
      <c r="D22" t="s">
        <v>67</v>
      </c>
    </row>
    <row r="23" spans="1:4" x14ac:dyDescent="0.25">
      <c r="A23" s="1">
        <v>40695</v>
      </c>
      <c r="B23" s="14">
        <v>153877.55631209508</v>
      </c>
      <c r="C23" s="14">
        <v>184017.52488646016</v>
      </c>
      <c r="D23" t="s">
        <v>67</v>
      </c>
    </row>
    <row r="24" spans="1:4" x14ac:dyDescent="0.25">
      <c r="A24" s="1">
        <v>40787</v>
      </c>
      <c r="B24" s="14">
        <v>131300.35593003174</v>
      </c>
      <c r="C24" s="14">
        <v>171046.34576062881</v>
      </c>
      <c r="D24" t="s">
        <v>67</v>
      </c>
    </row>
    <row r="25" spans="1:4" x14ac:dyDescent="0.25">
      <c r="A25" s="1">
        <v>40878</v>
      </c>
      <c r="B25" s="14">
        <v>140835.18584689431</v>
      </c>
      <c r="C25" s="14">
        <v>165463.67807328541</v>
      </c>
      <c r="D25" t="s">
        <v>67</v>
      </c>
    </row>
    <row r="26" spans="1:4" x14ac:dyDescent="0.25">
      <c r="A26" s="1">
        <v>40969</v>
      </c>
      <c r="B26" s="14">
        <v>158029.3960252571</v>
      </c>
      <c r="C26" s="14">
        <v>162437.27746021669</v>
      </c>
      <c r="D26" t="s">
        <v>67</v>
      </c>
    </row>
    <row r="27" spans="1:4" x14ac:dyDescent="0.25">
      <c r="A27" s="1">
        <v>41061</v>
      </c>
      <c r="B27" s="14">
        <v>151132.00176621403</v>
      </c>
      <c r="C27" s="14">
        <v>161857.10362240096</v>
      </c>
      <c r="D27" t="s">
        <v>67</v>
      </c>
    </row>
    <row r="28" spans="1:4" x14ac:dyDescent="0.25">
      <c r="A28" s="1">
        <v>41153</v>
      </c>
      <c r="B28" s="14">
        <v>163690.04641151629</v>
      </c>
      <c r="C28" s="14">
        <v>156508.0688480649</v>
      </c>
      <c r="D28" t="s">
        <v>67</v>
      </c>
    </row>
    <row r="29" spans="1:4" x14ac:dyDescent="0.25">
      <c r="A29" s="1">
        <v>41244</v>
      </c>
      <c r="B29" s="14">
        <v>171389.37919729919</v>
      </c>
      <c r="C29" s="14">
        <v>170747.47988380102</v>
      </c>
      <c r="D29" t="s">
        <v>67</v>
      </c>
    </row>
    <row r="30" spans="1:4" x14ac:dyDescent="0.25">
      <c r="A30" s="1">
        <v>41334</v>
      </c>
      <c r="B30" s="14">
        <v>186667.5788958073</v>
      </c>
      <c r="C30" s="14">
        <v>165492.09119092842</v>
      </c>
      <c r="D30" t="s">
        <v>67</v>
      </c>
    </row>
    <row r="31" spans="1:4" x14ac:dyDescent="0.25">
      <c r="A31" s="1">
        <v>41426</v>
      </c>
      <c r="B31" s="14">
        <v>186687.45451962927</v>
      </c>
      <c r="C31" s="14">
        <v>172010.17762461392</v>
      </c>
      <c r="D31" t="s">
        <v>67</v>
      </c>
    </row>
    <row r="32" spans="1:4" x14ac:dyDescent="0.25">
      <c r="A32" s="1">
        <v>41518</v>
      </c>
      <c r="B32" s="14">
        <v>204713.27027540837</v>
      </c>
      <c r="C32" s="14">
        <v>174668.11861774125</v>
      </c>
      <c r="D32" t="s">
        <v>67</v>
      </c>
    </row>
    <row r="33" spans="1:4" x14ac:dyDescent="0.25">
      <c r="A33" s="1">
        <v>41609</v>
      </c>
      <c r="B33" s="14">
        <v>219156.65218067617</v>
      </c>
      <c r="C33" s="14">
        <v>195955.44618593316</v>
      </c>
      <c r="D33" t="s">
        <v>67</v>
      </c>
    </row>
    <row r="34" spans="1:4" x14ac:dyDescent="0.25">
      <c r="A34" s="1">
        <v>41699</v>
      </c>
      <c r="B34" s="14">
        <v>223825.47616651989</v>
      </c>
      <c r="C34" s="14">
        <v>204007.89505196223</v>
      </c>
      <c r="D34" t="s">
        <v>67</v>
      </c>
    </row>
    <row r="35" spans="1:4" x14ac:dyDescent="0.25">
      <c r="A35" s="1">
        <v>41791</v>
      </c>
      <c r="B35" s="14">
        <v>232563.21852911351</v>
      </c>
      <c r="C35" s="14">
        <v>207177.2440780281</v>
      </c>
      <c r="D35" t="s">
        <v>67</v>
      </c>
    </row>
    <row r="36" spans="1:4" x14ac:dyDescent="0.25">
      <c r="A36" s="1">
        <v>41883</v>
      </c>
      <c r="B36" s="14">
        <v>228415.7601244245</v>
      </c>
      <c r="C36" s="14">
        <v>206451.718949225</v>
      </c>
      <c r="D36" t="s">
        <v>67</v>
      </c>
    </row>
    <row r="37" spans="1:4" x14ac:dyDescent="0.25">
      <c r="A37" s="1">
        <v>41974</v>
      </c>
      <c r="B37" s="14">
        <v>233098.17248875255</v>
      </c>
      <c r="C37" s="14">
        <v>217477.12050753611</v>
      </c>
      <c r="D37" t="s">
        <v>67</v>
      </c>
    </row>
    <row r="38" spans="1:4" x14ac:dyDescent="0.25">
      <c r="A38" s="1">
        <v>42064</v>
      </c>
      <c r="B38" s="14">
        <v>245289.38010175675</v>
      </c>
      <c r="C38" s="14">
        <v>208267.26591563772</v>
      </c>
      <c r="D38" t="s">
        <v>67</v>
      </c>
    </row>
    <row r="39" spans="1:4" x14ac:dyDescent="0.25">
      <c r="A39" s="1">
        <v>42156</v>
      </c>
      <c r="B39" s="14">
        <v>241844.00935080153</v>
      </c>
      <c r="C39" s="14">
        <v>241561.11615561377</v>
      </c>
      <c r="D39" t="s">
        <v>67</v>
      </c>
    </row>
    <row r="40" spans="1:4" x14ac:dyDescent="0.25">
      <c r="A40" s="1">
        <v>42248</v>
      </c>
      <c r="B40" s="14">
        <v>222811.63621465667</v>
      </c>
      <c r="C40" s="14">
        <v>226732.69610078263</v>
      </c>
      <c r="D40" t="s">
        <v>67</v>
      </c>
    </row>
    <row r="41" spans="1:4" x14ac:dyDescent="0.25">
      <c r="A41" s="1">
        <v>42339</v>
      </c>
      <c r="B41" s="14">
        <v>236179.11477909525</v>
      </c>
      <c r="C41" s="14">
        <v>231515.68547836674</v>
      </c>
      <c r="D41" t="s">
        <v>67</v>
      </c>
    </row>
    <row r="42" spans="1:4" x14ac:dyDescent="0.25">
      <c r="A42" s="1">
        <v>42430</v>
      </c>
      <c r="B42" s="14">
        <v>234515.36531236401</v>
      </c>
      <c r="C42" s="14">
        <v>216736.51368002646</v>
      </c>
      <c r="D42" t="s">
        <v>67</v>
      </c>
    </row>
    <row r="43" spans="1:4" x14ac:dyDescent="0.25">
      <c r="A43" s="1">
        <v>42522</v>
      </c>
      <c r="B43" s="14">
        <v>239733.82183433394</v>
      </c>
      <c r="C43" s="14">
        <v>231339.31269472121</v>
      </c>
      <c r="D43" t="s">
        <v>67</v>
      </c>
    </row>
    <row r="44" spans="1:4" x14ac:dyDescent="0.25">
      <c r="A44" s="1">
        <v>42614</v>
      </c>
      <c r="B44" s="14">
        <v>252878.15344378876</v>
      </c>
      <c r="C44" s="14">
        <v>222514.64263869874</v>
      </c>
      <c r="D44" t="s">
        <v>67</v>
      </c>
    </row>
    <row r="45" spans="1:4" x14ac:dyDescent="0.25">
      <c r="A45" s="1">
        <v>42705</v>
      </c>
      <c r="B45" s="14">
        <v>261148.29431421869</v>
      </c>
      <c r="C45" s="14">
        <v>228313.6916309839</v>
      </c>
      <c r="D45" t="s">
        <v>67</v>
      </c>
    </row>
    <row r="46" spans="1:4" x14ac:dyDescent="0.25">
      <c r="A46" s="1">
        <v>42795</v>
      </c>
      <c r="B46" s="14">
        <v>276876.92269049498</v>
      </c>
      <c r="C46" s="14">
        <v>246041.60690909452</v>
      </c>
      <c r="D46" t="s">
        <v>67</v>
      </c>
    </row>
    <row r="47" spans="1:4" x14ac:dyDescent="0.25">
      <c r="A47" s="1">
        <v>42887</v>
      </c>
      <c r="B47" s="14">
        <v>283509.37599227962</v>
      </c>
      <c r="C47" s="14">
        <v>293834.72490039706</v>
      </c>
      <c r="D47" t="s">
        <v>67</v>
      </c>
    </row>
    <row r="48" spans="1:4" x14ac:dyDescent="0.25">
      <c r="A48" s="1">
        <v>42979</v>
      </c>
      <c r="B48" s="14">
        <v>294672.94317609072</v>
      </c>
      <c r="C48" s="14">
        <v>265500.89230924495</v>
      </c>
      <c r="D48" t="s">
        <v>67</v>
      </c>
    </row>
    <row r="49" spans="1:4" x14ac:dyDescent="0.25">
      <c r="A49" s="1">
        <v>43070</v>
      </c>
      <c r="B49" s="14">
        <v>313209.86076429236</v>
      </c>
      <c r="C49" s="14">
        <v>292875.87231385143</v>
      </c>
      <c r="D49" t="s">
        <v>67</v>
      </c>
    </row>
    <row r="50" spans="1:4" x14ac:dyDescent="0.25">
      <c r="A50" s="1">
        <v>43160</v>
      </c>
      <c r="B50" s="14">
        <v>307073.54121618014</v>
      </c>
      <c r="C50" s="14">
        <v>289898.75133259693</v>
      </c>
      <c r="D50" t="s">
        <v>67</v>
      </c>
    </row>
    <row r="51" spans="1:4" x14ac:dyDescent="0.25">
      <c r="A51" s="1">
        <v>43252</v>
      </c>
      <c r="B51" s="14">
        <v>319615.28311846795</v>
      </c>
      <c r="C51" s="14">
        <v>324087.34379665379</v>
      </c>
      <c r="D51" t="s">
        <v>67</v>
      </c>
    </row>
    <row r="52" spans="1:4" x14ac:dyDescent="0.25">
      <c r="A52" s="1">
        <v>43344</v>
      </c>
      <c r="B52" s="14">
        <v>331147.90561733244</v>
      </c>
      <c r="C52" s="14">
        <v>292734.57167199289</v>
      </c>
      <c r="D52" t="s">
        <v>67</v>
      </c>
    </row>
    <row r="53" spans="1:4" x14ac:dyDescent="0.25">
      <c r="A53" s="1">
        <v>43435</v>
      </c>
      <c r="B53" s="14">
        <v>290643.02853658149</v>
      </c>
      <c r="C53" s="14">
        <v>289819.78688654443</v>
      </c>
      <c r="D53" t="s">
        <v>67</v>
      </c>
    </row>
    <row r="54" spans="1:4" x14ac:dyDescent="0.25">
      <c r="A54" s="1">
        <v>43525</v>
      </c>
      <c r="B54" s="14">
        <v>325975.13396520232</v>
      </c>
      <c r="C54" s="14">
        <v>280096.72842075076</v>
      </c>
      <c r="D54" t="s">
        <v>67</v>
      </c>
    </row>
    <row r="55" spans="1:4" x14ac:dyDescent="0.25">
      <c r="A55" s="1">
        <v>43617</v>
      </c>
      <c r="B55" s="14">
        <v>342433.03374836844</v>
      </c>
      <c r="C55" s="14">
        <v>285082.77777466376</v>
      </c>
      <c r="D55" t="s">
        <v>67</v>
      </c>
    </row>
    <row r="56" spans="1:4" x14ac:dyDescent="0.25">
      <c r="A56" s="1">
        <v>43709</v>
      </c>
      <c r="B56" s="14">
        <v>346083.29218015948</v>
      </c>
      <c r="C56" s="14">
        <v>295002.64563516015</v>
      </c>
      <c r="D56" t="s">
        <v>67</v>
      </c>
    </row>
    <row r="57" spans="1:4" x14ac:dyDescent="0.25">
      <c r="A57" s="1">
        <v>43800</v>
      </c>
      <c r="B57" s="14">
        <v>367219.55140163336</v>
      </c>
      <c r="C57" s="14">
        <v>324496.55371628178</v>
      </c>
      <c r="D57" t="s">
        <v>67</v>
      </c>
    </row>
    <row r="58" spans="1:4" x14ac:dyDescent="0.25">
      <c r="A58" s="1">
        <v>43891</v>
      </c>
      <c r="B58" s="14">
        <v>283709.16675093357</v>
      </c>
      <c r="C58" s="14">
        <v>317793.1638313242</v>
      </c>
      <c r="D58" t="s">
        <v>67</v>
      </c>
    </row>
    <row r="59" spans="1:4" x14ac:dyDescent="0.25">
      <c r="A59" s="1">
        <v>43983</v>
      </c>
      <c r="B59" s="14">
        <v>337704.94569278095</v>
      </c>
      <c r="C59" s="14">
        <v>324853.18600627373</v>
      </c>
      <c r="D59" t="s">
        <v>67</v>
      </c>
    </row>
    <row r="60" spans="1:4" x14ac:dyDescent="0.25">
      <c r="A60" s="1">
        <v>44075</v>
      </c>
      <c r="B60" s="14">
        <v>356022.78012656135</v>
      </c>
      <c r="C60" s="14">
        <v>320233.02268763108</v>
      </c>
      <c r="D60" t="s">
        <v>67</v>
      </c>
    </row>
    <row r="61" spans="1:4" x14ac:dyDescent="0.25">
      <c r="A61" s="1">
        <v>44166</v>
      </c>
      <c r="B61" s="14">
        <v>408432.00401773595</v>
      </c>
      <c r="C61" s="14">
        <v>344965.97967558086</v>
      </c>
      <c r="D61" t="s">
        <v>67</v>
      </c>
    </row>
    <row r="62" spans="1:4" x14ac:dyDescent="0.25">
      <c r="A62" s="1">
        <v>44256</v>
      </c>
      <c r="B62" s="14">
        <v>429794.04135915509</v>
      </c>
      <c r="C62" s="14">
        <v>354995.41005229566</v>
      </c>
      <c r="D62" t="s">
        <v>67</v>
      </c>
    </row>
    <row r="63" spans="1:4" x14ac:dyDescent="0.25">
      <c r="A63" s="1">
        <v>44348</v>
      </c>
      <c r="B63" s="14">
        <v>463243.08563039219</v>
      </c>
      <c r="C63" s="14">
        <v>373033.96898119792</v>
      </c>
      <c r="D63" t="s">
        <v>67</v>
      </c>
    </row>
    <row r="64" spans="1:4" x14ac:dyDescent="0.25">
      <c r="A64" s="1">
        <v>44440</v>
      </c>
      <c r="B64" s="14">
        <v>464757.22420025105</v>
      </c>
      <c r="C64" s="14">
        <v>375811.25537194218</v>
      </c>
      <c r="D64" t="s">
        <v>67</v>
      </c>
    </row>
    <row r="65" spans="1:4" x14ac:dyDescent="0.25">
      <c r="A65" s="1">
        <v>44531</v>
      </c>
      <c r="B65" s="14">
        <v>491043.22491695447</v>
      </c>
      <c r="C65" s="14">
        <v>380189.60347755562</v>
      </c>
      <c r="D65" t="s">
        <v>67</v>
      </c>
    </row>
    <row r="66" spans="1:4" x14ac:dyDescent="0.25">
      <c r="A66" s="1">
        <v>44621</v>
      </c>
      <c r="B66" s="14">
        <v>476510.75349349243</v>
      </c>
      <c r="C66" s="14">
        <v>365820.03925745504</v>
      </c>
      <c r="D66" t="s">
        <v>67</v>
      </c>
    </row>
    <row r="67" spans="1:4" x14ac:dyDescent="0.25">
      <c r="A67" s="1">
        <v>44713</v>
      </c>
      <c r="B67" s="14">
        <v>404869.70768461016</v>
      </c>
      <c r="C67" s="14">
        <v>366175.65301470598</v>
      </c>
      <c r="D67" t="s">
        <v>67</v>
      </c>
    </row>
    <row r="68" spans="1:4" x14ac:dyDescent="0.25">
      <c r="A68" s="1">
        <v>44805</v>
      </c>
      <c r="B68" s="14">
        <v>388498.31361096859</v>
      </c>
      <c r="C68" s="14">
        <v>344962.43898695055</v>
      </c>
      <c r="D68" t="s">
        <v>67</v>
      </c>
    </row>
    <row r="69" spans="1:4" x14ac:dyDescent="0.25">
      <c r="A69" s="1">
        <v>44896</v>
      </c>
      <c r="B69" s="14">
        <v>426584.74416551722</v>
      </c>
      <c r="C69" s="14">
        <v>342224.01828998351</v>
      </c>
      <c r="D69" t="s">
        <v>67</v>
      </c>
    </row>
    <row r="70" spans="1:4" x14ac:dyDescent="0.25">
      <c r="A70" s="1">
        <v>44986</v>
      </c>
      <c r="B70" s="14">
        <v>452493.61791994108</v>
      </c>
      <c r="C70" s="14">
        <v>332661.51868019905</v>
      </c>
      <c r="D70" t="s">
        <v>67</v>
      </c>
    </row>
    <row r="71" spans="1:4" x14ac:dyDescent="0.25">
      <c r="A71" s="1">
        <v>45078</v>
      </c>
      <c r="B71" s="14">
        <v>474061.66192017711</v>
      </c>
      <c r="C71" s="14">
        <v>347544.4239508498</v>
      </c>
      <c r="D71" t="s">
        <v>67</v>
      </c>
    </row>
    <row r="72" spans="1:4" x14ac:dyDescent="0.25">
      <c r="A72" s="1">
        <v>45170</v>
      </c>
      <c r="B72" s="14">
        <v>461306.49412069196</v>
      </c>
      <c r="C72" s="14">
        <v>352587.69835701532</v>
      </c>
      <c r="D72" t="s">
        <v>67</v>
      </c>
    </row>
    <row r="73" spans="1:4" x14ac:dyDescent="0.25">
      <c r="A73" s="1">
        <v>45261</v>
      </c>
      <c r="B73" s="14">
        <v>510151.57990633312</v>
      </c>
      <c r="C73" s="14">
        <v>360106.86933769973</v>
      </c>
      <c r="D73" t="s">
        <v>67</v>
      </c>
    </row>
    <row r="74" spans="1:4" x14ac:dyDescent="0.25">
      <c r="A74" s="1">
        <v>45352</v>
      </c>
      <c r="B74" s="14">
        <v>547788.64758787141</v>
      </c>
      <c r="C74" s="14">
        <v>356878.46406304068</v>
      </c>
      <c r="D74" t="s">
        <v>67</v>
      </c>
    </row>
    <row r="75" spans="1:4" x14ac:dyDescent="0.25">
      <c r="A75" s="1">
        <v>45444</v>
      </c>
      <c r="B75" s="14">
        <v>552849.21416965581</v>
      </c>
      <c r="C75" s="14">
        <v>358107.59939136222</v>
      </c>
      <c r="D75" t="s">
        <v>67</v>
      </c>
    </row>
    <row r="76" spans="1:4" x14ac:dyDescent="0.25">
      <c r="A76" s="1">
        <v>45536</v>
      </c>
      <c r="B76" s="14">
        <v>590243.42326232709</v>
      </c>
      <c r="C76" s="14">
        <v>346701.42584978428</v>
      </c>
      <c r="D76" t="s">
        <v>67</v>
      </c>
    </row>
    <row r="77" spans="1:4" x14ac:dyDescent="0.25">
      <c r="A77" s="1">
        <v>45627</v>
      </c>
      <c r="B77" s="14">
        <v>585529.70442877</v>
      </c>
      <c r="C77" s="14">
        <v>353951.23730419867</v>
      </c>
      <c r="D77" t="s">
        <v>67</v>
      </c>
    </row>
    <row r="78" spans="1:4" x14ac:dyDescent="0.25">
      <c r="A78" s="1">
        <v>45717</v>
      </c>
      <c r="B78" s="14">
        <v>571125.15105851355</v>
      </c>
      <c r="C78" s="14">
        <v>354392.93259794492</v>
      </c>
      <c r="D78" t="s">
        <v>67</v>
      </c>
    </row>
    <row r="79" spans="1:4" x14ac:dyDescent="0.25">
      <c r="A79" s="1">
        <v>45809</v>
      </c>
      <c r="B79" s="14">
        <v>631694.77321629249</v>
      </c>
      <c r="C79" s="14">
        <v>354910.53015224333</v>
      </c>
      <c r="D79" t="s">
        <v>67</v>
      </c>
    </row>
    <row r="80" spans="1:4" x14ac:dyDescent="0.25">
      <c r="A80" s="1">
        <v>45901</v>
      </c>
      <c r="B80" s="14">
        <v>671638.848091027</v>
      </c>
      <c r="C80" s="14">
        <v>360413.00955236331</v>
      </c>
      <c r="D80" t="s">
        <v>67</v>
      </c>
    </row>
    <row r="81" spans="1:4" x14ac:dyDescent="0.25">
      <c r="A81" s="1">
        <v>45992</v>
      </c>
      <c r="B81" s="14">
        <v>682488.25950254162</v>
      </c>
      <c r="C81" s="14">
        <v>390401.10033982946</v>
      </c>
      <c r="D81" t="s">
        <v>67</v>
      </c>
    </row>
    <row r="82" spans="1:4" x14ac:dyDescent="0.25">
      <c r="A82" s="1">
        <v>38777</v>
      </c>
      <c r="B82" s="14">
        <v>96819.447826276504</v>
      </c>
      <c r="C82" s="14">
        <v>57626.25</v>
      </c>
      <c r="D82" t="s">
        <v>0</v>
      </c>
    </row>
    <row r="83" spans="1:4" x14ac:dyDescent="0.25">
      <c r="A83" s="1">
        <v>38869</v>
      </c>
      <c r="B83" s="14">
        <v>99680.292406699751</v>
      </c>
      <c r="C83" s="14">
        <v>71555.761791625642</v>
      </c>
      <c r="D83" t="s">
        <v>0</v>
      </c>
    </row>
    <row r="84" spans="1:4" x14ac:dyDescent="0.25">
      <c r="A84" s="1">
        <v>38961</v>
      </c>
      <c r="B84" s="14">
        <v>107019.94638450236</v>
      </c>
      <c r="C84" s="14">
        <v>71733.672271067393</v>
      </c>
      <c r="D84" t="s">
        <v>0</v>
      </c>
    </row>
    <row r="85" spans="1:4" x14ac:dyDescent="0.25">
      <c r="A85" s="1">
        <v>39052</v>
      </c>
      <c r="B85" s="14">
        <v>120831.87306350555</v>
      </c>
      <c r="C85" s="14">
        <v>84584.312361125019</v>
      </c>
      <c r="D85" t="s">
        <v>0</v>
      </c>
    </row>
    <row r="86" spans="1:4" x14ac:dyDescent="0.25">
      <c r="A86" s="1">
        <v>39142</v>
      </c>
      <c r="B86" s="14">
        <v>129404.49692550692</v>
      </c>
      <c r="C86" s="14">
        <v>69038.556814272277</v>
      </c>
      <c r="D86" t="s">
        <v>0</v>
      </c>
    </row>
    <row r="87" spans="1:4" x14ac:dyDescent="0.25">
      <c r="A87" s="1">
        <v>39234</v>
      </c>
      <c r="B87" s="14">
        <v>141201.81658521906</v>
      </c>
      <c r="C87" s="14">
        <v>84822.061923207046</v>
      </c>
      <c r="D87" t="s">
        <v>0</v>
      </c>
    </row>
    <row r="88" spans="1:4" x14ac:dyDescent="0.25">
      <c r="A88" s="1">
        <v>39326</v>
      </c>
      <c r="B88" s="14">
        <v>149289.7299055607</v>
      </c>
      <c r="C88" s="14">
        <v>91781.041371301166</v>
      </c>
      <c r="D88" t="s">
        <v>0</v>
      </c>
    </row>
    <row r="89" spans="1:4" x14ac:dyDescent="0.25">
      <c r="A89" s="1">
        <v>39417</v>
      </c>
      <c r="B89" s="14">
        <v>148889.8032453809</v>
      </c>
      <c r="C89" s="14">
        <v>129966.9449402568</v>
      </c>
      <c r="D89" t="s">
        <v>0</v>
      </c>
    </row>
    <row r="90" spans="1:4" x14ac:dyDescent="0.25">
      <c r="A90" s="1">
        <v>39508</v>
      </c>
      <c r="B90" s="14">
        <v>136506.14034698697</v>
      </c>
      <c r="C90" s="14">
        <v>104507.82011087608</v>
      </c>
      <c r="D90" t="s">
        <v>0</v>
      </c>
    </row>
    <row r="91" spans="1:4" x14ac:dyDescent="0.25">
      <c r="A91" s="1">
        <v>39600</v>
      </c>
      <c r="B91" s="14">
        <v>138345.35404312523</v>
      </c>
      <c r="C91" s="14">
        <v>118125.25355059461</v>
      </c>
      <c r="D91" t="s">
        <v>0</v>
      </c>
    </row>
    <row r="92" spans="1:4" x14ac:dyDescent="0.25">
      <c r="A92" s="1">
        <v>39692</v>
      </c>
      <c r="B92" s="14">
        <v>122562.11833797979</v>
      </c>
      <c r="C92" s="14">
        <v>102386.95871203742</v>
      </c>
      <c r="D92" t="s">
        <v>0</v>
      </c>
    </row>
    <row r="93" spans="1:4" x14ac:dyDescent="0.25">
      <c r="A93" s="1">
        <v>39783</v>
      </c>
      <c r="B93" s="14">
        <v>98764.909619124897</v>
      </c>
      <c r="C93" s="14">
        <v>101378.89659370613</v>
      </c>
      <c r="D93" t="s">
        <v>0</v>
      </c>
    </row>
    <row r="94" spans="1:4" x14ac:dyDescent="0.25">
      <c r="A94" s="1">
        <v>39873</v>
      </c>
      <c r="B94" s="14">
        <v>92061.271961644539</v>
      </c>
      <c r="C94" s="14">
        <v>91015.280140925926</v>
      </c>
      <c r="D94" t="s">
        <v>0</v>
      </c>
    </row>
    <row r="95" spans="1:4" x14ac:dyDescent="0.25">
      <c r="A95" s="1">
        <v>39965</v>
      </c>
      <c r="B95" s="14">
        <v>111571.44964643057</v>
      </c>
      <c r="C95" s="14">
        <v>115092.04575285525</v>
      </c>
      <c r="D95" t="s">
        <v>0</v>
      </c>
    </row>
    <row r="96" spans="1:4" x14ac:dyDescent="0.25">
      <c r="A96" s="1">
        <v>40057</v>
      </c>
      <c r="B96" s="14">
        <v>135451.62935925816</v>
      </c>
      <c r="C96" s="14">
        <v>136193.57873447728</v>
      </c>
      <c r="D96" t="s">
        <v>0</v>
      </c>
    </row>
    <row r="97" spans="1:4" x14ac:dyDescent="0.25">
      <c r="A97" s="1">
        <v>40148</v>
      </c>
      <c r="B97" s="14">
        <v>142943.52655706758</v>
      </c>
      <c r="C97" s="14">
        <v>189985.84942741317</v>
      </c>
      <c r="D97" t="s">
        <v>0</v>
      </c>
    </row>
    <row r="98" spans="1:4" x14ac:dyDescent="0.25">
      <c r="A98" s="1">
        <v>40238</v>
      </c>
      <c r="B98" s="14">
        <v>149833.80699855846</v>
      </c>
      <c r="C98" s="14">
        <v>179962.53570311645</v>
      </c>
      <c r="D98" t="s">
        <v>0</v>
      </c>
    </row>
    <row r="99" spans="1:4" x14ac:dyDescent="0.25">
      <c r="A99" s="1">
        <v>40330</v>
      </c>
      <c r="B99" s="14">
        <v>133626.08155631606</v>
      </c>
      <c r="C99" s="14">
        <v>210494.07314127663</v>
      </c>
      <c r="D99" t="s">
        <v>0</v>
      </c>
    </row>
    <row r="100" spans="1:4" x14ac:dyDescent="0.25">
      <c r="A100" s="1">
        <v>40422</v>
      </c>
      <c r="B100" s="14">
        <v>152910.44611777822</v>
      </c>
      <c r="C100" s="14">
        <v>198168.80290511518</v>
      </c>
      <c r="D100" t="s">
        <v>0</v>
      </c>
    </row>
    <row r="101" spans="1:4" x14ac:dyDescent="0.25">
      <c r="A101" s="1">
        <v>40513</v>
      </c>
      <c r="B101" s="14">
        <v>168163.192453678</v>
      </c>
      <c r="C101" s="14">
        <v>228307.50703840601</v>
      </c>
      <c r="D101" t="s">
        <v>0</v>
      </c>
    </row>
    <row r="102" spans="1:4" x14ac:dyDescent="0.25">
      <c r="A102" s="1">
        <v>40603</v>
      </c>
      <c r="B102" s="14">
        <v>178409.86942276693</v>
      </c>
      <c r="C102" s="14">
        <v>193137.58059308992</v>
      </c>
      <c r="D102" t="s">
        <v>0</v>
      </c>
    </row>
    <row r="103" spans="1:4" x14ac:dyDescent="0.25">
      <c r="A103" s="1">
        <v>40695</v>
      </c>
      <c r="B103" s="14">
        <v>178942.06395459935</v>
      </c>
      <c r="C103" s="14">
        <v>209398.04033816978</v>
      </c>
      <c r="D103" t="s">
        <v>0</v>
      </c>
    </row>
    <row r="104" spans="1:4" x14ac:dyDescent="0.25">
      <c r="A104" s="1">
        <v>40787</v>
      </c>
      <c r="B104" s="14">
        <v>152968.33589863067</v>
      </c>
      <c r="C104" s="14">
        <v>193399.19752005843</v>
      </c>
      <c r="D104" t="s">
        <v>0</v>
      </c>
    </row>
    <row r="105" spans="1:4" x14ac:dyDescent="0.25">
      <c r="A105" s="1">
        <v>40878</v>
      </c>
      <c r="B105" s="14">
        <v>164437.76507360389</v>
      </c>
      <c r="C105" s="14">
        <v>200433.94910829442</v>
      </c>
      <c r="D105" t="s">
        <v>0</v>
      </c>
    </row>
    <row r="106" spans="1:4" x14ac:dyDescent="0.25">
      <c r="A106" s="1">
        <v>40969</v>
      </c>
      <c r="B106" s="14">
        <v>184928.91833417313</v>
      </c>
      <c r="C106" s="14">
        <v>183126.74517736729</v>
      </c>
      <c r="D106" t="s">
        <v>0</v>
      </c>
    </row>
    <row r="107" spans="1:4" x14ac:dyDescent="0.25">
      <c r="A107" s="1">
        <v>41061</v>
      </c>
      <c r="B107" s="14">
        <v>177221.91411850631</v>
      </c>
      <c r="C107" s="14">
        <v>189315.2587700912</v>
      </c>
      <c r="D107" t="s">
        <v>0</v>
      </c>
    </row>
    <row r="108" spans="1:4" x14ac:dyDescent="0.25">
      <c r="A108" s="1">
        <v>41153</v>
      </c>
      <c r="B108" s="14">
        <v>192366.30305325185</v>
      </c>
      <c r="C108" s="14">
        <v>183886.80225746715</v>
      </c>
      <c r="D108" t="s">
        <v>0</v>
      </c>
    </row>
    <row r="109" spans="1:4" x14ac:dyDescent="0.25">
      <c r="A109" s="1">
        <v>41244</v>
      </c>
      <c r="B109" s="14">
        <v>201826.42193909769</v>
      </c>
      <c r="C109" s="14">
        <v>210752.63161236839</v>
      </c>
      <c r="D109" t="s">
        <v>0</v>
      </c>
    </row>
    <row r="110" spans="1:4" x14ac:dyDescent="0.25">
      <c r="A110" s="1">
        <v>41334</v>
      </c>
      <c r="B110" s="14">
        <v>220253.09980844148</v>
      </c>
      <c r="C110" s="14">
        <v>188781.78555678256</v>
      </c>
      <c r="D110" t="s">
        <v>0</v>
      </c>
    </row>
    <row r="111" spans="1:4" x14ac:dyDescent="0.25">
      <c r="A111" s="1">
        <v>41426</v>
      </c>
      <c r="B111" s="14">
        <v>220688.64686611856</v>
      </c>
      <c r="C111" s="14">
        <v>202087.71134348109</v>
      </c>
      <c r="D111" t="s">
        <v>0</v>
      </c>
    </row>
    <row r="112" spans="1:4" x14ac:dyDescent="0.25">
      <c r="A112" s="1">
        <v>41518</v>
      </c>
      <c r="B112" s="14">
        <v>242464.05199129949</v>
      </c>
      <c r="C112" s="14">
        <v>221291.59040101702</v>
      </c>
      <c r="D112" t="s">
        <v>0</v>
      </c>
    </row>
    <row r="113" spans="1:4" x14ac:dyDescent="0.25">
      <c r="A113" s="1">
        <v>41609</v>
      </c>
      <c r="B113" s="14">
        <v>260023.62012436442</v>
      </c>
      <c r="C113" s="14">
        <v>261037.62808049392</v>
      </c>
      <c r="D113" t="s">
        <v>0</v>
      </c>
    </row>
    <row r="114" spans="1:4" x14ac:dyDescent="0.25">
      <c r="A114" s="1">
        <v>41699</v>
      </c>
      <c r="B114" s="14">
        <v>266068.85678251297</v>
      </c>
      <c r="C114" s="14">
        <v>204929.09135525051</v>
      </c>
      <c r="D114" t="s">
        <v>0</v>
      </c>
    </row>
    <row r="115" spans="1:4" x14ac:dyDescent="0.25">
      <c r="A115" s="1">
        <v>41791</v>
      </c>
      <c r="B115" s="14">
        <v>276977.85965251137</v>
      </c>
      <c r="C115" s="14">
        <v>229040.6755701144</v>
      </c>
      <c r="D115" t="s">
        <v>0</v>
      </c>
    </row>
    <row r="116" spans="1:4" x14ac:dyDescent="0.25">
      <c r="A116" s="1">
        <v>41883</v>
      </c>
      <c r="B116" s="14">
        <v>272539.13870708924</v>
      </c>
      <c r="C116" s="14">
        <v>205423.07296575708</v>
      </c>
      <c r="D116" t="s">
        <v>0</v>
      </c>
    </row>
    <row r="117" spans="1:4" x14ac:dyDescent="0.25">
      <c r="A117" s="1">
        <v>41974</v>
      </c>
      <c r="B117" s="14">
        <v>278644.19131835812</v>
      </c>
      <c r="C117" s="14">
        <v>251667.3400208244</v>
      </c>
      <c r="D117" t="s">
        <v>0</v>
      </c>
    </row>
    <row r="118" spans="1:4" x14ac:dyDescent="0.25">
      <c r="A118" s="1">
        <v>42064</v>
      </c>
      <c r="B118" s="14">
        <v>293754.37157487351</v>
      </c>
      <c r="C118" s="14">
        <v>224517.4374237411</v>
      </c>
      <c r="D118" t="s">
        <v>0</v>
      </c>
    </row>
    <row r="119" spans="1:4" x14ac:dyDescent="0.25">
      <c r="A119" s="1">
        <v>42156</v>
      </c>
      <c r="B119" s="14">
        <v>290143.81373057014</v>
      </c>
      <c r="C119" s="14">
        <v>259571.19624408198</v>
      </c>
      <c r="D119" t="s">
        <v>0</v>
      </c>
    </row>
    <row r="120" spans="1:4" x14ac:dyDescent="0.25">
      <c r="A120" s="1">
        <v>42248</v>
      </c>
      <c r="B120" s="14">
        <v>267800.06582684774</v>
      </c>
      <c r="C120" s="14">
        <v>277966.08817031141</v>
      </c>
      <c r="D120" t="s">
        <v>0</v>
      </c>
    </row>
    <row r="121" spans="1:4" x14ac:dyDescent="0.25">
      <c r="A121" s="1">
        <v>42339</v>
      </c>
      <c r="B121" s="14">
        <v>284422.79595261288</v>
      </c>
      <c r="C121" s="14">
        <v>309330.52782257443</v>
      </c>
      <c r="D121" t="s">
        <v>0</v>
      </c>
    </row>
    <row r="122" spans="1:4" x14ac:dyDescent="0.25">
      <c r="A122" s="1">
        <v>42430</v>
      </c>
      <c r="B122" s="14">
        <v>282861.82230836758</v>
      </c>
      <c r="C122" s="14">
        <v>265748.50547381886</v>
      </c>
      <c r="D122" t="s">
        <v>0</v>
      </c>
    </row>
    <row r="123" spans="1:4" x14ac:dyDescent="0.25">
      <c r="A123" s="1">
        <v>42522</v>
      </c>
      <c r="B123" s="14">
        <v>289617.74491369957</v>
      </c>
      <c r="C123" s="14">
        <v>306647.38460520207</v>
      </c>
      <c r="D123" t="s">
        <v>0</v>
      </c>
    </row>
    <row r="124" spans="1:4" x14ac:dyDescent="0.25">
      <c r="A124" s="1">
        <v>42614</v>
      </c>
      <c r="B124" s="14">
        <v>305984.9137433602</v>
      </c>
      <c r="C124" s="14">
        <v>301574.08266534423</v>
      </c>
      <c r="D124" t="s">
        <v>0</v>
      </c>
    </row>
    <row r="125" spans="1:4" x14ac:dyDescent="0.25">
      <c r="A125" s="1">
        <v>42705</v>
      </c>
      <c r="B125" s="14">
        <v>316468.28926685615</v>
      </c>
      <c r="C125" s="14">
        <v>369842.15146318765</v>
      </c>
      <c r="D125" t="s">
        <v>0</v>
      </c>
    </row>
    <row r="126" spans="1:4" x14ac:dyDescent="0.25">
      <c r="A126" s="1">
        <v>42795</v>
      </c>
      <c r="B126" s="14">
        <v>336121.70610292349</v>
      </c>
      <c r="C126" s="14">
        <v>352437.97265860171</v>
      </c>
      <c r="D126" t="s">
        <v>0</v>
      </c>
    </row>
    <row r="127" spans="1:4" x14ac:dyDescent="0.25">
      <c r="A127" s="1">
        <v>42887</v>
      </c>
      <c r="B127" s="14">
        <v>344757.9181912198</v>
      </c>
      <c r="C127" s="14">
        <v>413278.11560394341</v>
      </c>
      <c r="D127" t="s">
        <v>0</v>
      </c>
    </row>
    <row r="128" spans="1:4" x14ac:dyDescent="0.25">
      <c r="A128" s="1">
        <v>42979</v>
      </c>
      <c r="B128" s="14">
        <v>358937.6739247042</v>
      </c>
      <c r="C128" s="14">
        <v>385546.1790260463</v>
      </c>
      <c r="D128" t="s">
        <v>0</v>
      </c>
    </row>
    <row r="129" spans="1:4" x14ac:dyDescent="0.25">
      <c r="A129" s="1">
        <v>43070</v>
      </c>
      <c r="B129" s="14">
        <v>382133.37824460556</v>
      </c>
      <c r="C129" s="14">
        <v>441957.58646017028</v>
      </c>
      <c r="D129" t="s">
        <v>0</v>
      </c>
    </row>
    <row r="130" spans="1:4" x14ac:dyDescent="0.25">
      <c r="A130" s="1">
        <v>43160</v>
      </c>
      <c r="B130" s="14">
        <v>375310.04818082642</v>
      </c>
      <c r="C130" s="14">
        <v>422984.85570453096</v>
      </c>
      <c r="D130" t="s">
        <v>0</v>
      </c>
    </row>
    <row r="131" spans="1:4" x14ac:dyDescent="0.25">
      <c r="A131" s="1">
        <v>43252</v>
      </c>
      <c r="B131" s="14">
        <v>391355.60903199541</v>
      </c>
      <c r="C131" s="14">
        <v>441226.52060649672</v>
      </c>
      <c r="D131" t="s">
        <v>0</v>
      </c>
    </row>
    <row r="132" spans="1:4" x14ac:dyDescent="0.25">
      <c r="A132" s="1">
        <v>43344</v>
      </c>
      <c r="B132" s="14">
        <v>406199.67198542197</v>
      </c>
      <c r="C132" s="14">
        <v>411563.78337398218</v>
      </c>
      <c r="D132" t="s">
        <v>0</v>
      </c>
    </row>
    <row r="133" spans="1:4" x14ac:dyDescent="0.25">
      <c r="A133" s="1">
        <v>43435</v>
      </c>
      <c r="B133" s="14">
        <v>357125.76243912085</v>
      </c>
      <c r="C133" s="14">
        <v>425968.23690754478</v>
      </c>
      <c r="D133" t="s">
        <v>0</v>
      </c>
    </row>
    <row r="134" spans="1:4" x14ac:dyDescent="0.25">
      <c r="A134" s="1">
        <v>43525</v>
      </c>
      <c r="B134" s="14">
        <v>401404.54611467524</v>
      </c>
      <c r="C134" s="14">
        <v>376841.75658630306</v>
      </c>
      <c r="D134" t="s">
        <v>0</v>
      </c>
    </row>
    <row r="135" spans="1:4" x14ac:dyDescent="0.25">
      <c r="A135" s="1">
        <v>43617</v>
      </c>
      <c r="B135" s="14">
        <v>422502.15722316876</v>
      </c>
      <c r="C135" s="14">
        <v>391398.02549044765</v>
      </c>
      <c r="D135" t="s">
        <v>0</v>
      </c>
    </row>
    <row r="136" spans="1:4" x14ac:dyDescent="0.25">
      <c r="A136" s="1">
        <v>43709</v>
      </c>
      <c r="B136" s="14">
        <v>427826.42983963114</v>
      </c>
      <c r="C136" s="14">
        <v>396208.85965226323</v>
      </c>
      <c r="D136" t="s">
        <v>0</v>
      </c>
    </row>
    <row r="137" spans="1:4" x14ac:dyDescent="0.25">
      <c r="A137" s="1">
        <v>43800</v>
      </c>
      <c r="B137" s="14">
        <v>454819.38204981491</v>
      </c>
      <c r="C137" s="14">
        <v>449927.99877336551</v>
      </c>
      <c r="D137" t="s">
        <v>0</v>
      </c>
    </row>
    <row r="138" spans="1:4" x14ac:dyDescent="0.25">
      <c r="A138" s="1">
        <v>43891</v>
      </c>
      <c r="B138" s="14">
        <v>352026.83541506564</v>
      </c>
      <c r="C138" s="14">
        <v>420480.30081998999</v>
      </c>
      <c r="D138" t="s">
        <v>0</v>
      </c>
    </row>
    <row r="139" spans="1:4" x14ac:dyDescent="0.25">
      <c r="A139" s="1">
        <v>43983</v>
      </c>
      <c r="B139" s="14">
        <v>420017.6696181345</v>
      </c>
      <c r="C139" s="14">
        <v>410731.36031158711</v>
      </c>
      <c r="D139" t="s">
        <v>0</v>
      </c>
    </row>
    <row r="140" spans="1:4" x14ac:dyDescent="0.25">
      <c r="A140" s="1">
        <v>44075</v>
      </c>
      <c r="B140" s="14">
        <v>443696.18854917475</v>
      </c>
      <c r="C140" s="14">
        <v>401083.27343294921</v>
      </c>
      <c r="D140" t="s">
        <v>0</v>
      </c>
    </row>
    <row r="141" spans="1:4" x14ac:dyDescent="0.25">
      <c r="A141" s="1">
        <v>44166</v>
      </c>
      <c r="B141" s="14">
        <v>509986.97240352764</v>
      </c>
      <c r="C141" s="14">
        <v>450118.97729279369</v>
      </c>
      <c r="D141" t="s">
        <v>0</v>
      </c>
    </row>
    <row r="142" spans="1:4" x14ac:dyDescent="0.25">
      <c r="A142" s="1">
        <v>44256</v>
      </c>
      <c r="B142" s="14">
        <v>536864.24963837315</v>
      </c>
      <c r="C142" s="14">
        <v>489267.47320035921</v>
      </c>
      <c r="D142" t="s">
        <v>0</v>
      </c>
    </row>
    <row r="143" spans="1:4" x14ac:dyDescent="0.25">
      <c r="A143" s="1">
        <v>44348</v>
      </c>
      <c r="B143" s="14">
        <v>578865.59963624552</v>
      </c>
      <c r="C143" s="14">
        <v>518557.76475808129</v>
      </c>
      <c r="D143" t="s">
        <v>0</v>
      </c>
    </row>
    <row r="144" spans="1:4" x14ac:dyDescent="0.25">
      <c r="A144" s="1">
        <v>44440</v>
      </c>
      <c r="B144" s="14">
        <v>580974.29427096224</v>
      </c>
      <c r="C144" s="14">
        <v>528256.99183302489</v>
      </c>
      <c r="D144" t="s">
        <v>0</v>
      </c>
    </row>
    <row r="145" spans="1:4" x14ac:dyDescent="0.25">
      <c r="A145" s="1">
        <v>44531</v>
      </c>
      <c r="B145" s="14">
        <v>614061.88391883962</v>
      </c>
      <c r="C145" s="14">
        <v>625918.45218311646</v>
      </c>
      <c r="D145" t="s">
        <v>0</v>
      </c>
    </row>
    <row r="146" spans="1:4" x14ac:dyDescent="0.25">
      <c r="A146" s="1">
        <v>44621</v>
      </c>
      <c r="B146" s="14">
        <v>596174.30498868891</v>
      </c>
      <c r="C146" s="14">
        <v>574796.91731622769</v>
      </c>
      <c r="D146" t="s">
        <v>0</v>
      </c>
    </row>
    <row r="147" spans="1:4" x14ac:dyDescent="0.25">
      <c r="A147" s="1">
        <v>44713</v>
      </c>
      <c r="B147" s="14">
        <v>506784.66583705397</v>
      </c>
      <c r="C147" s="14">
        <v>586388.62446111185</v>
      </c>
      <c r="D147" t="s">
        <v>0</v>
      </c>
    </row>
    <row r="148" spans="1:4" x14ac:dyDescent="0.25">
      <c r="A148" s="1">
        <v>44805</v>
      </c>
      <c r="B148" s="14">
        <v>486538.17584509909</v>
      </c>
      <c r="C148" s="14">
        <v>537284.66367927776</v>
      </c>
      <c r="D148" t="s">
        <v>0</v>
      </c>
    </row>
    <row r="149" spans="1:4" x14ac:dyDescent="0.25">
      <c r="A149" s="1">
        <v>44896</v>
      </c>
      <c r="B149" s="14">
        <v>534510.31633442244</v>
      </c>
      <c r="C149" s="14">
        <v>561439.33056575817</v>
      </c>
      <c r="D149" t="s">
        <v>0</v>
      </c>
    </row>
    <row r="150" spans="1:4" x14ac:dyDescent="0.25">
      <c r="A150" s="1">
        <v>44986</v>
      </c>
      <c r="B150" s="14">
        <v>567952.19563935068</v>
      </c>
      <c r="C150" s="14">
        <v>522016.89881708077</v>
      </c>
      <c r="D150" t="s">
        <v>0</v>
      </c>
    </row>
    <row r="151" spans="1:4" x14ac:dyDescent="0.25">
      <c r="A151" s="1">
        <v>45078</v>
      </c>
      <c r="B151" s="14">
        <v>595991.46389746678</v>
      </c>
      <c r="C151" s="14">
        <v>526960.59137322346</v>
      </c>
      <c r="D151" t="s">
        <v>0</v>
      </c>
    </row>
    <row r="152" spans="1:4" x14ac:dyDescent="0.25">
      <c r="A152" s="1">
        <v>45170</v>
      </c>
      <c r="B152" s="14">
        <v>580872.19657186</v>
      </c>
      <c r="C152" s="14">
        <v>518572.31859871477</v>
      </c>
      <c r="D152" t="s">
        <v>0</v>
      </c>
    </row>
    <row r="153" spans="1:4" x14ac:dyDescent="0.25">
      <c r="A153" s="1">
        <v>45261</v>
      </c>
      <c r="B153" s="14">
        <v>643412.57368834154</v>
      </c>
      <c r="C153" s="14">
        <v>550615.46295973589</v>
      </c>
      <c r="D153" t="s">
        <v>0</v>
      </c>
    </row>
    <row r="154" spans="1:4" x14ac:dyDescent="0.25">
      <c r="A154" s="1">
        <v>45352</v>
      </c>
      <c r="B154" s="14">
        <v>692194.93454119819</v>
      </c>
      <c r="C154" s="14">
        <v>530800.74575393461</v>
      </c>
      <c r="D154" t="s">
        <v>0</v>
      </c>
    </row>
    <row r="155" spans="1:4" x14ac:dyDescent="0.25">
      <c r="A155" s="1">
        <v>45444</v>
      </c>
      <c r="B155" s="14">
        <v>699830.89432383736</v>
      </c>
      <c r="C155" s="14">
        <v>530641.57829432236</v>
      </c>
      <c r="D155" t="s">
        <v>0</v>
      </c>
    </row>
    <row r="156" spans="1:4" x14ac:dyDescent="0.25">
      <c r="A156" s="1">
        <v>45536</v>
      </c>
      <c r="B156" s="14">
        <v>748505.73036533117</v>
      </c>
      <c r="C156" s="14">
        <v>511017.24997639004</v>
      </c>
      <c r="D156" t="s">
        <v>0</v>
      </c>
    </row>
    <row r="157" spans="1:4" x14ac:dyDescent="0.25">
      <c r="A157" s="1">
        <v>45627</v>
      </c>
      <c r="B157" s="14">
        <v>743773.80213712214</v>
      </c>
      <c r="C157" s="14">
        <v>535482.87069410877</v>
      </c>
      <c r="D157" t="s">
        <v>0</v>
      </c>
    </row>
    <row r="158" spans="1:4" x14ac:dyDescent="0.25">
      <c r="A158" s="1">
        <v>45717</v>
      </c>
      <c r="B158" s="14">
        <v>726762.61636158486</v>
      </c>
      <c r="C158" s="14">
        <v>525734.40891426324</v>
      </c>
      <c r="D158" t="s">
        <v>0</v>
      </c>
    </row>
    <row r="159" spans="1:4" x14ac:dyDescent="0.25">
      <c r="A159" s="1">
        <v>45809</v>
      </c>
      <c r="B159" s="14">
        <v>805337.22876200126</v>
      </c>
      <c r="C159" s="14">
        <v>530755.20400748006</v>
      </c>
      <c r="D159" t="s">
        <v>0</v>
      </c>
    </row>
    <row r="160" spans="1:4" x14ac:dyDescent="0.25">
      <c r="A160" s="1">
        <v>45901</v>
      </c>
      <c r="B160" s="14">
        <v>857735.45895936608</v>
      </c>
      <c r="C160" s="14">
        <v>532744.18890577601</v>
      </c>
      <c r="D160" t="s">
        <v>0</v>
      </c>
    </row>
    <row r="161" spans="1:4" x14ac:dyDescent="0.25">
      <c r="A161" s="1">
        <v>45992</v>
      </c>
      <c r="B161" s="14">
        <v>873002.53263118083</v>
      </c>
      <c r="C161" s="14">
        <v>560603.27829597238</v>
      </c>
      <c r="D16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7BA5-E387-465D-80E0-AEFA47502497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76685.712285228568</v>
      </c>
      <c r="C2" s="14">
        <v>48895</v>
      </c>
      <c r="D2" t="s">
        <v>67</v>
      </c>
    </row>
    <row r="3" spans="1:4" x14ac:dyDescent="0.25">
      <c r="A3" s="1">
        <v>38869</v>
      </c>
      <c r="B3" s="14">
        <v>78922.028032517032</v>
      </c>
      <c r="C3" s="14">
        <v>62934.718338349019</v>
      </c>
      <c r="D3" t="s">
        <v>67</v>
      </c>
    </row>
    <row r="4" spans="1:4" x14ac:dyDescent="0.25">
      <c r="A4" s="1">
        <v>38961</v>
      </c>
      <c r="B4" s="14">
        <v>84708.098772192185</v>
      </c>
      <c r="C4" s="14">
        <v>59318.687836057157</v>
      </c>
      <c r="D4" t="s">
        <v>67</v>
      </c>
    </row>
    <row r="5" spans="1:4" x14ac:dyDescent="0.25">
      <c r="A5" s="1">
        <v>39052</v>
      </c>
      <c r="B5" s="14">
        <v>95622.739027776246</v>
      </c>
      <c r="C5" s="14">
        <v>64482.480942772701</v>
      </c>
      <c r="D5" t="s">
        <v>67</v>
      </c>
    </row>
    <row r="6" spans="1:4" x14ac:dyDescent="0.25">
      <c r="A6" s="1">
        <v>39142</v>
      </c>
      <c r="B6" s="14">
        <v>102361.60819378046</v>
      </c>
      <c r="C6" s="14">
        <v>70589.586084837036</v>
      </c>
      <c r="D6" t="s">
        <v>67</v>
      </c>
    </row>
    <row r="7" spans="1:4" x14ac:dyDescent="0.25">
      <c r="A7" s="1">
        <v>39234</v>
      </c>
      <c r="B7" s="14">
        <v>111644.20649647612</v>
      </c>
      <c r="C7" s="14">
        <v>89394.579056054412</v>
      </c>
      <c r="D7" t="s">
        <v>67</v>
      </c>
    </row>
    <row r="8" spans="1:4" x14ac:dyDescent="0.25">
      <c r="A8" s="1">
        <v>39326</v>
      </c>
      <c r="B8" s="14">
        <v>117995.72593784884</v>
      </c>
      <c r="C8" s="14">
        <v>103272.12222413428</v>
      </c>
      <c r="D8" t="s">
        <v>67</v>
      </c>
    </row>
    <row r="9" spans="1:4" x14ac:dyDescent="0.25">
      <c r="A9" s="1">
        <v>39417</v>
      </c>
      <c r="B9" s="14">
        <v>117646.48466838943</v>
      </c>
      <c r="C9" s="14">
        <v>119045.45328264209</v>
      </c>
      <c r="D9" t="s">
        <v>67</v>
      </c>
    </row>
    <row r="10" spans="1:4" x14ac:dyDescent="0.25">
      <c r="A10" s="1">
        <v>39508</v>
      </c>
      <c r="B10" s="14">
        <v>107882.08813237429</v>
      </c>
      <c r="C10" s="14">
        <v>121075.8170637736</v>
      </c>
      <c r="D10" t="s">
        <v>67</v>
      </c>
    </row>
    <row r="11" spans="1:4" x14ac:dyDescent="0.25">
      <c r="A11" s="1">
        <v>39600</v>
      </c>
      <c r="B11" s="14">
        <v>109361.53737334134</v>
      </c>
      <c r="C11" s="14">
        <v>126937.90831565598</v>
      </c>
      <c r="D11" t="s">
        <v>67</v>
      </c>
    </row>
    <row r="12" spans="1:4" x14ac:dyDescent="0.25">
      <c r="A12" s="1">
        <v>39692</v>
      </c>
      <c r="B12" s="14">
        <v>96901.595482334713</v>
      </c>
      <c r="C12" s="14">
        <v>109329.84754354684</v>
      </c>
      <c r="D12" t="s">
        <v>67</v>
      </c>
    </row>
    <row r="13" spans="1:4" x14ac:dyDescent="0.25">
      <c r="A13" s="1">
        <v>39783</v>
      </c>
      <c r="B13" s="14">
        <v>78045.675438700797</v>
      </c>
      <c r="C13" s="14">
        <v>108407.43877647785</v>
      </c>
      <c r="D13" t="s">
        <v>67</v>
      </c>
    </row>
    <row r="14" spans="1:4" x14ac:dyDescent="0.25">
      <c r="A14" s="1">
        <v>39873</v>
      </c>
      <c r="B14" s="14">
        <v>72560.145795162869</v>
      </c>
      <c r="C14" s="14">
        <v>107642.31648320981</v>
      </c>
      <c r="D14" t="s">
        <v>67</v>
      </c>
    </row>
    <row r="15" spans="1:4" x14ac:dyDescent="0.25">
      <c r="A15" s="1">
        <v>39965</v>
      </c>
      <c r="B15" s="14">
        <v>87690.6334590201</v>
      </c>
      <c r="C15" s="14">
        <v>122105.59109333166</v>
      </c>
      <c r="D15" t="s">
        <v>67</v>
      </c>
    </row>
    <row r="16" spans="1:4" x14ac:dyDescent="0.25">
      <c r="A16" s="1">
        <v>40057</v>
      </c>
      <c r="B16" s="14">
        <v>106210.07318300319</v>
      </c>
      <c r="C16" s="14">
        <v>126582.26301713218</v>
      </c>
      <c r="D16" t="s">
        <v>67</v>
      </c>
    </row>
    <row r="17" spans="1:4" x14ac:dyDescent="0.25">
      <c r="A17" s="1">
        <v>40148</v>
      </c>
      <c r="B17" s="14">
        <v>111895.87822177145</v>
      </c>
      <c r="C17" s="14">
        <v>136924.53436265353</v>
      </c>
      <c r="D17" t="s">
        <v>67</v>
      </c>
    </row>
    <row r="18" spans="1:4" x14ac:dyDescent="0.25">
      <c r="A18" s="1">
        <v>40238</v>
      </c>
      <c r="B18" s="14">
        <v>117085.8814589236</v>
      </c>
      <c r="C18" s="14">
        <v>140274.05983900785</v>
      </c>
      <c r="D18" t="s">
        <v>67</v>
      </c>
    </row>
    <row r="19" spans="1:4" x14ac:dyDescent="0.25">
      <c r="A19" s="1">
        <v>40330</v>
      </c>
      <c r="B19" s="14">
        <v>104257.79461729489</v>
      </c>
      <c r="C19" s="14">
        <v>147012.38137744681</v>
      </c>
      <c r="D19" t="s">
        <v>67</v>
      </c>
    </row>
    <row r="20" spans="1:4" x14ac:dyDescent="0.25">
      <c r="A20" s="1">
        <v>40422</v>
      </c>
      <c r="B20" s="14">
        <v>119092.19570877594</v>
      </c>
      <c r="C20" s="14">
        <v>137845.03466191588</v>
      </c>
      <c r="D20" t="s">
        <v>67</v>
      </c>
    </row>
    <row r="21" spans="1:4" x14ac:dyDescent="0.25">
      <c r="A21" s="1">
        <v>40513</v>
      </c>
      <c r="B21" s="14">
        <v>130784.68366650127</v>
      </c>
      <c r="C21" s="14">
        <v>138395.84801743538</v>
      </c>
      <c r="D21" t="s">
        <v>67</v>
      </c>
    </row>
    <row r="22" spans="1:4" x14ac:dyDescent="0.25">
      <c r="A22" s="1">
        <v>40603</v>
      </c>
      <c r="B22" s="14">
        <v>138305.61224785115</v>
      </c>
      <c r="C22" s="14">
        <v>131871.20966989445</v>
      </c>
      <c r="D22" t="s">
        <v>67</v>
      </c>
    </row>
    <row r="23" spans="1:4" x14ac:dyDescent="0.25">
      <c r="A23" s="1">
        <v>40695</v>
      </c>
      <c r="B23" s="14">
        <v>138289.28333947092</v>
      </c>
      <c r="C23" s="14">
        <v>134672.55619602284</v>
      </c>
      <c r="D23" t="s">
        <v>67</v>
      </c>
    </row>
    <row r="24" spans="1:4" x14ac:dyDescent="0.25">
      <c r="A24" s="1">
        <v>40787</v>
      </c>
      <c r="B24" s="14">
        <v>117848.01864078849</v>
      </c>
      <c r="C24" s="14">
        <v>121860.50016853443</v>
      </c>
      <c r="D24" t="s">
        <v>67</v>
      </c>
    </row>
    <row r="25" spans="1:4" x14ac:dyDescent="0.25">
      <c r="A25" s="1">
        <v>40878</v>
      </c>
      <c r="B25" s="14">
        <v>126210.97776101636</v>
      </c>
      <c r="C25" s="14">
        <v>131092.25909188617</v>
      </c>
      <c r="D25" t="s">
        <v>67</v>
      </c>
    </row>
    <row r="26" spans="1:4" x14ac:dyDescent="0.25">
      <c r="A26" s="1">
        <v>40969</v>
      </c>
      <c r="B26" s="14">
        <v>141360.67274750583</v>
      </c>
      <c r="C26" s="14">
        <v>126708.14666564498</v>
      </c>
      <c r="D26" t="s">
        <v>67</v>
      </c>
    </row>
    <row r="27" spans="1:4" x14ac:dyDescent="0.25">
      <c r="A27" s="1">
        <v>41061</v>
      </c>
      <c r="B27" s="14">
        <v>134963.94015707154</v>
      </c>
      <c r="C27" s="14">
        <v>131126.13168371373</v>
      </c>
      <c r="D27" t="s">
        <v>67</v>
      </c>
    </row>
    <row r="28" spans="1:4" x14ac:dyDescent="0.25">
      <c r="A28" s="1">
        <v>41153</v>
      </c>
      <c r="B28" s="14">
        <v>145918.21684282896</v>
      </c>
      <c r="C28" s="14">
        <v>137104.59093057818</v>
      </c>
      <c r="D28" t="s">
        <v>67</v>
      </c>
    </row>
    <row r="29" spans="1:4" x14ac:dyDescent="0.25">
      <c r="A29" s="1">
        <v>41244</v>
      </c>
      <c r="B29" s="14">
        <v>152525.67102869489</v>
      </c>
      <c r="C29" s="14">
        <v>134299.75295897922</v>
      </c>
      <c r="D29" t="s">
        <v>67</v>
      </c>
    </row>
    <row r="30" spans="1:4" x14ac:dyDescent="0.25">
      <c r="A30" s="1">
        <v>41334</v>
      </c>
      <c r="B30" s="14">
        <v>165894.81348328158</v>
      </c>
      <c r="C30" s="14">
        <v>140869.70176030035</v>
      </c>
      <c r="D30" t="s">
        <v>67</v>
      </c>
    </row>
    <row r="31" spans="1:4" x14ac:dyDescent="0.25">
      <c r="A31" s="1">
        <v>41426</v>
      </c>
      <c r="B31" s="14">
        <v>165696.35356790051</v>
      </c>
      <c r="C31" s="14">
        <v>143542.43803386274</v>
      </c>
      <c r="D31" t="s">
        <v>67</v>
      </c>
    </row>
    <row r="32" spans="1:4" x14ac:dyDescent="0.25">
      <c r="A32" s="1">
        <v>41518</v>
      </c>
      <c r="B32" s="14">
        <v>181449.85186856202</v>
      </c>
      <c r="C32" s="14">
        <v>143339.19526449929</v>
      </c>
      <c r="D32" t="s">
        <v>67</v>
      </c>
    </row>
    <row r="33" spans="1:4" x14ac:dyDescent="0.25">
      <c r="A33" s="1">
        <v>41609</v>
      </c>
      <c r="B33" s="14">
        <v>194013.71031529707</v>
      </c>
      <c r="C33" s="14">
        <v>148089.48481072212</v>
      </c>
      <c r="D33" t="s">
        <v>67</v>
      </c>
    </row>
    <row r="34" spans="1:4" x14ac:dyDescent="0.25">
      <c r="A34" s="1">
        <v>41699</v>
      </c>
      <c r="B34" s="14">
        <v>197956.70831749553</v>
      </c>
      <c r="C34" s="14">
        <v>152843.68471051558</v>
      </c>
      <c r="D34" t="s">
        <v>67</v>
      </c>
    </row>
    <row r="35" spans="1:4" x14ac:dyDescent="0.25">
      <c r="A35" s="1">
        <v>41791</v>
      </c>
      <c r="B35" s="14">
        <v>205487.37009311764</v>
      </c>
      <c r="C35" s="14">
        <v>161517.21677161221</v>
      </c>
      <c r="D35" t="s">
        <v>67</v>
      </c>
    </row>
    <row r="36" spans="1:4" x14ac:dyDescent="0.25">
      <c r="A36" s="1">
        <v>41883</v>
      </c>
      <c r="B36" s="14">
        <v>201632.8468407279</v>
      </c>
      <c r="C36" s="14">
        <v>167255.64486488479</v>
      </c>
      <c r="D36" t="s">
        <v>67</v>
      </c>
    </row>
    <row r="37" spans="1:4" x14ac:dyDescent="0.25">
      <c r="A37" s="1">
        <v>41974</v>
      </c>
      <c r="B37" s="14">
        <v>205569.71545214232</v>
      </c>
      <c r="C37" s="14">
        <v>167136.50024494191</v>
      </c>
      <c r="D37" t="s">
        <v>67</v>
      </c>
    </row>
    <row r="38" spans="1:4" x14ac:dyDescent="0.25">
      <c r="A38" s="1">
        <v>42064</v>
      </c>
      <c r="B38" s="14">
        <v>216197.32974889301</v>
      </c>
      <c r="C38" s="14">
        <v>167040.06773832577</v>
      </c>
      <c r="D38" t="s">
        <v>67</v>
      </c>
    </row>
    <row r="39" spans="1:4" x14ac:dyDescent="0.25">
      <c r="A39" s="1">
        <v>42156</v>
      </c>
      <c r="B39" s="14">
        <v>213038.83746069478</v>
      </c>
      <c r="C39" s="14">
        <v>171894.73052528169</v>
      </c>
      <c r="D39" t="s">
        <v>67</v>
      </c>
    </row>
    <row r="40" spans="1:4" x14ac:dyDescent="0.25">
      <c r="A40" s="1">
        <v>42248</v>
      </c>
      <c r="B40" s="14">
        <v>196156.38629329426</v>
      </c>
      <c r="C40" s="14">
        <v>171896.70322026429</v>
      </c>
      <c r="D40" t="s">
        <v>67</v>
      </c>
    </row>
    <row r="41" spans="1:4" x14ac:dyDescent="0.25">
      <c r="A41" s="1">
        <v>42339</v>
      </c>
      <c r="B41" s="14">
        <v>207793.39715409192</v>
      </c>
      <c r="C41" s="14">
        <v>167037.1565615783</v>
      </c>
      <c r="D41" t="s">
        <v>67</v>
      </c>
    </row>
    <row r="42" spans="1:4" x14ac:dyDescent="0.25">
      <c r="A42" s="1">
        <v>42430</v>
      </c>
      <c r="B42" s="14">
        <v>206206.11741853677</v>
      </c>
      <c r="C42" s="14">
        <v>162187.04290202813</v>
      </c>
      <c r="D42" t="s">
        <v>67</v>
      </c>
    </row>
    <row r="43" spans="1:4" x14ac:dyDescent="0.25">
      <c r="A43" s="1">
        <v>42522</v>
      </c>
      <c r="B43" s="14">
        <v>210663.95033155903</v>
      </c>
      <c r="C43" s="14">
        <v>160306.14110441389</v>
      </c>
      <c r="D43" t="s">
        <v>67</v>
      </c>
    </row>
    <row r="44" spans="1:4" x14ac:dyDescent="0.25">
      <c r="A44" s="1">
        <v>42614</v>
      </c>
      <c r="B44" s="14">
        <v>222074.51565798308</v>
      </c>
      <c r="C44" s="14">
        <v>167287.43036756484</v>
      </c>
      <c r="D44" t="s">
        <v>67</v>
      </c>
    </row>
    <row r="45" spans="1:4" x14ac:dyDescent="0.25">
      <c r="A45" s="1">
        <v>42705</v>
      </c>
      <c r="B45" s="14">
        <v>229200.56019732542</v>
      </c>
      <c r="C45" s="14">
        <v>157673.63268088648</v>
      </c>
      <c r="D45" t="s">
        <v>67</v>
      </c>
    </row>
    <row r="46" spans="1:4" x14ac:dyDescent="0.25">
      <c r="A46" s="1">
        <v>42795</v>
      </c>
      <c r="B46" s="14">
        <v>242930.87055600458</v>
      </c>
      <c r="C46" s="14">
        <v>152997.49233154082</v>
      </c>
      <c r="D46" t="s">
        <v>67</v>
      </c>
    </row>
    <row r="47" spans="1:4" x14ac:dyDescent="0.25">
      <c r="A47" s="1">
        <v>42887</v>
      </c>
      <c r="B47" s="14">
        <v>248674.49555403925</v>
      </c>
      <c r="C47" s="14">
        <v>141027.66096698228</v>
      </c>
      <c r="D47" t="s">
        <v>67</v>
      </c>
    </row>
    <row r="48" spans="1:4" x14ac:dyDescent="0.25">
      <c r="A48" s="1">
        <v>42979</v>
      </c>
      <c r="B48" s="14">
        <v>258386.079264776</v>
      </c>
      <c r="C48" s="14">
        <v>148668.01780997863</v>
      </c>
      <c r="D48" t="s">
        <v>67</v>
      </c>
    </row>
    <row r="49" spans="1:4" x14ac:dyDescent="0.25">
      <c r="A49" s="1">
        <v>43070</v>
      </c>
      <c r="B49" s="14">
        <v>274558.79700521007</v>
      </c>
      <c r="C49" s="14">
        <v>140189.78396620505</v>
      </c>
      <c r="D49" t="s">
        <v>67</v>
      </c>
    </row>
    <row r="50" spans="1:4" x14ac:dyDescent="0.25">
      <c r="A50" s="1">
        <v>43160</v>
      </c>
      <c r="B50" s="14">
        <v>269242.10858040833</v>
      </c>
      <c r="C50" s="14">
        <v>134686.81923414741</v>
      </c>
      <c r="D50" t="s">
        <v>67</v>
      </c>
    </row>
    <row r="51" spans="1:4" x14ac:dyDescent="0.25">
      <c r="A51" s="1">
        <v>43252</v>
      </c>
      <c r="B51" s="14">
        <v>280302.89663213736</v>
      </c>
      <c r="C51" s="14">
        <v>135088.47809036082</v>
      </c>
      <c r="D51" t="s">
        <v>67</v>
      </c>
    </row>
    <row r="52" spans="1:4" x14ac:dyDescent="0.25">
      <c r="A52" s="1">
        <v>43344</v>
      </c>
      <c r="B52" s="14">
        <v>290480.52483558608</v>
      </c>
      <c r="C52" s="14">
        <v>135515.03816580304</v>
      </c>
      <c r="D52" t="s">
        <v>67</v>
      </c>
    </row>
    <row r="53" spans="1:4" x14ac:dyDescent="0.25">
      <c r="A53" s="1">
        <v>43435</v>
      </c>
      <c r="B53" s="14">
        <v>255003.97275498329</v>
      </c>
      <c r="C53" s="14">
        <v>140835.97601246226</v>
      </c>
      <c r="D53" t="s">
        <v>67</v>
      </c>
    </row>
    <row r="54" spans="1:4" x14ac:dyDescent="0.25">
      <c r="A54" s="1">
        <v>43525</v>
      </c>
      <c r="B54" s="14">
        <v>286072.72701281449</v>
      </c>
      <c r="C54" s="14">
        <v>139128.71922474194</v>
      </c>
      <c r="D54" t="s">
        <v>67</v>
      </c>
    </row>
    <row r="55" spans="1:4" x14ac:dyDescent="0.25">
      <c r="A55" s="1">
        <v>43617</v>
      </c>
      <c r="B55" s="14">
        <v>300575.61592543899</v>
      </c>
      <c r="C55" s="14">
        <v>141749.09132522825</v>
      </c>
      <c r="D55" t="s">
        <v>67</v>
      </c>
    </row>
    <row r="56" spans="1:4" x14ac:dyDescent="0.25">
      <c r="A56" s="1">
        <v>43709</v>
      </c>
      <c r="B56" s="14">
        <v>303832.3502202307</v>
      </c>
      <c r="C56" s="14">
        <v>149600.3956897991</v>
      </c>
      <c r="D56" t="s">
        <v>67</v>
      </c>
    </row>
    <row r="57" spans="1:4" x14ac:dyDescent="0.25">
      <c r="A57" s="1">
        <v>43800</v>
      </c>
      <c r="B57" s="14">
        <v>322442.05001275713</v>
      </c>
      <c r="C57" s="14">
        <v>151623.75236831012</v>
      </c>
      <c r="D57" t="s">
        <v>67</v>
      </c>
    </row>
    <row r="58" spans="1:4" x14ac:dyDescent="0.25">
      <c r="A58" s="1">
        <v>43891</v>
      </c>
      <c r="B58" s="14">
        <v>249158.46140333035</v>
      </c>
      <c r="C58" s="14">
        <v>143422.78895332478</v>
      </c>
      <c r="D58" t="s">
        <v>67</v>
      </c>
    </row>
    <row r="59" spans="1:4" x14ac:dyDescent="0.25">
      <c r="A59" s="1">
        <v>43983</v>
      </c>
      <c r="B59" s="14">
        <v>296642.84076037601</v>
      </c>
      <c r="C59" s="14">
        <v>140681.28829467995</v>
      </c>
      <c r="D59" t="s">
        <v>67</v>
      </c>
    </row>
    <row r="60" spans="1:4" x14ac:dyDescent="0.25">
      <c r="A60" s="1">
        <v>44075</v>
      </c>
      <c r="B60" s="14">
        <v>312788.25280925346</v>
      </c>
      <c r="C60" s="14">
        <v>154622.15397341136</v>
      </c>
      <c r="D60" t="s">
        <v>67</v>
      </c>
    </row>
    <row r="61" spans="1:4" x14ac:dyDescent="0.25">
      <c r="A61" s="1">
        <v>44166</v>
      </c>
      <c r="B61" s="14">
        <v>358892.55706151278</v>
      </c>
      <c r="C61" s="14">
        <v>170013.26255146123</v>
      </c>
      <c r="D61" t="s">
        <v>67</v>
      </c>
    </row>
    <row r="62" spans="1:4" x14ac:dyDescent="0.25">
      <c r="A62" s="1">
        <v>44256</v>
      </c>
      <c r="B62" s="14">
        <v>377267.62703895732</v>
      </c>
      <c r="C62" s="14">
        <v>175613.57726091077</v>
      </c>
      <c r="D62" t="s">
        <v>67</v>
      </c>
    </row>
    <row r="63" spans="1:4" x14ac:dyDescent="0.25">
      <c r="A63" s="1">
        <v>44348</v>
      </c>
      <c r="B63" s="14">
        <v>406215.79048904631</v>
      </c>
      <c r="C63" s="14">
        <v>177607.95077958406</v>
      </c>
      <c r="D63" t="s">
        <v>67</v>
      </c>
    </row>
    <row r="64" spans="1:4" x14ac:dyDescent="0.25">
      <c r="A64" s="1">
        <v>44440</v>
      </c>
      <c r="B64" s="14">
        <v>407151.23644625832</v>
      </c>
      <c r="C64" s="14">
        <v>186861.28738862707</v>
      </c>
      <c r="D64" t="s">
        <v>67</v>
      </c>
    </row>
    <row r="65" spans="1:4" x14ac:dyDescent="0.25">
      <c r="A65" s="1">
        <v>44531</v>
      </c>
      <c r="B65" s="14">
        <v>429766.08169666724</v>
      </c>
      <c r="C65" s="14">
        <v>207173.32192809874</v>
      </c>
      <c r="D65" t="s">
        <v>67</v>
      </c>
    </row>
    <row r="66" spans="1:4" x14ac:dyDescent="0.25">
      <c r="A66" s="1">
        <v>44621</v>
      </c>
      <c r="B66" s="14">
        <v>416657.83863394777</v>
      </c>
      <c r="C66" s="14">
        <v>216702.81885922336</v>
      </c>
      <c r="D66" t="s">
        <v>67</v>
      </c>
    </row>
    <row r="67" spans="1:4" x14ac:dyDescent="0.25">
      <c r="A67" s="1">
        <v>44713</v>
      </c>
      <c r="B67" s="14">
        <v>353675.24152951594</v>
      </c>
      <c r="C67" s="14">
        <v>228184.22946700393</v>
      </c>
      <c r="D67" t="s">
        <v>67</v>
      </c>
    </row>
    <row r="68" spans="1:4" x14ac:dyDescent="0.25">
      <c r="A68" s="1">
        <v>44805</v>
      </c>
      <c r="B68" s="14">
        <v>338998.49435969972</v>
      </c>
      <c r="C68" s="14">
        <v>228818.25516726592</v>
      </c>
      <c r="D68" t="s">
        <v>67</v>
      </c>
    </row>
    <row r="69" spans="1:4" x14ac:dyDescent="0.25">
      <c r="A69" s="1">
        <v>44896</v>
      </c>
      <c r="B69" s="14">
        <v>371805.91430863179</v>
      </c>
      <c r="C69" s="14">
        <v>239079.7149497341</v>
      </c>
      <c r="D69" t="s">
        <v>67</v>
      </c>
    </row>
    <row r="70" spans="1:4" x14ac:dyDescent="0.25">
      <c r="A70" s="1">
        <v>44986</v>
      </c>
      <c r="B70" s="14">
        <v>393988.74403286009</v>
      </c>
      <c r="C70" s="14">
        <v>242479.25392055331</v>
      </c>
      <c r="D70" t="s">
        <v>67</v>
      </c>
    </row>
    <row r="71" spans="1:4" x14ac:dyDescent="0.25">
      <c r="A71" s="1">
        <v>45078</v>
      </c>
      <c r="B71" s="14">
        <v>412373.39846826345</v>
      </c>
      <c r="C71" s="14">
        <v>259539.1945742502</v>
      </c>
      <c r="D71" t="s">
        <v>67</v>
      </c>
    </row>
    <row r="72" spans="1:4" x14ac:dyDescent="0.25">
      <c r="A72" s="1">
        <v>45170</v>
      </c>
      <c r="B72" s="14">
        <v>400904.12316572503</v>
      </c>
      <c r="C72" s="14">
        <v>284343.64873527305</v>
      </c>
      <c r="D72" t="s">
        <v>67</v>
      </c>
    </row>
    <row r="73" spans="1:4" x14ac:dyDescent="0.25">
      <c r="A73" s="1">
        <v>45261</v>
      </c>
      <c r="B73" s="14">
        <v>442931.29369740066</v>
      </c>
      <c r="C73" s="14">
        <v>307166.34698098799</v>
      </c>
      <c r="D73" t="s">
        <v>67</v>
      </c>
    </row>
    <row r="74" spans="1:4" x14ac:dyDescent="0.25">
      <c r="A74" s="1">
        <v>45352</v>
      </c>
      <c r="B74" s="14">
        <v>475064.09118898655</v>
      </c>
      <c r="C74" s="14">
        <v>338737.95056394453</v>
      </c>
      <c r="D74" t="s">
        <v>67</v>
      </c>
    </row>
    <row r="75" spans="1:4" x14ac:dyDescent="0.25">
      <c r="A75" s="1">
        <v>45444</v>
      </c>
      <c r="B75" s="14">
        <v>478937.80150809768</v>
      </c>
      <c r="C75" s="14">
        <v>368310.43726487953</v>
      </c>
      <c r="D75" t="s">
        <v>67</v>
      </c>
    </row>
    <row r="76" spans="1:4" x14ac:dyDescent="0.25">
      <c r="A76" s="1">
        <v>45536</v>
      </c>
      <c r="B76" s="14">
        <v>510777.22555879719</v>
      </c>
      <c r="C76" s="14">
        <v>389068.1700557248</v>
      </c>
      <c r="D76" t="s">
        <v>67</v>
      </c>
    </row>
    <row r="77" spans="1:4" x14ac:dyDescent="0.25">
      <c r="A77" s="1">
        <v>45627</v>
      </c>
      <c r="B77" s="14">
        <v>506181.31283950259</v>
      </c>
      <c r="C77" s="14">
        <v>412749.35960409226</v>
      </c>
      <c r="D77" t="s">
        <v>67</v>
      </c>
    </row>
    <row r="78" spans="1:4" x14ac:dyDescent="0.25">
      <c r="A78" s="1">
        <v>45717</v>
      </c>
      <c r="B78" s="14">
        <v>493139.62328637711</v>
      </c>
      <c r="C78" s="14">
        <v>442272.80491210218</v>
      </c>
      <c r="D78" t="s">
        <v>67</v>
      </c>
    </row>
    <row r="79" spans="1:4" x14ac:dyDescent="0.25">
      <c r="A79" s="1">
        <v>45809</v>
      </c>
      <c r="B79" s="14">
        <v>544752.85477532551</v>
      </c>
      <c r="C79" s="14">
        <v>462986.83559725585</v>
      </c>
      <c r="D79" t="s">
        <v>67</v>
      </c>
    </row>
    <row r="80" spans="1:4" x14ac:dyDescent="0.25">
      <c r="A80" s="1">
        <v>45901</v>
      </c>
      <c r="B80" s="14">
        <v>578525.5132485783</v>
      </c>
      <c r="C80" s="14">
        <v>496435.91066247656</v>
      </c>
      <c r="D80" t="s">
        <v>67</v>
      </c>
    </row>
    <row r="81" spans="1:4" x14ac:dyDescent="0.25">
      <c r="A81" s="1">
        <v>45992</v>
      </c>
      <c r="B81" s="14">
        <v>587225.62699308142</v>
      </c>
      <c r="C81" s="14">
        <v>548419.79332688567</v>
      </c>
      <c r="D81" t="s">
        <v>67</v>
      </c>
    </row>
    <row r="82" spans="1:4" x14ac:dyDescent="0.25">
      <c r="A82" s="1">
        <v>38777</v>
      </c>
      <c r="B82" s="14">
        <v>89388.033839648109</v>
      </c>
      <c r="C82" s="14">
        <v>56753.125</v>
      </c>
      <c r="D82" t="s">
        <v>0</v>
      </c>
    </row>
    <row r="83" spans="1:4" x14ac:dyDescent="0.25">
      <c r="A83" s="1">
        <v>38869</v>
      </c>
      <c r="B83" s="14">
        <v>92087.217003569604</v>
      </c>
      <c r="C83" s="14">
        <v>60922.407446297992</v>
      </c>
      <c r="D83" t="s">
        <v>0</v>
      </c>
    </row>
    <row r="84" spans="1:4" x14ac:dyDescent="0.25">
      <c r="A84" s="1">
        <v>38961</v>
      </c>
      <c r="B84" s="14">
        <v>98932.034631984439</v>
      </c>
      <c r="C84" s="14">
        <v>65049.023827566387</v>
      </c>
      <c r="D84" t="s">
        <v>0</v>
      </c>
    </row>
    <row r="85" spans="1:4" x14ac:dyDescent="0.25">
      <c r="A85" s="1">
        <v>39052</v>
      </c>
      <c r="B85" s="14">
        <v>111773.69330237756</v>
      </c>
      <c r="C85" s="14">
        <v>72554.591719289805</v>
      </c>
      <c r="D85" t="s">
        <v>0</v>
      </c>
    </row>
    <row r="86" spans="1:4" x14ac:dyDescent="0.25">
      <c r="A86" s="1">
        <v>39142</v>
      </c>
      <c r="B86" s="14">
        <v>119808.0402245858</v>
      </c>
      <c r="C86" s="14">
        <v>80016.497241328761</v>
      </c>
      <c r="D86" t="s">
        <v>0</v>
      </c>
    </row>
    <row r="87" spans="1:4" x14ac:dyDescent="0.25">
      <c r="A87" s="1">
        <v>39234</v>
      </c>
      <c r="B87" s="14">
        <v>130831.02022288719</v>
      </c>
      <c r="C87" s="14">
        <v>101640.13863649179</v>
      </c>
      <c r="D87" t="s">
        <v>0</v>
      </c>
    </row>
    <row r="88" spans="1:4" x14ac:dyDescent="0.25">
      <c r="A88" s="1">
        <v>39326</v>
      </c>
      <c r="B88" s="14">
        <v>138424.52198994227</v>
      </c>
      <c r="C88" s="14">
        <v>115398.84945658449</v>
      </c>
      <c r="D88" t="s">
        <v>0</v>
      </c>
    </row>
    <row r="89" spans="1:4" x14ac:dyDescent="0.25">
      <c r="A89" s="1">
        <v>39417</v>
      </c>
      <c r="B89" s="14">
        <v>138152.19290056027</v>
      </c>
      <c r="C89" s="14">
        <v>138867.88327449534</v>
      </c>
      <c r="D89" t="s">
        <v>0</v>
      </c>
    </row>
    <row r="90" spans="1:4" x14ac:dyDescent="0.25">
      <c r="A90" s="1">
        <v>39508</v>
      </c>
      <c r="B90" s="14">
        <v>126829.86053907881</v>
      </c>
      <c r="C90" s="14">
        <v>147591.51980616586</v>
      </c>
      <c r="D90" t="s">
        <v>0</v>
      </c>
    </row>
    <row r="91" spans="1:4" x14ac:dyDescent="0.25">
      <c r="A91" s="1">
        <v>39600</v>
      </c>
      <c r="B91" s="14">
        <v>128723.12030462519</v>
      </c>
      <c r="C91" s="14">
        <v>146436.05652710077</v>
      </c>
      <c r="D91" t="s">
        <v>0</v>
      </c>
    </row>
    <row r="92" spans="1:4" x14ac:dyDescent="0.25">
      <c r="A92" s="1">
        <v>39692</v>
      </c>
      <c r="B92" s="14">
        <v>114190.82253016469</v>
      </c>
      <c r="C92" s="14">
        <v>130624.84759518839</v>
      </c>
      <c r="D92" t="s">
        <v>0</v>
      </c>
    </row>
    <row r="93" spans="1:4" x14ac:dyDescent="0.25">
      <c r="A93" s="1">
        <v>39783</v>
      </c>
      <c r="B93" s="14">
        <v>92103.954057534778</v>
      </c>
      <c r="C93" s="14">
        <v>118795.03831198331</v>
      </c>
      <c r="D93" t="s">
        <v>0</v>
      </c>
    </row>
    <row r="94" spans="1:4" x14ac:dyDescent="0.25">
      <c r="A94" s="1">
        <v>39873</v>
      </c>
      <c r="B94" s="14">
        <v>85876.736878261247</v>
      </c>
      <c r="C94" s="14">
        <v>119131.75127515433</v>
      </c>
      <c r="D94" t="s">
        <v>0</v>
      </c>
    </row>
    <row r="95" spans="1:4" x14ac:dyDescent="0.25">
      <c r="A95" s="1">
        <v>39965</v>
      </c>
      <c r="B95" s="14">
        <v>104103.21594076532</v>
      </c>
      <c r="C95" s="14">
        <v>138240.00528690289</v>
      </c>
      <c r="D95" t="s">
        <v>0</v>
      </c>
    </row>
    <row r="96" spans="1:4" x14ac:dyDescent="0.25">
      <c r="A96" s="1">
        <v>40057</v>
      </c>
      <c r="B96" s="14">
        <v>126408.53660041167</v>
      </c>
      <c r="C96" s="14">
        <v>147547.10216274278</v>
      </c>
      <c r="D96" t="s">
        <v>0</v>
      </c>
    </row>
    <row r="97" spans="1:4" x14ac:dyDescent="0.25">
      <c r="A97" s="1">
        <v>40148</v>
      </c>
      <c r="B97" s="14">
        <v>133440.04273804475</v>
      </c>
      <c r="C97" s="14">
        <v>171502.3166709372</v>
      </c>
      <c r="D97" t="s">
        <v>0</v>
      </c>
    </row>
    <row r="98" spans="1:4" x14ac:dyDescent="0.25">
      <c r="A98" s="1">
        <v>40238</v>
      </c>
      <c r="B98" s="14">
        <v>139780.98369476764</v>
      </c>
      <c r="C98" s="14">
        <v>175702.42436670559</v>
      </c>
      <c r="D98" t="s">
        <v>0</v>
      </c>
    </row>
    <row r="99" spans="1:4" x14ac:dyDescent="0.25">
      <c r="A99" s="1">
        <v>40330</v>
      </c>
      <c r="B99" s="14">
        <v>124590.83779531588</v>
      </c>
      <c r="C99" s="14">
        <v>179865.35896489365</v>
      </c>
      <c r="D99" t="s">
        <v>0</v>
      </c>
    </row>
    <row r="100" spans="1:4" x14ac:dyDescent="0.25">
      <c r="A100" s="1">
        <v>40422</v>
      </c>
      <c r="B100" s="14">
        <v>142478.84745957926</v>
      </c>
      <c r="C100" s="14">
        <v>174179.19983079523</v>
      </c>
      <c r="D100" t="s">
        <v>0</v>
      </c>
    </row>
    <row r="101" spans="1:4" x14ac:dyDescent="0.25">
      <c r="A101" s="1">
        <v>40513</v>
      </c>
      <c r="B101" s="14">
        <v>156613.73376811016</v>
      </c>
      <c r="C101" s="14">
        <v>173415.8023863089</v>
      </c>
      <c r="D101" t="s">
        <v>0</v>
      </c>
    </row>
    <row r="102" spans="1:4" x14ac:dyDescent="0.25">
      <c r="A102" s="1">
        <v>40603</v>
      </c>
      <c r="B102" s="14">
        <v>165997.14114559407</v>
      </c>
      <c r="C102" s="14">
        <v>162838.55475077036</v>
      </c>
      <c r="D102" t="s">
        <v>0</v>
      </c>
    </row>
    <row r="103" spans="1:4" x14ac:dyDescent="0.25">
      <c r="A103" s="1">
        <v>40695</v>
      </c>
      <c r="B103" s="14">
        <v>166337.03431217116</v>
      </c>
      <c r="C103" s="14">
        <v>154274.54067395508</v>
      </c>
      <c r="D103" t="s">
        <v>0</v>
      </c>
    </row>
    <row r="104" spans="1:4" x14ac:dyDescent="0.25">
      <c r="A104" s="1">
        <v>40787</v>
      </c>
      <c r="B104" s="14">
        <v>142058.02808029094</v>
      </c>
      <c r="C104" s="14">
        <v>144791.98903490603</v>
      </c>
      <c r="D104" t="s">
        <v>0</v>
      </c>
    </row>
    <row r="105" spans="1:4" x14ac:dyDescent="0.25">
      <c r="A105" s="1">
        <v>40878</v>
      </c>
      <c r="B105" s="14">
        <v>152530.10969522002</v>
      </c>
      <c r="C105" s="14">
        <v>141224.25385665358</v>
      </c>
      <c r="D105" t="s">
        <v>0</v>
      </c>
    </row>
    <row r="106" spans="1:4" x14ac:dyDescent="0.25">
      <c r="A106" s="1">
        <v>40969</v>
      </c>
      <c r="B106" s="14">
        <v>171436.66542566335</v>
      </c>
      <c r="C106" s="14">
        <v>140704.03407619504</v>
      </c>
      <c r="D106" t="s">
        <v>0</v>
      </c>
    </row>
    <row r="107" spans="1:4" x14ac:dyDescent="0.25">
      <c r="A107" s="1">
        <v>41061</v>
      </c>
      <c r="B107" s="14">
        <v>164194.2138149672</v>
      </c>
      <c r="C107" s="14">
        <v>145065.34481145343</v>
      </c>
      <c r="D107" t="s">
        <v>0</v>
      </c>
    </row>
    <row r="108" spans="1:4" x14ac:dyDescent="0.25">
      <c r="A108" s="1">
        <v>41153</v>
      </c>
      <c r="B108" s="14">
        <v>178109.91617574714</v>
      </c>
      <c r="C108" s="14">
        <v>144653.36112477822</v>
      </c>
      <c r="D108" t="s">
        <v>0</v>
      </c>
    </row>
    <row r="109" spans="1:4" x14ac:dyDescent="0.25">
      <c r="A109" s="1">
        <v>41244</v>
      </c>
      <c r="B109" s="14">
        <v>186748.98861654644</v>
      </c>
      <c r="C109" s="14">
        <v>149161.26124702944</v>
      </c>
      <c r="D109" t="s">
        <v>0</v>
      </c>
    </row>
    <row r="110" spans="1:4" x14ac:dyDescent="0.25">
      <c r="A110" s="1">
        <v>41334</v>
      </c>
      <c r="B110" s="14">
        <v>203673.31751740756</v>
      </c>
      <c r="C110" s="14">
        <v>148867.7196771343</v>
      </c>
      <c r="D110" t="s">
        <v>0</v>
      </c>
    </row>
    <row r="111" spans="1:4" x14ac:dyDescent="0.25">
      <c r="A111" s="1">
        <v>41426</v>
      </c>
      <c r="B111" s="14">
        <v>203951.18493001489</v>
      </c>
      <c r="C111" s="14">
        <v>153496.26401251921</v>
      </c>
      <c r="D111" t="s">
        <v>0</v>
      </c>
    </row>
    <row r="112" spans="1:4" x14ac:dyDescent="0.25">
      <c r="A112" s="1">
        <v>41518</v>
      </c>
      <c r="B112" s="14">
        <v>223927.35687223848</v>
      </c>
      <c r="C112" s="14">
        <v>157207.61838736522</v>
      </c>
      <c r="D112" t="s">
        <v>0</v>
      </c>
    </row>
    <row r="113" spans="1:4" x14ac:dyDescent="0.25">
      <c r="A113" s="1">
        <v>41609</v>
      </c>
      <c r="B113" s="14">
        <v>240001.65992657156</v>
      </c>
      <c r="C113" s="14">
        <v>172711.79375351671</v>
      </c>
      <c r="D113" t="s">
        <v>0</v>
      </c>
    </row>
    <row r="114" spans="1:4" x14ac:dyDescent="0.25">
      <c r="A114" s="1">
        <v>41699</v>
      </c>
      <c r="B114" s="14">
        <v>245420.47750032076</v>
      </c>
      <c r="C114" s="14">
        <v>155946.06819077698</v>
      </c>
      <c r="D114" t="s">
        <v>0</v>
      </c>
    </row>
    <row r="115" spans="1:4" x14ac:dyDescent="0.25">
      <c r="A115" s="1">
        <v>41791</v>
      </c>
      <c r="B115" s="14">
        <v>255314.99009133337</v>
      </c>
      <c r="C115" s="14">
        <v>166617.97594026415</v>
      </c>
      <c r="D115" t="s">
        <v>0</v>
      </c>
    </row>
    <row r="116" spans="1:4" x14ac:dyDescent="0.25">
      <c r="A116" s="1">
        <v>41883</v>
      </c>
      <c r="B116" s="14">
        <v>251060.79075096376</v>
      </c>
      <c r="C116" s="14">
        <v>158718.58890566981</v>
      </c>
      <c r="D116" t="s">
        <v>0</v>
      </c>
    </row>
    <row r="117" spans="1:4" x14ac:dyDescent="0.25">
      <c r="A117" s="1">
        <v>41974</v>
      </c>
      <c r="B117" s="14">
        <v>256516.75740961096</v>
      </c>
      <c r="C117" s="14">
        <v>174319.23354323613</v>
      </c>
      <c r="D117" t="s">
        <v>0</v>
      </c>
    </row>
    <row r="118" spans="1:4" x14ac:dyDescent="0.25">
      <c r="A118" s="1">
        <v>42064</v>
      </c>
      <c r="B118" s="14">
        <v>270259.25567686558</v>
      </c>
      <c r="C118" s="14">
        <v>170162.31545519954</v>
      </c>
      <c r="D118" t="s">
        <v>0</v>
      </c>
    </row>
    <row r="119" spans="1:4" x14ac:dyDescent="0.25">
      <c r="A119" s="1">
        <v>42156</v>
      </c>
      <c r="B119" s="14">
        <v>266772.88498366857</v>
      </c>
      <c r="C119" s="14">
        <v>172347.06467220193</v>
      </c>
      <c r="D119" t="s">
        <v>0</v>
      </c>
    </row>
    <row r="120" spans="1:4" x14ac:dyDescent="0.25">
      <c r="A120" s="1">
        <v>42248</v>
      </c>
      <c r="B120" s="14">
        <v>246071.01367385092</v>
      </c>
      <c r="C120" s="14">
        <v>182201.97717530673</v>
      </c>
      <c r="D120" t="s">
        <v>0</v>
      </c>
    </row>
    <row r="121" spans="1:4" x14ac:dyDescent="0.25">
      <c r="A121" s="1">
        <v>42339</v>
      </c>
      <c r="B121" s="14">
        <v>261168.06863831656</v>
      </c>
      <c r="C121" s="14">
        <v>196941.7444464748</v>
      </c>
      <c r="D121" t="s">
        <v>0</v>
      </c>
    </row>
    <row r="122" spans="1:4" x14ac:dyDescent="0.25">
      <c r="A122" s="1">
        <v>42430</v>
      </c>
      <c r="B122" s="14">
        <v>259671.34914587336</v>
      </c>
      <c r="C122" s="14">
        <v>190624.46296663978</v>
      </c>
      <c r="D122" t="s">
        <v>0</v>
      </c>
    </row>
    <row r="123" spans="1:4" x14ac:dyDescent="0.25">
      <c r="A123" s="1">
        <v>42522</v>
      </c>
      <c r="B123" s="14">
        <v>265803.2946513436</v>
      </c>
      <c r="C123" s="14">
        <v>201941.35150512325</v>
      </c>
      <c r="D123" t="s">
        <v>0</v>
      </c>
    </row>
    <row r="124" spans="1:4" x14ac:dyDescent="0.25">
      <c r="A124" s="1">
        <v>42614</v>
      </c>
      <c r="B124" s="14">
        <v>280746.56493154273</v>
      </c>
      <c r="C124" s="14">
        <v>206946.19618556631</v>
      </c>
      <c r="D124" t="s">
        <v>0</v>
      </c>
    </row>
    <row r="125" spans="1:4" x14ac:dyDescent="0.25">
      <c r="A125" s="1">
        <v>42705</v>
      </c>
      <c r="B125" s="14">
        <v>290289.075113556</v>
      </c>
      <c r="C125" s="14">
        <v>221749.89083495751</v>
      </c>
      <c r="D125" t="s">
        <v>0</v>
      </c>
    </row>
    <row r="126" spans="1:4" x14ac:dyDescent="0.25">
      <c r="A126" s="1">
        <v>42795</v>
      </c>
      <c r="B126" s="14">
        <v>308301.51439684065</v>
      </c>
      <c r="C126" s="14">
        <v>216994.98462589559</v>
      </c>
      <c r="D126" t="s">
        <v>0</v>
      </c>
    </row>
    <row r="127" spans="1:4" x14ac:dyDescent="0.25">
      <c r="A127" s="1">
        <v>42887</v>
      </c>
      <c r="B127" s="14">
        <v>316203.65419374593</v>
      </c>
      <c r="C127" s="14">
        <v>224980.72389024729</v>
      </c>
      <c r="D127" t="s">
        <v>0</v>
      </c>
    </row>
    <row r="128" spans="1:4" x14ac:dyDescent="0.25">
      <c r="A128" s="1">
        <v>42979</v>
      </c>
      <c r="B128" s="14">
        <v>329185.58288966445</v>
      </c>
      <c r="C128" s="14">
        <v>232003.19165443949</v>
      </c>
      <c r="D128" t="s">
        <v>0</v>
      </c>
    </row>
    <row r="129" spans="1:4" x14ac:dyDescent="0.25">
      <c r="A129" s="1">
        <v>43070</v>
      </c>
      <c r="B129" s="14">
        <v>350435.47077970213</v>
      </c>
      <c r="C129" s="14">
        <v>241966.54746077373</v>
      </c>
      <c r="D129" t="s">
        <v>0</v>
      </c>
    </row>
    <row r="130" spans="1:4" x14ac:dyDescent="0.25">
      <c r="A130" s="1">
        <v>43160</v>
      </c>
      <c r="B130" s="14">
        <v>344244.2894343785</v>
      </c>
      <c r="C130" s="14">
        <v>233356.69330749253</v>
      </c>
      <c r="D130" t="s">
        <v>0</v>
      </c>
    </row>
    <row r="131" spans="1:4" x14ac:dyDescent="0.25">
      <c r="A131" s="1">
        <v>43252</v>
      </c>
      <c r="B131" s="14">
        <v>359028.95355061977</v>
      </c>
      <c r="C131" s="14">
        <v>239458.17010488309</v>
      </c>
      <c r="D131" t="s">
        <v>0</v>
      </c>
    </row>
    <row r="132" spans="1:4" x14ac:dyDescent="0.25">
      <c r="A132" s="1">
        <v>43344</v>
      </c>
      <c r="B132" s="14">
        <v>372712.94439926546</v>
      </c>
      <c r="C132" s="14">
        <v>247525.55010316422</v>
      </c>
      <c r="D132" t="s">
        <v>0</v>
      </c>
    </row>
    <row r="133" spans="1:4" x14ac:dyDescent="0.25">
      <c r="A133" s="1">
        <v>43435</v>
      </c>
      <c r="B133" s="14">
        <v>327740.87272807473</v>
      </c>
      <c r="C133" s="14">
        <v>247763.08956803652</v>
      </c>
      <c r="D133" t="s">
        <v>0</v>
      </c>
    </row>
    <row r="134" spans="1:4" x14ac:dyDescent="0.25">
      <c r="A134" s="1">
        <v>43525</v>
      </c>
      <c r="B134" s="14">
        <v>368401.92780476564</v>
      </c>
      <c r="C134" s="14">
        <v>241185.6866001469</v>
      </c>
      <c r="D134" t="s">
        <v>0</v>
      </c>
    </row>
    <row r="135" spans="1:4" x14ac:dyDescent="0.25">
      <c r="A135" s="1">
        <v>43617</v>
      </c>
      <c r="B135" s="14">
        <v>387781.55914080341</v>
      </c>
      <c r="C135" s="14">
        <v>246379.39082392564</v>
      </c>
      <c r="D135" t="s">
        <v>0</v>
      </c>
    </row>
    <row r="136" spans="1:4" x14ac:dyDescent="0.25">
      <c r="A136" s="1">
        <v>43709</v>
      </c>
      <c r="B136" s="14">
        <v>392677.52935650607</v>
      </c>
      <c r="C136" s="14">
        <v>248695.24075601681</v>
      </c>
      <c r="D136" t="s">
        <v>0</v>
      </c>
    </row>
    <row r="137" spans="1:4" x14ac:dyDescent="0.25">
      <c r="A137" s="1">
        <v>43800</v>
      </c>
      <c r="B137" s="14">
        <v>417460.70211683074</v>
      </c>
      <c r="C137" s="14">
        <v>258887.76413285997</v>
      </c>
      <c r="D137" t="s">
        <v>0</v>
      </c>
    </row>
    <row r="138" spans="1:4" x14ac:dyDescent="0.25">
      <c r="A138" s="1">
        <v>43891</v>
      </c>
      <c r="B138" s="14">
        <v>323152.78453123133</v>
      </c>
      <c r="C138" s="14">
        <v>249555.23963332342</v>
      </c>
      <c r="D138" t="s">
        <v>0</v>
      </c>
    </row>
    <row r="139" spans="1:4" x14ac:dyDescent="0.25">
      <c r="A139" s="1">
        <v>43983</v>
      </c>
      <c r="B139" s="14">
        <v>385625.92095423996</v>
      </c>
      <c r="C139" s="14">
        <v>256931.53685989638</v>
      </c>
      <c r="D139" t="s">
        <v>0</v>
      </c>
    </row>
    <row r="140" spans="1:4" x14ac:dyDescent="0.25">
      <c r="A140" s="1">
        <v>44075</v>
      </c>
      <c r="B140" s="14">
        <v>407414.87252946483</v>
      </c>
      <c r="C140" s="14">
        <v>265335.84523699537</v>
      </c>
      <c r="D140" t="s">
        <v>0</v>
      </c>
    </row>
    <row r="141" spans="1:4" x14ac:dyDescent="0.25">
      <c r="A141" s="1">
        <v>44166</v>
      </c>
      <c r="B141" s="14">
        <v>468338.39998875518</v>
      </c>
      <c r="C141" s="14">
        <v>285469.77706866036</v>
      </c>
      <c r="D141" t="s">
        <v>0</v>
      </c>
    </row>
    <row r="142" spans="1:4" x14ac:dyDescent="0.25">
      <c r="A142" s="1">
        <v>44256</v>
      </c>
      <c r="B142" s="14">
        <v>492894.9295197975</v>
      </c>
      <c r="C142" s="14">
        <v>310459.20485641435</v>
      </c>
      <c r="D142" t="s">
        <v>0</v>
      </c>
    </row>
    <row r="143" spans="1:4" x14ac:dyDescent="0.25">
      <c r="A143" s="1">
        <v>44348</v>
      </c>
      <c r="B143" s="14">
        <v>531321.86364363774</v>
      </c>
      <c r="C143" s="14">
        <v>340290.00336023152</v>
      </c>
      <c r="D143" t="s">
        <v>0</v>
      </c>
    </row>
    <row r="144" spans="1:4" x14ac:dyDescent="0.25">
      <c r="A144" s="1">
        <v>44440</v>
      </c>
      <c r="B144" s="14">
        <v>533125.81171674782</v>
      </c>
      <c r="C144" s="14">
        <v>367140.29138858506</v>
      </c>
      <c r="D144" t="s">
        <v>0</v>
      </c>
    </row>
    <row r="145" spans="1:4" x14ac:dyDescent="0.25">
      <c r="A145" s="1">
        <v>44531</v>
      </c>
      <c r="B145" s="14">
        <v>563349.78399682511</v>
      </c>
      <c r="C145" s="14">
        <v>458452.1841576146</v>
      </c>
      <c r="D145" t="s">
        <v>0</v>
      </c>
    </row>
    <row r="146" spans="1:4" x14ac:dyDescent="0.25">
      <c r="A146" s="1">
        <v>44621</v>
      </c>
      <c r="B146" s="14">
        <v>546571.14082391514</v>
      </c>
      <c r="C146" s="14">
        <v>473308.03997052711</v>
      </c>
      <c r="D146" t="s">
        <v>0</v>
      </c>
    </row>
    <row r="147" spans="1:4" x14ac:dyDescent="0.25">
      <c r="A147" s="1">
        <v>44713</v>
      </c>
      <c r="B147" s="14">
        <v>464298.58101358509</v>
      </c>
      <c r="C147" s="14">
        <v>481308.21746170102</v>
      </c>
      <c r="D147" t="s">
        <v>0</v>
      </c>
    </row>
    <row r="148" spans="1:4" x14ac:dyDescent="0.25">
      <c r="A148" s="1">
        <v>44805</v>
      </c>
      <c r="B148" s="14">
        <v>445399.68643320567</v>
      </c>
      <c r="C148" s="14">
        <v>458916.30532807653</v>
      </c>
      <c r="D148" t="s">
        <v>0</v>
      </c>
    </row>
    <row r="149" spans="1:4" x14ac:dyDescent="0.25">
      <c r="A149" s="1">
        <v>44896</v>
      </c>
      <c r="B149" s="14">
        <v>488919.77104106359</v>
      </c>
      <c r="C149" s="14">
        <v>458897.46400415566</v>
      </c>
      <c r="D149" t="s">
        <v>0</v>
      </c>
    </row>
    <row r="150" spans="1:4" x14ac:dyDescent="0.25">
      <c r="A150" s="1">
        <v>44986</v>
      </c>
      <c r="B150" s="14">
        <v>518833.67321884196</v>
      </c>
      <c r="C150" s="14">
        <v>465726.27932742797</v>
      </c>
      <c r="D150" t="s">
        <v>0</v>
      </c>
    </row>
    <row r="151" spans="1:4" x14ac:dyDescent="0.25">
      <c r="A151" s="1">
        <v>45078</v>
      </c>
      <c r="B151" s="14">
        <v>543779.02827224485</v>
      </c>
      <c r="C151" s="14">
        <v>483270.8979433261</v>
      </c>
      <c r="D151" t="s">
        <v>0</v>
      </c>
    </row>
    <row r="152" spans="1:4" x14ac:dyDescent="0.25">
      <c r="A152" s="1">
        <v>45170</v>
      </c>
      <c r="B152" s="14">
        <v>529353.18523572944</v>
      </c>
      <c r="C152" s="14">
        <v>507576.2353623705</v>
      </c>
      <c r="D152" t="s">
        <v>0</v>
      </c>
    </row>
    <row r="153" spans="1:4" x14ac:dyDescent="0.25">
      <c r="A153" s="1">
        <v>45261</v>
      </c>
      <c r="B153" s="14">
        <v>585634.01273012953</v>
      </c>
      <c r="C153" s="14">
        <v>536746.82261186105</v>
      </c>
      <c r="D153" t="s">
        <v>0</v>
      </c>
    </row>
    <row r="154" spans="1:4" x14ac:dyDescent="0.25">
      <c r="A154" s="1">
        <v>45352</v>
      </c>
      <c r="B154" s="14">
        <v>629450.29925927217</v>
      </c>
      <c r="C154" s="14">
        <v>556377.31248493562</v>
      </c>
      <c r="D154" t="s">
        <v>0</v>
      </c>
    </row>
    <row r="155" spans="1:4" x14ac:dyDescent="0.25">
      <c r="A155" s="1">
        <v>45444</v>
      </c>
      <c r="B155" s="14">
        <v>635841.74920422549</v>
      </c>
      <c r="C155" s="14">
        <v>594960.37294137804</v>
      </c>
      <c r="D155" t="s">
        <v>0</v>
      </c>
    </row>
    <row r="156" spans="1:4" x14ac:dyDescent="0.25">
      <c r="A156" s="1">
        <v>45536</v>
      </c>
      <c r="B156" s="14">
        <v>679470.54384778335</v>
      </c>
      <c r="C156" s="14">
        <v>594713.6007343235</v>
      </c>
      <c r="D156" t="s">
        <v>0</v>
      </c>
    </row>
    <row r="157" spans="1:4" x14ac:dyDescent="0.25">
      <c r="A157" s="1">
        <v>45627</v>
      </c>
      <c r="B157" s="14">
        <v>674622.06569128949</v>
      </c>
      <c r="C157" s="14">
        <v>638498.34083510714</v>
      </c>
      <c r="D157" t="s">
        <v>0</v>
      </c>
    </row>
    <row r="158" spans="1:4" x14ac:dyDescent="0.25">
      <c r="A158" s="1">
        <v>45717</v>
      </c>
      <c r="B158" s="14">
        <v>658636.36272459547</v>
      </c>
      <c r="C158" s="14">
        <v>650453.44476404716</v>
      </c>
      <c r="D158" t="s">
        <v>0</v>
      </c>
    </row>
    <row r="159" spans="1:4" x14ac:dyDescent="0.25">
      <c r="A159" s="1">
        <v>45809</v>
      </c>
      <c r="B159" s="14">
        <v>729196.7604475884</v>
      </c>
      <c r="C159" s="14">
        <v>672226.22591645771</v>
      </c>
      <c r="D159" t="s">
        <v>0</v>
      </c>
    </row>
    <row r="160" spans="1:4" x14ac:dyDescent="0.25">
      <c r="A160" s="1">
        <v>45901</v>
      </c>
      <c r="B160" s="14">
        <v>776003.23655505397</v>
      </c>
      <c r="C160" s="14">
        <v>720912.96483144606</v>
      </c>
      <c r="D160" t="s">
        <v>0</v>
      </c>
    </row>
    <row r="161" spans="1:4" x14ac:dyDescent="0.25">
      <c r="A161" s="1">
        <v>45992</v>
      </c>
      <c r="B161" s="14">
        <v>789205.96046716883</v>
      </c>
      <c r="C161" s="14">
        <v>798847.68354906375</v>
      </c>
      <c r="D161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FF0B-564B-484A-9E41-DEBA7217DBC9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81429.763049684654</v>
      </c>
      <c r="C2" s="14">
        <v>50990.5</v>
      </c>
      <c r="D2" t="s">
        <v>67</v>
      </c>
    </row>
    <row r="3" spans="1:4" x14ac:dyDescent="0.25">
      <c r="A3" s="1">
        <v>38869</v>
      </c>
      <c r="B3" s="14">
        <v>83432.53187926473</v>
      </c>
      <c r="C3" s="14">
        <v>89920.456267135422</v>
      </c>
      <c r="D3" t="s">
        <v>67</v>
      </c>
    </row>
    <row r="4" spans="1:4" x14ac:dyDescent="0.25">
      <c r="A4" s="1">
        <v>38961</v>
      </c>
      <c r="B4" s="14">
        <v>89169.779492775735</v>
      </c>
      <c r="C4" s="14">
        <v>106234.68160045965</v>
      </c>
      <c r="D4" t="s">
        <v>67</v>
      </c>
    </row>
    <row r="5" spans="1:4" x14ac:dyDescent="0.25">
      <c r="A5" s="1">
        <v>39052</v>
      </c>
      <c r="B5" s="14">
        <v>100272.50632362194</v>
      </c>
      <c r="C5" s="14">
        <v>117589.06048317731</v>
      </c>
      <c r="D5" t="s">
        <v>67</v>
      </c>
    </row>
    <row r="6" spans="1:4" x14ac:dyDescent="0.25">
      <c r="A6" s="1">
        <v>39142</v>
      </c>
      <c r="B6" s="14">
        <v>106978.7083073462</v>
      </c>
      <c r="C6" s="14">
        <v>124004.60405990155</v>
      </c>
      <c r="D6" t="s">
        <v>67</v>
      </c>
    </row>
    <row r="7" spans="1:4" x14ac:dyDescent="0.25">
      <c r="A7" s="1">
        <v>39234</v>
      </c>
      <c r="B7" s="14">
        <v>116318.82099875856</v>
      </c>
      <c r="C7" s="14">
        <v>123086.19494417112</v>
      </c>
      <c r="D7" t="s">
        <v>67</v>
      </c>
    </row>
    <row r="8" spans="1:4" x14ac:dyDescent="0.25">
      <c r="A8" s="1">
        <v>39326</v>
      </c>
      <c r="B8" s="14">
        <v>122591.40178571393</v>
      </c>
      <c r="C8" s="14">
        <v>128046.88281945442</v>
      </c>
      <c r="D8" t="s">
        <v>67</v>
      </c>
    </row>
    <row r="9" spans="1:4" x14ac:dyDescent="0.25">
      <c r="A9" s="1">
        <v>39417</v>
      </c>
      <c r="B9" s="14">
        <v>121911.72430284739</v>
      </c>
      <c r="C9" s="14">
        <v>135905.70128046972</v>
      </c>
      <c r="D9" t="s">
        <v>67</v>
      </c>
    </row>
    <row r="10" spans="1:4" x14ac:dyDescent="0.25">
      <c r="A10" s="1">
        <v>39508</v>
      </c>
      <c r="B10" s="14">
        <v>111561.24982606835</v>
      </c>
      <c r="C10" s="14">
        <v>130043.93779507829</v>
      </c>
      <c r="D10" t="s">
        <v>67</v>
      </c>
    </row>
    <row r="11" spans="1:4" x14ac:dyDescent="0.25">
      <c r="A11" s="1">
        <v>39600</v>
      </c>
      <c r="B11" s="14">
        <v>112842.61254218717</v>
      </c>
      <c r="C11" s="14">
        <v>121487.24367204137</v>
      </c>
      <c r="D11" t="s">
        <v>67</v>
      </c>
    </row>
    <row r="12" spans="1:4" x14ac:dyDescent="0.25">
      <c r="A12" s="1">
        <v>39692</v>
      </c>
      <c r="B12" s="14">
        <v>99771.689550557916</v>
      </c>
      <c r="C12" s="14">
        <v>108458.92672398471</v>
      </c>
      <c r="D12" t="s">
        <v>67</v>
      </c>
    </row>
    <row r="13" spans="1:4" x14ac:dyDescent="0.25">
      <c r="A13" s="1">
        <v>39783</v>
      </c>
      <c r="B13" s="14">
        <v>80155.74379762102</v>
      </c>
      <c r="C13" s="14">
        <v>97740.111152612779</v>
      </c>
      <c r="D13" t="s">
        <v>67</v>
      </c>
    </row>
    <row r="14" spans="1:4" x14ac:dyDescent="0.25">
      <c r="A14" s="1">
        <v>39873</v>
      </c>
      <c r="B14" s="14">
        <v>74337.388514026359</v>
      </c>
      <c r="C14" s="14">
        <v>97189.123261061788</v>
      </c>
      <c r="D14" t="s">
        <v>67</v>
      </c>
    </row>
    <row r="15" spans="1:4" x14ac:dyDescent="0.25">
      <c r="A15" s="1">
        <v>39965</v>
      </c>
      <c r="B15" s="14">
        <v>89599.244406357582</v>
      </c>
      <c r="C15" s="14">
        <v>126139.70071161742</v>
      </c>
      <c r="D15" t="s">
        <v>67</v>
      </c>
    </row>
    <row r="16" spans="1:4" x14ac:dyDescent="0.25">
      <c r="A16" s="1">
        <v>40057</v>
      </c>
      <c r="B16" s="14">
        <v>108281.98808033719</v>
      </c>
      <c r="C16" s="14">
        <v>135486.31928929509</v>
      </c>
      <c r="D16" t="s">
        <v>67</v>
      </c>
    </row>
    <row r="17" spans="1:4" x14ac:dyDescent="0.25">
      <c r="A17" s="1">
        <v>40148</v>
      </c>
      <c r="B17" s="14">
        <v>113880.99521038534</v>
      </c>
      <c r="C17" s="14">
        <v>159479.02547819592</v>
      </c>
      <c r="D17" t="s">
        <v>67</v>
      </c>
    </row>
    <row r="18" spans="1:4" x14ac:dyDescent="0.25">
      <c r="A18" s="1">
        <v>40238</v>
      </c>
      <c r="B18" s="14">
        <v>119071.79207411595</v>
      </c>
      <c r="C18" s="14">
        <v>163730.91454639399</v>
      </c>
      <c r="D18" t="s">
        <v>67</v>
      </c>
    </row>
    <row r="19" spans="1:4" x14ac:dyDescent="0.25">
      <c r="A19" s="1">
        <v>40330</v>
      </c>
      <c r="B19" s="14">
        <v>105951.86324364821</v>
      </c>
      <c r="C19" s="14">
        <v>160130.94540076604</v>
      </c>
      <c r="D19" t="s">
        <v>67</v>
      </c>
    </row>
    <row r="20" spans="1:4" x14ac:dyDescent="0.25">
      <c r="A20" s="1">
        <v>40422</v>
      </c>
      <c r="B20" s="14">
        <v>120931.07943215592</v>
      </c>
      <c r="C20" s="14">
        <v>152574.07704028377</v>
      </c>
      <c r="D20" t="s">
        <v>67</v>
      </c>
    </row>
    <row r="21" spans="1:4" x14ac:dyDescent="0.25">
      <c r="A21" s="1">
        <v>40513</v>
      </c>
      <c r="B21" s="14">
        <v>132717.48995144802</v>
      </c>
      <c r="C21" s="14">
        <v>151897.65918246837</v>
      </c>
      <c r="D21" t="s">
        <v>67</v>
      </c>
    </row>
    <row r="22" spans="1:4" x14ac:dyDescent="0.25">
      <c r="A22" s="1">
        <v>40603</v>
      </c>
      <c r="B22" s="14">
        <v>140571.05064026423</v>
      </c>
      <c r="C22" s="14">
        <v>146297.34169146142</v>
      </c>
      <c r="D22" t="s">
        <v>67</v>
      </c>
    </row>
    <row r="23" spans="1:4" x14ac:dyDescent="0.25">
      <c r="A23" s="1">
        <v>40695</v>
      </c>
      <c r="B23" s="14">
        <v>140761.72145638248</v>
      </c>
      <c r="C23" s="14">
        <v>145624.18789013816</v>
      </c>
      <c r="D23" t="s">
        <v>67</v>
      </c>
    </row>
    <row r="24" spans="1:4" x14ac:dyDescent="0.25">
      <c r="A24" s="1">
        <v>40787</v>
      </c>
      <c r="B24" s="14">
        <v>120130.40938065028</v>
      </c>
      <c r="C24" s="14">
        <v>135211.75803290025</v>
      </c>
      <c r="D24" t="s">
        <v>67</v>
      </c>
    </row>
    <row r="25" spans="1:4" x14ac:dyDescent="0.25">
      <c r="A25" s="1">
        <v>40878</v>
      </c>
      <c r="B25" s="14">
        <v>128868.91490848633</v>
      </c>
      <c r="C25" s="14">
        <v>139508.48519582421</v>
      </c>
      <c r="D25" t="s">
        <v>67</v>
      </c>
    </row>
    <row r="26" spans="1:4" x14ac:dyDescent="0.25">
      <c r="A26" s="1">
        <v>40969</v>
      </c>
      <c r="B26" s="14">
        <v>144391.17225283655</v>
      </c>
      <c r="C26" s="14">
        <v>144864.56080845837</v>
      </c>
      <c r="D26" t="s">
        <v>67</v>
      </c>
    </row>
    <row r="27" spans="1:4" x14ac:dyDescent="0.25">
      <c r="A27" s="1">
        <v>41061</v>
      </c>
      <c r="B27" s="14">
        <v>137898.52320399348</v>
      </c>
      <c r="C27" s="14">
        <v>138474.20768444435</v>
      </c>
      <c r="D27" t="s">
        <v>67</v>
      </c>
    </row>
    <row r="28" spans="1:4" x14ac:dyDescent="0.25">
      <c r="A28" s="1">
        <v>41153</v>
      </c>
      <c r="B28" s="14">
        <v>149136.29464115651</v>
      </c>
      <c r="C28" s="14">
        <v>138077.69464903156</v>
      </c>
      <c r="D28" t="s">
        <v>67</v>
      </c>
    </row>
    <row r="29" spans="1:4" x14ac:dyDescent="0.25">
      <c r="A29" s="1">
        <v>41244</v>
      </c>
      <c r="B29" s="14">
        <v>155930.14582396796</v>
      </c>
      <c r="C29" s="14">
        <v>147483.21183579267</v>
      </c>
      <c r="D29" t="s">
        <v>67</v>
      </c>
    </row>
    <row r="30" spans="1:4" x14ac:dyDescent="0.25">
      <c r="A30" s="1">
        <v>41334</v>
      </c>
      <c r="B30" s="14">
        <v>169211.4654596906</v>
      </c>
      <c r="C30" s="14">
        <v>166719.77987145612</v>
      </c>
      <c r="D30" t="s">
        <v>67</v>
      </c>
    </row>
    <row r="31" spans="1:4" x14ac:dyDescent="0.25">
      <c r="A31" s="1">
        <v>41426</v>
      </c>
      <c r="B31" s="14">
        <v>168649.3133133068</v>
      </c>
      <c r="C31" s="14">
        <v>162480.6066281712</v>
      </c>
      <c r="D31" t="s">
        <v>67</v>
      </c>
    </row>
    <row r="32" spans="1:4" x14ac:dyDescent="0.25">
      <c r="A32" s="1">
        <v>41518</v>
      </c>
      <c r="B32" s="14">
        <v>184282.98428540802</v>
      </c>
      <c r="C32" s="14">
        <v>166136.69809726361</v>
      </c>
      <c r="D32" t="s">
        <v>67</v>
      </c>
    </row>
    <row r="33" spans="1:4" x14ac:dyDescent="0.25">
      <c r="A33" s="1">
        <v>41609</v>
      </c>
      <c r="B33" s="14">
        <v>196653.69377126705</v>
      </c>
      <c r="C33" s="14">
        <v>185486.1071954674</v>
      </c>
      <c r="D33" t="s">
        <v>67</v>
      </c>
    </row>
    <row r="34" spans="1:4" x14ac:dyDescent="0.25">
      <c r="A34" s="1">
        <v>41699</v>
      </c>
      <c r="B34" s="14">
        <v>200487.37335953244</v>
      </c>
      <c r="C34" s="14">
        <v>180368.960305252</v>
      </c>
      <c r="D34" t="s">
        <v>67</v>
      </c>
    </row>
    <row r="35" spans="1:4" x14ac:dyDescent="0.25">
      <c r="A35" s="1">
        <v>41791</v>
      </c>
      <c r="B35" s="14">
        <v>207945.84932752853</v>
      </c>
      <c r="C35" s="14">
        <v>187017.97588325277</v>
      </c>
      <c r="D35" t="s">
        <v>67</v>
      </c>
    </row>
    <row r="36" spans="1:4" x14ac:dyDescent="0.25">
      <c r="A36" s="1">
        <v>41883</v>
      </c>
      <c r="B36" s="14">
        <v>203883.38213396823</v>
      </c>
      <c r="C36" s="14">
        <v>177058.83660909417</v>
      </c>
      <c r="D36" t="s">
        <v>67</v>
      </c>
    </row>
    <row r="37" spans="1:4" x14ac:dyDescent="0.25">
      <c r="A37" s="1">
        <v>41974</v>
      </c>
      <c r="B37" s="14">
        <v>207696.631318867</v>
      </c>
      <c r="C37" s="14">
        <v>179854.46079115375</v>
      </c>
      <c r="D37" t="s">
        <v>67</v>
      </c>
    </row>
    <row r="38" spans="1:4" x14ac:dyDescent="0.25">
      <c r="A38" s="1">
        <v>42064</v>
      </c>
      <c r="B38" s="14">
        <v>218366.30033497169</v>
      </c>
      <c r="C38" s="14">
        <v>174848.14546282549</v>
      </c>
      <c r="D38" t="s">
        <v>67</v>
      </c>
    </row>
    <row r="39" spans="1:4" x14ac:dyDescent="0.25">
      <c r="A39" s="1">
        <v>42156</v>
      </c>
      <c r="B39" s="14">
        <v>215109.1696272897</v>
      </c>
      <c r="C39" s="14">
        <v>169435.9187977938</v>
      </c>
      <c r="D39" t="s">
        <v>67</v>
      </c>
    </row>
    <row r="40" spans="1:4" x14ac:dyDescent="0.25">
      <c r="A40" s="1">
        <v>42248</v>
      </c>
      <c r="B40" s="14">
        <v>197998.14125202986</v>
      </c>
      <c r="C40" s="14">
        <v>160180.34210827565</v>
      </c>
      <c r="D40" t="s">
        <v>67</v>
      </c>
    </row>
    <row r="41" spans="1:4" x14ac:dyDescent="0.25">
      <c r="A41" s="1">
        <v>42339</v>
      </c>
      <c r="B41" s="14">
        <v>209672.06547005026</v>
      </c>
      <c r="C41" s="14">
        <v>165145.52916421741</v>
      </c>
      <c r="D41" t="s">
        <v>67</v>
      </c>
    </row>
    <row r="42" spans="1:4" x14ac:dyDescent="0.25">
      <c r="A42" s="1">
        <v>42430</v>
      </c>
      <c r="B42" s="14">
        <v>208343.20333586214</v>
      </c>
      <c r="C42" s="14">
        <v>165205.56241925794</v>
      </c>
      <c r="D42" t="s">
        <v>67</v>
      </c>
    </row>
    <row r="43" spans="1:4" x14ac:dyDescent="0.25">
      <c r="A43" s="1">
        <v>42522</v>
      </c>
      <c r="B43" s="14">
        <v>213125.26825865643</v>
      </c>
      <c r="C43" s="14">
        <v>145747.56304460307</v>
      </c>
      <c r="D43" t="s">
        <v>67</v>
      </c>
    </row>
    <row r="44" spans="1:4" x14ac:dyDescent="0.25">
      <c r="A44" s="1">
        <v>42614</v>
      </c>
      <c r="B44" s="14">
        <v>224956.45032480461</v>
      </c>
      <c r="C44" s="14">
        <v>160611.4254190319</v>
      </c>
      <c r="D44" t="s">
        <v>67</v>
      </c>
    </row>
    <row r="45" spans="1:4" x14ac:dyDescent="0.25">
      <c r="A45" s="1">
        <v>42705</v>
      </c>
      <c r="B45" s="14">
        <v>232455.69597889614</v>
      </c>
      <c r="C45" s="14">
        <v>146156.12568863877</v>
      </c>
      <c r="D45" t="s">
        <v>67</v>
      </c>
    </row>
    <row r="46" spans="1:4" x14ac:dyDescent="0.25">
      <c r="A46" s="1">
        <v>42795</v>
      </c>
      <c r="B46" s="14">
        <v>247091.51846145996</v>
      </c>
      <c r="C46" s="14">
        <v>151310.73111003544</v>
      </c>
      <c r="D46" t="s">
        <v>67</v>
      </c>
    </row>
    <row r="47" spans="1:4" x14ac:dyDescent="0.25">
      <c r="A47" s="1">
        <v>42887</v>
      </c>
      <c r="B47" s="14">
        <v>253624.74561273141</v>
      </c>
      <c r="C47" s="14">
        <v>141815.33107985297</v>
      </c>
      <c r="D47" t="s">
        <v>67</v>
      </c>
    </row>
    <row r="48" spans="1:4" x14ac:dyDescent="0.25">
      <c r="A48" s="1">
        <v>42979</v>
      </c>
      <c r="B48" s="14">
        <v>264236.90828925848</v>
      </c>
      <c r="C48" s="14">
        <v>142153.04250183489</v>
      </c>
      <c r="D48" t="s">
        <v>67</v>
      </c>
    </row>
    <row r="49" spans="1:4" x14ac:dyDescent="0.25">
      <c r="A49" s="1">
        <v>43070</v>
      </c>
      <c r="B49" s="14">
        <v>281498.36053340684</v>
      </c>
      <c r="C49" s="14">
        <v>147403.00756475673</v>
      </c>
      <c r="D49" t="s">
        <v>67</v>
      </c>
    </row>
    <row r="50" spans="1:4" x14ac:dyDescent="0.25">
      <c r="A50" s="1">
        <v>43160</v>
      </c>
      <c r="B50" s="14">
        <v>276819.24774786545</v>
      </c>
      <c r="C50" s="14">
        <v>138000.51398703948</v>
      </c>
      <c r="D50" t="s">
        <v>67</v>
      </c>
    </row>
    <row r="51" spans="1:4" x14ac:dyDescent="0.25">
      <c r="A51" s="1">
        <v>43252</v>
      </c>
      <c r="B51" s="14">
        <v>289018.10314100079</v>
      </c>
      <c r="C51" s="14">
        <v>146240.69929423346</v>
      </c>
      <c r="D51" t="s">
        <v>67</v>
      </c>
    </row>
    <row r="52" spans="1:4" x14ac:dyDescent="0.25">
      <c r="A52" s="1">
        <v>43344</v>
      </c>
      <c r="B52" s="14">
        <v>300342.87813262962</v>
      </c>
      <c r="C52" s="14">
        <v>133964.22801576604</v>
      </c>
      <c r="D52" t="s">
        <v>67</v>
      </c>
    </row>
    <row r="53" spans="1:4" x14ac:dyDescent="0.25">
      <c r="A53" s="1">
        <v>43435</v>
      </c>
      <c r="B53" s="14">
        <v>264364.71125122352</v>
      </c>
      <c r="C53" s="14">
        <v>131505.50962728207</v>
      </c>
      <c r="D53" t="s">
        <v>67</v>
      </c>
    </row>
    <row r="54" spans="1:4" x14ac:dyDescent="0.25">
      <c r="A54" s="1">
        <v>43525</v>
      </c>
      <c r="B54" s="14">
        <v>297541.7282646395</v>
      </c>
      <c r="C54" s="14">
        <v>127612.12969151663</v>
      </c>
      <c r="D54" t="s">
        <v>67</v>
      </c>
    </row>
    <row r="55" spans="1:4" x14ac:dyDescent="0.25">
      <c r="A55" s="1">
        <v>43617</v>
      </c>
      <c r="B55" s="14">
        <v>313541.33217613865</v>
      </c>
      <c r="C55" s="14">
        <v>119846.08202488092</v>
      </c>
      <c r="D55" t="s">
        <v>67</v>
      </c>
    </row>
    <row r="56" spans="1:4" x14ac:dyDescent="0.25">
      <c r="A56" s="1">
        <v>43709</v>
      </c>
      <c r="B56" s="14">
        <v>317828.15806837566</v>
      </c>
      <c r="C56" s="14">
        <v>121448.16104079052</v>
      </c>
      <c r="D56" t="s">
        <v>67</v>
      </c>
    </row>
    <row r="57" spans="1:4" x14ac:dyDescent="0.25">
      <c r="A57" s="1">
        <v>43800</v>
      </c>
      <c r="B57" s="14">
        <v>338228.63683672133</v>
      </c>
      <c r="C57" s="14">
        <v>122129.02050552345</v>
      </c>
      <c r="D57" t="s">
        <v>67</v>
      </c>
    </row>
    <row r="58" spans="1:4" x14ac:dyDescent="0.25">
      <c r="A58" s="1">
        <v>43891</v>
      </c>
      <c r="B58" s="14">
        <v>261992.26315243269</v>
      </c>
      <c r="C58" s="14">
        <v>122851.39080132445</v>
      </c>
      <c r="D58" t="s">
        <v>67</v>
      </c>
    </row>
    <row r="59" spans="1:4" x14ac:dyDescent="0.25">
      <c r="A59" s="1">
        <v>43983</v>
      </c>
      <c r="B59" s="14">
        <v>312901.20246943965</v>
      </c>
      <c r="C59" s="14">
        <v>94321.957078737702</v>
      </c>
      <c r="D59" t="s">
        <v>67</v>
      </c>
    </row>
    <row r="60" spans="1:4" x14ac:dyDescent="0.25">
      <c r="A60" s="1">
        <v>44075</v>
      </c>
      <c r="B60" s="14">
        <v>330808.33393540099</v>
      </c>
      <c r="C60" s="14">
        <v>129455.69914370048</v>
      </c>
      <c r="D60" t="s">
        <v>67</v>
      </c>
    </row>
    <row r="61" spans="1:4" x14ac:dyDescent="0.25">
      <c r="A61" s="1">
        <v>44166</v>
      </c>
      <c r="B61" s="14">
        <v>380522.94339894038</v>
      </c>
      <c r="C61" s="14">
        <v>144970.68558938103</v>
      </c>
      <c r="D61" t="s">
        <v>67</v>
      </c>
    </row>
    <row r="62" spans="1:4" x14ac:dyDescent="0.25">
      <c r="A62" s="1">
        <v>44256</v>
      </c>
      <c r="B62" s="14">
        <v>400533.34034642985</v>
      </c>
      <c r="C62" s="14">
        <v>159490.01378637843</v>
      </c>
      <c r="D62" t="s">
        <v>67</v>
      </c>
    </row>
    <row r="63" spans="1:4" x14ac:dyDescent="0.25">
      <c r="A63" s="1">
        <v>44348</v>
      </c>
      <c r="B63" s="14">
        <v>431814.36843324715</v>
      </c>
      <c r="C63" s="14">
        <v>166176.90813442343</v>
      </c>
      <c r="D63" t="s">
        <v>67</v>
      </c>
    </row>
    <row r="64" spans="1:4" x14ac:dyDescent="0.25">
      <c r="A64" s="1">
        <v>44440</v>
      </c>
      <c r="B64" s="14">
        <v>433325.48773592181</v>
      </c>
      <c r="C64" s="14">
        <v>162131.52345528256</v>
      </c>
      <c r="D64" t="s">
        <v>67</v>
      </c>
    </row>
    <row r="65" spans="1:4" x14ac:dyDescent="0.25">
      <c r="A65" s="1">
        <v>44531</v>
      </c>
      <c r="B65" s="14">
        <v>457938.5040688708</v>
      </c>
      <c r="C65" s="14">
        <v>160880.47018930304</v>
      </c>
      <c r="D65" t="s">
        <v>67</v>
      </c>
    </row>
    <row r="66" spans="1:4" x14ac:dyDescent="0.25">
      <c r="A66" s="1">
        <v>44621</v>
      </c>
      <c r="B66" s="14">
        <v>444343.83425309561</v>
      </c>
      <c r="C66" s="14">
        <v>159073.80448890442</v>
      </c>
      <c r="D66" t="s">
        <v>67</v>
      </c>
    </row>
    <row r="67" spans="1:4" x14ac:dyDescent="0.25">
      <c r="A67" s="1">
        <v>44713</v>
      </c>
      <c r="B67" s="14">
        <v>377504.80506548448</v>
      </c>
      <c r="C67" s="14">
        <v>155150.06126558987</v>
      </c>
      <c r="D67" t="s">
        <v>67</v>
      </c>
    </row>
    <row r="68" spans="1:4" x14ac:dyDescent="0.25">
      <c r="A68" s="1">
        <v>44805</v>
      </c>
      <c r="B68" s="14">
        <v>362209.62289018155</v>
      </c>
      <c r="C68" s="14">
        <v>151170.42021014879</v>
      </c>
      <c r="D68" t="s">
        <v>67</v>
      </c>
    </row>
    <row r="69" spans="1:4" x14ac:dyDescent="0.25">
      <c r="A69" s="1">
        <v>44896</v>
      </c>
      <c r="B69" s="14">
        <v>397686.09190195677</v>
      </c>
      <c r="C69" s="14">
        <v>151940.79969757993</v>
      </c>
      <c r="D69" t="s">
        <v>67</v>
      </c>
    </row>
    <row r="70" spans="1:4" x14ac:dyDescent="0.25">
      <c r="A70" s="1">
        <v>44986</v>
      </c>
      <c r="B70" s="14">
        <v>422339.66643038078</v>
      </c>
      <c r="C70" s="14">
        <v>155258.69569571991</v>
      </c>
      <c r="D70" t="s">
        <v>67</v>
      </c>
    </row>
    <row r="71" spans="1:4" x14ac:dyDescent="0.25">
      <c r="A71" s="1">
        <v>45078</v>
      </c>
      <c r="B71" s="14">
        <v>442971.95345392328</v>
      </c>
      <c r="C71" s="14">
        <v>163248.13380600378</v>
      </c>
      <c r="D71" t="s">
        <v>67</v>
      </c>
    </row>
    <row r="72" spans="1:4" x14ac:dyDescent="0.25">
      <c r="A72" s="1">
        <v>45170</v>
      </c>
      <c r="B72" s="14">
        <v>431522.24273831502</v>
      </c>
      <c r="C72" s="14">
        <v>173732.19850249909</v>
      </c>
      <c r="D72" t="s">
        <v>67</v>
      </c>
    </row>
    <row r="73" spans="1:4" x14ac:dyDescent="0.25">
      <c r="A73" s="1">
        <v>45261</v>
      </c>
      <c r="B73" s="14">
        <v>477748.16065515456</v>
      </c>
      <c r="C73" s="14">
        <v>198890.65881588752</v>
      </c>
      <c r="D73" t="s">
        <v>67</v>
      </c>
    </row>
    <row r="74" spans="1:4" x14ac:dyDescent="0.25">
      <c r="A74" s="1">
        <v>45352</v>
      </c>
      <c r="B74" s="14">
        <v>513282.5847971334</v>
      </c>
      <c r="C74" s="14">
        <v>228884.67040954216</v>
      </c>
      <c r="D74" t="s">
        <v>67</v>
      </c>
    </row>
    <row r="75" spans="1:4" x14ac:dyDescent="0.25">
      <c r="A75" s="1">
        <v>45444</v>
      </c>
      <c r="B75" s="14">
        <v>518294.14138713881</v>
      </c>
      <c r="C75" s="14">
        <v>263727.21011194581</v>
      </c>
      <c r="D75" t="s">
        <v>67</v>
      </c>
    </row>
    <row r="76" spans="1:4" x14ac:dyDescent="0.25">
      <c r="A76" s="1">
        <v>45536</v>
      </c>
      <c r="B76" s="14">
        <v>553637.74342752993</v>
      </c>
      <c r="C76" s="14">
        <v>293651.93323668448</v>
      </c>
      <c r="D76" t="s">
        <v>67</v>
      </c>
    </row>
    <row r="77" spans="1:4" x14ac:dyDescent="0.25">
      <c r="A77" s="1">
        <v>45627</v>
      </c>
      <c r="B77" s="14">
        <v>549482.99746433226</v>
      </c>
      <c r="C77" s="14">
        <v>311331.04876569624</v>
      </c>
      <c r="D77" t="s">
        <v>67</v>
      </c>
    </row>
    <row r="78" spans="1:4" x14ac:dyDescent="0.25">
      <c r="A78" s="1">
        <v>45717</v>
      </c>
      <c r="B78" s="14">
        <v>535599.31886503508</v>
      </c>
      <c r="C78" s="14">
        <v>329010.43637262081</v>
      </c>
      <c r="D78" t="s">
        <v>67</v>
      </c>
    </row>
    <row r="79" spans="1:4" x14ac:dyDescent="0.25">
      <c r="A79" s="1">
        <v>45809</v>
      </c>
      <c r="B79" s="14">
        <v>591976.32764112414</v>
      </c>
      <c r="C79" s="14">
        <v>354041.9505157097</v>
      </c>
      <c r="D79" t="s">
        <v>67</v>
      </c>
    </row>
    <row r="80" spans="1:4" x14ac:dyDescent="0.25">
      <c r="A80" s="1">
        <v>45901</v>
      </c>
      <c r="B80" s="14">
        <v>628991.92855371069</v>
      </c>
      <c r="C80" s="14">
        <v>379977.77344086848</v>
      </c>
      <c r="D80" t="s">
        <v>67</v>
      </c>
    </row>
    <row r="81" spans="1:4" x14ac:dyDescent="0.25">
      <c r="A81" s="1">
        <v>45992</v>
      </c>
      <c r="B81" s="14">
        <v>638753.23361249862</v>
      </c>
      <c r="C81" s="14">
        <v>453006.62071946647</v>
      </c>
      <c r="D81" t="s">
        <v>67</v>
      </c>
    </row>
    <row r="82" spans="1:4" x14ac:dyDescent="0.25">
      <c r="A82" s="1">
        <v>38777</v>
      </c>
      <c r="B82" s="14">
        <v>104837.62230068744</v>
      </c>
      <c r="C82" s="14">
        <v>64611.25</v>
      </c>
      <c r="D82" t="s">
        <v>0</v>
      </c>
    </row>
    <row r="83" spans="1:4" x14ac:dyDescent="0.25">
      <c r="A83" s="1">
        <v>38869</v>
      </c>
      <c r="B83" s="14">
        <v>107753.91392856603</v>
      </c>
      <c r="C83" s="14">
        <v>107766.34655424691</v>
      </c>
      <c r="D83" t="s">
        <v>0</v>
      </c>
    </row>
    <row r="84" spans="1:4" x14ac:dyDescent="0.25">
      <c r="A84" s="1">
        <v>38961</v>
      </c>
      <c r="B84" s="14">
        <v>115506.91948587919</v>
      </c>
      <c r="C84" s="14">
        <v>140988.60981907556</v>
      </c>
      <c r="D84" t="s">
        <v>0</v>
      </c>
    </row>
    <row r="85" spans="1:4" x14ac:dyDescent="0.25">
      <c r="A85" s="1">
        <v>39052</v>
      </c>
      <c r="B85" s="14">
        <v>130235.91566209725</v>
      </c>
      <c r="C85" s="14">
        <v>159423.07749580685</v>
      </c>
      <c r="D85" t="s">
        <v>0</v>
      </c>
    </row>
    <row r="86" spans="1:4" x14ac:dyDescent="0.25">
      <c r="A86" s="1">
        <v>39142</v>
      </c>
      <c r="B86" s="14">
        <v>139293.88667470473</v>
      </c>
      <c r="C86" s="14">
        <v>163121.28339782043</v>
      </c>
      <c r="D86" t="s">
        <v>0</v>
      </c>
    </row>
    <row r="87" spans="1:4" x14ac:dyDescent="0.25">
      <c r="A87" s="1">
        <v>39234</v>
      </c>
      <c r="B87" s="14">
        <v>151807.4557520987</v>
      </c>
      <c r="C87" s="14">
        <v>152168.5732169291</v>
      </c>
      <c r="D87" t="s">
        <v>0</v>
      </c>
    </row>
    <row r="88" spans="1:4" x14ac:dyDescent="0.25">
      <c r="A88" s="1">
        <v>39326</v>
      </c>
      <c r="B88" s="14">
        <v>160328.75866942236</v>
      </c>
      <c r="C88" s="14">
        <v>160807.82668903464</v>
      </c>
      <c r="D88" t="s">
        <v>0</v>
      </c>
    </row>
    <row r="89" spans="1:4" x14ac:dyDescent="0.25">
      <c r="A89" s="1">
        <v>39417</v>
      </c>
      <c r="B89" s="14">
        <v>159744.98940538228</v>
      </c>
      <c r="C89" s="14">
        <v>164512.43826634856</v>
      </c>
      <c r="D89" t="s">
        <v>0</v>
      </c>
    </row>
    <row r="90" spans="1:4" x14ac:dyDescent="0.25">
      <c r="A90" s="1">
        <v>39508</v>
      </c>
      <c r="B90" s="14">
        <v>146461.67304174486</v>
      </c>
      <c r="C90" s="14">
        <v>153526.84754855809</v>
      </c>
      <c r="D90" t="s">
        <v>0</v>
      </c>
    </row>
    <row r="91" spans="1:4" x14ac:dyDescent="0.25">
      <c r="A91" s="1">
        <v>39600</v>
      </c>
      <c r="B91" s="14">
        <v>148441.96220927805</v>
      </c>
      <c r="C91" s="14">
        <v>137594.32973854552</v>
      </c>
      <c r="D91" t="s">
        <v>0</v>
      </c>
    </row>
    <row r="92" spans="1:4" x14ac:dyDescent="0.25">
      <c r="A92" s="1">
        <v>39692</v>
      </c>
      <c r="B92" s="14">
        <v>131508.15062795422</v>
      </c>
      <c r="C92" s="14">
        <v>121706.2226468299</v>
      </c>
      <c r="D92" t="s">
        <v>0</v>
      </c>
    </row>
    <row r="93" spans="1:4" x14ac:dyDescent="0.25">
      <c r="A93" s="1">
        <v>39783</v>
      </c>
      <c r="B93" s="14">
        <v>105928.51619071751</v>
      </c>
      <c r="C93" s="14">
        <v>105895.13784748875</v>
      </c>
      <c r="D93" t="s">
        <v>0</v>
      </c>
    </row>
    <row r="94" spans="1:4" x14ac:dyDescent="0.25">
      <c r="A94" s="1">
        <v>39873</v>
      </c>
      <c r="B94" s="14">
        <v>98685.133236891314</v>
      </c>
      <c r="C94" s="14">
        <v>118929.88606709882</v>
      </c>
      <c r="D94" t="s">
        <v>0</v>
      </c>
    </row>
    <row r="95" spans="1:4" x14ac:dyDescent="0.25">
      <c r="A95" s="1">
        <v>39965</v>
      </c>
      <c r="B95" s="14">
        <v>119526.06976691328</v>
      </c>
      <c r="C95" s="14">
        <v>134116.6194804741</v>
      </c>
      <c r="D95" t="s">
        <v>0</v>
      </c>
    </row>
    <row r="96" spans="1:4" x14ac:dyDescent="0.25">
      <c r="A96" s="1">
        <v>40057</v>
      </c>
      <c r="B96" s="14">
        <v>145033.01399378586</v>
      </c>
      <c r="C96" s="14">
        <v>151243.01630835334</v>
      </c>
      <c r="D96" t="s">
        <v>0</v>
      </c>
    </row>
    <row r="97" spans="1:4" x14ac:dyDescent="0.25">
      <c r="A97" s="1">
        <v>40148</v>
      </c>
      <c r="B97" s="14">
        <v>153009.46123240443</v>
      </c>
      <c r="C97" s="14">
        <v>182020.17397922085</v>
      </c>
      <c r="D97" t="s">
        <v>0</v>
      </c>
    </row>
    <row r="98" spans="1:4" x14ac:dyDescent="0.25">
      <c r="A98" s="1">
        <v>40238</v>
      </c>
      <c r="B98" s="14">
        <v>160448.73571338071</v>
      </c>
      <c r="C98" s="14">
        <v>193979.73889440333</v>
      </c>
      <c r="D98" t="s">
        <v>0</v>
      </c>
    </row>
    <row r="99" spans="1:4" x14ac:dyDescent="0.25">
      <c r="A99" s="1">
        <v>40330</v>
      </c>
      <c r="B99" s="14">
        <v>143153.7529337999</v>
      </c>
      <c r="C99" s="14">
        <v>185356.34905234049</v>
      </c>
      <c r="D99" t="s">
        <v>0</v>
      </c>
    </row>
    <row r="100" spans="1:4" x14ac:dyDescent="0.25">
      <c r="A100" s="1">
        <v>40422</v>
      </c>
      <c r="B100" s="14">
        <v>163887.29873605623</v>
      </c>
      <c r="C100" s="14">
        <v>174729.45249967463</v>
      </c>
      <c r="D100" t="s">
        <v>0</v>
      </c>
    </row>
    <row r="101" spans="1:4" x14ac:dyDescent="0.25">
      <c r="A101" s="1">
        <v>40513</v>
      </c>
      <c r="B101" s="14">
        <v>180314.43647709387</v>
      </c>
      <c r="C101" s="14">
        <v>173928.46925518254</v>
      </c>
      <c r="D101" t="s">
        <v>0</v>
      </c>
    </row>
    <row r="102" spans="1:4" x14ac:dyDescent="0.25">
      <c r="A102" s="1">
        <v>40603</v>
      </c>
      <c r="B102" s="14">
        <v>191345.56286211303</v>
      </c>
      <c r="C102" s="14">
        <v>173078.98733164632</v>
      </c>
      <c r="D102" t="s">
        <v>0</v>
      </c>
    </row>
    <row r="103" spans="1:4" x14ac:dyDescent="0.25">
      <c r="A103" s="1">
        <v>40695</v>
      </c>
      <c r="B103" s="14">
        <v>191953.33733788598</v>
      </c>
      <c r="C103" s="14">
        <v>157607.05015188741</v>
      </c>
      <c r="D103" t="s">
        <v>0</v>
      </c>
    </row>
    <row r="104" spans="1:4" x14ac:dyDescent="0.25">
      <c r="A104" s="1">
        <v>40787</v>
      </c>
      <c r="B104" s="14">
        <v>164119.668688159</v>
      </c>
      <c r="C104" s="14">
        <v>142218.75290127774</v>
      </c>
      <c r="D104" t="s">
        <v>0</v>
      </c>
    </row>
    <row r="105" spans="1:4" x14ac:dyDescent="0.25">
      <c r="A105" s="1">
        <v>40878</v>
      </c>
      <c r="B105" s="14">
        <v>176450.23658097396</v>
      </c>
      <c r="C105" s="14">
        <v>151331.52362142113</v>
      </c>
      <c r="D105" t="s">
        <v>0</v>
      </c>
    </row>
    <row r="106" spans="1:4" x14ac:dyDescent="0.25">
      <c r="A106" s="1">
        <v>40969</v>
      </c>
      <c r="B106" s="14">
        <v>198165.07192857875</v>
      </c>
      <c r="C106" s="14">
        <v>160049.38398674526</v>
      </c>
      <c r="D106" t="s">
        <v>0</v>
      </c>
    </row>
    <row r="107" spans="1:4" x14ac:dyDescent="0.25">
      <c r="A107" s="1">
        <v>41061</v>
      </c>
      <c r="B107" s="14">
        <v>189665.40186865677</v>
      </c>
      <c r="C107" s="14">
        <v>168735.27043919326</v>
      </c>
      <c r="D107" t="s">
        <v>0</v>
      </c>
    </row>
    <row r="108" spans="1:4" x14ac:dyDescent="0.25">
      <c r="A108" s="1">
        <v>41153</v>
      </c>
      <c r="B108" s="14">
        <v>205596.24162801274</v>
      </c>
      <c r="C108" s="14">
        <v>164346.90631897844</v>
      </c>
      <c r="D108" t="s">
        <v>0</v>
      </c>
    </row>
    <row r="109" spans="1:4" x14ac:dyDescent="0.25">
      <c r="A109" s="1">
        <v>41244</v>
      </c>
      <c r="B109" s="14">
        <v>215433.69663293514</v>
      </c>
      <c r="C109" s="14">
        <v>178574.41953507983</v>
      </c>
      <c r="D109" t="s">
        <v>0</v>
      </c>
    </row>
    <row r="110" spans="1:4" x14ac:dyDescent="0.25">
      <c r="A110" s="1">
        <v>41334</v>
      </c>
      <c r="B110" s="14">
        <v>234385.47757741337</v>
      </c>
      <c r="C110" s="14">
        <v>187985.38759396842</v>
      </c>
      <c r="D110" t="s">
        <v>0</v>
      </c>
    </row>
    <row r="111" spans="1:4" x14ac:dyDescent="0.25">
      <c r="A111" s="1">
        <v>41426</v>
      </c>
      <c r="B111" s="14">
        <v>234179.94483740916</v>
      </c>
      <c r="C111" s="14">
        <v>196431.98999117588</v>
      </c>
      <c r="D111" t="s">
        <v>0</v>
      </c>
    </row>
    <row r="112" spans="1:4" x14ac:dyDescent="0.25">
      <c r="A112" s="1">
        <v>41518</v>
      </c>
      <c r="B112" s="14">
        <v>256540.34632238961</v>
      </c>
      <c r="C112" s="14">
        <v>187349.06651023132</v>
      </c>
      <c r="D112" t="s">
        <v>0</v>
      </c>
    </row>
    <row r="113" spans="1:4" x14ac:dyDescent="0.25">
      <c r="A113" s="1">
        <v>41609</v>
      </c>
      <c r="B113" s="14">
        <v>274396.68130650726</v>
      </c>
      <c r="C113" s="14">
        <v>218443.87769631148</v>
      </c>
      <c r="D113" t="s">
        <v>0</v>
      </c>
    </row>
    <row r="114" spans="1:4" x14ac:dyDescent="0.25">
      <c r="A114" s="1">
        <v>41699</v>
      </c>
      <c r="B114" s="14">
        <v>280285.0827558256</v>
      </c>
      <c r="C114" s="14">
        <v>197194.66417103854</v>
      </c>
      <c r="D114" t="s">
        <v>0</v>
      </c>
    </row>
    <row r="115" spans="1:4" x14ac:dyDescent="0.25">
      <c r="A115" s="1">
        <v>41791</v>
      </c>
      <c r="B115" s="14">
        <v>291271.377130315</v>
      </c>
      <c r="C115" s="14">
        <v>191674.57260891626</v>
      </c>
      <c r="D115" t="s">
        <v>0</v>
      </c>
    </row>
    <row r="116" spans="1:4" x14ac:dyDescent="0.25">
      <c r="A116" s="1">
        <v>41883</v>
      </c>
      <c r="B116" s="14">
        <v>286119.72816575912</v>
      </c>
      <c r="C116" s="14">
        <v>196459.37044645502</v>
      </c>
      <c r="D116" t="s">
        <v>0</v>
      </c>
    </row>
    <row r="117" spans="1:4" x14ac:dyDescent="0.25">
      <c r="A117" s="1">
        <v>41974</v>
      </c>
      <c r="B117" s="14">
        <v>292029.3820395259</v>
      </c>
      <c r="C117" s="14">
        <v>197350.92934153051</v>
      </c>
      <c r="D117" t="s">
        <v>0</v>
      </c>
    </row>
    <row r="118" spans="1:4" x14ac:dyDescent="0.25">
      <c r="A118" s="1">
        <v>42064</v>
      </c>
      <c r="B118" s="14">
        <v>307653.62408721657</v>
      </c>
      <c r="C118" s="14">
        <v>202666.68817207348</v>
      </c>
      <c r="D118" t="s">
        <v>0</v>
      </c>
    </row>
    <row r="119" spans="1:4" x14ac:dyDescent="0.25">
      <c r="A119" s="1">
        <v>42156</v>
      </c>
      <c r="B119" s="14">
        <v>303665.1921284619</v>
      </c>
      <c r="C119" s="14">
        <v>203167.52381912235</v>
      </c>
      <c r="D119" t="s">
        <v>0</v>
      </c>
    </row>
    <row r="120" spans="1:4" x14ac:dyDescent="0.25">
      <c r="A120" s="1">
        <v>42248</v>
      </c>
      <c r="B120" s="14">
        <v>280081.7379746834</v>
      </c>
      <c r="C120" s="14">
        <v>186629.75113034932</v>
      </c>
      <c r="D120" t="s">
        <v>0</v>
      </c>
    </row>
    <row r="121" spans="1:4" x14ac:dyDescent="0.25">
      <c r="A121" s="1">
        <v>42339</v>
      </c>
      <c r="B121" s="14">
        <v>297244.14085184329</v>
      </c>
      <c r="C121" s="14">
        <v>191669.45733137144</v>
      </c>
      <c r="D121" t="s">
        <v>0</v>
      </c>
    </row>
    <row r="122" spans="1:4" x14ac:dyDescent="0.25">
      <c r="A122" s="1">
        <v>42430</v>
      </c>
      <c r="B122" s="14">
        <v>295887.37570223521</v>
      </c>
      <c r="C122" s="14">
        <v>184962.75803125155</v>
      </c>
      <c r="D122" t="s">
        <v>0</v>
      </c>
    </row>
    <row r="123" spans="1:4" x14ac:dyDescent="0.25">
      <c r="A123" s="1">
        <v>42522</v>
      </c>
      <c r="B123" s="14">
        <v>303230.09118924616</v>
      </c>
      <c r="C123" s="14">
        <v>187101.31190583273</v>
      </c>
      <c r="D123" t="s">
        <v>0</v>
      </c>
    </row>
    <row r="124" spans="1:4" x14ac:dyDescent="0.25">
      <c r="A124" s="1">
        <v>42614</v>
      </c>
      <c r="B124" s="14">
        <v>320646.91219383699</v>
      </c>
      <c r="C124" s="14">
        <v>177590.9620035679</v>
      </c>
      <c r="D124" t="s">
        <v>0</v>
      </c>
    </row>
    <row r="125" spans="1:4" x14ac:dyDescent="0.25">
      <c r="A125" s="1">
        <v>42705</v>
      </c>
      <c r="B125" s="14">
        <v>331906.00001393043</v>
      </c>
      <c r="C125" s="14">
        <v>192585.27398902865</v>
      </c>
      <c r="D125" t="s">
        <v>0</v>
      </c>
    </row>
    <row r="126" spans="1:4" x14ac:dyDescent="0.25">
      <c r="A126" s="1">
        <v>42795</v>
      </c>
      <c r="B126" s="14">
        <v>353158.07420173526</v>
      </c>
      <c r="C126" s="14">
        <v>178253.47692025045</v>
      </c>
      <c r="D126" t="s">
        <v>0</v>
      </c>
    </row>
    <row r="127" spans="1:4" x14ac:dyDescent="0.25">
      <c r="A127" s="1">
        <v>42887</v>
      </c>
      <c r="B127" s="14">
        <v>362849.80417277466</v>
      </c>
      <c r="C127" s="14">
        <v>174740.09931351239</v>
      </c>
      <c r="D127" t="s">
        <v>0</v>
      </c>
    </row>
    <row r="128" spans="1:4" x14ac:dyDescent="0.25">
      <c r="A128" s="1">
        <v>42979</v>
      </c>
      <c r="B128" s="14">
        <v>378401.60029166978</v>
      </c>
      <c r="C128" s="14">
        <v>169325.92799890041</v>
      </c>
      <c r="D128" t="s">
        <v>0</v>
      </c>
    </row>
    <row r="129" spans="1:4" x14ac:dyDescent="0.25">
      <c r="A129" s="1">
        <v>43070</v>
      </c>
      <c r="B129" s="14">
        <v>403495.98895596096</v>
      </c>
      <c r="C129" s="14">
        <v>184482.37345534249</v>
      </c>
      <c r="D129" t="s">
        <v>0</v>
      </c>
    </row>
    <row r="130" spans="1:4" x14ac:dyDescent="0.25">
      <c r="A130" s="1">
        <v>43160</v>
      </c>
      <c r="B130" s="14">
        <v>397108.22509988683</v>
      </c>
      <c r="C130" s="14">
        <v>180077.00488083775</v>
      </c>
      <c r="D130" t="s">
        <v>0</v>
      </c>
    </row>
    <row r="131" spans="1:4" x14ac:dyDescent="0.25">
      <c r="A131" s="1">
        <v>43252</v>
      </c>
      <c r="B131" s="14">
        <v>414956.7025336622</v>
      </c>
      <c r="C131" s="14">
        <v>180604.17461940547</v>
      </c>
      <c r="D131" t="s">
        <v>0</v>
      </c>
    </row>
    <row r="132" spans="1:4" x14ac:dyDescent="0.25">
      <c r="A132" s="1">
        <v>43344</v>
      </c>
      <c r="B132" s="14">
        <v>431568.48012732295</v>
      </c>
      <c r="C132" s="14">
        <v>156736.12454052555</v>
      </c>
      <c r="D132" t="s">
        <v>0</v>
      </c>
    </row>
    <row r="133" spans="1:4" x14ac:dyDescent="0.25">
      <c r="A133" s="1">
        <v>43435</v>
      </c>
      <c r="B133" s="14">
        <v>380167.19277583982</v>
      </c>
      <c r="C133" s="14">
        <v>161288.14062361093</v>
      </c>
      <c r="D133" t="s">
        <v>0</v>
      </c>
    </row>
    <row r="134" spans="1:4" x14ac:dyDescent="0.25">
      <c r="A134" s="1">
        <v>43525</v>
      </c>
      <c r="B134" s="14">
        <v>428182.46060128446</v>
      </c>
      <c r="C134" s="14">
        <v>162925.66647555199</v>
      </c>
      <c r="D134" t="s">
        <v>0</v>
      </c>
    </row>
    <row r="135" spans="1:4" x14ac:dyDescent="0.25">
      <c r="A135" s="1">
        <v>43617</v>
      </c>
      <c r="B135" s="14">
        <v>451511.88103726995</v>
      </c>
      <c r="C135" s="14">
        <v>153840.95282262316</v>
      </c>
      <c r="D135" t="s">
        <v>0</v>
      </c>
    </row>
    <row r="136" spans="1:4" x14ac:dyDescent="0.25">
      <c r="A136" s="1">
        <v>43709</v>
      </c>
      <c r="B136" s="14">
        <v>457996.0435470324</v>
      </c>
      <c r="C136" s="14">
        <v>152679.28582223464</v>
      </c>
      <c r="D136" t="s">
        <v>0</v>
      </c>
    </row>
    <row r="137" spans="1:4" x14ac:dyDescent="0.25">
      <c r="A137" s="1">
        <v>43800</v>
      </c>
      <c r="B137" s="14">
        <v>487723.25107682217</v>
      </c>
      <c r="C137" s="14">
        <v>170163.22589740992</v>
      </c>
      <c r="D137" t="s">
        <v>0</v>
      </c>
    </row>
    <row r="138" spans="1:4" x14ac:dyDescent="0.25">
      <c r="A138" s="1">
        <v>43891</v>
      </c>
      <c r="B138" s="14">
        <v>378089.36301662598</v>
      </c>
      <c r="C138" s="14">
        <v>153940.07781332216</v>
      </c>
      <c r="D138" t="s">
        <v>0</v>
      </c>
    </row>
    <row r="139" spans="1:4" x14ac:dyDescent="0.25">
      <c r="A139" s="1">
        <v>43983</v>
      </c>
      <c r="B139" s="14">
        <v>452025.6467691118</v>
      </c>
      <c r="C139" s="14">
        <v>152502.61042511291</v>
      </c>
      <c r="D139" t="s">
        <v>0</v>
      </c>
    </row>
    <row r="140" spans="1:4" x14ac:dyDescent="0.25">
      <c r="A140" s="1">
        <v>44075</v>
      </c>
      <c r="B140" s="14">
        <v>478320.86408714071</v>
      </c>
      <c r="C140" s="14">
        <v>173138.48650057943</v>
      </c>
      <c r="D140" t="s">
        <v>0</v>
      </c>
    </row>
    <row r="141" spans="1:4" x14ac:dyDescent="0.25">
      <c r="A141" s="1">
        <v>44166</v>
      </c>
      <c r="B141" s="14">
        <v>550667.09491728467</v>
      </c>
      <c r="C141" s="14">
        <v>206450.36658585959</v>
      </c>
      <c r="D141" t="s">
        <v>0</v>
      </c>
    </row>
    <row r="142" spans="1:4" x14ac:dyDescent="0.25">
      <c r="A142" s="1">
        <v>44256</v>
      </c>
      <c r="B142" s="14">
        <v>580034.13962028013</v>
      </c>
      <c r="C142" s="14">
        <v>214293.28245191794</v>
      </c>
      <c r="D142" t="s">
        <v>0</v>
      </c>
    </row>
    <row r="143" spans="1:4" x14ac:dyDescent="0.25">
      <c r="A143" s="1">
        <v>44348</v>
      </c>
      <c r="B143" s="14">
        <v>625767.73210686108</v>
      </c>
      <c r="C143" s="14">
        <v>220193.26844087907</v>
      </c>
      <c r="D143" t="s">
        <v>0</v>
      </c>
    </row>
    <row r="144" spans="1:4" x14ac:dyDescent="0.25">
      <c r="A144" s="1">
        <v>44440</v>
      </c>
      <c r="B144" s="14">
        <v>628377.64749172202</v>
      </c>
      <c r="C144" s="14">
        <v>206578.63288854304</v>
      </c>
      <c r="D144" t="s">
        <v>0</v>
      </c>
    </row>
    <row r="145" spans="1:4" x14ac:dyDescent="0.25">
      <c r="A145" s="1">
        <v>44531</v>
      </c>
      <c r="B145" s="14">
        <v>664512.60352646443</v>
      </c>
      <c r="C145" s="14">
        <v>240746.5838871306</v>
      </c>
      <c r="D145" t="s">
        <v>0</v>
      </c>
    </row>
    <row r="146" spans="1:4" x14ac:dyDescent="0.25">
      <c r="A146" s="1">
        <v>44621</v>
      </c>
      <c r="B146" s="14">
        <v>645341.20726571884</v>
      </c>
      <c r="C146" s="14">
        <v>233222.67358183098</v>
      </c>
      <c r="D146" t="s">
        <v>0</v>
      </c>
    </row>
    <row r="147" spans="1:4" x14ac:dyDescent="0.25">
      <c r="A147" s="1">
        <v>44713</v>
      </c>
      <c r="B147" s="14">
        <v>548746.96712933644</v>
      </c>
      <c r="C147" s="14">
        <v>249010.74295639817</v>
      </c>
      <c r="D147" t="s">
        <v>0</v>
      </c>
    </row>
    <row r="148" spans="1:4" x14ac:dyDescent="0.25">
      <c r="A148" s="1">
        <v>44805</v>
      </c>
      <c r="B148" s="14">
        <v>527023.55349177273</v>
      </c>
      <c r="C148" s="14">
        <v>240238.51798888724</v>
      </c>
      <c r="D148" t="s">
        <v>0</v>
      </c>
    </row>
    <row r="149" spans="1:4" x14ac:dyDescent="0.25">
      <c r="A149" s="1">
        <v>44896</v>
      </c>
      <c r="B149" s="14">
        <v>579217.76584068325</v>
      </c>
      <c r="C149" s="14">
        <v>265504.37555857736</v>
      </c>
      <c r="D149" t="s">
        <v>0</v>
      </c>
    </row>
    <row r="150" spans="1:4" x14ac:dyDescent="0.25">
      <c r="A150" s="1">
        <v>44986</v>
      </c>
      <c r="B150" s="14">
        <v>615262.86537225207</v>
      </c>
      <c r="C150" s="14">
        <v>264324.84223430272</v>
      </c>
      <c r="D150" t="s">
        <v>0</v>
      </c>
    </row>
    <row r="151" spans="1:4" x14ac:dyDescent="0.25">
      <c r="A151" s="1">
        <v>45078</v>
      </c>
      <c r="B151" s="14">
        <v>645446.81318941223</v>
      </c>
      <c r="C151" s="14">
        <v>286587.88881240215</v>
      </c>
      <c r="D151" t="s">
        <v>0</v>
      </c>
    </row>
    <row r="152" spans="1:4" x14ac:dyDescent="0.25">
      <c r="A152" s="1">
        <v>45170</v>
      </c>
      <c r="B152" s="14">
        <v>628891.78994008771</v>
      </c>
      <c r="C152" s="14">
        <v>287259.73448946816</v>
      </c>
      <c r="D152" t="s">
        <v>0</v>
      </c>
    </row>
    <row r="153" spans="1:4" x14ac:dyDescent="0.25">
      <c r="A153" s="1">
        <v>45261</v>
      </c>
      <c r="B153" s="14">
        <v>696398.70087802701</v>
      </c>
      <c r="C153" s="14">
        <v>346617.71074273426</v>
      </c>
      <c r="D153" t="s">
        <v>0</v>
      </c>
    </row>
    <row r="154" spans="1:4" x14ac:dyDescent="0.25">
      <c r="A154" s="1">
        <v>45352</v>
      </c>
      <c r="B154" s="14">
        <v>748736.30477462744</v>
      </c>
      <c r="C154" s="14">
        <v>386288.31190592679</v>
      </c>
      <c r="D154" t="s">
        <v>0</v>
      </c>
    </row>
    <row r="155" spans="1:4" x14ac:dyDescent="0.25">
      <c r="A155" s="1">
        <v>45444</v>
      </c>
      <c r="B155" s="14">
        <v>756560.96052017773</v>
      </c>
      <c r="C155" s="14">
        <v>441540.19611787656</v>
      </c>
      <c r="D155" t="s">
        <v>0</v>
      </c>
    </row>
    <row r="156" spans="1:4" x14ac:dyDescent="0.25">
      <c r="A156" s="1">
        <v>45536</v>
      </c>
      <c r="B156" s="14">
        <v>808713.5705348152</v>
      </c>
      <c r="C156" s="14">
        <v>465449.79391292215</v>
      </c>
      <c r="D156" t="s">
        <v>0</v>
      </c>
    </row>
    <row r="157" spans="1:4" x14ac:dyDescent="0.25">
      <c r="A157" s="1">
        <v>45627</v>
      </c>
      <c r="B157" s="14">
        <v>803166.54672286753</v>
      </c>
      <c r="C157" s="14">
        <v>504993.70956612198</v>
      </c>
      <c r="D157" t="s">
        <v>0</v>
      </c>
    </row>
    <row r="158" spans="1:4" x14ac:dyDescent="0.25">
      <c r="A158" s="1">
        <v>45717</v>
      </c>
      <c r="B158" s="14">
        <v>784232.41870120075</v>
      </c>
      <c r="C158" s="14">
        <v>506867.4096159921</v>
      </c>
      <c r="D158" t="s">
        <v>0</v>
      </c>
    </row>
    <row r="159" spans="1:4" x14ac:dyDescent="0.25">
      <c r="A159" s="1">
        <v>45809</v>
      </c>
      <c r="B159" s="14">
        <v>868367.1441341528</v>
      </c>
      <c r="C159" s="14">
        <v>535212.94123565953</v>
      </c>
      <c r="D159" t="s">
        <v>0</v>
      </c>
    </row>
    <row r="160" spans="1:4" x14ac:dyDescent="0.25">
      <c r="A160" s="1">
        <v>45901</v>
      </c>
      <c r="B160" s="14">
        <v>924227.57100546558</v>
      </c>
      <c r="C160" s="14">
        <v>556270.71900041553</v>
      </c>
      <c r="D160" t="s">
        <v>0</v>
      </c>
    </row>
    <row r="161" spans="1:4" x14ac:dyDescent="0.25">
      <c r="A161" s="1">
        <v>45992</v>
      </c>
      <c r="B161" s="14">
        <v>940067.90168769576</v>
      </c>
      <c r="C161" s="14">
        <v>635007.27377124177</v>
      </c>
      <c r="D161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E237-84DB-4805-9B09-729324CC4A68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62698.967137232823</v>
      </c>
      <c r="C2" s="14">
        <v>39290.625</v>
      </c>
      <c r="D2" t="s">
        <v>67</v>
      </c>
    </row>
    <row r="3" spans="1:4" x14ac:dyDescent="0.25">
      <c r="A3" s="1">
        <v>38869</v>
      </c>
      <c r="B3" s="14">
        <v>64243.340089340345</v>
      </c>
      <c r="C3" s="14">
        <v>48565.945539744745</v>
      </c>
      <c r="D3" t="s">
        <v>67</v>
      </c>
    </row>
    <row r="4" spans="1:4" x14ac:dyDescent="0.25">
      <c r="A4" s="1">
        <v>38961</v>
      </c>
      <c r="B4" s="14">
        <v>68663.502523954798</v>
      </c>
      <c r="C4" s="14">
        <v>52907.304957545944</v>
      </c>
      <c r="D4" t="s">
        <v>67</v>
      </c>
    </row>
    <row r="5" spans="1:4" x14ac:dyDescent="0.25">
      <c r="A5" s="1">
        <v>39052</v>
      </c>
      <c r="B5" s="14">
        <v>77215.487813699219</v>
      </c>
      <c r="C5" s="14">
        <v>58192.991382585227</v>
      </c>
      <c r="D5" t="s">
        <v>67</v>
      </c>
    </row>
    <row r="6" spans="1:4" x14ac:dyDescent="0.25">
      <c r="A6" s="1">
        <v>39142</v>
      </c>
      <c r="B6" s="14">
        <v>82414.395576646493</v>
      </c>
      <c r="C6" s="14">
        <v>56608.243282458337</v>
      </c>
      <c r="D6" t="s">
        <v>67</v>
      </c>
    </row>
    <row r="7" spans="1:4" x14ac:dyDescent="0.25">
      <c r="A7" s="1">
        <v>39234</v>
      </c>
      <c r="B7" s="14">
        <v>89644.785507847395</v>
      </c>
      <c r="C7" s="14">
        <v>75558.360402186605</v>
      </c>
      <c r="D7" t="s">
        <v>67</v>
      </c>
    </row>
    <row r="8" spans="1:4" x14ac:dyDescent="0.25">
      <c r="A8" s="1">
        <v>39326</v>
      </c>
      <c r="B8" s="14">
        <v>94512.563305718955</v>
      </c>
      <c r="C8" s="14">
        <v>94463.573662250797</v>
      </c>
      <c r="D8" t="s">
        <v>67</v>
      </c>
    </row>
    <row r="9" spans="1:4" x14ac:dyDescent="0.25">
      <c r="A9" s="1">
        <v>39417</v>
      </c>
      <c r="B9" s="14">
        <v>94019.192378020307</v>
      </c>
      <c r="C9" s="14">
        <v>98642.087459266011</v>
      </c>
      <c r="D9" t="s">
        <v>67</v>
      </c>
    </row>
    <row r="10" spans="1:4" x14ac:dyDescent="0.25">
      <c r="A10" s="1">
        <v>39508</v>
      </c>
      <c r="B10" s="14">
        <v>86047.314658251344</v>
      </c>
      <c r="C10" s="14">
        <v>102794.70121196099</v>
      </c>
      <c r="D10" t="s">
        <v>67</v>
      </c>
    </row>
    <row r="11" spans="1:4" x14ac:dyDescent="0.25">
      <c r="A11" s="1">
        <v>39600</v>
      </c>
      <c r="B11" s="14">
        <v>87046.486477066399</v>
      </c>
      <c r="C11" s="14">
        <v>97106.928557223611</v>
      </c>
      <c r="D11" t="s">
        <v>67</v>
      </c>
    </row>
    <row r="12" spans="1:4" x14ac:dyDescent="0.25">
      <c r="A12" s="1">
        <v>39692</v>
      </c>
      <c r="B12" s="14">
        <v>76973.030115343281</v>
      </c>
      <c r="C12" s="14">
        <v>120845.77525820737</v>
      </c>
      <c r="D12" t="s">
        <v>67</v>
      </c>
    </row>
    <row r="13" spans="1:4" x14ac:dyDescent="0.25">
      <c r="A13" s="1">
        <v>39783</v>
      </c>
      <c r="B13" s="14">
        <v>61848.693399500786</v>
      </c>
      <c r="C13" s="14">
        <v>106034.34767752688</v>
      </c>
      <c r="D13" t="s">
        <v>67</v>
      </c>
    </row>
    <row r="14" spans="1:4" x14ac:dyDescent="0.25">
      <c r="A14" s="1">
        <v>39873</v>
      </c>
      <c r="B14" s="14">
        <v>57501.535255948664</v>
      </c>
      <c r="C14" s="14">
        <v>104738.6489597222</v>
      </c>
      <c r="D14" t="s">
        <v>67</v>
      </c>
    </row>
    <row r="15" spans="1:4" x14ac:dyDescent="0.25">
      <c r="A15" s="1">
        <v>39965</v>
      </c>
      <c r="B15" s="14">
        <v>69491.274144307667</v>
      </c>
      <c r="C15" s="14">
        <v>114142.92096785584</v>
      </c>
      <c r="D15" t="s">
        <v>67</v>
      </c>
    </row>
    <row r="16" spans="1:4" x14ac:dyDescent="0.25">
      <c r="A16" s="1">
        <v>40057</v>
      </c>
      <c r="B16" s="14">
        <v>84166.022622777091</v>
      </c>
      <c r="C16" s="14">
        <v>113766.29572805268</v>
      </c>
      <c r="D16" t="s">
        <v>67</v>
      </c>
    </row>
    <row r="17" spans="1:4" x14ac:dyDescent="0.25">
      <c r="A17" s="1">
        <v>40148</v>
      </c>
      <c r="B17" s="14">
        <v>88674.104602153748</v>
      </c>
      <c r="C17" s="14">
        <v>129819.21154141804</v>
      </c>
      <c r="D17" t="s">
        <v>67</v>
      </c>
    </row>
    <row r="18" spans="1:4" x14ac:dyDescent="0.25">
      <c r="A18" s="1">
        <v>40238</v>
      </c>
      <c r="B18" s="14">
        <v>92754.866173137751</v>
      </c>
      <c r="C18" s="14">
        <v>135368.87263848848</v>
      </c>
      <c r="D18" t="s">
        <v>67</v>
      </c>
    </row>
    <row r="19" spans="1:4" x14ac:dyDescent="0.25">
      <c r="A19" s="1">
        <v>40330</v>
      </c>
      <c r="B19" s="14">
        <v>82566.741186119645</v>
      </c>
      <c r="C19" s="14">
        <v>139223.81293723406</v>
      </c>
      <c r="D19" t="s">
        <v>67</v>
      </c>
    </row>
    <row r="20" spans="1:4" x14ac:dyDescent="0.25">
      <c r="A20" s="1">
        <v>40422</v>
      </c>
      <c r="B20" s="14">
        <v>94281.426106075683</v>
      </c>
      <c r="C20" s="14">
        <v>131784.93834439671</v>
      </c>
      <c r="D20" t="s">
        <v>67</v>
      </c>
    </row>
    <row r="21" spans="1:4" x14ac:dyDescent="0.25">
      <c r="A21" s="1">
        <v>40513</v>
      </c>
      <c r="B21" s="14">
        <v>103508.12680545248</v>
      </c>
      <c r="C21" s="14">
        <v>135618.88434436772</v>
      </c>
      <c r="D21" t="s">
        <v>67</v>
      </c>
    </row>
    <row r="22" spans="1:4" x14ac:dyDescent="0.25">
      <c r="A22" s="1">
        <v>40603</v>
      </c>
      <c r="B22" s="14">
        <v>109578.16578138467</v>
      </c>
      <c r="C22" s="14">
        <v>138921.83790437947</v>
      </c>
      <c r="D22" t="s">
        <v>67</v>
      </c>
    </row>
    <row r="23" spans="1:4" x14ac:dyDescent="0.25">
      <c r="A23" s="1">
        <v>40695</v>
      </c>
      <c r="B23" s="14">
        <v>109675.63052052962</v>
      </c>
      <c r="C23" s="14">
        <v>128065.90988966121</v>
      </c>
      <c r="D23" t="s">
        <v>67</v>
      </c>
    </row>
    <row r="24" spans="1:4" x14ac:dyDescent="0.25">
      <c r="A24" s="1">
        <v>40787</v>
      </c>
      <c r="B24" s="14">
        <v>93557.644113666785</v>
      </c>
      <c r="C24" s="14">
        <v>119219.05683185803</v>
      </c>
      <c r="D24" t="s">
        <v>67</v>
      </c>
    </row>
    <row r="25" spans="1:4" x14ac:dyDescent="0.25">
      <c r="A25" s="1">
        <v>40878</v>
      </c>
      <c r="B25" s="14">
        <v>100311.46606245494</v>
      </c>
      <c r="C25" s="14">
        <v>125853.34882383712</v>
      </c>
      <c r="D25" t="s">
        <v>67</v>
      </c>
    </row>
    <row r="26" spans="1:4" x14ac:dyDescent="0.25">
      <c r="A26" s="1">
        <v>40969</v>
      </c>
      <c r="B26" s="14">
        <v>112555.09266867857</v>
      </c>
      <c r="C26" s="14">
        <v>115343.68705275044</v>
      </c>
      <c r="D26" t="s">
        <v>67</v>
      </c>
    </row>
    <row r="27" spans="1:4" x14ac:dyDescent="0.25">
      <c r="A27" s="1">
        <v>41061</v>
      </c>
      <c r="B27" s="14">
        <v>107631.72352119363</v>
      </c>
      <c r="C27" s="14">
        <v>112970.94063869855</v>
      </c>
      <c r="D27" t="s">
        <v>67</v>
      </c>
    </row>
    <row r="28" spans="1:4" x14ac:dyDescent="0.25">
      <c r="A28" s="1">
        <v>41153</v>
      </c>
      <c r="B28" s="14">
        <v>116560.05085794197</v>
      </c>
      <c r="C28" s="14">
        <v>122417.16347100033</v>
      </c>
      <c r="D28" t="s">
        <v>67</v>
      </c>
    </row>
    <row r="29" spans="1:4" x14ac:dyDescent="0.25">
      <c r="A29" s="1">
        <v>41244</v>
      </c>
      <c r="B29" s="14">
        <v>122022.15946696822</v>
      </c>
      <c r="C29" s="14">
        <v>122087.10394025117</v>
      </c>
      <c r="D29" t="s">
        <v>67</v>
      </c>
    </row>
    <row r="30" spans="1:4" x14ac:dyDescent="0.25">
      <c r="A30" s="1">
        <v>41334</v>
      </c>
      <c r="B30" s="14">
        <v>132900.37714111569</v>
      </c>
      <c r="C30" s="14">
        <v>121825.27708416991</v>
      </c>
      <c r="D30" t="s">
        <v>67</v>
      </c>
    </row>
    <row r="31" spans="1:4" x14ac:dyDescent="0.25">
      <c r="A31" s="1">
        <v>41426</v>
      </c>
      <c r="B31" s="14">
        <v>132910.0559872842</v>
      </c>
      <c r="C31" s="14">
        <v>126474.31739328254</v>
      </c>
      <c r="D31" t="s">
        <v>67</v>
      </c>
    </row>
    <row r="32" spans="1:4" x14ac:dyDescent="0.25">
      <c r="A32" s="1">
        <v>41518</v>
      </c>
      <c r="B32" s="14">
        <v>145732.36119317182</v>
      </c>
      <c r="C32" s="14">
        <v>120412.05311432978</v>
      </c>
      <c r="D32" t="s">
        <v>67</v>
      </c>
    </row>
    <row r="33" spans="1:4" x14ac:dyDescent="0.25">
      <c r="A33" s="1">
        <v>41609</v>
      </c>
      <c r="B33" s="14">
        <v>156003.67030571774</v>
      </c>
      <c r="C33" s="14">
        <v>126147.10721397313</v>
      </c>
      <c r="D33" t="s">
        <v>67</v>
      </c>
    </row>
    <row r="34" spans="1:4" x14ac:dyDescent="0.25">
      <c r="A34" s="1">
        <v>41699</v>
      </c>
      <c r="B34" s="14">
        <v>159379.98471799764</v>
      </c>
      <c r="C34" s="14">
        <v>122108.35490130715</v>
      </c>
      <c r="D34" t="s">
        <v>67</v>
      </c>
    </row>
    <row r="35" spans="1:4" x14ac:dyDescent="0.25">
      <c r="A35" s="1">
        <v>41791</v>
      </c>
      <c r="B35" s="14">
        <v>165654.24414062814</v>
      </c>
      <c r="C35" s="14">
        <v>140575.23334325981</v>
      </c>
      <c r="D35" t="s">
        <v>67</v>
      </c>
    </row>
    <row r="36" spans="1:4" x14ac:dyDescent="0.25">
      <c r="A36" s="1">
        <v>41883</v>
      </c>
      <c r="B36" s="14">
        <v>162748.36822803342</v>
      </c>
      <c r="C36" s="14">
        <v>137997.09520392527</v>
      </c>
      <c r="D36" t="s">
        <v>67</v>
      </c>
    </row>
    <row r="37" spans="1:4" x14ac:dyDescent="0.25">
      <c r="A37" s="1">
        <v>41974</v>
      </c>
      <c r="B37" s="14">
        <v>166134.56598039088</v>
      </c>
      <c r="C37" s="14">
        <v>140329.79149147117</v>
      </c>
      <c r="D37" t="s">
        <v>67</v>
      </c>
    </row>
    <row r="38" spans="1:4" x14ac:dyDescent="0.25">
      <c r="A38" s="1">
        <v>42064</v>
      </c>
      <c r="B38" s="14">
        <v>174891.90650774597</v>
      </c>
      <c r="C38" s="14">
        <v>140230.73858436893</v>
      </c>
      <c r="D38" t="s">
        <v>67</v>
      </c>
    </row>
    <row r="39" spans="1:4" x14ac:dyDescent="0.25">
      <c r="A39" s="1">
        <v>42156</v>
      </c>
      <c r="B39" s="14">
        <v>172496.53323099349</v>
      </c>
      <c r="C39" s="14">
        <v>140184.29573460136</v>
      </c>
      <c r="D39" t="s">
        <v>67</v>
      </c>
    </row>
    <row r="40" spans="1:4" x14ac:dyDescent="0.25">
      <c r="A40" s="1">
        <v>42248</v>
      </c>
      <c r="B40" s="14">
        <v>158977.85558461066</v>
      </c>
      <c r="C40" s="14">
        <v>139687.30727521237</v>
      </c>
      <c r="D40" t="s">
        <v>67</v>
      </c>
    </row>
    <row r="41" spans="1:4" x14ac:dyDescent="0.25">
      <c r="A41" s="1">
        <v>42339</v>
      </c>
      <c r="B41" s="14">
        <v>168581.90798285403</v>
      </c>
      <c r="C41" s="14">
        <v>140188.25192448258</v>
      </c>
      <c r="D41" t="s">
        <v>67</v>
      </c>
    </row>
    <row r="42" spans="1:4" x14ac:dyDescent="0.25">
      <c r="A42" s="1">
        <v>42430</v>
      </c>
      <c r="B42" s="14">
        <v>167474.72221964496</v>
      </c>
      <c r="C42" s="14">
        <v>140195.22532305832</v>
      </c>
      <c r="D42" t="s">
        <v>67</v>
      </c>
    </row>
    <row r="43" spans="1:4" x14ac:dyDescent="0.25">
      <c r="A43" s="1">
        <v>42522</v>
      </c>
      <c r="B43" s="14">
        <v>171281.07705264259</v>
      </c>
      <c r="C43" s="14">
        <v>161717.80200354688</v>
      </c>
      <c r="D43" t="s">
        <v>67</v>
      </c>
    </row>
    <row r="44" spans="1:4" x14ac:dyDescent="0.25">
      <c r="A44" s="1">
        <v>42614</v>
      </c>
      <c r="B44" s="14">
        <v>180752.75296693272</v>
      </c>
      <c r="C44" s="14">
        <v>159776.20409000746</v>
      </c>
      <c r="D44" t="s">
        <v>67</v>
      </c>
    </row>
    <row r="45" spans="1:4" x14ac:dyDescent="0.25">
      <c r="A45" s="1">
        <v>42705</v>
      </c>
      <c r="B45" s="14">
        <v>186742.53254701637</v>
      </c>
      <c r="C45" s="14">
        <v>159823.6657703552</v>
      </c>
      <c r="D45" t="s">
        <v>67</v>
      </c>
    </row>
    <row r="46" spans="1:4" x14ac:dyDescent="0.25">
      <c r="A46" s="1">
        <v>42795</v>
      </c>
      <c r="B46" s="14">
        <v>198153.07100218954</v>
      </c>
      <c r="C46" s="14">
        <v>159889.83647177389</v>
      </c>
      <c r="D46" t="s">
        <v>67</v>
      </c>
    </row>
    <row r="47" spans="1:4" x14ac:dyDescent="0.25">
      <c r="A47" s="1">
        <v>42887</v>
      </c>
      <c r="B47" s="14">
        <v>203057.01345960257</v>
      </c>
      <c r="C47" s="14">
        <v>178049.18961632508</v>
      </c>
      <c r="D47" t="s">
        <v>67</v>
      </c>
    </row>
    <row r="48" spans="1:4" x14ac:dyDescent="0.25">
      <c r="A48" s="1">
        <v>42979</v>
      </c>
      <c r="B48" s="14">
        <v>211212.34293018168</v>
      </c>
      <c r="C48" s="14">
        <v>169798.49422230426</v>
      </c>
      <c r="D48" t="s">
        <v>67</v>
      </c>
    </row>
    <row r="49" spans="1:4" x14ac:dyDescent="0.25">
      <c r="A49" s="1">
        <v>43070</v>
      </c>
      <c r="B49" s="14">
        <v>224662.09416433601</v>
      </c>
      <c r="C49" s="14">
        <v>184555.19247284337</v>
      </c>
      <c r="D49" t="s">
        <v>67</v>
      </c>
    </row>
    <row r="50" spans="1:4" x14ac:dyDescent="0.25">
      <c r="A50" s="1">
        <v>43160</v>
      </c>
      <c r="B50" s="14">
        <v>220485.90655495506</v>
      </c>
      <c r="C50" s="14">
        <v>165083.8703667256</v>
      </c>
      <c r="D50" t="s">
        <v>67</v>
      </c>
    </row>
    <row r="51" spans="1:4" x14ac:dyDescent="0.25">
      <c r="A51" s="1">
        <v>43252</v>
      </c>
      <c r="B51" s="14">
        <v>229731.44320556719</v>
      </c>
      <c r="C51" s="14">
        <v>175003.5850726114</v>
      </c>
      <c r="D51" t="s">
        <v>67</v>
      </c>
    </row>
    <row r="52" spans="1:4" x14ac:dyDescent="0.25">
      <c r="A52" s="1">
        <v>43344</v>
      </c>
      <c r="B52" s="14">
        <v>238262.06364018036</v>
      </c>
      <c r="C52" s="14">
        <v>175143.30968680605</v>
      </c>
      <c r="D52" t="s">
        <v>67</v>
      </c>
    </row>
    <row r="53" spans="1:4" x14ac:dyDescent="0.25">
      <c r="A53" s="1">
        <v>43435</v>
      </c>
      <c r="B53" s="14">
        <v>209322.85497846775</v>
      </c>
      <c r="C53" s="14">
        <v>166495.94277787147</v>
      </c>
      <c r="D53" t="s">
        <v>67</v>
      </c>
    </row>
    <row r="54" spans="1:4" x14ac:dyDescent="0.25">
      <c r="A54" s="1">
        <v>43525</v>
      </c>
      <c r="B54" s="14">
        <v>235047.16364188309</v>
      </c>
      <c r="C54" s="14">
        <v>195022.46187702482</v>
      </c>
      <c r="D54" t="s">
        <v>67</v>
      </c>
    </row>
    <row r="55" spans="1:4" x14ac:dyDescent="0.25">
      <c r="A55" s="1">
        <v>43617</v>
      </c>
      <c r="B55" s="14">
        <v>247174.3368574768</v>
      </c>
      <c r="C55" s="14">
        <v>185375.37249348703</v>
      </c>
      <c r="D55" t="s">
        <v>67</v>
      </c>
    </row>
    <row r="56" spans="1:4" x14ac:dyDescent="0.25">
      <c r="A56" s="1">
        <v>43709</v>
      </c>
      <c r="B56" s="14">
        <v>250059.50179084402</v>
      </c>
      <c r="C56" s="14">
        <v>175804.03783108859</v>
      </c>
      <c r="D56" t="s">
        <v>67</v>
      </c>
    </row>
    <row r="57" spans="1:4" x14ac:dyDescent="0.25">
      <c r="A57" s="1">
        <v>43800</v>
      </c>
      <c r="B57" s="14">
        <v>265593.08983709832</v>
      </c>
      <c r="C57" s="14">
        <v>180963.62132274924</v>
      </c>
      <c r="D57" t="s">
        <v>67</v>
      </c>
    </row>
    <row r="58" spans="1:4" x14ac:dyDescent="0.25">
      <c r="A58" s="1">
        <v>43891</v>
      </c>
      <c r="B58" s="14">
        <v>205330.96645459096</v>
      </c>
      <c r="C58" s="14">
        <v>186140.81589999315</v>
      </c>
      <c r="D58" t="s">
        <v>67</v>
      </c>
    </row>
    <row r="59" spans="1:4" x14ac:dyDescent="0.25">
      <c r="A59" s="1">
        <v>43983</v>
      </c>
      <c r="B59" s="14">
        <v>244620.22015671866</v>
      </c>
      <c r="C59" s="14">
        <v>217049.75532608212</v>
      </c>
      <c r="D59" t="s">
        <v>67</v>
      </c>
    </row>
    <row r="60" spans="1:4" x14ac:dyDescent="0.25">
      <c r="A60" s="1">
        <v>44075</v>
      </c>
      <c r="B60" s="14">
        <v>258075.99480642145</v>
      </c>
      <c r="C60" s="14">
        <v>208051.16881791991</v>
      </c>
      <c r="D60" t="s">
        <v>67</v>
      </c>
    </row>
    <row r="61" spans="1:4" x14ac:dyDescent="0.25">
      <c r="A61" s="1">
        <v>44166</v>
      </c>
      <c r="B61" s="14">
        <v>296269.85426172538</v>
      </c>
      <c r="C61" s="14">
        <v>211508.16008599568</v>
      </c>
      <c r="D61" t="s">
        <v>67</v>
      </c>
    </row>
    <row r="62" spans="1:4" x14ac:dyDescent="0.25">
      <c r="A62" s="1">
        <v>44256</v>
      </c>
      <c r="B62" s="14">
        <v>311434.71819735289</v>
      </c>
      <c r="C62" s="14">
        <v>216733.72547751764</v>
      </c>
      <c r="D62" t="s">
        <v>67</v>
      </c>
    </row>
    <row r="63" spans="1:4" x14ac:dyDescent="0.25">
      <c r="A63" s="1">
        <v>44348</v>
      </c>
      <c r="B63" s="14">
        <v>335328.66824266932</v>
      </c>
      <c r="C63" s="14">
        <v>212192.78790323721</v>
      </c>
      <c r="D63" t="s">
        <v>67</v>
      </c>
    </row>
    <row r="64" spans="1:4" x14ac:dyDescent="0.25">
      <c r="A64" s="1">
        <v>44440</v>
      </c>
      <c r="B64" s="14">
        <v>336099.76988031837</v>
      </c>
      <c r="C64" s="14">
        <v>222348.79499978965</v>
      </c>
      <c r="D64" t="s">
        <v>67</v>
      </c>
    </row>
    <row r="65" spans="1:4" x14ac:dyDescent="0.25">
      <c r="A65" s="1">
        <v>44531</v>
      </c>
      <c r="B65" s="14">
        <v>354766.55666690029</v>
      </c>
      <c r="C65" s="14">
        <v>247166.83614757939</v>
      </c>
      <c r="D65" t="s">
        <v>67</v>
      </c>
    </row>
    <row r="66" spans="1:4" x14ac:dyDescent="0.25">
      <c r="A66" s="1">
        <v>44621</v>
      </c>
      <c r="B66" s="14">
        <v>343822.86080906302</v>
      </c>
      <c r="C66" s="14">
        <v>252291.5430565188</v>
      </c>
      <c r="D66" t="s">
        <v>67</v>
      </c>
    </row>
    <row r="67" spans="1:4" x14ac:dyDescent="0.25">
      <c r="A67" s="1">
        <v>44713</v>
      </c>
      <c r="B67" s="14">
        <v>291739.5761190622</v>
      </c>
      <c r="C67" s="14">
        <v>262502.12747348531</v>
      </c>
      <c r="D67" t="s">
        <v>67</v>
      </c>
    </row>
    <row r="68" spans="1:4" x14ac:dyDescent="0.25">
      <c r="A68" s="1">
        <v>44805</v>
      </c>
      <c r="B68" s="14">
        <v>279502.62098965386</v>
      </c>
      <c r="C68" s="14">
        <v>282303.06330405298</v>
      </c>
      <c r="D68" t="s">
        <v>67</v>
      </c>
    </row>
    <row r="69" spans="1:4" x14ac:dyDescent="0.25">
      <c r="A69" s="1">
        <v>44896</v>
      </c>
      <c r="B69" s="14">
        <v>306401.35640777729</v>
      </c>
      <c r="C69" s="14">
        <v>277502.80777210777</v>
      </c>
      <c r="D69" t="s">
        <v>67</v>
      </c>
    </row>
    <row r="70" spans="1:4" x14ac:dyDescent="0.25">
      <c r="A70" s="1">
        <v>44986</v>
      </c>
      <c r="B70" s="14">
        <v>324879.27369754104</v>
      </c>
      <c r="C70" s="14">
        <v>286890.62703437323</v>
      </c>
      <c r="D70" t="s">
        <v>67</v>
      </c>
    </row>
    <row r="71" spans="1:4" x14ac:dyDescent="0.25">
      <c r="A71" s="1">
        <v>45078</v>
      </c>
      <c r="B71" s="14">
        <v>340235.26414886134</v>
      </c>
      <c r="C71" s="14">
        <v>321647.76684537967</v>
      </c>
      <c r="D71" t="s">
        <v>67</v>
      </c>
    </row>
    <row r="72" spans="1:4" x14ac:dyDescent="0.25">
      <c r="A72" s="1">
        <v>45170</v>
      </c>
      <c r="B72" s="14">
        <v>330957.76575467043</v>
      </c>
      <c r="C72" s="14">
        <v>316710.30813548731</v>
      </c>
      <c r="D72" t="s">
        <v>67</v>
      </c>
    </row>
    <row r="73" spans="1:4" x14ac:dyDescent="0.25">
      <c r="A73" s="1">
        <v>45261</v>
      </c>
      <c r="B73" s="14">
        <v>365862.10049689695</v>
      </c>
      <c r="C73" s="14">
        <v>361167.6906543654</v>
      </c>
      <c r="D73" t="s">
        <v>67</v>
      </c>
    </row>
    <row r="74" spans="1:4" x14ac:dyDescent="0.25">
      <c r="A74" s="1">
        <v>45352</v>
      </c>
      <c r="B74" s="14">
        <v>392788.20683678467</v>
      </c>
      <c r="C74" s="14">
        <v>365448.93460495543</v>
      </c>
      <c r="D74" t="s">
        <v>67</v>
      </c>
    </row>
    <row r="75" spans="1:4" x14ac:dyDescent="0.25">
      <c r="A75" s="1">
        <v>45444</v>
      </c>
      <c r="B75" s="14">
        <v>396353.39048002759</v>
      </c>
      <c r="C75" s="14">
        <v>423985.55338249251</v>
      </c>
      <c r="D75" t="s">
        <v>67</v>
      </c>
    </row>
    <row r="76" spans="1:4" x14ac:dyDescent="0.25">
      <c r="A76" s="1">
        <v>45536</v>
      </c>
      <c r="B76" s="14">
        <v>423092.8343503144</v>
      </c>
      <c r="C76" s="14">
        <v>404232.4033929932</v>
      </c>
      <c r="D76" t="s">
        <v>67</v>
      </c>
    </row>
    <row r="77" spans="1:4" x14ac:dyDescent="0.25">
      <c r="A77" s="1">
        <v>45627</v>
      </c>
      <c r="B77" s="14">
        <v>419649.15165435785</v>
      </c>
      <c r="C77" s="14">
        <v>433435.15615507413</v>
      </c>
      <c r="D77" t="s">
        <v>67</v>
      </c>
    </row>
    <row r="78" spans="1:4" x14ac:dyDescent="0.25">
      <c r="A78" s="1">
        <v>45717</v>
      </c>
      <c r="B78" s="14">
        <v>409042.50175686076</v>
      </c>
      <c r="C78" s="14">
        <v>433276.88675972493</v>
      </c>
      <c r="D78" t="s">
        <v>67</v>
      </c>
    </row>
    <row r="79" spans="1:4" x14ac:dyDescent="0.25">
      <c r="A79" s="1">
        <v>45809</v>
      </c>
      <c r="B79" s="14">
        <v>452093.54848556122</v>
      </c>
      <c r="C79" s="14">
        <v>455649.5140960092</v>
      </c>
      <c r="D79" t="s">
        <v>67</v>
      </c>
    </row>
    <row r="80" spans="1:4" x14ac:dyDescent="0.25">
      <c r="A80" s="1">
        <v>45901</v>
      </c>
      <c r="B80" s="14">
        <v>480357.27347810869</v>
      </c>
      <c r="C80" s="14">
        <v>477835.15834484721</v>
      </c>
      <c r="D80" t="s">
        <v>67</v>
      </c>
    </row>
    <row r="81" spans="1:4" x14ac:dyDescent="0.25">
      <c r="A81" s="1">
        <v>45992</v>
      </c>
      <c r="B81" s="14">
        <v>487806.60823953926</v>
      </c>
      <c r="C81" s="14">
        <v>520919.71361089021</v>
      </c>
      <c r="D81" t="s">
        <v>67</v>
      </c>
    </row>
    <row r="82" spans="1:4" x14ac:dyDescent="0.25">
      <c r="A82" s="1">
        <v>38777</v>
      </c>
      <c r="B82" s="14">
        <v>78787.253202413995</v>
      </c>
      <c r="C82" s="14">
        <v>48895</v>
      </c>
      <c r="D82" t="s">
        <v>0</v>
      </c>
    </row>
    <row r="83" spans="1:4" x14ac:dyDescent="0.25">
      <c r="A83" s="1">
        <v>38869</v>
      </c>
      <c r="B83" s="14">
        <v>80853.410398830994</v>
      </c>
      <c r="C83" s="14">
        <v>54140.593338349019</v>
      </c>
      <c r="D83" t="s">
        <v>0</v>
      </c>
    </row>
    <row r="84" spans="1:4" x14ac:dyDescent="0.25">
      <c r="A84" s="1">
        <v>38961</v>
      </c>
      <c r="B84" s="14">
        <v>86543.750870183401</v>
      </c>
      <c r="C84" s="14">
        <v>57390.312836057157</v>
      </c>
      <c r="D84" t="s">
        <v>0</v>
      </c>
    </row>
    <row r="85" spans="1:4" x14ac:dyDescent="0.25">
      <c r="A85" s="1">
        <v>39052</v>
      </c>
      <c r="B85" s="14">
        <v>97451.216636191108</v>
      </c>
      <c r="C85" s="14">
        <v>66468.355942772701</v>
      </c>
      <c r="D85" t="s">
        <v>0</v>
      </c>
    </row>
    <row r="86" spans="1:4" x14ac:dyDescent="0.25">
      <c r="A86" s="1">
        <v>39142</v>
      </c>
      <c r="B86" s="14">
        <v>104138.17150488179</v>
      </c>
      <c r="C86" s="14">
        <v>70615.461084837036</v>
      </c>
      <c r="D86" t="s">
        <v>0</v>
      </c>
    </row>
    <row r="87" spans="1:4" x14ac:dyDescent="0.25">
      <c r="A87" s="1">
        <v>39234</v>
      </c>
      <c r="B87" s="14">
        <v>113401.63435706758</v>
      </c>
      <c r="C87" s="14">
        <v>79649.204056054412</v>
      </c>
      <c r="D87" t="s">
        <v>0</v>
      </c>
    </row>
    <row r="88" spans="1:4" x14ac:dyDescent="0.25">
      <c r="A88" s="1">
        <v>39326</v>
      </c>
      <c r="B88" s="14">
        <v>119680.17947628487</v>
      </c>
      <c r="C88" s="14">
        <v>98441.122224134277</v>
      </c>
      <c r="D88" t="s">
        <v>0</v>
      </c>
    </row>
    <row r="89" spans="1:4" x14ac:dyDescent="0.25">
      <c r="A89" s="1">
        <v>39417</v>
      </c>
      <c r="B89" s="14">
        <v>119165.38526072954</v>
      </c>
      <c r="C89" s="14">
        <v>120091.57828264209</v>
      </c>
      <c r="D89" t="s">
        <v>0</v>
      </c>
    </row>
    <row r="90" spans="1:4" x14ac:dyDescent="0.25">
      <c r="A90" s="1">
        <v>39508</v>
      </c>
      <c r="B90" s="14">
        <v>109163.03139725693</v>
      </c>
      <c r="C90" s="14">
        <v>121141.9420637736</v>
      </c>
      <c r="D90" t="s">
        <v>0</v>
      </c>
    </row>
    <row r="91" spans="1:4" x14ac:dyDescent="0.25">
      <c r="A91" s="1">
        <v>39600</v>
      </c>
      <c r="B91" s="14">
        <v>110539.25264168016</v>
      </c>
      <c r="C91" s="14">
        <v>125049.78331565598</v>
      </c>
      <c r="D91" t="s">
        <v>0</v>
      </c>
    </row>
    <row r="92" spans="1:4" x14ac:dyDescent="0.25">
      <c r="A92" s="1">
        <v>39692</v>
      </c>
      <c r="B92" s="14">
        <v>97842.264343725066</v>
      </c>
      <c r="C92" s="14">
        <v>119172.97254354684</v>
      </c>
      <c r="D92" t="s">
        <v>0</v>
      </c>
    </row>
    <row r="93" spans="1:4" x14ac:dyDescent="0.25">
      <c r="A93" s="1">
        <v>39783</v>
      </c>
      <c r="B93" s="14">
        <v>78719.757068517123</v>
      </c>
      <c r="C93" s="14">
        <v>113336.18877647785</v>
      </c>
      <c r="D93" t="s">
        <v>0</v>
      </c>
    </row>
    <row r="94" spans="1:4" x14ac:dyDescent="0.25">
      <c r="A94" s="1">
        <v>39873</v>
      </c>
      <c r="B94" s="14">
        <v>73251.696153136043</v>
      </c>
      <c r="C94" s="14">
        <v>111286.4289832098</v>
      </c>
      <c r="D94" t="s">
        <v>0</v>
      </c>
    </row>
    <row r="95" spans="1:4" x14ac:dyDescent="0.25">
      <c r="A95" s="1">
        <v>39965</v>
      </c>
      <c r="B95" s="14">
        <v>88610.66640468745</v>
      </c>
      <c r="C95" s="14">
        <v>120169.45359333165</v>
      </c>
      <c r="D95" t="s">
        <v>0</v>
      </c>
    </row>
    <row r="96" spans="1:4" x14ac:dyDescent="0.25">
      <c r="A96" s="1">
        <v>40057</v>
      </c>
      <c r="B96" s="14">
        <v>107409.03345795456</v>
      </c>
      <c r="C96" s="14">
        <v>126606.12551713217</v>
      </c>
      <c r="D96" t="s">
        <v>0</v>
      </c>
    </row>
    <row r="97" spans="1:4" x14ac:dyDescent="0.25">
      <c r="A97" s="1">
        <v>40148</v>
      </c>
      <c r="B97" s="14">
        <v>113227.83681459798</v>
      </c>
      <c r="C97" s="14">
        <v>154341.22186265353</v>
      </c>
      <c r="D97" t="s">
        <v>0</v>
      </c>
    </row>
    <row r="98" spans="1:4" x14ac:dyDescent="0.25">
      <c r="A98" s="1">
        <v>40238</v>
      </c>
      <c r="B98" s="14">
        <v>118545.29527423924</v>
      </c>
      <c r="C98" s="14">
        <v>156857.87233900785</v>
      </c>
      <c r="D98" t="s">
        <v>0</v>
      </c>
    </row>
    <row r="99" spans="1:4" x14ac:dyDescent="0.25">
      <c r="A99" s="1">
        <v>40330</v>
      </c>
      <c r="B99" s="14">
        <v>105611.46485408701</v>
      </c>
      <c r="C99" s="14">
        <v>164035.88137744681</v>
      </c>
      <c r="D99" t="s">
        <v>0</v>
      </c>
    </row>
    <row r="100" spans="1:4" x14ac:dyDescent="0.25">
      <c r="A100" s="1">
        <v>40422</v>
      </c>
      <c r="B100" s="14">
        <v>120708.25491129239</v>
      </c>
      <c r="C100" s="14">
        <v>153547.95966191587</v>
      </c>
      <c r="D100" t="s">
        <v>0</v>
      </c>
    </row>
    <row r="101" spans="1:4" x14ac:dyDescent="0.25">
      <c r="A101" s="1">
        <v>40513</v>
      </c>
      <c r="B101" s="14">
        <v>132623.25552572511</v>
      </c>
      <c r="C101" s="14">
        <v>162650.89801743536</v>
      </c>
      <c r="D101" t="s">
        <v>0</v>
      </c>
    </row>
    <row r="102" spans="1:4" x14ac:dyDescent="0.25">
      <c r="A102" s="1">
        <v>40603</v>
      </c>
      <c r="B102" s="14">
        <v>140574.80149868413</v>
      </c>
      <c r="C102" s="14">
        <v>152145.88466989444</v>
      </c>
      <c r="D102" t="s">
        <v>0</v>
      </c>
    </row>
    <row r="103" spans="1:4" x14ac:dyDescent="0.25">
      <c r="A103" s="1">
        <v>40695</v>
      </c>
      <c r="B103" s="14">
        <v>140866.54918692456</v>
      </c>
      <c r="C103" s="14">
        <v>146581.29369602283</v>
      </c>
      <c r="D103" t="s">
        <v>0</v>
      </c>
    </row>
    <row r="104" spans="1:4" x14ac:dyDescent="0.25">
      <c r="A104" s="1">
        <v>40787</v>
      </c>
      <c r="B104" s="14">
        <v>120307.92751883806</v>
      </c>
      <c r="C104" s="14">
        <v>141061.73766853442</v>
      </c>
      <c r="D104" t="s">
        <v>0</v>
      </c>
    </row>
    <row r="105" spans="1:4" x14ac:dyDescent="0.25">
      <c r="A105" s="1">
        <v>40878</v>
      </c>
      <c r="B105" s="14">
        <v>129176.75566703877</v>
      </c>
      <c r="C105" s="14">
        <v>135579.12159188616</v>
      </c>
      <c r="D105" t="s">
        <v>0</v>
      </c>
    </row>
    <row r="106" spans="1:4" x14ac:dyDescent="0.25">
      <c r="A106" s="1">
        <v>40969</v>
      </c>
      <c r="B106" s="14">
        <v>145034.2097218089</v>
      </c>
      <c r="C106" s="14">
        <v>132157.75916564497</v>
      </c>
      <c r="D106" t="s">
        <v>0</v>
      </c>
    </row>
    <row r="107" spans="1:4" x14ac:dyDescent="0.25">
      <c r="A107" s="1">
        <v>41061</v>
      </c>
      <c r="B107" s="14">
        <v>138773.55575185781</v>
      </c>
      <c r="C107" s="14">
        <v>134604.24418371372</v>
      </c>
      <c r="D107" t="s">
        <v>0</v>
      </c>
    </row>
    <row r="108" spans="1:4" x14ac:dyDescent="0.25">
      <c r="A108" s="1">
        <v>41153</v>
      </c>
      <c r="B108" s="14">
        <v>150382.27657834781</v>
      </c>
      <c r="C108" s="14">
        <v>135197.01593057817</v>
      </c>
      <c r="D108" t="s">
        <v>0</v>
      </c>
    </row>
    <row r="109" spans="1:4" x14ac:dyDescent="0.25">
      <c r="A109" s="1">
        <v>41244</v>
      </c>
      <c r="B109" s="14">
        <v>157527.61362238569</v>
      </c>
      <c r="C109" s="14">
        <v>143633.42795897921</v>
      </c>
      <c r="D109" t="s">
        <v>0</v>
      </c>
    </row>
    <row r="110" spans="1:4" x14ac:dyDescent="0.25">
      <c r="A110" s="1">
        <v>41334</v>
      </c>
      <c r="B110" s="14">
        <v>171726.81778203024</v>
      </c>
      <c r="C110" s="14">
        <v>143334.75176030034</v>
      </c>
      <c r="D110" t="s">
        <v>0</v>
      </c>
    </row>
    <row r="111" spans="1:4" x14ac:dyDescent="0.25">
      <c r="A111" s="1">
        <v>41426</v>
      </c>
      <c r="B111" s="14">
        <v>171887.63601844318</v>
      </c>
      <c r="C111" s="14">
        <v>143067.48803386273</v>
      </c>
      <c r="D111" t="s">
        <v>0</v>
      </c>
    </row>
    <row r="112" spans="1:4" x14ac:dyDescent="0.25">
      <c r="A112" s="1">
        <v>41518</v>
      </c>
      <c r="B112" s="14">
        <v>188639.33040759302</v>
      </c>
      <c r="C112" s="14">
        <v>142864.24526449927</v>
      </c>
      <c r="D112" t="s">
        <v>0</v>
      </c>
    </row>
    <row r="113" spans="1:4" x14ac:dyDescent="0.25">
      <c r="A113" s="1">
        <v>41609</v>
      </c>
      <c r="B113" s="14">
        <v>202099.03923709752</v>
      </c>
      <c r="C113" s="14">
        <v>159340.03481072211</v>
      </c>
      <c r="D113" t="s">
        <v>0</v>
      </c>
    </row>
    <row r="114" spans="1:4" x14ac:dyDescent="0.25">
      <c r="A114" s="1">
        <v>41699</v>
      </c>
      <c r="B114" s="14">
        <v>206623.31254901859</v>
      </c>
      <c r="C114" s="14">
        <v>154288.48471051556</v>
      </c>
      <c r="D114" t="s">
        <v>0</v>
      </c>
    </row>
    <row r="115" spans="1:4" x14ac:dyDescent="0.25">
      <c r="A115" s="1">
        <v>41791</v>
      </c>
      <c r="B115" s="14">
        <v>214913.03971135075</v>
      </c>
      <c r="C115" s="14">
        <v>152207.89177161219</v>
      </c>
      <c r="D115" t="s">
        <v>0</v>
      </c>
    </row>
    <row r="116" spans="1:4" x14ac:dyDescent="0.25">
      <c r="A116" s="1">
        <v>41883</v>
      </c>
      <c r="B116" s="14">
        <v>211292.63093347588</v>
      </c>
      <c r="C116" s="14">
        <v>156995.06986488478</v>
      </c>
      <c r="D116" t="s">
        <v>0</v>
      </c>
    </row>
    <row r="117" spans="1:4" x14ac:dyDescent="0.25">
      <c r="A117" s="1">
        <v>41974</v>
      </c>
      <c r="B117" s="14">
        <v>215843.60614633796</v>
      </c>
      <c r="C117" s="14">
        <v>171561.5502449419</v>
      </c>
      <c r="D117" t="s">
        <v>0</v>
      </c>
    </row>
    <row r="118" spans="1:4" x14ac:dyDescent="0.25">
      <c r="A118" s="1">
        <v>42064</v>
      </c>
      <c r="B118" s="14">
        <v>227346.40908191504</v>
      </c>
      <c r="C118" s="14">
        <v>162168.05523832576</v>
      </c>
      <c r="D118" t="s">
        <v>0</v>
      </c>
    </row>
    <row r="119" spans="1:4" x14ac:dyDescent="0.25">
      <c r="A119" s="1">
        <v>42156</v>
      </c>
      <c r="B119" s="14">
        <v>224354.43431142054</v>
      </c>
      <c r="C119" s="14">
        <v>166547.09302528168</v>
      </c>
      <c r="D119" t="s">
        <v>0</v>
      </c>
    </row>
    <row r="120" spans="1:4" x14ac:dyDescent="0.25">
      <c r="A120" s="1">
        <v>42248</v>
      </c>
      <c r="B120" s="14">
        <v>206887.81468995943</v>
      </c>
      <c r="C120" s="14">
        <v>173891.87822026428</v>
      </c>
      <c r="D120" t="s">
        <v>0</v>
      </c>
    </row>
    <row r="121" spans="1:4" x14ac:dyDescent="0.25">
      <c r="A121" s="1">
        <v>42339</v>
      </c>
      <c r="B121" s="14">
        <v>219517.29871921684</v>
      </c>
      <c r="C121" s="14">
        <v>182216.33156157829</v>
      </c>
      <c r="D121" t="s">
        <v>0</v>
      </c>
    </row>
    <row r="122" spans="1:4" x14ac:dyDescent="0.25">
      <c r="A122" s="1">
        <v>42430</v>
      </c>
      <c r="B122" s="14">
        <v>218241.14856773638</v>
      </c>
      <c r="C122" s="14">
        <v>182205.84290202812</v>
      </c>
      <c r="D122" t="s">
        <v>0</v>
      </c>
    </row>
    <row r="123" spans="1:4" x14ac:dyDescent="0.25">
      <c r="A123" s="1">
        <v>42522</v>
      </c>
      <c r="B123" s="14">
        <v>223374.45816568949</v>
      </c>
      <c r="C123" s="14">
        <v>186127.31610441388</v>
      </c>
      <c r="D123" t="s">
        <v>0</v>
      </c>
    </row>
    <row r="124" spans="1:4" x14ac:dyDescent="0.25">
      <c r="A124" s="1">
        <v>42614</v>
      </c>
      <c r="B124" s="14">
        <v>235909.8248123462</v>
      </c>
      <c r="C124" s="14">
        <v>191076.73036756483</v>
      </c>
      <c r="D124" t="s">
        <v>0</v>
      </c>
    </row>
    <row r="125" spans="1:4" x14ac:dyDescent="0.25">
      <c r="A125" s="1">
        <v>42705</v>
      </c>
      <c r="B125" s="14">
        <v>243906.20665186387</v>
      </c>
      <c r="C125" s="14">
        <v>193116.55768088647</v>
      </c>
      <c r="D125" t="s">
        <v>0</v>
      </c>
    </row>
    <row r="126" spans="1:4" x14ac:dyDescent="0.25">
      <c r="A126" s="1">
        <v>42795</v>
      </c>
      <c r="B126" s="14">
        <v>258963.51184295624</v>
      </c>
      <c r="C126" s="14">
        <v>197421.30483154082</v>
      </c>
      <c r="D126" t="s">
        <v>0</v>
      </c>
    </row>
    <row r="127" spans="1:4" x14ac:dyDescent="0.25">
      <c r="A127" s="1">
        <v>42887</v>
      </c>
      <c r="B127" s="14">
        <v>265524.80836304062</v>
      </c>
      <c r="C127" s="14">
        <v>196262.16096698228</v>
      </c>
      <c r="D127" t="s">
        <v>0</v>
      </c>
    </row>
    <row r="128" spans="1:4" x14ac:dyDescent="0.25">
      <c r="A128" s="1">
        <v>42979</v>
      </c>
      <c r="B128" s="14">
        <v>276347.0817114411</v>
      </c>
      <c r="C128" s="14">
        <v>197385.89280997863</v>
      </c>
      <c r="D128" t="s">
        <v>0</v>
      </c>
    </row>
    <row r="129" spans="1:4" x14ac:dyDescent="0.25">
      <c r="A129" s="1">
        <v>43070</v>
      </c>
      <c r="B129" s="14">
        <v>294105.63129040116</v>
      </c>
      <c r="C129" s="14">
        <v>216120.53396620505</v>
      </c>
      <c r="D129" t="s">
        <v>0</v>
      </c>
    </row>
    <row r="130" spans="1:4" x14ac:dyDescent="0.25">
      <c r="A130" s="1">
        <v>43160</v>
      </c>
      <c r="B130" s="14">
        <v>288752.27313554165</v>
      </c>
      <c r="C130" s="14">
        <v>211367.56923414741</v>
      </c>
      <c r="D130" t="s">
        <v>0</v>
      </c>
    </row>
    <row r="131" spans="1:4" x14ac:dyDescent="0.25">
      <c r="A131" s="1">
        <v>43252</v>
      </c>
      <c r="B131" s="14">
        <v>300984.23288135009</v>
      </c>
      <c r="C131" s="14">
        <v>214470.60309036082</v>
      </c>
      <c r="D131" t="s">
        <v>0</v>
      </c>
    </row>
    <row r="132" spans="1:4" x14ac:dyDescent="0.25">
      <c r="A132" s="1">
        <v>43344</v>
      </c>
      <c r="B132" s="14">
        <v>312285.64069246443</v>
      </c>
      <c r="C132" s="14">
        <v>212997.42566580299</v>
      </c>
      <c r="D132" t="s">
        <v>0</v>
      </c>
    </row>
    <row r="133" spans="1:4" x14ac:dyDescent="0.25">
      <c r="A133" s="1">
        <v>43435</v>
      </c>
      <c r="B133" s="14">
        <v>274461.06937073951</v>
      </c>
      <c r="C133" s="14">
        <v>226585.61351246221</v>
      </c>
      <c r="D133" t="s">
        <v>0</v>
      </c>
    </row>
    <row r="134" spans="1:4" x14ac:dyDescent="0.25">
      <c r="A134" s="1">
        <v>43525</v>
      </c>
      <c r="B134" s="14">
        <v>308285.40934974706</v>
      </c>
      <c r="C134" s="14">
        <v>221883.65672474194</v>
      </c>
      <c r="D134" t="s">
        <v>0</v>
      </c>
    </row>
    <row r="135" spans="1:4" x14ac:dyDescent="0.25">
      <c r="A135" s="1">
        <v>43617</v>
      </c>
      <c r="B135" s="14">
        <v>324286.05842385197</v>
      </c>
      <c r="C135" s="14">
        <v>225523.59132522825</v>
      </c>
      <c r="D135" t="s">
        <v>0</v>
      </c>
    </row>
    <row r="136" spans="1:4" x14ac:dyDescent="0.25">
      <c r="A136" s="1">
        <v>43709</v>
      </c>
      <c r="B136" s="14">
        <v>328167.81689702597</v>
      </c>
      <c r="C136" s="14">
        <v>221394.9581897991</v>
      </c>
      <c r="D136" t="s">
        <v>0</v>
      </c>
    </row>
    <row r="137" spans="1:4" x14ac:dyDescent="0.25">
      <c r="A137" s="1">
        <v>43800</v>
      </c>
      <c r="B137" s="14">
        <v>348656.13324713026</v>
      </c>
      <c r="C137" s="14">
        <v>232481.06486831012</v>
      </c>
      <c r="D137" t="s">
        <v>0</v>
      </c>
    </row>
    <row r="138" spans="1:4" x14ac:dyDescent="0.25">
      <c r="A138" s="1">
        <v>43891</v>
      </c>
      <c r="B138" s="14">
        <v>269685.28500802745</v>
      </c>
      <c r="C138" s="14">
        <v>220124.35145332478</v>
      </c>
      <c r="D138" t="s">
        <v>0</v>
      </c>
    </row>
    <row r="139" spans="1:4" x14ac:dyDescent="0.25">
      <c r="A139" s="1">
        <v>43983</v>
      </c>
      <c r="B139" s="14">
        <v>321503.11624624341</v>
      </c>
      <c r="C139" s="14">
        <v>235712.47579467995</v>
      </c>
      <c r="D139" t="s">
        <v>0</v>
      </c>
    </row>
    <row r="140" spans="1:4" x14ac:dyDescent="0.25">
      <c r="A140" s="1">
        <v>44075</v>
      </c>
      <c r="B140" s="14">
        <v>339382.68414770998</v>
      </c>
      <c r="C140" s="14">
        <v>248385.84147341136</v>
      </c>
      <c r="D140" t="s">
        <v>0</v>
      </c>
    </row>
    <row r="141" spans="1:4" x14ac:dyDescent="0.25">
      <c r="A141" s="1">
        <v>44166</v>
      </c>
      <c r="B141" s="14">
        <v>389821.74986040208</v>
      </c>
      <c r="C141" s="14">
        <v>261046.63755146123</v>
      </c>
      <c r="D141" t="s">
        <v>0</v>
      </c>
    </row>
    <row r="142" spans="1:4" x14ac:dyDescent="0.25">
      <c r="A142" s="1">
        <v>44256</v>
      </c>
      <c r="B142" s="14">
        <v>409959.41258253518</v>
      </c>
      <c r="C142" s="14">
        <v>271740.82726091077</v>
      </c>
      <c r="D142" t="s">
        <v>0</v>
      </c>
    </row>
    <row r="143" spans="1:4" x14ac:dyDescent="0.25">
      <c r="A143" s="1">
        <v>44348</v>
      </c>
      <c r="B143" s="14">
        <v>441606.32465008949</v>
      </c>
      <c r="C143" s="14">
        <v>298551.18827958405</v>
      </c>
      <c r="D143" t="s">
        <v>0</v>
      </c>
    </row>
    <row r="144" spans="1:4" x14ac:dyDescent="0.25">
      <c r="A144" s="1">
        <v>44440</v>
      </c>
      <c r="B144" s="14">
        <v>442808.02906692057</v>
      </c>
      <c r="C144" s="14">
        <v>328247.27488862706</v>
      </c>
      <c r="D144" t="s">
        <v>0</v>
      </c>
    </row>
    <row r="145" spans="1:4" x14ac:dyDescent="0.25">
      <c r="A145" s="1">
        <v>44531</v>
      </c>
      <c r="B145" s="14">
        <v>467598.18580009654</v>
      </c>
      <c r="C145" s="14">
        <v>377441.80942809873</v>
      </c>
      <c r="D145" t="s">
        <v>0</v>
      </c>
    </row>
    <row r="146" spans="1:4" x14ac:dyDescent="0.25">
      <c r="A146" s="1">
        <v>44621</v>
      </c>
      <c r="B146" s="14">
        <v>453357.53128232568</v>
      </c>
      <c r="C146" s="14">
        <v>397202.18135922332</v>
      </c>
      <c r="D146" t="s">
        <v>0</v>
      </c>
    </row>
    <row r="147" spans="1:4" x14ac:dyDescent="0.25">
      <c r="A147" s="1">
        <v>44713</v>
      </c>
      <c r="B147" s="14">
        <v>384840.58267845091</v>
      </c>
      <c r="C147" s="14">
        <v>410088.71696700389</v>
      </c>
      <c r="D147" t="s">
        <v>0</v>
      </c>
    </row>
    <row r="148" spans="1:4" x14ac:dyDescent="0.25">
      <c r="A148" s="1">
        <v>44805</v>
      </c>
      <c r="B148" s="14">
        <v>368868.97005410009</v>
      </c>
      <c r="C148" s="14">
        <v>401373.74266726593</v>
      </c>
      <c r="D148" t="s">
        <v>0</v>
      </c>
    </row>
    <row r="149" spans="1:4" x14ac:dyDescent="0.25">
      <c r="A149" s="1">
        <v>44896</v>
      </c>
      <c r="B149" s="14">
        <v>404561.56043573364</v>
      </c>
      <c r="C149" s="14">
        <v>421854.57744973409</v>
      </c>
      <c r="D149" t="s">
        <v>0</v>
      </c>
    </row>
    <row r="150" spans="1:4" x14ac:dyDescent="0.25">
      <c r="A150" s="1">
        <v>44986</v>
      </c>
      <c r="B150" s="14">
        <v>428997.4528838516</v>
      </c>
      <c r="C150" s="14">
        <v>426647.7414205533</v>
      </c>
      <c r="D150" t="s">
        <v>0</v>
      </c>
    </row>
    <row r="151" spans="1:4" x14ac:dyDescent="0.25">
      <c r="A151" s="1">
        <v>45078</v>
      </c>
      <c r="B151" s="14">
        <v>449309.64861633739</v>
      </c>
      <c r="C151" s="14">
        <v>448026.93207425019</v>
      </c>
      <c r="D151" t="s">
        <v>0</v>
      </c>
    </row>
    <row r="152" spans="1:4" x14ac:dyDescent="0.25">
      <c r="A152" s="1">
        <v>45170</v>
      </c>
      <c r="B152" s="14">
        <v>437093.48308326059</v>
      </c>
      <c r="C152" s="14">
        <v>460525.13623527309</v>
      </c>
      <c r="D152" t="s">
        <v>0</v>
      </c>
    </row>
    <row r="153" spans="1:4" x14ac:dyDescent="0.25">
      <c r="A153" s="1">
        <v>45261</v>
      </c>
      <c r="B153" s="14">
        <v>483229.86082187988</v>
      </c>
      <c r="C153" s="14">
        <v>494527.08448098798</v>
      </c>
      <c r="D153" t="s">
        <v>0</v>
      </c>
    </row>
    <row r="154" spans="1:4" x14ac:dyDescent="0.25">
      <c r="A154" s="1">
        <v>45352</v>
      </c>
      <c r="B154" s="14">
        <v>518974.67540596362</v>
      </c>
      <c r="C154" s="14">
        <v>508906.81306394446</v>
      </c>
      <c r="D154" t="s">
        <v>0</v>
      </c>
    </row>
    <row r="155" spans="1:4" x14ac:dyDescent="0.25">
      <c r="A155" s="1">
        <v>45444</v>
      </c>
      <c r="B155" s="14">
        <v>523857.69055883563</v>
      </c>
      <c r="C155" s="14">
        <v>528176.17476487951</v>
      </c>
      <c r="D155" t="s">
        <v>0</v>
      </c>
    </row>
    <row r="156" spans="1:4" x14ac:dyDescent="0.25">
      <c r="A156" s="1">
        <v>45536</v>
      </c>
      <c r="B156" s="14">
        <v>559386.74377080775</v>
      </c>
      <c r="C156" s="14">
        <v>560449.42005572491</v>
      </c>
      <c r="D156" t="s">
        <v>0</v>
      </c>
    </row>
    <row r="157" spans="1:4" x14ac:dyDescent="0.25">
      <c r="A157" s="1">
        <v>45627</v>
      </c>
      <c r="B157" s="14">
        <v>555008.54133811861</v>
      </c>
      <c r="C157" s="14">
        <v>591115.98460409231</v>
      </c>
      <c r="D157" t="s">
        <v>0</v>
      </c>
    </row>
    <row r="158" spans="1:4" x14ac:dyDescent="0.25">
      <c r="A158" s="1">
        <v>45717</v>
      </c>
      <c r="B158" s="14">
        <v>541306.40874974965</v>
      </c>
      <c r="C158" s="14">
        <v>593696.42991210218</v>
      </c>
      <c r="D158" t="s">
        <v>0</v>
      </c>
    </row>
    <row r="159" spans="1:4" x14ac:dyDescent="0.25">
      <c r="A159" s="1">
        <v>45809</v>
      </c>
      <c r="B159" s="14">
        <v>598659.75920218893</v>
      </c>
      <c r="C159" s="14">
        <v>608064.71059725585</v>
      </c>
      <c r="D159" t="s">
        <v>0</v>
      </c>
    </row>
    <row r="160" spans="1:4" x14ac:dyDescent="0.25">
      <c r="A160" s="1">
        <v>45901</v>
      </c>
      <c r="B160" s="14">
        <v>636463.52926301141</v>
      </c>
      <c r="C160" s="14">
        <v>639093.78566247656</v>
      </c>
      <c r="D160" t="s">
        <v>0</v>
      </c>
    </row>
    <row r="161" spans="1:4" x14ac:dyDescent="0.25">
      <c r="A161" s="1">
        <v>45992</v>
      </c>
      <c r="B161" s="14">
        <v>646695.45435496676</v>
      </c>
      <c r="C161" s="14">
        <v>687686.29332688567</v>
      </c>
      <c r="D161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9E4A-A4A4-4542-AA44-F471FA8A1F3C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85020.343323899622</v>
      </c>
      <c r="C2" s="14">
        <v>54133.75</v>
      </c>
      <c r="D2" t="s">
        <v>67</v>
      </c>
    </row>
    <row r="3" spans="1:4" x14ac:dyDescent="0.25">
      <c r="A3" s="1">
        <v>38869</v>
      </c>
      <c r="B3" s="14">
        <v>86713.335813321988</v>
      </c>
      <c r="C3" s="14">
        <v>68107.344410314981</v>
      </c>
      <c r="D3" t="s">
        <v>67</v>
      </c>
    </row>
    <row r="4" spans="1:4" x14ac:dyDescent="0.25">
      <c r="A4" s="1">
        <v>38961</v>
      </c>
      <c r="B4" s="14">
        <v>92271.004032717363</v>
      </c>
      <c r="C4" s="14">
        <v>54651.328497063281</v>
      </c>
      <c r="D4" t="s">
        <v>67</v>
      </c>
    </row>
    <row r="5" spans="1:4" x14ac:dyDescent="0.25">
      <c r="A5" s="1">
        <v>39052</v>
      </c>
      <c r="B5" s="14">
        <v>103349.619406499</v>
      </c>
      <c r="C5" s="14">
        <v>59284.117293784075</v>
      </c>
      <c r="D5" t="s">
        <v>67</v>
      </c>
    </row>
    <row r="6" spans="1:4" x14ac:dyDescent="0.25">
      <c r="A6" s="1">
        <v>39142</v>
      </c>
      <c r="B6" s="14">
        <v>109950.70687954653</v>
      </c>
      <c r="C6" s="14">
        <v>65837.006022498157</v>
      </c>
      <c r="D6" t="s">
        <v>67</v>
      </c>
    </row>
    <row r="7" spans="1:4" x14ac:dyDescent="0.25">
      <c r="A7" s="1">
        <v>39234</v>
      </c>
      <c r="B7" s="14">
        <v>119235.44076075828</v>
      </c>
      <c r="C7" s="14">
        <v>94370.681276345975</v>
      </c>
      <c r="D7" t="s">
        <v>67</v>
      </c>
    </row>
    <row r="8" spans="1:4" x14ac:dyDescent="0.25">
      <c r="A8" s="1">
        <v>39326</v>
      </c>
      <c r="B8" s="14">
        <v>125365.68928400057</v>
      </c>
      <c r="C8" s="14">
        <v>103292.9612124344</v>
      </c>
      <c r="D8" t="s">
        <v>67</v>
      </c>
    </row>
    <row r="9" spans="1:4" x14ac:dyDescent="0.25">
      <c r="A9" s="1">
        <v>39417</v>
      </c>
      <c r="B9" s="14">
        <v>124398.42440768998</v>
      </c>
      <c r="C9" s="14">
        <v>102398.2607772109</v>
      </c>
      <c r="D9" t="s">
        <v>67</v>
      </c>
    </row>
    <row r="10" spans="1:4" x14ac:dyDescent="0.25">
      <c r="A10" s="1">
        <v>39508</v>
      </c>
      <c r="B10" s="14">
        <v>113636.3118210369</v>
      </c>
      <c r="C10" s="14">
        <v>106373.3063920351</v>
      </c>
      <c r="D10" t="s">
        <v>67</v>
      </c>
    </row>
    <row r="11" spans="1:4" x14ac:dyDescent="0.25">
      <c r="A11" s="1">
        <v>39600</v>
      </c>
      <c r="B11" s="14">
        <v>114728.51413903924</v>
      </c>
      <c r="C11" s="14">
        <v>87784.65295661916</v>
      </c>
      <c r="D11" t="s">
        <v>67</v>
      </c>
    </row>
    <row r="12" spans="1:4" x14ac:dyDescent="0.25">
      <c r="A12" s="1">
        <v>39692</v>
      </c>
      <c r="B12" s="14">
        <v>101251.96276234587</v>
      </c>
      <c r="C12" s="14">
        <v>99539.701744641206</v>
      </c>
      <c r="D12" t="s">
        <v>67</v>
      </c>
    </row>
    <row r="13" spans="1:4" x14ac:dyDescent="0.25">
      <c r="A13" s="1">
        <v>39783</v>
      </c>
      <c r="B13" s="14">
        <v>81138.113852912749</v>
      </c>
      <c r="C13" s="14">
        <v>94186.088466814836</v>
      </c>
      <c r="D13" t="s">
        <v>67</v>
      </c>
    </row>
    <row r="14" spans="1:4" x14ac:dyDescent="0.25">
      <c r="A14" s="1">
        <v>39873</v>
      </c>
      <c r="B14" s="14">
        <v>75075.104259101863</v>
      </c>
      <c r="C14" s="14">
        <v>105358.47717783949</v>
      </c>
      <c r="D14" t="s">
        <v>67</v>
      </c>
    </row>
    <row r="15" spans="1:4" x14ac:dyDescent="0.25">
      <c r="A15" s="1">
        <v>39965</v>
      </c>
      <c r="B15" s="14">
        <v>90260.522882365927</v>
      </c>
      <c r="C15" s="14">
        <v>107413.07138904583</v>
      </c>
      <c r="D15" t="s">
        <v>67</v>
      </c>
    </row>
    <row r="16" spans="1:4" x14ac:dyDescent="0.25">
      <c r="A16" s="1">
        <v>40057</v>
      </c>
      <c r="B16" s="14">
        <v>108850.1895106163</v>
      </c>
      <c r="C16" s="14">
        <v>109975.35994753925</v>
      </c>
      <c r="D16" t="s">
        <v>67</v>
      </c>
    </row>
    <row r="17" spans="1:4" x14ac:dyDescent="0.25">
      <c r="A17" s="1">
        <v>40148</v>
      </c>
      <c r="B17" s="14">
        <v>114299.44055811325</v>
      </c>
      <c r="C17" s="14">
        <v>133556.28090150934</v>
      </c>
      <c r="D17" t="s">
        <v>67</v>
      </c>
    </row>
    <row r="18" spans="1:4" x14ac:dyDescent="0.25">
      <c r="A18" s="1">
        <v>40238</v>
      </c>
      <c r="B18" s="14">
        <v>119377.62254188462</v>
      </c>
      <c r="C18" s="14">
        <v>140321.40285747303</v>
      </c>
      <c r="D18" t="s">
        <v>67</v>
      </c>
    </row>
    <row r="19" spans="1:4" x14ac:dyDescent="0.25">
      <c r="A19" s="1">
        <v>40330</v>
      </c>
      <c r="B19" s="14">
        <v>106119.67140790932</v>
      </c>
      <c r="C19" s="14">
        <v>143134.71643574472</v>
      </c>
      <c r="D19" t="s">
        <v>67</v>
      </c>
    </row>
    <row r="20" spans="1:4" x14ac:dyDescent="0.25">
      <c r="A20" s="1">
        <v>40422</v>
      </c>
      <c r="B20" s="14">
        <v>120985.90203936308</v>
      </c>
      <c r="C20" s="14">
        <v>153694.42810783547</v>
      </c>
      <c r="D20" t="s">
        <v>67</v>
      </c>
    </row>
    <row r="21" spans="1:4" x14ac:dyDescent="0.25">
      <c r="A21" s="1">
        <v>40513</v>
      </c>
      <c r="B21" s="14">
        <v>132658.45824398359</v>
      </c>
      <c r="C21" s="14">
        <v>152908.13843001772</v>
      </c>
      <c r="D21" t="s">
        <v>67</v>
      </c>
    </row>
    <row r="22" spans="1:4" x14ac:dyDescent="0.25">
      <c r="A22" s="1">
        <v>40603</v>
      </c>
      <c r="B22" s="14">
        <v>140189.86818391294</v>
      </c>
      <c r="C22" s="14">
        <v>142505.67722381171</v>
      </c>
      <c r="D22" t="s">
        <v>67</v>
      </c>
    </row>
    <row r="23" spans="1:4" x14ac:dyDescent="0.25">
      <c r="A23" s="1">
        <v>40695</v>
      </c>
      <c r="B23" s="14">
        <v>140074.08295513049</v>
      </c>
      <c r="C23" s="14">
        <v>141834.05418131099</v>
      </c>
      <c r="D23" t="s">
        <v>67</v>
      </c>
    </row>
    <row r="24" spans="1:4" x14ac:dyDescent="0.25">
      <c r="A24" s="1">
        <v>40787</v>
      </c>
      <c r="B24" s="14">
        <v>119279.98196553813</v>
      </c>
      <c r="C24" s="14">
        <v>150967.62607944882</v>
      </c>
      <c r="D24" t="s">
        <v>67</v>
      </c>
    </row>
    <row r="25" spans="1:4" x14ac:dyDescent="0.25">
      <c r="A25" s="1">
        <v>40878</v>
      </c>
      <c r="B25" s="14">
        <v>127616.471438744</v>
      </c>
      <c r="C25" s="14">
        <v>140554.93060173112</v>
      </c>
      <c r="D25" t="s">
        <v>67</v>
      </c>
    </row>
    <row r="26" spans="1:4" x14ac:dyDescent="0.25">
      <c r="A26" s="1">
        <v>40969</v>
      </c>
      <c r="B26" s="14">
        <v>142836.42033132902</v>
      </c>
      <c r="C26" s="14">
        <v>140044.78827267836</v>
      </c>
      <c r="D26" t="s">
        <v>67</v>
      </c>
    </row>
    <row r="27" spans="1:4" x14ac:dyDescent="0.25">
      <c r="A27" s="1">
        <v>41061</v>
      </c>
      <c r="B27" s="14">
        <v>136271.42448366544</v>
      </c>
      <c r="C27" s="14">
        <v>141289.56543554019</v>
      </c>
      <c r="D27" t="s">
        <v>67</v>
      </c>
    </row>
    <row r="28" spans="1:4" x14ac:dyDescent="0.25">
      <c r="A28" s="1">
        <v>41153</v>
      </c>
      <c r="B28" s="14">
        <v>147209.72790536282</v>
      </c>
      <c r="C28" s="14">
        <v>135223.87522671153</v>
      </c>
      <c r="D28" t="s">
        <v>67</v>
      </c>
    </row>
    <row r="29" spans="1:4" x14ac:dyDescent="0.25">
      <c r="A29" s="1">
        <v>41244</v>
      </c>
      <c r="B29" s="14">
        <v>153744.96153209649</v>
      </c>
      <c r="C29" s="14">
        <v>139271.92515101269</v>
      </c>
      <c r="D29" t="s">
        <v>67</v>
      </c>
    </row>
    <row r="30" spans="1:4" x14ac:dyDescent="0.25">
      <c r="A30" s="1">
        <v>41334</v>
      </c>
      <c r="B30" s="14">
        <v>167227.44729685626</v>
      </c>
      <c r="C30" s="14">
        <v>133629.79703818963</v>
      </c>
      <c r="D30" t="s">
        <v>67</v>
      </c>
    </row>
    <row r="31" spans="1:4" x14ac:dyDescent="0.25">
      <c r="A31" s="1">
        <v>41426</v>
      </c>
      <c r="B31" s="14">
        <v>167020.5454446823</v>
      </c>
      <c r="C31" s="14">
        <v>135855.25951963372</v>
      </c>
      <c r="D31" t="s">
        <v>67</v>
      </c>
    </row>
    <row r="32" spans="1:4" x14ac:dyDescent="0.25">
      <c r="A32" s="1">
        <v>41518</v>
      </c>
      <c r="B32" s="14">
        <v>182877.99415018331</v>
      </c>
      <c r="C32" s="14">
        <v>138144.4148464099</v>
      </c>
      <c r="D32" t="s">
        <v>67</v>
      </c>
    </row>
    <row r="33" spans="1:4" x14ac:dyDescent="0.25">
      <c r="A33" s="1">
        <v>41609</v>
      </c>
      <c r="B33" s="14">
        <v>195520.05371863939</v>
      </c>
      <c r="C33" s="14">
        <v>143432.94077258516</v>
      </c>
      <c r="D33" t="s">
        <v>67</v>
      </c>
    </row>
    <row r="34" spans="1:4" x14ac:dyDescent="0.25">
      <c r="A34" s="1">
        <v>41699</v>
      </c>
      <c r="B34" s="14">
        <v>199807.09983026874</v>
      </c>
      <c r="C34" s="14">
        <v>133091.89869735649</v>
      </c>
      <c r="D34" t="s">
        <v>67</v>
      </c>
    </row>
    <row r="35" spans="1:4" x14ac:dyDescent="0.25">
      <c r="A35" s="1">
        <v>41791</v>
      </c>
      <c r="B35" s="14">
        <v>207724.75951360795</v>
      </c>
      <c r="C35" s="14">
        <v>133068.7645507135</v>
      </c>
      <c r="D35" t="s">
        <v>67</v>
      </c>
    </row>
    <row r="36" spans="1:4" x14ac:dyDescent="0.25">
      <c r="A36" s="1">
        <v>41883</v>
      </c>
      <c r="B36" s="14">
        <v>204125.5483945446</v>
      </c>
      <c r="C36" s="14">
        <v>133070.14922540812</v>
      </c>
      <c r="D36" t="s">
        <v>67</v>
      </c>
    </row>
    <row r="37" spans="1:4" x14ac:dyDescent="0.25">
      <c r="A37" s="1">
        <v>41974</v>
      </c>
      <c r="B37" s="14">
        <v>208418.90886819953</v>
      </c>
      <c r="C37" s="14">
        <v>144821.86411047139</v>
      </c>
      <c r="D37" t="s">
        <v>67</v>
      </c>
    </row>
    <row r="38" spans="1:4" x14ac:dyDescent="0.25">
      <c r="A38" s="1">
        <v>42064</v>
      </c>
      <c r="B38" s="14">
        <v>219667.11274310149</v>
      </c>
      <c r="C38" s="14">
        <v>142884.47454957495</v>
      </c>
      <c r="D38" t="s">
        <v>67</v>
      </c>
    </row>
    <row r="39" spans="1:4" x14ac:dyDescent="0.25">
      <c r="A39" s="1">
        <v>42156</v>
      </c>
      <c r="B39" s="14">
        <v>216897.27483890537</v>
      </c>
      <c r="C39" s="14">
        <v>147865.19495656184</v>
      </c>
      <c r="D39" t="s">
        <v>67</v>
      </c>
    </row>
    <row r="40" spans="1:4" x14ac:dyDescent="0.25">
      <c r="A40" s="1">
        <v>42248</v>
      </c>
      <c r="B40" s="14">
        <v>200119.14771749167</v>
      </c>
      <c r="C40" s="14">
        <v>138227.04419029257</v>
      </c>
      <c r="D40" t="s">
        <v>67</v>
      </c>
    </row>
    <row r="41" spans="1:4" x14ac:dyDescent="0.25">
      <c r="A41" s="1">
        <v>42339</v>
      </c>
      <c r="B41" s="14">
        <v>212465.83620912454</v>
      </c>
      <c r="C41" s="14">
        <v>143203.494318176</v>
      </c>
      <c r="D41" t="s">
        <v>67</v>
      </c>
    </row>
    <row r="42" spans="1:4" x14ac:dyDescent="0.25">
      <c r="A42" s="1">
        <v>42430</v>
      </c>
      <c r="B42" s="14">
        <v>211239.64296249536</v>
      </c>
      <c r="C42" s="14">
        <v>148355.8104451026</v>
      </c>
      <c r="D42" t="s">
        <v>67</v>
      </c>
    </row>
    <row r="43" spans="1:4" x14ac:dyDescent="0.25">
      <c r="A43" s="1">
        <v>42522</v>
      </c>
      <c r="B43" s="14">
        <v>216208.44630079635</v>
      </c>
      <c r="C43" s="14">
        <v>158307.35220488682</v>
      </c>
      <c r="D43" t="s">
        <v>67</v>
      </c>
    </row>
    <row r="44" spans="1:4" x14ac:dyDescent="0.25">
      <c r="A44" s="1">
        <v>42614</v>
      </c>
      <c r="B44" s="14">
        <v>228332.45839657277</v>
      </c>
      <c r="C44" s="14">
        <v>152176.57424623251</v>
      </c>
      <c r="D44" t="s">
        <v>67</v>
      </c>
    </row>
    <row r="45" spans="1:4" x14ac:dyDescent="0.25">
      <c r="A45" s="1">
        <v>42705</v>
      </c>
      <c r="B45" s="14">
        <v>236062.99224509016</v>
      </c>
      <c r="C45" s="14">
        <v>153921.5214502672</v>
      </c>
      <c r="D45" t="s">
        <v>67</v>
      </c>
    </row>
    <row r="46" spans="1:4" x14ac:dyDescent="0.25">
      <c r="A46" s="1">
        <v>42795</v>
      </c>
      <c r="B46" s="14">
        <v>250531.70691246982</v>
      </c>
      <c r="C46" s="14">
        <v>154124.53302777736</v>
      </c>
      <c r="D46" t="s">
        <v>67</v>
      </c>
    </row>
    <row r="47" spans="1:4" x14ac:dyDescent="0.25">
      <c r="A47" s="1">
        <v>42887</v>
      </c>
      <c r="B47" s="14">
        <v>256769.75317483369</v>
      </c>
      <c r="C47" s="14">
        <v>169202.68624915899</v>
      </c>
      <c r="D47" t="s">
        <v>67</v>
      </c>
    </row>
    <row r="48" spans="1:4" x14ac:dyDescent="0.25">
      <c r="A48" s="1">
        <v>42979</v>
      </c>
      <c r="B48" s="14">
        <v>267116.41667085589</v>
      </c>
      <c r="C48" s="14">
        <v>159258.17953961925</v>
      </c>
      <c r="D48" t="s">
        <v>67</v>
      </c>
    </row>
    <row r="49" spans="1:4" x14ac:dyDescent="0.25">
      <c r="A49" s="1">
        <v>43070</v>
      </c>
      <c r="B49" s="14">
        <v>284162.0730178355</v>
      </c>
      <c r="C49" s="14">
        <v>170380.31796258423</v>
      </c>
      <c r="D49" t="s">
        <v>67</v>
      </c>
    </row>
    <row r="50" spans="1:4" x14ac:dyDescent="0.25">
      <c r="A50" s="1">
        <v>43160</v>
      </c>
      <c r="B50" s="14">
        <v>278768.18199780851</v>
      </c>
      <c r="C50" s="14">
        <v>161459.71861637756</v>
      </c>
      <c r="D50" t="s">
        <v>67</v>
      </c>
    </row>
    <row r="51" spans="1:4" x14ac:dyDescent="0.25">
      <c r="A51" s="1">
        <v>43252</v>
      </c>
      <c r="B51" s="14">
        <v>290333.57877291983</v>
      </c>
      <c r="C51" s="14">
        <v>157479.3186000424</v>
      </c>
      <c r="D51" t="s">
        <v>67</v>
      </c>
    </row>
    <row r="52" spans="1:4" x14ac:dyDescent="0.25">
      <c r="A52" s="1">
        <v>43344</v>
      </c>
      <c r="B52" s="14">
        <v>300987.83961291332</v>
      </c>
      <c r="C52" s="14">
        <v>171127.67529071055</v>
      </c>
      <c r="D52" t="s">
        <v>67</v>
      </c>
    </row>
    <row r="53" spans="1:4" x14ac:dyDescent="0.25">
      <c r="A53" s="1">
        <v>43435</v>
      </c>
      <c r="B53" s="14">
        <v>264323.57819196343</v>
      </c>
      <c r="C53" s="14">
        <v>174389.38504951179</v>
      </c>
      <c r="D53" t="s">
        <v>67</v>
      </c>
    </row>
    <row r="54" spans="1:4" x14ac:dyDescent="0.25">
      <c r="A54" s="1">
        <v>43525</v>
      </c>
      <c r="B54" s="14">
        <v>296510.13730520126</v>
      </c>
      <c r="C54" s="14">
        <v>176884.83914167862</v>
      </c>
      <c r="D54" t="s">
        <v>67</v>
      </c>
    </row>
    <row r="55" spans="1:4" x14ac:dyDescent="0.25">
      <c r="A55" s="1">
        <v>43617</v>
      </c>
      <c r="B55" s="14">
        <v>311518.63034170016</v>
      </c>
      <c r="C55" s="14">
        <v>177346.59932435988</v>
      </c>
      <c r="D55" t="s">
        <v>67</v>
      </c>
    </row>
    <row r="56" spans="1:4" x14ac:dyDescent="0.25">
      <c r="A56" s="1">
        <v>43709</v>
      </c>
      <c r="B56" s="14">
        <v>314864.77083261707</v>
      </c>
      <c r="C56" s="14">
        <v>184615.28406727765</v>
      </c>
      <c r="D56" t="s">
        <v>67</v>
      </c>
    </row>
    <row r="57" spans="1:4" x14ac:dyDescent="0.25">
      <c r="A57" s="1">
        <v>43800</v>
      </c>
      <c r="B57" s="14">
        <v>334118.10782713804</v>
      </c>
      <c r="C57" s="14">
        <v>201209.22271134343</v>
      </c>
      <c r="D57" t="s">
        <v>67</v>
      </c>
    </row>
    <row r="58" spans="1:4" x14ac:dyDescent="0.25">
      <c r="A58" s="1">
        <v>43891</v>
      </c>
      <c r="B58" s="14">
        <v>258152.33955404433</v>
      </c>
      <c r="C58" s="14">
        <v>188779.46857332395</v>
      </c>
      <c r="D58" t="s">
        <v>67</v>
      </c>
    </row>
    <row r="59" spans="1:4" x14ac:dyDescent="0.25">
      <c r="A59" s="1">
        <v>43983</v>
      </c>
      <c r="B59" s="14">
        <v>307302.4932369098</v>
      </c>
      <c r="C59" s="14">
        <v>189449.4790048243</v>
      </c>
      <c r="D59" t="s">
        <v>67</v>
      </c>
    </row>
    <row r="60" spans="1:4" x14ac:dyDescent="0.25">
      <c r="A60" s="1">
        <v>44075</v>
      </c>
      <c r="B60" s="14">
        <v>323981.7621443122</v>
      </c>
      <c r="C60" s="14">
        <v>217546.72314913408</v>
      </c>
      <c r="D60" t="s">
        <v>67</v>
      </c>
    </row>
    <row r="61" spans="1:4" x14ac:dyDescent="0.25">
      <c r="A61" s="1">
        <v>44166</v>
      </c>
      <c r="B61" s="14">
        <v>371685.62306346768</v>
      </c>
      <c r="C61" s="14">
        <v>228001.08889626068</v>
      </c>
      <c r="D61" t="s">
        <v>67</v>
      </c>
    </row>
    <row r="62" spans="1:4" x14ac:dyDescent="0.25">
      <c r="A62" s="1">
        <v>44256</v>
      </c>
      <c r="B62" s="14">
        <v>390491.82611938572</v>
      </c>
      <c r="C62" s="14">
        <v>235521.43732457983</v>
      </c>
      <c r="D62" t="s">
        <v>67</v>
      </c>
    </row>
    <row r="63" spans="1:4" x14ac:dyDescent="0.25">
      <c r="A63" s="1">
        <v>44348</v>
      </c>
      <c r="B63" s="14">
        <v>420218.77608026186</v>
      </c>
      <c r="C63" s="14">
        <v>272361.75666668243</v>
      </c>
      <c r="D63" t="s">
        <v>67</v>
      </c>
    </row>
    <row r="64" spans="1:4" x14ac:dyDescent="0.25">
      <c r="A64" s="1">
        <v>44440</v>
      </c>
      <c r="B64" s="14">
        <v>420959.64407638385</v>
      </c>
      <c r="C64" s="14">
        <v>261251.97755526574</v>
      </c>
      <c r="D64" t="s">
        <v>67</v>
      </c>
    </row>
    <row r="65" spans="1:4" x14ac:dyDescent="0.25">
      <c r="A65" s="1">
        <v>44531</v>
      </c>
      <c r="B65" s="14">
        <v>444102.66027152142</v>
      </c>
      <c r="C65" s="14">
        <v>320576.41758110939</v>
      </c>
      <c r="D65" t="s">
        <v>67</v>
      </c>
    </row>
    <row r="66" spans="1:4" x14ac:dyDescent="0.25">
      <c r="A66" s="1">
        <v>44621</v>
      </c>
      <c r="B66" s="14">
        <v>430038.78413648193</v>
      </c>
      <c r="C66" s="14">
        <v>306469.82043342595</v>
      </c>
      <c r="D66" t="s">
        <v>67</v>
      </c>
    </row>
    <row r="67" spans="1:4" x14ac:dyDescent="0.25">
      <c r="A67" s="1">
        <v>44713</v>
      </c>
      <c r="B67" s="14">
        <v>364579.59176556551</v>
      </c>
      <c r="C67" s="14">
        <v>331517.40896346868</v>
      </c>
      <c r="D67" t="s">
        <v>67</v>
      </c>
    </row>
    <row r="68" spans="1:4" x14ac:dyDescent="0.25">
      <c r="A68" s="1">
        <v>44805</v>
      </c>
      <c r="B68" s="14">
        <v>348946.89480203157</v>
      </c>
      <c r="C68" s="14">
        <v>328081.89277447306</v>
      </c>
      <c r="D68" t="s">
        <v>67</v>
      </c>
    </row>
    <row r="69" spans="1:4" x14ac:dyDescent="0.25">
      <c r="A69" s="1">
        <v>44896</v>
      </c>
      <c r="B69" s="14">
        <v>382145.097353269</v>
      </c>
      <c r="C69" s="14">
        <v>332315.65181934857</v>
      </c>
      <c r="D69" t="s">
        <v>67</v>
      </c>
    </row>
    <row r="70" spans="1:4" x14ac:dyDescent="0.25">
      <c r="A70" s="1">
        <v>44986</v>
      </c>
      <c r="B70" s="14">
        <v>405256.2252755104</v>
      </c>
      <c r="C70" s="14">
        <v>342408.08335846977</v>
      </c>
      <c r="D70" t="s">
        <v>67</v>
      </c>
    </row>
    <row r="71" spans="1:4" x14ac:dyDescent="0.25">
      <c r="A71" s="1">
        <v>45078</v>
      </c>
      <c r="B71" s="14">
        <v>424482.06627675937</v>
      </c>
      <c r="C71" s="14">
        <v>332917.39265363419</v>
      </c>
      <c r="D71" t="s">
        <v>67</v>
      </c>
    </row>
    <row r="72" spans="1:4" x14ac:dyDescent="0.25">
      <c r="A72" s="1">
        <v>45170</v>
      </c>
      <c r="B72" s="14">
        <v>412968.88347212016</v>
      </c>
      <c r="C72" s="14">
        <v>351765.93565333809</v>
      </c>
      <c r="D72" t="s">
        <v>67</v>
      </c>
    </row>
    <row r="73" spans="1:4" x14ac:dyDescent="0.25">
      <c r="A73" s="1">
        <v>45261</v>
      </c>
      <c r="B73" s="14">
        <v>456597.1111441559</v>
      </c>
      <c r="C73" s="14">
        <v>357906.35156823677</v>
      </c>
      <c r="D73" t="s">
        <v>67</v>
      </c>
    </row>
    <row r="74" spans="1:4" x14ac:dyDescent="0.25">
      <c r="A74" s="1">
        <v>45352</v>
      </c>
      <c r="B74" s="14">
        <v>490664.22512254759</v>
      </c>
      <c r="C74" s="14">
        <v>330830.41267793858</v>
      </c>
      <c r="D74" t="s">
        <v>67</v>
      </c>
    </row>
    <row r="75" spans="1:4" x14ac:dyDescent="0.25">
      <c r="A75" s="1">
        <v>45444</v>
      </c>
      <c r="B75" s="14">
        <v>495551.51401166071</v>
      </c>
      <c r="C75" s="14">
        <v>363491.78188254521</v>
      </c>
      <c r="D75" t="s">
        <v>67</v>
      </c>
    </row>
    <row r="76" spans="1:4" x14ac:dyDescent="0.25">
      <c r="A76" s="1">
        <v>45536</v>
      </c>
      <c r="B76" s="14">
        <v>529441.30455069221</v>
      </c>
      <c r="C76" s="14">
        <v>329686.428008124</v>
      </c>
      <c r="D76" t="s">
        <v>67</v>
      </c>
    </row>
    <row r="77" spans="1:4" x14ac:dyDescent="0.25">
      <c r="A77" s="1">
        <v>45627</v>
      </c>
      <c r="B77" s="14">
        <v>525558.35683613794</v>
      </c>
      <c r="C77" s="14">
        <v>344896.02625810221</v>
      </c>
      <c r="D77" t="s">
        <v>67</v>
      </c>
    </row>
    <row r="78" spans="1:4" x14ac:dyDescent="0.25">
      <c r="A78" s="1">
        <v>45717</v>
      </c>
      <c r="B78" s="14">
        <v>513112.48975100712</v>
      </c>
      <c r="C78" s="14">
        <v>335688.07731339883</v>
      </c>
      <c r="D78" t="s">
        <v>67</v>
      </c>
    </row>
    <row r="79" spans="1:4" x14ac:dyDescent="0.25">
      <c r="A79" s="1">
        <v>45809</v>
      </c>
      <c r="B79" s="14">
        <v>568067.16318874888</v>
      </c>
      <c r="C79" s="14">
        <v>336358.69164339046</v>
      </c>
      <c r="D79" t="s">
        <v>67</v>
      </c>
    </row>
    <row r="80" spans="1:4" x14ac:dyDescent="0.25">
      <c r="A80" s="1">
        <v>45901</v>
      </c>
      <c r="B80" s="14">
        <v>604499.45836188435</v>
      </c>
      <c r="C80" s="14">
        <v>348857.54260845622</v>
      </c>
      <c r="D80" t="s">
        <v>67</v>
      </c>
    </row>
    <row r="81" spans="1:4" x14ac:dyDescent="0.25">
      <c r="A81" s="1">
        <v>45992</v>
      </c>
      <c r="B81" s="14">
        <v>614753.87103978312</v>
      </c>
      <c r="C81" s="14">
        <v>357487.77430833771</v>
      </c>
      <c r="D81" t="s">
        <v>67</v>
      </c>
    </row>
    <row r="82" spans="1:4" x14ac:dyDescent="0.25">
      <c r="A82" s="1">
        <v>38777</v>
      </c>
      <c r="B82" s="14">
        <v>107800.52285919635</v>
      </c>
      <c r="C82" s="14">
        <v>67230.625</v>
      </c>
      <c r="D82" t="s">
        <v>0</v>
      </c>
    </row>
    <row r="83" spans="1:4" x14ac:dyDescent="0.25">
      <c r="A83" s="1">
        <v>38869</v>
      </c>
      <c r="B83" s="14">
        <v>110247.4355318102</v>
      </c>
      <c r="C83" s="14">
        <v>80550.347090229916</v>
      </c>
      <c r="D83" t="s">
        <v>0</v>
      </c>
    </row>
    <row r="84" spans="1:4" x14ac:dyDescent="0.25">
      <c r="A84" s="1">
        <v>38961</v>
      </c>
      <c r="B84" s="14">
        <v>117619.31038207728</v>
      </c>
      <c r="C84" s="14">
        <v>92817.742649578606</v>
      </c>
      <c r="D84" t="s">
        <v>0</v>
      </c>
    </row>
    <row r="85" spans="1:4" x14ac:dyDescent="0.25">
      <c r="A85" s="1">
        <v>39052</v>
      </c>
      <c r="B85" s="14">
        <v>132050.72548103193</v>
      </c>
      <c r="C85" s="14">
        <v>99445.189421312534</v>
      </c>
      <c r="D85" t="s">
        <v>0</v>
      </c>
    </row>
    <row r="86" spans="1:4" x14ac:dyDescent="0.25">
      <c r="A86" s="1">
        <v>39142</v>
      </c>
      <c r="B86" s="14">
        <v>140783.9392440689</v>
      </c>
      <c r="C86" s="14">
        <v>107395.41211665102</v>
      </c>
      <c r="D86" t="s">
        <v>0</v>
      </c>
    </row>
    <row r="87" spans="1:4" x14ac:dyDescent="0.25">
      <c r="A87" s="1">
        <v>39234</v>
      </c>
      <c r="B87" s="14">
        <v>152976.48520752898</v>
      </c>
      <c r="C87" s="14">
        <v>121007.66807707492</v>
      </c>
      <c r="D87" t="s">
        <v>0</v>
      </c>
    </row>
    <row r="88" spans="1:4" x14ac:dyDescent="0.25">
      <c r="A88" s="1">
        <v>39326</v>
      </c>
      <c r="B88" s="14">
        <v>161130.96506359454</v>
      </c>
      <c r="C88" s="14">
        <v>134598.35243318474</v>
      </c>
      <c r="D88" t="s">
        <v>0</v>
      </c>
    </row>
    <row r="89" spans="1:4" x14ac:dyDescent="0.25">
      <c r="A89" s="1">
        <v>39417</v>
      </c>
      <c r="B89" s="14">
        <v>160150.97262646889</v>
      </c>
      <c r="C89" s="14">
        <v>141284.94826363301</v>
      </c>
      <c r="D89" t="s">
        <v>0</v>
      </c>
    </row>
    <row r="90" spans="1:4" x14ac:dyDescent="0.25">
      <c r="A90" s="1">
        <v>39508</v>
      </c>
      <c r="B90" s="14">
        <v>146528.07231515829</v>
      </c>
      <c r="C90" s="14">
        <v>142066.07346268883</v>
      </c>
      <c r="D90" t="s">
        <v>0</v>
      </c>
    </row>
    <row r="91" spans="1:4" x14ac:dyDescent="0.25">
      <c r="A91" s="1">
        <v>39600</v>
      </c>
      <c r="B91" s="14">
        <v>148184.0619050556</v>
      </c>
      <c r="C91" s="14">
        <v>144701.99580902711</v>
      </c>
      <c r="D91" t="s">
        <v>0</v>
      </c>
    </row>
    <row r="92" spans="1:4" x14ac:dyDescent="0.25">
      <c r="A92" s="1">
        <v>39692</v>
      </c>
      <c r="B92" s="14">
        <v>130995.73517038641</v>
      </c>
      <c r="C92" s="14">
        <v>117036.88099737704</v>
      </c>
      <c r="D92" t="s">
        <v>0</v>
      </c>
    </row>
    <row r="93" spans="1:4" x14ac:dyDescent="0.25">
      <c r="A93" s="1">
        <v>39783</v>
      </c>
      <c r="B93" s="14">
        <v>105215.02962032722</v>
      </c>
      <c r="C93" s="14">
        <v>118798.41269265721</v>
      </c>
      <c r="D93" t="s">
        <v>0</v>
      </c>
    </row>
    <row r="94" spans="1:4" x14ac:dyDescent="0.25">
      <c r="A94" s="1">
        <v>39873</v>
      </c>
      <c r="B94" s="14">
        <v>97652.262980672604</v>
      </c>
      <c r="C94" s="14">
        <v>127387.61016441364</v>
      </c>
      <c r="D94" t="s">
        <v>0</v>
      </c>
    </row>
    <row r="95" spans="1:4" x14ac:dyDescent="0.25">
      <c r="A95" s="1">
        <v>39965</v>
      </c>
      <c r="B95" s="14">
        <v>117796.57027953971</v>
      </c>
      <c r="C95" s="14">
        <v>122517.3783783312</v>
      </c>
      <c r="D95" t="s">
        <v>0</v>
      </c>
    </row>
    <row r="96" spans="1:4" x14ac:dyDescent="0.25">
      <c r="A96" s="1">
        <v>40057</v>
      </c>
      <c r="B96" s="14">
        <v>142454.29308532435</v>
      </c>
      <c r="C96" s="14">
        <v>123066.95852355688</v>
      </c>
      <c r="D96" t="s">
        <v>0</v>
      </c>
    </row>
    <row r="97" spans="1:4" x14ac:dyDescent="0.25">
      <c r="A97" s="1">
        <v>40148</v>
      </c>
      <c r="B97" s="14">
        <v>149903.50045483702</v>
      </c>
      <c r="C97" s="14">
        <v>174447.84724864876</v>
      </c>
      <c r="D97" t="s">
        <v>0</v>
      </c>
    </row>
    <row r="98" spans="1:4" x14ac:dyDescent="0.25">
      <c r="A98" s="1">
        <v>40238</v>
      </c>
      <c r="B98" s="14">
        <v>156864.67347097065</v>
      </c>
      <c r="C98" s="14">
        <v>194241.64790363592</v>
      </c>
      <c r="D98" t="s">
        <v>0</v>
      </c>
    </row>
    <row r="99" spans="1:4" x14ac:dyDescent="0.25">
      <c r="A99" s="1">
        <v>40330</v>
      </c>
      <c r="B99" s="14">
        <v>139689.39454081294</v>
      </c>
      <c r="C99" s="14">
        <v>179944.11658148951</v>
      </c>
      <c r="D99" t="s">
        <v>0</v>
      </c>
    </row>
    <row r="100" spans="1:4" x14ac:dyDescent="0.25">
      <c r="A100" s="1">
        <v>40422</v>
      </c>
      <c r="B100" s="14">
        <v>159577.00566754246</v>
      </c>
      <c r="C100" s="14">
        <v>192579.7242226344</v>
      </c>
      <c r="D100" t="s">
        <v>0</v>
      </c>
    </row>
    <row r="101" spans="1:4" x14ac:dyDescent="0.25">
      <c r="A101" s="1">
        <v>40513</v>
      </c>
      <c r="B101" s="14">
        <v>175261.38115080816</v>
      </c>
      <c r="C101" s="14">
        <v>196115.35821147368</v>
      </c>
      <c r="D101" t="s">
        <v>0</v>
      </c>
    </row>
    <row r="102" spans="1:4" x14ac:dyDescent="0.25">
      <c r="A102" s="1">
        <v>40603</v>
      </c>
      <c r="B102" s="14">
        <v>185875.53555906922</v>
      </c>
      <c r="C102" s="14">
        <v>190793.46485860494</v>
      </c>
      <c r="D102" t="s">
        <v>0</v>
      </c>
    </row>
    <row r="103" spans="1:4" x14ac:dyDescent="0.25">
      <c r="A103" s="1">
        <v>40695</v>
      </c>
      <c r="B103" s="14">
        <v>186357.24625285092</v>
      </c>
      <c r="C103" s="14">
        <v>192848.76164453145</v>
      </c>
      <c r="D103" t="s">
        <v>0</v>
      </c>
    </row>
    <row r="104" spans="1:4" x14ac:dyDescent="0.25">
      <c r="A104" s="1">
        <v>40787</v>
      </c>
      <c r="B104" s="14">
        <v>159238.39004052724</v>
      </c>
      <c r="C104" s="14">
        <v>149989.8408567349</v>
      </c>
      <c r="D104" t="s">
        <v>0</v>
      </c>
    </row>
    <row r="105" spans="1:4" x14ac:dyDescent="0.25">
      <c r="A105" s="1">
        <v>40878</v>
      </c>
      <c r="B105" s="14">
        <v>171065.44282395992</v>
      </c>
      <c r="C105" s="14">
        <v>159073.19687634357</v>
      </c>
      <c r="D105" t="s">
        <v>0</v>
      </c>
    </row>
    <row r="106" spans="1:4" x14ac:dyDescent="0.25">
      <c r="A106" s="1">
        <v>40969</v>
      </c>
      <c r="B106" s="14">
        <v>192027.97633871724</v>
      </c>
      <c r="C106" s="14">
        <v>170697.97979026189</v>
      </c>
      <c r="D106" t="s">
        <v>0</v>
      </c>
    </row>
    <row r="107" spans="1:4" x14ac:dyDescent="0.25">
      <c r="A107" s="1">
        <v>41061</v>
      </c>
      <c r="B107" s="14">
        <v>183698.10876143866</v>
      </c>
      <c r="C107" s="14">
        <v>140754.16231510643</v>
      </c>
      <c r="D107" t="s">
        <v>0</v>
      </c>
    </row>
    <row r="108" spans="1:4" x14ac:dyDescent="0.25">
      <c r="A108" s="1">
        <v>41153</v>
      </c>
      <c r="B108" s="14">
        <v>199015.20476721699</v>
      </c>
      <c r="C108" s="14">
        <v>147688.87971704506</v>
      </c>
      <c r="D108" t="s">
        <v>0</v>
      </c>
    </row>
    <row r="109" spans="1:4" x14ac:dyDescent="0.25">
      <c r="A109" s="1">
        <v>41244</v>
      </c>
      <c r="B109" s="14">
        <v>208416.84563289603</v>
      </c>
      <c r="C109" s="14">
        <v>175650.80563109647</v>
      </c>
      <c r="D109" t="s">
        <v>0</v>
      </c>
    </row>
    <row r="110" spans="1:4" x14ac:dyDescent="0.25">
      <c r="A110" s="1">
        <v>41334</v>
      </c>
      <c r="B110" s="14">
        <v>227211.7466679457</v>
      </c>
      <c r="C110" s="14">
        <v>161629.73523291299</v>
      </c>
      <c r="D110" t="s">
        <v>0</v>
      </c>
    </row>
    <row r="111" spans="1:4" x14ac:dyDescent="0.25">
      <c r="A111" s="1">
        <v>41426</v>
      </c>
      <c r="B111" s="14">
        <v>227425.50167880516</v>
      </c>
      <c r="C111" s="14">
        <v>166257.48198406131</v>
      </c>
      <c r="D111" t="s">
        <v>0</v>
      </c>
    </row>
    <row r="112" spans="1:4" x14ac:dyDescent="0.25">
      <c r="A112" s="1">
        <v>41518</v>
      </c>
      <c r="B112" s="14">
        <v>249583.2437092484</v>
      </c>
      <c r="C112" s="14">
        <v>161187.63255118657</v>
      </c>
      <c r="D112" t="s">
        <v>0</v>
      </c>
    </row>
    <row r="113" spans="1:4" x14ac:dyDescent="0.25">
      <c r="A113" s="1">
        <v>41609</v>
      </c>
      <c r="B113" s="14">
        <v>267385.78775625548</v>
      </c>
      <c r="C113" s="14">
        <v>159450.04317724297</v>
      </c>
      <c r="D113" t="s">
        <v>0</v>
      </c>
    </row>
    <row r="114" spans="1:4" x14ac:dyDescent="0.25">
      <c r="A114" s="1">
        <v>41699</v>
      </c>
      <c r="B114" s="14">
        <v>273530.77050381457</v>
      </c>
      <c r="C114" s="14">
        <v>208650.69616445896</v>
      </c>
      <c r="D114" t="s">
        <v>0</v>
      </c>
    </row>
    <row r="115" spans="1:4" x14ac:dyDescent="0.25">
      <c r="A115" s="1">
        <v>41791</v>
      </c>
      <c r="B115" s="14">
        <v>284664.9923031177</v>
      </c>
      <c r="C115" s="14">
        <v>204878.64649846684</v>
      </c>
      <c r="D115" t="s">
        <v>0</v>
      </c>
    </row>
    <row r="116" spans="1:4" x14ac:dyDescent="0.25">
      <c r="A116" s="1">
        <v>41883</v>
      </c>
      <c r="B116" s="14">
        <v>280019.14031741605</v>
      </c>
      <c r="C116" s="14">
        <v>208671.54762671664</v>
      </c>
      <c r="D116" t="s">
        <v>0</v>
      </c>
    </row>
    <row r="117" spans="1:4" x14ac:dyDescent="0.25">
      <c r="A117" s="1">
        <v>41974</v>
      </c>
      <c r="B117" s="14">
        <v>286205.08290692588</v>
      </c>
      <c r="C117" s="14">
        <v>224209.28627429518</v>
      </c>
      <c r="D117" t="s">
        <v>0</v>
      </c>
    </row>
    <row r="118" spans="1:4" x14ac:dyDescent="0.25">
      <c r="A118" s="1">
        <v>42064</v>
      </c>
      <c r="B118" s="14">
        <v>301722.88274458156</v>
      </c>
      <c r="C118" s="14">
        <v>238755.12907769799</v>
      </c>
      <c r="D118" t="s">
        <v>0</v>
      </c>
    </row>
    <row r="119" spans="1:4" x14ac:dyDescent="0.25">
      <c r="A119" s="1">
        <v>42156</v>
      </c>
      <c r="B119" s="14">
        <v>297998.09835923411</v>
      </c>
      <c r="C119" s="14">
        <v>233805.36853476235</v>
      </c>
      <c r="D119" t="s">
        <v>0</v>
      </c>
    </row>
    <row r="120" spans="1:4" x14ac:dyDescent="0.25">
      <c r="A120" s="1">
        <v>42248</v>
      </c>
      <c r="B120" s="14">
        <v>275027.10273158847</v>
      </c>
      <c r="C120" s="14">
        <v>241149.09661536341</v>
      </c>
      <c r="D120" t="s">
        <v>0</v>
      </c>
    </row>
    <row r="121" spans="1:4" x14ac:dyDescent="0.25">
      <c r="A121" s="1">
        <v>42339</v>
      </c>
      <c r="B121" s="14">
        <v>292080.85248429887</v>
      </c>
      <c r="C121" s="14">
        <v>268046.90745967021</v>
      </c>
      <c r="D121" t="s">
        <v>0</v>
      </c>
    </row>
    <row r="122" spans="1:4" x14ac:dyDescent="0.25">
      <c r="A122" s="1">
        <v>42430</v>
      </c>
      <c r="B122" s="14">
        <v>290582.06612612325</v>
      </c>
      <c r="C122" s="14">
        <v>243559.79805278868</v>
      </c>
      <c r="D122" t="s">
        <v>0</v>
      </c>
    </row>
    <row r="123" spans="1:4" x14ac:dyDescent="0.25">
      <c r="A123" s="1">
        <v>42522</v>
      </c>
      <c r="B123" s="14">
        <v>297618.59849171567</v>
      </c>
      <c r="C123" s="14">
        <v>275850.07370606909</v>
      </c>
      <c r="D123" t="s">
        <v>0</v>
      </c>
    </row>
    <row r="124" spans="1:4" x14ac:dyDescent="0.25">
      <c r="A124" s="1">
        <v>42614</v>
      </c>
      <c r="B124" s="14">
        <v>314526.73259234725</v>
      </c>
      <c r="C124" s="14">
        <v>268850.73394290166</v>
      </c>
      <c r="D124" t="s">
        <v>0</v>
      </c>
    </row>
    <row r="125" spans="1:4" x14ac:dyDescent="0.25">
      <c r="A125" s="1">
        <v>42705</v>
      </c>
      <c r="B125" s="14">
        <v>325389.36443079822</v>
      </c>
      <c r="C125" s="14">
        <v>288695.04337371892</v>
      </c>
      <c r="D125" t="s">
        <v>0</v>
      </c>
    </row>
    <row r="126" spans="1:4" x14ac:dyDescent="0.25">
      <c r="A126" s="1">
        <v>42795</v>
      </c>
      <c r="B126" s="14">
        <v>345480.76811438543</v>
      </c>
      <c r="C126" s="14">
        <v>306852.17851836863</v>
      </c>
      <c r="D126" t="s">
        <v>0</v>
      </c>
    </row>
    <row r="127" spans="1:4" x14ac:dyDescent="0.25">
      <c r="A127" s="1">
        <v>42887</v>
      </c>
      <c r="B127" s="14">
        <v>354235.10098019562</v>
      </c>
      <c r="C127" s="14">
        <v>322052.76195460057</v>
      </c>
      <c r="D127" t="s">
        <v>0</v>
      </c>
    </row>
    <row r="128" spans="1:4" x14ac:dyDescent="0.25">
      <c r="A128" s="1">
        <v>42979</v>
      </c>
      <c r="B128" s="14">
        <v>368671.68742546876</v>
      </c>
      <c r="C128" s="14">
        <v>319664.1901137206</v>
      </c>
      <c r="D128" t="s">
        <v>0</v>
      </c>
    </row>
    <row r="129" spans="1:4" x14ac:dyDescent="0.25">
      <c r="A129" s="1">
        <v>43070</v>
      </c>
      <c r="B129" s="14">
        <v>392362.61278672301</v>
      </c>
      <c r="C129" s="14">
        <v>341746.0404535319</v>
      </c>
      <c r="D129" t="s">
        <v>0</v>
      </c>
    </row>
    <row r="130" spans="1:4" x14ac:dyDescent="0.25">
      <c r="A130" s="1">
        <v>43160</v>
      </c>
      <c r="B130" s="14">
        <v>385015.10640904855</v>
      </c>
      <c r="C130" s="14">
        <v>350108.22957195266</v>
      </c>
      <c r="D130" t="s">
        <v>0</v>
      </c>
    </row>
    <row r="131" spans="1:4" x14ac:dyDescent="0.25">
      <c r="A131" s="1">
        <v>43252</v>
      </c>
      <c r="B131" s="14">
        <v>401102.44170403451</v>
      </c>
      <c r="C131" s="14">
        <v>341868.71362424607</v>
      </c>
      <c r="D131" t="s">
        <v>0</v>
      </c>
    </row>
    <row r="132" spans="1:4" x14ac:dyDescent="0.25">
      <c r="A132" s="1">
        <v>43344</v>
      </c>
      <c r="B132" s="14">
        <v>415938.53895451216</v>
      </c>
      <c r="C132" s="14">
        <v>351764.68685297912</v>
      </c>
      <c r="D132" t="s">
        <v>0</v>
      </c>
    </row>
    <row r="133" spans="1:4" x14ac:dyDescent="0.25">
      <c r="A133" s="1">
        <v>43435</v>
      </c>
      <c r="B133" s="14">
        <v>365370.04068898031</v>
      </c>
      <c r="C133" s="14">
        <v>371415.19514213555</v>
      </c>
      <c r="D133" t="s">
        <v>0</v>
      </c>
    </row>
    <row r="134" spans="1:4" x14ac:dyDescent="0.25">
      <c r="A134" s="1">
        <v>43525</v>
      </c>
      <c r="B134" s="14">
        <v>410105.16510706698</v>
      </c>
      <c r="C134" s="14">
        <v>342181.48893402016</v>
      </c>
      <c r="D134" t="s">
        <v>0</v>
      </c>
    </row>
    <row r="135" spans="1:4" x14ac:dyDescent="0.25">
      <c r="A135" s="1">
        <v>43617</v>
      </c>
      <c r="B135" s="14">
        <v>431109.32386466052</v>
      </c>
      <c r="C135" s="14">
        <v>366806.09432218882</v>
      </c>
      <c r="D135" t="s">
        <v>0</v>
      </c>
    </row>
    <row r="136" spans="1:4" x14ac:dyDescent="0.25">
      <c r="A136" s="1">
        <v>43709</v>
      </c>
      <c r="B136" s="14">
        <v>435992.44394712395</v>
      </c>
      <c r="C136" s="14">
        <v>328903.25501097378</v>
      </c>
      <c r="D136" t="s">
        <v>0</v>
      </c>
    </row>
    <row r="137" spans="1:4" x14ac:dyDescent="0.25">
      <c r="A137" s="1">
        <v>43800</v>
      </c>
      <c r="B137" s="14">
        <v>462921.18129598512</v>
      </c>
      <c r="C137" s="14">
        <v>396719.54231892643</v>
      </c>
      <c r="D137" t="s">
        <v>0</v>
      </c>
    </row>
    <row r="138" spans="1:4" x14ac:dyDescent="0.25">
      <c r="A138" s="1">
        <v>43891</v>
      </c>
      <c r="B138" s="14">
        <v>357829.31991010113</v>
      </c>
      <c r="C138" s="14">
        <v>373030.99887332157</v>
      </c>
      <c r="D138" t="s">
        <v>0</v>
      </c>
    </row>
    <row r="139" spans="1:4" x14ac:dyDescent="0.25">
      <c r="A139" s="1">
        <v>43983</v>
      </c>
      <c r="B139" s="14">
        <v>426210.05830574699</v>
      </c>
      <c r="C139" s="14">
        <v>372945.56828018487</v>
      </c>
      <c r="D139" t="s">
        <v>0</v>
      </c>
    </row>
    <row r="140" spans="1:4" x14ac:dyDescent="0.25">
      <c r="A140" s="1">
        <v>44075</v>
      </c>
      <c r="B140" s="14">
        <v>449576.93536281516</v>
      </c>
      <c r="C140" s="14">
        <v>407633.6335884406</v>
      </c>
      <c r="D140" t="s">
        <v>0</v>
      </c>
    </row>
    <row r="141" spans="1:4" x14ac:dyDescent="0.25">
      <c r="A141" s="1">
        <v>44166</v>
      </c>
      <c r="B141" s="14">
        <v>516028.71845598344</v>
      </c>
      <c r="C141" s="14">
        <v>437367.57975825912</v>
      </c>
      <c r="D141" t="s">
        <v>0</v>
      </c>
    </row>
    <row r="142" spans="1:4" x14ac:dyDescent="0.25">
      <c r="A142" s="1">
        <v>44256</v>
      </c>
      <c r="B142" s="14">
        <v>542273.4242396031</v>
      </c>
      <c r="C142" s="14">
        <v>486590.19998375227</v>
      </c>
      <c r="D142" t="s">
        <v>0</v>
      </c>
    </row>
    <row r="143" spans="1:4" x14ac:dyDescent="0.25">
      <c r="A143" s="1">
        <v>44348</v>
      </c>
      <c r="B143" s="14">
        <v>583704.12300447805</v>
      </c>
      <c r="C143" s="14">
        <v>555244.29013442807</v>
      </c>
      <c r="D143" t="s">
        <v>0</v>
      </c>
    </row>
    <row r="144" spans="1:4" x14ac:dyDescent="0.25">
      <c r="A144" s="1">
        <v>44440</v>
      </c>
      <c r="B144" s="14">
        <v>584884.14490712387</v>
      </c>
      <c r="C144" s="14">
        <v>589541.72172186221</v>
      </c>
      <c r="D144" t="s">
        <v>0</v>
      </c>
    </row>
    <row r="145" spans="1:4" x14ac:dyDescent="0.25">
      <c r="A145" s="1">
        <v>44531</v>
      </c>
      <c r="B145" s="14">
        <v>617199.14539021335</v>
      </c>
      <c r="C145" s="14">
        <v>687309.67546363571</v>
      </c>
      <c r="D145" t="s">
        <v>0</v>
      </c>
    </row>
    <row r="146" spans="1:4" x14ac:dyDescent="0.25">
      <c r="A146" s="1">
        <v>44621</v>
      </c>
      <c r="B146" s="14">
        <v>598222.19924213598</v>
      </c>
      <c r="C146" s="14">
        <v>726194.7181189321</v>
      </c>
      <c r="D146" t="s">
        <v>0</v>
      </c>
    </row>
    <row r="147" spans="1:4" x14ac:dyDescent="0.25">
      <c r="A147" s="1">
        <v>44713</v>
      </c>
      <c r="B147" s="14">
        <v>507655.99196290027</v>
      </c>
      <c r="C147" s="14">
        <v>705392.5014546304</v>
      </c>
      <c r="D147" t="s">
        <v>0</v>
      </c>
    </row>
    <row r="148" spans="1:4" x14ac:dyDescent="0.25">
      <c r="A148" s="1">
        <v>44805</v>
      </c>
      <c r="B148" s="14">
        <v>486420.83824311616</v>
      </c>
      <c r="C148" s="14">
        <v>647427.25554249063</v>
      </c>
      <c r="D148" t="s">
        <v>0</v>
      </c>
    </row>
    <row r="149" spans="1:4" x14ac:dyDescent="0.25">
      <c r="A149" s="1">
        <v>44896</v>
      </c>
      <c r="B149" s="14">
        <v>533301.53736867616</v>
      </c>
      <c r="C149" s="14">
        <v>647084.26274338434</v>
      </c>
      <c r="D149" t="s">
        <v>0</v>
      </c>
    </row>
    <row r="150" spans="1:4" x14ac:dyDescent="0.25">
      <c r="A150" s="1">
        <v>44986</v>
      </c>
      <c r="B150" s="14">
        <v>565556.10335457581</v>
      </c>
      <c r="C150" s="14">
        <v>631116.48820326081</v>
      </c>
      <c r="D150" t="s">
        <v>0</v>
      </c>
    </row>
    <row r="151" spans="1:4" x14ac:dyDescent="0.25">
      <c r="A151" s="1">
        <v>45078</v>
      </c>
      <c r="B151" s="14">
        <v>592379.50328505202</v>
      </c>
      <c r="C151" s="14">
        <v>629836.84410209395</v>
      </c>
      <c r="D151" t="s">
        <v>0</v>
      </c>
    </row>
    <row r="152" spans="1:4" x14ac:dyDescent="0.25">
      <c r="A152" s="1">
        <v>45170</v>
      </c>
      <c r="B152" s="14">
        <v>576313.46326573775</v>
      </c>
      <c r="C152" s="14">
        <v>631458.9841985004</v>
      </c>
      <c r="D152" t="s">
        <v>0</v>
      </c>
    </row>
    <row r="153" spans="1:4" x14ac:dyDescent="0.25">
      <c r="A153" s="1">
        <v>45261</v>
      </c>
      <c r="B153" s="14">
        <v>637193.192232106</v>
      </c>
      <c r="C153" s="14">
        <v>645839.00678635843</v>
      </c>
      <c r="D153" t="s">
        <v>0</v>
      </c>
    </row>
    <row r="154" spans="1:4" x14ac:dyDescent="0.25">
      <c r="A154" s="1">
        <v>45352</v>
      </c>
      <c r="B154" s="14">
        <v>685021.716692216</v>
      </c>
      <c r="C154" s="14">
        <v>630890.8992129236</v>
      </c>
      <c r="D154" t="s">
        <v>0</v>
      </c>
    </row>
    <row r="155" spans="1:4" x14ac:dyDescent="0.25">
      <c r="A155" s="1">
        <v>45444</v>
      </c>
      <c r="B155" s="14">
        <v>692120.03637850471</v>
      </c>
      <c r="C155" s="14">
        <v>635593.22467670927</v>
      </c>
      <c r="D155" t="s">
        <v>0</v>
      </c>
    </row>
    <row r="156" spans="1:4" x14ac:dyDescent="0.25">
      <c r="A156" s="1">
        <v>45536</v>
      </c>
      <c r="B156" s="14">
        <v>739756.32151608716</v>
      </c>
      <c r="C156" s="14">
        <v>645257.02913912153</v>
      </c>
      <c r="D156" t="s">
        <v>0</v>
      </c>
    </row>
    <row r="157" spans="1:4" x14ac:dyDescent="0.25">
      <c r="A157" s="1">
        <v>45627</v>
      </c>
      <c r="B157" s="14">
        <v>734613.32205448614</v>
      </c>
      <c r="C157" s="14">
        <v>645192.96164312679</v>
      </c>
      <c r="D157" t="s">
        <v>0</v>
      </c>
    </row>
    <row r="158" spans="1:4" x14ac:dyDescent="0.25">
      <c r="A158" s="1">
        <v>45717</v>
      </c>
      <c r="B158" s="14">
        <v>717414.91169867874</v>
      </c>
      <c r="C158" s="14">
        <v>620767.46456664032</v>
      </c>
      <c r="D158" t="s">
        <v>0</v>
      </c>
    </row>
    <row r="159" spans="1:4" x14ac:dyDescent="0.25">
      <c r="A159" s="1">
        <v>45809</v>
      </c>
      <c r="B159" s="14">
        <v>794498.44380534394</v>
      </c>
      <c r="C159" s="14">
        <v>645367.66300872667</v>
      </c>
      <c r="D159" t="s">
        <v>0</v>
      </c>
    </row>
    <row r="160" spans="1:4" x14ac:dyDescent="0.25">
      <c r="A160" s="1">
        <v>45901</v>
      </c>
      <c r="B160" s="14">
        <v>845707.72413278325</v>
      </c>
      <c r="C160" s="14">
        <v>671977.82872340514</v>
      </c>
      <c r="D160" t="s">
        <v>0</v>
      </c>
    </row>
    <row r="161" spans="1:4" x14ac:dyDescent="0.25">
      <c r="A161" s="1">
        <v>45992</v>
      </c>
      <c r="B161" s="14">
        <v>860298.45189276058</v>
      </c>
      <c r="C161" s="14">
        <v>687365.80801196769</v>
      </c>
      <c r="D161" t="s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5ACE-A8D0-4D5D-ABD1-D0E1F05CEB01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60990.462271245276</v>
      </c>
      <c r="C2" s="14">
        <v>39290.625</v>
      </c>
      <c r="D2" t="s">
        <v>67</v>
      </c>
    </row>
    <row r="3" spans="1:4" x14ac:dyDescent="0.25">
      <c r="A3" s="1">
        <v>38869</v>
      </c>
      <c r="B3" s="14">
        <v>62302.672181990361</v>
      </c>
      <c r="C3" s="14">
        <v>42703.195539744745</v>
      </c>
      <c r="D3" t="s">
        <v>67</v>
      </c>
    </row>
    <row r="4" spans="1:4" x14ac:dyDescent="0.25">
      <c r="A4" s="1">
        <v>38961</v>
      </c>
      <c r="B4" s="14">
        <v>66396.83686123704</v>
      </c>
      <c r="C4" s="14">
        <v>43153.304957545944</v>
      </c>
      <c r="D4" t="s">
        <v>67</v>
      </c>
    </row>
    <row r="5" spans="1:4" x14ac:dyDescent="0.25">
      <c r="A5" s="1">
        <v>39052</v>
      </c>
      <c r="B5" s="14">
        <v>74473.167540228838</v>
      </c>
      <c r="C5" s="14">
        <v>43582.116382585227</v>
      </c>
      <c r="D5" t="s">
        <v>67</v>
      </c>
    </row>
    <row r="6" spans="1:4" x14ac:dyDescent="0.25">
      <c r="A6" s="1">
        <v>39142</v>
      </c>
      <c r="B6" s="14">
        <v>79321.643163246074</v>
      </c>
      <c r="C6" s="14">
        <v>51811.743282458337</v>
      </c>
      <c r="D6" t="s">
        <v>67</v>
      </c>
    </row>
    <row r="7" spans="1:4" x14ac:dyDescent="0.25">
      <c r="A7" s="1">
        <v>39234</v>
      </c>
      <c r="B7" s="14">
        <v>86112.207493752794</v>
      </c>
      <c r="C7" s="14">
        <v>51233.735402186605</v>
      </c>
      <c r="D7" t="s">
        <v>67</v>
      </c>
    </row>
    <row r="8" spans="1:4" x14ac:dyDescent="0.25">
      <c r="A8" s="1">
        <v>39326</v>
      </c>
      <c r="B8" s="14">
        <v>90628.51950797427</v>
      </c>
      <c r="C8" s="14">
        <v>60439.573662250797</v>
      </c>
      <c r="D8" t="s">
        <v>67</v>
      </c>
    </row>
    <row r="9" spans="1:4" x14ac:dyDescent="0.25">
      <c r="A9" s="1">
        <v>39417</v>
      </c>
      <c r="B9" s="14">
        <v>90011.523322292298</v>
      </c>
      <c r="C9" s="14">
        <v>69604.337459266011</v>
      </c>
      <c r="D9" t="s">
        <v>67</v>
      </c>
    </row>
    <row r="10" spans="1:4" x14ac:dyDescent="0.25">
      <c r="A10" s="1">
        <v>39508</v>
      </c>
      <c r="B10" s="14">
        <v>82309.934671241659</v>
      </c>
      <c r="C10" s="14">
        <v>54300.701211960986</v>
      </c>
      <c r="D10" t="s">
        <v>67</v>
      </c>
    </row>
    <row r="11" spans="1:4" x14ac:dyDescent="0.25">
      <c r="A11" s="1">
        <v>39600</v>
      </c>
      <c r="B11" s="14">
        <v>83192.935553275442</v>
      </c>
      <c r="C11" s="14">
        <v>65367.803557223611</v>
      </c>
      <c r="D11" t="s">
        <v>67</v>
      </c>
    </row>
    <row r="12" spans="1:4" x14ac:dyDescent="0.25">
      <c r="A12" s="1">
        <v>39692</v>
      </c>
      <c r="B12" s="14">
        <v>73499.883949362469</v>
      </c>
      <c r="C12" s="14">
        <v>48064.56275820735</v>
      </c>
      <c r="D12" t="s">
        <v>67</v>
      </c>
    </row>
    <row r="13" spans="1:4" x14ac:dyDescent="0.25">
      <c r="A13" s="1">
        <v>39783</v>
      </c>
      <c r="B13" s="14">
        <v>58969.836660123176</v>
      </c>
      <c r="C13" s="14">
        <v>52327.560177526902</v>
      </c>
      <c r="D13" t="s">
        <v>67</v>
      </c>
    </row>
    <row r="14" spans="1:4" x14ac:dyDescent="0.25">
      <c r="A14" s="1">
        <v>39873</v>
      </c>
      <c r="B14" s="14">
        <v>54741.875493443986</v>
      </c>
      <c r="C14" s="14">
        <v>61745.236459722219</v>
      </c>
      <c r="D14" t="s">
        <v>67</v>
      </c>
    </row>
    <row r="15" spans="1:4" x14ac:dyDescent="0.25">
      <c r="A15" s="1">
        <v>39965</v>
      </c>
      <c r="B15" s="14">
        <v>66046.28870727733</v>
      </c>
      <c r="C15" s="14">
        <v>66393.258467855863</v>
      </c>
      <c r="D15" t="s">
        <v>67</v>
      </c>
    </row>
    <row r="16" spans="1:4" x14ac:dyDescent="0.25">
      <c r="A16" s="1">
        <v>40057</v>
      </c>
      <c r="B16" s="14">
        <v>79881.81196717608</v>
      </c>
      <c r="C16" s="14">
        <v>75931.633228052699</v>
      </c>
      <c r="D16" t="s">
        <v>67</v>
      </c>
    </row>
    <row r="17" spans="1:4" x14ac:dyDescent="0.25">
      <c r="A17" s="1">
        <v>40148</v>
      </c>
      <c r="B17" s="14">
        <v>84077.944461972991</v>
      </c>
      <c r="C17" s="14">
        <v>90340.724041418056</v>
      </c>
      <c r="D17" t="s">
        <v>67</v>
      </c>
    </row>
    <row r="18" spans="1:4" x14ac:dyDescent="0.25">
      <c r="A18" s="1">
        <v>40238</v>
      </c>
      <c r="B18" s="14">
        <v>87990.36871052011</v>
      </c>
      <c r="C18" s="14">
        <v>83601.072638488491</v>
      </c>
      <c r="D18" t="s">
        <v>67</v>
      </c>
    </row>
    <row r="19" spans="1:4" x14ac:dyDescent="0.25">
      <c r="A19" s="1">
        <v>40330</v>
      </c>
      <c r="B19" s="14">
        <v>78367.106540325534</v>
      </c>
      <c r="C19" s="14">
        <v>84681.325437234074</v>
      </c>
      <c r="D19" t="s">
        <v>67</v>
      </c>
    </row>
    <row r="20" spans="1:4" x14ac:dyDescent="0.25">
      <c r="A20" s="1">
        <v>40422</v>
      </c>
      <c r="B20" s="14">
        <v>89536.598672239124</v>
      </c>
      <c r="C20" s="14">
        <v>91576.075844396721</v>
      </c>
      <c r="D20" t="s">
        <v>67</v>
      </c>
    </row>
    <row r="21" spans="1:4" x14ac:dyDescent="0.25">
      <c r="A21" s="1">
        <v>40513</v>
      </c>
      <c r="B21" s="14">
        <v>98353.328574601765</v>
      </c>
      <c r="C21" s="14">
        <v>91625.146844367729</v>
      </c>
      <c r="D21" t="s">
        <v>67</v>
      </c>
    </row>
    <row r="22" spans="1:4" x14ac:dyDescent="0.25">
      <c r="A22" s="1">
        <v>40603</v>
      </c>
      <c r="B22" s="14">
        <v>104286.19253186243</v>
      </c>
      <c r="C22" s="14">
        <v>94574.662904379482</v>
      </c>
      <c r="D22" t="s">
        <v>67</v>
      </c>
    </row>
    <row r="23" spans="1:4" x14ac:dyDescent="0.25">
      <c r="A23" s="1">
        <v>40695</v>
      </c>
      <c r="B23" s="14">
        <v>104531.83142477927</v>
      </c>
      <c r="C23" s="14">
        <v>96557.922389661224</v>
      </c>
      <c r="D23" t="s">
        <v>67</v>
      </c>
    </row>
    <row r="24" spans="1:4" x14ac:dyDescent="0.25">
      <c r="A24" s="1">
        <v>40787</v>
      </c>
      <c r="B24" s="14">
        <v>89298.176180343726</v>
      </c>
      <c r="C24" s="14">
        <v>75107.631831858045</v>
      </c>
      <c r="D24" t="s">
        <v>67</v>
      </c>
    </row>
    <row r="25" spans="1:4" x14ac:dyDescent="0.25">
      <c r="A25" s="1">
        <v>40878</v>
      </c>
      <c r="B25" s="14">
        <v>95897.087836935825</v>
      </c>
      <c r="C25" s="14">
        <v>77188.286323837121</v>
      </c>
      <c r="D25" t="s">
        <v>67</v>
      </c>
    </row>
    <row r="26" spans="1:4" x14ac:dyDescent="0.25">
      <c r="A26" s="1">
        <v>40969</v>
      </c>
      <c r="B26" s="14">
        <v>107720.10544140672</v>
      </c>
      <c r="C26" s="14">
        <v>70835.199552750448</v>
      </c>
      <c r="D26" t="s">
        <v>67</v>
      </c>
    </row>
    <row r="27" spans="1:4" x14ac:dyDescent="0.25">
      <c r="A27" s="1">
        <v>41061</v>
      </c>
      <c r="B27" s="14">
        <v>103101.41777434539</v>
      </c>
      <c r="C27" s="14">
        <v>76613.453138698562</v>
      </c>
      <c r="D27" t="s">
        <v>67</v>
      </c>
    </row>
    <row r="28" spans="1:4" x14ac:dyDescent="0.25">
      <c r="A28" s="1">
        <v>41153</v>
      </c>
      <c r="B28" s="14">
        <v>111757.20465683188</v>
      </c>
      <c r="C28" s="14">
        <v>76403.425971000339</v>
      </c>
      <c r="D28" t="s">
        <v>67</v>
      </c>
    </row>
    <row r="29" spans="1:4" x14ac:dyDescent="0.25">
      <c r="A29" s="1">
        <v>41244</v>
      </c>
      <c r="B29" s="14">
        <v>117088.68742303074</v>
      </c>
      <c r="C29" s="14">
        <v>94782.491440251179</v>
      </c>
      <c r="D29" t="s">
        <v>67</v>
      </c>
    </row>
    <row r="30" spans="1:4" x14ac:dyDescent="0.25">
      <c r="A30" s="1">
        <v>41334</v>
      </c>
      <c r="B30" s="14">
        <v>127661.40967423945</v>
      </c>
      <c r="C30" s="14">
        <v>77803.239584169904</v>
      </c>
      <c r="D30" t="s">
        <v>67</v>
      </c>
    </row>
    <row r="31" spans="1:4" x14ac:dyDescent="0.25">
      <c r="A31" s="1">
        <v>41426</v>
      </c>
      <c r="B31" s="14">
        <v>127790.54289942655</v>
      </c>
      <c r="C31" s="14">
        <v>85717.654893282539</v>
      </c>
      <c r="D31" t="s">
        <v>67</v>
      </c>
    </row>
    <row r="32" spans="1:4" x14ac:dyDescent="0.25">
      <c r="A32" s="1">
        <v>41518</v>
      </c>
      <c r="B32" s="14">
        <v>140246.53270033604</v>
      </c>
      <c r="C32" s="14">
        <v>67082.140614329779</v>
      </c>
      <c r="D32" t="s">
        <v>67</v>
      </c>
    </row>
    <row r="33" spans="1:4" x14ac:dyDescent="0.25">
      <c r="A33" s="1">
        <v>41609</v>
      </c>
      <c r="B33" s="14">
        <v>150255.24968941792</v>
      </c>
      <c r="C33" s="14">
        <v>95457.81971397312</v>
      </c>
      <c r="D33" t="s">
        <v>67</v>
      </c>
    </row>
    <row r="34" spans="1:4" x14ac:dyDescent="0.25">
      <c r="A34" s="1">
        <v>41699</v>
      </c>
      <c r="B34" s="14">
        <v>153626.19311388108</v>
      </c>
      <c r="C34" s="14">
        <v>75885.69240130714</v>
      </c>
      <c r="D34" t="s">
        <v>67</v>
      </c>
    </row>
    <row r="35" spans="1:4" x14ac:dyDescent="0.25">
      <c r="A35" s="1">
        <v>41791</v>
      </c>
      <c r="B35" s="14">
        <v>159794.44220945591</v>
      </c>
      <c r="C35" s="14">
        <v>82773.695843259804</v>
      </c>
      <c r="D35" t="s">
        <v>67</v>
      </c>
    </row>
    <row r="36" spans="1:4" x14ac:dyDescent="0.25">
      <c r="A36" s="1">
        <v>41883</v>
      </c>
      <c r="B36" s="14">
        <v>157104.76860632605</v>
      </c>
      <c r="C36" s="14">
        <v>68651.182703925268</v>
      </c>
      <c r="D36" t="s">
        <v>67</v>
      </c>
    </row>
    <row r="37" spans="1:4" x14ac:dyDescent="0.25">
      <c r="A37" s="1">
        <v>41974</v>
      </c>
      <c r="B37" s="14">
        <v>160490.81937445365</v>
      </c>
      <c r="C37" s="14">
        <v>80482.191491471167</v>
      </c>
      <c r="D37" t="s">
        <v>67</v>
      </c>
    </row>
    <row r="38" spans="1:4" x14ac:dyDescent="0.25">
      <c r="A38" s="1">
        <v>42064</v>
      </c>
      <c r="B38" s="14">
        <v>169046.24992533354</v>
      </c>
      <c r="C38" s="14">
        <v>85945.63858436892</v>
      </c>
      <c r="D38" t="s">
        <v>67</v>
      </c>
    </row>
    <row r="39" spans="1:4" x14ac:dyDescent="0.25">
      <c r="A39" s="1">
        <v>42156</v>
      </c>
      <c r="B39" s="14">
        <v>166818.87582610003</v>
      </c>
      <c r="C39" s="14">
        <v>87048.820734601351</v>
      </c>
      <c r="D39" t="s">
        <v>67</v>
      </c>
    </row>
    <row r="40" spans="1:4" x14ac:dyDescent="0.25">
      <c r="A40" s="1">
        <v>42248</v>
      </c>
      <c r="B40" s="14">
        <v>153826.843621393</v>
      </c>
      <c r="C40" s="14">
        <v>96981.269775212364</v>
      </c>
      <c r="D40" t="s">
        <v>67</v>
      </c>
    </row>
    <row r="41" spans="1:4" x14ac:dyDescent="0.25">
      <c r="A41" s="1">
        <v>42339</v>
      </c>
      <c r="B41" s="14">
        <v>163214.55677666483</v>
      </c>
      <c r="C41" s="14">
        <v>93224.589424482576</v>
      </c>
      <c r="D41" t="s">
        <v>67</v>
      </c>
    </row>
    <row r="42" spans="1:4" x14ac:dyDescent="0.25">
      <c r="A42" s="1">
        <v>42430</v>
      </c>
      <c r="B42" s="14">
        <v>162163.00421517476</v>
      </c>
      <c r="C42" s="14">
        <v>97097.012823058321</v>
      </c>
      <c r="D42" t="s">
        <v>67</v>
      </c>
    </row>
    <row r="43" spans="1:4" x14ac:dyDescent="0.25">
      <c r="A43" s="1">
        <v>42522</v>
      </c>
      <c r="B43" s="14">
        <v>165867.87249807912</v>
      </c>
      <c r="C43" s="14">
        <v>108696.65200354689</v>
      </c>
      <c r="D43" t="s">
        <v>67</v>
      </c>
    </row>
    <row r="44" spans="1:4" x14ac:dyDescent="0.25">
      <c r="A44" s="1">
        <v>42614</v>
      </c>
      <c r="B44" s="14">
        <v>175058.51987681538</v>
      </c>
      <c r="C44" s="14">
        <v>91780.67909000747</v>
      </c>
      <c r="D44" t="s">
        <v>67</v>
      </c>
    </row>
    <row r="45" spans="1:4" x14ac:dyDescent="0.25">
      <c r="A45" s="1">
        <v>42705</v>
      </c>
      <c r="B45" s="14">
        <v>180877.45901314786</v>
      </c>
      <c r="C45" s="14">
        <v>106700.64077035521</v>
      </c>
      <c r="D45" t="s">
        <v>67</v>
      </c>
    </row>
    <row r="46" spans="1:4" x14ac:dyDescent="0.25">
      <c r="A46" s="1">
        <v>42795</v>
      </c>
      <c r="B46" s="14">
        <v>191824.63474620174</v>
      </c>
      <c r="C46" s="14">
        <v>116710.56147177389</v>
      </c>
      <c r="D46" t="s">
        <v>67</v>
      </c>
    </row>
    <row r="47" spans="1:4" x14ac:dyDescent="0.25">
      <c r="A47" s="1">
        <v>42887</v>
      </c>
      <c r="B47" s="14">
        <v>196468.27298694698</v>
      </c>
      <c r="C47" s="14">
        <v>102279.97711632507</v>
      </c>
      <c r="D47" t="s">
        <v>67</v>
      </c>
    </row>
    <row r="48" spans="1:4" x14ac:dyDescent="0.25">
      <c r="A48" s="1">
        <v>42979</v>
      </c>
      <c r="B48" s="14">
        <v>204251.63631160452</v>
      </c>
      <c r="C48" s="14">
        <v>122117.40672230428</v>
      </c>
      <c r="D48" t="s">
        <v>67</v>
      </c>
    </row>
    <row r="49" spans="1:4" x14ac:dyDescent="0.25">
      <c r="A49" s="1">
        <v>43070</v>
      </c>
      <c r="B49" s="14">
        <v>217148.85774660925</v>
      </c>
      <c r="C49" s="14">
        <v>132146.60497284337</v>
      </c>
      <c r="D49" t="s">
        <v>67</v>
      </c>
    </row>
    <row r="50" spans="1:4" x14ac:dyDescent="0.25">
      <c r="A50" s="1">
        <v>43160</v>
      </c>
      <c r="B50" s="14">
        <v>212769.18955980489</v>
      </c>
      <c r="C50" s="14">
        <v>140695.84536672558</v>
      </c>
      <c r="D50" t="s">
        <v>67</v>
      </c>
    </row>
    <row r="51" spans="1:4" x14ac:dyDescent="0.25">
      <c r="A51" s="1">
        <v>43252</v>
      </c>
      <c r="B51" s="14">
        <v>221322.35941690439</v>
      </c>
      <c r="C51" s="14">
        <v>158034.56007261138</v>
      </c>
      <c r="D51" t="s">
        <v>67</v>
      </c>
    </row>
    <row r="52" spans="1:4" x14ac:dyDescent="0.25">
      <c r="A52" s="1">
        <v>43344</v>
      </c>
      <c r="B52" s="14">
        <v>229169.86450391004</v>
      </c>
      <c r="C52" s="14">
        <v>160197.53468680603</v>
      </c>
      <c r="D52" t="s">
        <v>67</v>
      </c>
    </row>
    <row r="53" spans="1:4" x14ac:dyDescent="0.25">
      <c r="A53" s="1">
        <v>43435</v>
      </c>
      <c r="B53" s="14">
        <v>201021.63423653267</v>
      </c>
      <c r="C53" s="14">
        <v>177018.66777787145</v>
      </c>
      <c r="D53" t="s">
        <v>67</v>
      </c>
    </row>
    <row r="54" spans="1:4" x14ac:dyDescent="0.25">
      <c r="A54" s="1">
        <v>43525</v>
      </c>
      <c r="B54" s="14">
        <v>225055.38243513362</v>
      </c>
      <c r="C54" s="14">
        <v>191853.9368770248</v>
      </c>
      <c r="D54" t="s">
        <v>67</v>
      </c>
    </row>
    <row r="55" spans="1:4" x14ac:dyDescent="0.25">
      <c r="A55" s="1">
        <v>43617</v>
      </c>
      <c r="B55" s="14">
        <v>236030.14125670781</v>
      </c>
      <c r="C55" s="14">
        <v>184678.409993487</v>
      </c>
      <c r="D55" t="s">
        <v>67</v>
      </c>
    </row>
    <row r="56" spans="1:4" x14ac:dyDescent="0.25">
      <c r="A56" s="1">
        <v>43709</v>
      </c>
      <c r="B56" s="14">
        <v>238163.55666155543</v>
      </c>
      <c r="C56" s="14">
        <v>187342.70033108856</v>
      </c>
      <c r="D56" t="s">
        <v>67</v>
      </c>
    </row>
    <row r="57" spans="1:4" x14ac:dyDescent="0.25">
      <c r="A57" s="1">
        <v>43800</v>
      </c>
      <c r="B57" s="14">
        <v>252305.55102307218</v>
      </c>
      <c r="C57" s="14">
        <v>202259.15882274922</v>
      </c>
      <c r="D57" t="s">
        <v>67</v>
      </c>
    </row>
    <row r="58" spans="1:4" x14ac:dyDescent="0.25">
      <c r="A58" s="1">
        <v>43891</v>
      </c>
      <c r="B58" s="14">
        <v>194544.49414987708</v>
      </c>
      <c r="C58" s="14">
        <v>226935.72839999312</v>
      </c>
      <c r="D58" t="s">
        <v>67</v>
      </c>
    </row>
    <row r="59" spans="1:4" x14ac:dyDescent="0.25">
      <c r="A59" s="1">
        <v>43983</v>
      </c>
      <c r="B59" s="14">
        <v>230976.34019352964</v>
      </c>
      <c r="C59" s="14">
        <v>197357.71782608208</v>
      </c>
      <c r="D59" t="s">
        <v>67</v>
      </c>
    </row>
    <row r="60" spans="1:4" x14ac:dyDescent="0.25">
      <c r="A60" s="1">
        <v>44075</v>
      </c>
      <c r="B60" s="14">
        <v>242969.6571636938</v>
      </c>
      <c r="C60" s="14">
        <v>222635.55631791987</v>
      </c>
      <c r="D60" t="s">
        <v>67</v>
      </c>
    </row>
    <row r="61" spans="1:4" x14ac:dyDescent="0.25">
      <c r="A61" s="1">
        <v>44166</v>
      </c>
      <c r="B61" s="14">
        <v>278153.50091605505</v>
      </c>
      <c r="C61" s="14">
        <v>243461.79758599564</v>
      </c>
      <c r="D61" t="s">
        <v>67</v>
      </c>
    </row>
    <row r="62" spans="1:4" x14ac:dyDescent="0.25">
      <c r="A62" s="1">
        <v>44256</v>
      </c>
      <c r="B62" s="14">
        <v>291737.42785094684</v>
      </c>
      <c r="C62" s="14">
        <v>273138.45047751762</v>
      </c>
      <c r="D62" t="s">
        <v>67</v>
      </c>
    </row>
    <row r="63" spans="1:4" x14ac:dyDescent="0.25">
      <c r="A63" s="1">
        <v>44348</v>
      </c>
      <c r="B63" s="14">
        <v>313440.43806516414</v>
      </c>
      <c r="C63" s="14">
        <v>304017.95040323719</v>
      </c>
      <c r="D63" t="s">
        <v>67</v>
      </c>
    </row>
    <row r="64" spans="1:4" x14ac:dyDescent="0.25">
      <c r="A64" s="1">
        <v>44440</v>
      </c>
      <c r="B64" s="14">
        <v>313518.06926092907</v>
      </c>
      <c r="C64" s="14">
        <v>340793.33249978966</v>
      </c>
      <c r="D64" t="s">
        <v>67</v>
      </c>
    </row>
    <row r="65" spans="1:4" x14ac:dyDescent="0.25">
      <c r="A65" s="1">
        <v>44531</v>
      </c>
      <c r="B65" s="14">
        <v>330253.19213441224</v>
      </c>
      <c r="C65" s="14">
        <v>370166.37364757934</v>
      </c>
      <c r="D65" t="s">
        <v>67</v>
      </c>
    </row>
    <row r="66" spans="1:4" x14ac:dyDescent="0.25">
      <c r="A66" s="1">
        <v>44621</v>
      </c>
      <c r="B66" s="14">
        <v>319412.96549524803</v>
      </c>
      <c r="C66" s="14">
        <v>386085.30555651884</v>
      </c>
      <c r="D66" t="s">
        <v>67</v>
      </c>
    </row>
    <row r="67" spans="1:4" x14ac:dyDescent="0.25">
      <c r="A67" s="1">
        <v>44713</v>
      </c>
      <c r="B67" s="14">
        <v>270452.9794787101</v>
      </c>
      <c r="C67" s="14">
        <v>375007.63997348532</v>
      </c>
      <c r="D67" t="s">
        <v>67</v>
      </c>
    </row>
    <row r="68" spans="1:4" x14ac:dyDescent="0.25">
      <c r="A68" s="1">
        <v>44805</v>
      </c>
      <c r="B68" s="14">
        <v>258464.22214156226</v>
      </c>
      <c r="C68" s="14">
        <v>365178.57580405299</v>
      </c>
      <c r="D68" t="s">
        <v>67</v>
      </c>
    </row>
    <row r="69" spans="1:4" x14ac:dyDescent="0.25">
      <c r="A69" s="1">
        <v>44896</v>
      </c>
      <c r="B69" s="14">
        <v>282603.1774516197</v>
      </c>
      <c r="C69" s="14">
        <v>365033.94527210784</v>
      </c>
      <c r="D69" t="s">
        <v>67</v>
      </c>
    </row>
    <row r="70" spans="1:4" x14ac:dyDescent="0.25">
      <c r="A70" s="1">
        <v>44986</v>
      </c>
      <c r="B70" s="14">
        <v>298970.36645975552</v>
      </c>
      <c r="C70" s="14">
        <v>360009.07703437324</v>
      </c>
      <c r="D70" t="s">
        <v>67</v>
      </c>
    </row>
    <row r="71" spans="1:4" x14ac:dyDescent="0.25">
      <c r="A71" s="1">
        <v>45078</v>
      </c>
      <c r="B71" s="14">
        <v>312430.29498137126</v>
      </c>
      <c r="C71" s="14">
        <v>356944.21684537968</v>
      </c>
      <c r="D71" t="s">
        <v>67</v>
      </c>
    </row>
    <row r="72" spans="1:4" x14ac:dyDescent="0.25">
      <c r="A72" s="1">
        <v>45170</v>
      </c>
      <c r="B72" s="14">
        <v>303277.21205859166</v>
      </c>
      <c r="C72" s="14">
        <v>349960.50813548733</v>
      </c>
      <c r="D72" t="s">
        <v>67</v>
      </c>
    </row>
    <row r="73" spans="1:4" x14ac:dyDescent="0.25">
      <c r="A73" s="1">
        <v>45261</v>
      </c>
      <c r="B73" s="14">
        <v>334544.34560178715</v>
      </c>
      <c r="C73" s="14">
        <v>340101.20315436542</v>
      </c>
      <c r="D73" t="s">
        <v>67</v>
      </c>
    </row>
    <row r="74" spans="1:4" x14ac:dyDescent="0.25">
      <c r="A74" s="1">
        <v>45352</v>
      </c>
      <c r="B74" s="14">
        <v>359029.79488914</v>
      </c>
      <c r="C74" s="14">
        <v>350807.07210495544</v>
      </c>
      <c r="D74" t="s">
        <v>67</v>
      </c>
    </row>
    <row r="75" spans="1:4" x14ac:dyDescent="0.25">
      <c r="A75" s="1">
        <v>45444</v>
      </c>
      <c r="B75" s="14">
        <v>362158.77842353453</v>
      </c>
      <c r="C75" s="14">
        <v>354679.31588249252</v>
      </c>
      <c r="D75" t="s">
        <v>67</v>
      </c>
    </row>
    <row r="76" spans="1:4" x14ac:dyDescent="0.25">
      <c r="A76" s="1">
        <v>45536</v>
      </c>
      <c r="B76" s="14">
        <v>386448.47213407676</v>
      </c>
      <c r="C76" s="14">
        <v>325370.54089299322</v>
      </c>
      <c r="D76" t="s">
        <v>67</v>
      </c>
    </row>
    <row r="77" spans="1:4" x14ac:dyDescent="0.25">
      <c r="A77" s="1">
        <v>45627</v>
      </c>
      <c r="B77" s="14">
        <v>383170.0866753314</v>
      </c>
      <c r="C77" s="14">
        <v>339672.2311550742</v>
      </c>
      <c r="D77" t="s">
        <v>67</v>
      </c>
    </row>
    <row r="78" spans="1:4" x14ac:dyDescent="0.25">
      <c r="A78" s="1">
        <v>45717</v>
      </c>
      <c r="B78" s="14">
        <v>373533.29729628528</v>
      </c>
      <c r="C78" s="14">
        <v>350062.71175972495</v>
      </c>
      <c r="D78" t="s">
        <v>67</v>
      </c>
    </row>
    <row r="79" spans="1:4" x14ac:dyDescent="0.25">
      <c r="A79" s="1">
        <v>45809</v>
      </c>
      <c r="B79" s="14">
        <v>412893.67718839302</v>
      </c>
      <c r="C79" s="14">
        <v>355398.97659600922</v>
      </c>
      <c r="D79" t="s">
        <v>67</v>
      </c>
    </row>
    <row r="80" spans="1:4" x14ac:dyDescent="0.25">
      <c r="A80" s="1">
        <v>45901</v>
      </c>
      <c r="B80" s="14">
        <v>438746.55774011713</v>
      </c>
      <c r="C80" s="14">
        <v>382193.60834484728</v>
      </c>
      <c r="D80" t="s">
        <v>67</v>
      </c>
    </row>
    <row r="81" spans="1:4" x14ac:dyDescent="0.25">
      <c r="A81" s="1">
        <v>45992</v>
      </c>
      <c r="B81" s="14">
        <v>445588.61506287084</v>
      </c>
      <c r="C81" s="14">
        <v>385806.16361089027</v>
      </c>
      <c r="D81" t="s">
        <v>67</v>
      </c>
    </row>
    <row r="82" spans="1:4" x14ac:dyDescent="0.25">
      <c r="A82" s="1">
        <v>38777</v>
      </c>
      <c r="B82" s="14">
        <v>70867.063030284233</v>
      </c>
      <c r="C82" s="14">
        <v>45402.5</v>
      </c>
      <c r="D82" t="s">
        <v>0</v>
      </c>
    </row>
    <row r="83" spans="1:4" x14ac:dyDescent="0.25">
      <c r="A83" s="1">
        <v>38869</v>
      </c>
      <c r="B83" s="14">
        <v>72360.72359704072</v>
      </c>
      <c r="C83" s="14">
        <v>54600.675957038387</v>
      </c>
      <c r="D83" t="s">
        <v>0</v>
      </c>
    </row>
    <row r="84" spans="1:4" x14ac:dyDescent="0.25">
      <c r="A84" s="1">
        <v>38961</v>
      </c>
      <c r="B84" s="14">
        <v>77083.612194711983</v>
      </c>
      <c r="C84" s="14">
        <v>53976.219062053104</v>
      </c>
      <c r="D84" t="s">
        <v>0</v>
      </c>
    </row>
    <row r="85" spans="1:4" x14ac:dyDescent="0.25">
      <c r="A85" s="1">
        <v>39052</v>
      </c>
      <c r="B85" s="14">
        <v>86426.38396840074</v>
      </c>
      <c r="C85" s="14">
        <v>61147.473375431844</v>
      </c>
      <c r="D85" t="s">
        <v>0</v>
      </c>
    </row>
    <row r="86" spans="1:4" x14ac:dyDescent="0.25">
      <c r="A86" s="1">
        <v>39142</v>
      </c>
      <c r="B86" s="14">
        <v>92021.130486862327</v>
      </c>
      <c r="C86" s="14">
        <v>62417.597793063003</v>
      </c>
      <c r="D86" t="s">
        <v>0</v>
      </c>
    </row>
    <row r="87" spans="1:4" x14ac:dyDescent="0.25">
      <c r="A87" s="1">
        <v>39234</v>
      </c>
      <c r="B87" s="14">
        <v>99866.920133956868</v>
      </c>
      <c r="C87" s="14">
        <v>72978.948409193428</v>
      </c>
      <c r="D87" t="s">
        <v>0</v>
      </c>
    </row>
    <row r="88" spans="1:4" x14ac:dyDescent="0.25">
      <c r="A88" s="1">
        <v>39326</v>
      </c>
      <c r="B88" s="14">
        <v>105073.68696260446</v>
      </c>
      <c r="C88" s="14">
        <v>65933.542065267597</v>
      </c>
      <c r="D88" t="s">
        <v>0</v>
      </c>
    </row>
    <row r="89" spans="1:4" x14ac:dyDescent="0.25">
      <c r="A89" s="1">
        <v>39417</v>
      </c>
      <c r="B89" s="14">
        <v>104329.68569644923</v>
      </c>
      <c r="C89" s="14">
        <v>89672.019119596283</v>
      </c>
      <c r="D89" t="s">
        <v>0</v>
      </c>
    </row>
    <row r="90" spans="1:4" x14ac:dyDescent="0.25">
      <c r="A90" s="1">
        <v>39508</v>
      </c>
      <c r="B90" s="14">
        <v>95376.188202322897</v>
      </c>
      <c r="C90" s="14">
        <v>87431.490844932705</v>
      </c>
      <c r="D90" t="s">
        <v>0</v>
      </c>
    </row>
    <row r="91" spans="1:4" x14ac:dyDescent="0.25">
      <c r="A91" s="1">
        <v>39600</v>
      </c>
      <c r="B91" s="14">
        <v>96370.603197849006</v>
      </c>
      <c r="C91" s="14">
        <v>83177.745221680641</v>
      </c>
      <c r="D91" t="s">
        <v>0</v>
      </c>
    </row>
    <row r="92" spans="1:4" x14ac:dyDescent="0.25">
      <c r="A92" s="1">
        <v>39692</v>
      </c>
      <c r="B92" s="14">
        <v>85117.596965257122</v>
      </c>
      <c r="C92" s="14">
        <v>70140.840576150746</v>
      </c>
      <c r="D92" t="s">
        <v>0</v>
      </c>
    </row>
    <row r="93" spans="1:4" x14ac:dyDescent="0.25">
      <c r="A93" s="1">
        <v>39783</v>
      </c>
      <c r="B93" s="14">
        <v>68270.585551068696</v>
      </c>
      <c r="C93" s="14">
        <v>76706.193149586703</v>
      </c>
      <c r="D93" t="s">
        <v>0</v>
      </c>
    </row>
    <row r="94" spans="1:4" x14ac:dyDescent="0.25">
      <c r="A94" s="1">
        <v>39873</v>
      </c>
      <c r="B94" s="14">
        <v>63286.814616650518</v>
      </c>
      <c r="C94" s="14">
        <v>72829.126020123513</v>
      </c>
      <c r="D94" t="s">
        <v>0</v>
      </c>
    </row>
    <row r="95" spans="1:4" x14ac:dyDescent="0.25">
      <c r="A95" s="1">
        <v>39965</v>
      </c>
      <c r="B95" s="14">
        <v>76240.796536109134</v>
      </c>
      <c r="C95" s="14">
        <v>85740.479229522374</v>
      </c>
      <c r="D95" t="s">
        <v>0</v>
      </c>
    </row>
    <row r="96" spans="1:4" x14ac:dyDescent="0.25">
      <c r="A96" s="1">
        <v>40057</v>
      </c>
      <c r="B96" s="14">
        <v>92096.850374256537</v>
      </c>
      <c r="C96" s="14">
        <v>85541.619230194308</v>
      </c>
      <c r="D96" t="s">
        <v>0</v>
      </c>
    </row>
    <row r="97" spans="1:4" x14ac:dyDescent="0.25">
      <c r="A97" s="1">
        <v>40148</v>
      </c>
      <c r="B97" s="14">
        <v>96836.856930746682</v>
      </c>
      <c r="C97" s="14">
        <v>124248.04083674986</v>
      </c>
      <c r="D97" t="s">
        <v>0</v>
      </c>
    </row>
    <row r="98" spans="1:4" x14ac:dyDescent="0.25">
      <c r="A98" s="1">
        <v>40238</v>
      </c>
      <c r="B98" s="14">
        <v>101247.67360155623</v>
      </c>
      <c r="C98" s="14">
        <v>124228.43949336457</v>
      </c>
      <c r="D98" t="s">
        <v>0</v>
      </c>
    </row>
    <row r="99" spans="1:4" x14ac:dyDescent="0.25">
      <c r="A99" s="1">
        <v>40330</v>
      </c>
      <c r="B99" s="14">
        <v>90094.133331431833</v>
      </c>
      <c r="C99" s="14">
        <v>117153.86217191498</v>
      </c>
      <c r="D99" t="s">
        <v>0</v>
      </c>
    </row>
    <row r="100" spans="1:4" x14ac:dyDescent="0.25">
      <c r="A100" s="1">
        <v>40422</v>
      </c>
      <c r="B100" s="14">
        <v>102832.23360583904</v>
      </c>
      <c r="C100" s="14">
        <v>112881.43486463625</v>
      </c>
      <c r="D100" t="s">
        <v>0</v>
      </c>
    </row>
    <row r="101" spans="1:4" x14ac:dyDescent="0.25">
      <c r="A101" s="1">
        <v>40513</v>
      </c>
      <c r="B101" s="14">
        <v>112861.99306198319</v>
      </c>
      <c r="C101" s="14">
        <v>117236.84190904719</v>
      </c>
      <c r="D101" t="s">
        <v>0</v>
      </c>
    </row>
    <row r="102" spans="1:4" x14ac:dyDescent="0.25">
      <c r="A102" s="1">
        <v>40603</v>
      </c>
      <c r="B102" s="14">
        <v>119589.07433106107</v>
      </c>
      <c r="C102" s="14">
        <v>109818.29380061635</v>
      </c>
      <c r="D102" t="s">
        <v>0</v>
      </c>
    </row>
    <row r="103" spans="1:4" x14ac:dyDescent="0.25">
      <c r="A103" s="1">
        <v>40695</v>
      </c>
      <c r="B103" s="14">
        <v>119793.83763337556</v>
      </c>
      <c r="C103" s="14">
        <v>101466.93253916412</v>
      </c>
      <c r="D103" t="s">
        <v>0</v>
      </c>
    </row>
    <row r="104" spans="1:4" x14ac:dyDescent="0.25">
      <c r="A104" s="1">
        <v>40787</v>
      </c>
      <c r="B104" s="14">
        <v>102270.15505107313</v>
      </c>
      <c r="C104" s="14">
        <v>105869.66622792487</v>
      </c>
      <c r="D104" t="s">
        <v>0</v>
      </c>
    </row>
    <row r="105" spans="1:4" x14ac:dyDescent="0.25">
      <c r="A105" s="1">
        <v>40878</v>
      </c>
      <c r="B105" s="14">
        <v>109744.56722963396</v>
      </c>
      <c r="C105" s="14">
        <v>107836.16558532292</v>
      </c>
      <c r="D105" t="s">
        <v>0</v>
      </c>
    </row>
    <row r="106" spans="1:4" x14ac:dyDescent="0.25">
      <c r="A106" s="1">
        <v>40969</v>
      </c>
      <c r="B106" s="14">
        <v>123182.07620769451</v>
      </c>
      <c r="C106" s="14">
        <v>112812.86476095609</v>
      </c>
      <c r="D106" t="s">
        <v>0</v>
      </c>
    </row>
    <row r="107" spans="1:4" x14ac:dyDescent="0.25">
      <c r="A107" s="1">
        <v>41061</v>
      </c>
      <c r="B107" s="14">
        <v>117820.53872229897</v>
      </c>
      <c r="C107" s="14">
        <v>97250.850849162787</v>
      </c>
      <c r="D107" t="s">
        <v>0</v>
      </c>
    </row>
    <row r="108" spans="1:4" x14ac:dyDescent="0.25">
      <c r="A108" s="1">
        <v>41153</v>
      </c>
      <c r="B108" s="14">
        <v>127620.84614472</v>
      </c>
      <c r="C108" s="14">
        <v>84766.138899822632</v>
      </c>
      <c r="D108" t="s">
        <v>0</v>
      </c>
    </row>
    <row r="109" spans="1:4" x14ac:dyDescent="0.25">
      <c r="A109" s="1">
        <v>41244</v>
      </c>
      <c r="B109" s="14">
        <v>133620.33879255434</v>
      </c>
      <c r="C109" s="14">
        <v>100485.97149762363</v>
      </c>
      <c r="D109" t="s">
        <v>0</v>
      </c>
    </row>
    <row r="110" spans="1:4" x14ac:dyDescent="0.25">
      <c r="A110" s="1">
        <v>41334</v>
      </c>
      <c r="B110" s="14">
        <v>145650.03985300503</v>
      </c>
      <c r="C110" s="14">
        <v>108811.63824170752</v>
      </c>
      <c r="D110" t="s">
        <v>0</v>
      </c>
    </row>
    <row r="111" spans="1:4" x14ac:dyDescent="0.25">
      <c r="A111" s="1">
        <v>41426</v>
      </c>
      <c r="B111" s="14">
        <v>145762.75966528716</v>
      </c>
      <c r="C111" s="14">
        <v>98869.223710015474</v>
      </c>
      <c r="D111" t="s">
        <v>0</v>
      </c>
    </row>
    <row r="112" spans="1:4" x14ac:dyDescent="0.25">
      <c r="A112" s="1">
        <v>41518</v>
      </c>
      <c r="B112" s="14">
        <v>159930.66276492921</v>
      </c>
      <c r="C112" s="14">
        <v>93900.632209892268</v>
      </c>
      <c r="D112" t="s">
        <v>0</v>
      </c>
    </row>
    <row r="113" spans="1:4" x14ac:dyDescent="0.25">
      <c r="A113" s="1">
        <v>41609</v>
      </c>
      <c r="B113" s="14">
        <v>171305.69839375035</v>
      </c>
      <c r="C113" s="14">
        <v>118323.22250281347</v>
      </c>
      <c r="D113" t="s">
        <v>0</v>
      </c>
    </row>
    <row r="114" spans="1:4" x14ac:dyDescent="0.25">
      <c r="A114" s="1">
        <v>41699</v>
      </c>
      <c r="B114" s="14">
        <v>175037.03223749134</v>
      </c>
      <c r="C114" s="14">
        <v>128034.04205262169</v>
      </c>
      <c r="D114" t="s">
        <v>0</v>
      </c>
    </row>
    <row r="115" spans="1:4" x14ac:dyDescent="0.25">
      <c r="A115" s="1">
        <v>41791</v>
      </c>
      <c r="B115" s="14">
        <v>181949.82087947818</v>
      </c>
      <c r="C115" s="14">
        <v>108425.76825221142</v>
      </c>
      <c r="D115" t="s">
        <v>0</v>
      </c>
    </row>
    <row r="116" spans="1:4" x14ac:dyDescent="0.25">
      <c r="A116" s="1">
        <v>41883</v>
      </c>
      <c r="B116" s="14">
        <v>178777.01388100992</v>
      </c>
      <c r="C116" s="14">
        <v>113323.68362453594</v>
      </c>
      <c r="D116" t="s">
        <v>0</v>
      </c>
    </row>
    <row r="117" spans="1:4" x14ac:dyDescent="0.25">
      <c r="A117" s="1">
        <v>41974</v>
      </c>
      <c r="B117" s="14">
        <v>182516.30611624412</v>
      </c>
      <c r="C117" s="14">
        <v>124579.36183458898</v>
      </c>
      <c r="D117" t="s">
        <v>0</v>
      </c>
    </row>
    <row r="118" spans="1:4" x14ac:dyDescent="0.25">
      <c r="A118" s="1">
        <v>42064</v>
      </c>
      <c r="B118" s="14">
        <v>192206.91456415379</v>
      </c>
      <c r="C118" s="14">
        <v>128006.06736415971</v>
      </c>
      <c r="D118" t="s">
        <v>0</v>
      </c>
    </row>
    <row r="119" spans="1:4" x14ac:dyDescent="0.25">
      <c r="A119" s="1">
        <v>42156</v>
      </c>
      <c r="B119" s="14">
        <v>189636.30400203262</v>
      </c>
      <c r="C119" s="14">
        <v>118292.3167377616</v>
      </c>
      <c r="D119" t="s">
        <v>0</v>
      </c>
    </row>
    <row r="120" spans="1:4" x14ac:dyDescent="0.25">
      <c r="A120" s="1">
        <v>42248</v>
      </c>
      <c r="B120" s="14">
        <v>174830.57697321201</v>
      </c>
      <c r="C120" s="14">
        <v>108651.24674024543</v>
      </c>
      <c r="D120" t="s">
        <v>0</v>
      </c>
    </row>
    <row r="121" spans="1:4" x14ac:dyDescent="0.25">
      <c r="A121" s="1">
        <v>42339</v>
      </c>
      <c r="B121" s="14">
        <v>185458.97606115873</v>
      </c>
      <c r="C121" s="14">
        <v>138146.31055717988</v>
      </c>
      <c r="D121" t="s">
        <v>0</v>
      </c>
    </row>
    <row r="122" spans="1:4" x14ac:dyDescent="0.25">
      <c r="A122" s="1">
        <v>42430</v>
      </c>
      <c r="B122" s="14">
        <v>184166.59472564355</v>
      </c>
      <c r="C122" s="14">
        <v>128465.53537331187</v>
      </c>
      <c r="D122" t="s">
        <v>0</v>
      </c>
    </row>
    <row r="123" spans="1:4" x14ac:dyDescent="0.25">
      <c r="A123" s="1">
        <v>42522</v>
      </c>
      <c r="B123" s="14">
        <v>188273.23334572621</v>
      </c>
      <c r="C123" s="14">
        <v>133492.17120409865</v>
      </c>
      <c r="D123" t="s">
        <v>0</v>
      </c>
    </row>
    <row r="124" spans="1:4" x14ac:dyDescent="0.25">
      <c r="A124" s="1">
        <v>42614</v>
      </c>
      <c r="B124" s="14">
        <v>198599.15302617659</v>
      </c>
      <c r="C124" s="14">
        <v>138562.29694845309</v>
      </c>
      <c r="D124" t="s">
        <v>0</v>
      </c>
    </row>
    <row r="125" spans="1:4" x14ac:dyDescent="0.25">
      <c r="A125" s="1">
        <v>42705</v>
      </c>
      <c r="B125" s="14">
        <v>205097.03780900463</v>
      </c>
      <c r="C125" s="14">
        <v>160262.75266796604</v>
      </c>
      <c r="D125" t="s">
        <v>0</v>
      </c>
    </row>
    <row r="126" spans="1:4" x14ac:dyDescent="0.25">
      <c r="A126" s="1">
        <v>42795</v>
      </c>
      <c r="B126" s="14">
        <v>217413.42536302996</v>
      </c>
      <c r="C126" s="14">
        <v>157982.0152007165</v>
      </c>
      <c r="D126" t="s">
        <v>0</v>
      </c>
    </row>
    <row r="127" spans="1:4" x14ac:dyDescent="0.25">
      <c r="A127" s="1">
        <v>42887</v>
      </c>
      <c r="B127" s="14">
        <v>222581.18110734376</v>
      </c>
      <c r="C127" s="14">
        <v>168430.00661219785</v>
      </c>
      <c r="D127" t="s">
        <v>0</v>
      </c>
    </row>
    <row r="128" spans="1:4" x14ac:dyDescent="0.25">
      <c r="A128" s="1">
        <v>42979</v>
      </c>
      <c r="B128" s="14">
        <v>231300.38378260398</v>
      </c>
      <c r="C128" s="14">
        <v>163731.8558235516</v>
      </c>
      <c r="D128" t="s">
        <v>0</v>
      </c>
    </row>
    <row r="129" spans="1:4" x14ac:dyDescent="0.25">
      <c r="A129" s="1">
        <v>43070</v>
      </c>
      <c r="B129" s="14">
        <v>245805.20608493406</v>
      </c>
      <c r="C129" s="14">
        <v>189362.665468619</v>
      </c>
      <c r="D129" t="s">
        <v>0</v>
      </c>
    </row>
    <row r="130" spans="1:4" x14ac:dyDescent="0.25">
      <c r="A130" s="1">
        <v>43160</v>
      </c>
      <c r="B130" s="14">
        <v>240797.08135201797</v>
      </c>
      <c r="C130" s="14">
        <v>216889.70714599403</v>
      </c>
      <c r="D130" t="s">
        <v>0</v>
      </c>
    </row>
    <row r="131" spans="1:4" x14ac:dyDescent="0.25">
      <c r="A131" s="1">
        <v>43252</v>
      </c>
      <c r="B131" s="14">
        <v>250421.77088855361</v>
      </c>
      <c r="C131" s="14">
        <v>225598.31358390651</v>
      </c>
      <c r="D131" t="s">
        <v>0</v>
      </c>
    </row>
    <row r="132" spans="1:4" x14ac:dyDescent="0.25">
      <c r="A132" s="1">
        <v>43344</v>
      </c>
      <c r="B132" s="14">
        <v>259245.00853907946</v>
      </c>
      <c r="C132" s="14">
        <v>208606.35508253143</v>
      </c>
      <c r="D132" t="s">
        <v>0</v>
      </c>
    </row>
    <row r="133" spans="1:4" x14ac:dyDescent="0.25">
      <c r="A133" s="1">
        <v>43435</v>
      </c>
      <c r="B133" s="14">
        <v>227355.47100787194</v>
      </c>
      <c r="C133" s="14">
        <v>232907.51165442925</v>
      </c>
      <c r="D133" t="s">
        <v>0</v>
      </c>
    </row>
    <row r="134" spans="1:4" x14ac:dyDescent="0.25">
      <c r="A134" s="1">
        <v>43525</v>
      </c>
      <c r="B134" s="14">
        <v>254496.01009281585</v>
      </c>
      <c r="C134" s="14">
        <v>239373.92678011756</v>
      </c>
      <c r="D134" t="s">
        <v>0</v>
      </c>
    </row>
    <row r="135" spans="1:4" x14ac:dyDescent="0.25">
      <c r="A135" s="1">
        <v>43617</v>
      </c>
      <c r="B135" s="14">
        <v>266864.96508539416</v>
      </c>
      <c r="C135" s="14">
        <v>257567.54015914054</v>
      </c>
      <c r="D135" t="s">
        <v>0</v>
      </c>
    </row>
    <row r="136" spans="1:4" x14ac:dyDescent="0.25">
      <c r="A136" s="1">
        <v>43709</v>
      </c>
      <c r="B136" s="14">
        <v>269234.80191878864</v>
      </c>
      <c r="C136" s="14">
        <v>247914.22010481346</v>
      </c>
      <c r="D136" t="s">
        <v>0</v>
      </c>
    </row>
    <row r="137" spans="1:4" x14ac:dyDescent="0.25">
      <c r="A137" s="1">
        <v>43800</v>
      </c>
      <c r="B137" s="14">
        <v>285177.03439118795</v>
      </c>
      <c r="C137" s="14">
        <v>284266.86380628799</v>
      </c>
      <c r="D137" t="s">
        <v>0</v>
      </c>
    </row>
    <row r="138" spans="1:4" x14ac:dyDescent="0.25">
      <c r="A138" s="1">
        <v>43891</v>
      </c>
      <c r="B138" s="14">
        <v>219935.10961641121</v>
      </c>
      <c r="C138" s="14">
        <v>296121.96920665872</v>
      </c>
      <c r="D138" t="s">
        <v>0</v>
      </c>
    </row>
    <row r="139" spans="1:4" x14ac:dyDescent="0.25">
      <c r="A139" s="1">
        <v>43983</v>
      </c>
      <c r="B139" s="14">
        <v>261188.80300748115</v>
      </c>
      <c r="C139" s="14">
        <v>287478.1069879171</v>
      </c>
      <c r="D139" t="s">
        <v>0</v>
      </c>
    </row>
    <row r="140" spans="1:4" x14ac:dyDescent="0.25">
      <c r="A140" s="1">
        <v>44075</v>
      </c>
      <c r="B140" s="14">
        <v>274810.26254286361</v>
      </c>
      <c r="C140" s="14">
        <v>296016.61618959624</v>
      </c>
      <c r="D140" t="s">
        <v>0</v>
      </c>
    </row>
    <row r="141" spans="1:4" x14ac:dyDescent="0.25">
      <c r="A141" s="1">
        <v>44166</v>
      </c>
      <c r="B141" s="14">
        <v>314669.83823835017</v>
      </c>
      <c r="C141" s="14">
        <v>334550.12415492826</v>
      </c>
      <c r="D141" t="s">
        <v>0</v>
      </c>
    </row>
    <row r="142" spans="1:4" x14ac:dyDescent="0.25">
      <c r="A142" s="1">
        <v>44256</v>
      </c>
      <c r="B142" s="14">
        <v>329986.28633387911</v>
      </c>
      <c r="C142" s="14">
        <v>376021.91638513142</v>
      </c>
      <c r="D142" t="s">
        <v>0</v>
      </c>
    </row>
    <row r="143" spans="1:4" x14ac:dyDescent="0.25">
      <c r="A143" s="1">
        <v>44348</v>
      </c>
      <c r="B143" s="14">
        <v>354480.82512289053</v>
      </c>
      <c r="C143" s="14">
        <v>395604.30518818519</v>
      </c>
      <c r="D143" t="s">
        <v>0</v>
      </c>
    </row>
    <row r="144" spans="1:4" x14ac:dyDescent="0.25">
      <c r="A144" s="1">
        <v>44440</v>
      </c>
      <c r="B144" s="14">
        <v>354516.43623652979</v>
      </c>
      <c r="C144" s="14">
        <v>464015.13561086799</v>
      </c>
      <c r="D144" t="s">
        <v>0</v>
      </c>
    </row>
    <row r="145" spans="1:4" x14ac:dyDescent="0.25">
      <c r="A145" s="1">
        <v>44531</v>
      </c>
      <c r="B145" s="14">
        <v>373385.2234449868</v>
      </c>
      <c r="C145" s="14">
        <v>516629.89982609166</v>
      </c>
      <c r="D145" t="s">
        <v>0</v>
      </c>
    </row>
    <row r="146" spans="1:4" x14ac:dyDescent="0.25">
      <c r="A146" s="1">
        <v>44621</v>
      </c>
      <c r="B146" s="14">
        <v>361098.31784490176</v>
      </c>
      <c r="C146" s="14">
        <v>527094.7094764217</v>
      </c>
      <c r="D146" t="s">
        <v>0</v>
      </c>
    </row>
    <row r="147" spans="1:4" x14ac:dyDescent="0.25">
      <c r="A147" s="1">
        <v>44713</v>
      </c>
      <c r="B147" s="14">
        <v>305722.78904799419</v>
      </c>
      <c r="C147" s="14">
        <v>526801.37646936078</v>
      </c>
      <c r="D147" t="s">
        <v>0</v>
      </c>
    </row>
    <row r="148" spans="1:4" x14ac:dyDescent="0.25">
      <c r="A148" s="1">
        <v>44805</v>
      </c>
      <c r="B148" s="14">
        <v>292144.87584091851</v>
      </c>
      <c r="C148" s="14">
        <v>482474.84676246118</v>
      </c>
      <c r="D148" t="s">
        <v>0</v>
      </c>
    </row>
    <row r="149" spans="1:4" x14ac:dyDescent="0.25">
      <c r="A149" s="1">
        <v>44896</v>
      </c>
      <c r="B149" s="14">
        <v>319401.38732443482</v>
      </c>
      <c r="C149" s="14">
        <v>493351.71120332449</v>
      </c>
      <c r="D149" t="s">
        <v>0</v>
      </c>
    </row>
    <row r="150" spans="1:4" x14ac:dyDescent="0.25">
      <c r="A150" s="1">
        <v>44986</v>
      </c>
      <c r="B150" s="14">
        <v>337899.85239755124</v>
      </c>
      <c r="C150" s="14">
        <v>467070.9884619423</v>
      </c>
      <c r="D150" t="s">
        <v>0</v>
      </c>
    </row>
    <row r="151" spans="1:4" x14ac:dyDescent="0.25">
      <c r="A151" s="1">
        <v>45078</v>
      </c>
      <c r="B151" s="14">
        <v>353113.50123317901</v>
      </c>
      <c r="C151" s="14">
        <v>458444.74585466087</v>
      </c>
      <c r="D151" t="s">
        <v>0</v>
      </c>
    </row>
    <row r="152" spans="1:4" x14ac:dyDescent="0.25">
      <c r="A152" s="1">
        <v>45170</v>
      </c>
      <c r="B152" s="14">
        <v>342768.6078588129</v>
      </c>
      <c r="C152" s="14">
        <v>456660.89078989637</v>
      </c>
      <c r="D152" t="s">
        <v>0</v>
      </c>
    </row>
    <row r="153" spans="1:4" x14ac:dyDescent="0.25">
      <c r="A153" s="1">
        <v>45261</v>
      </c>
      <c r="B153" s="14">
        <v>378108.3214856697</v>
      </c>
      <c r="C153" s="14">
        <v>475930.73558948882</v>
      </c>
      <c r="D153" t="s">
        <v>0</v>
      </c>
    </row>
    <row r="154" spans="1:4" x14ac:dyDescent="0.25">
      <c r="A154" s="1">
        <v>45352</v>
      </c>
      <c r="B154" s="14">
        <v>405630.86421364517</v>
      </c>
      <c r="C154" s="14">
        <v>465848.74248794845</v>
      </c>
      <c r="D154" t="s">
        <v>0</v>
      </c>
    </row>
    <row r="155" spans="1:4" x14ac:dyDescent="0.25">
      <c r="A155" s="1">
        <v>45444</v>
      </c>
      <c r="B155" s="14">
        <v>409023.17116385436</v>
      </c>
      <c r="C155" s="14">
        <v>456327.82835310238</v>
      </c>
      <c r="D155" t="s">
        <v>0</v>
      </c>
    </row>
    <row r="156" spans="1:4" x14ac:dyDescent="0.25">
      <c r="A156" s="1">
        <v>45536</v>
      </c>
      <c r="B156" s="14">
        <v>436301.54445717187</v>
      </c>
      <c r="C156" s="14">
        <v>460574.91058745875</v>
      </c>
      <c r="D156" t="s">
        <v>0</v>
      </c>
    </row>
    <row r="157" spans="1:4" x14ac:dyDescent="0.25">
      <c r="A157" s="1">
        <v>45627</v>
      </c>
      <c r="B157" s="14">
        <v>432456.52842944529</v>
      </c>
      <c r="C157" s="14">
        <v>475117.57766808564</v>
      </c>
      <c r="D157" t="s">
        <v>0</v>
      </c>
    </row>
    <row r="158" spans="1:4" x14ac:dyDescent="0.25">
      <c r="A158" s="1">
        <v>45717</v>
      </c>
      <c r="B158" s="14">
        <v>421464.77047374944</v>
      </c>
      <c r="C158" s="14">
        <v>470608.22331123764</v>
      </c>
      <c r="D158" t="s">
        <v>0</v>
      </c>
    </row>
    <row r="159" spans="1:4" x14ac:dyDescent="0.25">
      <c r="A159" s="1">
        <v>45809</v>
      </c>
      <c r="B159" s="14">
        <v>465740.4651242285</v>
      </c>
      <c r="C159" s="14">
        <v>467643.38573316613</v>
      </c>
      <c r="D159" t="s">
        <v>0</v>
      </c>
    </row>
    <row r="160" spans="1:4" x14ac:dyDescent="0.25">
      <c r="A160" s="1">
        <v>45901</v>
      </c>
      <c r="B160" s="14">
        <v>494768.70720406342</v>
      </c>
      <c r="C160" s="14">
        <v>475033.15186515677</v>
      </c>
      <c r="D160" t="s">
        <v>0</v>
      </c>
    </row>
    <row r="161" spans="1:4" x14ac:dyDescent="0.25">
      <c r="A161" s="1">
        <v>45992</v>
      </c>
      <c r="B161" s="14">
        <v>502356.66356245533</v>
      </c>
      <c r="C161" s="14">
        <v>508846.11433925095</v>
      </c>
      <c r="D161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7881-0435-4641-A827-D8371273EA8A}">
  <sheetPr>
    <tabColor theme="7" tint="0.39997558519241921"/>
  </sheetPr>
  <dimension ref="A1:D161"/>
  <sheetViews>
    <sheetView workbookViewId="0">
      <selection activeCell="E16" sqref="E16"/>
    </sheetView>
  </sheetViews>
  <sheetFormatPr defaultRowHeight="15" x14ac:dyDescent="0.25"/>
  <cols>
    <col min="1" max="1" width="14.5703125" customWidth="1"/>
    <col min="2" max="2" width="16.85546875" customWidth="1"/>
    <col min="3" max="3" width="20.42578125" customWidth="1"/>
    <col min="4" max="4" width="17.855468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1">
        <v>38777</v>
      </c>
      <c r="B2" s="14">
        <v>65035.657957537696</v>
      </c>
      <c r="C2" s="14">
        <v>41036.875</v>
      </c>
      <c r="D2" t="s">
        <v>67</v>
      </c>
    </row>
    <row r="3" spans="1:4" x14ac:dyDescent="0.25">
      <c r="A3" s="1">
        <v>38869</v>
      </c>
      <c r="B3" s="14">
        <v>65949.767592662392</v>
      </c>
      <c r="C3" s="14">
        <v>50290.154230400076</v>
      </c>
      <c r="D3" t="s">
        <v>67</v>
      </c>
    </row>
    <row r="4" spans="1:4" x14ac:dyDescent="0.25">
      <c r="A4" s="1">
        <v>38961</v>
      </c>
      <c r="B4" s="14">
        <v>69785.386341234669</v>
      </c>
      <c r="C4" s="14">
        <v>51188.664344547986</v>
      </c>
      <c r="D4" t="s">
        <v>67</v>
      </c>
    </row>
    <row r="5" spans="1:4" x14ac:dyDescent="0.25">
      <c r="A5" s="1">
        <v>39052</v>
      </c>
      <c r="B5" s="14">
        <v>77763.37081199899</v>
      </c>
      <c r="C5" s="14">
        <v>63789.120166255685</v>
      </c>
      <c r="D5" t="s">
        <v>67</v>
      </c>
    </row>
    <row r="6" spans="1:4" x14ac:dyDescent="0.25">
      <c r="A6" s="1">
        <v>39142</v>
      </c>
      <c r="B6" s="14">
        <v>82298.214528709854</v>
      </c>
      <c r="C6" s="14">
        <v>82688.174928345397</v>
      </c>
      <c r="D6" t="s">
        <v>67</v>
      </c>
    </row>
    <row r="7" spans="1:4" x14ac:dyDescent="0.25">
      <c r="A7" s="1">
        <v>39234</v>
      </c>
      <c r="B7" s="14">
        <v>88811.354718209361</v>
      </c>
      <c r="C7" s="14">
        <v>103985.45697561713</v>
      </c>
      <c r="D7" t="s">
        <v>67</v>
      </c>
    </row>
    <row r="8" spans="1:4" x14ac:dyDescent="0.25">
      <c r="A8" s="1">
        <v>39326</v>
      </c>
      <c r="B8" s="14">
        <v>92959.131295422849</v>
      </c>
      <c r="C8" s="14">
        <v>110574.33249168415</v>
      </c>
      <c r="D8" t="s">
        <v>67</v>
      </c>
    </row>
    <row r="9" spans="1:4" x14ac:dyDescent="0.25">
      <c r="A9" s="1">
        <v>39417</v>
      </c>
      <c r="B9" s="14">
        <v>91856.578037516723</v>
      </c>
      <c r="C9" s="14">
        <v>107357.52329078893</v>
      </c>
      <c r="D9" t="s">
        <v>67</v>
      </c>
    </row>
    <row r="10" spans="1:4" x14ac:dyDescent="0.25">
      <c r="A10" s="1">
        <v>39508</v>
      </c>
      <c r="B10" s="14">
        <v>83551.392850344651</v>
      </c>
      <c r="C10" s="14">
        <v>105406.12682138148</v>
      </c>
      <c r="D10" t="s">
        <v>67</v>
      </c>
    </row>
    <row r="11" spans="1:4" x14ac:dyDescent="0.25">
      <c r="A11" s="1">
        <v>39600</v>
      </c>
      <c r="B11" s="14">
        <v>83969.330388350092</v>
      </c>
      <c r="C11" s="14">
        <v>108188.89760421132</v>
      </c>
      <c r="D11" t="s">
        <v>67</v>
      </c>
    </row>
    <row r="12" spans="1:4" x14ac:dyDescent="0.25">
      <c r="A12" s="1">
        <v>39692</v>
      </c>
      <c r="B12" s="14">
        <v>73771.421864468241</v>
      </c>
      <c r="C12" s="14">
        <v>144477.23499190545</v>
      </c>
      <c r="D12" t="s">
        <v>67</v>
      </c>
    </row>
    <row r="13" spans="1:4" x14ac:dyDescent="0.25">
      <c r="A13" s="1">
        <v>39783</v>
      </c>
      <c r="B13" s="14">
        <v>58791.161158869472</v>
      </c>
      <c r="C13" s="14">
        <v>124981.72674097255</v>
      </c>
      <c r="D13" t="s">
        <v>67</v>
      </c>
    </row>
    <row r="14" spans="1:4" x14ac:dyDescent="0.25">
      <c r="A14" s="1">
        <v>39873</v>
      </c>
      <c r="B14" s="14">
        <v>53651.815891611666</v>
      </c>
      <c r="C14" s="14">
        <v>164464.36919126543</v>
      </c>
      <c r="D14" t="s">
        <v>67</v>
      </c>
    </row>
    <row r="15" spans="1:4" x14ac:dyDescent="0.25">
      <c r="A15" s="1">
        <v>39965</v>
      </c>
      <c r="B15" s="14">
        <v>63534.071177808524</v>
      </c>
      <c r="C15" s="14">
        <v>154146.91439976054</v>
      </c>
      <c r="D15" t="s">
        <v>67</v>
      </c>
    </row>
    <row r="16" spans="1:4" x14ac:dyDescent="0.25">
      <c r="A16" s="1">
        <v>40057</v>
      </c>
      <c r="B16" s="14">
        <v>75643.702882464393</v>
      </c>
      <c r="C16" s="14">
        <v>170260.53637152168</v>
      </c>
      <c r="D16" t="s">
        <v>67</v>
      </c>
    </row>
    <row r="17" spans="1:4" x14ac:dyDescent="0.25">
      <c r="A17" s="1">
        <v>40148</v>
      </c>
      <c r="B17" s="14">
        <v>78613.939334346971</v>
      </c>
      <c r="C17" s="14">
        <v>192202.48955436997</v>
      </c>
      <c r="D17" t="s">
        <v>67</v>
      </c>
    </row>
    <row r="18" spans="1:4" x14ac:dyDescent="0.25">
      <c r="A18" s="1">
        <v>40238</v>
      </c>
      <c r="B18" s="14">
        <v>81212.085720219358</v>
      </c>
      <c r="C18" s="14">
        <v>221011.85781131018</v>
      </c>
      <c r="D18" t="s">
        <v>67</v>
      </c>
    </row>
    <row r="19" spans="1:4" x14ac:dyDescent="0.25">
      <c r="A19" s="1">
        <v>40330</v>
      </c>
      <c r="B19" s="14">
        <v>71443.860892737997</v>
      </c>
      <c r="C19" s="14">
        <v>220013.31629000002</v>
      </c>
      <c r="D19" t="s">
        <v>67</v>
      </c>
    </row>
    <row r="20" spans="1:4" x14ac:dyDescent="0.25">
      <c r="A20" s="1">
        <v>40422</v>
      </c>
      <c r="B20" s="14">
        <v>80490.759357400922</v>
      </c>
      <c r="C20" s="14">
        <v>189851.13199303654</v>
      </c>
      <c r="D20" t="s">
        <v>67</v>
      </c>
    </row>
    <row r="21" spans="1:4" x14ac:dyDescent="0.25">
      <c r="A21" s="1">
        <v>40513</v>
      </c>
      <c r="B21" s="14">
        <v>87361.145163790672</v>
      </c>
      <c r="C21" s="14">
        <v>209136.46864856183</v>
      </c>
      <c r="D21" t="s">
        <v>67</v>
      </c>
    </row>
    <row r="22" spans="1:4" x14ac:dyDescent="0.25">
      <c r="A22" s="1">
        <v>40603</v>
      </c>
      <c r="B22" s="14">
        <v>91527.548759069992</v>
      </c>
      <c r="C22" s="14">
        <v>202926.81458901856</v>
      </c>
      <c r="D22" t="s">
        <v>67</v>
      </c>
    </row>
    <row r="23" spans="1:4" x14ac:dyDescent="0.25">
      <c r="A23" s="1">
        <v>40695</v>
      </c>
      <c r="B23" s="14">
        <v>90692.611425880183</v>
      </c>
      <c r="C23" s="14">
        <v>202129.02171809057</v>
      </c>
      <c r="D23" t="s">
        <v>67</v>
      </c>
    </row>
    <row r="24" spans="1:4" x14ac:dyDescent="0.25">
      <c r="A24" s="1">
        <v>40787</v>
      </c>
      <c r="B24" s="14">
        <v>76576.241632273886</v>
      </c>
      <c r="C24" s="14">
        <v>184745.83630216279</v>
      </c>
      <c r="D24" t="s">
        <v>67</v>
      </c>
    </row>
    <row r="25" spans="1:4" x14ac:dyDescent="0.25">
      <c r="A25" s="1">
        <v>40878</v>
      </c>
      <c r="B25" s="14">
        <v>81092.612526477707</v>
      </c>
      <c r="C25" s="14">
        <v>185507.27682711871</v>
      </c>
      <c r="D25" t="s">
        <v>67</v>
      </c>
    </row>
    <row r="26" spans="1:4" x14ac:dyDescent="0.25">
      <c r="A26" s="1">
        <v>40969</v>
      </c>
      <c r="B26" s="14">
        <v>89909.409785208074</v>
      </c>
      <c r="C26" s="14">
        <v>204907.52175509484</v>
      </c>
      <c r="D26" t="s">
        <v>67</v>
      </c>
    </row>
    <row r="27" spans="1:4" x14ac:dyDescent="0.25">
      <c r="A27" s="1">
        <v>41061</v>
      </c>
      <c r="B27" s="14">
        <v>85026.894700384408</v>
      </c>
      <c r="C27" s="14">
        <v>218871.68105597398</v>
      </c>
      <c r="D27" t="s">
        <v>67</v>
      </c>
    </row>
    <row r="28" spans="1:4" x14ac:dyDescent="0.25">
      <c r="A28" s="1">
        <v>41153</v>
      </c>
      <c r="B28" s="14">
        <v>90989.065992833261</v>
      </c>
      <c r="C28" s="14">
        <v>193799.33323637806</v>
      </c>
      <c r="D28" t="s">
        <v>67</v>
      </c>
    </row>
    <row r="29" spans="1:4" x14ac:dyDescent="0.25">
      <c r="A29" s="1">
        <v>41244</v>
      </c>
      <c r="B29" s="14">
        <v>94177.748094338865</v>
      </c>
      <c r="C29" s="14">
        <v>193740.31967092893</v>
      </c>
      <c r="D29" t="s">
        <v>67</v>
      </c>
    </row>
    <row r="30" spans="1:4" x14ac:dyDescent="0.25">
      <c r="A30" s="1">
        <v>41334</v>
      </c>
      <c r="B30" s="14">
        <v>101286.19072794475</v>
      </c>
      <c r="C30" s="14">
        <v>226973.38384346629</v>
      </c>
      <c r="D30" t="s">
        <v>67</v>
      </c>
    </row>
    <row r="31" spans="1:4" x14ac:dyDescent="0.25">
      <c r="A31" s="1">
        <v>41426</v>
      </c>
      <c r="B31" s="14">
        <v>100076.88427239214</v>
      </c>
      <c r="C31" s="14">
        <v>231308.43705520616</v>
      </c>
      <c r="D31" t="s">
        <v>67</v>
      </c>
    </row>
    <row r="32" spans="1:4" x14ac:dyDescent="0.25">
      <c r="A32" s="1">
        <v>41518</v>
      </c>
      <c r="B32" s="14">
        <v>108356.85730162323</v>
      </c>
      <c r="C32" s="14">
        <v>240373.04714163329</v>
      </c>
      <c r="D32" t="s">
        <v>67</v>
      </c>
    </row>
    <row r="33" spans="1:4" x14ac:dyDescent="0.25">
      <c r="A33" s="1">
        <v>41609</v>
      </c>
      <c r="B33" s="14">
        <v>114660.06478792989</v>
      </c>
      <c r="C33" s="14">
        <v>260605.70086792743</v>
      </c>
      <c r="D33" t="s">
        <v>67</v>
      </c>
    </row>
    <row r="34" spans="1:4" x14ac:dyDescent="0.25">
      <c r="A34" s="1">
        <v>41699</v>
      </c>
      <c r="B34" s="14">
        <v>115673.44764675363</v>
      </c>
      <c r="C34" s="14">
        <v>274832.28873025405</v>
      </c>
      <c r="D34" t="s">
        <v>67</v>
      </c>
    </row>
    <row r="35" spans="1:4" x14ac:dyDescent="0.25">
      <c r="A35" s="1">
        <v>41791</v>
      </c>
      <c r="B35" s="14">
        <v>118712.46309401991</v>
      </c>
      <c r="C35" s="14">
        <v>243893.44510296016</v>
      </c>
      <c r="D35" t="s">
        <v>67</v>
      </c>
    </row>
    <row r="36" spans="1:4" x14ac:dyDescent="0.25">
      <c r="A36" s="1">
        <v>41883</v>
      </c>
      <c r="B36" s="14">
        <v>115177.95861517069</v>
      </c>
      <c r="C36" s="14">
        <v>262993.68832409964</v>
      </c>
      <c r="D36" t="s">
        <v>67</v>
      </c>
    </row>
    <row r="37" spans="1:4" x14ac:dyDescent="0.25">
      <c r="A37" s="1">
        <v>41974</v>
      </c>
      <c r="B37" s="14">
        <v>116072.62597032274</v>
      </c>
      <c r="C37" s="14">
        <v>242970.2544466476</v>
      </c>
      <c r="D37" t="s">
        <v>67</v>
      </c>
    </row>
    <row r="38" spans="1:4" x14ac:dyDescent="0.25">
      <c r="A38" s="1">
        <v>42064</v>
      </c>
      <c r="B38" s="14">
        <v>120658.87787037909</v>
      </c>
      <c r="C38" s="14">
        <v>262108.38252145192</v>
      </c>
      <c r="D38" t="s">
        <v>67</v>
      </c>
    </row>
    <row r="39" spans="1:4" x14ac:dyDescent="0.25">
      <c r="A39" s="1">
        <v>42156</v>
      </c>
      <c r="B39" s="14">
        <v>117536.03905343341</v>
      </c>
      <c r="C39" s="14">
        <v>227502.08387836133</v>
      </c>
      <c r="D39" t="s">
        <v>67</v>
      </c>
    </row>
    <row r="40" spans="1:4" x14ac:dyDescent="0.25">
      <c r="A40" s="1">
        <v>42248</v>
      </c>
      <c r="B40" s="14">
        <v>106928.66593274918</v>
      </c>
      <c r="C40" s="14">
        <v>251663.61676522173</v>
      </c>
      <c r="D40" t="s">
        <v>67</v>
      </c>
    </row>
    <row r="41" spans="1:4" x14ac:dyDescent="0.25">
      <c r="A41" s="1">
        <v>42339</v>
      </c>
      <c r="B41" s="14">
        <v>111803.16265037375</v>
      </c>
      <c r="C41" s="14">
        <v>236688.50617668172</v>
      </c>
      <c r="D41" t="s">
        <v>67</v>
      </c>
    </row>
    <row r="42" spans="1:4" x14ac:dyDescent="0.25">
      <c r="A42" s="1">
        <v>42430</v>
      </c>
      <c r="B42" s="14">
        <v>110064.23408582239</v>
      </c>
      <c r="C42" s="14">
        <v>245789.64783741641</v>
      </c>
      <c r="D42" t="s">
        <v>67</v>
      </c>
    </row>
    <row r="43" spans="1:4" x14ac:dyDescent="0.25">
      <c r="A43" s="1">
        <v>42522</v>
      </c>
      <c r="B43" s="14">
        <v>111514.79016335346</v>
      </c>
      <c r="C43" s="14">
        <v>214136.76820370444</v>
      </c>
      <c r="D43" t="s">
        <v>67</v>
      </c>
    </row>
    <row r="44" spans="1:4" x14ac:dyDescent="0.25">
      <c r="A44" s="1">
        <v>42614</v>
      </c>
      <c r="B44" s="14">
        <v>116567.54492230999</v>
      </c>
      <c r="C44" s="14">
        <v>121167.31454956328</v>
      </c>
      <c r="D44" t="s">
        <v>67</v>
      </c>
    </row>
    <row r="45" spans="1:4" x14ac:dyDescent="0.25">
      <c r="A45" s="1">
        <v>42705</v>
      </c>
      <c r="B45" s="14">
        <v>119342.90163451698</v>
      </c>
      <c r="C45" s="14">
        <v>159045.23702681539</v>
      </c>
      <c r="D45" t="s">
        <v>67</v>
      </c>
    </row>
    <row r="46" spans="1:4" x14ac:dyDescent="0.25">
      <c r="A46" s="1">
        <v>42795</v>
      </c>
      <c r="B46" s="14">
        <v>126001.63842563542</v>
      </c>
      <c r="C46" s="14">
        <v>153154.23753718601</v>
      </c>
      <c r="D46" t="s">
        <v>67</v>
      </c>
    </row>
    <row r="47" spans="1:4" x14ac:dyDescent="0.25">
      <c r="A47" s="1">
        <v>42887</v>
      </c>
      <c r="B47" s="14">
        <v>128484.55136798244</v>
      </c>
      <c r="C47" s="14">
        <v>153258.33554371723</v>
      </c>
      <c r="D47" t="s">
        <v>67</v>
      </c>
    </row>
    <row r="48" spans="1:4" x14ac:dyDescent="0.25">
      <c r="A48" s="1">
        <v>42979</v>
      </c>
      <c r="B48" s="14">
        <v>132979.08832150951</v>
      </c>
      <c r="C48" s="14">
        <v>153389.08146551775</v>
      </c>
      <c r="D48" t="s">
        <v>67</v>
      </c>
    </row>
    <row r="49" spans="1:4" x14ac:dyDescent="0.25">
      <c r="A49" s="1">
        <v>43070</v>
      </c>
      <c r="B49" s="14">
        <v>140770.79060533363</v>
      </c>
      <c r="C49" s="14">
        <v>119341.88297163634</v>
      </c>
      <c r="D49" t="s">
        <v>67</v>
      </c>
    </row>
    <row r="50" spans="1:4" x14ac:dyDescent="0.25">
      <c r="A50" s="1">
        <v>43160</v>
      </c>
      <c r="B50" s="14">
        <v>137736.54690909866</v>
      </c>
      <c r="C50" s="14">
        <v>107884.30766080225</v>
      </c>
      <c r="D50" t="s">
        <v>67</v>
      </c>
    </row>
    <row r="51" spans="1:4" x14ac:dyDescent="0.25">
      <c r="A51" s="1">
        <v>43252</v>
      </c>
      <c r="B51" s="14">
        <v>143050.01022285246</v>
      </c>
      <c r="C51" s="14">
        <v>117978.64857583851</v>
      </c>
      <c r="D51" t="s">
        <v>67</v>
      </c>
    </row>
    <row r="52" spans="1:4" x14ac:dyDescent="0.25">
      <c r="A52" s="1">
        <v>43344</v>
      </c>
      <c r="B52" s="14">
        <v>147891.77060204491</v>
      </c>
      <c r="C52" s="14">
        <v>115362.5137284418</v>
      </c>
      <c r="D52" t="s">
        <v>67</v>
      </c>
    </row>
    <row r="53" spans="1:4" x14ac:dyDescent="0.25">
      <c r="A53" s="1">
        <v>43435</v>
      </c>
      <c r="B53" s="14">
        <v>129533.25041843881</v>
      </c>
      <c r="C53" s="14">
        <v>120579.34995688792</v>
      </c>
      <c r="D53" t="s">
        <v>67</v>
      </c>
    </row>
    <row r="54" spans="1:4" x14ac:dyDescent="0.25">
      <c r="A54" s="1">
        <v>43525</v>
      </c>
      <c r="B54" s="14">
        <v>145236.97088513561</v>
      </c>
      <c r="C54" s="14">
        <v>74500.77684933698</v>
      </c>
      <c r="D54" t="s">
        <v>67</v>
      </c>
    </row>
    <row r="55" spans="1:4" x14ac:dyDescent="0.25">
      <c r="A55" s="1">
        <v>43617</v>
      </c>
      <c r="B55" s="14">
        <v>152494.46648969979</v>
      </c>
      <c r="C55" s="14">
        <v>88670.379326530834</v>
      </c>
      <c r="D55" t="s">
        <v>67</v>
      </c>
    </row>
    <row r="56" spans="1:4" x14ac:dyDescent="0.25">
      <c r="A56" s="1">
        <v>43709</v>
      </c>
      <c r="B56" s="14">
        <v>154015.40184631912</v>
      </c>
      <c r="C56" s="14">
        <v>68160.888123581375</v>
      </c>
      <c r="D56" t="s">
        <v>67</v>
      </c>
    </row>
    <row r="57" spans="1:4" x14ac:dyDescent="0.25">
      <c r="A57" s="1">
        <v>43800</v>
      </c>
      <c r="B57" s="14">
        <v>163303.30042140771</v>
      </c>
      <c r="C57" s="14">
        <v>102968.07810376027</v>
      </c>
      <c r="D57" t="s">
        <v>67</v>
      </c>
    </row>
    <row r="58" spans="1:4" x14ac:dyDescent="0.25">
      <c r="A58" s="1">
        <v>43891</v>
      </c>
      <c r="B58" s="14">
        <v>126205.14952998576</v>
      </c>
      <c r="C58" s="14">
        <v>82989.050773326147</v>
      </c>
      <c r="D58" t="s">
        <v>67</v>
      </c>
    </row>
    <row r="59" spans="1:4" x14ac:dyDescent="0.25">
      <c r="A59" s="1">
        <v>43983</v>
      </c>
      <c r="B59" s="14">
        <v>150265.04540987153</v>
      </c>
      <c r="C59" s="14">
        <v>57257.502229463527</v>
      </c>
      <c r="D59" t="s">
        <v>67</v>
      </c>
    </row>
    <row r="60" spans="1:4" x14ac:dyDescent="0.25">
      <c r="A60" s="1">
        <v>44075</v>
      </c>
      <c r="B60" s="14">
        <v>158435.64867238633</v>
      </c>
      <c r="C60" s="14">
        <v>70739.925209827401</v>
      </c>
      <c r="D60" t="s">
        <v>67</v>
      </c>
    </row>
    <row r="61" spans="1:4" x14ac:dyDescent="0.25">
      <c r="A61" s="1">
        <v>44166</v>
      </c>
      <c r="B61" s="14">
        <v>181779.35031640134</v>
      </c>
      <c r="C61" s="14">
        <v>78830.398034262093</v>
      </c>
      <c r="D61" t="s">
        <v>67</v>
      </c>
    </row>
    <row r="62" spans="1:4" x14ac:dyDescent="0.25">
      <c r="A62" s="1">
        <v>44256</v>
      </c>
      <c r="B62" s="14">
        <v>190713.40630986216</v>
      </c>
      <c r="C62" s="14">
        <v>126004.09966540725</v>
      </c>
      <c r="D62" t="s">
        <v>67</v>
      </c>
    </row>
    <row r="63" spans="1:4" x14ac:dyDescent="0.25">
      <c r="A63" s="1">
        <v>44348</v>
      </c>
      <c r="B63" s="14">
        <v>204942.18359908418</v>
      </c>
      <c r="C63" s="14">
        <v>160847.14819893666</v>
      </c>
      <c r="D63" t="s">
        <v>67</v>
      </c>
    </row>
    <row r="64" spans="1:4" x14ac:dyDescent="0.25">
      <c r="A64" s="1">
        <v>44440</v>
      </c>
      <c r="B64" s="14">
        <v>205011.3006311933</v>
      </c>
      <c r="C64" s="14">
        <v>146760.15838866914</v>
      </c>
      <c r="D64" t="s">
        <v>67</v>
      </c>
    </row>
    <row r="65" spans="1:4" x14ac:dyDescent="0.25">
      <c r="A65" s="1">
        <v>44531</v>
      </c>
      <c r="B65" s="14">
        <v>215973.06133421705</v>
      </c>
      <c r="C65" s="14">
        <v>168905.33469858288</v>
      </c>
      <c r="D65" t="s">
        <v>67</v>
      </c>
    </row>
    <row r="66" spans="1:4" x14ac:dyDescent="0.25">
      <c r="A66" s="1">
        <v>44621</v>
      </c>
      <c r="B66" s="14">
        <v>208607.4151839288</v>
      </c>
      <c r="C66" s="14">
        <v>189052.59774791962</v>
      </c>
      <c r="D66" t="s">
        <v>67</v>
      </c>
    </row>
    <row r="67" spans="1:4" x14ac:dyDescent="0.25">
      <c r="A67" s="1">
        <v>44713</v>
      </c>
      <c r="B67" s="14">
        <v>176407.09383765992</v>
      </c>
      <c r="C67" s="14">
        <v>187665.36647230689</v>
      </c>
      <c r="D67" t="s">
        <v>67</v>
      </c>
    </row>
    <row r="68" spans="1:4" x14ac:dyDescent="0.25">
      <c r="A68" s="1">
        <v>44805</v>
      </c>
      <c r="B68" s="14">
        <v>168389.69651497921</v>
      </c>
      <c r="C68" s="14">
        <v>149096.5800064553</v>
      </c>
      <c r="D68" t="s">
        <v>67</v>
      </c>
    </row>
    <row r="69" spans="1:4" x14ac:dyDescent="0.25">
      <c r="A69" s="1">
        <v>44896</v>
      </c>
      <c r="B69" s="14">
        <v>183903.20696146387</v>
      </c>
      <c r="C69" s="14">
        <v>171592.40339531255</v>
      </c>
      <c r="D69" t="s">
        <v>67</v>
      </c>
    </row>
    <row r="70" spans="1:4" x14ac:dyDescent="0.25">
      <c r="A70" s="1">
        <v>44986</v>
      </c>
      <c r="B70" s="14">
        <v>193990.75140790452</v>
      </c>
      <c r="C70" s="14">
        <v>159829.79101367865</v>
      </c>
      <c r="D70" t="s">
        <v>67</v>
      </c>
    </row>
    <row r="71" spans="1:4" x14ac:dyDescent="0.25">
      <c r="A71" s="1">
        <v>45078</v>
      </c>
      <c r="B71" s="14">
        <v>202177.25455257637</v>
      </c>
      <c r="C71" s="14">
        <v>177407.8662051743</v>
      </c>
      <c r="D71" t="s">
        <v>67</v>
      </c>
    </row>
    <row r="72" spans="1:4" x14ac:dyDescent="0.25">
      <c r="A72" s="1">
        <v>45170</v>
      </c>
      <c r="B72" s="14">
        <v>195724.37096526136</v>
      </c>
      <c r="C72" s="14">
        <v>166579.1871081756</v>
      </c>
      <c r="D72" t="s">
        <v>67</v>
      </c>
    </row>
    <row r="73" spans="1:4" x14ac:dyDescent="0.25">
      <c r="A73" s="1">
        <v>45261</v>
      </c>
      <c r="B73" s="14">
        <v>215311.92743964519</v>
      </c>
      <c r="C73" s="14">
        <v>166080.62135011493</v>
      </c>
      <c r="D73" t="s">
        <v>67</v>
      </c>
    </row>
    <row r="74" spans="1:4" x14ac:dyDescent="0.25">
      <c r="A74" s="1">
        <v>45352</v>
      </c>
      <c r="B74" s="14">
        <v>230201.05741632343</v>
      </c>
      <c r="C74" s="14">
        <v>181236.47614295341</v>
      </c>
      <c r="D74" t="s">
        <v>67</v>
      </c>
    </row>
    <row r="75" spans="1:4" x14ac:dyDescent="0.25">
      <c r="A75" s="1">
        <v>45444</v>
      </c>
      <c r="B75" s="14">
        <v>231379.24411300078</v>
      </c>
      <c r="C75" s="14">
        <v>148509.63908838102</v>
      </c>
      <c r="D75" t="s">
        <v>67</v>
      </c>
    </row>
    <row r="76" spans="1:4" x14ac:dyDescent="0.25">
      <c r="A76" s="1">
        <v>45536</v>
      </c>
      <c r="B76" s="14">
        <v>245992.3098186008</v>
      </c>
      <c r="C76" s="14">
        <v>143295.1268771262</v>
      </c>
      <c r="D76" t="s">
        <v>67</v>
      </c>
    </row>
    <row r="77" spans="1:4" x14ac:dyDescent="0.25">
      <c r="A77" s="1">
        <v>45627</v>
      </c>
      <c r="B77" s="14">
        <v>243062.6113640189</v>
      </c>
      <c r="C77" s="14">
        <v>135210.51587307744</v>
      </c>
      <c r="D77" t="s">
        <v>67</v>
      </c>
    </row>
    <row r="78" spans="1:4" x14ac:dyDescent="0.25">
      <c r="A78" s="1">
        <v>45717</v>
      </c>
      <c r="B78" s="14">
        <v>236177.39995935489</v>
      </c>
      <c r="C78" s="14">
        <v>154551.99006015714</v>
      </c>
      <c r="D78" t="s">
        <v>67</v>
      </c>
    </row>
    <row r="79" spans="1:4" x14ac:dyDescent="0.25">
      <c r="A79" s="1">
        <v>45809</v>
      </c>
      <c r="B79" s="14">
        <v>260137.08448742001</v>
      </c>
      <c r="C79" s="14">
        <v>183669.645278054</v>
      </c>
      <c r="D79" t="s">
        <v>67</v>
      </c>
    </row>
    <row r="80" spans="1:4" x14ac:dyDescent="0.25">
      <c r="A80" s="1">
        <v>45901</v>
      </c>
      <c r="B80" s="14">
        <v>275495.60122432443</v>
      </c>
      <c r="C80" s="14">
        <v>200079.18149350712</v>
      </c>
      <c r="D80" t="s">
        <v>67</v>
      </c>
    </row>
    <row r="81" spans="1:4" x14ac:dyDescent="0.25">
      <c r="A81" s="1">
        <v>45992</v>
      </c>
      <c r="B81" s="14">
        <v>278900.8481496654</v>
      </c>
      <c r="C81" s="14">
        <v>228420.0281047076</v>
      </c>
      <c r="D81" t="s">
        <v>67</v>
      </c>
    </row>
    <row r="82" spans="1:4" x14ac:dyDescent="0.25">
      <c r="A82" s="1">
        <v>38777</v>
      </c>
      <c r="B82" s="14">
        <v>97682.604046995664</v>
      </c>
      <c r="C82" s="14">
        <v>59634.4375</v>
      </c>
      <c r="D82" t="s">
        <v>0</v>
      </c>
    </row>
    <row r="83" spans="1:4" x14ac:dyDescent="0.25">
      <c r="A83" s="1">
        <v>38869</v>
      </c>
      <c r="B83" s="14">
        <v>99572.505446283714</v>
      </c>
      <c r="C83" s="14">
        <v>66698.726785879233</v>
      </c>
      <c r="D83" t="s">
        <v>0</v>
      </c>
    </row>
    <row r="84" spans="1:4" x14ac:dyDescent="0.25">
      <c r="A84" s="1">
        <v>38961</v>
      </c>
      <c r="B84" s="14">
        <v>105893.7686714673</v>
      </c>
      <c r="C84" s="14">
        <v>76153.101191119698</v>
      </c>
      <c r="D84" t="s">
        <v>0</v>
      </c>
    </row>
    <row r="85" spans="1:4" x14ac:dyDescent="0.25">
      <c r="A85" s="1">
        <v>39052</v>
      </c>
      <c r="B85" s="14">
        <v>118540.01285687168</v>
      </c>
      <c r="C85" s="14">
        <v>94832.013587346009</v>
      </c>
      <c r="D85" t="s">
        <v>0</v>
      </c>
    </row>
    <row r="86" spans="1:4" x14ac:dyDescent="0.25">
      <c r="A86" s="1">
        <v>39142</v>
      </c>
      <c r="B86" s="14">
        <v>125990.45012596587</v>
      </c>
      <c r="C86" s="14">
        <v>103173.41258204234</v>
      </c>
      <c r="D86" t="s">
        <v>0</v>
      </c>
    </row>
    <row r="87" spans="1:4" x14ac:dyDescent="0.25">
      <c r="A87" s="1">
        <v>39234</v>
      </c>
      <c r="B87" s="14">
        <v>136510.56832373864</v>
      </c>
      <c r="C87" s="14">
        <v>107597.76673265209</v>
      </c>
      <c r="D87" t="s">
        <v>0</v>
      </c>
    </row>
    <row r="88" spans="1:4" x14ac:dyDescent="0.25">
      <c r="A88" s="1">
        <v>39326</v>
      </c>
      <c r="B88" s="14">
        <v>143411.99850092444</v>
      </c>
      <c r="C88" s="14">
        <v>111536.86402514949</v>
      </c>
      <c r="D88" t="s">
        <v>0</v>
      </c>
    </row>
    <row r="89" spans="1:4" x14ac:dyDescent="0.25">
      <c r="A89" s="1">
        <v>39417</v>
      </c>
      <c r="B89" s="14">
        <v>142192.7032826143</v>
      </c>
      <c r="C89" s="14">
        <v>128634.06802150811</v>
      </c>
      <c r="D89" t="s">
        <v>0</v>
      </c>
    </row>
    <row r="90" spans="1:4" x14ac:dyDescent="0.25">
      <c r="A90" s="1">
        <v>39508</v>
      </c>
      <c r="B90" s="14">
        <v>129768.24008041013</v>
      </c>
      <c r="C90" s="14">
        <v>129049.46706170961</v>
      </c>
      <c r="D90" t="s">
        <v>0</v>
      </c>
    </row>
    <row r="91" spans="1:4" x14ac:dyDescent="0.25">
      <c r="A91" s="1">
        <v>39600</v>
      </c>
      <c r="B91" s="14">
        <v>130880.63040682222</v>
      </c>
      <c r="C91" s="14">
        <v>130159.13795463048</v>
      </c>
      <c r="D91" t="s">
        <v>0</v>
      </c>
    </row>
    <row r="92" spans="1:4" x14ac:dyDescent="0.25">
      <c r="A92" s="1">
        <v>39692</v>
      </c>
      <c r="B92" s="14">
        <v>115394.02733557233</v>
      </c>
      <c r="C92" s="14">
        <v>136539.85803079023</v>
      </c>
      <c r="D92" t="s">
        <v>0</v>
      </c>
    </row>
    <row r="93" spans="1:4" x14ac:dyDescent="0.25">
      <c r="A93" s="1">
        <v>39783</v>
      </c>
      <c r="B93" s="14">
        <v>92404.682397177035</v>
      </c>
      <c r="C93" s="14">
        <v>150062.73939166858</v>
      </c>
      <c r="D93" t="s">
        <v>0</v>
      </c>
    </row>
    <row r="94" spans="1:4" x14ac:dyDescent="0.25">
      <c r="A94" s="1">
        <v>39873</v>
      </c>
      <c r="B94" s="14">
        <v>85146.375067715344</v>
      </c>
      <c r="C94" s="14">
        <v>159087.05278220057</v>
      </c>
      <c r="D94" t="s">
        <v>0</v>
      </c>
    </row>
    <row r="95" spans="1:4" x14ac:dyDescent="0.25">
      <c r="A95" s="1">
        <v>39965</v>
      </c>
      <c r="B95" s="14">
        <v>101913.50467413261</v>
      </c>
      <c r="C95" s="14">
        <v>168302.27007454561</v>
      </c>
      <c r="D95" t="s">
        <v>0</v>
      </c>
    </row>
    <row r="96" spans="1:4" x14ac:dyDescent="0.25">
      <c r="A96" s="1">
        <v>40057</v>
      </c>
      <c r="B96" s="14">
        <v>122448.07898823518</v>
      </c>
      <c r="C96" s="14">
        <v>192174.60609946659</v>
      </c>
      <c r="D96" t="s">
        <v>0</v>
      </c>
    </row>
    <row r="97" spans="1:4" x14ac:dyDescent="0.25">
      <c r="A97" s="1">
        <v>40148</v>
      </c>
      <c r="B97" s="14">
        <v>128178.50578184731</v>
      </c>
      <c r="C97" s="14">
        <v>220881.69976730781</v>
      </c>
      <c r="D97" t="s">
        <v>0</v>
      </c>
    </row>
    <row r="98" spans="1:4" x14ac:dyDescent="0.25">
      <c r="A98" s="1">
        <v>40238</v>
      </c>
      <c r="B98" s="14">
        <v>133353.01901216581</v>
      </c>
      <c r="C98" s="14">
        <v>228835.04177686138</v>
      </c>
      <c r="D98" t="s">
        <v>0</v>
      </c>
    </row>
    <row r="99" spans="1:4" x14ac:dyDescent="0.25">
      <c r="A99" s="1">
        <v>40330</v>
      </c>
      <c r="B99" s="14">
        <v>118099.24002714353</v>
      </c>
      <c r="C99" s="14">
        <v>228921.55324695745</v>
      </c>
      <c r="D99" t="s">
        <v>0</v>
      </c>
    </row>
    <row r="100" spans="1:4" x14ac:dyDescent="0.25">
      <c r="A100" s="1">
        <v>40422</v>
      </c>
      <c r="B100" s="14">
        <v>134077.60448484131</v>
      </c>
      <c r="C100" s="14">
        <v>232846.99872605098</v>
      </c>
      <c r="D100" t="s">
        <v>0</v>
      </c>
    </row>
    <row r="101" spans="1:4" x14ac:dyDescent="0.25">
      <c r="A101" s="1">
        <v>40513</v>
      </c>
      <c r="B101" s="14">
        <v>146475.63522219111</v>
      </c>
      <c r="C101" s="14">
        <v>241667.61148822922</v>
      </c>
      <c r="D101" t="s">
        <v>0</v>
      </c>
    </row>
    <row r="102" spans="1:4" x14ac:dyDescent="0.25">
      <c r="A102" s="1">
        <v>40603</v>
      </c>
      <c r="B102" s="14">
        <v>154350.91871724316</v>
      </c>
      <c r="C102" s="14">
        <v>206444.08628042485</v>
      </c>
      <c r="D102" t="s">
        <v>0</v>
      </c>
    </row>
    <row r="103" spans="1:4" x14ac:dyDescent="0.25">
      <c r="A103" s="1">
        <v>40695</v>
      </c>
      <c r="B103" s="14">
        <v>153806.66548368012</v>
      </c>
      <c r="C103" s="14">
        <v>195781.07956586356</v>
      </c>
      <c r="D103" t="s">
        <v>0</v>
      </c>
    </row>
    <row r="104" spans="1:4" x14ac:dyDescent="0.25">
      <c r="A104" s="1">
        <v>40787</v>
      </c>
      <c r="B104" s="14">
        <v>130618.30762060783</v>
      </c>
      <c r="C104" s="14">
        <v>192024.09203590895</v>
      </c>
      <c r="D104" t="s">
        <v>0</v>
      </c>
    </row>
    <row r="105" spans="1:4" x14ac:dyDescent="0.25">
      <c r="A105" s="1">
        <v>40878</v>
      </c>
      <c r="B105" s="14">
        <v>139303.80773885481</v>
      </c>
      <c r="C105" s="14">
        <v>208822.8756870683</v>
      </c>
      <c r="D105" t="s">
        <v>0</v>
      </c>
    </row>
    <row r="106" spans="1:4" x14ac:dyDescent="0.25">
      <c r="A106" s="1">
        <v>40969</v>
      </c>
      <c r="B106" s="14">
        <v>155474.89701117913</v>
      </c>
      <c r="C106" s="14">
        <v>217865.88321006339</v>
      </c>
      <c r="D106" t="s">
        <v>0</v>
      </c>
    </row>
    <row r="107" spans="1:4" x14ac:dyDescent="0.25">
      <c r="A107" s="1">
        <v>41061</v>
      </c>
      <c r="B107" s="14">
        <v>147951.79591757455</v>
      </c>
      <c r="C107" s="14">
        <v>235181.40087495797</v>
      </c>
      <c r="D107" t="s">
        <v>0</v>
      </c>
    </row>
    <row r="108" spans="1:4" x14ac:dyDescent="0.25">
      <c r="A108" s="1">
        <v>41153</v>
      </c>
      <c r="B108" s="14">
        <v>159397.80134238928</v>
      </c>
      <c r="C108" s="14">
        <v>231080.11936265157</v>
      </c>
      <c r="D108" t="s">
        <v>0</v>
      </c>
    </row>
    <row r="109" spans="1:4" x14ac:dyDescent="0.25">
      <c r="A109" s="1">
        <v>41244</v>
      </c>
      <c r="B109" s="14">
        <v>166058.1636678559</v>
      </c>
      <c r="C109" s="14">
        <v>250964.46095264785</v>
      </c>
      <c r="D109" t="s">
        <v>0</v>
      </c>
    </row>
    <row r="110" spans="1:4" x14ac:dyDescent="0.25">
      <c r="A110" s="1">
        <v>41334</v>
      </c>
      <c r="B110" s="14">
        <v>179809.8854516079</v>
      </c>
      <c r="C110" s="14">
        <v>220081.48957997342</v>
      </c>
      <c r="D110" t="s">
        <v>0</v>
      </c>
    </row>
    <row r="111" spans="1:4" x14ac:dyDescent="0.25">
      <c r="A111" s="1">
        <v>41426</v>
      </c>
      <c r="B111" s="14">
        <v>178834.91682244226</v>
      </c>
      <c r="C111" s="14">
        <v>229388.08020469328</v>
      </c>
      <c r="D111" t="s">
        <v>0</v>
      </c>
    </row>
    <row r="112" spans="1:4" x14ac:dyDescent="0.25">
      <c r="A112" s="1">
        <v>41518</v>
      </c>
      <c r="B112" s="14">
        <v>194978.69648679637</v>
      </c>
      <c r="C112" s="14">
        <v>258286.50353241607</v>
      </c>
      <c r="D112" t="s">
        <v>0</v>
      </c>
    </row>
    <row r="113" spans="1:4" x14ac:dyDescent="0.25">
      <c r="A113" s="1">
        <v>41609</v>
      </c>
      <c r="B113" s="14">
        <v>207645.20362177922</v>
      </c>
      <c r="C113" s="14">
        <v>266661.87453254138</v>
      </c>
      <c r="D113" t="s">
        <v>0</v>
      </c>
    </row>
    <row r="114" spans="1:4" x14ac:dyDescent="0.25">
      <c r="A114" s="1">
        <v>41699</v>
      </c>
      <c r="B114" s="14">
        <v>210850.85719208728</v>
      </c>
      <c r="C114" s="14">
        <v>281873.54713353951</v>
      </c>
      <c r="D114" t="s">
        <v>0</v>
      </c>
    </row>
    <row r="115" spans="1:4" x14ac:dyDescent="0.25">
      <c r="A115" s="1">
        <v>41791</v>
      </c>
      <c r="B115" s="14">
        <v>217825.06617262025</v>
      </c>
      <c r="C115" s="14">
        <v>244793.77596876989</v>
      </c>
      <c r="D115" t="s">
        <v>0</v>
      </c>
    </row>
    <row r="116" spans="1:4" x14ac:dyDescent="0.25">
      <c r="A116" s="1">
        <v>41883</v>
      </c>
      <c r="B116" s="14">
        <v>212734.79427669113</v>
      </c>
      <c r="C116" s="14">
        <v>256705.07755395767</v>
      </c>
      <c r="D116" t="s">
        <v>0</v>
      </c>
    </row>
    <row r="117" spans="1:4" x14ac:dyDescent="0.25">
      <c r="A117" s="1">
        <v>41974</v>
      </c>
      <c r="B117" s="14">
        <v>215848.52495299091</v>
      </c>
      <c r="C117" s="14">
        <v>267142.10741927737</v>
      </c>
      <c r="D117" t="s">
        <v>0</v>
      </c>
    </row>
    <row r="118" spans="1:4" x14ac:dyDescent="0.25">
      <c r="A118" s="1">
        <v>42064</v>
      </c>
      <c r="B118" s="14">
        <v>225898.7841266669</v>
      </c>
      <c r="C118" s="14">
        <v>256078.46295138661</v>
      </c>
      <c r="D118" t="s">
        <v>0</v>
      </c>
    </row>
    <row r="119" spans="1:4" x14ac:dyDescent="0.25">
      <c r="A119" s="1">
        <v>42156</v>
      </c>
      <c r="B119" s="14">
        <v>221536.19908503909</v>
      </c>
      <c r="C119" s="14">
        <v>280302.79385940603</v>
      </c>
      <c r="D119" t="s">
        <v>0</v>
      </c>
    </row>
    <row r="120" spans="1:4" x14ac:dyDescent="0.25">
      <c r="A120" s="1">
        <v>42248</v>
      </c>
      <c r="B120" s="14">
        <v>202971.70272947851</v>
      </c>
      <c r="C120" s="14">
        <v>265427.95095882233</v>
      </c>
      <c r="D120" t="s">
        <v>0</v>
      </c>
    </row>
    <row r="121" spans="1:4" x14ac:dyDescent="0.25">
      <c r="A121" s="1">
        <v>42339</v>
      </c>
      <c r="B121" s="14">
        <v>213865.24407128405</v>
      </c>
      <c r="C121" s="14">
        <v>260396.88333760353</v>
      </c>
      <c r="D121" t="s">
        <v>0</v>
      </c>
    </row>
    <row r="122" spans="1:4" x14ac:dyDescent="0.25">
      <c r="A122" s="1">
        <v>42430</v>
      </c>
      <c r="B122" s="14">
        <v>211744.78185462634</v>
      </c>
      <c r="C122" s="14">
        <v>255374.16324033073</v>
      </c>
      <c r="D122" t="s">
        <v>0</v>
      </c>
    </row>
    <row r="123" spans="1:4" x14ac:dyDescent="0.25">
      <c r="A123" s="1">
        <v>42522</v>
      </c>
      <c r="B123" s="14">
        <v>215810.01435311473</v>
      </c>
      <c r="C123" s="14">
        <v>233783.30823538336</v>
      </c>
      <c r="D123" t="s">
        <v>0</v>
      </c>
    </row>
    <row r="124" spans="1:4" x14ac:dyDescent="0.25">
      <c r="A124" s="1">
        <v>42614</v>
      </c>
      <c r="B124" s="14">
        <v>226952.74200727089</v>
      </c>
      <c r="C124" s="14">
        <v>206468.95656883353</v>
      </c>
      <c r="D124" t="s">
        <v>0</v>
      </c>
    </row>
    <row r="125" spans="1:4" x14ac:dyDescent="0.25">
      <c r="A125" s="1">
        <v>42705</v>
      </c>
      <c r="B125" s="14">
        <v>233701.29217214457</v>
      </c>
      <c r="C125" s="14">
        <v>208592.96090811689</v>
      </c>
      <c r="D125" t="s">
        <v>0</v>
      </c>
    </row>
    <row r="126" spans="1:4" x14ac:dyDescent="0.25">
      <c r="A126" s="1">
        <v>42795</v>
      </c>
      <c r="B126" s="14">
        <v>247647.17690844284</v>
      </c>
      <c r="C126" s="14">
        <v>216602.36138382569</v>
      </c>
      <c r="D126" t="s">
        <v>0</v>
      </c>
    </row>
    <row r="127" spans="1:4" x14ac:dyDescent="0.25">
      <c r="A127" s="1">
        <v>42887</v>
      </c>
      <c r="B127" s="14">
        <v>253438.06758463179</v>
      </c>
      <c r="C127" s="14">
        <v>187482.85779544446</v>
      </c>
      <c r="D127" t="s">
        <v>0</v>
      </c>
    </row>
    <row r="128" spans="1:4" x14ac:dyDescent="0.25">
      <c r="A128" s="1">
        <v>42979</v>
      </c>
      <c r="B128" s="14">
        <v>263260.29536608193</v>
      </c>
      <c r="C128" s="14">
        <v>187802.07873074181</v>
      </c>
      <c r="D128" t="s">
        <v>0</v>
      </c>
    </row>
    <row r="129" spans="1:4" x14ac:dyDescent="0.25">
      <c r="A129" s="1">
        <v>43070</v>
      </c>
      <c r="B129" s="14">
        <v>279663.15794597263</v>
      </c>
      <c r="C129" s="14">
        <v>201636.76740878215</v>
      </c>
      <c r="D129" t="s">
        <v>0</v>
      </c>
    </row>
    <row r="130" spans="1:4" x14ac:dyDescent="0.25">
      <c r="A130" s="1">
        <v>43160</v>
      </c>
      <c r="B130" s="14">
        <v>274324.23362586449</v>
      </c>
      <c r="C130" s="14">
        <v>188485.10796771912</v>
      </c>
      <c r="D130" t="s">
        <v>0</v>
      </c>
    </row>
    <row r="131" spans="1:4" x14ac:dyDescent="0.25">
      <c r="A131" s="1">
        <v>43252</v>
      </c>
      <c r="B131" s="14">
        <v>285666.72406309948</v>
      </c>
      <c r="C131" s="14">
        <v>194750.23051020797</v>
      </c>
      <c r="D131" t="s">
        <v>0</v>
      </c>
    </row>
    <row r="132" spans="1:4" x14ac:dyDescent="0.25">
      <c r="A132" s="1">
        <v>43344</v>
      </c>
      <c r="B132" s="14">
        <v>296108.53680535569</v>
      </c>
      <c r="C132" s="14">
        <v>189302.97364686339</v>
      </c>
      <c r="D132" t="s">
        <v>0</v>
      </c>
    </row>
    <row r="133" spans="1:4" x14ac:dyDescent="0.25">
      <c r="A133" s="1">
        <v>43435</v>
      </c>
      <c r="B133" s="14">
        <v>260004.56025494213</v>
      </c>
      <c r="C133" s="14">
        <v>199517.64203841382</v>
      </c>
      <c r="D133" t="s">
        <v>0</v>
      </c>
    </row>
    <row r="134" spans="1:4" x14ac:dyDescent="0.25">
      <c r="A134" s="1">
        <v>43525</v>
      </c>
      <c r="B134" s="14">
        <v>292100.51144894026</v>
      </c>
      <c r="C134" s="14">
        <v>175530.38380446212</v>
      </c>
      <c r="D134" t="s">
        <v>0</v>
      </c>
    </row>
    <row r="135" spans="1:4" x14ac:dyDescent="0.25">
      <c r="A135" s="1">
        <v>43617</v>
      </c>
      <c r="B135" s="14">
        <v>307285.25113932526</v>
      </c>
      <c r="C135" s="14">
        <v>161413.02647344809</v>
      </c>
      <c r="D135" t="s">
        <v>0</v>
      </c>
    </row>
    <row r="136" spans="1:4" x14ac:dyDescent="0.25">
      <c r="A136" s="1">
        <v>43709</v>
      </c>
      <c r="B136" s="14">
        <v>310962.95724186272</v>
      </c>
      <c r="C136" s="14">
        <v>180632.38686363003</v>
      </c>
      <c r="D136" t="s">
        <v>0</v>
      </c>
    </row>
    <row r="137" spans="1:4" x14ac:dyDescent="0.25">
      <c r="A137" s="1">
        <v>43800</v>
      </c>
      <c r="B137" s="14">
        <v>330370.59756740613</v>
      </c>
      <c r="C137" s="14">
        <v>162735.1171965283</v>
      </c>
      <c r="D137" t="s">
        <v>0</v>
      </c>
    </row>
    <row r="138" spans="1:4" x14ac:dyDescent="0.25">
      <c r="A138" s="1">
        <v>43891</v>
      </c>
      <c r="B138" s="14">
        <v>255701.7275897084</v>
      </c>
      <c r="C138" s="14">
        <v>163506.39529932296</v>
      </c>
      <c r="D138" t="s">
        <v>0</v>
      </c>
    </row>
    <row r="139" spans="1:4" x14ac:dyDescent="0.25">
      <c r="A139" s="1">
        <v>43983</v>
      </c>
      <c r="B139" s="14">
        <v>305063.29157498456</v>
      </c>
      <c r="C139" s="14">
        <v>159464.49550047578</v>
      </c>
      <c r="D139" t="s">
        <v>0</v>
      </c>
    </row>
    <row r="140" spans="1:4" x14ac:dyDescent="0.25">
      <c r="A140" s="1">
        <v>44075</v>
      </c>
      <c r="B140" s="14">
        <v>322222.85034674208</v>
      </c>
      <c r="C140" s="14">
        <v>194596.58703364286</v>
      </c>
      <c r="D140" t="s">
        <v>0</v>
      </c>
    </row>
    <row r="141" spans="1:4" x14ac:dyDescent="0.25">
      <c r="A141" s="1">
        <v>44166</v>
      </c>
      <c r="B141" s="14">
        <v>370322.67095428833</v>
      </c>
      <c r="C141" s="14">
        <v>217442.4915583001</v>
      </c>
      <c r="D141" t="s">
        <v>0</v>
      </c>
    </row>
    <row r="142" spans="1:4" x14ac:dyDescent="0.25">
      <c r="A142" s="1">
        <v>44256</v>
      </c>
      <c r="B142" s="14">
        <v>389243.45555708196</v>
      </c>
      <c r="C142" s="14">
        <v>230481.21914143232</v>
      </c>
      <c r="D142" t="s">
        <v>0</v>
      </c>
    </row>
    <row r="143" spans="1:4" x14ac:dyDescent="0.25">
      <c r="A143" s="1">
        <v>44348</v>
      </c>
      <c r="B143" s="14">
        <v>419058.96935636073</v>
      </c>
      <c r="C143" s="14">
        <v>260612.71972313561</v>
      </c>
      <c r="D143" t="s">
        <v>0</v>
      </c>
    </row>
    <row r="144" spans="1:4" x14ac:dyDescent="0.25">
      <c r="A144" s="1">
        <v>44440</v>
      </c>
      <c r="B144" s="14">
        <v>419963.0903193928</v>
      </c>
      <c r="C144" s="14">
        <v>276040.09410523629</v>
      </c>
      <c r="D144" t="s">
        <v>0</v>
      </c>
    </row>
    <row r="145" spans="1:4" x14ac:dyDescent="0.25">
      <c r="A145" s="1">
        <v>44531</v>
      </c>
      <c r="B145" s="14">
        <v>443225.49334027094</v>
      </c>
      <c r="C145" s="14">
        <v>296361.43489177048</v>
      </c>
      <c r="D145" t="s">
        <v>0</v>
      </c>
    </row>
    <row r="146" spans="1:4" x14ac:dyDescent="0.25">
      <c r="A146" s="1">
        <v>44621</v>
      </c>
      <c r="B146" s="14">
        <v>429378.43299620092</v>
      </c>
      <c r="C146" s="14">
        <v>297111.23896133853</v>
      </c>
      <c r="D146" t="s">
        <v>0</v>
      </c>
    </row>
    <row r="147" spans="1:4" x14ac:dyDescent="0.25">
      <c r="A147" s="1">
        <v>44713</v>
      </c>
      <c r="B147" s="14">
        <v>364194.9808142797</v>
      </c>
      <c r="C147" s="14">
        <v>283232.87680975662</v>
      </c>
      <c r="D147" t="s">
        <v>0</v>
      </c>
    </row>
    <row r="148" spans="1:4" x14ac:dyDescent="0.25">
      <c r="A148" s="1">
        <v>44805</v>
      </c>
      <c r="B148" s="14">
        <v>348800.62533648906</v>
      </c>
      <c r="C148" s="14">
        <v>259544.20413704045</v>
      </c>
      <c r="D148" t="s">
        <v>0</v>
      </c>
    </row>
    <row r="149" spans="1:4" x14ac:dyDescent="0.25">
      <c r="A149" s="1">
        <v>44896</v>
      </c>
      <c r="B149" s="14">
        <v>382244.35236542654</v>
      </c>
      <c r="C149" s="14">
        <v>289493.87740744359</v>
      </c>
      <c r="D149" t="s">
        <v>0</v>
      </c>
    </row>
    <row r="150" spans="1:4" x14ac:dyDescent="0.25">
      <c r="A150" s="1">
        <v>44986</v>
      </c>
      <c r="B150" s="14">
        <v>404979.43740065832</v>
      </c>
      <c r="C150" s="14">
        <v>275394.852393282</v>
      </c>
      <c r="D150" t="s">
        <v>0</v>
      </c>
    </row>
    <row r="151" spans="1:4" x14ac:dyDescent="0.25">
      <c r="A151" s="1">
        <v>45078</v>
      </c>
      <c r="B151" s="14">
        <v>423816.51499365823</v>
      </c>
      <c r="C151" s="14">
        <v>290639.62376198731</v>
      </c>
      <c r="D151" t="s">
        <v>0</v>
      </c>
    </row>
    <row r="152" spans="1:4" x14ac:dyDescent="0.25">
      <c r="A152" s="1">
        <v>45170</v>
      </c>
      <c r="B152" s="14">
        <v>411963.29420220264</v>
      </c>
      <c r="C152" s="14">
        <v>286269.97254230629</v>
      </c>
      <c r="D152" t="s">
        <v>0</v>
      </c>
    </row>
    <row r="153" spans="1:4" x14ac:dyDescent="0.25">
      <c r="A153" s="1">
        <v>45261</v>
      </c>
      <c r="B153" s="14">
        <v>455082.93860936904</v>
      </c>
      <c r="C153" s="14">
        <v>291251.49825984793</v>
      </c>
      <c r="D153" t="s">
        <v>0</v>
      </c>
    </row>
    <row r="154" spans="1:4" x14ac:dyDescent="0.25">
      <c r="A154" s="1">
        <v>45352</v>
      </c>
      <c r="B154" s="14">
        <v>488837.10825507599</v>
      </c>
      <c r="C154" s="14">
        <v>272794.58352263237</v>
      </c>
      <c r="D154" t="s">
        <v>0</v>
      </c>
    </row>
    <row r="155" spans="1:4" x14ac:dyDescent="0.25">
      <c r="A155" s="1">
        <v>45444</v>
      </c>
      <c r="B155" s="14">
        <v>493515.082244777</v>
      </c>
      <c r="C155" s="14">
        <v>285719.21685609419</v>
      </c>
      <c r="D155" t="s">
        <v>0</v>
      </c>
    </row>
    <row r="156" spans="1:4" x14ac:dyDescent="0.25">
      <c r="A156" s="1">
        <v>45536</v>
      </c>
      <c r="B156" s="14">
        <v>527054.3152587869</v>
      </c>
      <c r="C156" s="14">
        <v>263316.02198314294</v>
      </c>
      <c r="D156" t="s">
        <v>0</v>
      </c>
    </row>
    <row r="157" spans="1:4" x14ac:dyDescent="0.25">
      <c r="A157" s="1">
        <v>45627</v>
      </c>
      <c r="B157" s="14">
        <v>522992.45614994201</v>
      </c>
      <c r="C157" s="14">
        <v>265375.3556198125</v>
      </c>
      <c r="D157" t="s">
        <v>0</v>
      </c>
    </row>
    <row r="158" spans="1:4" x14ac:dyDescent="0.25">
      <c r="A158" s="1">
        <v>45717</v>
      </c>
      <c r="B158" s="14">
        <v>510057.99134484975</v>
      </c>
      <c r="C158" s="14">
        <v>305402.84895976022</v>
      </c>
      <c r="D158" t="s">
        <v>0</v>
      </c>
    </row>
    <row r="159" spans="1:4" x14ac:dyDescent="0.25">
      <c r="A159" s="1">
        <v>45809</v>
      </c>
      <c r="B159" s="14">
        <v>564040.78571944742</v>
      </c>
      <c r="C159" s="14">
        <v>329767.88861683162</v>
      </c>
      <c r="D159" t="s">
        <v>0</v>
      </c>
    </row>
    <row r="160" spans="1:4" x14ac:dyDescent="0.25">
      <c r="A160" s="1">
        <v>45901</v>
      </c>
      <c r="B160" s="14">
        <v>599578.23415202729</v>
      </c>
      <c r="C160" s="14">
        <v>375673.85427673475</v>
      </c>
      <c r="D160" t="s">
        <v>0</v>
      </c>
    </row>
    <row r="161" spans="1:4" x14ac:dyDescent="0.25">
      <c r="A161" s="1">
        <v>45992</v>
      </c>
      <c r="B161" s="14">
        <v>609140.29532297188</v>
      </c>
      <c r="C161" s="14">
        <v>416643.88371386228</v>
      </c>
      <c r="D16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Base Case inputs</vt:lpstr>
      <vt:lpstr>Base Case summary</vt:lpstr>
      <vt:lpstr>Base Case charts</vt:lpstr>
      <vt:lpstr>Sensitivity tables</vt:lpstr>
      <vt:lpstr>Sydney</vt:lpstr>
      <vt:lpstr>Melbourne</vt:lpstr>
      <vt:lpstr>Brisbane</vt:lpstr>
      <vt:lpstr>Perth</vt:lpstr>
      <vt:lpstr>Adelaide</vt:lpstr>
      <vt:lpstr>Canberra</vt:lpstr>
      <vt:lpstr>Hobart</vt:lpstr>
      <vt:lpstr>Darwin</vt:lpstr>
      <vt:lpstr>Q_end</vt:lpstr>
      <vt:lpstr>Q_start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Hatta Misra</dc:creator>
  <cp:lastModifiedBy>Hatta Misra</cp:lastModifiedBy>
  <dcterms:created xsi:type="dcterms:W3CDTF">2015-06-05T18:17:20Z</dcterms:created>
  <dcterms:modified xsi:type="dcterms:W3CDTF">2026-09-12T05:41:42Z</dcterms:modified>
</cp:coreProperties>
</file>