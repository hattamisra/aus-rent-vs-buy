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147" documentId="8_{95564E74-18BB-40FB-89C5-A08316A4ACA4}" xr6:coauthVersionLast="47" xr6:coauthVersionMax="47" xr10:uidLastSave="{66292608-BA59-46A5-9A1F-4E6BC03BC8F3}"/>
  <bookViews>
    <workbookView xWindow="-105" yWindow="0" windowWidth="14610" windowHeight="17385" tabRatio="903" xr2:uid="{D8AAAA89-5358-4611-B113-99C6929A3BCB}"/>
  </bookViews>
  <sheets>
    <sheet name="analysis" sheetId="13" r:id="rId1"/>
    <sheet name="cpi" sheetId="23" r:id="rId2"/>
    <sheet name="msci-indices" sheetId="20" r:id="rId3"/>
    <sheet name="mortgage-rates" sheetId="19" r:id="rId4"/>
    <sheet name="wa-rent &gt;&gt;" sheetId="6" r:id="rId5"/>
    <sheet name="domain-values" sheetId="34" r:id="rId6"/>
    <sheet name="Ableson and Joyeux 2023" sheetId="35" r:id="rId7"/>
    <sheet name="rai-values" sheetId="36" r:id="rId8"/>
    <sheet name="census-values" sheetId="37" r:id="rId9"/>
    <sheet name="2BR_F-processed" sheetId="2" r:id="rId10"/>
    <sheet name="3BR_H-processed" sheetId="11" r:id="rId11"/>
    <sheet name="chart-2bflat" sheetId="3" r:id="rId12"/>
    <sheet name="chart-3bhouse" sheetId="12" r:id="rId13"/>
    <sheet name="wa-buy &gt;&gt;" sheetId="14" r:id="rId14"/>
    <sheet name="ABS-total-value-dwellings" sheetId="24" r:id="rId15"/>
    <sheet name="ns-combined" sheetId="18" r:id="rId16"/>
    <sheet name="s-combined" sheetId="22" r:id="rId17"/>
  </sheets>
  <definedNames>
    <definedName name="_xlnm._FilterDatabase" localSheetId="9" hidden="1">'2BR_F-processed'!$A$1:$E$97</definedName>
    <definedName name="_xlnm._FilterDatabase" localSheetId="10" hidden="1">'3BR_H-processed'!$A$1:$E$97</definedName>
    <definedName name="_xlnm._FilterDatabase" localSheetId="15" hidden="1">'ns-combined'!$B$1:$D$102</definedName>
    <definedName name="_xlnm._FilterDatabase" localSheetId="16" hidden="1">'s-combined'!$B$1:$D$97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10">'3BR_H-processed'!$A$1</definedName>
    <definedName name="HouseNumberOfBedrooms" localSheetId="10">'3BR_H-processed'!$A$2</definedName>
    <definedName name="InvestFees">analysis!$B$43</definedName>
    <definedName name="MortgageRate">analysis!$B$19</definedName>
    <definedName name="Q_end">analysis!$B$12</definedName>
    <definedName name="Q_start">analysis!$B$11</definedName>
    <definedName name="Qstart">analysis!$B$11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12" i="2"/>
  <c r="I13" i="2"/>
  <c r="I14" i="2"/>
  <c r="I15" i="2"/>
  <c r="I20" i="2"/>
  <c r="I21" i="2"/>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22" i="11"/>
  <c r="F70" i="11"/>
  <c r="F71" i="11"/>
  <c r="E71" i="11" s="1" a="1"/>
  <c r="F72" i="11"/>
  <c r="F73" i="11"/>
  <c r="F74" i="11"/>
  <c r="F75" i="11"/>
  <c r="F76" i="11"/>
  <c r="F77" i="11"/>
  <c r="F78" i="11"/>
  <c r="F79" i="11"/>
  <c r="F80" i="11"/>
  <c r="F81" i="11"/>
  <c r="F69" i="11"/>
  <c r="E69" i="11" s="1" a="1"/>
  <c r="F70" i="2"/>
  <c r="F71" i="2"/>
  <c r="F72" i="2"/>
  <c r="F73" i="2"/>
  <c r="F74" i="2"/>
  <c r="F75" i="2"/>
  <c r="F76" i="2"/>
  <c r="F77" i="2"/>
  <c r="F78" i="2"/>
  <c r="F79" i="2"/>
  <c r="F80" i="2"/>
  <c r="E80" i="2" s="1" a="1"/>
  <c r="F81" i="2"/>
  <c r="E81" i="2" s="1" a="1"/>
  <c r="F69" i="2"/>
  <c r="H23" i="2"/>
  <c r="H24" i="2"/>
  <c r="H25" i="2"/>
  <c r="H26" i="2"/>
  <c r="H27" i="2"/>
  <c r="E27" i="2" s="1" a="1"/>
  <c r="H28" i="2"/>
  <c r="E28" i="2" s="1" a="1"/>
  <c r="H29" i="2"/>
  <c r="E29" i="2" s="1" a="1"/>
  <c r="H30" i="2"/>
  <c r="E30" i="2" s="1" a="1"/>
  <c r="H31" i="2"/>
  <c r="E31" i="2" s="1" a="1"/>
  <c r="H32" i="2"/>
  <c r="E32" i="2" s="1" a="1"/>
  <c r="H33" i="2"/>
  <c r="E33" i="2" s="1" a="1"/>
  <c r="H34" i="2"/>
  <c r="E34" i="2" s="1" a="1"/>
  <c r="H35" i="2"/>
  <c r="E35" i="2" s="1" a="1"/>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E64" i="2" s="1" a="1"/>
  <c r="H65" i="2"/>
  <c r="E65" i="2" s="1" a="1"/>
  <c r="H66" i="2"/>
  <c r="E66" i="2" s="1" a="1"/>
  <c r="H67" i="2"/>
  <c r="H68" i="2"/>
  <c r="E68" i="2" s="1" a="1"/>
  <c r="H69" i="2"/>
  <c r="H70" i="2"/>
  <c r="H71" i="2"/>
  <c r="H72" i="2"/>
  <c r="H73" i="2"/>
  <c r="H74" i="2"/>
  <c r="H75" i="2"/>
  <c r="H76" i="2"/>
  <c r="H77" i="2"/>
  <c r="H78" i="2"/>
  <c r="H79" i="2"/>
  <c r="H22" i="2"/>
  <c r="G69" i="11"/>
  <c r="G67" i="11"/>
  <c r="E67" i="11" s="1" a="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19" i="11"/>
  <c r="E19" i="11" s="1" a="1"/>
  <c r="G18" i="11"/>
  <c r="E18" i="11" s="1" a="1"/>
  <c r="G17" i="11"/>
  <c r="E17" i="11" s="1" a="1"/>
  <c r="G16" i="11"/>
  <c r="G9" i="11"/>
  <c r="G10" i="11"/>
  <c r="G11" i="11"/>
  <c r="E11" i="11" s="1" a="1"/>
  <c r="G8" i="11"/>
  <c r="E81" i="11" a="1"/>
  <c r="E80" i="11" a="1"/>
  <c r="E79" i="11" a="1"/>
  <c r="E78" i="11" a="1"/>
  <c r="E77" i="11" a="1"/>
  <c r="E76" i="11" a="1"/>
  <c r="E75" i="11" a="1"/>
  <c r="E74" i="11" a="1"/>
  <c r="E73" i="11" a="1"/>
  <c r="E72" i="11" a="1"/>
  <c r="E70" i="11" a="1"/>
  <c r="E68" i="11" a="1"/>
  <c r="E66" i="11" a="1"/>
  <c r="E65" i="11" a="1"/>
  <c r="E64" i="11" a="1"/>
  <c r="E63" i="11" a="1"/>
  <c r="E62" i="11" a="1"/>
  <c r="E61" i="11" a="1"/>
  <c r="E60" i="11" a="1"/>
  <c r="E59" i="11" a="1"/>
  <c r="E58" i="11" a="1"/>
  <c r="E57" i="11" a="1"/>
  <c r="E56" i="11" a="1"/>
  <c r="E55" i="11" a="1"/>
  <c r="E54" i="11" a="1"/>
  <c r="E53" i="11" a="1"/>
  <c r="E52" i="11" a="1"/>
  <c r="E51" i="11" a="1"/>
  <c r="E50" i="11" a="1"/>
  <c r="E49" i="11" a="1"/>
  <c r="E48" i="11" a="1"/>
  <c r="E47" i="11" a="1"/>
  <c r="E46" i="11" a="1"/>
  <c r="E45" i="11" a="1"/>
  <c r="E44" i="11" a="1"/>
  <c r="E43" i="11" a="1"/>
  <c r="E42" i="11" a="1"/>
  <c r="E41" i="11" a="1"/>
  <c r="E40" i="11" a="1"/>
  <c r="E39" i="11" a="1"/>
  <c r="E38" i="11" a="1"/>
  <c r="E37" i="11" a="1"/>
  <c r="E36" i="11" a="1"/>
  <c r="E35" i="11" a="1"/>
  <c r="E34" i="11" a="1"/>
  <c r="E33" i="11" a="1"/>
  <c r="E32" i="11" a="1"/>
  <c r="E31" i="11" a="1"/>
  <c r="E30" i="11" a="1"/>
  <c r="E29" i="11" a="1"/>
  <c r="E28" i="11" a="1"/>
  <c r="E27" i="11" a="1"/>
  <c r="E26" i="11" a="1"/>
  <c r="E25" i="11" a="1"/>
  <c r="E24" i="11" a="1"/>
  <c r="E23" i="11" a="1"/>
  <c r="E10" i="11" a="1"/>
  <c r="E9" i="11" a="1"/>
  <c r="I6" i="11"/>
  <c r="E6" i="11" s="1" a="1"/>
  <c r="I5" i="11"/>
  <c r="E5" i="11" a="1"/>
  <c r="I4" i="11"/>
  <c r="E4" i="11" s="1" a="1"/>
  <c r="I3" i="11"/>
  <c r="E3" i="11" a="1"/>
  <c r="I2" i="11"/>
  <c r="E2" i="11" s="1" a="1"/>
  <c r="G69" i="2"/>
  <c r="G67" i="2"/>
  <c r="E67" i="2" s="1" a="1"/>
  <c r="G63" i="2"/>
  <c r="E63" i="2" s="1" a="1"/>
  <c r="G62" i="2"/>
  <c r="E62" i="2" s="1" a="1"/>
  <c r="G61" i="2"/>
  <c r="E61" i="2" s="1" a="1"/>
  <c r="G60" i="2"/>
  <c r="E60" i="2" s="1" a="1"/>
  <c r="G59" i="2"/>
  <c r="E59" i="2" s="1" a="1"/>
  <c r="G58" i="2"/>
  <c r="E58" i="2" s="1" a="1"/>
  <c r="G57" i="2"/>
  <c r="E57" i="2" s="1" a="1"/>
  <c r="G56" i="2"/>
  <c r="E56" i="2" s="1" a="1"/>
  <c r="G55" i="2"/>
  <c r="E55" i="2" s="1" a="1"/>
  <c r="G54" i="2"/>
  <c r="E54" i="2" s="1" a="1"/>
  <c r="G53" i="2"/>
  <c r="E53" i="2" s="1" a="1"/>
  <c r="G52" i="2"/>
  <c r="E52" i="2" s="1" a="1"/>
  <c r="G51" i="2"/>
  <c r="E51" i="2" s="1" a="1"/>
  <c r="G50" i="2"/>
  <c r="E50" i="2" s="1" a="1"/>
  <c r="G49" i="2"/>
  <c r="E49" i="2" s="1" a="1"/>
  <c r="G48" i="2"/>
  <c r="E48" i="2" s="1" a="1"/>
  <c r="G47" i="2"/>
  <c r="E47" i="2" s="1" a="1"/>
  <c r="G46" i="2"/>
  <c r="E46" i="2" s="1" a="1"/>
  <c r="G45" i="2"/>
  <c r="E45" i="2" s="1" a="1"/>
  <c r="G44" i="2"/>
  <c r="E44" i="2" s="1" a="1"/>
  <c r="G43" i="2"/>
  <c r="E43" i="2" s="1" a="1"/>
  <c r="G42" i="2"/>
  <c r="E42" i="2" s="1" a="1"/>
  <c r="G41" i="2"/>
  <c r="E41" i="2" s="1" a="1"/>
  <c r="G40" i="2"/>
  <c r="E40" i="2" s="1" a="1"/>
  <c r="G39" i="2"/>
  <c r="E39" i="2" s="1" a="1"/>
  <c r="G38" i="2"/>
  <c r="E38" i="2" s="1" a="1"/>
  <c r="G37" i="2"/>
  <c r="E37" i="2" s="1" a="1"/>
  <c r="G36" i="2"/>
  <c r="E36" i="2" s="1" a="1"/>
  <c r="G19" i="2"/>
  <c r="E19" i="2" s="1" a="1"/>
  <c r="G18" i="2"/>
  <c r="E18" i="2" s="1" a="1"/>
  <c r="G17" i="2"/>
  <c r="E17" i="2" s="1" a="1"/>
  <c r="G16" i="2"/>
  <c r="G9" i="2"/>
  <c r="E9" i="2" s="1" a="1"/>
  <c r="G10" i="2"/>
  <c r="E10" i="2" s="1" a="1"/>
  <c r="G11" i="2"/>
  <c r="E11" i="2" s="1" a="1"/>
  <c r="G8" i="2"/>
  <c r="B6" i="37"/>
  <c r="E5" i="37"/>
  <c r="D5" i="37"/>
  <c r="C5" i="37"/>
  <c r="B5" i="37"/>
  <c r="E4" i="37"/>
  <c r="D4" i="37"/>
  <c r="C4" i="37"/>
  <c r="B4" i="37"/>
  <c r="F63" i="36"/>
  <c r="H63" i="36" s="1"/>
  <c r="D14" i="34" s="1"/>
  <c r="F62" i="36"/>
  <c r="H62" i="36" s="1"/>
  <c r="D13" i="34" s="1"/>
  <c r="F61" i="36"/>
  <c r="H61" i="36" s="1"/>
  <c r="D12" i="34" s="1"/>
  <c r="F60" i="36"/>
  <c r="H60" i="36" s="1"/>
  <c r="D11" i="34" s="1"/>
  <c r="F59" i="36"/>
  <c r="H59" i="36" s="1"/>
  <c r="D10" i="34" s="1"/>
  <c r="F58" i="36"/>
  <c r="H58" i="36" s="1"/>
  <c r="D9" i="34" s="1"/>
  <c r="F57" i="36"/>
  <c r="H57" i="36" s="1"/>
  <c r="D8" i="34" s="1"/>
  <c r="F56" i="36"/>
  <c r="H56" i="36" s="1"/>
  <c r="D7" i="34" s="1"/>
  <c r="F55" i="36"/>
  <c r="H55" i="36" s="1"/>
  <c r="D6" i="34" s="1"/>
  <c r="F54" i="36"/>
  <c r="H54" i="36" s="1"/>
  <c r="D5" i="34" s="1"/>
  <c r="F53" i="36"/>
  <c r="H53" i="36" s="1"/>
  <c r="D4" i="34" s="1"/>
  <c r="F52" i="36"/>
  <c r="H52" i="36" s="1"/>
  <c r="D3" i="34" s="1"/>
  <c r="H51" i="36"/>
  <c r="F51" i="36"/>
  <c r="F50" i="36"/>
  <c r="H50" i="36" s="1"/>
  <c r="F49" i="36"/>
  <c r="H49" i="36" s="1"/>
  <c r="F48" i="36"/>
  <c r="H48" i="36" s="1"/>
  <c r="F47" i="36"/>
  <c r="H47" i="36" s="1"/>
  <c r="F46" i="36"/>
  <c r="H46" i="36" s="1"/>
  <c r="E6" i="37" s="1"/>
  <c r="F45" i="36"/>
  <c r="H45" i="36" s="1"/>
  <c r="F44" i="36"/>
  <c r="H44" i="36" s="1"/>
  <c r="F43" i="36"/>
  <c r="H43" i="36" s="1"/>
  <c r="F42" i="36"/>
  <c r="H42" i="36" s="1"/>
  <c r="F41" i="36"/>
  <c r="H41" i="36" s="1"/>
  <c r="F40" i="36"/>
  <c r="H40" i="36" s="1"/>
  <c r="F39" i="36"/>
  <c r="H39" i="36" s="1"/>
  <c r="F38" i="36"/>
  <c r="H38" i="36" s="1"/>
  <c r="F37" i="36"/>
  <c r="H37" i="36" s="1"/>
  <c r="F36" i="36"/>
  <c r="H36" i="36" s="1"/>
  <c r="F35" i="36"/>
  <c r="H35" i="36" s="1"/>
  <c r="F34" i="36"/>
  <c r="H34" i="36" s="1"/>
  <c r="F33" i="36"/>
  <c r="H33" i="36" s="1"/>
  <c r="F32" i="36"/>
  <c r="H32" i="36" s="1"/>
  <c r="F31" i="36"/>
  <c r="H31" i="36" s="1"/>
  <c r="F30" i="36"/>
  <c r="H30" i="36" s="1"/>
  <c r="H29" i="36"/>
  <c r="F29" i="36"/>
  <c r="F28" i="36"/>
  <c r="H28" i="36" s="1"/>
  <c r="F27" i="36"/>
  <c r="H27" i="36" s="1"/>
  <c r="F26" i="36"/>
  <c r="H26" i="36" s="1"/>
  <c r="D6" i="37" s="1"/>
  <c r="F25" i="36"/>
  <c r="H25" i="36" s="1"/>
  <c r="F24" i="36"/>
  <c r="H24" i="36" s="1"/>
  <c r="F23" i="36"/>
  <c r="H23" i="36" s="1"/>
  <c r="F22" i="36"/>
  <c r="H22" i="36" s="1"/>
  <c r="F21" i="36"/>
  <c r="H21" i="36" s="1"/>
  <c r="H20" i="36"/>
  <c r="F20" i="36"/>
  <c r="F19" i="36"/>
  <c r="H19" i="36" s="1"/>
  <c r="F18" i="36"/>
  <c r="H18" i="36" s="1"/>
  <c r="F17" i="36"/>
  <c r="H17" i="36" s="1"/>
  <c r="F16" i="36"/>
  <c r="H16" i="36" s="1"/>
  <c r="F15" i="36"/>
  <c r="H15" i="36" s="1"/>
  <c r="F14" i="36"/>
  <c r="H14" i="36" s="1"/>
  <c r="F13" i="36"/>
  <c r="H13" i="36" s="1"/>
  <c r="F12" i="36"/>
  <c r="H12" i="36" s="1"/>
  <c r="F11" i="36"/>
  <c r="H11" i="36" s="1"/>
  <c r="F10" i="36"/>
  <c r="H10" i="36" s="1"/>
  <c r="F9" i="36"/>
  <c r="H9" i="36" s="1"/>
  <c r="F8" i="36"/>
  <c r="H8" i="36" s="1"/>
  <c r="F7" i="36"/>
  <c r="H7" i="36" s="1"/>
  <c r="F6" i="36"/>
  <c r="H6" i="36" s="1"/>
  <c r="C6" i="37" s="1"/>
  <c r="F5" i="36"/>
  <c r="H5" i="36" s="1"/>
  <c r="F4" i="36"/>
  <c r="H4" i="36" s="1"/>
  <c r="D2" i="34"/>
  <c r="E79" i="2" a="1"/>
  <c r="E78" i="2" a="1"/>
  <c r="E77" i="2" a="1"/>
  <c r="E76" i="2" a="1"/>
  <c r="E75" i="2" a="1"/>
  <c r="E74" i="2" a="1"/>
  <c r="E73" i="2" a="1"/>
  <c r="E72" i="2" a="1"/>
  <c r="E71" i="2" a="1"/>
  <c r="E70" i="2" a="1"/>
  <c r="E69" i="2" a="1"/>
  <c r="E26" i="2" a="1"/>
  <c r="E25" i="2" a="1"/>
  <c r="E24" i="2" a="1"/>
  <c r="E23" i="2" a="1"/>
  <c r="D2" i="22" a="1"/>
  <c r="C2" i="22" a="1"/>
  <c r="D2" i="18" a="1"/>
  <c r="C2" i="18" a="1"/>
  <c r="E2" i="13"/>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B7" i="37" l="1"/>
  <c r="B8" i="37"/>
  <c r="E22" i="2" a="1"/>
  <c r="E20" i="2" a="1"/>
  <c r="E21" i="2" a="1"/>
  <c r="E8" i="11" a="1"/>
  <c r="I7" i="11"/>
  <c r="E7" i="11" s="1" a="1"/>
  <c r="I21" i="11"/>
  <c r="E21" i="11" s="1" a="1"/>
  <c r="E22" i="11" a="1"/>
  <c r="I20" i="11"/>
  <c r="E20" i="11" s="1" a="1"/>
  <c r="I13" i="11"/>
  <c r="E13" i="11" s="1" a="1"/>
  <c r="I15" i="11"/>
  <c r="E15" i="11" s="1" a="1"/>
  <c r="I14" i="11"/>
  <c r="E14" i="11" s="1" a="1"/>
  <c r="E16" i="11" a="1"/>
  <c r="I12" i="11"/>
  <c r="E12" i="11" s="1" a="1"/>
  <c r="E14" i="34"/>
  <c r="F14" i="34"/>
  <c r="E13" i="34"/>
  <c r="F13" i="34"/>
  <c r="E12" i="34"/>
  <c r="F12" i="34"/>
  <c r="E11" i="34"/>
  <c r="F11" i="34"/>
  <c r="E10" i="34"/>
  <c r="F10" i="34"/>
  <c r="F9" i="34"/>
  <c r="E9" i="34"/>
  <c r="E8" i="34"/>
  <c r="F8" i="34"/>
  <c r="E7" i="34"/>
  <c r="F7" i="34"/>
  <c r="E6" i="34"/>
  <c r="F6" i="34"/>
  <c r="E5" i="34"/>
  <c r="F5" i="34"/>
  <c r="E4" i="34"/>
  <c r="F4" i="34"/>
  <c r="E3" i="34"/>
  <c r="F3" i="34"/>
  <c r="E2" i="34"/>
  <c r="F2" i="34"/>
  <c r="E8" i="37"/>
  <c r="D8" i="37"/>
  <c r="C8" i="37"/>
  <c r="E7" i="37"/>
  <c r="D7" i="37"/>
  <c r="C7" i="37"/>
  <c r="E16" i="2" a="1"/>
  <c r="E15" i="2" a="1"/>
  <c r="E14" i="2" a="1"/>
  <c r="E13" i="2" a="1"/>
  <c r="E12" i="2" a="1"/>
  <c r="E7" i="2" a="1"/>
  <c r="E6" i="2" a="1"/>
  <c r="E5" i="2" a="1"/>
  <c r="E3" i="2" a="1"/>
  <c r="E4" i="2" a="1"/>
  <c r="E2" i="2" a="1"/>
  <c r="E8" i="2" a="1"/>
  <c r="L3" i="13"/>
  <c r="BB3" i="13" s="1"/>
  <c r="AG3" i="13" l="1" a="1"/>
  <c r="AF3" i="13" a="1"/>
  <c r="BH3" i="13"/>
  <c r="L4" i="13"/>
  <c r="BB4" i="13" s="1"/>
  <c r="AR3" i="13"/>
  <c r="B26" i="13" s="1"/>
  <c r="T3" i="13"/>
  <c r="U3" i="13" s="1"/>
  <c r="AC3" i="13" a="1"/>
  <c r="BJ3" i="13" s="1"/>
  <c r="AD3" i="13" a="1"/>
  <c r="BK3" i="13" s="1"/>
  <c r="R3" i="13"/>
  <c r="V3" i="13" l="1"/>
  <c r="BC3" i="13"/>
  <c r="BI3" i="13"/>
  <c r="W3" i="13"/>
  <c r="AV3" i="13"/>
  <c r="BN3" i="13"/>
  <c r="L5" i="13"/>
  <c r="BB5" i="13" s="1"/>
  <c r="AF4" i="13" a="1"/>
  <c r="AG4" i="13" a="1"/>
  <c r="BL3" i="13"/>
  <c r="AR4" i="13"/>
  <c r="AV4" i="13" s="1"/>
  <c r="BH4" i="13"/>
  <c r="AU3" i="13"/>
  <c r="AS3" i="13"/>
  <c r="T4" i="13"/>
  <c r="AC4" i="13" a="1"/>
  <c r="BJ4" i="13" s="1"/>
  <c r="AD4" i="13" a="1"/>
  <c r="BK4" i="13" s="1"/>
  <c r="U4" i="13"/>
  <c r="R4" i="13"/>
  <c r="X3" i="13" l="1"/>
  <c r="BI4" i="13"/>
  <c r="W4" i="13"/>
  <c r="AW3" i="13"/>
  <c r="BD3" i="13"/>
  <c r="AW4" i="13"/>
  <c r="AS4" i="13"/>
  <c r="AT3" i="13"/>
  <c r="BH5" i="13"/>
  <c r="AU4" i="13"/>
  <c r="BN4" i="13"/>
  <c r="AG5" i="13" a="1"/>
  <c r="AF5" i="13" a="1"/>
  <c r="L6" i="13"/>
  <c r="BB6" i="13" s="1"/>
  <c r="BL4" i="13"/>
  <c r="BE3" i="13"/>
  <c r="AR5" i="13"/>
  <c r="AV5" i="13" s="1"/>
  <c r="T5" i="13"/>
  <c r="V4" i="13"/>
  <c r="AC5" i="13" a="1"/>
  <c r="BJ5" i="13" s="1"/>
  <c r="R5" i="13"/>
  <c r="AD5" i="13" a="1"/>
  <c r="BK5" i="13" s="1"/>
  <c r="U5" i="13"/>
  <c r="AY3" i="13"/>
  <c r="BI5" i="13" l="1"/>
  <c r="W5" i="13"/>
  <c r="AX3" i="13"/>
  <c r="N3" i="13" s="1"/>
  <c r="BG3" i="13"/>
  <c r="AW5" i="13"/>
  <c r="AX4" i="13"/>
  <c r="AU5" i="13"/>
  <c r="BN5" i="13"/>
  <c r="AG6" i="13" a="1"/>
  <c r="AF6" i="13" a="1"/>
  <c r="L7" i="13"/>
  <c r="BB7" i="13" s="1"/>
  <c r="BL5" i="13"/>
  <c r="AR6" i="13"/>
  <c r="AV6" i="13" s="1"/>
  <c r="BH6" i="13"/>
  <c r="AS5" i="13"/>
  <c r="BA3" i="13"/>
  <c r="AZ3" i="13"/>
  <c r="BF3" i="13"/>
  <c r="BC4" i="13" s="1"/>
  <c r="T6" i="13"/>
  <c r="AD6" i="13" a="1"/>
  <c r="BK6" i="13" s="1"/>
  <c r="AC6" i="13" a="1"/>
  <c r="BJ6" i="13" s="1"/>
  <c r="R6" i="13"/>
  <c r="V5" i="13"/>
  <c r="U6" i="13"/>
  <c r="AY4" i="13"/>
  <c r="X4" i="13"/>
  <c r="X5" i="13" l="1"/>
  <c r="BI6" i="13"/>
  <c r="W6" i="13"/>
  <c r="BO3" i="13"/>
  <c r="Y3" i="13"/>
  <c r="AW6" i="13"/>
  <c r="AX5" i="13"/>
  <c r="BO4" i="13"/>
  <c r="AU6" i="13"/>
  <c r="BN6" i="13"/>
  <c r="AG7" i="13" a="1"/>
  <c r="AF7" i="13" a="1"/>
  <c r="L8" i="13"/>
  <c r="BB8" i="13" s="1"/>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a="1"/>
  <c r="AE3" i="13" s="1"/>
  <c r="BM3" i="13" s="1"/>
  <c r="AX6" i="13"/>
  <c r="AW7" i="13"/>
  <c r="BO5" i="13"/>
  <c r="AU7" i="13"/>
  <c r="BN7" i="13"/>
  <c r="AG8" i="13" a="1"/>
  <c r="AF8" i="13" a="1"/>
  <c r="L9" i="13"/>
  <c r="BB9" i="13" s="1"/>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B10" i="13" s="1"/>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B11" i="13" s="1"/>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B12" i="13" s="1"/>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B13" i="13" s="1"/>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B14" i="13" s="1"/>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Z7" i="13"/>
  <c r="AA7" i="13" s="1" a="1"/>
  <c r="M4" i="13"/>
  <c r="O4" i="13" s="1"/>
  <c r="AW13" i="13"/>
  <c r="AX12" i="13"/>
  <c r="BN13" i="13"/>
  <c r="BO11" i="13"/>
  <c r="AZ11" i="13"/>
  <c r="AG14" i="13" a="1"/>
  <c r="AF14" i="13" a="1"/>
  <c r="L15" i="13"/>
  <c r="BB15" i="13" s="1"/>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B16" i="13" s="1"/>
  <c r="BL14" i="13"/>
  <c r="AN5" i="13"/>
  <c r="AO5" i="13" s="1"/>
  <c r="AP5" i="13" s="1"/>
  <c r="Z8" i="13"/>
  <c r="AA8" i="13" s="1" a="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W15" i="13"/>
  <c r="AX14" i="13"/>
  <c r="BN15" i="13"/>
  <c r="BO13" i="13"/>
  <c r="AG16" i="13" a="1"/>
  <c r="AF16" i="13" a="1"/>
  <c r="L17" i="13"/>
  <c r="BB17" i="13" s="1"/>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B18" i="13" s="1"/>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B19" i="13" s="1"/>
  <c r="BL17" i="13"/>
  <c r="AK6" i="13"/>
  <c r="AN6" i="13"/>
  <c r="AO6" i="13" s="1"/>
  <c r="AP6" i="13" s="1"/>
  <c r="AM9" i="13" a="1"/>
  <c r="AB9" i="13"/>
  <c r="AJ9" i="13"/>
  <c r="AL9" i="13" s="1"/>
  <c r="AU17" i="13"/>
  <c r="BH18" i="13"/>
  <c r="BE10" i="13"/>
  <c r="BF10" i="13" s="1"/>
  <c r="BC11" i="13" s="1"/>
  <c r="BA15" i="13"/>
  <c r="AS17" i="13"/>
  <c r="Z10" i="13"/>
  <c r="AA10" i="13" s="1" a="1"/>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BB20" i="13" s="1"/>
  <c r="AH7" i="13"/>
  <c r="M6" i="13"/>
  <c r="O6" i="13" s="1"/>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BI19" i="13" l="1"/>
  <c r="W19" i="13"/>
  <c r="AW19" i="13"/>
  <c r="AX18" i="13"/>
  <c r="BO17" i="13"/>
  <c r="AU19" i="13"/>
  <c r="BN19" i="13"/>
  <c r="AG20" i="13" a="1"/>
  <c r="AF20" i="13" a="1"/>
  <c r="L21" i="13"/>
  <c r="BL19" i="13"/>
  <c r="AI7" i="13"/>
  <c r="AE8" i="13" s="1"/>
  <c r="BM8" i="13" s="1"/>
  <c r="AR20" i="13"/>
  <c r="AV20" i="13" s="1"/>
  <c r="BH20" i="13"/>
  <c r="AS19" i="13"/>
  <c r="Z11" i="13"/>
  <c r="AA11" i="13" s="1" a="1"/>
  <c r="V19" i="13"/>
  <c r="AC20" i="13" a="1"/>
  <c r="BJ20" i="13" s="1"/>
  <c r="AD20" i="13" a="1"/>
  <c r="BK20" i="13" s="1"/>
  <c r="T20" i="13"/>
  <c r="R20" i="13"/>
  <c r="V20" i="13" s="1"/>
  <c r="AZ18" i="13"/>
  <c r="BA18" i="13"/>
  <c r="BF11" i="13"/>
  <c r="BC12" i="13" s="1"/>
  <c r="U21" i="13"/>
  <c r="N11" i="13"/>
  <c r="BH21" i="13" l="1"/>
  <c r="BB21" i="13"/>
  <c r="X19" i="13"/>
  <c r="BI21" i="13"/>
  <c r="W21" i="13"/>
  <c r="BI20" i="13"/>
  <c r="W20" i="13"/>
  <c r="X20" i="13" s="1"/>
  <c r="AX19" i="13"/>
  <c r="AW20" i="13"/>
  <c r="BO18" i="13"/>
  <c r="BN20" i="13"/>
  <c r="AG21" i="13" a="1"/>
  <c r="AF21" i="13" a="1"/>
  <c r="L22" i="13"/>
  <c r="BB22" i="13" s="1"/>
  <c r="BL20" i="13"/>
  <c r="AK7" i="13"/>
  <c r="AN7" i="13"/>
  <c r="AO7" i="13" s="1"/>
  <c r="AP7" i="13" s="1"/>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B23" i="13" s="1"/>
  <c r="BL21" i="13"/>
  <c r="AH8" i="13"/>
  <c r="M7" i="13"/>
  <c r="O7" i="13" s="1"/>
  <c r="AR22" i="13"/>
  <c r="AV22" i="13" s="1"/>
  <c r="BH22" i="13"/>
  <c r="AU21" i="13"/>
  <c r="AS21" i="13"/>
  <c r="BA19" i="13"/>
  <c r="T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B24" i="13" s="1"/>
  <c r="BL22" i="13"/>
  <c r="AI8" i="13"/>
  <c r="AE9" i="13" s="1"/>
  <c r="BM9" i="13" s="1"/>
  <c r="AU22" i="13"/>
  <c r="AR23" i="13"/>
  <c r="AV23" i="13" s="1"/>
  <c r="BH23" i="13"/>
  <c r="AS22" i="13"/>
  <c r="BE13" i="13"/>
  <c r="BD13" i="13"/>
  <c r="BG13" i="13" s="1"/>
  <c r="Y13" i="13" s="1"/>
  <c r="Z12" i="13"/>
  <c r="AA12" i="13" s="1" a="1"/>
  <c r="AD23" i="13" a="1"/>
  <c r="BK23" i="13" s="1"/>
  <c r="T23" i="13"/>
  <c r="U23" i="13" s="1"/>
  <c r="U24" i="13" s="1"/>
  <c r="R23" i="13"/>
  <c r="AC23" i="13" a="1"/>
  <c r="BJ23" i="13" s="1"/>
  <c r="AZ21" i="13"/>
  <c r="BA21" i="13"/>
  <c r="P12" i="13"/>
  <c r="AY22" i="13"/>
  <c r="BI23" i="13" l="1"/>
  <c r="W23" i="13"/>
  <c r="AX22" i="13"/>
  <c r="AW23" i="13"/>
  <c r="BN23" i="13"/>
  <c r="BO21" i="13"/>
  <c r="AG24" i="13" a="1"/>
  <c r="AF24" i="13" a="1"/>
  <c r="L25" i="13"/>
  <c r="BB25" i="13" s="1"/>
  <c r="BL23" i="13"/>
  <c r="AK8" i="13"/>
  <c r="AN8" i="13"/>
  <c r="AO8" i="13" s="1"/>
  <c r="AP8" i="13" s="1"/>
  <c r="AM12" i="13" a="1"/>
  <c r="AB12" i="13"/>
  <c r="AJ12" i="13"/>
  <c r="AL12" i="13" s="1"/>
  <c r="AU23" i="13"/>
  <c r="AR24" i="13"/>
  <c r="AV24" i="13" s="1"/>
  <c r="BH24" i="13"/>
  <c r="AS23" i="13"/>
  <c r="Z13" i="13"/>
  <c r="AA13" i="13" s="1" a="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B26" i="13" s="1"/>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L25" i="13"/>
  <c r="AH9" i="13"/>
  <c r="AI9" i="13" s="1"/>
  <c r="AE10" i="13" s="1"/>
  <c r="BM10" i="13" s="1"/>
  <c r="AU25" i="13"/>
  <c r="AR26" i="13"/>
  <c r="AV26" i="13" s="1"/>
  <c r="BH26" i="13"/>
  <c r="AZ23" i="13"/>
  <c r="BA23" i="13"/>
  <c r="AS25" i="13"/>
  <c r="Z14" i="13"/>
  <c r="AA14" i="13" s="1" a="1"/>
  <c r="R26" i="13"/>
  <c r="V26" i="13" s="1"/>
  <c r="AC26" i="13" a="1"/>
  <c r="BJ26" i="13" s="1"/>
  <c r="T26" i="13"/>
  <c r="AD26" i="13" a="1"/>
  <c r="BK26" i="13" s="1"/>
  <c r="BF14" i="13"/>
  <c r="BC15" i="13" s="1"/>
  <c r="AZ24" i="13"/>
  <c r="BA24" i="13"/>
  <c r="P14" i="13"/>
  <c r="AY25" i="13"/>
  <c r="N14" i="13"/>
  <c r="BH27" i="13" l="1"/>
  <c r="BB27" i="13"/>
  <c r="BI27" i="13"/>
  <c r="W27" i="13"/>
  <c r="BI26" i="13"/>
  <c r="W26" i="13"/>
  <c r="X26" i="13" s="1"/>
  <c r="AX25" i="13"/>
  <c r="AW26" i="13"/>
  <c r="BO24" i="13"/>
  <c r="BN26" i="13"/>
  <c r="AG27" i="13" a="1"/>
  <c r="AF27" i="13" a="1"/>
  <c r="L28" i="13"/>
  <c r="BB28" i="13" s="1"/>
  <c r="BL26" i="13"/>
  <c r="AN9" i="13"/>
  <c r="AO9" i="13" s="1"/>
  <c r="AP9" i="13" s="1"/>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AW27" i="13" l="1"/>
  <c r="AX26" i="13"/>
  <c r="BN27" i="13"/>
  <c r="BO25" i="13"/>
  <c r="AF28" i="13" a="1"/>
  <c r="AG28" i="13" a="1"/>
  <c r="L29" i="13"/>
  <c r="BB29" i="13" s="1"/>
  <c r="BL27" i="13"/>
  <c r="M9" i="13"/>
  <c r="O9" i="13" s="1"/>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B30" i="13" s="1"/>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a="1"/>
  <c r="BI29" i="13" l="1"/>
  <c r="W29" i="13"/>
  <c r="AW29" i="13"/>
  <c r="AX28" i="13"/>
  <c r="BN29" i="13"/>
  <c r="BO27" i="13"/>
  <c r="AF30" i="13" a="1"/>
  <c r="AG30" i="13" a="1"/>
  <c r="L31" i="13"/>
  <c r="BB31" i="13" s="1"/>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a="1"/>
  <c r="BF16" i="13"/>
  <c r="BC17" i="13" s="1"/>
  <c r="P16" i="13"/>
  <c r="N16" i="13"/>
  <c r="BI30" i="13" l="1"/>
  <c r="W30" i="13"/>
  <c r="AX29" i="13"/>
  <c r="AW30" i="13"/>
  <c r="BN30" i="13"/>
  <c r="BO28" i="13"/>
  <c r="AG31" i="13" a="1"/>
  <c r="AF31" i="13" a="1"/>
  <c r="L32" i="13"/>
  <c r="BB32" i="13" s="1"/>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B33" i="13" s="1"/>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H34" i="13" l="1"/>
  <c r="BI34" i="13" s="1"/>
  <c r="BB34" i="13"/>
  <c r="W34" i="13"/>
  <c r="BI33" i="13"/>
  <c r="W33" i="13"/>
  <c r="X33" i="13" s="1"/>
  <c r="AW33" i="13"/>
  <c r="AX32" i="13"/>
  <c r="BO31" i="13"/>
  <c r="BN33" i="13"/>
  <c r="AG34" i="13" a="1"/>
  <c r="AF34" i="13" a="1"/>
  <c r="L35" i="13"/>
  <c r="BB35" i="13" s="1"/>
  <c r="BL33" i="13"/>
  <c r="M11" i="13"/>
  <c r="O11" i="13" s="1"/>
  <c r="Z18" i="13"/>
  <c r="AA18" i="13" s="1" a="1"/>
  <c r="AU33" i="13"/>
  <c r="AR34" i="13"/>
  <c r="AV34" i="13" s="1"/>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a="1"/>
  <c r="AZ33" i="13"/>
  <c r="BA33" i="13"/>
  <c r="P19" i="13"/>
  <c r="AY34" i="13"/>
  <c r="X34" i="13"/>
  <c r="BH36" i="13" l="1"/>
  <c r="BB36" i="13"/>
  <c r="BI36" i="13"/>
  <c r="W36" i="13"/>
  <c r="BI35" i="13"/>
  <c r="W35" i="13"/>
  <c r="AW35" i="13"/>
  <c r="AX34" i="13"/>
  <c r="BO33" i="13"/>
  <c r="BN35" i="13"/>
  <c r="AF36" i="13" a="1"/>
  <c r="AG36" i="13" a="1"/>
  <c r="L37" i="13"/>
  <c r="BB37" i="13" s="1"/>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AW36" i="13" l="1"/>
  <c r="AX35" i="13"/>
  <c r="BO34" i="13"/>
  <c r="BN36" i="13"/>
  <c r="AG37" i="13" a="1"/>
  <c r="AF37" i="13" a="1"/>
  <c r="L38" i="13"/>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X36" i="13"/>
  <c r="BH38" i="13" l="1"/>
  <c r="BI38" i="13" s="1"/>
  <c r="BB38" i="13"/>
  <c r="W38" i="13"/>
  <c r="BI37" i="13"/>
  <c r="W37" i="13"/>
  <c r="X37" i="13" s="1"/>
  <c r="AW37" i="13"/>
  <c r="AX36" i="13"/>
  <c r="BO35" i="13"/>
  <c r="BN37" i="13"/>
  <c r="AF38" i="13" a="1"/>
  <c r="AG38" i="13" a="1"/>
  <c r="L39" i="13"/>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a="1"/>
  <c r="AZ36" i="13"/>
  <c r="BA36" i="13"/>
  <c r="AY37" i="13"/>
  <c r="BH39" i="13" l="1"/>
  <c r="BB39" i="13"/>
  <c r="BI39" i="13"/>
  <c r="W39" i="13"/>
  <c r="AX37" i="13"/>
  <c r="AW38" i="13"/>
  <c r="BN38" i="13"/>
  <c r="BO36" i="13"/>
  <c r="AF39" i="13" a="1"/>
  <c r="AG39" i="13" a="1"/>
  <c r="L40" i="13"/>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a="1"/>
  <c r="BF21" i="13"/>
  <c r="BC22" i="13" s="1"/>
  <c r="AZ37" i="13"/>
  <c r="BA37" i="13"/>
  <c r="P21" i="13"/>
  <c r="AY38" i="13"/>
  <c r="X38" i="13"/>
  <c r="BH40" i="13" l="1"/>
  <c r="BB40" i="13"/>
  <c r="AX38" i="13"/>
  <c r="AW39" i="13"/>
  <c r="BN39" i="13"/>
  <c r="BO37" i="13"/>
  <c r="AF40" i="13" a="1"/>
  <c r="AG40" i="13" a="1"/>
  <c r="L41" i="13"/>
  <c r="BB41" i="13" s="1"/>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W40" i="13" l="1"/>
  <c r="BI40" i="13"/>
  <c r="AW40" i="13"/>
  <c r="AX39" i="13"/>
  <c r="BN40" i="13"/>
  <c r="BO38" i="13"/>
  <c r="AF41" i="13" a="1"/>
  <c r="AG41" i="13" a="1"/>
  <c r="L42" i="13"/>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a="1"/>
  <c r="BF22" i="13"/>
  <c r="BC23" i="13" s="1"/>
  <c r="P22" i="13"/>
  <c r="BH42" i="13" l="1"/>
  <c r="BI42" i="13" s="1"/>
  <c r="BB42" i="13"/>
  <c r="W42" i="13"/>
  <c r="BI41" i="13"/>
  <c r="W41" i="13"/>
  <c r="AW41" i="13"/>
  <c r="AX40" i="13"/>
  <c r="BO39" i="13"/>
  <c r="BN41" i="13"/>
  <c r="AG42" i="13" a="1"/>
  <c r="AF42" i="13" a="1"/>
  <c r="L43" i="13"/>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BH43" i="13" l="1"/>
  <c r="BB43" i="13"/>
  <c r="BI43" i="13"/>
  <c r="W43" i="13"/>
  <c r="AX41" i="13"/>
  <c r="AW42" i="13"/>
  <c r="BN42" i="13"/>
  <c r="BO40" i="13"/>
  <c r="AG43" i="13" a="1"/>
  <c r="AF43" i="13" a="1"/>
  <c r="L44" i="13"/>
  <c r="BL42" i="13"/>
  <c r="M14" i="13"/>
  <c r="O14" i="13" s="1"/>
  <c r="X41" i="13"/>
  <c r="AY41" i="13"/>
  <c r="AR43" i="13"/>
  <c r="AV43" i="13" s="1"/>
  <c r="R43" i="13"/>
  <c r="AC43" i="13" a="1"/>
  <c r="BJ43" i="13" s="1"/>
  <c r="AD43" i="13" a="1"/>
  <c r="BK43" i="13" s="1"/>
  <c r="T43" i="13"/>
  <c r="U43" i="13" s="1"/>
  <c r="AU42" i="13"/>
  <c r="AZ40" i="13"/>
  <c r="BA40" i="13"/>
  <c r="AS42" i="13"/>
  <c r="Z23" i="13"/>
  <c r="AA23" i="13" s="1" a="1"/>
  <c r="BF23" i="13"/>
  <c r="BC24" i="13" s="1"/>
  <c r="P23" i="13"/>
  <c r="AY42" i="13"/>
  <c r="X42" i="13"/>
  <c r="BH44" i="13" l="1"/>
  <c r="BB44" i="13"/>
  <c r="AW43" i="13"/>
  <c r="AX42" i="13"/>
  <c r="BN43" i="13"/>
  <c r="BO41" i="13"/>
  <c r="AG44" i="13" a="1"/>
  <c r="AF44" i="13" a="1"/>
  <c r="L45" i="13"/>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BI44" i="13" l="1"/>
  <c r="W44" i="13"/>
  <c r="BH45" i="13"/>
  <c r="BB45" i="13"/>
  <c r="BI45" i="13"/>
  <c r="W45" i="13"/>
  <c r="AX43" i="13"/>
  <c r="AW44" i="13"/>
  <c r="BN44" i="13"/>
  <c r="BO42" i="13"/>
  <c r="AF45" i="13" a="1"/>
  <c r="AG45" i="13" a="1"/>
  <c r="L46" i="13"/>
  <c r="BL44" i="13"/>
  <c r="AK15" i="13"/>
  <c r="AN15" i="13"/>
  <c r="AO15" i="13" s="1"/>
  <c r="AP15" i="13" s="1"/>
  <c r="AU44" i="13"/>
  <c r="AR45" i="13"/>
  <c r="AV45" i="13" s="1"/>
  <c r="T45" i="13"/>
  <c r="AC45" i="13" a="1"/>
  <c r="BJ45" i="13" s="1"/>
  <c r="AD45" i="13" a="1"/>
  <c r="BK45" i="13" s="1"/>
  <c r="R45" i="13"/>
  <c r="U45" i="13"/>
  <c r="V44" i="13"/>
  <c r="AY43" i="13"/>
  <c r="X43" i="13"/>
  <c r="AS44" i="13"/>
  <c r="Z24" i="13"/>
  <c r="AA24" i="13" s="1" a="1"/>
  <c r="BF24" i="13"/>
  <c r="BC25" i="13" s="1"/>
  <c r="P24" i="13"/>
  <c r="BH46" i="13" l="1"/>
  <c r="BB46" i="13"/>
  <c r="BI46" i="13"/>
  <c r="W46" i="13"/>
  <c r="AX44" i="13"/>
  <c r="AW45" i="13"/>
  <c r="BN45" i="13"/>
  <c r="BO43" i="13"/>
  <c r="AF46" i="13" a="1"/>
  <c r="AG46" i="13" a="1"/>
  <c r="L47" i="13"/>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BH47" i="13" l="1"/>
  <c r="BB47" i="13"/>
  <c r="BI47" i="13"/>
  <c r="W47" i="13"/>
  <c r="AX45" i="13"/>
  <c r="AW46" i="13"/>
  <c r="BN46" i="13"/>
  <c r="BO44" i="13"/>
  <c r="AF47" i="13" a="1"/>
  <c r="AG47" i="13" a="1"/>
  <c r="L48" i="13"/>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a="1"/>
  <c r="BF25" i="13"/>
  <c r="BC26" i="13" s="1"/>
  <c r="P25" i="13"/>
  <c r="BH48" i="13" l="1"/>
  <c r="BB48" i="13"/>
  <c r="BI48" i="13"/>
  <c r="W48" i="13"/>
  <c r="BO45" i="13"/>
  <c r="AW47" i="13"/>
  <c r="AX46" i="13"/>
  <c r="BN47" i="13"/>
  <c r="AG48" i="13" a="1"/>
  <c r="AF48" i="13" a="1"/>
  <c r="L49" i="13"/>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BH49" i="13" l="1"/>
  <c r="BI49" i="13" s="1"/>
  <c r="BB49" i="13"/>
  <c r="W49" i="13"/>
  <c r="AW48" i="13"/>
  <c r="AX47" i="13"/>
  <c r="BO46" i="13"/>
  <c r="BN48" i="13"/>
  <c r="AF49" i="13" a="1"/>
  <c r="AG49" i="13" a="1"/>
  <c r="L50" i="13"/>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a="1"/>
  <c r="BF26" i="13"/>
  <c r="BC27" i="13" s="1"/>
  <c r="P26" i="13"/>
  <c r="BH50" i="13" l="1"/>
  <c r="BB50" i="13"/>
  <c r="AW49" i="13"/>
  <c r="AX48" i="13"/>
  <c r="BN49" i="13"/>
  <c r="BO47" i="13"/>
  <c r="AF50" i="13" a="1"/>
  <c r="AG50" i="13" a="1"/>
  <c r="L51" i="13"/>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BI50" i="13" l="1"/>
  <c r="W50" i="13"/>
  <c r="X50" i="13" s="1"/>
  <c r="BH51" i="13"/>
  <c r="BB51" i="13"/>
  <c r="AX49" i="13"/>
  <c r="AW50" i="13"/>
  <c r="BN50" i="13"/>
  <c r="BO48" i="13"/>
  <c r="AF51" i="13" a="1"/>
  <c r="AG51" i="13" a="1"/>
  <c r="L52" i="13"/>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BI51" i="13" l="1"/>
  <c r="W51" i="13"/>
  <c r="BH52" i="13"/>
  <c r="W52" i="13" s="1"/>
  <c r="BB52" i="13"/>
  <c r="BI52" i="13"/>
  <c r="AX50" i="13"/>
  <c r="AW51" i="13"/>
  <c r="BO49" i="13"/>
  <c r="BN51" i="13"/>
  <c r="AF52" i="13" a="1"/>
  <c r="AG52" i="13" a="1"/>
  <c r="L53" i="13"/>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BH53" i="13" l="1"/>
  <c r="BB53" i="13"/>
  <c r="BI53" i="13"/>
  <c r="W53" i="13"/>
  <c r="BO50" i="13"/>
  <c r="AX51" i="13"/>
  <c r="AW52" i="13"/>
  <c r="BN52" i="13"/>
  <c r="AF53" i="13" a="1"/>
  <c r="AG53" i="13" a="1"/>
  <c r="L54" i="13"/>
  <c r="BB54" i="13" s="1"/>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AW53" i="13" l="1"/>
  <c r="AX52" i="13"/>
  <c r="BO51" i="13"/>
  <c r="BN53" i="13"/>
  <c r="AF54" i="13" a="1"/>
  <c r="AG54" i="13" a="1"/>
  <c r="L55" i="13"/>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H55" i="13" l="1"/>
  <c r="BB55" i="13"/>
  <c r="BI55" i="13"/>
  <c r="W55" i="13"/>
  <c r="BI54" i="13"/>
  <c r="W54" i="13"/>
  <c r="X54" i="13" s="1"/>
  <c r="AX53" i="13"/>
  <c r="AW54" i="13"/>
  <c r="BN54" i="13"/>
  <c r="BO52" i="13"/>
  <c r="AF55" i="13" a="1"/>
  <c r="AG55" i="13" a="1"/>
  <c r="L56" i="13"/>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BH56" i="13" l="1"/>
  <c r="BI56" i="13" s="1"/>
  <c r="BB56" i="13"/>
  <c r="W56" i="13"/>
  <c r="AW55" i="13"/>
  <c r="AX54" i="13"/>
  <c r="BN55" i="13"/>
  <c r="BO53" i="13"/>
  <c r="AG56" i="13" a="1"/>
  <c r="AF56" i="13" a="1"/>
  <c r="L57" i="13"/>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BH57" i="13" l="1"/>
  <c r="BB57" i="13"/>
  <c r="AX55" i="13"/>
  <c r="AW56" i="13"/>
  <c r="BN56" i="13"/>
  <c r="BO54" i="13"/>
  <c r="AF57" i="13" a="1"/>
  <c r="AG57" i="13" a="1"/>
  <c r="L58" i="13"/>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BI57" i="13" l="1"/>
  <c r="W57" i="13"/>
  <c r="BH58" i="13"/>
  <c r="BB58" i="13"/>
  <c r="BI58" i="13"/>
  <c r="W58" i="13"/>
  <c r="AX56" i="13"/>
  <c r="AW57" i="13"/>
  <c r="BN57" i="13"/>
  <c r="BO55" i="13"/>
  <c r="AG58" i="13" a="1"/>
  <c r="AF58" i="13" a="1"/>
  <c r="L59" i="13"/>
  <c r="BL57" i="13"/>
  <c r="M19" i="13"/>
  <c r="O19" i="13" s="1"/>
  <c r="V57" i="13"/>
  <c r="AU57" i="13"/>
  <c r="AY56" i="13"/>
  <c r="X56" i="13"/>
  <c r="AZ55" i="13"/>
  <c r="BA55" i="13"/>
  <c r="AR58" i="13"/>
  <c r="AV58" i="13" s="1"/>
  <c r="T58" i="13"/>
  <c r="AD58" i="13" a="1"/>
  <c r="BK58" i="13" s="1"/>
  <c r="R58" i="13"/>
  <c r="V58" i="13" s="1"/>
  <c r="AC58" i="13" a="1"/>
  <c r="BJ58" i="13" s="1"/>
  <c r="AS57" i="13"/>
  <c r="Z31" i="13"/>
  <c r="AA31" i="13" s="1" a="1"/>
  <c r="AB31" i="13" s="1"/>
  <c r="BF31" i="13"/>
  <c r="BC32" i="13" s="1"/>
  <c r="N30" i="13"/>
  <c r="BH59" i="13" l="1"/>
  <c r="BB59" i="13"/>
  <c r="BI59" i="13"/>
  <c r="W59" i="13"/>
  <c r="AX57" i="13"/>
  <c r="AW58" i="13"/>
  <c r="BN58" i="13"/>
  <c r="BO56" i="13"/>
  <c r="AF59" i="13" a="1"/>
  <c r="AG59" i="13" a="1"/>
  <c r="L60" i="13"/>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X58" i="13"/>
  <c r="BH60" i="13" l="1"/>
  <c r="BB60" i="13"/>
  <c r="AW59" i="13"/>
  <c r="AX58" i="13"/>
  <c r="BN59" i="13"/>
  <c r="BO57" i="13"/>
  <c r="AG60" i="13" a="1"/>
  <c r="AF60" i="13" a="1"/>
  <c r="L61" i="13"/>
  <c r="BL59" i="13"/>
  <c r="AK20" i="13"/>
  <c r="AN20" i="13"/>
  <c r="AO20" i="13" s="1"/>
  <c r="AP20" i="13" s="1"/>
  <c r="AZ57" i="13"/>
  <c r="BA57" i="13"/>
  <c r="AU59" i="13"/>
  <c r="V59" i="13"/>
  <c r="U60" i="13"/>
  <c r="AR60" i="13"/>
  <c r="AV60" i="13" s="1"/>
  <c r="T60" i="13"/>
  <c r="AC60" i="13" a="1"/>
  <c r="BJ60" i="13" s="1"/>
  <c r="AD60" i="13" a="1"/>
  <c r="BK60" i="13" s="1"/>
  <c r="R60" i="13"/>
  <c r="AS59" i="13"/>
  <c r="Z32" i="13"/>
  <c r="AA32" i="13" s="1" a="1"/>
  <c r="AB32" i="13" s="1"/>
  <c r="AZ58" i="13"/>
  <c r="BA58" i="13"/>
  <c r="P32" i="13"/>
  <c r="BF32" i="13"/>
  <c r="BC33" i="13" s="1"/>
  <c r="N31" i="13"/>
  <c r="W60" i="13" l="1"/>
  <c r="BI60" i="13"/>
  <c r="BH61" i="13"/>
  <c r="BB61" i="13"/>
  <c r="AW60" i="13"/>
  <c r="AX59" i="13"/>
  <c r="BN60" i="13"/>
  <c r="BO58" i="13"/>
  <c r="AF61" i="13" a="1"/>
  <c r="AG61" i="13" a="1"/>
  <c r="L62" i="13"/>
  <c r="BL60" i="13"/>
  <c r="M20" i="13"/>
  <c r="AU60" i="13"/>
  <c r="AC61" i="13" a="1"/>
  <c r="BJ61" i="13" s="1"/>
  <c r="R61" i="13"/>
  <c r="AY59" i="13"/>
  <c r="X59" i="13"/>
  <c r="V60" i="13"/>
  <c r="U61" i="13"/>
  <c r="AR61" i="13"/>
  <c r="AV61" i="13" s="1"/>
  <c r="T61" i="13"/>
  <c r="AD61" i="13" a="1"/>
  <c r="BK61" i="13" s="1"/>
  <c r="AS60" i="13"/>
  <c r="BE33" i="13"/>
  <c r="BD33" i="13"/>
  <c r="BG33" i="13" s="1"/>
  <c r="Y33" i="13" s="1"/>
  <c r="BI61" i="13" l="1"/>
  <c r="W61" i="13"/>
  <c r="BH62" i="13"/>
  <c r="BB62" i="13"/>
  <c r="BI62" i="13"/>
  <c r="W62" i="13"/>
  <c r="AX60" i="13"/>
  <c r="AW61" i="13"/>
  <c r="BN61" i="13"/>
  <c r="BO59" i="13"/>
  <c r="AF62" i="13" a="1"/>
  <c r="AG62" i="13" a="1"/>
  <c r="L63" i="13"/>
  <c r="BB63" i="13" s="1"/>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B64" i="13" s="1"/>
  <c r="BL62" i="13"/>
  <c r="AK21" i="13"/>
  <c r="AN21" i="13"/>
  <c r="AO21" i="13" s="1"/>
  <c r="AP21" i="13" s="1"/>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B65" i="13" s="1"/>
  <c r="BL63" i="13"/>
  <c r="M21"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B66" i="13" s="1"/>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B67" i="13" s="1"/>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B68" i="13" s="1"/>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B69" i="13" s="1"/>
  <c r="BL67" i="13"/>
  <c r="AH23" i="13"/>
  <c r="AI23" i="13" s="1"/>
  <c r="AE24" i="13" s="1"/>
  <c r="BM24" i="13" s="1"/>
  <c r="V67" i="13"/>
  <c r="AU67" i="13"/>
  <c r="AY66" i="13"/>
  <c r="X66"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H69" i="13"/>
  <c r="AR69" i="13"/>
  <c r="AV69" i="13" s="1"/>
  <c r="T69" i="13"/>
  <c r="AF69" i="13" a="1"/>
  <c r="AG69" i="13" a="1"/>
  <c r="L70" i="13"/>
  <c r="BB70" i="13" s="1"/>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B71" i="13" s="1"/>
  <c r="BL69" i="13"/>
  <c r="M23" i="13"/>
  <c r="O23" i="13" s="1"/>
  <c r="AZ67" i="13"/>
  <c r="BA67" i="13"/>
  <c r="AR70" i="13"/>
  <c r="AV70" i="13" s="1"/>
  <c r="R70" i="13"/>
  <c r="V70" i="13" s="1"/>
  <c r="BH70" i="13"/>
  <c r="T70" i="13"/>
  <c r="AC70" i="13" a="1"/>
  <c r="BJ70" i="13" s="1"/>
  <c r="AD70" i="13" a="1"/>
  <c r="BK70" i="13" s="1"/>
  <c r="AS69" i="13"/>
  <c r="Z37" i="13"/>
  <c r="AA37" i="13" s="1" a="1"/>
  <c r="AB37" i="13" s="1"/>
  <c r="AZ68" i="13"/>
  <c r="BA68" i="13"/>
  <c r="BF37" i="13"/>
  <c r="BC38" i="13" s="1"/>
  <c r="AY69" i="13"/>
  <c r="N36" i="13"/>
  <c r="BI70" i="13" l="1"/>
  <c r="W70" i="13"/>
  <c r="X70" i="13" s="1"/>
  <c r="AX69" i="13"/>
  <c r="AW70" i="13"/>
  <c r="BN70" i="13"/>
  <c r="BO68" i="13"/>
  <c r="AG71" i="13" a="1"/>
  <c r="AF71" i="13" a="1"/>
  <c r="L72" i="13"/>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AR72" i="13" l="1"/>
  <c r="BB72" i="13"/>
  <c r="BI71" i="13"/>
  <c r="W71" i="13"/>
  <c r="AW71" i="13"/>
  <c r="AX70" i="13"/>
  <c r="BN71" i="13"/>
  <c r="BO69" i="13"/>
  <c r="AF72" i="13" a="1"/>
  <c r="AG72" i="13" a="1"/>
  <c r="L73" i="13"/>
  <c r="BB73" i="13" s="1"/>
  <c r="BL71" i="13"/>
  <c r="AK24" i="13"/>
  <c r="AN24" i="13"/>
  <c r="AO24" i="13" s="1"/>
  <c r="AP24" i="13" s="1"/>
  <c r="BH72" i="13"/>
  <c r="T72" i="13"/>
  <c r="AC72" i="13" a="1"/>
  <c r="BJ72" i="13" s="1"/>
  <c r="AD72" i="13" a="1"/>
  <c r="BK72" i="13" s="1"/>
  <c r="R72" i="13"/>
  <c r="AU71" i="13"/>
  <c r="V71" i="13"/>
  <c r="U72" i="13"/>
  <c r="AS71" i="13"/>
  <c r="Z38" i="13"/>
  <c r="AA38" i="13" s="1" a="1"/>
  <c r="AB38" i="13" s="1"/>
  <c r="AZ70" i="13"/>
  <c r="BA70" i="13"/>
  <c r="P38" i="13"/>
  <c r="BF38" i="13"/>
  <c r="BC39" i="13" s="1"/>
  <c r="N37" i="13"/>
  <c r="AV72" i="13" l="1"/>
  <c r="AW72" i="13" s="1"/>
  <c r="AU72" i="13"/>
  <c r="BN72" i="13"/>
  <c r="BI72" i="13"/>
  <c r="W72" i="13"/>
  <c r="AX71" i="13"/>
  <c r="BO70" i="13"/>
  <c r="AC73" i="13" a="1"/>
  <c r="BJ73" i="13" s="1"/>
  <c r="T73" i="13"/>
  <c r="AF73" i="13" a="1"/>
  <c r="AG73" i="13" a="1"/>
  <c r="L74" i="13"/>
  <c r="BL72" i="13"/>
  <c r="M24" i="13"/>
  <c r="O24" i="13" s="1"/>
  <c r="AR73" i="13"/>
  <c r="AV73" i="13" s="1"/>
  <c r="BH73" i="13"/>
  <c r="AD73" i="13" a="1"/>
  <c r="BK73" i="13" s="1"/>
  <c r="R73" i="13"/>
  <c r="AY71" i="13"/>
  <c r="X71" i="13"/>
  <c r="V72" i="13"/>
  <c r="U73" i="13"/>
  <c r="AS72" i="13"/>
  <c r="BE39" i="13"/>
  <c r="BD39" i="13"/>
  <c r="BG39" i="13" s="1"/>
  <c r="Y39" i="13" s="1"/>
  <c r="AX72" i="13" l="1"/>
  <c r="BO72" i="13" s="1"/>
  <c r="AR74" i="13"/>
  <c r="BB74" i="13"/>
  <c r="BI73" i="13"/>
  <c r="W73" i="13"/>
  <c r="AW73" i="13"/>
  <c r="BN73" i="13"/>
  <c r="BO71" i="13"/>
  <c r="BL73" i="13"/>
  <c r="BH74" i="13"/>
  <c r="T74" i="13"/>
  <c r="AF74" i="13" a="1"/>
  <c r="AG74" i="13" a="1"/>
  <c r="L75" i="13"/>
  <c r="BB75" i="13" s="1"/>
  <c r="AH25" i="13"/>
  <c r="AI25" i="13" s="1"/>
  <c r="AE26" i="13" s="1"/>
  <c r="BM26" i="13" s="1"/>
  <c r="AU73" i="13"/>
  <c r="AC74" i="13" a="1"/>
  <c r="BJ74" i="13" s="1"/>
  <c r="AD74" i="13" a="1"/>
  <c r="BK74" i="13" s="1"/>
  <c r="R74" i="13"/>
  <c r="AY72" i="13"/>
  <c r="X72" i="13"/>
  <c r="V73" i="13"/>
  <c r="U74" i="13"/>
  <c r="AZ71" i="13"/>
  <c r="BA71" i="13"/>
  <c r="AS73" i="13"/>
  <c r="Z39" i="13"/>
  <c r="AA39" i="13" s="1" a="1"/>
  <c r="AB39" i="13" s="1"/>
  <c r="BF39" i="13"/>
  <c r="BC40" i="13" s="1"/>
  <c r="N38" i="13"/>
  <c r="AV74" i="13" l="1"/>
  <c r="AW74" i="13" s="1"/>
  <c r="AU74" i="13"/>
  <c r="BN74" i="13"/>
  <c r="BI74" i="13"/>
  <c r="W74" i="13"/>
  <c r="AX73" i="13"/>
  <c r="AF75" i="13" a="1"/>
  <c r="AG75" i="13" a="1"/>
  <c r="L76" i="13"/>
  <c r="BB76" i="13" s="1"/>
  <c r="BL74" i="13"/>
  <c r="AK25" i="13"/>
  <c r="AN25" i="13"/>
  <c r="AO25" i="13" s="1"/>
  <c r="AP25" i="13" s="1"/>
  <c r="V74" i="13"/>
  <c r="AZ72" i="13"/>
  <c r="BA72" i="13"/>
  <c r="AR75" i="13"/>
  <c r="AV75" i="13" s="1"/>
  <c r="BH75" i="13"/>
  <c r="T75" i="13"/>
  <c r="U75" i="13" s="1"/>
  <c r="AD75" i="13" a="1"/>
  <c r="BK75" i="13" s="1"/>
  <c r="AC75" i="13" a="1"/>
  <c r="BJ75" i="13" s="1"/>
  <c r="R75" i="13"/>
  <c r="AY73" i="13"/>
  <c r="X73" i="13"/>
  <c r="AS74" i="13"/>
  <c r="BE40" i="13"/>
  <c r="BD40" i="13"/>
  <c r="BG40" i="13" s="1"/>
  <c r="Y40" i="13" s="1"/>
  <c r="P39" i="13"/>
  <c r="AX74" i="13" l="1"/>
  <c r="BO74" i="13" s="1"/>
  <c r="BI75" i="13"/>
  <c r="W75" i="13"/>
  <c r="AW75" i="13"/>
  <c r="BN75" i="13"/>
  <c r="BO73" i="13"/>
  <c r="AR76" i="13"/>
  <c r="AV76" i="13" s="1"/>
  <c r="BH76" i="13"/>
  <c r="AF76" i="13" a="1"/>
  <c r="AG76" i="13" a="1"/>
  <c r="L77" i="13"/>
  <c r="BB77" i="13" s="1"/>
  <c r="BL75" i="13"/>
  <c r="M25" i="13"/>
  <c r="O25" i="13" s="1"/>
  <c r="AY74" i="13"/>
  <c r="X74" i="13"/>
  <c r="T76" i="13"/>
  <c r="AC76" i="13" a="1"/>
  <c r="BJ76" i="13" s="1"/>
  <c r="AD76" i="13" a="1"/>
  <c r="BK76" i="13" s="1"/>
  <c r="R76" i="13"/>
  <c r="AU75" i="13"/>
  <c r="V75" i="13"/>
  <c r="U76" i="13"/>
  <c r="AZ73" i="13"/>
  <c r="BA73" i="13"/>
  <c r="AS75" i="13"/>
  <c r="Z40" i="13"/>
  <c r="AA40" i="13" s="1" a="1"/>
  <c r="AB40" i="13" s="1"/>
  <c r="P40" i="13"/>
  <c r="BF40" i="13"/>
  <c r="BC41" i="13" s="1"/>
  <c r="N39" i="13"/>
  <c r="BI76" i="13" l="1"/>
  <c r="W76" i="13"/>
  <c r="AX75" i="13"/>
  <c r="AW76" i="13"/>
  <c r="BN76" i="13"/>
  <c r="AU76" i="13"/>
  <c r="AR77" i="13"/>
  <c r="AV77" i="13" s="1"/>
  <c r="BH77" i="13"/>
  <c r="AF77" i="13" a="1"/>
  <c r="AG77" i="13" a="1"/>
  <c r="L78" i="13"/>
  <c r="BL76" i="13"/>
  <c r="AH26" i="13"/>
  <c r="AI26" i="13" s="1"/>
  <c r="AZ74" i="13"/>
  <c r="BA74" i="13"/>
  <c r="T77" i="13"/>
  <c r="AC77" i="13" a="1"/>
  <c r="BJ77" i="13" s="1"/>
  <c r="AD77" i="13" a="1"/>
  <c r="BK77" i="13" s="1"/>
  <c r="R77" i="13"/>
  <c r="AY75" i="13"/>
  <c r="X75" i="13"/>
  <c r="V76" i="13"/>
  <c r="U77" i="13"/>
  <c r="AS76" i="13"/>
  <c r="BE41" i="13"/>
  <c r="BD41" i="13"/>
  <c r="BG41" i="13" s="1"/>
  <c r="Y41" i="13" s="1"/>
  <c r="AR78" i="13" l="1"/>
  <c r="BB78" i="13"/>
  <c r="BI77" i="13"/>
  <c r="W77" i="13"/>
  <c r="AX76" i="13"/>
  <c r="AW77" i="13"/>
  <c r="BN77" i="13"/>
  <c r="BO75" i="13"/>
  <c r="AU77" i="13"/>
  <c r="AG78" i="13" a="1"/>
  <c r="AF78" i="13" a="1"/>
  <c r="L79" i="13"/>
  <c r="BB79" i="13" s="1"/>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a="1"/>
  <c r="AB41" i="13" s="1"/>
  <c r="BF41" i="13"/>
  <c r="BC42" i="13" s="1"/>
  <c r="N40" i="13"/>
  <c r="AV78" i="13" l="1"/>
  <c r="AW78" i="13" s="1"/>
  <c r="AU78" i="13"/>
  <c r="BN78" i="13"/>
  <c r="BI78" i="13"/>
  <c r="W78" i="13"/>
  <c r="AX77" i="13"/>
  <c r="BO76" i="13"/>
  <c r="AF79" i="13" a="1"/>
  <c r="AG79" i="13" a="1"/>
  <c r="L80" i="13"/>
  <c r="BB80" i="13" s="1"/>
  <c r="BL78" i="13"/>
  <c r="V78" i="13"/>
  <c r="AR79" i="13"/>
  <c r="AV79" i="13" s="1"/>
  <c r="BH79" i="13"/>
  <c r="AD79" i="13" a="1"/>
  <c r="BK79" i="13" s="1"/>
  <c r="T79" i="13"/>
  <c r="U79" i="13" s="1"/>
  <c r="AC79" i="13" a="1"/>
  <c r="BJ79" i="13" s="1"/>
  <c r="R79" i="13"/>
  <c r="BA76" i="13"/>
  <c r="AZ76" i="13"/>
  <c r="AY77" i="13"/>
  <c r="X77" i="13"/>
  <c r="AS78" i="13"/>
  <c r="BE42" i="13"/>
  <c r="BD42" i="13"/>
  <c r="BG42" i="13" s="1"/>
  <c r="Y42" i="13" s="1"/>
  <c r="P41" i="13"/>
  <c r="AX78" i="13" l="1"/>
  <c r="BO78" i="13" s="1"/>
  <c r="BI79" i="13"/>
  <c r="W79" i="13"/>
  <c r="AW79" i="13"/>
  <c r="BN79" i="13"/>
  <c r="BO77" i="13"/>
  <c r="AG80" i="13" a="1"/>
  <c r="AF80" i="13" a="1"/>
  <c r="L81" i="13"/>
  <c r="BL79" i="13"/>
  <c r="AY78" i="13"/>
  <c r="X78" i="13"/>
  <c r="AU79" i="13"/>
  <c r="V79" i="13"/>
  <c r="U80" i="13"/>
  <c r="AR80" i="13"/>
  <c r="AV80" i="13" s="1"/>
  <c r="AD80" i="13" a="1"/>
  <c r="BK80" i="13" s="1"/>
  <c r="BH80" i="13"/>
  <c r="T80" i="13"/>
  <c r="AC80" i="13" a="1"/>
  <c r="BJ80" i="13" s="1"/>
  <c r="R80" i="13"/>
  <c r="AZ77" i="13"/>
  <c r="BA77" i="13"/>
  <c r="AS79" i="13"/>
  <c r="Z42" i="13"/>
  <c r="AA42" i="13" s="1" a="1"/>
  <c r="AB42" i="13" s="1"/>
  <c r="P42" i="13"/>
  <c r="BF42" i="13"/>
  <c r="BC43" i="13" s="1"/>
  <c r="N41" i="13"/>
  <c r="X79" i="13" l="1"/>
  <c r="AR81" i="13"/>
  <c r="BB81" i="13"/>
  <c r="BI80" i="13"/>
  <c r="W80" i="13"/>
  <c r="AX79" i="13"/>
  <c r="AW80" i="13"/>
  <c r="BN80" i="13"/>
  <c r="AG81" i="13" a="1"/>
  <c r="AF81" i="13" a="1"/>
  <c r="L82" i="13"/>
  <c r="BB82" i="13" s="1"/>
  <c r="BL80" i="13"/>
  <c r="AZ78" i="13"/>
  <c r="BA78" i="13"/>
  <c r="AY79" i="13"/>
  <c r="U81" i="13"/>
  <c r="V80" i="13"/>
  <c r="AU80" i="13"/>
  <c r="BH81" i="13"/>
  <c r="T81" i="13"/>
  <c r="AC81" i="13" a="1"/>
  <c r="BJ81" i="13" s="1"/>
  <c r="AD81" i="13" a="1"/>
  <c r="BK81" i="13" s="1"/>
  <c r="R81" i="13"/>
  <c r="AS80" i="13"/>
  <c r="BE43" i="13"/>
  <c r="BD43" i="13"/>
  <c r="BG43" i="13" s="1"/>
  <c r="Y43" i="13" s="1"/>
  <c r="AV81" i="13" l="1"/>
  <c r="AW81" i="13" s="1"/>
  <c r="BN81" i="13"/>
  <c r="AU81" i="13"/>
  <c r="BI81" i="13"/>
  <c r="W81" i="13"/>
  <c r="AX80" i="13"/>
  <c r="BO79" i="13"/>
  <c r="AC82" i="13" a="1"/>
  <c r="BJ82" i="13" s="1"/>
  <c r="AD82" i="13" a="1"/>
  <c r="BK82" i="13" s="1"/>
  <c r="R82" i="13"/>
  <c r="T82" i="13"/>
  <c r="AR82" i="13"/>
  <c r="BH82" i="13"/>
  <c r="AG82" i="13" a="1"/>
  <c r="AF82" i="13" a="1"/>
  <c r="BL81" i="13"/>
  <c r="AZ79" i="13"/>
  <c r="BA79" i="13"/>
  <c r="U82" i="13"/>
  <c r="V81" i="13"/>
  <c r="AY80" i="13"/>
  <c r="X80" i="13"/>
  <c r="AS81" i="13"/>
  <c r="Z43" i="13"/>
  <c r="AA43" i="13" s="1" a="1"/>
  <c r="AB43" i="13" s="1"/>
  <c r="BF43" i="13"/>
  <c r="BC44" i="13" s="1"/>
  <c r="N42" i="13"/>
  <c r="AX81" i="13" l="1"/>
  <c r="BI82" i="13"/>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AE40279F-2926-44E8-822F-3B68F447DAEB}">
      <text>
        <r>
          <rPr>
            <b/>
            <sz val="9"/>
            <color indexed="81"/>
            <rFont val="Tahoma"/>
            <family val="2"/>
          </rPr>
          <t>Hatta Misra:</t>
        </r>
        <r>
          <rPr>
            <sz val="9"/>
            <color indexed="81"/>
            <rFont val="Tahoma"/>
            <family val="2"/>
          </rPr>
          <t xml:space="preserve">
Stamp Act 1921 (WA), Second Schedule. Version effective 1 Jan 2006.</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L1" authorId="0" shapeId="0" xr:uid="{AD4EC76A-9696-44E5-870B-86EBB39107B9}">
      <text>
        <r>
          <rPr>
            <b/>
            <sz val="9"/>
            <color indexed="81"/>
            <rFont val="Tahoma"/>
            <family val="2"/>
          </rPr>
          <t>Hatta Misra:</t>
        </r>
        <r>
          <rPr>
            <sz val="9"/>
            <color indexed="81"/>
            <rFont val="Tahoma"/>
            <family val="2"/>
          </rPr>
          <t xml:space="preserve">
Census rents are current rents which tend to be lower than offered market rents (as people are still on leases with lower rents)
Not used - for reference only</t>
        </r>
      </text>
    </comment>
    <comment ref="B27" authorId="0" shapeId="0" xr:uid="{EF23F778-2FB1-4589-B4A8-9AC08DFC7AD3}">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F42DAEFA-7BA8-4FDC-BFD0-39782D6EE819}">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<sst xmlns="http://schemas.openxmlformats.org/spreadsheetml/2006/main" count="982" uniqueCount="673">
  <si>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</si>
  <si>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</si>
  <si>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</si>
  <si>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</si>
  <si>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</si>
  <si>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</si>
  <si>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</si>
  <si>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</si>
  <si>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</si>
  <si>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</si>
  <si>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</si>
  <si>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</si>
  <si>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</si>
  <si>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</si>
  <si>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</si>
  <si>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</si>
  <si>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</si>
  <si>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</si>
  <si>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</si>
  <si>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</si>
  <si>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</si>
  <si>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</si>
  <si>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</si>
  <si>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</si>
  <si>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</si>
  <si>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</si>
  <si>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</si>
  <si>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</si>
  <si>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</si>
  <si>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</si>
  <si>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</si>
  <si>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</si>
  <si>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</si>
  <si>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</si>
  <si>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</si>
  <si>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</si>
  <si>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</si>
  <si>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</si>
  <si>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</si>
  <si>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</si>
  <si>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</si>
  <si>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</si>
  <si>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</si>
  <si>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</si>
  <si>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</si>
  <si>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</si>
  <si>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</si>
  <si>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</si>
  <si>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</si>
  <si>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</si>
  <si>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</si>
  <si>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</si>
  <si>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</si>
  <si>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</si>
  <si>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</si>
  <si>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</si>
  <si>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</si>
  <si>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</si>
  <si>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</si>
  <si>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</si>
  <si>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</si>
  <si>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</si>
  <si>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</si>
  <si>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</si>
  <si>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</si>
  <si>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</si>
  <si>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</si>
  <si>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</si>
  <si>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</si>
  <si>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</si>
  <si>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</si>
  <si>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</si>
  <si>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</si>
  <si>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</si>
  <si>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</si>
  <si>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</si>
  <si>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</si>
  <si>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</si>
  <si>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</si>
  <si>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</si>
  <si>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</si>
  <si>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</si>
  <si>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</si>
  <si>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</si>
  <si>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</si>
  <si>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</si>
  <si>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</si>
  <si>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</si>
  <si>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</si>
  <si>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</si>
  <si>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</si>
  <si>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</si>
  <si>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</si>
  <si>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</si>
  <si>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</si>
  <si>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</si>
  <si>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</si>
  <si>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</si>
  <si>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</si>
  <si>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</si>
  <si>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</si>
  <si>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</si>
  <si>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</si>
  <si>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</si>
  <si>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</si>
  <si>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</si>
  <si>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</si>
  <si>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</si>
  <si>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</si>
  <si>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</si>
  <si>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</si>
  <si>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</si>
  <si>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</si>
  <si>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</si>
  <si>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</si>
  <si>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</si>
  <si>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</si>
  <si>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</si>
  <si>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</si>
  <si>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</si>
  <si>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</si>
  <si>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</si>
  <si>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</si>
  <si>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</si>
  <si>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</si>
  <si>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</si>
  <si>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</si>
  <si>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</si>
  <si>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</si>
  <si>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</si>
  <si>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</si>
  <si>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</si>
  <si>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</si>
  <si>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</si>
  <si>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</si>
  <si>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</si>
  <si>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</si>
  <si>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</si>
  <si>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</si>
  <si>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</si>
  <si>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</si>
  <si>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</si>
  <si>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</si>
  <si>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</si>
  <si>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</si>
  <si>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</si>
  <si>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</si>
  <si>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</si>
  <si>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</si>
  <si>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</si>
  <si>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</si>
  <si>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</si>
  <si>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</si>
  <si>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</si>
  <si>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</si>
  <si>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</si>
  <si>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</si>
  <si>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</si>
  <si>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</si>
  <si>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</si>
  <si>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</si>
  <si>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</si>
  <si>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</si>
  <si>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</si>
  <si>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</si>
  <si>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</si>
  <si>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</si>
  <si>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</si>
  <si>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</si>
  <si>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</si>
  <si>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</si>
  <si>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</si>
  <si>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</si>
  <si>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</si>
  <si>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</si>
  <si>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</si>
  <si>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</si>
  <si>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</si>
  <si>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</si>
  <si>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</si>
  <si>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</si>
  <si>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</si>
  <si>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</si>
  <si>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</si>
  <si>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</si>
  <si>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</si>
  <si>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</si>
  <si>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</si>
  <si>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</si>
  <si>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</si>
  <si>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</si>
  <si>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</si>
  <si>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</si>
  <si>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</si>
  <si>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</si>
  <si>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</si>
  <si>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</si>
  <si>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</si>
  <si>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</si>
  <si>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</si>
  <si>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</si>
  <si>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</si>
  <si>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</si>
  <si>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</si>
  <si>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</si>
  <si>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</si>
  <si>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</si>
  <si>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</si>
  <si>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</si>
  <si>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</si>
  <si>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</si>
  <si>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</si>
  <si>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</si>
  <si>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</si>
  <si>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</si>
  <si>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</si>
  <si>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</si>
  <si>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</si>
  <si>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</si>
  <si>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</si>
  <si>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</si>
  <si>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</si>
  <si>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</si>
  <si>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</si>
  <si>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</si>
  <si>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</si>
  <si>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</si>
  <si>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</si>
  <si>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</si>
  <si>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</si>
  <si>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</si>
  <si>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</si>
  <si>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</si>
  <si>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</si>
  <si>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</si>
  <si>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</si>
  <si>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</si>
  <si>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</si>
  <si>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</si>
  <si>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</si>
  <si>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</si>
  <si>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</si>
  <si>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</si>
  <si>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</si>
  <si>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</si>
  <si>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</si>
  <si>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</si>
  <si>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</si>
  <si>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</si>
  <si>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</si>
  <si>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</si>
  <si>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</si>
  <si>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</si>
  <si>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</si>
  <si>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</si>
  <si>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</si>
  <si>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</si>
  <si>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</si>
  <si>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</si>
  <si>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</si>
  <si>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</si>
  <si>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</si>
  <si>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</si>
  <si>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</si>
  <si>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</si>
  <si>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</si>
  <si>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</si>
  <si>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</si>
  <si>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</si>
  <si>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</si>
  <si>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</si>
  <si>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</si>
  <si>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</si>
  <si>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</si>
  <si>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</si>
  <si>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</si>
  <si>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</si>
  <si>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</si>
  <si>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</si>
  <si>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</si>
  <si>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</si>
  <si>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</si>
  <si>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</si>
  <si>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</si>
  <si>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</si>
  <si>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</si>
  <si>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</si>
  <si>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</si>
  <si>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</si>
  <si>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</si>
  <si>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</si>
  <si>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</si>
  <si>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</si>
  <si>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</si>
  <si>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</si>
  <si>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</si>
  <si>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</si>
  <si>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</si>
  <si>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</si>
  <si>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</si>
  <si>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</si>
  <si>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</si>
  <si>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</si>
  <si>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</si>
  <si>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</si>
  <si>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</si>
  <si>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</si>
  <si>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</si>
  <si>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</si>
  <si>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</si>
  <si>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</si>
  <si>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</si>
  <si>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</si>
  <si>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</si>
  <si>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</si>
  <si>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</si>
  <si>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</si>
  <si>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</si>
  <si>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</si>
  <si>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</si>
  <si>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</si>
  <si>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</si>
  <si>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</si>
  <si>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</si>
  <si>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</si>
  <si>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</si>
  <si>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</si>
  <si>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</si>
  <si>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</si>
  <si>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</si>
  <si>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</si>
  <si>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</si>
  <si>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</si>
  <si>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</si>
  <si>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</si>
  <si>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</si>
  <si>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</si>
  <si>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</si>
  <si>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</si>
  <si>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</si>
  <si>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</si>
  <si>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</si>
  <si>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</si>
  <si>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</si>
  <si>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</si>
  <si>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</si>
  <si>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</si>
  <si>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</si>
  <si>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</si>
  <si>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</si>
  <si>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</si>
  <si>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</si>
  <si>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</si>
  <si>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</si>
  <si>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</si>
  <si>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</si>
  <si>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</si>
  <si>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</si>
  <si>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</si>
  <si>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</si>
  <si>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</si>
  <si>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</si>
  <si>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</si>
  <si>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</si>
  <si>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</si>
  <si>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</si>
  <si>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</si>
  <si>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</si>
  <si>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</si>
  <si>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</si>
  <si>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</si>
  <si>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</si>
  <si>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</si>
  <si>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</si>
  <si>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</si>
  <si>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</si>
  <si>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</si>
  <si>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</si>
  <si>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</si>
  <si>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</si>
  <si>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</si>
  <si>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</si>
  <si>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</si>
  <si>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</si>
  <si>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</si>
  <si>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</si>
  <si>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</si>
  <si>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</si>
  <si>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</si>
  <si>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</si>
  <si>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</si>
  <si>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</si>
  <si>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</si>
  <si>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</si>
  <si>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</si>
  <si>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</si>
  <si>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</si>
  <si>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</si>
  <si>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</si>
  <si>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</si>
  <si>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</si>
  <si>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</si>
  <si>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</si>
  <si>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</si>
  <si>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</si>
  <si>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</si>
  <si>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</si>
  <si>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</si>
  <si>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</si>
  <si>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</si>
  <si>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</si>
  <si>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</si>
  <si>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</si>
  <si>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</si>
  <si>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</si>
  <si>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</si>
  <si>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</si>
  <si>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</si>
  <si>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</si>
  <si>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</si>
  <si>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</si>
  <si>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</si>
  <si>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</si>
  <si>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</si>
  <si>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</si>
  <si>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</si>
  <si>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</si>
  <si>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</si>
  <si>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</si>
  <si>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</si>
  <si>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</si>
  <si>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</si>
  <si>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</si>
  <si>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</si>
  <si>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</si>
  <si>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</si>
  <si>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</si>
  <si>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</si>
  <si>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</si>
  <si>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</si>
  <si>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</si>
  <si>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</si>
  <si>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</si>
  <si>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</si>
  <si>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</si>
  <si>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</si>
  <si>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</si>
  <si>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</si>
  <si>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</si>
  <si>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</si>
  <si>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</si>
  <si>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</si>
  <si>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</si>
  <si>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</si>
  <si>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</si>
  <si>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</si>
  <si>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</si>
  <si>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</si>
  <si>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</si>
  <si>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</si>
  <si>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</si>
  <si>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</si>
  <si>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</si>
  <si>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</si>
  <si>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</si>
  <si>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</si>
  <si>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</si>
  <si>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</si>
  <si>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</si>
  <si>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</si>
  <si>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</si>
  <si>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</si>
  <si>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</si>
  <si>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</si>
  <si>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</si>
  <si>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</si>
  <si>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</si>
  <si>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</si>
  <si>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</si>
  <si>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</si>
  <si>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</si>
  <si>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</si>
  <si>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</si>
  <si>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</si>
  <si>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</si>
  <si>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</si>
  <si>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</si>
  <si>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</si>
  <si>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</si>
  <si>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</si>
  <si>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</si>
  <si>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</si>
  <si>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</si>
  <si>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Consider CGT? Note: Unlikely  to reflect realistic tax liabilities</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</si>
  <si>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</si>
  <si>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</si>
  <si>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</si>
  <si>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</si>
  <si>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</si>
  <si>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</si>
  <si>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</si>
  <si>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</si>
  <si>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</si>
  <si>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</si>
  <si>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</si>
  <si>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</si>
  <si>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</si>
  <si>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</si>
  <si>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</si>
  <si>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</si>
  <si>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</si>
  <si>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</si>
  <si>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</si>
  <si>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</si>
  <si>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</si>
  <si>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</si>
  <si>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</si>
  <si>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</si>
  <si>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</si>
  <si>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</si>
  <si>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</si>
  <si>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</si>
  <si>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</si>
  <si>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</si>
  <si>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</si>
  <si>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</si>
  <si>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</si>
  <si>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</si>
  <si>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</si>
  <si>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</si>
  <si>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</si>
  <si>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</si>
  <si>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</si>
  <si>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</si>
  <si>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</si>
  <si>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</si>
  <si>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</si>
  <si>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</si>
  <si>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</si>
  <si>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</si>
  <si>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</si>
  <si>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</si>
  <si>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</si>
  <si>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</si>
  <si>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</si>
  <si>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</si>
  <si>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</si>
  <si>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</si>
  <si>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</si>
  <si>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</si>
  <si>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</si>
  <si>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</si>
  <si>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</si>
  <si>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</si>
  <si>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</si>
  <si>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</si>
  <si>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</si>
  <si>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</si>
  <si>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</si>
  <si>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</si>
  <si>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</si>
  <si>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</si>
  <si>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</si>
  <si>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</si>
  <si>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</si>
  <si>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</si>
  <si>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</si>
  <si>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</si>
  <si>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</si>
  <si>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</si>
  <si>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</si>
  <si>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</si>
  <si>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</si>
  <si>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</si>
  <si>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</si>
  <si>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</si>
  <si>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</si>
  <si>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</si>
  <si>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</si>
  <si>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</si>
  <si>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</si>
  <si>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</si>
  <si>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</si>
  <si>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</si>
  <si>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</si>
  <si>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</si>
  <si>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</si>
  <si>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</si>
  <si>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</si>
  <si>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</si>
  <si>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</si>
  <si>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</si>
  <si>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</si>
  <si>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</si>
  <si>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</si>
  <si>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</si>
  <si>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</si>
  <si>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</si>
  <si>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</si>
  <si>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</si>
  <si>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</si>
  <si>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</si>
  <si>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</si>
  <si>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</si>
  <si>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</si>
  <si>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</si>
  <si>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</si>
  <si>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</si>
  <si>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</si>
  <si>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</si>
  <si>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</si>
  <si>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</si>
  <si>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</si>
  <si>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</si>
  <si>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</si>
  <si>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</si>
  <si>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</si>
  <si>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</si>
  <si>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</si>
  <si>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</si>
  <si>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</si>
  <si>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</si>
  <si>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</si>
  <si>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</si>
  <si>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</si>
  <si>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</si>
  <si>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</si>
  <si>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</si>
  <si>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Portfolio index (Q_start=100)</t>
  </si>
  <si>
    <t>Renter's insurance and other costs ($ per year, end-quarter dollars)</t>
  </si>
  <si>
    <t>Investment efficiency</t>
  </si>
  <si>
    <t>Other renter costs</t>
  </si>
  <si>
    <t>Year</t>
  </si>
  <si>
    <t>Month</t>
  </si>
  <si>
    <t>Perth</t>
  </si>
  <si>
    <t>Rest of WA</t>
  </si>
  <si>
    <t>Domain</t>
  </si>
  <si>
    <t>Ableson</t>
  </si>
  <si>
    <t>RAI derated</t>
  </si>
  <si>
    <t>Aus Rent CPI numbers</t>
  </si>
  <si>
    <t>Census</t>
  </si>
  <si>
    <t>RAI median</t>
  </si>
  <si>
    <t>Ratio - house</t>
  </si>
  <si>
    <t>Ratio - unit</t>
  </si>
  <si>
    <t>https://www.domain.com.au/research/rental-report</t>
  </si>
  <si>
    <t>Abelson and Joyeux 2023</t>
  </si>
  <si>
    <t>https://appliedeconomics.com.au/wp-content/uploads/2023/10/Complete-WP-Abelson-Joyeux-Sep-2023-5.pdf</t>
  </si>
  <si>
    <t>Perth (FY)</t>
  </si>
  <si>
    <t>House median rent</t>
  </si>
  <si>
    <t>Unit median rent</t>
  </si>
  <si>
    <t>https://sgsep.com.au/projects/rental-affordability-index</t>
  </si>
  <si>
    <t>RAI income assumptions</t>
  </si>
  <si>
    <t>Renter Affordability Index</t>
  </si>
  <si>
    <t>GCCSA</t>
  </si>
  <si>
    <t>Sum of Annual income</t>
  </si>
  <si>
    <t>FY</t>
  </si>
  <si>
    <t>RAI</t>
  </si>
  <si>
    <t>Rent, median weekly</t>
  </si>
  <si>
    <t>Greater Perth</t>
  </si>
  <si>
    <t>2-bed flat median</t>
  </si>
  <si>
    <t>$160 - $179</t>
  </si>
  <si>
    <t>$300-$324</t>
  </si>
  <si>
    <t>$350-$374</t>
  </si>
  <si>
    <t>$325-$349</t>
  </si>
  <si>
    <t>3-bed house median</t>
  </si>
  <si>
    <t>2bf lower bound</t>
  </si>
  <si>
    <t>2bf upper bound</t>
  </si>
  <si>
    <t>2bf lower ratio</t>
  </si>
  <si>
    <t>2bf upper ratio</t>
  </si>
  <si>
    <t>RAI uprated</t>
  </si>
  <si>
    <t>Perth CPI</t>
  </si>
  <si>
    <t>Perth Rent CPI numbers</t>
  </si>
  <si>
    <t>Rent vs buy analysis - Perth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</si>
</sst>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0.0"/>
  </numFmts>
  <fonts count="18"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u/>
      <sz val="11"/>
      <color theme="10"/>
      <name val="Arial"/>
      <family val="2"/>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8">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16" fillId="0" borderId="0" applyNumberFormat="0" applyFill="0" applyBorder="0" applyAlignment="0" applyProtection="0"/>
    <xf numFmtId="0" fontId="17" fillId="0" borderId="0"/>
  </cellStyleXfs>
  <cellXfs count="48">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0" fillId="2" borderId="0" xfId="0" applyFill="1"/>
    <xf numFmtId="171" fontId="0" fillId="0" borderId="0" xfId="0" applyNumberFormat="1"/>
    <xf numFmtId="6" fontId="0" fillId="0" borderId="0" xfId="0" applyNumberFormat="1"/>
  </cellXfs>
  <cellStyles count="8">
    <cellStyle name="Comma" xfId="2" builtinId="3"/>
    <cellStyle name="Comma 2" xfId="4" xr:uid="{08858974-E26C-4C8C-A06B-AA9505693D98}"/>
    <cellStyle name="Comma 3" xfId="5" xr:uid="{2E7F94B6-BC7E-43E6-AF74-4A0A33FAFB5F}"/>
    <cellStyle name="Hyperlink 2" xfId="6" xr:uid="{1869A5C3-0A3F-429E-8621-BEACBAB5CE53}"/>
    <cellStyle name="Normal" xfId="0" builtinId="0"/>
    <cellStyle name="Normal 2" xfId="1" xr:uid="{EA054D48-7445-4D79-A4CC-930395C15F80}"/>
    <cellStyle name="Normal 3" xfId="7" xr:uid="{5E19C680-7C1F-4703-995A-94C079162749}"/>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5.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1.6225908382934464</c:v>
                </c:pt>
                <c:pt idx="1">
                  <c:v>0.99988463350500045</c:v>
                </c:pt>
                <c:pt idx="2">
                  <c:v>0.81926419186701749</c:v>
                </c:pt>
                <c:pt idx="3">
                  <c:v>0.81692009530754872</c:v>
                </c:pt>
                <c:pt idx="4">
                  <c:v>0.85392833953491276</c:v>
                </c:pt>
                <c:pt idx="5">
                  <c:v>0.99762685909977222</c:v>
                </c:pt>
                <c:pt idx="6">
                  <c:v>0.99702086627575226</c:v>
                </c:pt>
                <c:pt idx="7">
                  <c:v>0.9710207391537915</c:v>
                </c:pt>
                <c:pt idx="8">
                  <c:v>0.95398085338410521</c:v>
                </c:pt>
                <c:pt idx="9">
                  <c:v>1.078837787075565</c:v>
                </c:pt>
                <c:pt idx="10">
                  <c:v>1.0805376074284039</c:v>
                </c:pt>
                <c:pt idx="11">
                  <c:v>1.0003152018488028</c:v>
                </c:pt>
                <c:pt idx="12">
                  <c:v>0.82977573173839869</c:v>
                </c:pt>
                <c:pt idx="13">
                  <c:v>0.89120998001530272</c:v>
                </c:pt>
                <c:pt idx="14">
                  <c:v>0.95894023759810132</c:v>
                </c:pt>
                <c:pt idx="15">
                  <c:v>0.84061814626037967</c:v>
                </c:pt>
                <c:pt idx="16">
                  <c:v>0.82714172432577671</c:v>
                </c:pt>
                <c:pt idx="17">
                  <c:v>0.77231642544586632</c:v>
                </c:pt>
                <c:pt idx="18">
                  <c:v>0.93794890553074561</c:v>
                </c:pt>
                <c:pt idx="19">
                  <c:v>1.0367160548773762</c:v>
                </c:pt>
                <c:pt idx="20">
                  <c:v>1.1055389554334814</c:v>
                </c:pt>
                <c:pt idx="21">
                  <c:v>1.2179235456338959</c:v>
                </c:pt>
                <c:pt idx="22">
                  <c:v>1.1539945706181516</c:v>
                </c:pt>
                <c:pt idx="23">
                  <c:v>1.1659846696739213</c:v>
                </c:pt>
                <c:pt idx="24">
                  <c:v>1.2381495447991859</c:v>
                </c:pt>
                <c:pt idx="25">
                  <c:v>1.1240412355696912</c:v>
                </c:pt>
                <c:pt idx="26">
                  <c:v>1.2509894237313728</c:v>
                </c:pt>
                <c:pt idx="27">
                  <c:v>1.2064084945302849</c:v>
                </c:pt>
                <c:pt idx="28">
                  <c:v>1.2468281741326883</c:v>
                </c:pt>
                <c:pt idx="29">
                  <c:v>1.1921680620754744</c:v>
                </c:pt>
                <c:pt idx="30">
                  <c:v>1.3693174516478293</c:v>
                </c:pt>
                <c:pt idx="31">
                  <c:v>1.2561426953241663</c:v>
                </c:pt>
                <c:pt idx="32">
                  <c:v>1.4213624082278304</c:v>
                </c:pt>
                <c:pt idx="33">
                  <c:v>1.5196140686047666</c:v>
                </c:pt>
                <c:pt idx="34">
                  <c:v>1.4563811719214534</c:v>
                </c:pt>
                <c:pt idx="35">
                  <c:v>1.4797466777273049</c:v>
                </c:pt>
                <c:pt idx="36">
                  <c:v>1.5180275893490907</c:v>
                </c:pt>
                <c:pt idx="37">
                  <c:v>1.4946541967938314</c:v>
                </c:pt>
                <c:pt idx="38">
                  <c:v>1.5007346699994453</c:v>
                </c:pt>
                <c:pt idx="39">
                  <c:v>1.5508164158776065</c:v>
                </c:pt>
                <c:pt idx="40">
                  <c:v>1.5997132549907247</c:v>
                </c:pt>
                <c:pt idx="41">
                  <c:v>1.6206732496983267</c:v>
                </c:pt>
                <c:pt idx="42">
                  <c:v>1.8055362084664817</c:v>
                </c:pt>
                <c:pt idx="43">
                  <c:v>1.7234235678520193</c:v>
                </c:pt>
                <c:pt idx="44">
                  <c:v>1.9812128229046331</c:v>
                </c:pt>
                <c:pt idx="45">
                  <c:v>2.0765113766002994</c:v>
                </c:pt>
                <c:pt idx="46">
                  <c:v>2.2347528506923471</c:v>
                </c:pt>
                <c:pt idx="47">
                  <c:v>2.1871790859934643</c:v>
                </c:pt>
                <c:pt idx="48">
                  <c:v>2.205213405024506</c:v>
                </c:pt>
                <c:pt idx="49">
                  <c:v>2.2976030504727665</c:v>
                </c:pt>
                <c:pt idx="50">
                  <c:v>2.7534716798215655</c:v>
                </c:pt>
                <c:pt idx="51">
                  <c:v>2.357068481947564</c:v>
                </c:pt>
                <c:pt idx="52">
                  <c:v>2.6280847570786885</c:v>
                </c:pt>
                <c:pt idx="53">
                  <c:v>2.934926446782073</c:v>
                </c:pt>
                <c:pt idx="54">
                  <c:v>2.9997261323338895</c:v>
                </c:pt>
                <c:pt idx="55">
                  <c:v>2.8662083038486039</c:v>
                </c:pt>
                <c:pt idx="56">
                  <c:v>2.4560814076963244</c:v>
                </c:pt>
                <c:pt idx="57">
                  <c:v>2.964051864483205</c:v>
                </c:pt>
                <c:pt idx="58">
                  <c:v>2.7626489855306664</c:v>
                </c:pt>
                <c:pt idx="59">
                  <c:v>2.6673098431543378</c:v>
                </c:pt>
                <c:pt idx="60">
                  <c:v>2.7067303882958873</c:v>
                </c:pt>
                <c:pt idx="61">
                  <c:v>2.8419021913691109</c:v>
                </c:pt>
                <c:pt idx="62">
                  <c:v>3.0418327331595587</c:v>
                </c:pt>
                <c:pt idx="63">
                  <c:v>2.760216127668953</c:v>
                </c:pt>
                <c:pt idx="64">
                  <c:v>2.767060326316376</c:v>
                </c:pt>
                <c:pt idx="65">
                  <c:v>2.2037080031740723</c:v>
                </c:pt>
                <c:pt idx="66">
                  <c:v>2.1937512681299149</c:v>
                </c:pt>
                <c:pt idx="67">
                  <c:v>2.181575217440785</c:v>
                </c:pt>
                <c:pt idx="68">
                  <c:v>2.3276770362237502</c:v>
                </c:pt>
                <c:pt idx="69">
                  <c:v>2.2521775636231296</c:v>
                </c:pt>
                <c:pt idx="70">
                  <c:v>2.1892792982552343</c:v>
                </c:pt>
                <c:pt idx="71">
                  <c:v>2.0091261331851169</c:v>
                </c:pt>
                <c:pt idx="72">
                  <c:v>1.9382836127772045</c:v>
                </c:pt>
                <c:pt idx="73">
                  <c:v>1.7134588587223463</c:v>
                </c:pt>
                <c:pt idx="74">
                  <c:v>1.7374882986544236</c:v>
                </c:pt>
                <c:pt idx="75">
                  <c:v>1.5904486165044081</c:v>
                </c:pt>
                <c:pt idx="76">
                  <c:v>1.5472141309999456</c:v>
                </c:pt>
                <c:pt idx="77">
                  <c:v>1.6224703799749904</c:v>
                </c:pt>
                <c:pt idx="78">
                  <c:v>1.6614708260507509</c:v>
                </c:pt>
                <c:pt idx="79">
                  <c:v>1.4804049347415043</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112.16216216216216</c:v>
                </c:pt>
                <c:pt idx="2">
                  <c:v>121.62162162162163</c:v>
                </c:pt>
                <c:pt idx="3">
                  <c:v>127.02702702702703</c:v>
                </c:pt>
                <c:pt idx="4">
                  <c:v>128.37837837837839</c:v>
                </c:pt>
                <c:pt idx="5">
                  <c:v>125.67567567567568</c:v>
                </c:pt>
                <c:pt idx="6">
                  <c:v>128.37837837837839</c:v>
                </c:pt>
                <c:pt idx="7">
                  <c:v>129.72972972972974</c:v>
                </c:pt>
                <c:pt idx="8">
                  <c:v>127.02702702702703</c:v>
                </c:pt>
                <c:pt idx="9">
                  <c:v>122.97297297297297</c:v>
                </c:pt>
                <c:pt idx="10">
                  <c:v>118.91891891891892</c:v>
                </c:pt>
                <c:pt idx="11">
                  <c:v>114.86486486486487</c:v>
                </c:pt>
                <c:pt idx="12">
                  <c:v>118.64864864864865</c:v>
                </c:pt>
                <c:pt idx="13">
                  <c:v>122.97297297297297</c:v>
                </c:pt>
                <c:pt idx="14">
                  <c:v>127.83783783783784</c:v>
                </c:pt>
                <c:pt idx="15">
                  <c:v>136.48648648648648</c:v>
                </c:pt>
                <c:pt idx="16">
                  <c:v>140</c:v>
                </c:pt>
                <c:pt idx="17">
                  <c:v>137.83783783783784</c:v>
                </c:pt>
                <c:pt idx="18">
                  <c:v>135.13513513513513</c:v>
                </c:pt>
                <c:pt idx="19">
                  <c:v>135.13513513513513</c:v>
                </c:pt>
                <c:pt idx="20">
                  <c:v>135.13513513513513</c:v>
                </c:pt>
                <c:pt idx="21">
                  <c:v>131.08108108108109</c:v>
                </c:pt>
                <c:pt idx="22">
                  <c:v>127.02702702702703</c:v>
                </c:pt>
                <c:pt idx="23">
                  <c:v>129.72972972972974</c:v>
                </c:pt>
                <c:pt idx="24">
                  <c:v>132.29729729729729</c:v>
                </c:pt>
                <c:pt idx="25">
                  <c:v>134.86486486486487</c:v>
                </c:pt>
                <c:pt idx="26">
                  <c:v>133.78378378378378</c:v>
                </c:pt>
                <c:pt idx="27">
                  <c:v>137.83783783783784</c:v>
                </c:pt>
                <c:pt idx="28">
                  <c:v>140.54054054054055</c:v>
                </c:pt>
                <c:pt idx="29">
                  <c:v>142.97297297297297</c:v>
                </c:pt>
                <c:pt idx="30">
                  <c:v>140.54054054054055</c:v>
                </c:pt>
                <c:pt idx="31">
                  <c:v>149.18918918918919</c:v>
                </c:pt>
                <c:pt idx="32">
                  <c:v>143.37837837837839</c:v>
                </c:pt>
                <c:pt idx="33">
                  <c:v>141.8918918918919</c:v>
                </c:pt>
                <c:pt idx="34">
                  <c:v>143.24324324324326</c:v>
                </c:pt>
                <c:pt idx="35">
                  <c:v>143.51351351351352</c:v>
                </c:pt>
                <c:pt idx="36">
                  <c:v>145</c:v>
                </c:pt>
                <c:pt idx="37">
                  <c:v>145.13513513513513</c:v>
                </c:pt>
                <c:pt idx="38">
                  <c:v>140.54054054054055</c:v>
                </c:pt>
                <c:pt idx="39">
                  <c:v>141.8918918918919</c:v>
                </c:pt>
                <c:pt idx="40">
                  <c:v>140</c:v>
                </c:pt>
                <c:pt idx="41">
                  <c:v>140.54054054054055</c:v>
                </c:pt>
                <c:pt idx="42">
                  <c:v>137.83783783783784</c:v>
                </c:pt>
                <c:pt idx="43">
                  <c:v>141.8918918918919</c:v>
                </c:pt>
                <c:pt idx="44">
                  <c:v>137.83783783783784</c:v>
                </c:pt>
                <c:pt idx="45">
                  <c:v>136.75675675675674</c:v>
                </c:pt>
                <c:pt idx="46">
                  <c:v>135.13513513513513</c:v>
                </c:pt>
                <c:pt idx="47">
                  <c:v>139.18918918918919</c:v>
                </c:pt>
                <c:pt idx="48">
                  <c:v>137.83783783783784</c:v>
                </c:pt>
                <c:pt idx="49">
                  <c:v>137.83783783783784</c:v>
                </c:pt>
                <c:pt idx="50">
                  <c:v>131.08108108108109</c:v>
                </c:pt>
                <c:pt idx="51">
                  <c:v>132.16216216216216</c:v>
                </c:pt>
                <c:pt idx="52">
                  <c:v>132.43243243243242</c:v>
                </c:pt>
                <c:pt idx="53">
                  <c:v>129.72972972972974</c:v>
                </c:pt>
                <c:pt idx="54">
                  <c:v>129.18918918918919</c:v>
                </c:pt>
                <c:pt idx="55">
                  <c:v>133.78378378378378</c:v>
                </c:pt>
                <c:pt idx="56">
                  <c:v>129.05405405405406</c:v>
                </c:pt>
                <c:pt idx="57">
                  <c:v>128.37837837837839</c:v>
                </c:pt>
                <c:pt idx="58">
                  <c:v>133.78378378378378</c:v>
                </c:pt>
                <c:pt idx="59">
                  <c:v>142.70270270270271</c:v>
                </c:pt>
                <c:pt idx="60">
                  <c:v>144.59459459459458</c:v>
                </c:pt>
                <c:pt idx="61">
                  <c:v>145.94594594594594</c:v>
                </c:pt>
                <c:pt idx="62">
                  <c:v>141.8918918918919</c:v>
                </c:pt>
                <c:pt idx="63">
                  <c:v>151.02702702702703</c:v>
                </c:pt>
                <c:pt idx="64">
                  <c:v>148.64864864864865</c:v>
                </c:pt>
                <c:pt idx="65">
                  <c:v>152.70270270270271</c:v>
                </c:pt>
                <c:pt idx="66">
                  <c:v>150</c:v>
                </c:pt>
                <c:pt idx="67">
                  <c:v>156.75675675675674</c:v>
                </c:pt>
                <c:pt idx="68">
                  <c:v>156.21621621621622</c:v>
                </c:pt>
                <c:pt idx="69">
                  <c:v>162.16216216216216</c:v>
                </c:pt>
                <c:pt idx="70">
                  <c:v>162.16216216216216</c:v>
                </c:pt>
                <c:pt idx="71">
                  <c:v>178.37837837837839</c:v>
                </c:pt>
                <c:pt idx="72">
                  <c:v>189.18918918918919</c:v>
                </c:pt>
                <c:pt idx="73">
                  <c:v>204.32432432432432</c:v>
                </c:pt>
                <c:pt idx="74">
                  <c:v>210.81081081081081</c:v>
                </c:pt>
                <c:pt idx="75">
                  <c:v>221.62162162162161</c:v>
                </c:pt>
                <c:pt idx="76">
                  <c:v>222.02702702702703</c:v>
                </c:pt>
                <c:pt idx="77">
                  <c:v>229.72972972972974</c:v>
                </c:pt>
                <c:pt idx="78">
                  <c:v>235.40540540540542</c:v>
                </c:pt>
                <c:pt idx="79">
                  <c:v>257.02702702702703</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111.64186502778269</c:v>
                </c:pt>
                <c:pt idx="2">
                  <c:v>120.53821809497069</c:v>
                </c:pt>
                <c:pt idx="3">
                  <c:v>125.34221408788549</c:v>
                </c:pt>
                <c:pt idx="4">
                  <c:v>126.0658118680435</c:v>
                </c:pt>
                <c:pt idx="5">
                  <c:v>122.72097029696106</c:v>
                </c:pt>
                <c:pt idx="6">
                  <c:v>124.80337205231395</c:v>
                </c:pt>
                <c:pt idx="7">
                  <c:v>125.52298354529982</c:v>
                </c:pt>
                <c:pt idx="8">
                  <c:v>122.17415568704526</c:v>
                </c:pt>
                <c:pt idx="9">
                  <c:v>117.47848271511219</c:v>
                </c:pt>
                <c:pt idx="10">
                  <c:v>112.79476860469551</c:v>
                </c:pt>
                <c:pt idx="11">
                  <c:v>108.12301335579519</c:v>
                </c:pt>
                <c:pt idx="12">
                  <c:v>111.32115955894332</c:v>
                </c:pt>
                <c:pt idx="13">
                  <c:v>115.0500712332186</c:v>
                </c:pt>
                <c:pt idx="14">
                  <c:v>119.30815386375217</c:v>
                </c:pt>
                <c:pt idx="15">
                  <c:v>127.34537538692983</c:v>
                </c:pt>
                <c:pt idx="16">
                  <c:v>130.20877745771935</c:v>
                </c:pt>
                <c:pt idx="17">
                  <c:v>127.37158089216574</c:v>
                </c:pt>
                <c:pt idx="18">
                  <c:v>123.99883531087841</c:v>
                </c:pt>
                <c:pt idx="19">
                  <c:v>123.34369767998086</c:v>
                </c:pt>
                <c:pt idx="20">
                  <c:v>122.68856004908332</c:v>
                </c:pt>
                <c:pt idx="21">
                  <c:v>117.96896935411749</c:v>
                </c:pt>
                <c:pt idx="22">
                  <c:v>113.26133752066804</c:v>
                </c:pt>
                <c:pt idx="23">
                  <c:v>115.3397529888488</c:v>
                </c:pt>
                <c:pt idx="24">
                  <c:v>117.27471411388302</c:v>
                </c:pt>
                <c:pt idx="25">
                  <c:v>119.20210129329021</c:v>
                </c:pt>
                <c:pt idx="26">
                  <c:v>117.46390676940888</c:v>
                </c:pt>
                <c:pt idx="27">
                  <c:v>120.87720848975178</c:v>
                </c:pt>
                <c:pt idx="28">
                  <c:v>122.92373366055551</c:v>
                </c:pt>
                <c:pt idx="29">
                  <c:v>124.69132271941045</c:v>
                </c:pt>
                <c:pt idx="30">
                  <c:v>121.57439278447359</c:v>
                </c:pt>
                <c:pt idx="31">
                  <c:v>129.57414320823324</c:v>
                </c:pt>
                <c:pt idx="32">
                  <c:v>123.05183213224768</c:v>
                </c:pt>
                <c:pt idx="33">
                  <c:v>120.88207869277511</c:v>
                </c:pt>
                <c:pt idx="34">
                  <c:v>121.5618273140397</c:v>
                </c:pt>
                <c:pt idx="35">
                  <c:v>121.15373549771395</c:v>
                </c:pt>
                <c:pt idx="36">
                  <c:v>121.96418234317426</c:v>
                </c:pt>
                <c:pt idx="37">
                  <c:v>121.41542658472247</c:v>
                </c:pt>
                <c:pt idx="38">
                  <c:v>116.12441028947377</c:v>
                </c:pt>
                <c:pt idx="39">
                  <c:v>116.80814519791049</c:v>
                </c:pt>
                <c:pt idx="40">
                  <c:v>114.23633136792044</c:v>
                </c:pt>
                <c:pt idx="41">
                  <c:v>114.10877017841234</c:v>
                </c:pt>
                <c:pt idx="42">
                  <c:v>110.72805202278076</c:v>
                </c:pt>
                <c:pt idx="43">
                  <c:v>114.12939488160727</c:v>
                </c:pt>
                <c:pt idx="44">
                  <c:v>109.3898727507808</c:v>
                </c:pt>
                <c:pt idx="45">
                  <c:v>107.64290839512078</c:v>
                </c:pt>
                <c:pt idx="46">
                  <c:v>105.35720599398937</c:v>
                </c:pt>
                <c:pt idx="47">
                  <c:v>108.76652142716013</c:v>
                </c:pt>
                <c:pt idx="48">
                  <c:v>106.74460724672345</c:v>
                </c:pt>
                <c:pt idx="49">
                  <c:v>106.08149704148165</c:v>
                </c:pt>
                <c:pt idx="50">
                  <c:v>98.644298396126018</c:v>
                </c:pt>
                <c:pt idx="51">
                  <c:v>99.084973777163086</c:v>
                </c:pt>
                <c:pt idx="52">
                  <c:v>98.709569515648781</c:v>
                </c:pt>
                <c:pt idx="53">
                  <c:v>95.352769083049964</c:v>
                </c:pt>
                <c:pt idx="54">
                  <c:v>94.171649525631821</c:v>
                </c:pt>
                <c:pt idx="55">
                  <c:v>98.140431697569056</c:v>
                </c:pt>
                <c:pt idx="56">
                  <c:v>92.747418445763969</c:v>
                </c:pt>
                <c:pt idx="57">
                  <c:v>91.43281026312961</c:v>
                </c:pt>
                <c:pt idx="58">
                  <c:v>96.21687482018379</c:v>
                </c:pt>
                <c:pt idx="59">
                  <c:v>104.50752021740864</c:v>
                </c:pt>
                <c:pt idx="60">
                  <c:v>105.72680414157905</c:v>
                </c:pt>
                <c:pt idx="61">
                  <c:v>106.39858018849939</c:v>
                </c:pt>
                <c:pt idx="62">
                  <c:v>101.64709919615653</c:v>
                </c:pt>
                <c:pt idx="63">
                  <c:v>110.13059770043225</c:v>
                </c:pt>
                <c:pt idx="64">
                  <c:v>107.04410220147042</c:v>
                </c:pt>
                <c:pt idx="65">
                  <c:v>110.4135547629199</c:v>
                </c:pt>
                <c:pt idx="66">
                  <c:v>106.99696002273917</c:v>
                </c:pt>
                <c:pt idx="67">
                  <c:v>113.07206167306205</c:v>
                </c:pt>
                <c:pt idx="68">
                  <c:v>111.81121637220137</c:v>
                </c:pt>
                <c:pt idx="69">
                  <c:v>117.0550904887188</c:v>
                </c:pt>
                <c:pt idx="70">
                  <c:v>116.32022711437871</c:v>
                </c:pt>
                <c:pt idx="71">
                  <c:v>131.84317599631183</c:v>
                </c:pt>
                <c:pt idx="72">
                  <c:v>141.89901868008832</c:v>
                </c:pt>
                <c:pt idx="73">
                  <c:v>156.25838766816065</c:v>
                </c:pt>
                <c:pt idx="74">
                  <c:v>161.90227703655944</c:v>
                </c:pt>
                <c:pt idx="75">
                  <c:v>171.86244882820486</c:v>
                </c:pt>
                <c:pt idx="76">
                  <c:v>171.35863412469797</c:v>
                </c:pt>
                <c:pt idx="77">
                  <c:v>178.16963905036238</c:v>
                </c:pt>
                <c:pt idx="78">
                  <c:v>182.92569560711152</c:v>
                </c:pt>
                <c:pt idx="79">
                  <c:v>203.65185847640637</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Perth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64611.25</c:v>
                </c:pt>
                <c:pt idx="1">
                  <c:v>107766.34655424691</c:v>
                </c:pt>
                <c:pt idx="2">
                  <c:v>140988.60981907556</c:v>
                </c:pt>
                <c:pt idx="3">
                  <c:v>159423.07749580685</c:v>
                </c:pt>
                <c:pt idx="4">
                  <c:v>163121.28339782043</c:v>
                </c:pt>
                <c:pt idx="5">
                  <c:v>152168.5732169291</c:v>
                </c:pt>
                <c:pt idx="6">
                  <c:v>160807.82668903464</c:v>
                </c:pt>
                <c:pt idx="7">
                  <c:v>164512.43826634856</c:v>
                </c:pt>
                <c:pt idx="8">
                  <c:v>153526.84754855809</c:v>
                </c:pt>
                <c:pt idx="9">
                  <c:v>137594.32973854552</c:v>
                </c:pt>
                <c:pt idx="10">
                  <c:v>121706.2226468299</c:v>
                </c:pt>
                <c:pt idx="11">
                  <c:v>105895.13784748875</c:v>
                </c:pt>
                <c:pt idx="12">
                  <c:v>118929.88606709882</c:v>
                </c:pt>
                <c:pt idx="13">
                  <c:v>134116.6194804741</c:v>
                </c:pt>
                <c:pt idx="14">
                  <c:v>151243.01630835334</c:v>
                </c:pt>
                <c:pt idx="15">
                  <c:v>182020.17397922085</c:v>
                </c:pt>
                <c:pt idx="16">
                  <c:v>193979.73889440333</c:v>
                </c:pt>
                <c:pt idx="17">
                  <c:v>185356.34905234049</c:v>
                </c:pt>
                <c:pt idx="18">
                  <c:v>174729.45249967463</c:v>
                </c:pt>
                <c:pt idx="19">
                  <c:v>173928.46925518254</c:v>
                </c:pt>
                <c:pt idx="20">
                  <c:v>173078.98733164632</c:v>
                </c:pt>
                <c:pt idx="21">
                  <c:v>157607.05015188741</c:v>
                </c:pt>
                <c:pt idx="22">
                  <c:v>142218.75290127774</c:v>
                </c:pt>
                <c:pt idx="23">
                  <c:v>151331.52362142113</c:v>
                </c:pt>
                <c:pt idx="24">
                  <c:v>160049.38398674526</c:v>
                </c:pt>
                <c:pt idx="25">
                  <c:v>168735.27043919326</c:v>
                </c:pt>
                <c:pt idx="26">
                  <c:v>164346.90631897844</c:v>
                </c:pt>
                <c:pt idx="27">
                  <c:v>178574.41953507983</c:v>
                </c:pt>
                <c:pt idx="28">
                  <c:v>187985.38759396842</c:v>
                </c:pt>
                <c:pt idx="29">
                  <c:v>196431.98999117588</c:v>
                </c:pt>
                <c:pt idx="30">
                  <c:v>187349.06651023132</c:v>
                </c:pt>
                <c:pt idx="31">
                  <c:v>218443.87769631148</c:v>
                </c:pt>
                <c:pt idx="32">
                  <c:v>197194.66417103854</c:v>
                </c:pt>
                <c:pt idx="33">
                  <c:v>191674.57260891626</c:v>
                </c:pt>
                <c:pt idx="34">
                  <c:v>196459.37044645502</c:v>
                </c:pt>
                <c:pt idx="35">
                  <c:v>197350.92934153051</c:v>
                </c:pt>
                <c:pt idx="36">
                  <c:v>202666.68817207348</c:v>
                </c:pt>
                <c:pt idx="37">
                  <c:v>203167.52381912235</c:v>
                </c:pt>
                <c:pt idx="38">
                  <c:v>186629.75113034932</c:v>
                </c:pt>
                <c:pt idx="39">
                  <c:v>191669.45733137144</c:v>
                </c:pt>
                <c:pt idx="40">
                  <c:v>184962.75803125155</c:v>
                </c:pt>
                <c:pt idx="41">
                  <c:v>187101.31190583273</c:v>
                </c:pt>
                <c:pt idx="42">
                  <c:v>177590.9620035679</c:v>
                </c:pt>
                <c:pt idx="43">
                  <c:v>192585.27398902865</c:v>
                </c:pt>
                <c:pt idx="44">
                  <c:v>178253.47692025045</c:v>
                </c:pt>
                <c:pt idx="45">
                  <c:v>174740.09931351239</c:v>
                </c:pt>
                <c:pt idx="46">
                  <c:v>169325.92799890041</c:v>
                </c:pt>
                <c:pt idx="47">
                  <c:v>184482.37345534249</c:v>
                </c:pt>
                <c:pt idx="48">
                  <c:v>180077.00488083775</c:v>
                </c:pt>
                <c:pt idx="49">
                  <c:v>180604.17461940547</c:v>
                </c:pt>
                <c:pt idx="50">
                  <c:v>156736.12454052555</c:v>
                </c:pt>
                <c:pt idx="51">
                  <c:v>161288.14062361093</c:v>
                </c:pt>
                <c:pt idx="52">
                  <c:v>162925.66647555199</c:v>
                </c:pt>
                <c:pt idx="53">
                  <c:v>153840.95282262316</c:v>
                </c:pt>
                <c:pt idx="54">
                  <c:v>152679.28582223464</c:v>
                </c:pt>
                <c:pt idx="55">
                  <c:v>170163.22589740992</c:v>
                </c:pt>
                <c:pt idx="56">
                  <c:v>153940.07781332216</c:v>
                </c:pt>
                <c:pt idx="57">
                  <c:v>152502.61042511291</c:v>
                </c:pt>
                <c:pt idx="58">
                  <c:v>173138.48650057943</c:v>
                </c:pt>
                <c:pt idx="59">
                  <c:v>206450.36658585959</c:v>
                </c:pt>
                <c:pt idx="60">
                  <c:v>214293.28245191794</c:v>
                </c:pt>
                <c:pt idx="61">
                  <c:v>220193.26844087907</c:v>
                </c:pt>
                <c:pt idx="62">
                  <c:v>206578.63288854304</c:v>
                </c:pt>
                <c:pt idx="63">
                  <c:v>240746.5838871306</c:v>
                </c:pt>
                <c:pt idx="64">
                  <c:v>233222.67358183098</c:v>
                </c:pt>
                <c:pt idx="65">
                  <c:v>249010.74295639817</c:v>
                </c:pt>
                <c:pt idx="66">
                  <c:v>240238.51798888724</c:v>
                </c:pt>
                <c:pt idx="67">
                  <c:v>265504.37555857736</c:v>
                </c:pt>
                <c:pt idx="68">
                  <c:v>264324.84223430272</c:v>
                </c:pt>
                <c:pt idx="69">
                  <c:v>286587.88881240215</c:v>
                </c:pt>
                <c:pt idx="70">
                  <c:v>287259.73448946816</c:v>
                </c:pt>
                <c:pt idx="71">
                  <c:v>346617.71074273426</c:v>
                </c:pt>
                <c:pt idx="72">
                  <c:v>386288.31190592679</c:v>
                </c:pt>
                <c:pt idx="73">
                  <c:v>441540.19611787656</c:v>
                </c:pt>
                <c:pt idx="74">
                  <c:v>465449.79391292215</c:v>
                </c:pt>
                <c:pt idx="75">
                  <c:v>504993.70956612198</c:v>
                </c:pt>
                <c:pt idx="76">
                  <c:v>506867.4096159921</c:v>
                </c:pt>
                <c:pt idx="77">
                  <c:v>535212.94123565953</c:v>
                </c:pt>
                <c:pt idx="78">
                  <c:v>556270.71900041553</c:v>
                </c:pt>
                <c:pt idx="79">
                  <c:v>635007.27377124177</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104837.62230068744</c:v>
                </c:pt>
                <c:pt idx="1">
                  <c:v>107753.91392856603</c:v>
                </c:pt>
                <c:pt idx="2">
                  <c:v>115506.91948587919</c:v>
                </c:pt>
                <c:pt idx="3">
                  <c:v>130235.91566209725</c:v>
                </c:pt>
                <c:pt idx="4">
                  <c:v>139293.88667470473</c:v>
                </c:pt>
                <c:pt idx="5">
                  <c:v>151807.4557520987</c:v>
                </c:pt>
                <c:pt idx="6">
                  <c:v>160328.75866942236</c:v>
                </c:pt>
                <c:pt idx="7">
                  <c:v>159744.98940538228</c:v>
                </c:pt>
                <c:pt idx="8">
                  <c:v>146461.67304174486</c:v>
                </c:pt>
                <c:pt idx="9">
                  <c:v>148441.96220927805</c:v>
                </c:pt>
                <c:pt idx="10">
                  <c:v>131508.15062795422</c:v>
                </c:pt>
                <c:pt idx="11">
                  <c:v>105928.51619071751</c:v>
                </c:pt>
                <c:pt idx="12">
                  <c:v>98685.133236891314</c:v>
                </c:pt>
                <c:pt idx="13">
                  <c:v>119526.06976691328</c:v>
                </c:pt>
                <c:pt idx="14">
                  <c:v>145033.01399378586</c:v>
                </c:pt>
                <c:pt idx="15">
                  <c:v>153009.46123240443</c:v>
                </c:pt>
                <c:pt idx="16">
                  <c:v>160448.73571338071</c:v>
                </c:pt>
                <c:pt idx="17">
                  <c:v>143153.7529337999</c:v>
                </c:pt>
                <c:pt idx="18">
                  <c:v>163887.29873605623</c:v>
                </c:pt>
                <c:pt idx="19">
                  <c:v>180314.43647709387</c:v>
                </c:pt>
                <c:pt idx="20">
                  <c:v>191345.56286211303</c:v>
                </c:pt>
                <c:pt idx="21">
                  <c:v>191953.33733788598</c:v>
                </c:pt>
                <c:pt idx="22">
                  <c:v>164119.668688159</c:v>
                </c:pt>
                <c:pt idx="23">
                  <c:v>176450.23658097396</c:v>
                </c:pt>
                <c:pt idx="24">
                  <c:v>198165.07192857875</c:v>
                </c:pt>
                <c:pt idx="25">
                  <c:v>189665.40186865677</c:v>
                </c:pt>
                <c:pt idx="26">
                  <c:v>205596.24162801274</c:v>
                </c:pt>
                <c:pt idx="27">
                  <c:v>215433.69663293514</c:v>
                </c:pt>
                <c:pt idx="28">
                  <c:v>234385.47757741337</c:v>
                </c:pt>
                <c:pt idx="29">
                  <c:v>234179.94483740916</c:v>
                </c:pt>
                <c:pt idx="30">
                  <c:v>256540.34632238961</c:v>
                </c:pt>
                <c:pt idx="31">
                  <c:v>274396.68130650726</c:v>
                </c:pt>
                <c:pt idx="32">
                  <c:v>280285.0827558256</c:v>
                </c:pt>
                <c:pt idx="33">
                  <c:v>291271.377130315</c:v>
                </c:pt>
                <c:pt idx="34">
                  <c:v>286119.72816575912</c:v>
                </c:pt>
                <c:pt idx="35">
                  <c:v>292029.3820395259</c:v>
                </c:pt>
                <c:pt idx="36">
                  <c:v>307653.62408721657</c:v>
                </c:pt>
                <c:pt idx="37">
                  <c:v>303665.1921284619</c:v>
                </c:pt>
                <c:pt idx="38">
                  <c:v>280081.7379746834</c:v>
                </c:pt>
                <c:pt idx="39">
                  <c:v>297244.14085184329</c:v>
                </c:pt>
                <c:pt idx="40">
                  <c:v>295887.37570223521</c:v>
                </c:pt>
                <c:pt idx="41">
                  <c:v>303230.09118924616</c:v>
                </c:pt>
                <c:pt idx="42">
                  <c:v>320646.91219383699</c:v>
                </c:pt>
                <c:pt idx="43">
                  <c:v>331906.00001393043</c:v>
                </c:pt>
                <c:pt idx="44">
                  <c:v>353158.07420173526</c:v>
                </c:pt>
                <c:pt idx="45">
                  <c:v>362849.80417277466</c:v>
                </c:pt>
                <c:pt idx="46">
                  <c:v>378401.60029166978</c:v>
                </c:pt>
                <c:pt idx="47">
                  <c:v>403495.98895596096</c:v>
                </c:pt>
                <c:pt idx="48">
                  <c:v>397108.22509988683</c:v>
                </c:pt>
                <c:pt idx="49">
                  <c:v>414956.7025336622</c:v>
                </c:pt>
                <c:pt idx="50">
                  <c:v>431568.48012732295</c:v>
                </c:pt>
                <c:pt idx="51">
                  <c:v>380167.19277583982</c:v>
                </c:pt>
                <c:pt idx="52">
                  <c:v>428182.46060128446</c:v>
                </c:pt>
                <c:pt idx="53">
                  <c:v>451511.88103726995</c:v>
                </c:pt>
                <c:pt idx="54">
                  <c:v>457996.0435470324</c:v>
                </c:pt>
                <c:pt idx="55">
                  <c:v>487723.25107682217</c:v>
                </c:pt>
                <c:pt idx="56">
                  <c:v>378089.36301662598</c:v>
                </c:pt>
                <c:pt idx="57">
                  <c:v>452025.6467691118</c:v>
                </c:pt>
                <c:pt idx="58">
                  <c:v>478320.86408714071</c:v>
                </c:pt>
                <c:pt idx="59">
                  <c:v>550667.09491728467</c:v>
                </c:pt>
                <c:pt idx="60">
                  <c:v>580034.13962028013</c:v>
                </c:pt>
                <c:pt idx="61">
                  <c:v>625767.73210686108</c:v>
                </c:pt>
                <c:pt idx="62">
                  <c:v>628377.64749172202</c:v>
                </c:pt>
                <c:pt idx="63">
                  <c:v>664512.60352646443</c:v>
                </c:pt>
                <c:pt idx="64">
                  <c:v>645341.20726571884</c:v>
                </c:pt>
                <c:pt idx="65">
                  <c:v>548746.96712933644</c:v>
                </c:pt>
                <c:pt idx="66">
                  <c:v>527023.55349177273</c:v>
                </c:pt>
                <c:pt idx="67">
                  <c:v>579217.76584068325</c:v>
                </c:pt>
                <c:pt idx="68">
                  <c:v>615262.86537225207</c:v>
                </c:pt>
                <c:pt idx="69">
                  <c:v>645446.81318941223</c:v>
                </c:pt>
                <c:pt idx="70">
                  <c:v>628891.78994008771</c:v>
                </c:pt>
                <c:pt idx="71">
                  <c:v>696398.70087802701</c:v>
                </c:pt>
                <c:pt idx="72">
                  <c:v>748736.30477462744</c:v>
                </c:pt>
                <c:pt idx="73">
                  <c:v>756560.96052017773</c:v>
                </c:pt>
                <c:pt idx="74">
                  <c:v>808713.5705348152</c:v>
                </c:pt>
                <c:pt idx="75">
                  <c:v>803166.54672286753</c:v>
                </c:pt>
                <c:pt idx="76">
                  <c:v>784232.41870120075</c:v>
                </c:pt>
                <c:pt idx="77">
                  <c:v>868367.1441341528</c:v>
                </c:pt>
                <c:pt idx="78">
                  <c:v>924227.57100546558</c:v>
                </c:pt>
                <c:pt idx="79">
                  <c:v>940067.90168769576</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Perth</c:v>
                </c:pt>
              </c:strCache>
            </c:strRef>
          </c:tx>
          <c:spPr>
            <a:ln w="28575" cap="rnd">
              <a:solidFill>
                <a:schemeClr val="accent1"/>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'2BR_F-processed'!$E$2:$E$109</c:f>
              <c:numCache>
                <c:formatCode>General</c:formatCode>
                <c:ptCount val="108"/>
                <c:pt idx="0">
                  <c:v>268.14077025232405</c:v>
                </c:pt>
                <c:pt idx="1">
                  <c:v>272.59628154050466</c:v>
                </c:pt>
                <c:pt idx="2">
                  <c:v>278.26693227091636</c:v>
                </c:pt>
                <c:pt idx="3">
                  <c:v>283.12749003984067</c:v>
                </c:pt>
                <c:pt idx="4">
                  <c:v>290.41832669322713</c:v>
                </c:pt>
                <c:pt idx="5">
                  <c:v>298.92430278884461</c:v>
                </c:pt>
                <c:pt idx="6">
                  <c:v>305</c:v>
                </c:pt>
                <c:pt idx="7">
                  <c:v>305</c:v>
                </c:pt>
                <c:pt idx="8">
                  <c:v>305</c:v>
                </c:pt>
                <c:pt idx="9">
                  <c:v>305</c:v>
                </c:pt>
                <c:pt idx="10">
                  <c:v>327.45633187772927</c:v>
                </c:pt>
                <c:pt idx="11">
                  <c:v>333.18777292576425</c:v>
                </c:pt>
                <c:pt idx="12">
                  <c:v>340.44759825327509</c:v>
                </c:pt>
                <c:pt idx="13">
                  <c:v>346.56113537117909</c:v>
                </c:pt>
                <c:pt idx="14">
                  <c:v>350</c:v>
                </c:pt>
                <c:pt idx="15">
                  <c:v>350</c:v>
                </c:pt>
                <c:pt idx="16">
                  <c:v>350</c:v>
                </c:pt>
                <c:pt idx="17">
                  <c:v>350</c:v>
                </c:pt>
                <c:pt idx="18">
                  <c:v>351.84207392661631</c:v>
                </c:pt>
                <c:pt idx="19">
                  <c:v>354.06657597462436</c:v>
                </c:pt>
                <c:pt idx="20">
                  <c:v>356.29107802263246</c:v>
                </c:pt>
                <c:pt idx="21">
                  <c:v>356.29107802263246</c:v>
                </c:pt>
                <c:pt idx="22">
                  <c:v>365.88036136041558</c:v>
                </c:pt>
                <c:pt idx="23">
                  <c:v>369.06192972007142</c:v>
                </c:pt>
                <c:pt idx="24">
                  <c:v>385.83747198007467</c:v>
                </c:pt>
                <c:pt idx="25">
                  <c:v>416.09923448831574</c:v>
                </c:pt>
                <c:pt idx="26">
                  <c:v>435.02574536663968</c:v>
                </c:pt>
                <c:pt idx="27">
                  <c:v>435.02574536663968</c:v>
                </c:pt>
                <c:pt idx="28">
                  <c:v>439.33293096432919</c:v>
                </c:pt>
                <c:pt idx="29">
                  <c:v>435.02574536663968</c:v>
                </c:pt>
                <c:pt idx="30">
                  <c:v>430.14418140710194</c:v>
                </c:pt>
                <c:pt idx="31">
                  <c:v>430.14418140710194</c:v>
                </c:pt>
                <c:pt idx="32">
                  <c:v>421.95095890410954</c:v>
                </c:pt>
                <c:pt idx="33">
                  <c:v>421.95095890410954</c:v>
                </c:pt>
                <c:pt idx="34">
                  <c:v>411</c:v>
                </c:pt>
                <c:pt idx="35">
                  <c:v>411</c:v>
                </c:pt>
                <c:pt idx="36">
                  <c:v>411</c:v>
                </c:pt>
                <c:pt idx="37">
                  <c:v>411</c:v>
                </c:pt>
                <c:pt idx="38">
                  <c:v>380</c:v>
                </c:pt>
                <c:pt idx="39">
                  <c:v>380</c:v>
                </c:pt>
                <c:pt idx="40">
                  <c:v>380</c:v>
                </c:pt>
                <c:pt idx="41">
                  <c:v>380</c:v>
                </c:pt>
                <c:pt idx="42">
                  <c:v>343</c:v>
                </c:pt>
                <c:pt idx="43">
                  <c:v>343</c:v>
                </c:pt>
                <c:pt idx="44">
                  <c:v>343</c:v>
                </c:pt>
                <c:pt idx="45">
                  <c:v>343</c:v>
                </c:pt>
                <c:pt idx="46">
                  <c:v>330</c:v>
                </c:pt>
                <c:pt idx="47">
                  <c:v>330</c:v>
                </c:pt>
                <c:pt idx="48">
                  <c:v>330</c:v>
                </c:pt>
                <c:pt idx="49">
                  <c:v>330</c:v>
                </c:pt>
                <c:pt idx="50">
                  <c:v>330</c:v>
                </c:pt>
                <c:pt idx="51">
                  <c:v>330</c:v>
                </c:pt>
                <c:pt idx="52">
                  <c:v>330</c:v>
                </c:pt>
                <c:pt idx="53">
                  <c:v>330</c:v>
                </c:pt>
                <c:pt idx="54">
                  <c:v>344</c:v>
                </c:pt>
                <c:pt idx="55">
                  <c:v>344</c:v>
                </c:pt>
                <c:pt idx="56">
                  <c:v>344</c:v>
                </c:pt>
                <c:pt idx="57">
                  <c:v>344</c:v>
                </c:pt>
                <c:pt idx="58">
                  <c:v>380</c:v>
                </c:pt>
                <c:pt idx="59">
                  <c:v>380</c:v>
                </c:pt>
                <c:pt idx="60">
                  <c:v>380</c:v>
                </c:pt>
                <c:pt idx="61">
                  <c:v>380</c:v>
                </c:pt>
                <c:pt idx="62">
                  <c:v>414.00979978925176</c:v>
                </c:pt>
                <c:pt idx="63">
                  <c:v>417.21917808219172</c:v>
                </c:pt>
                <c:pt idx="64">
                  <c:v>420.47870291095882</c:v>
                </c:pt>
                <c:pt idx="65">
                  <c:v>420</c:v>
                </c:pt>
                <c:pt idx="66">
                  <c:v>465.05945430047154</c:v>
                </c:pt>
                <c:pt idx="67">
                  <c:v>440</c:v>
                </c:pt>
                <c:pt idx="68">
                  <c:v>450</c:v>
                </c:pt>
                <c:pt idx="69">
                  <c:v>480</c:v>
                </c:pt>
                <c:pt idx="70">
                  <c:v>500</c:v>
                </c:pt>
                <c:pt idx="71">
                  <c:v>520</c:v>
                </c:pt>
                <c:pt idx="72">
                  <c:v>550</c:v>
                </c:pt>
                <c:pt idx="73">
                  <c:v>550</c:v>
                </c:pt>
                <c:pt idx="74">
                  <c:v>570</c:v>
                </c:pt>
                <c:pt idx="75">
                  <c:v>620</c:v>
                </c:pt>
                <c:pt idx="76">
                  <c:v>650</c:v>
                </c:pt>
                <c:pt idx="77">
                  <c:v>620</c:v>
                </c:pt>
                <c:pt idx="78">
                  <c:v>650</c:v>
                </c:pt>
                <c:pt idx="79">
                  <c:v>660</c:v>
                </c:pt>
              </c:numCache>
            </c:numRef>
          </c:val>
          <c:smooth val="0"/>
          <c:extLst>
            <c:ext xmlns:c16="http://schemas.microsoft.com/office/drawing/2014/chart" uri="{C3380CC4-5D6E-409C-BE32-E72D297353CC}">
              <c16:uniqueId val="{00000000-617F-4C2B-A3D4-409ECC1B6286}"/>
            </c:ext>
          </c:extLst>
        </c:ser>
        <c:ser>
          <c:idx val="1"/>
          <c:order val="1"/>
          <c:tx>
            <c:strRef>
              <c:f>'2BR_F-processed'!#REF!</c:f>
              <c:strCache>
                <c:ptCount val="1"/>
                <c:pt idx="0">
                  <c:v>#REF!</c:v>
                </c:pt>
              </c:strCache>
            </c:strRef>
          </c:tx>
          <c:spPr>
            <a:ln w="28575" cap="rnd">
              <a:solidFill>
                <a:schemeClr val="accent2"/>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'2BR_F-processed'!#REF!</c:f>
              <c:numCache>
                <c:formatCode>General</c:formatCode>
                <c:ptCount val="1"/>
                <c:pt idx="0">
                  <c:v>1</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Perth</c:v>
                </c:pt>
              </c:strCache>
            </c:strRef>
          </c:tx>
          <c:spPr>
            <a:ln w="28575" cap="rnd">
              <a:solidFill>
                <a:schemeClr val="accent1"/>
              </a:solidFill>
              <a:round/>
            </a:ln>
            <a:effectLst/>
          </c:spPr>
          <c:marker>
            <c:symbol val="none"/>
          </c:marker>
          <c:cat>
            <c:numRef>
              <c:f>'3BR_H-processed'!$B$2:$B$97</c:f>
              <c:numCache>
                <c:formatCode>mmm\-yy</c:formatCode>
                <c:ptCount val="96"/>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'3BR_H-processed'!$E$2:$E$97</c:f>
              <c:numCache>
                <c:formatCode>General</c:formatCode>
                <c:ptCount val="96"/>
                <c:pt idx="0">
                  <c:v>297.15272244355913</c:v>
                </c:pt>
                <c:pt idx="1">
                  <c:v>302.09030544488712</c:v>
                </c:pt>
                <c:pt idx="2">
                  <c:v>308.37450199203192</c:v>
                </c:pt>
                <c:pt idx="3">
                  <c:v>313.76095617529882</c:v>
                </c:pt>
                <c:pt idx="4">
                  <c:v>321.84063745019921</c:v>
                </c:pt>
                <c:pt idx="5">
                  <c:v>331.26693227091636</c:v>
                </c:pt>
                <c:pt idx="6">
                  <c:v>338</c:v>
                </c:pt>
                <c:pt idx="7">
                  <c:v>338</c:v>
                </c:pt>
                <c:pt idx="8">
                  <c:v>338</c:v>
                </c:pt>
                <c:pt idx="9">
                  <c:v>338</c:v>
                </c:pt>
                <c:pt idx="10">
                  <c:v>354.58842794759829</c:v>
                </c:pt>
                <c:pt idx="11">
                  <c:v>360.79475982532756</c:v>
                </c:pt>
                <c:pt idx="12">
                  <c:v>368.6561135371179</c:v>
                </c:pt>
                <c:pt idx="13">
                  <c:v>375.27620087336248</c:v>
                </c:pt>
                <c:pt idx="14">
                  <c:v>379</c:v>
                </c:pt>
                <c:pt idx="15">
                  <c:v>379</c:v>
                </c:pt>
                <c:pt idx="16">
                  <c:v>379</c:v>
                </c:pt>
                <c:pt idx="17">
                  <c:v>379</c:v>
                </c:pt>
                <c:pt idx="18">
                  <c:v>388.87808170836541</c:v>
                </c:pt>
                <c:pt idx="19">
                  <c:v>391.33674186669015</c:v>
                </c:pt>
                <c:pt idx="20">
                  <c:v>393.79540202501488</c:v>
                </c:pt>
                <c:pt idx="21">
                  <c:v>393.79540202501488</c:v>
                </c:pt>
                <c:pt idx="22">
                  <c:v>404.39408360888046</c:v>
                </c:pt>
                <c:pt idx="23">
                  <c:v>407.91055390113155</c:v>
                </c:pt>
                <c:pt idx="24">
                  <c:v>426.45194271481938</c:v>
                </c:pt>
                <c:pt idx="25">
                  <c:v>459.89915390813854</c:v>
                </c:pt>
                <c:pt idx="26">
                  <c:v>480.81792908944391</c:v>
                </c:pt>
                <c:pt idx="27">
                  <c:v>480.81792908944391</c:v>
                </c:pt>
                <c:pt idx="28">
                  <c:v>485.57850264478498</c:v>
                </c:pt>
                <c:pt idx="29">
                  <c:v>480.81792908944391</c:v>
                </c:pt>
                <c:pt idx="30">
                  <c:v>475.42251629206004</c:v>
                </c:pt>
                <c:pt idx="31">
                  <c:v>475.42251629206004</c:v>
                </c:pt>
                <c:pt idx="32">
                  <c:v>466.36684931506846</c:v>
                </c:pt>
                <c:pt idx="33">
                  <c:v>466.36684931506846</c:v>
                </c:pt>
                <c:pt idx="34">
                  <c:v>444</c:v>
                </c:pt>
                <c:pt idx="35">
                  <c:v>444</c:v>
                </c:pt>
                <c:pt idx="36">
                  <c:v>444</c:v>
                </c:pt>
                <c:pt idx="37">
                  <c:v>444</c:v>
                </c:pt>
                <c:pt idx="38">
                  <c:v>408</c:v>
                </c:pt>
                <c:pt idx="39">
                  <c:v>408</c:v>
                </c:pt>
                <c:pt idx="40">
                  <c:v>408</c:v>
                </c:pt>
                <c:pt idx="41">
                  <c:v>408</c:v>
                </c:pt>
                <c:pt idx="42">
                  <c:v>378</c:v>
                </c:pt>
                <c:pt idx="43">
                  <c:v>378</c:v>
                </c:pt>
                <c:pt idx="44">
                  <c:v>378</c:v>
                </c:pt>
                <c:pt idx="45">
                  <c:v>378</c:v>
                </c:pt>
                <c:pt idx="46">
                  <c:v>360</c:v>
                </c:pt>
                <c:pt idx="47">
                  <c:v>360</c:v>
                </c:pt>
                <c:pt idx="48">
                  <c:v>360</c:v>
                </c:pt>
                <c:pt idx="49">
                  <c:v>360</c:v>
                </c:pt>
                <c:pt idx="50">
                  <c:v>365</c:v>
                </c:pt>
                <c:pt idx="51">
                  <c:v>365</c:v>
                </c:pt>
                <c:pt idx="52">
                  <c:v>365</c:v>
                </c:pt>
                <c:pt idx="53">
                  <c:v>365</c:v>
                </c:pt>
                <c:pt idx="54">
                  <c:v>376</c:v>
                </c:pt>
                <c:pt idx="55">
                  <c:v>376</c:v>
                </c:pt>
                <c:pt idx="56">
                  <c:v>376</c:v>
                </c:pt>
                <c:pt idx="57">
                  <c:v>376</c:v>
                </c:pt>
                <c:pt idx="58">
                  <c:v>427</c:v>
                </c:pt>
                <c:pt idx="59">
                  <c:v>427</c:v>
                </c:pt>
                <c:pt idx="60">
                  <c:v>427</c:v>
                </c:pt>
                <c:pt idx="61">
                  <c:v>427</c:v>
                </c:pt>
                <c:pt idx="62">
                  <c:v>457.58977871443625</c:v>
                </c:pt>
                <c:pt idx="63">
                  <c:v>461.13698630136986</c:v>
                </c:pt>
                <c:pt idx="64">
                  <c:v>464.7396190068493</c:v>
                </c:pt>
                <c:pt idx="65">
                  <c:v>477</c:v>
                </c:pt>
                <c:pt idx="66">
                  <c:v>514.01308106894226</c:v>
                </c:pt>
                <c:pt idx="67">
                  <c:v>530</c:v>
                </c:pt>
                <c:pt idx="68">
                  <c:v>550</c:v>
                </c:pt>
                <c:pt idx="69">
                  <c:v>580</c:v>
                </c:pt>
                <c:pt idx="70">
                  <c:v>600</c:v>
                </c:pt>
                <c:pt idx="71">
                  <c:v>620</c:v>
                </c:pt>
                <c:pt idx="72">
                  <c:v>650</c:v>
                </c:pt>
                <c:pt idx="73">
                  <c:v>650</c:v>
                </c:pt>
                <c:pt idx="74">
                  <c:v>660</c:v>
                </c:pt>
                <c:pt idx="75">
                  <c:v>670</c:v>
                </c:pt>
                <c:pt idx="76">
                  <c:v>690</c:v>
                </c:pt>
                <c:pt idx="77">
                  <c:v>700</c:v>
                </c:pt>
                <c:pt idx="78">
                  <c:v>700</c:v>
                </c:pt>
                <c:pt idx="79">
                  <c:v>700</c:v>
                </c:pt>
              </c:numCache>
            </c:numRef>
          </c:val>
          <c:smooth val="0"/>
          <c:extLst>
            <c:ext xmlns:c16="http://schemas.microsoft.com/office/drawing/2014/chart" uri="{C3380CC4-5D6E-409C-BE32-E72D297353CC}">
              <c16:uniqueId val="{00000000-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9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9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83347</xdr:colOff>
      <xdr:row>1</xdr:row>
      <xdr:rowOff>30957</xdr:rowOff>
    </xdr:from>
    <xdr:to>
      <xdr:col>11</xdr:col>
      <xdr:colOff>58939</xdr:colOff>
      <xdr:row>39</xdr:row>
      <xdr:rowOff>9524</xdr:rowOff>
    </xdr:to>
    <xdr:pic>
      <xdr:nvPicPr>
        <xdr:cNvPr id="2" name="Picture 1">
          <a:extLst>
            <a:ext uri="{FF2B5EF4-FFF2-40B4-BE49-F238E27FC236}">
              <a16:creationId xmlns:a16="http://schemas.microsoft.com/office/drawing/2014/main" id="{D2EF302A-25AB-4D05-B1D7-055D09F727DD}"/>
            </a:ext>
          </a:extLst>
        </xdr:cNvPr>
        <xdr:cNvPicPr>
          <a:picLocks noChangeAspect="1"/>
        </xdr:cNvPicPr>
      </xdr:nvPicPr>
      <xdr:blipFill>
        <a:blip xmlns:r="http://schemas.openxmlformats.org/officeDocument/2006/relationships" r:embed="rId1"/>
        <a:stretch>
          <a:fillRect/>
        </a:stretch>
      </xdr:blipFill>
      <xdr:spPr>
        <a:xfrm>
          <a:off x="5684047" y="221457"/>
          <a:ext cx="1804392" cy="7217567"/>
        </a:xfrm>
        <a:prstGeom prst="rect">
          <a:avLst/>
        </a:prstGeom>
      </xdr:spPr>
    </xdr:pic>
    <xdr:clientData/>
  </xdr:twoCellAnchor>
  <xdr:twoCellAnchor editAs="oneCell">
    <xdr:from>
      <xdr:col>8</xdr:col>
      <xdr:colOff>96182</xdr:colOff>
      <xdr:row>39</xdr:row>
      <xdr:rowOff>24073</xdr:rowOff>
    </xdr:from>
    <xdr:to>
      <xdr:col>11</xdr:col>
      <xdr:colOff>46435</xdr:colOff>
      <xdr:row>61</xdr:row>
      <xdr:rowOff>27837</xdr:rowOff>
    </xdr:to>
    <xdr:pic>
      <xdr:nvPicPr>
        <xdr:cNvPr id="3" name="Picture 2">
          <a:extLst>
            <a:ext uri="{FF2B5EF4-FFF2-40B4-BE49-F238E27FC236}">
              <a16:creationId xmlns:a16="http://schemas.microsoft.com/office/drawing/2014/main" id="{CED98C3B-F023-47B0-B744-C738D3818565}"/>
            </a:ext>
          </a:extLst>
        </xdr:cNvPr>
        <xdr:cNvPicPr>
          <a:picLocks noChangeAspect="1"/>
        </xdr:cNvPicPr>
      </xdr:nvPicPr>
      <xdr:blipFill>
        <a:blip xmlns:r="http://schemas.openxmlformats.org/officeDocument/2006/relationships" r:embed="rId2"/>
        <a:stretch>
          <a:fillRect/>
        </a:stretch>
      </xdr:blipFill>
      <xdr:spPr>
        <a:xfrm>
          <a:off x="5696882" y="7453573"/>
          <a:ext cx="1779053" cy="41947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0" y="0"/>
    <xdr:ext cx="6194778" cy="4042833"/>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6194778" cy="4042833"/>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B3" sqref="B3"/>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672</v>
      </c>
      <c r="B1" s="5" t="s">
        <v>491</v>
      </c>
      <c r="C1" s="5" t="s">
        <v>490</v>
      </c>
      <c r="O1" s="7"/>
      <c r="S1" s="11"/>
      <c r="T1" t="s">
        <v>14</v>
      </c>
      <c r="X1" s="11" cm="1">
        <f t="array" ref="X1">SUM(_xlfn._xlws.FILTER(X3:X82,ISNUMBER(X3:X82)))</f>
        <v>460364.70824395091</v>
      </c>
      <c r="Y1" s="33"/>
      <c r="AA1" s="34"/>
      <c r="AI1" t="s">
        <v>469</v>
      </c>
      <c r="AP1" s="11"/>
      <c r="AQ1" s="11"/>
      <c r="AR1" t="s">
        <v>21</v>
      </c>
      <c r="AT1" s="11"/>
      <c r="AX1" s="6"/>
      <c r="AY1" t="s">
        <v>326</v>
      </c>
      <c r="BB1" t="s">
        <v>323</v>
      </c>
      <c r="BG1" s="11" cm="1">
        <f t="array" ref="BG1">SUM(_xlfn._xlws.FILTER(BG3:BG82,ISNUMBER(BG3:BG82)))</f>
        <v>703250.45909899939</v>
      </c>
      <c r="BH1" t="s">
        <v>477</v>
      </c>
    </row>
    <row r="2" spans="1:67" x14ac:dyDescent="0.25">
      <c r="A2" s="5" t="s">
        <v>328</v>
      </c>
      <c r="B2" s="32">
        <f>_xlfn.XLOOKUP(Q_end,L:L,O:O)</f>
        <v>1.4804049347415043</v>
      </c>
      <c r="E2" t="str">
        <f>"Renter vs owner wealth, "&amp;Council_Area&amp;IF(B10="2BR_F"," 2-bedroom flat"," 3-bedroom house")</f>
        <v>Renter vs owner wealth, Perth 3-bedroom house</v>
      </c>
      <c r="L2" t="s">
        <v>54</v>
      </c>
      <c r="M2" s="5" t="s">
        <v>62</v>
      </c>
      <c r="N2" s="5" t="s">
        <v>61</v>
      </c>
      <c r="O2" t="s">
        <v>316</v>
      </c>
      <c r="P2" t="s">
        <v>318</v>
      </c>
      <c r="Q2" t="s">
        <v>58</v>
      </c>
      <c r="R2" t="s">
        <v>53</v>
      </c>
      <c r="S2" s="5"/>
      <c r="T2" t="s">
        <v>305</v>
      </c>
      <c r="U2" t="s">
        <v>306</v>
      </c>
      <c r="V2" t="s">
        <v>10</v>
      </c>
      <c r="W2" t="s">
        <v>631</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628</v>
      </c>
      <c r="BM2" t="s">
        <v>482</v>
      </c>
      <c r="BN2" t="s">
        <v>484</v>
      </c>
      <c r="BO2" t="s">
        <v>483</v>
      </c>
    </row>
    <row r="3" spans="1:67" x14ac:dyDescent="0.25">
      <c r="A3" s="5" t="s">
        <v>497</v>
      </c>
      <c r="B3" s="32" cm="1">
        <f t="array" ref="B3">SUM(_xlfn._xlws.FILTER($X$3:$X$82,ISNUMBER($X$3:$X$82)))/(SUM(_xlfn._xlws.FILTER($BG$3:$BG$82,ISNUMBER($BG$3:$BG$82)))-AT3)</f>
        <v>0.75531478503640503</v>
      </c>
      <c r="L3" s="1">
        <f>Q_start</f>
        <v>38777</v>
      </c>
      <c r="M3" s="10">
        <f t="shared" ref="M3:M34" si="0">AP3</f>
        <v>104837.62230068744</v>
      </c>
      <c r="N3" s="10">
        <f>AX3-BC3</f>
        <v>64611.25</v>
      </c>
      <c r="O3" s="7">
        <f>M3/N3</f>
        <v>1.6225908382934464</v>
      </c>
      <c r="P3" s="7">
        <f t="shared" ref="P3:P34" si="1">X3/BG3</f>
        <v>3.8917767833139119E-2</v>
      </c>
      <c r="Q3">
        <v>1</v>
      </c>
      <c r="R3">
        <f t="shared" ref="R3:R34" si="2">EOMONTH(L3,0)-EOMONTH(L3,-3)</f>
        <v>90</v>
      </c>
      <c r="S3" s="22"/>
      <c r="T3" s="22">
        <f>IF($B$10="3BR_H",
INDEX('3BR_H-processed'!$E:$E,MATCH($L3,'3BR_H-processed'!$B:$B,0),MATCH(Council_Area,'3BR_H-processed'!$E$1:$E$1,0)),
INDEX('2BR_F-processed'!$E:$E,MATCH($L3,'2BR_F-processed'!$B:$B,0),MATCH(Council_Area,'2BR_F-processed'!$E$1:$E$1,0)))</f>
        <v>297.15272244355913</v>
      </c>
      <c r="U3" s="22">
        <f>IF(MOD(Q3,4)=1,T3,U2)</f>
        <v>297.15272244355913</v>
      </c>
      <c r="V3" s="22">
        <f>U3*(R3)/7</f>
        <v>3820.5350028457606</v>
      </c>
      <c r="W3" s="22">
        <f>$B$53/4*BH3/_xlfn.XLOOKUP(Q_end,cpi!A:A,cpi!B:B)</f>
        <v>116.93158258465792</v>
      </c>
      <c r="X3" s="22">
        <f>V3+W3</f>
        <v>3937.4665854304185</v>
      </c>
      <c r="Y3" s="22">
        <f t="shared" ref="Y3:Y34" si="3">BG3-X3</f>
        <v>97236.542219812545</v>
      </c>
      <c r="Z3" s="29">
        <f>MAX(0,Y3*$B$47)</f>
        <v>0</v>
      </c>
      <c r="AA3" s="22" cm="1">
        <f t="array" ref="AA3">(Y3+Z3)*eff_invest</f>
        <v>97236.542219812545</v>
      </c>
      <c r="AB3" s="22">
        <f>AA3*(_xlfn.XLOOKUP(Q_end,cpi!A:A,cpi!B:B)/BH3)</f>
        <v>166313.5657116652</v>
      </c>
      <c r="AC3" s="22" cm="1">
        <f t="array" ref="AC3">INDEX('msci-indices'!C:C,MATCH($L3,'msci-indices'!$B:$B)-2)</f>
        <v>754.87961099999995</v>
      </c>
      <c r="AD3" s="22" cm="1">
        <f t="array" ref="AD3">INDEX('msci-indices'!D:D,MATCH($L3,'msci-indices'!$B:$B)-2)</f>
        <v>712.95624699999996</v>
      </c>
      <c r="AE3" s="29">
        <f>AA3</f>
        <v>97236.542219812545</v>
      </c>
      <c r="AF3" s="22" cm="1">
        <f t="array" ref="AF3">INDEX('msci-indices'!C:C,MATCH($L3,'msci-indices'!$B:$B)+1)</f>
        <v>809.32011899999998</v>
      </c>
      <c r="AG3" s="22" cm="1">
        <f t="array" ref="AG3">INDEX('msci-indices'!D:D,MATCH($L3,'msci-indices'!$B:$B)+1)</f>
        <v>780.24346800000001</v>
      </c>
      <c r="AH3" s="22">
        <f t="shared" ref="AH3:AH34" si="4">(InvestFees/4)*AE3</f>
        <v>60.772838887382839</v>
      </c>
      <c r="AI3" s="22">
        <f t="shared" ref="AI3:AI34" si="5">((AF3/AC3)*GlobalPortfolio+(AG3/AD3)*AusPortfolio)*AE3-AH3</f>
        <v>104837.62230068744</v>
      </c>
      <c r="AJ3" s="29">
        <f>AA3</f>
        <v>97236.542219812545</v>
      </c>
      <c r="AK3" s="22">
        <f t="shared" ref="AK3:AK34" si="6">AI3-AJ3</f>
        <v>7601.08008087489</v>
      </c>
      <c r="AL3" s="22">
        <f>AJ3*(_xlfn.XLOOKUP(Q_end,cpi!A:A,cpi!B:B)/BH3)</f>
        <v>166313.5657116652</v>
      </c>
      <c r="AM3" s="29">
        <f>AA3</f>
        <v>97236.542219812545</v>
      </c>
      <c r="AN3" s="22">
        <f>AI3-AM3</f>
        <v>7601.08008087489</v>
      </c>
      <c r="AO3" s="22">
        <f t="shared" ref="AO3:AO34" si="7">IF($B$49="Real gains",MAX($B$50*AN3,0),IF($B$49="Discounted nominal gains",MAX($B$50*AK3/2,0),0))</f>
        <v>0</v>
      </c>
      <c r="AP3" s="22">
        <f>AI3-AO3</f>
        <v>104837.62230068744</v>
      </c>
      <c r="AQ3" s="22"/>
      <c r="AR3" s="10">
        <f>IF($B$10="3BR_H",
INDEX('ns-combined'!$C:$D,MATCH($L3,'ns-combined'!$B:$B,0),MATCH(Council_Area,'ns-combined'!$C$1:$D$1,0))*1000,
INDEX('s-combined'!$C:$D,MATCH($L3,'s-combined'!$B:$B,0),MATCH(Council_Area,'s-combined'!$C$1:$D$1,0))*1000)</f>
        <v>370000</v>
      </c>
      <c r="AS3" s="29">
        <f>AR3*$B$14/4</f>
        <v>925</v>
      </c>
      <c r="AT3" s="13">
        <f>SUM(B20:B26)*AR3</f>
        <v>93750.000000000015</v>
      </c>
      <c r="AU3" s="22">
        <f t="shared" ref="AU3:AU34" si="8">SUM($B$28:$B$29)*AR3</f>
        <v>7400</v>
      </c>
      <c r="AV3" s="22">
        <f t="shared" ref="AV3:AV34" si="9">AR3*$B$15/4</f>
        <v>1063.75</v>
      </c>
      <c r="AW3" s="22">
        <f>SUM($AV$3:AV3)</f>
        <v>1063.75</v>
      </c>
      <c r="AX3" s="22">
        <f>AR3-AS3-AU3-AW3</f>
        <v>360611.25</v>
      </c>
      <c r="AY3" s="22">
        <f t="shared" ref="AY3:AY34" si="10">$B$36*V3</f>
        <v>1337.1872509960162</v>
      </c>
      <c r="AZ3" s="24">
        <f t="shared" ref="AZ3:AZ34" si="11">SUM(AY3:AY3)*4/AR3</f>
        <v>1.4456078389146122E-2</v>
      </c>
      <c r="BA3" s="24">
        <f t="shared" ref="BA3:BA34" si="12">SUM(AY3:AY3)/V3</f>
        <v>0.35000000000000003</v>
      </c>
      <c r="BB3" s="25">
        <f>IF(MortgageRate="Discounted",_xlfn.XLOOKUP(L3,'mortgage-rates'!$A:$A,'mortgage-rates'!$E:$E)/100,_xlfn.XLOOKUP(L3,'mortgage-rates'!$A:$A,'mortgage-rates'!$D:$D)/100)</f>
        <v>6.6400000000000001E-2</v>
      </c>
      <c r="BC3" s="10">
        <f>(1-B20)*AR3</f>
        <v>296000</v>
      </c>
      <c r="BD3" s="10">
        <f t="shared" ref="BD3:BD34" si="13">IF($B$16*12/3-Q3+1&gt;0,-PMT($BB3/4,$B$16*12/3-Q3+1,BC3),0)</f>
        <v>6086.8215542469288</v>
      </c>
      <c r="BE3" s="10">
        <f t="shared" ref="BE3:BE34" si="14">BC3*($BB3/4)</f>
        <v>4913.6000000000004</v>
      </c>
      <c r="BF3" s="10">
        <f>BD3-BE3</f>
        <v>1173.2215542469285</v>
      </c>
      <c r="BG3" s="12">
        <f t="shared" ref="BG3:BG34" si="15">AT3+AY3+BD3</f>
        <v>101174.00880524296</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100.00000000000001</v>
      </c>
      <c r="BN3" s="22">
        <f t="shared" ref="BN3:BN34" si="21">100*AR3/AR$3</f>
        <v>100</v>
      </c>
      <c r="BO3">
        <f t="shared" ref="BO3:BO34" si="22">100*AX3/AX$3</f>
        <v>100</v>
      </c>
    </row>
    <row r="4" spans="1:67" x14ac:dyDescent="0.25">
      <c r="A4" t="s">
        <v>485</v>
      </c>
      <c r="B4" s="4">
        <f>((_xlfn.XLOOKUP(Q_end,L:L,AR:AR)/_xlfn.XLOOKUP(Q_start,L:L,AR:AR))^(1/YEARFRAC(EOMONTH(Q_start,-3)+1,EOMONTH(Q_end,0))))-1</f>
        <v>4.8332234010756148E-2</v>
      </c>
      <c r="L4" s="1">
        <f>IF(DATE(YEAR(L3),MONTH(L3)+3,1)&lt;=Q_end,DATE(YEAR(L3),MONTH(L3)+3,1),"")</f>
        <v>38869</v>
      </c>
      <c r="M4" s="10">
        <f t="shared" si="0"/>
        <v>107753.91392856603</v>
      </c>
      <c r="N4" s="10">
        <f t="shared" ref="N4:N34" si="23">AX4-BC4</f>
        <v>107766.34655424691</v>
      </c>
      <c r="O4" s="7">
        <f t="shared" ref="O4:O67" si="24">M4/N4</f>
        <v>0.99988463350500045</v>
      </c>
      <c r="P4" s="7">
        <f t="shared" si="1"/>
        <v>0.5238454638180392</v>
      </c>
      <c r="Q4">
        <v>2</v>
      </c>
      <c r="R4">
        <f t="shared" si="2"/>
        <v>91</v>
      </c>
      <c r="S4" s="22"/>
      <c r="T4" s="22">
        <f>IF($B$10="3BR_H",
INDEX('3BR_H-processed'!$E:$E,MATCH($L4,'3BR_H-processed'!$B:$B,0),MATCH(Council_Area,'3BR_H-processed'!$E$1:$E$1,0)),
INDEX('2BR_F-processed'!$E:$E,MATCH($L4,'2BR_F-processed'!$B:$B,0),MATCH(Council_Area,'2BR_F-processed'!$E$1:$E$1,0)))</f>
        <v>302.09030544488712</v>
      </c>
      <c r="U4" s="22">
        <f t="shared" ref="U4:U67" si="25">IF(MOD(Q4,4)=1,T4,U3)</f>
        <v>297.15272244355913</v>
      </c>
      <c r="V4" s="22">
        <f>U4*(R4)/7</f>
        <v>3862.9853917662685</v>
      </c>
      <c r="W4" s="22">
        <f>$B$53/4*BH4/_xlfn.XLOOKUP(Q_end,cpi!A:A,cpi!B:B)</f>
        <v>118.72840359364203</v>
      </c>
      <c r="X4" s="22">
        <f t="shared" ref="X4:X34" si="26">V4+W4</f>
        <v>3981.7137953599104</v>
      </c>
      <c r="Y4" s="22">
        <f t="shared" si="3"/>
        <v>3619.2182931595817</v>
      </c>
      <c r="Z4" s="22">
        <f t="shared" ref="Z4:Z35" si="27">Y4*$B$47</f>
        <v>0</v>
      </c>
      <c r="AA4" s="22" cm="1">
        <f t="array" ref="AA4">(Y4+Z4)*eff_invest</f>
        <v>3619.2182931595817</v>
      </c>
      <c r="AB4" s="22">
        <f>AA4*(_xlfn.XLOOKUP(Q_end,cpi!A:A,cpi!B:B)/BH4)</f>
        <v>6096.6343075691666</v>
      </c>
      <c r="AC4" s="22" cm="1">
        <f t="array" ref="AC4">INDEX('msci-indices'!C:C,MATCH($L4,'msci-indices'!$B:$B)-2)</f>
        <v>809.32011899999998</v>
      </c>
      <c r="AD4" s="22" cm="1">
        <f t="array" ref="AD4">INDEX('msci-indices'!D:D,MATCH($L4,'msci-indices'!$B:$B)-2)</f>
        <v>780.24346800000001</v>
      </c>
      <c r="AE4" s="22">
        <f t="shared" ref="AE4:AE35" si="28">AI3+AA4</f>
        <v>108456.84059384701</v>
      </c>
      <c r="AF4" s="22" cm="1">
        <f t="array" ref="AF4">INDEX('msci-indices'!C:C,MATCH($L4,'msci-indices'!$B:$B)+1)</f>
        <v>802.64573099999996</v>
      </c>
      <c r="AG4" s="22" cm="1">
        <f t="array" ref="AG4">INDEX('msci-indices'!D:D,MATCH($L4,'msci-indices'!$B:$B)+1)</f>
        <v>780.02674300000001</v>
      </c>
      <c r="AH4" s="22">
        <f t="shared" si="4"/>
        <v>67.785525371154378</v>
      </c>
      <c r="AI4" s="22">
        <f t="shared" si="5"/>
        <v>107753.91392856603</v>
      </c>
      <c r="AJ4" s="22">
        <f t="shared" ref="AJ4:AJ35" si="29">AJ3+AA4</f>
        <v>100855.76051297213</v>
      </c>
      <c r="AK4" s="22">
        <f t="shared" si="6"/>
        <v>6898.1534155939007</v>
      </c>
      <c r="AL4" s="22">
        <f>AJ4*(_xlfn.XLOOKUP(Q_end,cpi!A:A,cpi!B:B)/BH4)</f>
        <v>169893.23103873184</v>
      </c>
      <c r="AM4" s="22" cm="1">
        <f t="array" ref="AM4">SUMPRODUCT($AA$3:AA4,_xlfn.SORTBY($BH$3:BH4,_xlfn.SEQUENCE(ROWS($BH$3:BH4)),-1)/$BH$3)</f>
        <v>102349.93905772103</v>
      </c>
      <c r="AN4" s="22">
        <f t="shared" ref="AN4:AN67" si="30">AI4-AM4</f>
        <v>5403.9748708450061</v>
      </c>
      <c r="AO4" s="22">
        <f t="shared" si="7"/>
        <v>0</v>
      </c>
      <c r="AP4" s="22">
        <f t="shared" ref="AP4:AP67" si="31">AI4-AO4</f>
        <v>107753.91392856603</v>
      </c>
      <c r="AQ4" s="22"/>
      <c r="AR4" s="10">
        <f>IF($B$10="3BR_H",
INDEX('ns-combined'!$C:$D,MATCH($L4,'ns-combined'!$B:$B,0),MATCH(Council_Area,'ns-combined'!$C$1:$D$1,0))*1000,
INDEX('s-combined'!$C:$D,MATCH($L4,'s-combined'!$B:$B,0),MATCH(Council_Area,'s-combined'!$C$1:$D$1,0))*1000)</f>
        <v>415000</v>
      </c>
      <c r="AS4" s="22">
        <f>AS3+$AS$3</f>
        <v>1850</v>
      </c>
      <c r="AT4" s="10">
        <v>0</v>
      </c>
      <c r="AU4" s="22">
        <f t="shared" si="8"/>
        <v>8300</v>
      </c>
      <c r="AV4" s="22">
        <f t="shared" si="9"/>
        <v>1193.125</v>
      </c>
      <c r="AW4" s="22">
        <f>SUM($AV$3:AV4)</f>
        <v>2256.875</v>
      </c>
      <c r="AX4" s="22">
        <f t="shared" ref="AX4:AX34" si="32">AR4-AS4-AU4-AW4</f>
        <v>402593.125</v>
      </c>
      <c r="AY4" s="22">
        <f t="shared" si="10"/>
        <v>1352.0448871181941</v>
      </c>
      <c r="AZ4" s="24">
        <f t="shared" si="11"/>
        <v>1.3031757948127172E-2</v>
      </c>
      <c r="BA4" s="24">
        <f t="shared" si="12"/>
        <v>0.35000000000000003</v>
      </c>
      <c r="BB4" s="25">
        <f>IF(MortgageRate="Discounted",_xlfn.XLOOKUP(L4,'mortgage-rates'!$A:$A,'mortgage-rates'!$E:$E)/100,_xlfn.XLOOKUP(L4,'mortgage-rates'!$A:$A,'mortgage-rates'!$D:$D)/100)</f>
        <v>6.93E-2</v>
      </c>
      <c r="BC4" s="10">
        <f>BC3-BF3</f>
        <v>294826.77844575309</v>
      </c>
      <c r="BD4" s="10">
        <f t="shared" si="13"/>
        <v>6248.8872014012977</v>
      </c>
      <c r="BE4" s="10">
        <f t="shared" si="14"/>
        <v>5107.8739365726724</v>
      </c>
      <c r="BF4" s="10">
        <f>BD4-BE4</f>
        <v>1141.0132648286253</v>
      </c>
      <c r="BG4" s="12">
        <f t="shared" si="15"/>
        <v>7600.932088519492</v>
      </c>
      <c r="BH4" s="22">
        <f>INDEX(cpi!B:B,MATCH($L4,cpi!A:A))</f>
        <v>85.9</v>
      </c>
      <c r="BI4" s="22">
        <f t="shared" si="16"/>
        <v>101.53664302600474</v>
      </c>
      <c r="BJ4" s="22">
        <f t="shared" si="17"/>
        <v>107.21181327548136</v>
      </c>
      <c r="BK4" s="22">
        <f t="shared" si="18"/>
        <v>109.43777704215839</v>
      </c>
      <c r="BL4" s="22">
        <f t="shared" si="19"/>
        <v>107.87960240548446</v>
      </c>
      <c r="BM4" s="22">
        <f t="shared" si="20"/>
        <v>111.5391787057482</v>
      </c>
      <c r="BN4" s="22">
        <f t="shared" si="21"/>
        <v>112.16216216216216</v>
      </c>
      <c r="BO4">
        <f t="shared" si="22"/>
        <v>111.64186502778269</v>
      </c>
    </row>
    <row r="5" spans="1:67" x14ac:dyDescent="0.25">
      <c r="A5" t="s">
        <v>496</v>
      </c>
      <c r="B5" s="4">
        <f>((_xlfn.XLOOKUP(Q_end,L:L,AX:AX)/_xlfn.XLOOKUP(Q_start,L:L,AX:AX))^(1/YEARFRAC(EOMONTH(Q_start,-3)+1,EOMONTH(Q_end,0))))-1</f>
        <v>3.6201982559688872E-2</v>
      </c>
      <c r="L5" s="1">
        <f t="shared" ref="L5:L68" si="33">DATE(YEAR(L4),MONTH(L4)+3,1)</f>
        <v>38961</v>
      </c>
      <c r="M5" s="10">
        <f t="shared" si="0"/>
        <v>115506.91948587919</v>
      </c>
      <c r="N5" s="10">
        <f t="shared" si="23"/>
        <v>140988.60981907556</v>
      </c>
      <c r="O5" s="7">
        <f t="shared" si="24"/>
        <v>0.81926419186701749</v>
      </c>
      <c r="P5" s="7">
        <f t="shared" si="1"/>
        <v>0.51745901961064178</v>
      </c>
      <c r="Q5">
        <v>3</v>
      </c>
      <c r="R5">
        <f t="shared" si="2"/>
        <v>92</v>
      </c>
      <c r="S5" s="22"/>
      <c r="T5" s="22">
        <f>IF($B$10="3BR_H",
INDEX('3BR_H-processed'!$E:$E,MATCH($L5,'3BR_H-processed'!$B:$B,0),MATCH(Council_Area,'3BR_H-processed'!$E$1:$E$1,0)),
INDEX('2BR_F-processed'!$E:$E,MATCH($L5,'2BR_F-processed'!$B:$B,0),MATCH(Council_Area,'2BR_F-processed'!$E$1:$E$1,0)))</f>
        <v>308.37450199203192</v>
      </c>
      <c r="U5" s="22">
        <f t="shared" si="25"/>
        <v>297.15272244355913</v>
      </c>
      <c r="V5" s="22">
        <f t="shared" ref="V5:V67" si="34">U5*(R5)/7</f>
        <v>3905.435780686777</v>
      </c>
      <c r="W5" s="22">
        <f>$B$53/4*BH5/_xlfn.XLOOKUP(Q_end,cpi!A:A,cpi!B:B)</f>
        <v>119.69592259847963</v>
      </c>
      <c r="X5" s="22">
        <f t="shared" si="26"/>
        <v>4025.1317032852567</v>
      </c>
      <c r="Y5" s="22">
        <f t="shared" si="3"/>
        <v>3753.5165582020727</v>
      </c>
      <c r="Z5" s="22">
        <f t="shared" si="27"/>
        <v>0</v>
      </c>
      <c r="AA5" s="22" cm="1">
        <f t="array" ref="AA5">(Y5+Z5)*eff_invest</f>
        <v>3753.5165582020727</v>
      </c>
      <c r="AB5" s="22">
        <f>AA5*(_xlfn.XLOOKUP(Q_end,cpi!A:A,cpi!B:B)/BH5)</f>
        <v>6271.7534176886829</v>
      </c>
      <c r="AC5" s="22" cm="1">
        <f t="array" ref="AC5">INDEX('msci-indices'!C:C,MATCH($L5,'msci-indices'!$B:$B)-2)</f>
        <v>802.64573099999996</v>
      </c>
      <c r="AD5" s="22" cm="1">
        <f t="array" ref="AD5">INDEX('msci-indices'!D:D,MATCH($L5,'msci-indices'!$B:$B)-2)</f>
        <v>780.02674300000001</v>
      </c>
      <c r="AE5" s="22">
        <f t="shared" si="28"/>
        <v>111507.43048676811</v>
      </c>
      <c r="AF5" s="22" cm="1">
        <f t="array" ref="AF5">INDEX('msci-indices'!C:C,MATCH($L5,'msci-indices'!$B:$B)+1)</f>
        <v>835.13401499999998</v>
      </c>
      <c r="AG5" s="22" cm="1">
        <f t="array" ref="AG5">INDEX('msci-indices'!D:D,MATCH($L5,'msci-indices'!$B:$B)+1)</f>
        <v>801.24066600000003</v>
      </c>
      <c r="AH5" s="22">
        <f t="shared" si="4"/>
        <v>69.69214405423007</v>
      </c>
      <c r="AI5" s="22">
        <f t="shared" si="5"/>
        <v>115506.91948587919</v>
      </c>
      <c r="AJ5" s="22">
        <f t="shared" si="29"/>
        <v>104609.27707117421</v>
      </c>
      <c r="AK5" s="22">
        <f t="shared" si="6"/>
        <v>10897.642414704984</v>
      </c>
      <c r="AL5" s="22">
        <f>AJ5*(_xlfn.XLOOKUP(Q_end,cpi!A:A,cpi!B:B)/BH5)</f>
        <v>174791.71353578416</v>
      </c>
      <c r="AM5" s="22" cm="1">
        <f t="array" ref="AM5">SUMPRODUCT($AA$3:AA5,_xlfn.SORTBY($BH$3:BH5,_xlfn.SEQUENCE(ROWS($BH$3:BH5)),-1)/$BH$3)</f>
        <v>106963.62775936253</v>
      </c>
      <c r="AN5" s="22">
        <f t="shared" si="30"/>
        <v>8543.2917265166616</v>
      </c>
      <c r="AO5" s="22">
        <f t="shared" si="7"/>
        <v>0</v>
      </c>
      <c r="AP5" s="22">
        <f t="shared" si="31"/>
        <v>115506.91948587919</v>
      </c>
      <c r="AQ5" s="22"/>
      <c r="AR5" s="10">
        <f>IF($B$10="3BR_H",
INDEX('ns-combined'!$C:$D,MATCH($L5,'ns-combined'!$B:$B,0),MATCH(Council_Area,'ns-combined'!$C$1:$D$1,0))*1000,
INDEX('s-combined'!$C:$D,MATCH($L5,'s-combined'!$B:$B,0),MATCH(Council_Area,'s-combined'!$C$1:$D$1,0))*1000)</f>
        <v>450000</v>
      </c>
      <c r="AS5" s="22">
        <f t="shared" ref="AS5:AS68" si="35">AS4+$AS$3</f>
        <v>2775</v>
      </c>
      <c r="AT5" s="10">
        <v>0</v>
      </c>
      <c r="AU5" s="22">
        <f t="shared" si="8"/>
        <v>9000</v>
      </c>
      <c r="AV5" s="22">
        <f t="shared" si="9"/>
        <v>1293.75</v>
      </c>
      <c r="AW5" s="22">
        <f>SUM($AV$3:AV5)</f>
        <v>3550.625</v>
      </c>
      <c r="AX5" s="22">
        <f t="shared" si="32"/>
        <v>434674.375</v>
      </c>
      <c r="AY5" s="22">
        <f t="shared" si="10"/>
        <v>1366.9025232403721</v>
      </c>
      <c r="AZ5" s="24">
        <f t="shared" si="11"/>
        <v>1.215024465102553E-2</v>
      </c>
      <c r="BA5" s="24">
        <f t="shared" si="12"/>
        <v>0.35000000000000003</v>
      </c>
      <c r="BB5" s="25">
        <f>IF(MortgageRate="Discounted",_xlfn.XLOOKUP(L5,'mortgage-rates'!$A:$A,'mortgage-rates'!$E:$E)/100,_xlfn.XLOOKUP(L5,'mortgage-rates'!$A:$A,'mortgage-rates'!$D:$D)/100)</f>
        <v>7.22E-2</v>
      </c>
      <c r="BC5" s="10">
        <f>BC4-BF4</f>
        <v>293685.76518092444</v>
      </c>
      <c r="BD5" s="10">
        <f t="shared" si="13"/>
        <v>6411.7457382469574</v>
      </c>
      <c r="BE5" s="10">
        <f t="shared" si="14"/>
        <v>5301.0280615156862</v>
      </c>
      <c r="BF5" s="10">
        <f t="shared" ref="BF5:BF68" si="36">BD5-BE5</f>
        <v>1110.7176767312712</v>
      </c>
      <c r="BG5" s="12">
        <f t="shared" si="15"/>
        <v>7778.6482614873294</v>
      </c>
      <c r="BH5" s="22">
        <f>INDEX(cpi!B:B,MATCH($L5,cpi!A:A))</f>
        <v>86.6</v>
      </c>
      <c r="BI5" s="22">
        <f t="shared" si="16"/>
        <v>102.36406619385343</v>
      </c>
      <c r="BJ5" s="22">
        <f t="shared" si="17"/>
        <v>106.3276473895915</v>
      </c>
      <c r="BK5" s="22">
        <f t="shared" si="18"/>
        <v>109.40737896360702</v>
      </c>
      <c r="BL5" s="22">
        <f t="shared" si="19"/>
        <v>107.25156686179616</v>
      </c>
      <c r="BM5" s="22">
        <f t="shared" si="20"/>
        <v>114.67646621441439</v>
      </c>
      <c r="BN5" s="22">
        <f t="shared" si="21"/>
        <v>121.62162162162163</v>
      </c>
      <c r="BO5">
        <f t="shared" si="22"/>
        <v>120.53821809497069</v>
      </c>
    </row>
    <row r="6" spans="1:67" x14ac:dyDescent="0.25">
      <c r="A6" t="s">
        <v>462</v>
      </c>
      <c r="B6" s="4">
        <f>((_xlfn.XLOOKUP(Q_end,L:L,U:U)/_xlfn.XLOOKUP(Q_start,L:L,U:U))^(1/YEARFRAC(EOMONTH(Q_start,-3)+1,EOMONTH(Q_end,0))))-1</f>
        <v>4.3021999897177476E-2</v>
      </c>
      <c r="L6" s="1">
        <f t="shared" si="33"/>
        <v>39052</v>
      </c>
      <c r="M6" s="10">
        <f t="shared" si="0"/>
        <v>130235.91566209725</v>
      </c>
      <c r="N6" s="10">
        <f t="shared" si="23"/>
        <v>159423.07749580685</v>
      </c>
      <c r="O6" s="7">
        <f t="shared" si="24"/>
        <v>0.81692009530754872</v>
      </c>
      <c r="P6" s="7">
        <f t="shared" si="1"/>
        <v>0.50826859052129714</v>
      </c>
      <c r="Q6">
        <v>4</v>
      </c>
      <c r="R6">
        <f t="shared" si="2"/>
        <v>92</v>
      </c>
      <c r="S6" s="22"/>
      <c r="T6" s="22">
        <f>IF($B$10="3BR_H",
INDEX('3BR_H-processed'!$E:$E,MATCH($L6,'3BR_H-processed'!$B:$B,0),MATCH(Council_Area,'3BR_H-processed'!$E$1:$E$1,0)),
INDEX('2BR_F-processed'!$E:$E,MATCH($L6,'2BR_F-processed'!$B:$B,0),MATCH(Council_Area,'2BR_F-processed'!$E$1:$E$1,0)))</f>
        <v>313.76095617529882</v>
      </c>
      <c r="U6" s="22">
        <f t="shared" si="25"/>
        <v>297.15272244355913</v>
      </c>
      <c r="V6" s="22">
        <f t="shared" si="34"/>
        <v>3905.435780686777</v>
      </c>
      <c r="W6" s="22">
        <f>$B$53/4*BH6/_xlfn.XLOOKUP(Q_end,cpi!A:A,cpi!B:B)</f>
        <v>119.83413959917071</v>
      </c>
      <c r="X6" s="22">
        <f t="shared" si="26"/>
        <v>4025.2699202859476</v>
      </c>
      <c r="Y6" s="22">
        <f t="shared" si="3"/>
        <v>3894.3025171088111</v>
      </c>
      <c r="Z6" s="22">
        <f t="shared" si="27"/>
        <v>0</v>
      </c>
      <c r="AA6" s="22" cm="1">
        <f t="array" ref="AA6">(Y6+Z6)*eff_invest</f>
        <v>3894.3025171088111</v>
      </c>
      <c r="AB6" s="22">
        <f>AA6*(_xlfn.XLOOKUP(Q_end,cpi!A:A,cpi!B:B)/BH6)</f>
        <v>6499.4875919912902</v>
      </c>
      <c r="AC6" s="22" cm="1">
        <f t="array" ref="AC6">INDEX('msci-indices'!C:C,MATCH($L6,'msci-indices'!$B:$B)-2)</f>
        <v>835.13401499999998</v>
      </c>
      <c r="AD6" s="22" cm="1">
        <f t="array" ref="AD6">INDEX('msci-indices'!D:D,MATCH($L6,'msci-indices'!$B:$B)-2)</f>
        <v>801.24066600000003</v>
      </c>
      <c r="AE6" s="22">
        <f t="shared" si="28"/>
        <v>119401.222002988</v>
      </c>
      <c r="AF6" s="22" cm="1">
        <f t="array" ref="AF6">INDEX('msci-indices'!C:C,MATCH($L6,'msci-indices'!$B:$B)+1)</f>
        <v>906.58022200000005</v>
      </c>
      <c r="AG6" s="22" cm="1">
        <f t="array" ref="AG6">INDEX('msci-indices'!D:D,MATCH($L6,'msci-indices'!$B:$B)+1)</f>
        <v>885.32149100000004</v>
      </c>
      <c r="AH6" s="22">
        <f t="shared" si="4"/>
        <v>74.625763751867495</v>
      </c>
      <c r="AI6" s="22">
        <f t="shared" si="5"/>
        <v>130235.91566209725</v>
      </c>
      <c r="AJ6" s="22">
        <f t="shared" si="29"/>
        <v>108503.57958828301</v>
      </c>
      <c r="AK6" s="22">
        <f t="shared" si="6"/>
        <v>21732.336073814236</v>
      </c>
      <c r="AL6" s="22">
        <f>AJ6*(_xlfn.XLOOKUP(Q_end,cpi!A:A,cpi!B:B)/BH6)</f>
        <v>181089.59592185178</v>
      </c>
      <c r="AM6" s="22" cm="1">
        <f t="array" ref="AM6">SUMPRODUCT($AA$3:AA6,_xlfn.SORTBY($BH$3:BH6,_xlfn.SEQUENCE(ROWS($BH$3:BH6)),-1)/$BH$3)</f>
        <v>111060.49148868004</v>
      </c>
      <c r="AN6" s="22">
        <f t="shared" si="30"/>
        <v>19175.42417341721</v>
      </c>
      <c r="AO6" s="22">
        <f t="shared" si="7"/>
        <v>0</v>
      </c>
      <c r="AP6" s="22">
        <f t="shared" si="31"/>
        <v>130235.91566209725</v>
      </c>
      <c r="AQ6" s="22"/>
      <c r="AR6" s="10">
        <f>IF($B$10="3BR_H",
INDEX('ns-combined'!$C:$D,MATCH($L6,'ns-combined'!$B:$B,0),MATCH(Council_Area,'ns-combined'!$C$1:$D$1,0))*1000,
INDEX('s-combined'!$C:$D,MATCH($L6,'s-combined'!$B:$B,0),MATCH(Council_Area,'s-combined'!$C$1:$D$1,0))*1000)</f>
        <v>470000</v>
      </c>
      <c r="AS6" s="22">
        <f t="shared" si="35"/>
        <v>3700</v>
      </c>
      <c r="AT6" s="10">
        <v>0</v>
      </c>
      <c r="AU6" s="22">
        <f t="shared" si="8"/>
        <v>9400</v>
      </c>
      <c r="AV6" s="22">
        <f t="shared" si="9"/>
        <v>1351.25</v>
      </c>
      <c r="AW6" s="22">
        <f>SUM($AV$3:AV6)</f>
        <v>4901.875</v>
      </c>
      <c r="AX6" s="22">
        <f t="shared" si="32"/>
        <v>451998.125</v>
      </c>
      <c r="AY6" s="22">
        <f t="shared" si="10"/>
        <v>1366.9025232403721</v>
      </c>
      <c r="AZ6" s="24">
        <f t="shared" si="11"/>
        <v>1.1633212963747848E-2</v>
      </c>
      <c r="BA6" s="24">
        <f t="shared" si="12"/>
        <v>0.35000000000000003</v>
      </c>
      <c r="BB6" s="25">
        <f>IF(MortgageRate="Discounted",_xlfn.XLOOKUP(L6,'mortgage-rates'!$A:$A,'mortgage-rates'!$E:$E)/100,_xlfn.XLOOKUP(L6,'mortgage-rates'!$A:$A,'mortgage-rates'!$D:$D)/100)</f>
        <v>7.4700000000000003E-2</v>
      </c>
      <c r="BC6" s="10">
        <f t="shared" ref="BC6:BC35" si="37">BC5-BF5</f>
        <v>292575.04750419315</v>
      </c>
      <c r="BD6" s="10">
        <f t="shared" si="13"/>
        <v>6552.6699141543868</v>
      </c>
      <c r="BE6" s="10">
        <f t="shared" si="14"/>
        <v>5463.8390121408074</v>
      </c>
      <c r="BF6" s="10">
        <f t="shared" si="36"/>
        <v>1088.8309020135794</v>
      </c>
      <c r="BG6" s="12">
        <f t="shared" si="15"/>
        <v>7919.5724373947587</v>
      </c>
      <c r="BH6" s="22">
        <f>INDEX(cpi!B:B,MATCH($L6,cpi!A:A))</f>
        <v>86.7</v>
      </c>
      <c r="BI6" s="22">
        <f t="shared" si="16"/>
        <v>102.48226950354611</v>
      </c>
      <c r="BJ6" s="22">
        <f t="shared" si="17"/>
        <v>110.63141762349176</v>
      </c>
      <c r="BK6" s="22">
        <f t="shared" si="18"/>
        <v>112.38286632194978</v>
      </c>
      <c r="BL6" s="22">
        <f t="shared" si="19"/>
        <v>111.15685223302917</v>
      </c>
      <c r="BM6" s="22">
        <f t="shared" si="20"/>
        <v>122.79459889993832</v>
      </c>
      <c r="BN6" s="22">
        <f t="shared" si="21"/>
        <v>127.02702702702703</v>
      </c>
      <c r="BO6">
        <f t="shared" si="22"/>
        <v>125.34221408788549</v>
      </c>
    </row>
    <row r="7" spans="1:67" x14ac:dyDescent="0.25">
      <c r="A7" t="s">
        <v>486</v>
      </c>
      <c r="B7" s="4">
        <f>((_xlfn.XLOOKUP(Q_end,L:L,BL:BL)/_xlfn.XLOOKUP(Q_start,L:L,BL:BL))^(1/YEARFRAC(EOMONTH(Q_start,-3)+1,EOMONTH(Q_end,0))))-1</f>
        <v>8.0631421747286103E-2</v>
      </c>
      <c r="L7" s="1">
        <f t="shared" si="33"/>
        <v>39142</v>
      </c>
      <c r="M7" s="10">
        <f t="shared" si="0"/>
        <v>139293.88667470473</v>
      </c>
      <c r="N7" s="10">
        <f t="shared" si="23"/>
        <v>163121.28339782043</v>
      </c>
      <c r="O7" s="7">
        <f t="shared" si="24"/>
        <v>0.85392833953491276</v>
      </c>
      <c r="P7" s="7">
        <f t="shared" si="1"/>
        <v>0.5321597699897892</v>
      </c>
      <c r="Q7">
        <v>5</v>
      </c>
      <c r="R7">
        <f t="shared" si="2"/>
        <v>90</v>
      </c>
      <c r="S7" s="22"/>
      <c r="T7" s="22">
        <f>IF($B$10="3BR_H",
INDEX('3BR_H-processed'!$E:$E,MATCH($L7,'3BR_H-processed'!$B:$B,0),MATCH(Council_Area,'3BR_H-processed'!$E$1:$E$1,0)),
INDEX('2BR_F-processed'!$E:$E,MATCH($L7,'2BR_F-processed'!$B:$B,0),MATCH(Council_Area,'2BR_F-processed'!$E$1:$E$1,0)))</f>
        <v>321.84063745019921</v>
      </c>
      <c r="U7" s="22">
        <f>IF(MOD(Q7,4)=1,T7,U6)</f>
        <v>321.84063745019921</v>
      </c>
      <c r="V7" s="22">
        <f t="shared" si="34"/>
        <v>4137.9510529311328</v>
      </c>
      <c r="W7" s="22">
        <f>$B$53/4*BH7/_xlfn.XLOOKUP(Q_end,cpi!A:A,cpi!B:B)</f>
        <v>119.83413959917071</v>
      </c>
      <c r="X7" s="22">
        <f t="shared" si="26"/>
        <v>4257.7851925303039</v>
      </c>
      <c r="Y7" s="22">
        <f t="shared" si="3"/>
        <v>3743.1675901499802</v>
      </c>
      <c r="Z7" s="22">
        <f t="shared" si="27"/>
        <v>0</v>
      </c>
      <c r="AA7" s="22" cm="1">
        <f t="array" ref="AA7">(Y7+Z7)*eff_invest</f>
        <v>3743.1675901499802</v>
      </c>
      <c r="AB7" s="22">
        <f>AA7*(_xlfn.XLOOKUP(Q_end,cpi!A:A,cpi!B:B)/BH7)</f>
        <v>6247.2474082433919</v>
      </c>
      <c r="AC7" s="22" cm="1">
        <f t="array" ref="AC7">INDEX('msci-indices'!C:C,MATCH($L7,'msci-indices'!$B:$B)-2)</f>
        <v>906.58022200000005</v>
      </c>
      <c r="AD7" s="22" cm="1">
        <f t="array" ref="AD7">INDEX('msci-indices'!D:D,MATCH($L7,'msci-indices'!$B:$B)-2)</f>
        <v>885.32149100000004</v>
      </c>
      <c r="AE7" s="22">
        <f t="shared" si="28"/>
        <v>133979.08325224722</v>
      </c>
      <c r="AF7" s="22" cm="1">
        <f t="array" ref="AF7">INDEX('msci-indices'!C:C,MATCH($L7,'msci-indices'!$B:$B)+1)</f>
        <v>932.09759399999996</v>
      </c>
      <c r="AG7" s="22" cm="1">
        <f t="array" ref="AG7">INDEX('msci-indices'!D:D,MATCH($L7,'msci-indices'!$B:$B)+1)</f>
        <v>946.08734200000004</v>
      </c>
      <c r="AH7" s="22">
        <f t="shared" si="4"/>
        <v>83.736927032654521</v>
      </c>
      <c r="AI7" s="22">
        <f t="shared" si="5"/>
        <v>139293.88667470473</v>
      </c>
      <c r="AJ7" s="22">
        <f t="shared" si="29"/>
        <v>112246.747178433</v>
      </c>
      <c r="AK7" s="22">
        <f t="shared" si="6"/>
        <v>27047.139496271731</v>
      </c>
      <c r="AL7" s="22">
        <f>AJ7*(_xlfn.XLOOKUP(Q_end,cpi!A:A,cpi!B:B)/BH7)</f>
        <v>187336.84333009517</v>
      </c>
      <c r="AM7" s="22" cm="1">
        <f t="array" ref="AM7">SUMPRODUCT($AA$3:AA7,_xlfn.SORTBY($BH$3:BH7,_xlfn.SEQUENCE(ROWS($BH$3:BH7)),-1)/$BH$3)</f>
        <v>114898.83610828982</v>
      </c>
      <c r="AN7" s="22">
        <f t="shared" si="30"/>
        <v>24395.05056641491</v>
      </c>
      <c r="AO7" s="22">
        <f t="shared" si="7"/>
        <v>0</v>
      </c>
      <c r="AP7" s="22">
        <f t="shared" si="31"/>
        <v>139293.88667470473</v>
      </c>
      <c r="AQ7" s="22"/>
      <c r="AR7" s="10">
        <f>IF($B$10="3BR_H",
INDEX('ns-combined'!$C:$D,MATCH($L7,'ns-combined'!$B:$B,0),MATCH(Council_Area,'ns-combined'!$C$1:$D$1,0))*1000,
INDEX('s-combined'!$C:$D,MATCH($L7,'s-combined'!$B:$B,0),MATCH(Council_Area,'s-combined'!$C$1:$D$1,0))*1000)</f>
        <v>475000</v>
      </c>
      <c r="AS7" s="22">
        <f t="shared" si="35"/>
        <v>4625</v>
      </c>
      <c r="AT7" s="10">
        <v>0</v>
      </c>
      <c r="AU7" s="22">
        <f t="shared" si="8"/>
        <v>9500</v>
      </c>
      <c r="AV7" s="22">
        <f t="shared" si="9"/>
        <v>1365.625</v>
      </c>
      <c r="AW7" s="22">
        <f>SUM($AV$3:AV7)</f>
        <v>6267.5</v>
      </c>
      <c r="AX7" s="22">
        <f t="shared" si="32"/>
        <v>454607.5</v>
      </c>
      <c r="AY7" s="22">
        <f t="shared" si="10"/>
        <v>1448.2828685258967</v>
      </c>
      <c r="AZ7" s="24">
        <f t="shared" si="11"/>
        <v>1.2196066261270708E-2</v>
      </c>
      <c r="BA7" s="24">
        <f t="shared" si="12"/>
        <v>0.35000000000000003</v>
      </c>
      <c r="BB7" s="25">
        <f>IF(MortgageRate="Discounted",_xlfn.XLOOKUP(L7,'mortgage-rates'!$A:$A,'mortgage-rates'!$E:$E)/100,_xlfn.XLOOKUP(L7,'mortgage-rates'!$A:$A,'mortgage-rates'!$D:$D)/100)</f>
        <v>7.4700000000000003E-2</v>
      </c>
      <c r="BC7" s="10">
        <f t="shared" si="37"/>
        <v>291486.21660217957</v>
      </c>
      <c r="BD7" s="10">
        <f t="shared" si="13"/>
        <v>6552.6699141543877</v>
      </c>
      <c r="BE7" s="10">
        <f t="shared" si="14"/>
        <v>5443.5050950457035</v>
      </c>
      <c r="BF7" s="10">
        <f t="shared" si="36"/>
        <v>1109.1648191086842</v>
      </c>
      <c r="BG7" s="12">
        <f t="shared" si="15"/>
        <v>8000.9527826802841</v>
      </c>
      <c r="BH7" s="22">
        <f>INDEX(cpi!B:B,MATCH($L7,cpi!A:A))</f>
        <v>86.7</v>
      </c>
      <c r="BI7" s="22">
        <f t="shared" si="16"/>
        <v>102.48226950354611</v>
      </c>
      <c r="BJ7" s="22">
        <f t="shared" si="17"/>
        <v>120.09600057935597</v>
      </c>
      <c r="BK7" s="22">
        <f t="shared" si="18"/>
        <v>124.17613208738743</v>
      </c>
      <c r="BL7" s="22">
        <f t="shared" si="19"/>
        <v>121.32004003176542</v>
      </c>
      <c r="BM7" s="22">
        <f t="shared" si="20"/>
        <v>137.78676225381875</v>
      </c>
      <c r="BN7" s="22">
        <f t="shared" si="21"/>
        <v>128.37837837837839</v>
      </c>
      <c r="BO7">
        <f t="shared" si="22"/>
        <v>126.0658118680435</v>
      </c>
    </row>
    <row r="8" spans="1:67" x14ac:dyDescent="0.25">
      <c r="A8" t="s">
        <v>487</v>
      </c>
      <c r="B8" s="4">
        <f>((_xlfn.XLOOKUP(Q_end,L:L,BI:BI)/_xlfn.XLOOKUP(Q_start,L:L,BI:BI))^(1/YEARFRAC(EOMONTH(Q_start,-3)+1,EOMONTH(Q_end,0))))-1</f>
        <v>2.7199757989349482E-2</v>
      </c>
      <c r="L8" s="1">
        <f t="shared" si="33"/>
        <v>39234</v>
      </c>
      <c r="M8" s="10">
        <f t="shared" si="0"/>
        <v>151807.4557520987</v>
      </c>
      <c r="N8" s="10">
        <f t="shared" si="23"/>
        <v>152168.5732169291</v>
      </c>
      <c r="O8" s="7">
        <f t="shared" si="24"/>
        <v>0.99762685909977222</v>
      </c>
      <c r="P8" s="7">
        <f t="shared" si="1"/>
        <v>0.53699894363117884</v>
      </c>
      <c r="Q8">
        <v>6</v>
      </c>
      <c r="R8">
        <f t="shared" si="2"/>
        <v>91</v>
      </c>
      <c r="S8" s="22"/>
      <c r="T8" s="22">
        <f>IF($B$10="3BR_H",
INDEX('3BR_H-processed'!$E:$E,MATCH($L8,'3BR_H-processed'!$B:$B,0),MATCH(Council_Area,'3BR_H-processed'!$E$1:$E$1,0)),
INDEX('2BR_F-processed'!$E:$E,MATCH($L8,'2BR_F-processed'!$B:$B,0),MATCH(Council_Area,'2BR_F-processed'!$E$1:$E$1,0)))</f>
        <v>331.26693227091636</v>
      </c>
      <c r="U8" s="22">
        <f t="shared" si="25"/>
        <v>321.84063745019921</v>
      </c>
      <c r="V8" s="22">
        <f t="shared" si="34"/>
        <v>4183.9282868525897</v>
      </c>
      <c r="W8" s="22">
        <f>$B$53/4*BH8/_xlfn.XLOOKUP(Q_end,cpi!A:A,cpi!B:B)</f>
        <v>121.21630960608155</v>
      </c>
      <c r="X8" s="22">
        <f t="shared" si="26"/>
        <v>4305.144596458671</v>
      </c>
      <c r="Y8" s="22">
        <f t="shared" si="3"/>
        <v>3711.9002180941234</v>
      </c>
      <c r="Z8" s="22">
        <f t="shared" si="27"/>
        <v>0</v>
      </c>
      <c r="AA8" s="22" cm="1">
        <f t="array" ref="AA8">(Y8+Z8)*eff_invest</f>
        <v>3711.9002180941234</v>
      </c>
      <c r="AB8" s="22">
        <f>AA8*(_xlfn.XLOOKUP(Q_end,cpi!A:A,cpi!B:B)/BH8)</f>
        <v>6124.4237349854002</v>
      </c>
      <c r="AC8" s="22" cm="1">
        <f t="array" ref="AC8">INDEX('msci-indices'!C:C,MATCH($L8,'msci-indices'!$B:$B)-2)</f>
        <v>932.09759399999996</v>
      </c>
      <c r="AD8" s="22" cm="1">
        <f t="array" ref="AD8">INDEX('msci-indices'!D:D,MATCH($L8,'msci-indices'!$B:$B)-2)</f>
        <v>946.08734200000004</v>
      </c>
      <c r="AE8" s="22">
        <f t="shared" si="28"/>
        <v>143005.78689279885</v>
      </c>
      <c r="AF8" s="22" cm="1">
        <f t="array" ref="AF8">INDEX('msci-indices'!C:C,MATCH($L8,'msci-indices'!$B:$B)+1)</f>
        <v>991.70582300000001</v>
      </c>
      <c r="AG8" s="22" cm="1">
        <f t="array" ref="AG8">INDEX('msci-indices'!D:D,MATCH($L8,'msci-indices'!$B:$B)+1)</f>
        <v>1000.983113</v>
      </c>
      <c r="AH8" s="22">
        <f t="shared" si="4"/>
        <v>89.378616807999279</v>
      </c>
      <c r="AI8" s="22">
        <f t="shared" si="5"/>
        <v>151807.4557520987</v>
      </c>
      <c r="AJ8" s="22">
        <f t="shared" si="29"/>
        <v>115958.64739652711</v>
      </c>
      <c r="AK8" s="22">
        <f t="shared" si="6"/>
        <v>35848.808355571586</v>
      </c>
      <c r="AL8" s="22">
        <f>AJ8*(_xlfn.XLOOKUP(Q_end,cpi!A:A,cpi!B:B)/BH8)</f>
        <v>191325.15710692669</v>
      </c>
      <c r="AM8" s="22" cm="1">
        <f t="array" ref="AM8">SUMPRODUCT($AA$3:AA8,_xlfn.SORTBY($BH$3:BH8,_xlfn.SEQUENCE(ROWS($BH$3:BH8)),-1)/$BH$3)</f>
        <v>119854.28270350928</v>
      </c>
      <c r="AN8" s="22">
        <f t="shared" si="30"/>
        <v>31953.173048589422</v>
      </c>
      <c r="AO8" s="22">
        <f t="shared" si="7"/>
        <v>0</v>
      </c>
      <c r="AP8" s="22">
        <f t="shared" si="31"/>
        <v>151807.4557520987</v>
      </c>
      <c r="AQ8" s="22"/>
      <c r="AR8" s="10">
        <f>IF($B$10="3BR_H",
INDEX('ns-combined'!$C:$D,MATCH($L8,'ns-combined'!$B:$B,0),MATCH(Council_Area,'ns-combined'!$C$1:$D$1,0))*1000,
INDEX('s-combined'!$C:$D,MATCH($L8,'s-combined'!$B:$B,0),MATCH(Council_Area,'s-combined'!$C$1:$D$1,0))*1000)</f>
        <v>465000</v>
      </c>
      <c r="AS8" s="22">
        <f t="shared" si="35"/>
        <v>5550</v>
      </c>
      <c r="AT8" s="10">
        <v>0</v>
      </c>
      <c r="AU8" s="22">
        <f t="shared" si="8"/>
        <v>9300</v>
      </c>
      <c r="AV8" s="22">
        <f t="shared" si="9"/>
        <v>1336.875</v>
      </c>
      <c r="AW8" s="22">
        <f>SUM($AV$3:AV8)</f>
        <v>7604.375</v>
      </c>
      <c r="AX8" s="22">
        <f t="shared" si="32"/>
        <v>442545.625</v>
      </c>
      <c r="AY8" s="22">
        <f t="shared" si="10"/>
        <v>1464.3749003984065</v>
      </c>
      <c r="AZ8" s="24">
        <f t="shared" si="11"/>
        <v>1.2596773336760486E-2</v>
      </c>
      <c r="BA8" s="24">
        <f t="shared" si="12"/>
        <v>0.35000000000000003</v>
      </c>
      <c r="BB8" s="25">
        <f>IF(MortgageRate="Discounted",_xlfn.XLOOKUP(L8,'mortgage-rates'!$A:$A,'mortgage-rates'!$E:$E)/100,_xlfn.XLOOKUP(L8,'mortgage-rates'!$A:$A,'mortgage-rates'!$D:$D)/100)</f>
        <v>7.4700000000000003E-2</v>
      </c>
      <c r="BC8" s="10">
        <f t="shared" si="37"/>
        <v>290377.0517830709</v>
      </c>
      <c r="BD8" s="10">
        <f t="shared" si="13"/>
        <v>6552.6699141543877</v>
      </c>
      <c r="BE8" s="10">
        <f t="shared" si="14"/>
        <v>5422.7914420488496</v>
      </c>
      <c r="BF8" s="10">
        <f t="shared" si="36"/>
        <v>1129.8784721055381</v>
      </c>
      <c r="BG8" s="12">
        <f t="shared" si="15"/>
        <v>8017.0448145527944</v>
      </c>
      <c r="BH8" s="22">
        <f>INDEX(cpi!B:B,MATCH($L8,cpi!A:A))</f>
        <v>87.7</v>
      </c>
      <c r="BI8" s="22">
        <f t="shared" si="16"/>
        <v>103.66430260047282</v>
      </c>
      <c r="BJ8" s="22">
        <f t="shared" si="17"/>
        <v>123.47632396180853</v>
      </c>
      <c r="BK8" s="22">
        <f t="shared" si="18"/>
        <v>132.69921485097811</v>
      </c>
      <c r="BL8" s="22">
        <f t="shared" si="19"/>
        <v>126.2431912285594</v>
      </c>
      <c r="BM8" s="22">
        <f t="shared" si="20"/>
        <v>147.07000437090875</v>
      </c>
      <c r="BN8" s="22">
        <f t="shared" si="21"/>
        <v>125.67567567567568</v>
      </c>
      <c r="BO8">
        <f t="shared" si="22"/>
        <v>122.72097029696106</v>
      </c>
    </row>
    <row r="9" spans="1:67" x14ac:dyDescent="0.25">
      <c r="L9" s="1">
        <f t="shared" si="33"/>
        <v>39326</v>
      </c>
      <c r="M9" s="10">
        <f t="shared" si="0"/>
        <v>160328.75866942236</v>
      </c>
      <c r="N9" s="10">
        <f t="shared" si="23"/>
        <v>160807.82668903464</v>
      </c>
      <c r="O9" s="7">
        <f t="shared" si="24"/>
        <v>0.99702086627575226</v>
      </c>
      <c r="P9" s="7">
        <f t="shared" si="1"/>
        <v>0.53249150780486776</v>
      </c>
      <c r="Q9">
        <v>7</v>
      </c>
      <c r="R9">
        <f t="shared" si="2"/>
        <v>92</v>
      </c>
      <c r="S9" s="22"/>
      <c r="T9" s="22">
        <f>IF($B$10="3BR_H",
INDEX('3BR_H-processed'!$E:$E,MATCH($L9,'3BR_H-processed'!$B:$B,0),MATCH(Council_Area,'3BR_H-processed'!$E$1:$E$1,0)),
INDEX('2BR_F-processed'!$E:$E,MATCH($L9,'2BR_F-processed'!$B:$B,0),MATCH(Council_Area,'2BR_F-processed'!$E$1:$E$1,0)))</f>
        <v>338</v>
      </c>
      <c r="U9" s="22">
        <f t="shared" si="25"/>
        <v>321.84063745019921</v>
      </c>
      <c r="V9" s="22">
        <f t="shared" si="34"/>
        <v>4229.9055207740466</v>
      </c>
      <c r="W9" s="22">
        <f>$B$53/4*BH9/_xlfn.XLOOKUP(Q_end,cpi!A:A,cpi!B:B)</f>
        <v>121.90739460953698</v>
      </c>
      <c r="X9" s="22">
        <f t="shared" si="26"/>
        <v>4351.8129153835835</v>
      </c>
      <c r="Y9" s="22">
        <f t="shared" si="3"/>
        <v>3820.7360391028633</v>
      </c>
      <c r="Z9" s="22">
        <f t="shared" si="27"/>
        <v>0</v>
      </c>
      <c r="AA9" s="22" cm="1">
        <f t="array" ref="AA9">(Y9+Z9)*eff_invest</f>
        <v>3820.7360391028633</v>
      </c>
      <c r="AB9" s="22">
        <f>AA9*(_xlfn.XLOOKUP(Q_end,cpi!A:A,cpi!B:B)/BH9)</f>
        <v>6268.259692269663</v>
      </c>
      <c r="AC9" s="22" cm="1">
        <f t="array" ref="AC9">INDEX('msci-indices'!C:C,MATCH($L9,'msci-indices'!$B:$B)-2)</f>
        <v>991.70582300000001</v>
      </c>
      <c r="AD9" s="22" cm="1">
        <f t="array" ref="AD9">INDEX('msci-indices'!D:D,MATCH($L9,'msci-indices'!$B:$B)-2)</f>
        <v>1000.983113</v>
      </c>
      <c r="AE9" s="22">
        <f t="shared" si="28"/>
        <v>155628.19179120156</v>
      </c>
      <c r="AF9" s="22" cm="1">
        <f t="array" ref="AF9">INDEX('msci-indices'!C:C,MATCH($L9,'msci-indices'!$B:$B)+1)</f>
        <v>1009.870131</v>
      </c>
      <c r="AG9" s="22" cm="1">
        <f t="array" ref="AG9">INDEX('msci-indices'!D:D,MATCH($L9,'msci-indices'!$B:$B)+1)</f>
        <v>1061.067018</v>
      </c>
      <c r="AH9" s="22">
        <f t="shared" si="4"/>
        <v>97.267619869500976</v>
      </c>
      <c r="AI9" s="22">
        <f t="shared" si="5"/>
        <v>160328.75866942236</v>
      </c>
      <c r="AJ9" s="22">
        <f t="shared" si="29"/>
        <v>119779.38343562998</v>
      </c>
      <c r="AK9" s="22">
        <f t="shared" si="6"/>
        <v>40549.37523379238</v>
      </c>
      <c r="AL9" s="22">
        <f>AJ9*(_xlfn.XLOOKUP(Q_end,cpi!A:A,cpi!B:B)/BH9)</f>
        <v>196508.80706503009</v>
      </c>
      <c r="AM9" s="22" cm="1">
        <f t="array" ref="AM9">SUMPRODUCT($AA$3:AA9,_xlfn.SORTBY($BH$3:BH9,_xlfn.SEQUENCE(ROWS($BH$3:BH9)),-1)/$BH$3)</f>
        <v>124385.09684251054</v>
      </c>
      <c r="AN9" s="22">
        <f t="shared" si="30"/>
        <v>35943.661826911819</v>
      </c>
      <c r="AO9" s="22">
        <f t="shared" si="7"/>
        <v>0</v>
      </c>
      <c r="AP9" s="22">
        <f t="shared" si="31"/>
        <v>160328.75866942236</v>
      </c>
      <c r="AQ9" s="22"/>
      <c r="AR9" s="10">
        <f>IF($B$10="3BR_H",
INDEX('ns-combined'!$C:$D,MATCH($L9,'ns-combined'!$B:$B,0),MATCH(Council_Area,'ns-combined'!$C$1:$D$1,0))*1000,
INDEX('s-combined'!$C:$D,MATCH($L9,'s-combined'!$B:$B,0),MATCH(Council_Area,'s-combined'!$C$1:$D$1,0))*1000)</f>
        <v>475000</v>
      </c>
      <c r="AS9" s="22">
        <f t="shared" si="35"/>
        <v>6475</v>
      </c>
      <c r="AT9" s="10">
        <v>0</v>
      </c>
      <c r="AU9" s="22">
        <f t="shared" si="8"/>
        <v>9500</v>
      </c>
      <c r="AV9" s="22">
        <f t="shared" si="9"/>
        <v>1365.625</v>
      </c>
      <c r="AW9" s="22">
        <f>SUM($AV$3:AV9)</f>
        <v>8970</v>
      </c>
      <c r="AX9" s="22">
        <f t="shared" si="32"/>
        <v>450055</v>
      </c>
      <c r="AY9" s="22">
        <f t="shared" si="10"/>
        <v>1480.4669322709165</v>
      </c>
      <c r="AZ9" s="24">
        <f t="shared" si="11"/>
        <v>1.2467089955965613E-2</v>
      </c>
      <c r="BA9" s="24">
        <f t="shared" si="12"/>
        <v>0.35000000000000003</v>
      </c>
      <c r="BB9" s="25">
        <f>IF(MortgageRate="Discounted",_xlfn.XLOOKUP(L9,'mortgage-rates'!$A:$A,'mortgage-rates'!$E:$E)/100,_xlfn.XLOOKUP(L9,'mortgage-rates'!$A:$A,'mortgage-rates'!$D:$D)/100)</f>
        <v>7.7199999999999991E-2</v>
      </c>
      <c r="BC9" s="10">
        <f t="shared" si="37"/>
        <v>289247.17331096536</v>
      </c>
      <c r="BD9" s="10">
        <f t="shared" si="13"/>
        <v>6692.0820222155307</v>
      </c>
      <c r="BE9" s="10">
        <f t="shared" si="14"/>
        <v>5582.4704449016308</v>
      </c>
      <c r="BF9" s="10">
        <f t="shared" si="36"/>
        <v>1109.6115773138999</v>
      </c>
      <c r="BG9" s="12">
        <f t="shared" si="15"/>
        <v>8172.5489544864467</v>
      </c>
      <c r="BH9" s="22">
        <f>INDEX(cpi!B:B,MATCH($L9,cpi!A:A))</f>
        <v>88.2</v>
      </c>
      <c r="BI9" s="22">
        <f t="shared" si="16"/>
        <v>104.25531914893618</v>
      </c>
      <c r="BJ9" s="22">
        <f t="shared" si="17"/>
        <v>131.37271275432553</v>
      </c>
      <c r="BK9" s="22">
        <f t="shared" si="18"/>
        <v>140.39895396273877</v>
      </c>
      <c r="BL9" s="22">
        <f t="shared" si="19"/>
        <v>134.08058511684951</v>
      </c>
      <c r="BM9" s="22">
        <f t="shared" si="20"/>
        <v>160.05113739995926</v>
      </c>
      <c r="BN9" s="22">
        <f t="shared" si="21"/>
        <v>128.37837837837839</v>
      </c>
      <c r="BO9">
        <f t="shared" si="22"/>
        <v>124.80337205231395</v>
      </c>
    </row>
    <row r="10" spans="1:67" x14ac:dyDescent="0.25">
      <c r="A10" t="s">
        <v>327</v>
      </c>
      <c r="B10" t="s">
        <v>464</v>
      </c>
      <c r="C10" t="s">
        <v>464</v>
      </c>
      <c r="L10" s="1">
        <f t="shared" si="33"/>
        <v>39417</v>
      </c>
      <c r="M10" s="10">
        <f t="shared" si="0"/>
        <v>159744.98940538228</v>
      </c>
      <c r="N10" s="10">
        <f t="shared" si="23"/>
        <v>164512.43826634856</v>
      </c>
      <c r="O10" s="7">
        <f t="shared" si="24"/>
        <v>0.9710207391537915</v>
      </c>
      <c r="P10" s="7">
        <f t="shared" si="1"/>
        <v>0.52372394116398746</v>
      </c>
      <c r="Q10">
        <v>8</v>
      </c>
      <c r="R10">
        <f t="shared" si="2"/>
        <v>92</v>
      </c>
      <c r="S10" s="22"/>
      <c r="T10" s="22">
        <f>IF($B$10="3BR_H",
INDEX('3BR_H-processed'!$E:$E,MATCH($L10,'3BR_H-processed'!$B:$B,0),MATCH(Council_Area,'3BR_H-processed'!$E$1:$E$1,0)),
INDEX('2BR_F-processed'!$E:$E,MATCH($L10,'2BR_F-processed'!$B:$B,0),MATCH(Council_Area,'2BR_F-processed'!$E$1:$E$1,0)))</f>
        <v>338</v>
      </c>
      <c r="U10" s="22">
        <f t="shared" si="25"/>
        <v>321.84063745019921</v>
      </c>
      <c r="V10" s="22">
        <f t="shared" si="34"/>
        <v>4229.9055207740466</v>
      </c>
      <c r="W10" s="22">
        <f>$B$53/4*BH10/_xlfn.XLOOKUP(Q_end,cpi!A:A,cpi!B:B)</f>
        <v>123.42778161713892</v>
      </c>
      <c r="X10" s="22">
        <f t="shared" si="26"/>
        <v>4353.3333023911855</v>
      </c>
      <c r="Y10" s="22">
        <f t="shared" si="3"/>
        <v>3958.9338296322439</v>
      </c>
      <c r="Z10" s="22">
        <f t="shared" si="27"/>
        <v>0</v>
      </c>
      <c r="AA10" s="22" cm="1">
        <f t="array" ref="AA10">(Y10+Z10)*eff_invest</f>
        <v>3958.9338296322439</v>
      </c>
      <c r="AB10" s="22">
        <f>AA10*(_xlfn.XLOOKUP(Q_end,cpi!A:A,cpi!B:B)/BH10)</f>
        <v>6414.980124835226</v>
      </c>
      <c r="AC10" s="22" cm="1">
        <f t="array" ref="AC10">INDEX('msci-indices'!C:C,MATCH($L10,'msci-indices'!$B:$B)-2)</f>
        <v>1009.870131</v>
      </c>
      <c r="AD10" s="22" cm="1">
        <f t="array" ref="AD10">INDEX('msci-indices'!D:D,MATCH($L10,'msci-indices'!$B:$B)-2)</f>
        <v>1061.067018</v>
      </c>
      <c r="AE10" s="22">
        <f t="shared" si="28"/>
        <v>164287.6924990546</v>
      </c>
      <c r="AF10" s="22" cm="1">
        <f t="array" ref="AF10">INDEX('msci-indices'!C:C,MATCH($L10,'msci-indices'!$B:$B)+1)</f>
        <v>983.50383399999998</v>
      </c>
      <c r="AG10" s="22" cm="1">
        <f t="array" ref="AG10">INDEX('msci-indices'!D:D,MATCH($L10,'msci-indices'!$B:$B)+1)</f>
        <v>1030.119647</v>
      </c>
      <c r="AH10" s="22">
        <f t="shared" si="4"/>
        <v>102.67980781190913</v>
      </c>
      <c r="AI10" s="22">
        <f t="shared" si="5"/>
        <v>159744.98940538228</v>
      </c>
      <c r="AJ10" s="22">
        <f t="shared" si="29"/>
        <v>123738.31726526222</v>
      </c>
      <c r="AK10" s="22">
        <f t="shared" si="6"/>
        <v>36006.672140120063</v>
      </c>
      <c r="AL10" s="22">
        <f>AJ10*(_xlfn.XLOOKUP(Q_end,cpi!A:A,cpi!B:B)/BH10)</f>
        <v>200503.18598301726</v>
      </c>
      <c r="AM10" s="22" cm="1">
        <f t="array" ref="AM10">SUMPRODUCT($AA$3:AA10,_xlfn.SORTBY($BH$3:BH10,_xlfn.SEQUENCE(ROWS($BH$3:BH10)),-1)/$BH$3)</f>
        <v>129767.94232591453</v>
      </c>
      <c r="AN10" s="22">
        <f t="shared" si="30"/>
        <v>29977.047079467753</v>
      </c>
      <c r="AO10" s="22">
        <f t="shared" si="7"/>
        <v>0</v>
      </c>
      <c r="AP10" s="22">
        <f t="shared" si="31"/>
        <v>159744.98940538228</v>
      </c>
      <c r="AQ10" s="22"/>
      <c r="AR10" s="10">
        <f>IF($B$10="3BR_H",
INDEX('ns-combined'!$C:$D,MATCH($L10,'ns-combined'!$B:$B,0),MATCH(Council_Area,'ns-combined'!$C$1:$D$1,0))*1000,
INDEX('s-combined'!$C:$D,MATCH($L10,'s-combined'!$B:$B,0),MATCH(Council_Area,'s-combined'!$C$1:$D$1,0))*1000)</f>
        <v>480000</v>
      </c>
      <c r="AS10" s="22">
        <f t="shared" si="35"/>
        <v>7400</v>
      </c>
      <c r="AT10" s="10">
        <v>0</v>
      </c>
      <c r="AU10" s="22">
        <f t="shared" si="8"/>
        <v>9600</v>
      </c>
      <c r="AV10" s="22">
        <f t="shared" si="9"/>
        <v>1380</v>
      </c>
      <c r="AW10" s="22">
        <f>SUM($AV$3:AV10)</f>
        <v>10350</v>
      </c>
      <c r="AX10" s="22">
        <f t="shared" si="32"/>
        <v>452650</v>
      </c>
      <c r="AY10" s="22">
        <f t="shared" si="10"/>
        <v>1480.4669322709165</v>
      </c>
      <c r="AZ10" s="24">
        <f t="shared" si="11"/>
        <v>1.233722443559097E-2</v>
      </c>
      <c r="BA10" s="24">
        <f t="shared" si="12"/>
        <v>0.35000000000000003</v>
      </c>
      <c r="BB10" s="25">
        <f>IF(MortgageRate="Discounted",_xlfn.XLOOKUP(L10,'mortgage-rates'!$A:$A,'mortgage-rates'!$E:$E)/100,_xlfn.XLOOKUP(L10,'mortgage-rates'!$A:$A,'mortgage-rates'!$D:$D)/100)</f>
        <v>7.9699999999999993E-2</v>
      </c>
      <c r="BC10" s="10">
        <f t="shared" si="37"/>
        <v>288137.56173365144</v>
      </c>
      <c r="BD10" s="10">
        <f t="shared" si="13"/>
        <v>6831.8001997525134</v>
      </c>
      <c r="BE10" s="10">
        <f t="shared" si="14"/>
        <v>5741.1409175430044</v>
      </c>
      <c r="BF10" s="10">
        <f t="shared" si="36"/>
        <v>1090.659282209509</v>
      </c>
      <c r="BG10" s="12">
        <f t="shared" si="15"/>
        <v>8312.2671320234294</v>
      </c>
      <c r="BH10" s="22">
        <f>INDEX(cpi!B:B,MATCH($L10,cpi!A:A))</f>
        <v>89.3</v>
      </c>
      <c r="BI10" s="22">
        <f t="shared" si="16"/>
        <v>105.55555555555556</v>
      </c>
      <c r="BJ10" s="22">
        <f t="shared" si="17"/>
        <v>133.77896505407139</v>
      </c>
      <c r="BK10" s="22">
        <f t="shared" si="18"/>
        <v>148.82638625649071</v>
      </c>
      <c r="BL10" s="22">
        <f t="shared" si="19"/>
        <v>138.29319141479718</v>
      </c>
      <c r="BM10" s="22">
        <f t="shared" si="20"/>
        <v>168.95674069494007</v>
      </c>
      <c r="BN10" s="22">
        <f t="shared" si="21"/>
        <v>129.72972972972974</v>
      </c>
      <c r="BO10">
        <f t="shared" si="22"/>
        <v>125.52298354529982</v>
      </c>
    </row>
    <row r="11" spans="1:67" x14ac:dyDescent="0.25">
      <c r="A11" t="s">
        <v>7</v>
      </c>
      <c r="B11" s="1">
        <v>38777</v>
      </c>
      <c r="C11" s="1">
        <v>38777</v>
      </c>
      <c r="L11" s="1">
        <f t="shared" si="33"/>
        <v>39508</v>
      </c>
      <c r="M11" s="10">
        <f t="shared" si="0"/>
        <v>146461.67304174486</v>
      </c>
      <c r="N11" s="10">
        <f t="shared" si="23"/>
        <v>153526.84754855809</v>
      </c>
      <c r="O11" s="7">
        <f t="shared" si="24"/>
        <v>0.95398085338410521</v>
      </c>
      <c r="P11" s="7">
        <f t="shared" si="1"/>
        <v>0.51458241365385649</v>
      </c>
      <c r="Q11">
        <v>9</v>
      </c>
      <c r="R11">
        <f t="shared" si="2"/>
        <v>91</v>
      </c>
      <c r="S11" s="22"/>
      <c r="T11" s="22">
        <f>IF($B$10="3BR_H",
INDEX('3BR_H-processed'!$E:$E,MATCH($L11,'3BR_H-processed'!$B:$B,0),MATCH(Council_Area,'3BR_H-processed'!$E$1:$E$1,0)),
INDEX('2BR_F-processed'!$E:$E,MATCH($L11,'2BR_F-processed'!$B:$B,0),MATCH(Council_Area,'2BR_F-processed'!$E$1:$E$1,0)))</f>
        <v>338</v>
      </c>
      <c r="U11" s="22">
        <f t="shared" si="25"/>
        <v>338</v>
      </c>
      <c r="V11" s="22">
        <f t="shared" si="34"/>
        <v>4394</v>
      </c>
      <c r="W11" s="22">
        <f>$B$53/4*BH11/_xlfn.XLOOKUP(Q_end,cpi!A:A,cpi!B:B)</f>
        <v>124.94816862474086</v>
      </c>
      <c r="X11" s="22">
        <f t="shared" si="26"/>
        <v>4518.9481686247409</v>
      </c>
      <c r="Y11" s="22">
        <f t="shared" si="3"/>
        <v>4262.8291496815482</v>
      </c>
      <c r="Z11" s="22">
        <f t="shared" si="27"/>
        <v>0</v>
      </c>
      <c r="AA11" s="22" cm="1">
        <f t="array" ref="AA11">(Y11+Z11)*eff_invest</f>
        <v>4262.8291496815482</v>
      </c>
      <c r="AB11" s="22">
        <f>AA11*(_xlfn.XLOOKUP(Q_end,cpi!A:A,cpi!B:B)/BH11)</f>
        <v>6823.3559508730086</v>
      </c>
      <c r="AC11" s="22" cm="1">
        <f t="array" ref="AC11">INDEX('msci-indices'!C:C,MATCH($L11,'msci-indices'!$B:$B)-2)</f>
        <v>983.50383399999998</v>
      </c>
      <c r="AD11" s="22" cm="1">
        <f t="array" ref="AD11">INDEX('msci-indices'!D:D,MATCH($L11,'msci-indices'!$B:$B)-2)</f>
        <v>1030.119647</v>
      </c>
      <c r="AE11" s="22">
        <f t="shared" si="28"/>
        <v>164007.81855506383</v>
      </c>
      <c r="AF11" s="22" cm="1">
        <f t="array" ref="AF11">INDEX('msci-indices'!C:C,MATCH($L11,'msci-indices'!$B:$B)+1)</f>
        <v>894.99836200000004</v>
      </c>
      <c r="AG11" s="22" cm="1">
        <f t="array" ref="AG11">INDEX('msci-indices'!D:D,MATCH($L11,'msci-indices'!$B:$B)+1)</f>
        <v>881.21372699999995</v>
      </c>
      <c r="AH11" s="22">
        <f t="shared" si="4"/>
        <v>102.5048865969149</v>
      </c>
      <c r="AI11" s="22">
        <f t="shared" si="5"/>
        <v>146461.67304174486</v>
      </c>
      <c r="AJ11" s="22">
        <f t="shared" si="29"/>
        <v>128001.14641494377</v>
      </c>
      <c r="AK11" s="22">
        <f t="shared" si="6"/>
        <v>18460.526626801089</v>
      </c>
      <c r="AL11" s="22">
        <f>AJ11*(_xlfn.XLOOKUP(Q_end,cpi!A:A,cpi!B:B)/BH11)</f>
        <v>204886.79077701728</v>
      </c>
      <c r="AM11" s="22" cm="1">
        <f t="array" ref="AM11">SUMPRODUCT($AA$3:AA11,_xlfn.SORTBY($BH$3:BH11,_xlfn.SEQUENCE(ROWS($BH$3:BH11)),-1)/$BH$3)</f>
        <v>135507.18656529093</v>
      </c>
      <c r="AN11" s="22">
        <f t="shared" si="30"/>
        <v>10954.486476453923</v>
      </c>
      <c r="AO11" s="22">
        <f t="shared" si="7"/>
        <v>0</v>
      </c>
      <c r="AP11" s="22">
        <f t="shared" si="31"/>
        <v>146461.67304174486</v>
      </c>
      <c r="AQ11" s="22"/>
      <c r="AR11" s="10">
        <f>IF($B$10="3BR_H",
INDEX('ns-combined'!$C:$D,MATCH($L11,'ns-combined'!$B:$B,0),MATCH(Council_Area,'ns-combined'!$C$1:$D$1,0))*1000,
INDEX('s-combined'!$C:$D,MATCH($L11,'s-combined'!$B:$B,0),MATCH(Council_Area,'s-combined'!$C$1:$D$1,0))*1000)</f>
        <v>470000</v>
      </c>
      <c r="AS11" s="22">
        <f t="shared" si="35"/>
        <v>8325</v>
      </c>
      <c r="AT11" s="10">
        <v>0</v>
      </c>
      <c r="AU11" s="22">
        <f t="shared" si="8"/>
        <v>9400</v>
      </c>
      <c r="AV11" s="22">
        <f t="shared" si="9"/>
        <v>1351.25</v>
      </c>
      <c r="AW11" s="22">
        <f>SUM($AV$3:AV11)</f>
        <v>11701.25</v>
      </c>
      <c r="AX11" s="22">
        <f t="shared" si="32"/>
        <v>440573.75</v>
      </c>
      <c r="AY11" s="22">
        <f t="shared" si="10"/>
        <v>1537.9</v>
      </c>
      <c r="AZ11" s="24">
        <f t="shared" si="11"/>
        <v>1.3088510638297872E-2</v>
      </c>
      <c r="BA11" s="24">
        <f t="shared" si="12"/>
        <v>0.35000000000000003</v>
      </c>
      <c r="BB11" s="25">
        <f>IF(MortgageRate="Discounted",_xlfn.XLOOKUP(L11,'mortgage-rates'!$A:$A,'mortgage-rates'!$E:$E)/100,_xlfn.XLOOKUP(L11,'mortgage-rates'!$A:$A,'mortgage-rates'!$D:$D)/100)</f>
        <v>8.6999999999999994E-2</v>
      </c>
      <c r="BC11" s="10">
        <f t="shared" si="37"/>
        <v>287046.90245144191</v>
      </c>
      <c r="BD11" s="10">
        <f t="shared" si="13"/>
        <v>7243.8773183062895</v>
      </c>
      <c r="BE11" s="10">
        <f t="shared" si="14"/>
        <v>6243.2701283188608</v>
      </c>
      <c r="BF11" s="10">
        <f t="shared" si="36"/>
        <v>1000.6071899874287</v>
      </c>
      <c r="BG11" s="12">
        <f t="shared" si="15"/>
        <v>8781.7773183062891</v>
      </c>
      <c r="BH11" s="22">
        <f>INDEX(cpi!B:B,MATCH($L11,cpi!A:A))</f>
        <v>90.4</v>
      </c>
      <c r="BI11" s="22">
        <f t="shared" si="16"/>
        <v>106.85579196217495</v>
      </c>
      <c r="BJ11" s="22">
        <f t="shared" si="17"/>
        <v>130.28618334215415</v>
      </c>
      <c r="BK11" s="22">
        <f t="shared" si="18"/>
        <v>144.48567514971225</v>
      </c>
      <c r="BL11" s="22">
        <f t="shared" si="19"/>
        <v>134.54603088442158</v>
      </c>
      <c r="BM11" s="22">
        <f t="shared" si="20"/>
        <v>168.66891274713203</v>
      </c>
      <c r="BN11" s="22">
        <f t="shared" si="21"/>
        <v>127.02702702702703</v>
      </c>
      <c r="BO11">
        <f t="shared" si="22"/>
        <v>122.17415568704526</v>
      </c>
    </row>
    <row r="12" spans="1:67" x14ac:dyDescent="0.25">
      <c r="A12" t="s">
        <v>8</v>
      </c>
      <c r="B12" s="1">
        <v>45992</v>
      </c>
      <c r="C12" s="1">
        <v>45992</v>
      </c>
      <c r="L12" s="1">
        <f t="shared" si="33"/>
        <v>39600</v>
      </c>
      <c r="M12" s="10">
        <f t="shared" si="0"/>
        <v>148441.96220927805</v>
      </c>
      <c r="N12" s="10">
        <f t="shared" si="23"/>
        <v>137594.32973854552</v>
      </c>
      <c r="O12" s="7">
        <f t="shared" si="24"/>
        <v>1.078837787075565</v>
      </c>
      <c r="P12" s="7">
        <f t="shared" si="1"/>
        <v>0.51014496503846463</v>
      </c>
      <c r="Q12">
        <v>10</v>
      </c>
      <c r="R12">
        <f t="shared" si="2"/>
        <v>91</v>
      </c>
      <c r="S12" s="22"/>
      <c r="T12" s="22">
        <f>IF($B$10="3BR_H",
INDEX('3BR_H-processed'!$E:$E,MATCH($L12,'3BR_H-processed'!$B:$B,0),MATCH(Council_Area,'3BR_H-processed'!$E$1:$E$1,0)),
INDEX('2BR_F-processed'!$E:$E,MATCH($L12,'2BR_F-processed'!$B:$B,0),MATCH(Council_Area,'2BR_F-processed'!$E$1:$E$1,0)))</f>
        <v>338</v>
      </c>
      <c r="U12" s="22">
        <f t="shared" si="25"/>
        <v>338</v>
      </c>
      <c r="V12" s="22">
        <f t="shared" si="34"/>
        <v>4394</v>
      </c>
      <c r="W12" s="22">
        <f>$B$53/4*BH12/_xlfn.XLOOKUP(Q_end,cpi!A:A,cpi!B:B)</f>
        <v>126.60677263303387</v>
      </c>
      <c r="X12" s="22">
        <f t="shared" si="26"/>
        <v>4520.6067726330339</v>
      </c>
      <c r="Y12" s="22">
        <f t="shared" si="3"/>
        <v>4340.8092609294717</v>
      </c>
      <c r="Z12" s="22">
        <f t="shared" si="27"/>
        <v>0</v>
      </c>
      <c r="AA12" s="22" cm="1">
        <f t="array" ref="AA12">(Y12+Z12)*eff_invest</f>
        <v>4340.8092609294717</v>
      </c>
      <c r="AB12" s="22">
        <f>AA12*(_xlfn.XLOOKUP(Q_end,cpi!A:A,cpi!B:B)/BH12)</f>
        <v>6857.1517473416434</v>
      </c>
      <c r="AC12" s="22" cm="1">
        <f t="array" ref="AC12">INDEX('msci-indices'!C:C,MATCH($L12,'msci-indices'!$B:$B)-2)</f>
        <v>894.99836200000004</v>
      </c>
      <c r="AD12" s="22" cm="1">
        <f t="array" ref="AD12">INDEX('msci-indices'!D:D,MATCH($L12,'msci-indices'!$B:$B)-2)</f>
        <v>881.21372699999995</v>
      </c>
      <c r="AE12" s="22">
        <f t="shared" si="28"/>
        <v>150802.48230267433</v>
      </c>
      <c r="AF12" s="22" cm="1">
        <f t="array" ref="AF12">INDEX('msci-indices'!C:C,MATCH($L12,'msci-indices'!$B:$B)+1)</f>
        <v>881.79173700000001</v>
      </c>
      <c r="AG12" s="22" cm="1">
        <f t="array" ref="AG12">INDEX('msci-indices'!D:D,MATCH($L12,'msci-indices'!$B:$B)+1)</f>
        <v>867.41146500000002</v>
      </c>
      <c r="AH12" s="22">
        <f t="shared" si="4"/>
        <v>94.25155143917145</v>
      </c>
      <c r="AI12" s="22">
        <f t="shared" si="5"/>
        <v>148441.96220927805</v>
      </c>
      <c r="AJ12" s="22">
        <f t="shared" si="29"/>
        <v>132341.95567587324</v>
      </c>
      <c r="AK12" s="22">
        <f t="shared" si="6"/>
        <v>16100.006533404812</v>
      </c>
      <c r="AL12" s="22">
        <f>AJ12*(_xlfn.XLOOKUP(Q_end,cpi!A:A,cpi!B:B)/BH12)</f>
        <v>209059.83609496569</v>
      </c>
      <c r="AM12" s="22" cm="1">
        <f t="array" ref="AM12">SUMPRODUCT($AA$3:AA12,_xlfn.SORTBY($BH$3:BH12,_xlfn.SEQUENCE(ROWS($BH$3:BH12)),-1)/$BH$3)</f>
        <v>141493.1398336461</v>
      </c>
      <c r="AN12" s="22">
        <f t="shared" si="30"/>
        <v>6948.8223756319494</v>
      </c>
      <c r="AO12" s="22">
        <f t="shared" si="7"/>
        <v>0</v>
      </c>
      <c r="AP12" s="22">
        <f t="shared" si="31"/>
        <v>148441.96220927805</v>
      </c>
      <c r="AQ12" s="22"/>
      <c r="AR12" s="10">
        <f>IF($B$10="3BR_H",
INDEX('ns-combined'!$C:$D,MATCH($L12,'ns-combined'!$B:$B,0),MATCH(Council_Area,'ns-combined'!$C$1:$D$1,0))*1000,
INDEX('s-combined'!$C:$D,MATCH($L12,'s-combined'!$B:$B,0),MATCH(Council_Area,'s-combined'!$C$1:$D$1,0))*1000)</f>
        <v>455000</v>
      </c>
      <c r="AS12" s="22">
        <f t="shared" si="35"/>
        <v>9250</v>
      </c>
      <c r="AT12" s="10">
        <v>0</v>
      </c>
      <c r="AU12" s="22">
        <f t="shared" si="8"/>
        <v>9100</v>
      </c>
      <c r="AV12" s="22">
        <f t="shared" si="9"/>
        <v>1308.125</v>
      </c>
      <c r="AW12" s="22">
        <f>SUM($AV$3:AV12)</f>
        <v>13009.375</v>
      </c>
      <c r="AX12" s="22">
        <f t="shared" si="32"/>
        <v>423640.625</v>
      </c>
      <c r="AY12" s="22">
        <f t="shared" si="10"/>
        <v>1537.9</v>
      </c>
      <c r="AZ12" s="24">
        <f t="shared" si="11"/>
        <v>1.3520000000000001E-2</v>
      </c>
      <c r="BA12" s="24">
        <f t="shared" si="12"/>
        <v>0.35000000000000003</v>
      </c>
      <c r="BB12" s="25">
        <f>IF(MortgageRate="Discounted",_xlfn.XLOOKUP(L12,'mortgage-rates'!$A:$A,'mortgage-rates'!$E:$E)/100,_xlfn.XLOOKUP(L12,'mortgage-rates'!$A:$A,'mortgage-rates'!$D:$D)/100)</f>
        <v>8.8399999999999992E-2</v>
      </c>
      <c r="BC12" s="10">
        <f t="shared" si="37"/>
        <v>286046.29526145448</v>
      </c>
      <c r="BD12" s="10">
        <f t="shared" si="13"/>
        <v>7323.516033562506</v>
      </c>
      <c r="BE12" s="10">
        <f t="shared" si="14"/>
        <v>6321.6231252781436</v>
      </c>
      <c r="BF12" s="10">
        <f t="shared" si="36"/>
        <v>1001.8929082843624</v>
      </c>
      <c r="BG12" s="12">
        <f t="shared" si="15"/>
        <v>8861.4160335625056</v>
      </c>
      <c r="BH12" s="22">
        <f>INDEX(cpi!B:B,MATCH($L12,cpi!A:A))</f>
        <v>91.6</v>
      </c>
      <c r="BI12" s="22">
        <f t="shared" si="16"/>
        <v>108.274231678487</v>
      </c>
      <c r="BJ12" s="22">
        <f t="shared" si="17"/>
        <v>118.56173473997831</v>
      </c>
      <c r="BK12" s="22">
        <f t="shared" si="18"/>
        <v>123.59997274839783</v>
      </c>
      <c r="BL12" s="22">
        <f t="shared" si="19"/>
        <v>120.07320614250416</v>
      </c>
      <c r="BM12" s="22">
        <f t="shared" si="20"/>
        <v>155.0882814834888</v>
      </c>
      <c r="BN12" s="22">
        <f t="shared" si="21"/>
        <v>122.97297297297297</v>
      </c>
      <c r="BO12">
        <f t="shared" si="22"/>
        <v>117.47848271511219</v>
      </c>
    </row>
    <row r="13" spans="1:67" x14ac:dyDescent="0.25">
      <c r="A13" t="s">
        <v>9</v>
      </c>
      <c r="B13" s="1" t="s">
        <v>634</v>
      </c>
      <c r="C13" s="1" t="s">
        <v>634</v>
      </c>
      <c r="L13" s="1">
        <f t="shared" si="33"/>
        <v>39692</v>
      </c>
      <c r="M13" s="10">
        <f t="shared" si="0"/>
        <v>131508.15062795422</v>
      </c>
      <c r="N13" s="10">
        <f t="shared" si="23"/>
        <v>121706.2226468299</v>
      </c>
      <c r="O13" s="7">
        <f t="shared" si="24"/>
        <v>1.0805376074284039</v>
      </c>
      <c r="P13" s="7">
        <f t="shared" si="1"/>
        <v>0.51740544107734465</v>
      </c>
      <c r="Q13">
        <v>11</v>
      </c>
      <c r="R13">
        <f t="shared" si="2"/>
        <v>92</v>
      </c>
      <c r="S13" s="22"/>
      <c r="T13" s="22">
        <f>IF($B$10="3BR_H",
INDEX('3BR_H-processed'!$E:$E,MATCH($L13,'3BR_H-processed'!$B:$B,0),MATCH(Council_Area,'3BR_H-processed'!$E$1:$E$1,0)),
INDEX('2BR_F-processed'!$E:$E,MATCH($L13,'2BR_F-processed'!$B:$B,0),MATCH(Council_Area,'2BR_F-processed'!$E$1:$E$1,0)))</f>
        <v>354.58842794759829</v>
      </c>
      <c r="U13" s="22">
        <f t="shared" si="25"/>
        <v>338</v>
      </c>
      <c r="V13" s="22">
        <f t="shared" si="34"/>
        <v>4442.2857142857147</v>
      </c>
      <c r="W13" s="22">
        <f>$B$53/4*BH13/_xlfn.XLOOKUP(Q_end,cpi!A:A,cpi!B:B)</f>
        <v>127.98894263994472</v>
      </c>
      <c r="X13" s="22">
        <f t="shared" si="26"/>
        <v>4570.2746569256597</v>
      </c>
      <c r="Y13" s="22">
        <f t="shared" si="3"/>
        <v>4262.7879552676077</v>
      </c>
      <c r="Z13" s="22">
        <f t="shared" si="27"/>
        <v>0</v>
      </c>
      <c r="AA13" s="22" cm="1">
        <f t="array" ref="AA13">(Y13+Z13)*eff_invest</f>
        <v>4262.7879552676077</v>
      </c>
      <c r="AB13" s="22">
        <f>AA13*(_xlfn.XLOOKUP(Q_end,cpi!A:A,cpi!B:B)/BH13)</f>
        <v>6661.1816104451709</v>
      </c>
      <c r="AC13" s="22" cm="1">
        <f t="array" ref="AC13">INDEX('msci-indices'!C:C,MATCH($L13,'msci-indices'!$B:$B)-2)</f>
        <v>881.79173700000001</v>
      </c>
      <c r="AD13" s="22" cm="1">
        <f t="array" ref="AD13">INDEX('msci-indices'!D:D,MATCH($L13,'msci-indices'!$B:$B)-2)</f>
        <v>867.41146500000002</v>
      </c>
      <c r="AE13" s="22">
        <f t="shared" si="28"/>
        <v>152704.75016454567</v>
      </c>
      <c r="AF13" s="22" cm="1">
        <f t="array" ref="AF13">INDEX('msci-indices'!C:C,MATCH($L13,'msci-indices'!$B:$B)+1)</f>
        <v>747.65997700000003</v>
      </c>
      <c r="AG13" s="22" cm="1">
        <f t="array" ref="AG13">INDEX('msci-indices'!D:D,MATCH($L13,'msci-indices'!$B:$B)+1)</f>
        <v>775.74397499999998</v>
      </c>
      <c r="AH13" s="22">
        <f t="shared" si="4"/>
        <v>95.440468852841036</v>
      </c>
      <c r="AI13" s="22">
        <f t="shared" si="5"/>
        <v>131508.15062795422</v>
      </c>
      <c r="AJ13" s="22">
        <f t="shared" si="29"/>
        <v>136604.74363114085</v>
      </c>
      <c r="AK13" s="22">
        <f t="shared" si="6"/>
        <v>-5096.5930031866301</v>
      </c>
      <c r="AL13" s="22">
        <f>AJ13*(_xlfn.XLOOKUP(Q_end,cpi!A:A,cpi!B:B)/BH13)</f>
        <v>213463.35208883457</v>
      </c>
      <c r="AM13" s="22" cm="1">
        <f t="array" ref="AM13">SUMPRODUCT($AA$3:AA13,_xlfn.SORTBY($BH$3:BH13,_xlfn.SEQUENCE(ROWS($BH$3:BH13)),-1)/$BH$3)</f>
        <v>147228.72465646174</v>
      </c>
      <c r="AN13" s="22">
        <f t="shared" si="30"/>
        <v>-15720.574028507515</v>
      </c>
      <c r="AO13" s="22">
        <f t="shared" si="7"/>
        <v>0</v>
      </c>
      <c r="AP13" s="22">
        <f t="shared" si="31"/>
        <v>131508.15062795422</v>
      </c>
      <c r="AQ13" s="22"/>
      <c r="AR13" s="10">
        <f>IF($B$10="3BR_H",
INDEX('ns-combined'!$C:$D,MATCH($L13,'ns-combined'!$B:$B,0),MATCH(Council_Area,'ns-combined'!$C$1:$D$1,0))*1000,
INDEX('s-combined'!$C:$D,MATCH($L13,'s-combined'!$B:$B,0),MATCH(Council_Area,'s-combined'!$C$1:$D$1,0))*1000)</f>
        <v>440000</v>
      </c>
      <c r="AS13" s="22">
        <f t="shared" si="35"/>
        <v>10175</v>
      </c>
      <c r="AT13" s="10">
        <v>0</v>
      </c>
      <c r="AU13" s="22">
        <f t="shared" si="8"/>
        <v>8800</v>
      </c>
      <c r="AV13" s="22">
        <f t="shared" si="9"/>
        <v>1265</v>
      </c>
      <c r="AW13" s="22">
        <f>SUM($AV$3:AV13)</f>
        <v>14274.375</v>
      </c>
      <c r="AX13" s="22">
        <f t="shared" si="32"/>
        <v>406750.625</v>
      </c>
      <c r="AY13" s="22">
        <f t="shared" si="10"/>
        <v>1554.8000000000002</v>
      </c>
      <c r="AZ13" s="24">
        <f t="shared" si="11"/>
        <v>1.4134545454545457E-2</v>
      </c>
      <c r="BA13" s="24">
        <f t="shared" si="12"/>
        <v>0.35000000000000003</v>
      </c>
      <c r="BB13" s="25">
        <f>IF(MortgageRate="Discounted",_xlfn.XLOOKUP(L13,'mortgage-rates'!$A:$A,'mortgage-rates'!$E:$E)/100,_xlfn.XLOOKUP(L13,'mortgage-rates'!$A:$A,'mortgage-rates'!$D:$D)/100)</f>
        <v>8.7599999999999997E-2</v>
      </c>
      <c r="BC13" s="10">
        <f t="shared" si="37"/>
        <v>285044.4023531701</v>
      </c>
      <c r="BD13" s="10">
        <f t="shared" si="13"/>
        <v>7278.2626121932672</v>
      </c>
      <c r="BE13" s="10">
        <f t="shared" si="14"/>
        <v>6242.4724115344252</v>
      </c>
      <c r="BF13" s="10">
        <f t="shared" si="36"/>
        <v>1035.790200658842</v>
      </c>
      <c r="BG13" s="12">
        <f t="shared" si="15"/>
        <v>8833.0626121932673</v>
      </c>
      <c r="BH13" s="22">
        <f>INDEX(cpi!B:B,MATCH($L13,cpi!A:A))</f>
        <v>92.6</v>
      </c>
      <c r="BI13" s="22">
        <f t="shared" si="16"/>
        <v>109.45626477541371</v>
      </c>
      <c r="BJ13" s="22">
        <f t="shared" si="17"/>
        <v>116.8122339179194</v>
      </c>
      <c r="BK13" s="22">
        <f t="shared" si="18"/>
        <v>121.6640528293176</v>
      </c>
      <c r="BL13" s="22">
        <f t="shared" si="19"/>
        <v>118.26777959133886</v>
      </c>
      <c r="BM13" s="22">
        <f t="shared" si="20"/>
        <v>157.04461170507471</v>
      </c>
      <c r="BN13" s="22">
        <f t="shared" si="21"/>
        <v>118.91891891891892</v>
      </c>
      <c r="BO13">
        <f t="shared" si="22"/>
        <v>112.79476860469551</v>
      </c>
    </row>
    <row r="14" spans="1:67" x14ac:dyDescent="0.25">
      <c r="A14" t="s">
        <v>333</v>
      </c>
      <c r="B14" s="4">
        <v>0.01</v>
      </c>
      <c r="C14" s="4">
        <v>0.01</v>
      </c>
      <c r="L14" s="1">
        <f t="shared" si="33"/>
        <v>39783</v>
      </c>
      <c r="M14" s="10">
        <f t="shared" si="0"/>
        <v>105928.51619071751</v>
      </c>
      <c r="N14" s="10">
        <f t="shared" si="23"/>
        <v>105895.13784748875</v>
      </c>
      <c r="O14" s="7">
        <f t="shared" si="24"/>
        <v>1.0003152018488028</v>
      </c>
      <c r="P14" s="7">
        <f t="shared" si="1"/>
        <v>0.61273536583803889</v>
      </c>
      <c r="Q14">
        <v>12</v>
      </c>
      <c r="R14">
        <f t="shared" si="2"/>
        <v>92</v>
      </c>
      <c r="S14" s="22"/>
      <c r="T14" s="22">
        <f>IF($B$10="3BR_H",
INDEX('3BR_H-processed'!$E:$E,MATCH($L14,'3BR_H-processed'!$B:$B,0),MATCH(Council_Area,'3BR_H-processed'!$E$1:$E$1,0)),
INDEX('2BR_F-processed'!$E:$E,MATCH($L14,'2BR_F-processed'!$B:$B,0),MATCH(Council_Area,'2BR_F-processed'!$E$1:$E$1,0)))</f>
        <v>360.79475982532756</v>
      </c>
      <c r="U14" s="22">
        <f t="shared" si="25"/>
        <v>338</v>
      </c>
      <c r="V14" s="22">
        <f t="shared" si="34"/>
        <v>4442.2857142857147</v>
      </c>
      <c r="W14" s="22">
        <f>$B$53/4*BH14/_xlfn.XLOOKUP(Q_end,cpi!A:A,cpi!B:B)</f>
        <v>127.98894263994472</v>
      </c>
      <c r="X14" s="22">
        <f t="shared" si="26"/>
        <v>4570.2746569256597</v>
      </c>
      <c r="Y14" s="22">
        <f t="shared" si="3"/>
        <v>2888.532051048327</v>
      </c>
      <c r="Z14" s="22">
        <f t="shared" si="27"/>
        <v>0</v>
      </c>
      <c r="AA14" s="22" cm="1">
        <f t="array" ref="AA14">(Y14+Z14)*eff_invest</f>
        <v>2888.532051048327</v>
      </c>
      <c r="AB14" s="22">
        <f>AA14*(_xlfn.XLOOKUP(Q_end,cpi!A:A,cpi!B:B)/BH14)</f>
        <v>4513.7212503962519</v>
      </c>
      <c r="AC14" s="22" cm="1">
        <f t="array" ref="AC14">INDEX('msci-indices'!C:C,MATCH($L14,'msci-indices'!$B:$B)-2)</f>
        <v>747.65997700000003</v>
      </c>
      <c r="AD14" s="22" cm="1">
        <f t="array" ref="AD14">INDEX('msci-indices'!D:D,MATCH($L14,'msci-indices'!$B:$B)-2)</f>
        <v>775.74397499999998</v>
      </c>
      <c r="AE14" s="22">
        <f t="shared" si="28"/>
        <v>134396.68267900255</v>
      </c>
      <c r="AF14" s="22" cm="1">
        <f t="array" ref="AF14">INDEX('msci-indices'!C:C,MATCH($L14,'msci-indices'!$B:$B)+1)</f>
        <v>582.01081599999998</v>
      </c>
      <c r="AG14" s="22" cm="1">
        <f t="array" ref="AG14">INDEX('msci-indices'!D:D,MATCH($L14,'msci-indices'!$B:$B)+1)</f>
        <v>630.66129899999999</v>
      </c>
      <c r="AH14" s="22">
        <f t="shared" si="4"/>
        <v>83.9979266743766</v>
      </c>
      <c r="AI14" s="22">
        <f t="shared" si="5"/>
        <v>105928.51619071751</v>
      </c>
      <c r="AJ14" s="22">
        <f t="shared" si="29"/>
        <v>139493.27568218918</v>
      </c>
      <c r="AK14" s="22">
        <f t="shared" si="6"/>
        <v>-33564.759491471676</v>
      </c>
      <c r="AL14" s="22">
        <f>AJ14*(_xlfn.XLOOKUP(Q_end,cpi!A:A,cpi!B:B)/BH14)</f>
        <v>217977.07333923082</v>
      </c>
      <c r="AM14" s="22" cm="1">
        <f t="array" ref="AM14">SUMPRODUCT($AA$3:AA14,_xlfn.SORTBY($BH$3:BH14,_xlfn.SEQUENCE(ROWS($BH$3:BH14)),-1)/$BH$3)</f>
        <v>150486.14341163068</v>
      </c>
      <c r="AN14" s="22">
        <f t="shared" si="30"/>
        <v>-44557.627220913171</v>
      </c>
      <c r="AO14" s="22">
        <f t="shared" si="7"/>
        <v>0</v>
      </c>
      <c r="AP14" s="22">
        <f t="shared" si="31"/>
        <v>105928.51619071751</v>
      </c>
      <c r="AQ14" s="22"/>
      <c r="AR14" s="10">
        <f>IF($B$10="3BR_H",
INDEX('ns-combined'!$C:$D,MATCH($L14,'ns-combined'!$B:$B,0),MATCH(Council_Area,'ns-combined'!$C$1:$D$1,0))*1000,
INDEX('s-combined'!$C:$D,MATCH($L14,'s-combined'!$B:$B,0),MATCH(Council_Area,'s-combined'!$C$1:$D$1,0))*1000)</f>
        <v>425000</v>
      </c>
      <c r="AS14" s="22">
        <f t="shared" si="35"/>
        <v>11100</v>
      </c>
      <c r="AT14" s="10">
        <v>0</v>
      </c>
      <c r="AU14" s="22">
        <f t="shared" si="8"/>
        <v>8500</v>
      </c>
      <c r="AV14" s="22">
        <f t="shared" si="9"/>
        <v>1221.875</v>
      </c>
      <c r="AW14" s="22">
        <f>SUM($AV$3:AV14)</f>
        <v>15496.25</v>
      </c>
      <c r="AX14" s="22">
        <f t="shared" si="32"/>
        <v>389903.75</v>
      </c>
      <c r="AY14" s="22">
        <f t="shared" si="10"/>
        <v>1554.8000000000002</v>
      </c>
      <c r="AZ14" s="24">
        <f t="shared" si="11"/>
        <v>1.4633411764705884E-2</v>
      </c>
      <c r="BA14" s="24">
        <f t="shared" si="12"/>
        <v>0.35000000000000003</v>
      </c>
      <c r="BB14" s="25">
        <f>IF(MortgageRate="Discounted",_xlfn.XLOOKUP(L14,'mortgage-rates'!$A:$A,'mortgage-rates'!$E:$E)/100,_xlfn.XLOOKUP(L14,'mortgage-rates'!$A:$A,'mortgage-rates'!$D:$D)/100)</f>
        <v>6.2E-2</v>
      </c>
      <c r="BC14" s="10">
        <f t="shared" si="37"/>
        <v>284008.61215251125</v>
      </c>
      <c r="BD14" s="10">
        <f t="shared" si="13"/>
        <v>5904.0067079739865</v>
      </c>
      <c r="BE14" s="10">
        <f t="shared" si="14"/>
        <v>4402.1334883639247</v>
      </c>
      <c r="BF14" s="10">
        <f t="shared" si="36"/>
        <v>1501.8732196100618</v>
      </c>
      <c r="BG14" s="12">
        <f t="shared" si="15"/>
        <v>7458.8067079739867</v>
      </c>
      <c r="BH14" s="22">
        <f>INDEX(cpi!B:B,MATCH($L14,cpi!A:A))</f>
        <v>92.6</v>
      </c>
      <c r="BI14" s="22">
        <f t="shared" si="16"/>
        <v>109.45626477541371</v>
      </c>
      <c r="BJ14" s="22">
        <f t="shared" si="17"/>
        <v>99.043604583459881</v>
      </c>
      <c r="BK14" s="22">
        <f t="shared" si="18"/>
        <v>108.80667337781247</v>
      </c>
      <c r="BL14" s="22">
        <f t="shared" si="19"/>
        <v>101.97252522176566</v>
      </c>
      <c r="BM14" s="22">
        <f t="shared" si="20"/>
        <v>138.21622983588406</v>
      </c>
      <c r="BN14" s="22">
        <f t="shared" si="21"/>
        <v>114.86486486486487</v>
      </c>
      <c r="BO14">
        <f t="shared" si="22"/>
        <v>108.12301335579519</v>
      </c>
    </row>
    <row r="15" spans="1:67" x14ac:dyDescent="0.25">
      <c r="A15" t="s">
        <v>489</v>
      </c>
      <c r="B15" s="4">
        <v>1.15E-2</v>
      </c>
      <c r="C15" s="4">
        <v>1.15E-2</v>
      </c>
      <c r="L15" s="1">
        <f t="shared" si="33"/>
        <v>39873</v>
      </c>
      <c r="M15" s="10">
        <f t="shared" si="0"/>
        <v>98685.133236891314</v>
      </c>
      <c r="N15" s="10">
        <f t="shared" si="23"/>
        <v>118929.88606709882</v>
      </c>
      <c r="O15" s="7">
        <f t="shared" si="24"/>
        <v>0.82977573173839869</v>
      </c>
      <c r="P15" s="7">
        <f t="shared" si="1"/>
        <v>0.68974445357262637</v>
      </c>
      <c r="Q15">
        <v>13</v>
      </c>
      <c r="R15">
        <f t="shared" si="2"/>
        <v>90</v>
      </c>
      <c r="S15" s="22"/>
      <c r="T15" s="22">
        <f>IF($B$10="3BR_H",
INDEX('3BR_H-processed'!$E:$E,MATCH($L15,'3BR_H-processed'!$B:$B,0),MATCH(Council_Area,'3BR_H-processed'!$E$1:$E$1,0)),
INDEX('2BR_F-processed'!$E:$E,MATCH($L15,'2BR_F-processed'!$B:$B,0),MATCH(Council_Area,'2BR_F-processed'!$E$1:$E$1,0)))</f>
        <v>368.6561135371179</v>
      </c>
      <c r="U15" s="22">
        <f t="shared" si="25"/>
        <v>368.6561135371179</v>
      </c>
      <c r="V15" s="22">
        <f t="shared" si="34"/>
        <v>4739.8643169058023</v>
      </c>
      <c r="W15" s="22">
        <f>$B$53/4*BH15/_xlfn.XLOOKUP(Q_end,cpi!A:A,cpi!B:B)</f>
        <v>127.85072563925364</v>
      </c>
      <c r="X15" s="22">
        <f t="shared" si="26"/>
        <v>4867.7150425450563</v>
      </c>
      <c r="Y15" s="22">
        <f t="shared" si="3"/>
        <v>2189.5581509283465</v>
      </c>
      <c r="Z15" s="22">
        <f t="shared" si="27"/>
        <v>0</v>
      </c>
      <c r="AA15" s="22" cm="1">
        <f t="array" ref="AA15">(Y15+Z15)*eff_invest</f>
        <v>2189.5581509283465</v>
      </c>
      <c r="AB15" s="22">
        <f>AA15*(_xlfn.XLOOKUP(Q_end,cpi!A:A,cpi!B:B)/BH15)</f>
        <v>3425.179075019802</v>
      </c>
      <c r="AC15" s="22" cm="1">
        <f t="array" ref="AC15">INDEX('msci-indices'!C:C,MATCH($L15,'msci-indices'!$B:$B)-2)</f>
        <v>582.01081599999998</v>
      </c>
      <c r="AD15" s="22" cm="1">
        <f t="array" ref="AD15">INDEX('msci-indices'!D:D,MATCH($L15,'msci-indices'!$B:$B)-2)</f>
        <v>630.66129899999999</v>
      </c>
      <c r="AE15" s="22">
        <f t="shared" si="28"/>
        <v>108118.07434164586</v>
      </c>
      <c r="AF15" s="22" cm="1">
        <f t="array" ref="AF15">INDEX('msci-indices'!C:C,MATCH($L15,'msci-indices'!$B:$B)+1)</f>
        <v>513.55423199999996</v>
      </c>
      <c r="AG15" s="22" cm="1">
        <f t="array" ref="AG15">INDEX('msci-indices'!D:D,MATCH($L15,'msci-indices'!$B:$B)+1)</f>
        <v>621.64895000000001</v>
      </c>
      <c r="AH15" s="22">
        <f t="shared" si="4"/>
        <v>67.573796463528666</v>
      </c>
      <c r="AI15" s="22">
        <f t="shared" si="5"/>
        <v>98685.133236891314</v>
      </c>
      <c r="AJ15" s="22">
        <f t="shared" si="29"/>
        <v>141682.83383311753</v>
      </c>
      <c r="AK15" s="22">
        <f t="shared" si="6"/>
        <v>-42997.700596226219</v>
      </c>
      <c r="AL15" s="22">
        <f>AJ15*(_xlfn.XLOOKUP(Q_end,cpi!A:A,cpi!B:B)/BH15)</f>
        <v>221637.90330434707</v>
      </c>
      <c r="AM15" s="22" cm="1">
        <f t="array" ref="AM15">SUMPRODUCT($AA$3:AA15,_xlfn.SORTBY($BH$3:BH15,_xlfn.SEQUENCE(ROWS($BH$3:BH15)),-1)/$BH$3)</f>
        <v>152911.47019088228</v>
      </c>
      <c r="AN15" s="22">
        <f t="shared" si="30"/>
        <v>-54226.336953990962</v>
      </c>
      <c r="AO15" s="22">
        <f t="shared" si="7"/>
        <v>0</v>
      </c>
      <c r="AP15" s="22">
        <f t="shared" si="31"/>
        <v>98685.133236891314</v>
      </c>
      <c r="AQ15" s="22"/>
      <c r="AR15" s="10">
        <f>IF($B$10="3BR_H",
INDEX('ns-combined'!$C:$D,MATCH($L15,'ns-combined'!$B:$B,0),MATCH(Council_Area,'ns-combined'!$C$1:$D$1,0))*1000,
INDEX('s-combined'!$C:$D,MATCH($L15,'s-combined'!$B:$B,0),MATCH(Council_Area,'s-combined'!$C$1:$D$1,0))*1000)</f>
        <v>439000</v>
      </c>
      <c r="AS15" s="22">
        <f t="shared" si="35"/>
        <v>12025</v>
      </c>
      <c r="AT15" s="10">
        <v>0</v>
      </c>
      <c r="AU15" s="22">
        <f t="shared" si="8"/>
        <v>8780</v>
      </c>
      <c r="AV15" s="22">
        <f t="shared" si="9"/>
        <v>1262.125</v>
      </c>
      <c r="AW15" s="22">
        <f>SUM($AV$3:AV15)</f>
        <v>16758.375</v>
      </c>
      <c r="AX15" s="22">
        <f t="shared" si="32"/>
        <v>401436.625</v>
      </c>
      <c r="AY15" s="22">
        <f t="shared" si="10"/>
        <v>1658.9525109170308</v>
      </c>
      <c r="AZ15" s="24">
        <f t="shared" si="11"/>
        <v>1.5115740418378413E-2</v>
      </c>
      <c r="BA15" s="24">
        <f t="shared" si="12"/>
        <v>0.35000000000000003</v>
      </c>
      <c r="BB15" s="25">
        <f>IF(MortgageRate="Discounted",_xlfn.XLOOKUP(L15,'mortgage-rates'!$A:$A,'mortgage-rates'!$E:$E)/100,_xlfn.XLOOKUP(L15,'mortgage-rates'!$A:$A,'mortgage-rates'!$D:$D)/100)</f>
        <v>5.1799999999999999E-2</v>
      </c>
      <c r="BC15" s="10">
        <f t="shared" si="37"/>
        <v>282506.73893290118</v>
      </c>
      <c r="BD15" s="10">
        <f t="shared" si="13"/>
        <v>5398.320682556372</v>
      </c>
      <c r="BE15" s="10">
        <f t="shared" si="14"/>
        <v>3658.46226918107</v>
      </c>
      <c r="BF15" s="10">
        <f t="shared" si="36"/>
        <v>1739.858413375302</v>
      </c>
      <c r="BG15" s="12">
        <f t="shared" si="15"/>
        <v>7057.2731934734029</v>
      </c>
      <c r="BH15" s="22">
        <f>INDEX(cpi!B:B,MATCH($L15,cpi!A:A))</f>
        <v>92.5</v>
      </c>
      <c r="BI15" s="22">
        <f t="shared" si="16"/>
        <v>109.33806146572105</v>
      </c>
      <c r="BJ15" s="22">
        <f t="shared" si="17"/>
        <v>77.099819298205958</v>
      </c>
      <c r="BK15" s="22">
        <f t="shared" si="18"/>
        <v>88.457223238272576</v>
      </c>
      <c r="BL15" s="22">
        <f t="shared" si="19"/>
        <v>80.507040480225939</v>
      </c>
      <c r="BM15" s="22">
        <f t="shared" si="20"/>
        <v>111.19078473320715</v>
      </c>
      <c r="BN15" s="22">
        <f t="shared" si="21"/>
        <v>118.64864864864865</v>
      </c>
      <c r="BO15">
        <f t="shared" si="22"/>
        <v>111.32115955894332</v>
      </c>
    </row>
    <row r="16" spans="1:67" x14ac:dyDescent="0.25">
      <c r="A16" t="s">
        <v>55</v>
      </c>
      <c r="B16" s="23">
        <v>25</v>
      </c>
      <c r="C16" s="23">
        <v>25</v>
      </c>
      <c r="L16" s="1">
        <f t="shared" si="33"/>
        <v>39965</v>
      </c>
      <c r="M16" s="10">
        <f t="shared" si="0"/>
        <v>119526.06976691328</v>
      </c>
      <c r="N16" s="10">
        <f t="shared" si="23"/>
        <v>134116.6194804741</v>
      </c>
      <c r="O16" s="7">
        <f t="shared" si="24"/>
        <v>0.89120998001530272</v>
      </c>
      <c r="P16" s="7">
        <f t="shared" si="1"/>
        <v>0.69738017792160745</v>
      </c>
      <c r="Q16">
        <v>14</v>
      </c>
      <c r="R16">
        <f t="shared" si="2"/>
        <v>91</v>
      </c>
      <c r="S16" s="22"/>
      <c r="T16" s="22">
        <f>IF($B$10="3BR_H",
INDEX('3BR_H-processed'!$E:$E,MATCH($L16,'3BR_H-processed'!$B:$B,0),MATCH(Council_Area,'3BR_H-processed'!$E$1:$E$1,0)),
INDEX('2BR_F-processed'!$E:$E,MATCH($L16,'2BR_F-processed'!$B:$B,0),MATCH(Council_Area,'2BR_F-processed'!$E$1:$E$1,0)))</f>
        <v>375.27620087336248</v>
      </c>
      <c r="U16" s="22">
        <f t="shared" si="25"/>
        <v>368.6561135371179</v>
      </c>
      <c r="V16" s="22">
        <f t="shared" si="34"/>
        <v>4792.5294759825329</v>
      </c>
      <c r="W16" s="22">
        <f>$B$53/4*BH16/_xlfn.XLOOKUP(Q_end,cpi!A:A,cpi!B:B)</f>
        <v>128.54181064270907</v>
      </c>
      <c r="X16" s="22">
        <f t="shared" si="26"/>
        <v>4921.0712866252416</v>
      </c>
      <c r="Y16" s="22">
        <f t="shared" si="3"/>
        <v>2135.4402725238051</v>
      </c>
      <c r="Z16" s="22">
        <f t="shared" si="27"/>
        <v>0</v>
      </c>
      <c r="AA16" s="22" cm="1">
        <f t="array" ref="AA16">(Y16+Z16)*eff_invest</f>
        <v>2135.4402725238051</v>
      </c>
      <c r="AB16" s="22">
        <f>AA16*(_xlfn.XLOOKUP(Q_end,cpi!A:A,cpi!B:B)/BH16)</f>
        <v>3322.5613702601563</v>
      </c>
      <c r="AC16" s="22" cm="1">
        <f t="array" ref="AC16">INDEX('msci-indices'!C:C,MATCH($L16,'msci-indices'!$B:$B)-2)</f>
        <v>513.55423199999996</v>
      </c>
      <c r="AD16" s="22" cm="1">
        <f t="array" ref="AD16">INDEX('msci-indices'!D:D,MATCH($L16,'msci-indices'!$B:$B)-2)</f>
        <v>621.64895000000001</v>
      </c>
      <c r="AE16" s="22">
        <f t="shared" si="28"/>
        <v>100820.57350941512</v>
      </c>
      <c r="AF16" s="22" cm="1">
        <f t="array" ref="AF16">INDEX('msci-indices'!C:C,MATCH($L16,'msci-indices'!$B:$B)+1)</f>
        <v>624.35597900000005</v>
      </c>
      <c r="AG16" s="22" cm="1">
        <f t="array" ref="AG16">INDEX('msci-indices'!D:D,MATCH($L16,'msci-indices'!$B:$B)+1)</f>
        <v>694.44244900000001</v>
      </c>
      <c r="AH16" s="22">
        <f t="shared" si="4"/>
        <v>63.012858443384452</v>
      </c>
      <c r="AI16" s="22">
        <f t="shared" si="5"/>
        <v>119526.06976691328</v>
      </c>
      <c r="AJ16" s="22">
        <f t="shared" si="29"/>
        <v>143818.27410564135</v>
      </c>
      <c r="AK16" s="22">
        <f t="shared" si="6"/>
        <v>-24292.204338728072</v>
      </c>
      <c r="AL16" s="22">
        <f>AJ16*(_xlfn.XLOOKUP(Q_end,cpi!A:A,cpi!B:B)/BH16)</f>
        <v>223768.86304393871</v>
      </c>
      <c r="AM16" s="22" cm="1">
        <f t="array" ref="AM16">SUMPRODUCT($AA$3:AA16,_xlfn.SORTBY($BH$3:BH16,_xlfn.SEQUENCE(ROWS($BH$3:BH16)),-1)/$BH$3)</f>
        <v>155950.7559206255</v>
      </c>
      <c r="AN16" s="22">
        <f t="shared" si="30"/>
        <v>-36424.686153712217</v>
      </c>
      <c r="AO16" s="22">
        <f t="shared" si="7"/>
        <v>0</v>
      </c>
      <c r="AP16" s="22">
        <f t="shared" si="31"/>
        <v>119526.06976691328</v>
      </c>
      <c r="AQ16" s="22"/>
      <c r="AR16" s="10">
        <f>IF($B$10="3BR_H",
INDEX('ns-combined'!$C:$D,MATCH($L16,'ns-combined'!$B:$B,0),MATCH(Council_Area,'ns-combined'!$C$1:$D$1,0))*1000,
INDEX('s-combined'!$C:$D,MATCH($L16,'s-combined'!$B:$B,0),MATCH(Council_Area,'s-combined'!$C$1:$D$1,0))*1000)</f>
        <v>455000</v>
      </c>
      <c r="AS16" s="22">
        <f t="shared" si="35"/>
        <v>12950</v>
      </c>
      <c r="AT16" s="10">
        <v>0</v>
      </c>
      <c r="AU16" s="22">
        <f t="shared" si="8"/>
        <v>9100</v>
      </c>
      <c r="AV16" s="22">
        <f t="shared" si="9"/>
        <v>1308.125</v>
      </c>
      <c r="AW16" s="22">
        <f>SUM($AV$3:AV16)</f>
        <v>18066.5</v>
      </c>
      <c r="AX16" s="22">
        <f t="shared" si="32"/>
        <v>414883.5</v>
      </c>
      <c r="AY16" s="22">
        <f t="shared" si="10"/>
        <v>1677.3853165938867</v>
      </c>
      <c r="AZ16" s="24">
        <f t="shared" si="11"/>
        <v>1.4746244541484719E-2</v>
      </c>
      <c r="BA16" s="24">
        <f t="shared" si="12"/>
        <v>0.35000000000000003</v>
      </c>
      <c r="BB16" s="25">
        <f>IF(MortgageRate="Discounted",_xlfn.XLOOKUP(L16,'mortgage-rates'!$A:$A,'mortgage-rates'!$E:$E)/100,_xlfn.XLOOKUP(L16,'mortgage-rates'!$A:$A,'mortgage-rates'!$D:$D)/100)</f>
        <v>5.1399999999999994E-2</v>
      </c>
      <c r="BC16" s="10">
        <f t="shared" si="37"/>
        <v>280766.8805195259</v>
      </c>
      <c r="BD16" s="10">
        <f t="shared" si="13"/>
        <v>5379.1262425551595</v>
      </c>
      <c r="BE16" s="10">
        <f t="shared" si="14"/>
        <v>3607.8544146759073</v>
      </c>
      <c r="BF16" s="10">
        <f t="shared" si="36"/>
        <v>1771.2718278792522</v>
      </c>
      <c r="BG16" s="12">
        <f t="shared" si="15"/>
        <v>7056.5115591490467</v>
      </c>
      <c r="BH16" s="22">
        <f>INDEX(cpi!B:B,MATCH($L16,cpi!A:A))</f>
        <v>93</v>
      </c>
      <c r="BI16" s="22">
        <f t="shared" si="16"/>
        <v>109.9290780141844</v>
      </c>
      <c r="BJ16" s="22">
        <f t="shared" si="17"/>
        <v>68.031276049393796</v>
      </c>
      <c r="BK16" s="22">
        <f t="shared" si="18"/>
        <v>87.193141601016094</v>
      </c>
      <c r="BL16" s="22">
        <f t="shared" si="19"/>
        <v>73.779835714880477</v>
      </c>
      <c r="BM16" s="22">
        <f t="shared" si="20"/>
        <v>103.68588928378441</v>
      </c>
      <c r="BN16" s="22">
        <f t="shared" si="21"/>
        <v>122.97297297297297</v>
      </c>
      <c r="BO16">
        <f t="shared" si="22"/>
        <v>115.0500712332186</v>
      </c>
    </row>
    <row r="17" spans="1:67" x14ac:dyDescent="0.25">
      <c r="L17" s="1">
        <f t="shared" si="33"/>
        <v>40057</v>
      </c>
      <c r="M17" s="10">
        <f t="shared" si="0"/>
        <v>145033.01399378586</v>
      </c>
      <c r="N17" s="10">
        <f t="shared" si="23"/>
        <v>151243.01630835334</v>
      </c>
      <c r="O17" s="7">
        <f t="shared" si="24"/>
        <v>0.95894023759810132</v>
      </c>
      <c r="P17" s="7">
        <f t="shared" si="1"/>
        <v>0.70314389883251416</v>
      </c>
      <c r="Q17">
        <v>15</v>
      </c>
      <c r="R17">
        <f t="shared" si="2"/>
        <v>92</v>
      </c>
      <c r="S17" s="22"/>
      <c r="T17" s="22">
        <f>IF($B$10="3BR_H",
INDEX('3BR_H-processed'!$E:$E,MATCH($L17,'3BR_H-processed'!$B:$B,0),MATCH(Council_Area,'3BR_H-processed'!$E$1:$E$1,0)),
INDEX('2BR_F-processed'!$E:$E,MATCH($L17,'2BR_F-processed'!$B:$B,0),MATCH(Council_Area,'2BR_F-processed'!$E$1:$E$1,0)))</f>
        <v>379</v>
      </c>
      <c r="U17" s="22">
        <f t="shared" si="25"/>
        <v>368.6561135371179</v>
      </c>
      <c r="V17" s="22">
        <f t="shared" si="34"/>
        <v>4845.1946350592634</v>
      </c>
      <c r="W17" s="22">
        <f>$B$53/4*BH17/_xlfn.XLOOKUP(Q_end,cpi!A:A,cpi!B:B)</f>
        <v>129.50932964754665</v>
      </c>
      <c r="X17" s="22">
        <f t="shared" si="26"/>
        <v>4974.7039647068104</v>
      </c>
      <c r="Y17" s="22">
        <f t="shared" si="3"/>
        <v>2100.2404001190916</v>
      </c>
      <c r="Z17" s="22">
        <f t="shared" si="27"/>
        <v>0</v>
      </c>
      <c r="AA17" s="22" cm="1">
        <f t="array" ref="AA17">(Y17+Z17)*eff_invest</f>
        <v>2100.2404001190916</v>
      </c>
      <c r="AB17" s="22">
        <f>AA17*(_xlfn.XLOOKUP(Q_end,cpi!A:A,cpi!B:B)/BH17)</f>
        <v>3243.3808526919161</v>
      </c>
      <c r="AC17" s="22" cm="1">
        <f t="array" ref="AC17">INDEX('msci-indices'!C:C,MATCH($L17,'msci-indices'!$B:$B)-2)</f>
        <v>624.35597900000005</v>
      </c>
      <c r="AD17" s="22" cm="1">
        <f t="array" ref="AD17">INDEX('msci-indices'!D:D,MATCH($L17,'msci-indices'!$B:$B)-2)</f>
        <v>694.44244900000001</v>
      </c>
      <c r="AE17" s="22">
        <f t="shared" si="28"/>
        <v>121626.31016703237</v>
      </c>
      <c r="AF17" s="22" cm="1">
        <f t="array" ref="AF17">INDEX('msci-indices'!C:C,MATCH($L17,'msci-indices'!$B:$B)+1)</f>
        <v>736.86332800000002</v>
      </c>
      <c r="AG17" s="22" cm="1">
        <f t="array" ref="AG17">INDEX('msci-indices'!D:D,MATCH($L17,'msci-indices'!$B:$B)+1)</f>
        <v>849.38296100000002</v>
      </c>
      <c r="AH17" s="22">
        <f t="shared" si="4"/>
        <v>76.016443854395234</v>
      </c>
      <c r="AI17" s="22">
        <f t="shared" si="5"/>
        <v>145033.01399378586</v>
      </c>
      <c r="AJ17" s="22">
        <f t="shared" si="29"/>
        <v>145918.51450576045</v>
      </c>
      <c r="AK17" s="22">
        <f t="shared" si="6"/>
        <v>-885.50051197459106</v>
      </c>
      <c r="AL17" s="22">
        <f>AJ17*(_xlfn.XLOOKUP(Q_end,cpi!A:A,cpi!B:B)/BH17)</f>
        <v>225340.54481305799</v>
      </c>
      <c r="AM17" s="22" cm="1">
        <f t="array" ref="AM17">SUMPRODUCT($AA$3:AA17,_xlfn.SORTBY($BH$3:BH17,_xlfn.SEQUENCE(ROWS($BH$3:BH17)),-1)/$BH$3)</f>
        <v>159201.40721735105</v>
      </c>
      <c r="AN17" s="22">
        <f t="shared" si="30"/>
        <v>-14168.393223565188</v>
      </c>
      <c r="AO17" s="22">
        <f t="shared" si="7"/>
        <v>0</v>
      </c>
      <c r="AP17" s="22">
        <f t="shared" si="31"/>
        <v>145033.01399378586</v>
      </c>
      <c r="AQ17" s="22"/>
      <c r="AR17" s="10">
        <f>IF($B$10="3BR_H",
INDEX('ns-combined'!$C:$D,MATCH($L17,'ns-combined'!$B:$B,0),MATCH(Council_Area,'ns-combined'!$C$1:$D$1,0))*1000,
INDEX('s-combined'!$C:$D,MATCH($L17,'s-combined'!$B:$B,0),MATCH(Council_Area,'s-combined'!$C$1:$D$1,0))*1000)</f>
        <v>473000</v>
      </c>
      <c r="AS17" s="22">
        <f t="shared" si="35"/>
        <v>13875</v>
      </c>
      <c r="AT17" s="10">
        <v>0</v>
      </c>
      <c r="AU17" s="22">
        <f t="shared" si="8"/>
        <v>9460</v>
      </c>
      <c r="AV17" s="22">
        <f t="shared" si="9"/>
        <v>1359.875</v>
      </c>
      <c r="AW17" s="22">
        <f>SUM($AV$3:AV17)</f>
        <v>19426.375</v>
      </c>
      <c r="AX17" s="22">
        <f t="shared" si="32"/>
        <v>430238.625</v>
      </c>
      <c r="AY17" s="22">
        <f t="shared" si="10"/>
        <v>1695.8181222707424</v>
      </c>
      <c r="AZ17" s="24">
        <f t="shared" si="11"/>
        <v>1.4340956636539047E-2</v>
      </c>
      <c r="BA17" s="24">
        <f t="shared" si="12"/>
        <v>0.35000000000000003</v>
      </c>
      <c r="BB17" s="25">
        <f>IF(MortgageRate="Discounted",_xlfn.XLOOKUP(L17,'mortgage-rates'!$A:$A,'mortgage-rates'!$E:$E)/100,_xlfn.XLOOKUP(L17,'mortgage-rates'!$A:$A,'mortgage-rates'!$D:$D)/100)</f>
        <v>5.1399999999999994E-2</v>
      </c>
      <c r="BC17" s="10">
        <f t="shared" si="37"/>
        <v>278995.60869164666</v>
      </c>
      <c r="BD17" s="10">
        <f t="shared" si="13"/>
        <v>5379.1262425551595</v>
      </c>
      <c r="BE17" s="10">
        <f t="shared" si="14"/>
        <v>3585.0935716876593</v>
      </c>
      <c r="BF17" s="10">
        <f t="shared" si="36"/>
        <v>1794.0326708675002</v>
      </c>
      <c r="BG17" s="12">
        <f t="shared" si="15"/>
        <v>7074.9443648259021</v>
      </c>
      <c r="BH17" s="22">
        <f>INDEX(cpi!B:B,MATCH($L17,cpi!A:A))</f>
        <v>93.7</v>
      </c>
      <c r="BI17" s="22">
        <f t="shared" si="16"/>
        <v>110.75650118203311</v>
      </c>
      <c r="BJ17" s="22">
        <f t="shared" si="17"/>
        <v>82.709344629523997</v>
      </c>
      <c r="BK17" s="22">
        <f t="shared" si="18"/>
        <v>97.403235040312381</v>
      </c>
      <c r="BL17" s="22">
        <f t="shared" si="19"/>
        <v>87.117511752760507</v>
      </c>
      <c r="BM17" s="22">
        <f t="shared" si="20"/>
        <v>125.08292396091626</v>
      </c>
      <c r="BN17" s="22">
        <f t="shared" si="21"/>
        <v>127.83783783783784</v>
      </c>
      <c r="BO17">
        <f t="shared" si="22"/>
        <v>119.30815386375217</v>
      </c>
    </row>
    <row r="18" spans="1:67" x14ac:dyDescent="0.25">
      <c r="A18" s="5" t="s">
        <v>323</v>
      </c>
      <c r="L18" s="1">
        <f t="shared" si="33"/>
        <v>40148</v>
      </c>
      <c r="M18" s="10">
        <f t="shared" si="0"/>
        <v>153009.46123240443</v>
      </c>
      <c r="N18" s="10">
        <f t="shared" si="23"/>
        <v>182020.17397922085</v>
      </c>
      <c r="O18" s="7">
        <f t="shared" si="24"/>
        <v>0.84061814626037967</v>
      </c>
      <c r="P18" s="7">
        <f t="shared" si="1"/>
        <v>0.66453496933003531</v>
      </c>
      <c r="Q18">
        <v>16</v>
      </c>
      <c r="R18">
        <f t="shared" si="2"/>
        <v>92</v>
      </c>
      <c r="S18" s="22"/>
      <c r="T18" s="22">
        <f>IF($B$10="3BR_H",
INDEX('3BR_H-processed'!$E:$E,MATCH($L18,'3BR_H-processed'!$B:$B,0),MATCH(Council_Area,'3BR_H-processed'!$E$1:$E$1,0)),
INDEX('2BR_F-processed'!$E:$E,MATCH($L18,'2BR_F-processed'!$B:$B,0),MATCH(Council_Area,'2BR_F-processed'!$E$1:$E$1,0)))</f>
        <v>379</v>
      </c>
      <c r="U18" s="22">
        <f t="shared" si="25"/>
        <v>368.6561135371179</v>
      </c>
      <c r="V18" s="22">
        <f t="shared" si="34"/>
        <v>4845.1946350592634</v>
      </c>
      <c r="W18" s="22">
        <f>$B$53/4*BH18/_xlfn.XLOOKUP(Q_end,cpi!A:A,cpi!B:B)</f>
        <v>130.61506565307533</v>
      </c>
      <c r="X18" s="22">
        <f t="shared" si="26"/>
        <v>4975.8097007123388</v>
      </c>
      <c r="Y18" s="22">
        <f t="shared" si="3"/>
        <v>2511.8469770525717</v>
      </c>
      <c r="Z18" s="22">
        <f t="shared" si="27"/>
        <v>0</v>
      </c>
      <c r="AA18" s="22" cm="1">
        <f t="array" ref="AA18">(Y18+Z18)*eff_invest</f>
        <v>2511.8469770525717</v>
      </c>
      <c r="AB18" s="22">
        <f>AA18*(_xlfn.XLOOKUP(Q_end,cpi!A:A,cpi!B:B)/BH18)</f>
        <v>3846.1826198889639</v>
      </c>
      <c r="AC18" s="22" cm="1">
        <f t="array" ref="AC18">INDEX('msci-indices'!C:C,MATCH($L18,'msci-indices'!$B:$B)-2)</f>
        <v>736.86332800000002</v>
      </c>
      <c r="AD18" s="22" cm="1">
        <f t="array" ref="AD18">INDEX('msci-indices'!D:D,MATCH($L18,'msci-indices'!$B:$B)-2)</f>
        <v>849.38296100000002</v>
      </c>
      <c r="AE18" s="22">
        <f t="shared" si="28"/>
        <v>147544.86097083843</v>
      </c>
      <c r="AF18" s="22" cm="1">
        <f t="array" ref="AF18">INDEX('msci-indices'!C:C,MATCH($L18,'msci-indices'!$B:$B)+1)</f>
        <v>765.74116200000003</v>
      </c>
      <c r="AG18" s="22" cm="1">
        <f t="array" ref="AG18">INDEX('msci-indices'!D:D,MATCH($L18,'msci-indices'!$B:$B)+1)</f>
        <v>878.343298</v>
      </c>
      <c r="AH18" s="22">
        <f t="shared" si="4"/>
        <v>92.215538106774019</v>
      </c>
      <c r="AI18" s="22">
        <f t="shared" si="5"/>
        <v>153009.46123240443</v>
      </c>
      <c r="AJ18" s="22">
        <f t="shared" si="29"/>
        <v>148430.36148281302</v>
      </c>
      <c r="AK18" s="22">
        <f t="shared" si="6"/>
        <v>4579.0997495914053</v>
      </c>
      <c r="AL18" s="22">
        <f>AJ18*(_xlfn.XLOOKUP(Q_end,cpi!A:A,cpi!B:B)/BH18)</f>
        <v>227279.08260913272</v>
      </c>
      <c r="AM18" s="22" cm="1">
        <f t="array" ref="AM18">SUMPRODUCT($AA$3:AA18,_xlfn.SORTBY($BH$3:BH18,_xlfn.SEQUENCE(ROWS($BH$3:BH18)),-1)/$BH$3)</f>
        <v>163013.82164667855</v>
      </c>
      <c r="AN18" s="22">
        <f t="shared" si="30"/>
        <v>-10004.360414274124</v>
      </c>
      <c r="AO18" s="22">
        <f t="shared" si="7"/>
        <v>0</v>
      </c>
      <c r="AP18" s="22">
        <f t="shared" si="31"/>
        <v>153009.46123240443</v>
      </c>
      <c r="AQ18" s="22"/>
      <c r="AR18" s="10">
        <f>IF($B$10="3BR_H",
INDEX('ns-combined'!$C:$D,MATCH($L18,'ns-combined'!$B:$B,0),MATCH(Council_Area,'ns-combined'!$C$1:$D$1,0))*1000,
INDEX('s-combined'!$C:$D,MATCH($L18,'s-combined'!$B:$B,0),MATCH(Council_Area,'s-combined'!$C$1:$D$1,0))*1000)</f>
        <v>505000</v>
      </c>
      <c r="AS18" s="22">
        <f t="shared" si="35"/>
        <v>14800</v>
      </c>
      <c r="AT18" s="10">
        <v>0</v>
      </c>
      <c r="AU18" s="22">
        <f t="shared" si="8"/>
        <v>10100</v>
      </c>
      <c r="AV18" s="22">
        <f t="shared" si="9"/>
        <v>1451.875</v>
      </c>
      <c r="AW18" s="22">
        <f>SUM($AV$3:AV18)</f>
        <v>20878.25</v>
      </c>
      <c r="AX18" s="22">
        <f t="shared" si="32"/>
        <v>459221.75</v>
      </c>
      <c r="AY18" s="22">
        <f>$B$36*V18</f>
        <v>1695.8181222707424</v>
      </c>
      <c r="AZ18" s="24">
        <f t="shared" si="11"/>
        <v>1.3432222750659346E-2</v>
      </c>
      <c r="BA18" s="24">
        <f t="shared" si="12"/>
        <v>0.35000000000000003</v>
      </c>
      <c r="BB18" s="25">
        <f>IF(MortgageRate="Discounted",_xlfn.XLOOKUP(L18,'mortgage-rates'!$A:$A,'mortgage-rates'!$E:$E)/100,_xlfn.XLOOKUP(L18,'mortgage-rates'!$A:$A,'mortgage-rates'!$D:$D)/100)</f>
        <v>0.06</v>
      </c>
      <c r="BC18" s="10">
        <f t="shared" si="37"/>
        <v>277201.57602077915</v>
      </c>
      <c r="BD18" s="10">
        <f t="shared" si="13"/>
        <v>5791.8385554941678</v>
      </c>
      <c r="BE18" s="10">
        <f t="shared" si="14"/>
        <v>4158.0236403116869</v>
      </c>
      <c r="BF18" s="10">
        <f t="shared" si="36"/>
        <v>1633.8149151824809</v>
      </c>
      <c r="BG18" s="12">
        <f t="shared" si="15"/>
        <v>7487.6566777649105</v>
      </c>
      <c r="BH18" s="22">
        <f>INDEX(cpi!B:B,MATCH($L18,cpi!A:A))</f>
        <v>94.5</v>
      </c>
      <c r="BI18" s="22">
        <f t="shared" si="16"/>
        <v>111.70212765957447</v>
      </c>
      <c r="BJ18" s="22">
        <f t="shared" si="17"/>
        <v>97.613356787298372</v>
      </c>
      <c r="BK18" s="22">
        <f t="shared" si="18"/>
        <v>119.1353557212046</v>
      </c>
      <c r="BL18" s="22">
        <f t="shared" si="19"/>
        <v>104.06995646747023</v>
      </c>
      <c r="BM18" s="22">
        <f t="shared" si="20"/>
        <v>151.73807871252671</v>
      </c>
      <c r="BN18" s="22">
        <f t="shared" si="21"/>
        <v>136.48648648648648</v>
      </c>
      <c r="BO18">
        <f t="shared" si="22"/>
        <v>127.34537538692983</v>
      </c>
    </row>
    <row r="19" spans="1:67" x14ac:dyDescent="0.25">
      <c r="A19" t="s">
        <v>324</v>
      </c>
      <c r="B19" t="s">
        <v>329</v>
      </c>
      <c r="C19" t="s">
        <v>329</v>
      </c>
      <c r="L19" s="1">
        <f>DATE(YEAR(L18),MONTH(L18)+3,1)</f>
        <v>40238</v>
      </c>
      <c r="M19" s="10">
        <f t="shared" si="0"/>
        <v>160448.73571338071</v>
      </c>
      <c r="N19" s="10">
        <f t="shared" si="23"/>
        <v>193979.73889440333</v>
      </c>
      <c r="O19" s="7">
        <f t="shared" si="24"/>
        <v>0.82714172432577671</v>
      </c>
      <c r="P19" s="7">
        <f t="shared" si="1"/>
        <v>0.65682764463756915</v>
      </c>
      <c r="Q19">
        <v>17</v>
      </c>
      <c r="R19">
        <f t="shared" si="2"/>
        <v>90</v>
      </c>
      <c r="S19" s="22"/>
      <c r="T19" s="22">
        <f>IF($B$10="3BR_H",
INDEX('3BR_H-processed'!$E:$E,MATCH($L19,'3BR_H-processed'!$B:$B,0),MATCH(Council_Area,'3BR_H-processed'!$E$1:$E$1,0)),
INDEX('2BR_F-processed'!$E:$E,MATCH($L19,'2BR_F-processed'!$B:$B,0),MATCH(Council_Area,'2BR_F-processed'!$E$1:$E$1,0)))</f>
        <v>379</v>
      </c>
      <c r="U19" s="22">
        <f t="shared" si="25"/>
        <v>379</v>
      </c>
      <c r="V19" s="22">
        <f t="shared" si="34"/>
        <v>4872.8571428571431</v>
      </c>
      <c r="W19" s="22">
        <f>$B$53/4*BH19/_xlfn.XLOOKUP(Q_end,cpi!A:A,cpi!B:B)</f>
        <v>131.58258465791295</v>
      </c>
      <c r="X19" s="22">
        <f t="shared" si="26"/>
        <v>5004.4397275150559</v>
      </c>
      <c r="Y19" s="22">
        <f t="shared" si="3"/>
        <v>2614.6666976970791</v>
      </c>
      <c r="Z19" s="22">
        <f t="shared" si="27"/>
        <v>0</v>
      </c>
      <c r="AA19" s="22" cm="1">
        <f t="array" ref="AA19">(Y19+Z19)*eff_invest</f>
        <v>2614.6666976970791</v>
      </c>
      <c r="AB19" s="22">
        <f>AA19*(_xlfn.XLOOKUP(Q_end,cpi!A:A,cpi!B:B)/BH19)</f>
        <v>3974.1835205542789</v>
      </c>
      <c r="AC19" s="22" cm="1">
        <f t="array" ref="AC19">INDEX('msci-indices'!C:C,MATCH($L19,'msci-indices'!$B:$B)-2)</f>
        <v>765.74116200000003</v>
      </c>
      <c r="AD19" s="22" cm="1">
        <f t="array" ref="AD19">INDEX('msci-indices'!D:D,MATCH($L19,'msci-indices'!$B:$B)-2)</f>
        <v>878.343298</v>
      </c>
      <c r="AE19" s="22">
        <f t="shared" si="28"/>
        <v>155624.1279301015</v>
      </c>
      <c r="AF19" s="22" cm="1">
        <f t="array" ref="AF19">INDEX('msci-indices'!C:C,MATCH($L19,'msci-indices'!$B:$B)+1)</f>
        <v>794.63717599999995</v>
      </c>
      <c r="AG19" s="22" cm="1">
        <f t="array" ref="AG19">INDEX('msci-indices'!D:D,MATCH($L19,'msci-indices'!$B:$B)+1)</f>
        <v>893.60148100000004</v>
      </c>
      <c r="AH19" s="22">
        <f t="shared" si="4"/>
        <v>97.265079956313443</v>
      </c>
      <c r="AI19" s="22">
        <f t="shared" si="5"/>
        <v>160448.73571338071</v>
      </c>
      <c r="AJ19" s="22">
        <f t="shared" si="29"/>
        <v>151045.0281805101</v>
      </c>
      <c r="AK19" s="22">
        <f t="shared" si="6"/>
        <v>9403.7075328706123</v>
      </c>
      <c r="AL19" s="22">
        <f>AJ19*(_xlfn.XLOOKUP(Q_end,cpi!A:A,cpi!B:B)/BH19)</f>
        <v>229582.09640461986</v>
      </c>
      <c r="AM19" s="22" cm="1">
        <f t="array" ref="AM19">SUMPRODUCT($AA$3:AA19,_xlfn.SORTBY($BH$3:BH19,_xlfn.SEQUENCE(ROWS($BH$3:BH19)),-1)/$BH$3)</f>
        <v>166847.94163717935</v>
      </c>
      <c r="AN19" s="22">
        <f t="shared" si="30"/>
        <v>-6399.2059237986396</v>
      </c>
      <c r="AO19" s="22">
        <f t="shared" si="7"/>
        <v>0</v>
      </c>
      <c r="AP19" s="22">
        <f t="shared" si="31"/>
        <v>160448.73571338071</v>
      </c>
      <c r="AQ19" s="22"/>
      <c r="AR19" s="10">
        <f>IF($B$10="3BR_H",
INDEX('ns-combined'!$C:$D,MATCH($L19,'ns-combined'!$B:$B,0),MATCH(Council_Area,'ns-combined'!$C$1:$D$1,0))*1000,
INDEX('s-combined'!$C:$D,MATCH($L19,'s-combined'!$B:$B,0),MATCH(Council_Area,'s-combined'!$C$1:$D$1,0))*1000)</f>
        <v>518000</v>
      </c>
      <c r="AS19" s="22">
        <f t="shared" si="35"/>
        <v>15725</v>
      </c>
      <c r="AT19" s="10">
        <v>0</v>
      </c>
      <c r="AU19" s="22">
        <f t="shared" si="8"/>
        <v>10360</v>
      </c>
      <c r="AV19" s="22">
        <f t="shared" si="9"/>
        <v>1489.25</v>
      </c>
      <c r="AW19" s="22">
        <f>SUM($AV$3:AV19)</f>
        <v>22367.5</v>
      </c>
      <c r="AX19" s="22">
        <f t="shared" si="32"/>
        <v>469547.5</v>
      </c>
      <c r="AY19" s="22">
        <f t="shared" si="10"/>
        <v>1705.5000000000002</v>
      </c>
      <c r="AZ19" s="24">
        <f t="shared" si="11"/>
        <v>1.3169884169884172E-2</v>
      </c>
      <c r="BA19" s="24">
        <f t="shared" si="12"/>
        <v>0.35000000000000003</v>
      </c>
      <c r="BB19" s="25">
        <f>IF(MortgageRate="Discounted",_xlfn.XLOOKUP(L19,'mortgage-rates'!$A:$A,'mortgage-rates'!$E:$E)/100,_xlfn.XLOOKUP(L19,'mortgage-rates'!$A:$A,'mortgage-rates'!$D:$D)/100)</f>
        <v>6.25E-2</v>
      </c>
      <c r="BC19" s="10">
        <f t="shared" si="37"/>
        <v>275567.76110559667</v>
      </c>
      <c r="BD19" s="10">
        <f t="shared" si="13"/>
        <v>5913.606425212135</v>
      </c>
      <c r="BE19" s="10">
        <f t="shared" si="14"/>
        <v>4305.746267274948</v>
      </c>
      <c r="BF19" s="10">
        <f t="shared" si="36"/>
        <v>1607.8601579371871</v>
      </c>
      <c r="BG19" s="12">
        <f t="shared" si="15"/>
        <v>7619.106425212135</v>
      </c>
      <c r="BH19" s="22">
        <f>INDEX(cpi!B:B,MATCH($L19,cpi!A:A))</f>
        <v>95.2</v>
      </c>
      <c r="BI19" s="22">
        <f t="shared" si="16"/>
        <v>112.52955082742318</v>
      </c>
      <c r="BJ19" s="22">
        <f t="shared" si="17"/>
        <v>101.43884545849789</v>
      </c>
      <c r="BK19" s="22">
        <f t="shared" si="18"/>
        <v>123.19736332992677</v>
      </c>
      <c r="BL19" s="22">
        <f t="shared" si="19"/>
        <v>107.96640081992655</v>
      </c>
      <c r="BM19" s="22">
        <f t="shared" si="20"/>
        <v>160.04695804412523</v>
      </c>
      <c r="BN19" s="22">
        <f t="shared" si="21"/>
        <v>140</v>
      </c>
      <c r="BO19">
        <f t="shared" si="22"/>
        <v>130.20877745771935</v>
      </c>
    </row>
    <row r="20" spans="1:67" x14ac:dyDescent="0.25">
      <c r="A20" t="s">
        <v>335</v>
      </c>
      <c r="B20" s="8">
        <v>0.2</v>
      </c>
      <c r="C20" s="8">
        <v>0.2</v>
      </c>
      <c r="L20" s="1">
        <f t="shared" si="33"/>
        <v>40330</v>
      </c>
      <c r="M20" s="10">
        <f t="shared" si="0"/>
        <v>143153.7529337999</v>
      </c>
      <c r="N20" s="10">
        <f t="shared" si="23"/>
        <v>185356.34905234049</v>
      </c>
      <c r="O20" s="7">
        <f t="shared" si="24"/>
        <v>0.77231642544586632</v>
      </c>
      <c r="P20" s="7">
        <f t="shared" si="1"/>
        <v>0.64180267938568192</v>
      </c>
      <c r="Q20">
        <v>18</v>
      </c>
      <c r="R20">
        <f t="shared" si="2"/>
        <v>91</v>
      </c>
      <c r="S20" s="22"/>
      <c r="T20" s="22">
        <f>IF($B$10="3BR_H",
INDEX('3BR_H-processed'!$E:$E,MATCH($L20,'3BR_H-processed'!$B:$B,0),MATCH(Council_Area,'3BR_H-processed'!$E$1:$E$1,0)),
INDEX('2BR_F-processed'!$E:$E,MATCH($L20,'2BR_F-processed'!$B:$B,0),MATCH(Council_Area,'2BR_F-processed'!$E$1:$E$1,0)))</f>
        <v>379</v>
      </c>
      <c r="U20" s="22">
        <f t="shared" si="25"/>
        <v>379</v>
      </c>
      <c r="V20" s="22">
        <f t="shared" si="34"/>
        <v>4927</v>
      </c>
      <c r="W20" s="22">
        <f>$B$53/4*BH20/_xlfn.XLOOKUP(Q_end,cpi!A:A,cpi!B:B)</f>
        <v>132.41188666205943</v>
      </c>
      <c r="X20" s="22">
        <f t="shared" si="26"/>
        <v>5059.4118866620593</v>
      </c>
      <c r="Y20" s="22">
        <f t="shared" si="3"/>
        <v>2823.7148891638171</v>
      </c>
      <c r="Z20" s="22">
        <f t="shared" si="27"/>
        <v>0</v>
      </c>
      <c r="AA20" s="22" cm="1">
        <f t="array" ref="AA20">(Y20+Z20)*eff_invest</f>
        <v>2823.7148891638171</v>
      </c>
      <c r="AB20" s="22">
        <f>AA20*(_xlfn.XLOOKUP(Q_end,cpi!A:A,cpi!B:B)/BH20)</f>
        <v>4265.0474369729054</v>
      </c>
      <c r="AC20" s="22" cm="1">
        <f t="array" ref="AC20">INDEX('msci-indices'!C:C,MATCH($L20,'msci-indices'!$B:$B)-2)</f>
        <v>794.63717599999995</v>
      </c>
      <c r="AD20" s="22" cm="1">
        <f t="array" ref="AD20">INDEX('msci-indices'!D:D,MATCH($L20,'msci-indices'!$B:$B)-2)</f>
        <v>893.60148100000004</v>
      </c>
      <c r="AE20" s="22">
        <f t="shared" si="28"/>
        <v>163272.45060254453</v>
      </c>
      <c r="AF20" s="22" cm="1">
        <f t="array" ref="AF20">INDEX('msci-indices'!C:C,MATCH($L20,'msci-indices'!$B:$B)+1)</f>
        <v>696.18017999999995</v>
      </c>
      <c r="AG20" s="22" cm="1">
        <f t="array" ref="AG20">INDEX('msci-indices'!D:D,MATCH($L20,'msci-indices'!$B:$B)+1)</f>
        <v>786.77036999999996</v>
      </c>
      <c r="AH20" s="22">
        <f t="shared" si="4"/>
        <v>102.04528162659034</v>
      </c>
      <c r="AI20" s="22">
        <f t="shared" si="5"/>
        <v>143153.7529337999</v>
      </c>
      <c r="AJ20" s="22">
        <f t="shared" si="29"/>
        <v>153868.74306967392</v>
      </c>
      <c r="AK20" s="22">
        <f t="shared" si="6"/>
        <v>-10714.990135874017</v>
      </c>
      <c r="AL20" s="22">
        <f>AJ20*(_xlfn.XLOOKUP(Q_end,cpi!A:A,cpi!B:B)/BH20)</f>
        <v>232409.26014803565</v>
      </c>
      <c r="AM20" s="22" cm="1">
        <f t="array" ref="AM20">SUMPRODUCT($AA$3:AA20,_xlfn.SORTBY($BH$3:BH20,_xlfn.SEQUENCE(ROWS($BH$3:BH20)),-1)/$BH$3)</f>
        <v>170802.20133099306</v>
      </c>
      <c r="AN20" s="22">
        <f t="shared" si="30"/>
        <v>-27648.448397193162</v>
      </c>
      <c r="AO20" s="22">
        <f t="shared" si="7"/>
        <v>0</v>
      </c>
      <c r="AP20" s="22">
        <f t="shared" si="31"/>
        <v>143153.7529337999</v>
      </c>
      <c r="AQ20" s="22"/>
      <c r="AR20" s="10">
        <f>IF($B$10="3BR_H",
INDEX('ns-combined'!$C:$D,MATCH($L20,'ns-combined'!$B:$B,0),MATCH(Council_Area,'ns-combined'!$C$1:$D$1,0))*1000,
INDEX('s-combined'!$C:$D,MATCH($L20,'s-combined'!$B:$B,0),MATCH(Council_Area,'s-combined'!$C$1:$D$1,0))*1000)</f>
        <v>510000</v>
      </c>
      <c r="AS20" s="22">
        <f t="shared" si="35"/>
        <v>16650</v>
      </c>
      <c r="AT20" s="10">
        <v>0</v>
      </c>
      <c r="AU20" s="22">
        <f t="shared" si="8"/>
        <v>10200</v>
      </c>
      <c r="AV20" s="22">
        <f t="shared" si="9"/>
        <v>1466.25</v>
      </c>
      <c r="AW20" s="22">
        <f>SUM($AV$3:AV20)</f>
        <v>23833.75</v>
      </c>
      <c r="AX20" s="22">
        <f t="shared" si="32"/>
        <v>459316.25</v>
      </c>
      <c r="AY20" s="22">
        <f t="shared" si="10"/>
        <v>1724.4500000000003</v>
      </c>
      <c r="AZ20" s="24">
        <f t="shared" si="11"/>
        <v>1.3525098039215689E-2</v>
      </c>
      <c r="BA20" s="24">
        <f t="shared" si="12"/>
        <v>0.35000000000000003</v>
      </c>
      <c r="BB20" s="25">
        <f>IF(MortgageRate="Discounted",_xlfn.XLOOKUP(L20,'mortgage-rates'!$A:$A,'mortgage-rates'!$E:$E)/100,_xlfn.XLOOKUP(L20,'mortgage-rates'!$A:$A,'mortgage-rates'!$D:$D)/100)</f>
        <v>6.7500000000000004E-2</v>
      </c>
      <c r="BC20" s="10">
        <f t="shared" si="37"/>
        <v>273959.90094765951</v>
      </c>
      <c r="BD20" s="10">
        <f t="shared" si="13"/>
        <v>6158.6767758258766</v>
      </c>
      <c r="BE20" s="10">
        <f t="shared" si="14"/>
        <v>4623.0733284917542</v>
      </c>
      <c r="BF20" s="10">
        <f t="shared" si="36"/>
        <v>1535.6034473341224</v>
      </c>
      <c r="BG20" s="12">
        <f t="shared" si="15"/>
        <v>7883.1267758258764</v>
      </c>
      <c r="BH20" s="22">
        <f>INDEX(cpi!B:B,MATCH($L20,cpi!A:A))</f>
        <v>95.8</v>
      </c>
      <c r="BI20" s="22">
        <f t="shared" si="16"/>
        <v>113.2387706855792</v>
      </c>
      <c r="BJ20" s="22">
        <f t="shared" si="17"/>
        <v>105.26674246073921</v>
      </c>
      <c r="BK20" s="22">
        <f t="shared" si="18"/>
        <v>125.3374922739123</v>
      </c>
      <c r="BL20" s="22">
        <f t="shared" si="19"/>
        <v>111.28796740469113</v>
      </c>
      <c r="BM20" s="22">
        <f t="shared" si="20"/>
        <v>167.91264567332254</v>
      </c>
      <c r="BN20" s="22">
        <f t="shared" si="21"/>
        <v>137.83783783783784</v>
      </c>
      <c r="BO20">
        <f t="shared" si="22"/>
        <v>127.37158089216574</v>
      </c>
    </row>
    <row r="21" spans="1:67" x14ac:dyDescent="0.25">
      <c r="A21" t="s">
        <v>334</v>
      </c>
      <c r="B21" s="4">
        <v>0</v>
      </c>
      <c r="C21" s="4">
        <v>0</v>
      </c>
      <c r="L21" s="1">
        <f t="shared" si="33"/>
        <v>40422</v>
      </c>
      <c r="M21" s="10">
        <f t="shared" si="0"/>
        <v>163887.29873605623</v>
      </c>
      <c r="N21" s="10">
        <f t="shared" si="23"/>
        <v>174729.45249967463</v>
      </c>
      <c r="O21" s="7">
        <f t="shared" si="24"/>
        <v>0.93794890553074561</v>
      </c>
      <c r="P21" s="7">
        <f t="shared" si="1"/>
        <v>0.64722024233617237</v>
      </c>
      <c r="Q21">
        <v>19</v>
      </c>
      <c r="R21">
        <f t="shared" si="2"/>
        <v>92</v>
      </c>
      <c r="S21" s="22"/>
      <c r="T21" s="22">
        <f>IF($B$10="3BR_H",
INDEX('3BR_H-processed'!$E:$E,MATCH($L21,'3BR_H-processed'!$B:$B,0),MATCH(Council_Area,'3BR_H-processed'!$E$1:$E$1,0)),
INDEX('2BR_F-processed'!$E:$E,MATCH($L21,'2BR_F-processed'!$B:$B,0),MATCH(Council_Area,'2BR_F-processed'!$E$1:$E$1,0)))</f>
        <v>388.87808170836541</v>
      </c>
      <c r="U21" s="22">
        <f t="shared" si="25"/>
        <v>379</v>
      </c>
      <c r="V21" s="22">
        <f t="shared" si="34"/>
        <v>4981.1428571428569</v>
      </c>
      <c r="W21" s="22">
        <f>$B$53/4*BH21/_xlfn.XLOOKUP(Q_end,cpi!A:A,cpi!B:B)</f>
        <v>133.24118866620594</v>
      </c>
      <c r="X21" s="22">
        <f t="shared" si="26"/>
        <v>5114.3840458090626</v>
      </c>
      <c r="Y21" s="22">
        <f t="shared" si="3"/>
        <v>2787.6927300168127</v>
      </c>
      <c r="Z21" s="22">
        <f t="shared" si="27"/>
        <v>0</v>
      </c>
      <c r="AA21" s="22" cm="1">
        <f t="array" ref="AA21">(Y21+Z21)*eff_invest</f>
        <v>2787.6927300168127</v>
      </c>
      <c r="AB21" s="22">
        <f>AA21*(_xlfn.XLOOKUP(Q_end,cpi!A:A,cpi!B:B)/BH21)</f>
        <v>4184.430892462995</v>
      </c>
      <c r="AC21" s="22" cm="1">
        <f t="array" ref="AC21">INDEX('msci-indices'!C:C,MATCH($L21,'msci-indices'!$B:$B)-2)</f>
        <v>696.18017999999995</v>
      </c>
      <c r="AD21" s="22" cm="1">
        <f t="array" ref="AD21">INDEX('msci-indices'!D:D,MATCH($L21,'msci-indices'!$B:$B)-2)</f>
        <v>786.77036999999996</v>
      </c>
      <c r="AE21" s="22">
        <f t="shared" si="28"/>
        <v>145941.4456638167</v>
      </c>
      <c r="AF21" s="22" cm="1">
        <f t="array" ref="AF21">INDEX('msci-indices'!C:C,MATCH($L21,'msci-indices'!$B:$B)+1)</f>
        <v>792.86985700000002</v>
      </c>
      <c r="AG21" s="22" cm="1">
        <f t="array" ref="AG21">INDEX('msci-indices'!D:D,MATCH($L21,'msci-indices'!$B:$B)+1)</f>
        <v>855.92990299999997</v>
      </c>
      <c r="AH21" s="22">
        <f t="shared" si="4"/>
        <v>91.213403539885448</v>
      </c>
      <c r="AI21" s="22">
        <f t="shared" si="5"/>
        <v>163887.29873605623</v>
      </c>
      <c r="AJ21" s="22">
        <f t="shared" si="29"/>
        <v>156656.43579969072</v>
      </c>
      <c r="AK21" s="22">
        <f t="shared" si="6"/>
        <v>7230.8629363655054</v>
      </c>
      <c r="AL21" s="22">
        <f>AJ21*(_xlfn.XLOOKUP(Q_end,cpi!A:A,cpi!B:B)/BH21)</f>
        <v>235147.16037567682</v>
      </c>
      <c r="AM21" s="22" cm="1">
        <f t="array" ref="AM21">SUMPRODUCT($AA$3:AA21,_xlfn.SORTBY($BH$3:BH21,_xlfn.SEQUENCE(ROWS($BH$3:BH21)),-1)/$BH$3)</f>
        <v>174732.57971219416</v>
      </c>
      <c r="AN21" s="22">
        <f t="shared" si="30"/>
        <v>-10845.280976137932</v>
      </c>
      <c r="AO21" s="22">
        <f t="shared" si="7"/>
        <v>0</v>
      </c>
      <c r="AP21" s="22">
        <f t="shared" si="31"/>
        <v>163887.29873605623</v>
      </c>
      <c r="AQ21" s="22"/>
      <c r="AR21" s="10">
        <f>IF($B$10="3BR_H",
INDEX('ns-combined'!$C:$D,MATCH($L21,'ns-combined'!$B:$B,0),MATCH(Council_Area,'ns-combined'!$C$1:$D$1,0))*1000,
INDEX('s-combined'!$C:$D,MATCH($L21,'s-combined'!$B:$B,0),MATCH(Council_Area,'s-combined'!$C$1:$D$1,0))*1000)</f>
        <v>500000</v>
      </c>
      <c r="AS21" s="22">
        <f t="shared" si="35"/>
        <v>17575</v>
      </c>
      <c r="AT21" s="10">
        <v>0</v>
      </c>
      <c r="AU21" s="22">
        <f t="shared" si="8"/>
        <v>10000</v>
      </c>
      <c r="AV21" s="22">
        <f t="shared" si="9"/>
        <v>1437.5</v>
      </c>
      <c r="AW21" s="22">
        <f>SUM($AV$3:AV21)</f>
        <v>25271.25</v>
      </c>
      <c r="AX21" s="22">
        <f t="shared" si="32"/>
        <v>447153.75</v>
      </c>
      <c r="AY21" s="22">
        <f t="shared" si="10"/>
        <v>1743.4</v>
      </c>
      <c r="AZ21" s="24">
        <f t="shared" si="11"/>
        <v>1.39472E-2</v>
      </c>
      <c r="BA21" s="24">
        <f t="shared" si="12"/>
        <v>0.35000000000000003</v>
      </c>
      <c r="BB21" s="25">
        <f>IF(MortgageRate="Discounted",_xlfn.XLOOKUP(L21,'mortgage-rates'!$A:$A,'mortgage-rates'!$E:$E)/100,_xlfn.XLOOKUP(L21,'mortgage-rates'!$A:$A,'mortgage-rates'!$D:$D)/100)</f>
        <v>6.7500000000000004E-2</v>
      </c>
      <c r="BC21" s="10">
        <f t="shared" si="37"/>
        <v>272424.29750032537</v>
      </c>
      <c r="BD21" s="10">
        <f t="shared" si="13"/>
        <v>6158.6767758258757</v>
      </c>
      <c r="BE21" s="10">
        <f t="shared" si="14"/>
        <v>4597.1600203179905</v>
      </c>
      <c r="BF21" s="10">
        <f t="shared" si="36"/>
        <v>1561.5167555078851</v>
      </c>
      <c r="BG21" s="12">
        <f t="shared" si="15"/>
        <v>7902.0767758258753</v>
      </c>
      <c r="BH21" s="22">
        <f>INDEX(cpi!B:B,MATCH($L21,cpi!A:A))</f>
        <v>96.4</v>
      </c>
      <c r="BI21" s="22">
        <f t="shared" si="16"/>
        <v>113.94799054373523</v>
      </c>
      <c r="BJ21" s="22">
        <f t="shared" si="17"/>
        <v>92.224001000339641</v>
      </c>
      <c r="BK21" s="22">
        <f t="shared" si="18"/>
        <v>110.35324724491825</v>
      </c>
      <c r="BL21" s="22">
        <f t="shared" si="19"/>
        <v>97.662774873713232</v>
      </c>
      <c r="BM21" s="22">
        <f t="shared" si="20"/>
        <v>150.08909442080125</v>
      </c>
      <c r="BN21" s="22">
        <f t="shared" si="21"/>
        <v>135.13513513513513</v>
      </c>
      <c r="BO21">
        <f t="shared" si="22"/>
        <v>123.99883531087841</v>
      </c>
    </row>
    <row r="22" spans="1:67" x14ac:dyDescent="0.25">
      <c r="L22" s="1">
        <f t="shared" si="33"/>
        <v>40513</v>
      </c>
      <c r="M22" s="10">
        <f t="shared" si="0"/>
        <v>180314.43647709387</v>
      </c>
      <c r="N22" s="10">
        <f t="shared" si="23"/>
        <v>173928.46925518254</v>
      </c>
      <c r="O22" s="7">
        <f t="shared" si="24"/>
        <v>1.0367160548773762</v>
      </c>
      <c r="P22" s="7">
        <f t="shared" si="1"/>
        <v>0.63165674492513424</v>
      </c>
      <c r="Q22">
        <v>20</v>
      </c>
      <c r="R22">
        <f t="shared" si="2"/>
        <v>92</v>
      </c>
      <c r="S22" s="22"/>
      <c r="T22" s="22">
        <f>IF($B$10="3BR_H",
INDEX('3BR_H-processed'!$E:$E,MATCH($L22,'3BR_H-processed'!$B:$B,0),MATCH(Council_Area,'3BR_H-processed'!$E$1:$E$1,0)),
INDEX('2BR_F-processed'!$E:$E,MATCH($L22,'2BR_F-processed'!$B:$B,0),MATCH(Council_Area,'2BR_F-processed'!$E$1:$E$1,0)))</f>
        <v>391.33674186669015</v>
      </c>
      <c r="U22" s="22">
        <f t="shared" si="25"/>
        <v>379</v>
      </c>
      <c r="V22" s="22">
        <f t="shared" si="34"/>
        <v>4981.1428571428569</v>
      </c>
      <c r="W22" s="22">
        <f>$B$53/4*BH22/_xlfn.XLOOKUP(Q_end,cpi!A:A,cpi!B:B)</f>
        <v>134.07049067035246</v>
      </c>
      <c r="X22" s="22">
        <f t="shared" si="26"/>
        <v>5115.2133478132091</v>
      </c>
      <c r="Y22" s="22">
        <f t="shared" si="3"/>
        <v>2982.8769344641987</v>
      </c>
      <c r="Z22" s="22">
        <f t="shared" si="27"/>
        <v>0</v>
      </c>
      <c r="AA22" s="22" cm="1">
        <f t="array" ref="AA22">(Y22+Z22)*eff_invest</f>
        <v>2982.8769344641987</v>
      </c>
      <c r="AB22" s="22">
        <f>AA22*(_xlfn.XLOOKUP(Q_end,cpi!A:A,cpi!B:B)/BH22)</f>
        <v>4449.7143548141185</v>
      </c>
      <c r="AC22" s="22" cm="1">
        <f t="array" ref="AC22">INDEX('msci-indices'!C:C,MATCH($L22,'msci-indices'!$B:$B)-2)</f>
        <v>792.86985700000002</v>
      </c>
      <c r="AD22" s="22" cm="1">
        <f t="array" ref="AD22">INDEX('msci-indices'!D:D,MATCH($L22,'msci-indices'!$B:$B)-2)</f>
        <v>855.92990299999997</v>
      </c>
      <c r="AE22" s="22">
        <f t="shared" si="28"/>
        <v>166870.17567052043</v>
      </c>
      <c r="AF22" s="22" cm="1">
        <f t="array" ref="AF22">INDEX('msci-indices'!C:C,MATCH($L22,'msci-indices'!$B:$B)+1)</f>
        <v>869.423677</v>
      </c>
      <c r="AG22" s="22" cm="1">
        <f t="array" ref="AG22">INDEX('msci-indices'!D:D,MATCH($L22,'msci-indices'!$B:$B)+1)</f>
        <v>894.74693600000001</v>
      </c>
      <c r="AH22" s="22">
        <f t="shared" si="4"/>
        <v>104.29385979407527</v>
      </c>
      <c r="AI22" s="22">
        <f t="shared" si="5"/>
        <v>180314.43647709387</v>
      </c>
      <c r="AJ22" s="22">
        <f t="shared" si="29"/>
        <v>159639.31273415493</v>
      </c>
      <c r="AK22" s="22">
        <f t="shared" si="6"/>
        <v>20675.123742938944</v>
      </c>
      <c r="AL22" s="22">
        <f>AJ22*(_xlfn.XLOOKUP(Q_end,cpi!A:A,cpi!B:B)/BH22)</f>
        <v>238142.35621270325</v>
      </c>
      <c r="AM22" s="22" cm="1">
        <f t="array" ref="AM22">SUMPRODUCT($AA$3:AA22,_xlfn.SORTBY($BH$3:BH22,_xlfn.SEQUENCE(ROWS($BH$3:BH22)),-1)/$BH$3)</f>
        <v>178858.13985083177</v>
      </c>
      <c r="AN22" s="22">
        <f t="shared" si="30"/>
        <v>1456.2966262621048</v>
      </c>
      <c r="AO22" s="22">
        <f t="shared" si="7"/>
        <v>0</v>
      </c>
      <c r="AP22" s="22">
        <f t="shared" si="31"/>
        <v>180314.43647709387</v>
      </c>
      <c r="AQ22" s="22"/>
      <c r="AR22" s="10">
        <f>IF($B$10="3BR_H",
INDEX('ns-combined'!$C:$D,MATCH($L22,'ns-combined'!$B:$B,0),MATCH(Council_Area,'ns-combined'!$C$1:$D$1,0))*1000,
INDEX('s-combined'!$C:$D,MATCH($L22,'s-combined'!$B:$B,0),MATCH(Council_Area,'s-combined'!$C$1:$D$1,0))*1000)</f>
        <v>500000</v>
      </c>
      <c r="AS22" s="22">
        <f t="shared" si="35"/>
        <v>18500</v>
      </c>
      <c r="AT22" s="10">
        <v>0</v>
      </c>
      <c r="AU22" s="22">
        <f t="shared" si="8"/>
        <v>10000</v>
      </c>
      <c r="AV22" s="22">
        <f t="shared" si="9"/>
        <v>1437.5</v>
      </c>
      <c r="AW22" s="22">
        <f>SUM($AV$3:AV22)</f>
        <v>26708.75</v>
      </c>
      <c r="AX22" s="22">
        <f t="shared" si="32"/>
        <v>444791.25</v>
      </c>
      <c r="AY22" s="22">
        <f t="shared" si="10"/>
        <v>1743.4</v>
      </c>
      <c r="AZ22" s="24">
        <f t="shared" si="11"/>
        <v>1.39472E-2</v>
      </c>
      <c r="BA22" s="24">
        <f t="shared" si="12"/>
        <v>0.35000000000000003</v>
      </c>
      <c r="BB22" s="25">
        <f>IF(MortgageRate="Discounted",_xlfn.XLOOKUP(L22,'mortgage-rates'!$A:$A,'mortgage-rates'!$E:$E)/100,_xlfn.XLOOKUP(L22,'mortgage-rates'!$A:$A,'mortgage-rates'!$D:$D)/100)</f>
        <v>7.1500000000000008E-2</v>
      </c>
      <c r="BC22" s="10">
        <f t="shared" si="37"/>
        <v>270862.78074481746</v>
      </c>
      <c r="BD22" s="10">
        <f t="shared" si="13"/>
        <v>6354.6902822774073</v>
      </c>
      <c r="BE22" s="10">
        <f t="shared" si="14"/>
        <v>4841.6722058136129</v>
      </c>
      <c r="BF22" s="10">
        <f t="shared" si="36"/>
        <v>1513.0180764637944</v>
      </c>
      <c r="BG22" s="12">
        <f>AT22+AY22+BD22</f>
        <v>8098.0902822774078</v>
      </c>
      <c r="BH22" s="22">
        <f>INDEX(cpi!B:B,MATCH($L22,cpi!A:A))</f>
        <v>97</v>
      </c>
      <c r="BI22" s="22">
        <f t="shared" si="16"/>
        <v>114.65721040189126</v>
      </c>
      <c r="BJ22" s="22">
        <f t="shared" si="17"/>
        <v>105.03262314234105</v>
      </c>
      <c r="BK22" s="22">
        <f t="shared" si="18"/>
        <v>120.0536367556367</v>
      </c>
      <c r="BL22" s="22">
        <f t="shared" si="19"/>
        <v>109.53892722632975</v>
      </c>
      <c r="BM22" s="22">
        <f t="shared" si="20"/>
        <v>171.61261791199277</v>
      </c>
      <c r="BN22" s="22">
        <f t="shared" si="21"/>
        <v>135.13513513513513</v>
      </c>
      <c r="BO22">
        <f t="shared" si="22"/>
        <v>123.34369767998086</v>
      </c>
    </row>
    <row r="23" spans="1:67" x14ac:dyDescent="0.25">
      <c r="A23" s="5" t="s">
        <v>339</v>
      </c>
      <c r="L23" s="1">
        <f t="shared" si="33"/>
        <v>40603</v>
      </c>
      <c r="M23" s="10">
        <f t="shared" si="0"/>
        <v>191345.56286211303</v>
      </c>
      <c r="N23" s="10">
        <f t="shared" si="23"/>
        <v>173078.98733164632</v>
      </c>
      <c r="O23" s="7">
        <f t="shared" si="24"/>
        <v>1.1055389554334814</v>
      </c>
      <c r="P23" s="7">
        <f t="shared" si="1"/>
        <v>0.64129211000880582</v>
      </c>
      <c r="Q23">
        <v>21</v>
      </c>
      <c r="R23">
        <f t="shared" si="2"/>
        <v>90</v>
      </c>
      <c r="S23" s="22"/>
      <c r="T23" s="22">
        <f>IF($B$10="3BR_H",
INDEX('3BR_H-processed'!$E:$E,MATCH($L23,'3BR_H-processed'!$B:$B,0),MATCH(Council_Area,'3BR_H-processed'!$E$1:$E$1,0)),
INDEX('2BR_F-processed'!$E:$E,MATCH($L23,'2BR_F-processed'!$B:$B,0),MATCH(Council_Area,'2BR_F-processed'!$E$1:$E$1,0)))</f>
        <v>393.79540202501488</v>
      </c>
      <c r="U23" s="22">
        <f t="shared" si="25"/>
        <v>393.79540202501488</v>
      </c>
      <c r="V23" s="22">
        <f t="shared" si="34"/>
        <v>5063.0837403216201</v>
      </c>
      <c r="W23" s="22">
        <f>$B$53/4*BH23/_xlfn.XLOOKUP(Q_end,cpi!A:A,cpi!B:B)</f>
        <v>136.00552868002765</v>
      </c>
      <c r="X23" s="22">
        <f t="shared" si="26"/>
        <v>5199.0892690016481</v>
      </c>
      <c r="Y23" s="22">
        <f t="shared" si="3"/>
        <v>2908.1198917819729</v>
      </c>
      <c r="Z23" s="22">
        <f t="shared" si="27"/>
        <v>0</v>
      </c>
      <c r="AA23" s="22" cm="1">
        <f t="array" ref="AA23">(Y23+Z23)*eff_invest</f>
        <v>2908.1198917819729</v>
      </c>
      <c r="AB23" s="22">
        <f>AA23*(_xlfn.XLOOKUP(Q_end,cpi!A:A,cpi!B:B)/BH23)</f>
        <v>4276.4730522444252</v>
      </c>
      <c r="AC23" s="22" cm="1">
        <f t="array" ref="AC23">INDEX('msci-indices'!C:C,MATCH($L23,'msci-indices'!$B:$B)-2)</f>
        <v>869.423677</v>
      </c>
      <c r="AD23" s="22" cm="1">
        <f t="array" ref="AD23">INDEX('msci-indices'!D:D,MATCH($L23,'msci-indices'!$B:$B)-2)</f>
        <v>894.74693600000001</v>
      </c>
      <c r="AE23" s="22">
        <f t="shared" si="28"/>
        <v>183222.55636887584</v>
      </c>
      <c r="AF23" s="22" cm="1">
        <f t="array" ref="AF23">INDEX('msci-indices'!C:C,MATCH($L23,'msci-indices'!$B:$B)+1)</f>
        <v>912.83803799999998</v>
      </c>
      <c r="AG23" s="22" cm="1">
        <f t="array" ref="AG23">INDEX('msci-indices'!D:D,MATCH($L23,'msci-indices'!$B:$B)+1)</f>
        <v>924.58628799999997</v>
      </c>
      <c r="AH23" s="22">
        <f t="shared" si="4"/>
        <v>114.51409773054741</v>
      </c>
      <c r="AI23" s="22">
        <f t="shared" si="5"/>
        <v>191345.56286211303</v>
      </c>
      <c r="AJ23" s="22">
        <f t="shared" si="29"/>
        <v>162547.4326259369</v>
      </c>
      <c r="AK23" s="22">
        <f t="shared" si="6"/>
        <v>28798.130236176134</v>
      </c>
      <c r="AL23" s="22">
        <f>AJ23*(_xlfn.XLOOKUP(Q_end,cpi!A:A,cpi!B:B)/BH23)</f>
        <v>239030.62500988887</v>
      </c>
      <c r="AM23" s="22" cm="1">
        <f t="array" ref="AM23">SUMPRODUCT($AA$3:AA23,_xlfn.SORTBY($BH$3:BH23,_xlfn.SEQUENCE(ROWS($BH$3:BH23)),-1)/$BH$3)</f>
        <v>183833.26691185465</v>
      </c>
      <c r="AN23" s="22">
        <f t="shared" si="30"/>
        <v>7512.2959502583835</v>
      </c>
      <c r="AO23" s="22">
        <f t="shared" si="7"/>
        <v>0</v>
      </c>
      <c r="AP23" s="22">
        <f t="shared" si="31"/>
        <v>191345.56286211303</v>
      </c>
      <c r="AQ23" s="22"/>
      <c r="AR23" s="10">
        <f>IF($B$10="3BR_H",
INDEX('ns-combined'!$C:$D,MATCH($L23,'ns-combined'!$B:$B,0),MATCH(Council_Area,'ns-combined'!$C$1:$D$1,0))*1000,
INDEX('s-combined'!$C:$D,MATCH($L23,'s-combined'!$B:$B,0),MATCH(Council_Area,'s-combined'!$C$1:$D$1,0))*1000)</f>
        <v>500000</v>
      </c>
      <c r="AS23" s="22">
        <f t="shared" si="35"/>
        <v>19425</v>
      </c>
      <c r="AT23" s="10">
        <v>0</v>
      </c>
      <c r="AU23" s="22">
        <f t="shared" si="8"/>
        <v>10000</v>
      </c>
      <c r="AV23" s="22">
        <f t="shared" si="9"/>
        <v>1437.5</v>
      </c>
      <c r="AW23" s="22">
        <f>SUM($AV$3:AV23)</f>
        <v>28146.25</v>
      </c>
      <c r="AX23" s="22">
        <f t="shared" si="32"/>
        <v>442428.75</v>
      </c>
      <c r="AY23" s="22">
        <f t="shared" si="10"/>
        <v>1772.0793091125672</v>
      </c>
      <c r="AZ23" s="24">
        <f t="shared" si="11"/>
        <v>1.4176634472900537E-2</v>
      </c>
      <c r="BA23" s="24">
        <f t="shared" si="12"/>
        <v>0.35000000000000003</v>
      </c>
      <c r="BB23" s="25">
        <f>IF(MortgageRate="Discounted",_xlfn.XLOOKUP(L23,'mortgage-rates'!$A:$A,'mortgage-rates'!$E:$E)/100,_xlfn.XLOOKUP(L23,'mortgage-rates'!$A:$A,'mortgage-rates'!$D:$D)/100)</f>
        <v>7.1099999999999997E-2</v>
      </c>
      <c r="BC23" s="10">
        <f t="shared" si="37"/>
        <v>269349.76266835368</v>
      </c>
      <c r="BD23" s="10">
        <f t="shared" si="13"/>
        <v>6335.129851671054</v>
      </c>
      <c r="BE23" s="10">
        <f t="shared" si="14"/>
        <v>4787.6920314299869</v>
      </c>
      <c r="BF23" s="10">
        <f t="shared" si="36"/>
        <v>1547.4378202410671</v>
      </c>
      <c r="BG23" s="12">
        <f t="shared" si="15"/>
        <v>8107.209160783621</v>
      </c>
      <c r="BH23" s="22">
        <f>INDEX(cpi!B:B,MATCH($L23,cpi!A:A))</f>
        <v>98.4</v>
      </c>
      <c r="BI23" s="22">
        <f t="shared" si="16"/>
        <v>116.31205673758866</v>
      </c>
      <c r="BJ23" s="22">
        <f t="shared" si="17"/>
        <v>115.17381902105713</v>
      </c>
      <c r="BK23" s="22">
        <f t="shared" si="18"/>
        <v>125.49815500810108</v>
      </c>
      <c r="BL23" s="22">
        <f t="shared" si="19"/>
        <v>118.2711198171703</v>
      </c>
      <c r="BM23" s="22">
        <f t="shared" si="20"/>
        <v>188.42973247103302</v>
      </c>
      <c r="BN23" s="22">
        <f t="shared" si="21"/>
        <v>135.13513513513513</v>
      </c>
      <c r="BO23">
        <f t="shared" si="22"/>
        <v>122.68856004908332</v>
      </c>
    </row>
    <row r="24" spans="1:67" x14ac:dyDescent="0.25">
      <c r="A24" s="6" t="s">
        <v>494</v>
      </c>
      <c r="L24" s="1">
        <f t="shared" si="33"/>
        <v>40695</v>
      </c>
      <c r="M24" s="10">
        <f t="shared" si="0"/>
        <v>191953.33733788598</v>
      </c>
      <c r="N24" s="10">
        <f t="shared" si="23"/>
        <v>157607.05015188741</v>
      </c>
      <c r="O24" s="7">
        <f t="shared" si="24"/>
        <v>1.2179235456338959</v>
      </c>
      <c r="P24" s="7">
        <f t="shared" si="1"/>
        <v>0.64951957786882974</v>
      </c>
      <c r="Q24">
        <v>22</v>
      </c>
      <c r="R24">
        <f t="shared" si="2"/>
        <v>91</v>
      </c>
      <c r="S24" s="22"/>
      <c r="T24" s="22">
        <f>IF($B$10="3BR_H",
INDEX('3BR_H-processed'!$E:$E,MATCH($L24,'3BR_H-processed'!$B:$B,0),MATCH(Council_Area,'3BR_H-processed'!$E$1:$E$1,0)),
INDEX('2BR_F-processed'!$E:$E,MATCH($L24,'2BR_F-processed'!$B:$B,0),MATCH(Council_Area,'2BR_F-processed'!$E$1:$E$1,0)))</f>
        <v>393.79540202501488</v>
      </c>
      <c r="U24" s="22">
        <f t="shared" si="25"/>
        <v>393.79540202501488</v>
      </c>
      <c r="V24" s="22">
        <f t="shared" si="34"/>
        <v>5119.3402263251928</v>
      </c>
      <c r="W24" s="22">
        <f>$B$53/4*BH24/_xlfn.XLOOKUP(Q_end,cpi!A:A,cpi!B:B)</f>
        <v>137.24948168624741</v>
      </c>
      <c r="X24" s="22">
        <f t="shared" si="26"/>
        <v>5256.5897080114401</v>
      </c>
      <c r="Y24" s="22">
        <f t="shared" si="3"/>
        <v>2836.4530379194712</v>
      </c>
      <c r="Z24" s="22">
        <f t="shared" si="27"/>
        <v>0</v>
      </c>
      <c r="AA24" s="22" cm="1">
        <f t="array" ref="AA24">(Y24+Z24)*eff_invest</f>
        <v>2836.4530379194712</v>
      </c>
      <c r="AB24" s="22">
        <f>AA24*(_xlfn.XLOOKUP(Q_end,cpi!A:A,cpi!B:B)/BH24)</f>
        <v>4133.2805094355235</v>
      </c>
      <c r="AC24" s="22" cm="1">
        <f t="array" ref="AC24">INDEX('msci-indices'!C:C,MATCH($L24,'msci-indices'!$B:$B)-2)</f>
        <v>912.83803799999998</v>
      </c>
      <c r="AD24" s="22" cm="1">
        <f t="array" ref="AD24">INDEX('msci-indices'!D:D,MATCH($L24,'msci-indices'!$B:$B)-2)</f>
        <v>924.58628799999997</v>
      </c>
      <c r="AE24" s="22">
        <f t="shared" si="28"/>
        <v>194182.01590003251</v>
      </c>
      <c r="AF24" s="22" cm="1">
        <f t="array" ref="AF24">INDEX('msci-indices'!C:C,MATCH($L24,'msci-indices'!$B:$B)+1)</f>
        <v>915.80493999999999</v>
      </c>
      <c r="AG24" s="22" cm="1">
        <f t="array" ref="AG24">INDEX('msci-indices'!D:D,MATCH($L24,'msci-indices'!$B:$B)+1)</f>
        <v>884.12823400000002</v>
      </c>
      <c r="AH24" s="22">
        <f t="shared" si="4"/>
        <v>121.36375993752031</v>
      </c>
      <c r="AI24" s="22">
        <f t="shared" si="5"/>
        <v>191953.33733788598</v>
      </c>
      <c r="AJ24" s="22">
        <f t="shared" si="29"/>
        <v>165383.88566385637</v>
      </c>
      <c r="AK24" s="22">
        <f t="shared" si="6"/>
        <v>26569.451674029609</v>
      </c>
      <c r="AL24" s="22">
        <f>AJ24*(_xlfn.XLOOKUP(Q_end,cpi!A:A,cpi!B:B)/BH24)</f>
        <v>240997.46480926502</v>
      </c>
      <c r="AM24" s="22" cm="1">
        <f t="array" ref="AM24">SUMPRODUCT($AA$3:AA24,_xlfn.SORTBY($BH$3:BH24,_xlfn.SEQUENCE(ROWS($BH$3:BH24)),-1)/$BH$3)</f>
        <v>188203.18415386046</v>
      </c>
      <c r="AN24" s="22">
        <f t="shared" si="30"/>
        <v>3750.1531840255193</v>
      </c>
      <c r="AO24" s="22">
        <f t="shared" si="7"/>
        <v>0</v>
      </c>
      <c r="AP24" s="22">
        <f t="shared" si="31"/>
        <v>191953.33733788598</v>
      </c>
      <c r="AQ24" s="22"/>
      <c r="AR24" s="10">
        <f>IF($B$10="3BR_H",
INDEX('ns-combined'!$C:$D,MATCH($L24,'ns-combined'!$B:$B,0),MATCH(Council_Area,'ns-combined'!$C$1:$D$1,0))*1000,
INDEX('s-combined'!$C:$D,MATCH($L24,'s-combined'!$B:$B,0),MATCH(Council_Area,'s-combined'!$C$1:$D$1,0))*1000)</f>
        <v>485000</v>
      </c>
      <c r="AS24" s="22">
        <f t="shared" si="35"/>
        <v>20350</v>
      </c>
      <c r="AT24" s="10">
        <v>0</v>
      </c>
      <c r="AU24" s="22">
        <f t="shared" si="8"/>
        <v>9700</v>
      </c>
      <c r="AV24" s="22">
        <f t="shared" si="9"/>
        <v>1394.375</v>
      </c>
      <c r="AW24" s="22">
        <f>SUM($AV$3:AV24)</f>
        <v>29540.625</v>
      </c>
      <c r="AX24" s="22">
        <f t="shared" si="32"/>
        <v>425409.375</v>
      </c>
      <c r="AY24" s="22">
        <f t="shared" si="10"/>
        <v>1791.7690792138176</v>
      </c>
      <c r="AZ24" s="24">
        <f t="shared" si="11"/>
        <v>1.477747694196963E-2</v>
      </c>
      <c r="BA24" s="24">
        <f t="shared" si="12"/>
        <v>0.35000000000000003</v>
      </c>
      <c r="BB24" s="25">
        <f>IF(MortgageRate="Discounted",_xlfn.XLOOKUP(L24,'mortgage-rates'!$A:$A,'mortgage-rates'!$E:$E)/100,_xlfn.XLOOKUP(L24,'mortgage-rates'!$A:$A,'mortgage-rates'!$D:$D)/100)</f>
        <v>7.0400000000000004E-2</v>
      </c>
      <c r="BC24" s="10">
        <f t="shared" si="37"/>
        <v>267802.32484811259</v>
      </c>
      <c r="BD24" s="10">
        <f t="shared" si="13"/>
        <v>6301.2736667170939</v>
      </c>
      <c r="BE24" s="10">
        <f t="shared" si="14"/>
        <v>4713.3209173267815</v>
      </c>
      <c r="BF24" s="10">
        <f t="shared" si="36"/>
        <v>1587.9527493903124</v>
      </c>
      <c r="BG24" s="12">
        <f>AT24+AY24+BD24</f>
        <v>8093.0427459309112</v>
      </c>
      <c r="BH24" s="22">
        <f>INDEX(cpi!B:B,MATCH($L24,cpi!A:A))</f>
        <v>99.3</v>
      </c>
      <c r="BI24" s="22">
        <f t="shared" si="16"/>
        <v>117.3758865248227</v>
      </c>
      <c r="BJ24" s="22">
        <f t="shared" si="17"/>
        <v>120.92498256652478</v>
      </c>
      <c r="BK24" s="22">
        <f t="shared" si="18"/>
        <v>129.68345419378869</v>
      </c>
      <c r="BL24" s="22">
        <f t="shared" si="19"/>
        <v>123.55252405470395</v>
      </c>
      <c r="BM24" s="22">
        <f t="shared" si="20"/>
        <v>199.70065930672999</v>
      </c>
      <c r="BN24" s="22">
        <f t="shared" si="21"/>
        <v>131.08108108108109</v>
      </c>
      <c r="BO24">
        <f t="shared" si="22"/>
        <v>117.96896935411749</v>
      </c>
    </row>
    <row r="25" spans="1:67" x14ac:dyDescent="0.25">
      <c r="A25" t="s">
        <v>336</v>
      </c>
      <c r="B25" s="4">
        <v>1.4999999999999999E-2</v>
      </c>
      <c r="C25" s="4">
        <v>1.4999999999999999E-2</v>
      </c>
      <c r="L25" s="1">
        <f t="shared" si="33"/>
        <v>40787</v>
      </c>
      <c r="M25" s="10">
        <f t="shared" si="0"/>
        <v>164119.668688159</v>
      </c>
      <c r="N25" s="10">
        <f t="shared" si="23"/>
        <v>142218.75290127774</v>
      </c>
      <c r="O25" s="7">
        <f t="shared" si="24"/>
        <v>1.1539945706181516</v>
      </c>
      <c r="P25" s="7">
        <f t="shared" si="1"/>
        <v>0.65533222624157361</v>
      </c>
      <c r="Q25">
        <v>23</v>
      </c>
      <c r="R25">
        <f t="shared" si="2"/>
        <v>92</v>
      </c>
      <c r="S25" s="22"/>
      <c r="T25" s="22">
        <f>IF($B$10="3BR_H",
INDEX('3BR_H-processed'!$E:$E,MATCH($L25,'3BR_H-processed'!$B:$B,0),MATCH(Council_Area,'3BR_H-processed'!$E$1:$E$1,0)),
INDEX('2BR_F-processed'!$E:$E,MATCH($L25,'2BR_F-processed'!$B:$B,0),MATCH(Council_Area,'2BR_F-processed'!$E$1:$E$1,0)))</f>
        <v>404.39408360888046</v>
      </c>
      <c r="U25" s="22">
        <f t="shared" si="25"/>
        <v>393.79540202501488</v>
      </c>
      <c r="V25" s="22">
        <f t="shared" si="34"/>
        <v>5175.5967123287674</v>
      </c>
      <c r="W25" s="22">
        <f>$B$53/4*BH25/_xlfn.XLOOKUP(Q_end,cpi!A:A,cpi!B:B)</f>
        <v>137.80234968901175</v>
      </c>
      <c r="X25" s="22">
        <f t="shared" si="26"/>
        <v>5313.3990620177792</v>
      </c>
      <c r="Y25" s="22">
        <f t="shared" si="3"/>
        <v>2794.5480970757117</v>
      </c>
      <c r="Z25" s="22">
        <f t="shared" si="27"/>
        <v>0</v>
      </c>
      <c r="AA25" s="22" cm="1">
        <f t="array" ref="AA25">(Y25+Z25)*eff_invest</f>
        <v>2794.5480970757117</v>
      </c>
      <c r="AB25" s="22">
        <f>AA25*(_xlfn.XLOOKUP(Q_end,cpi!A:A,cpi!B:B)/BH25)</f>
        <v>4055.8787326665538</v>
      </c>
      <c r="AC25" s="22" cm="1">
        <f t="array" ref="AC25">INDEX('msci-indices'!C:C,MATCH($L25,'msci-indices'!$B:$B)-2)</f>
        <v>915.80493999999999</v>
      </c>
      <c r="AD25" s="22" cm="1">
        <f t="array" ref="AD25">INDEX('msci-indices'!D:D,MATCH($L25,'msci-indices'!$B:$B)-2)</f>
        <v>884.12823400000002</v>
      </c>
      <c r="AE25" s="22">
        <f t="shared" si="28"/>
        <v>194747.8854349617</v>
      </c>
      <c r="AF25" s="22" cm="1">
        <f t="array" ref="AF25">INDEX('msci-indices'!C:C,MATCH($L25,'msci-indices'!$B:$B)+1)</f>
        <v>758.748516</v>
      </c>
      <c r="AG25" s="22" cm="1">
        <f t="array" ref="AG25">INDEX('msci-indices'!D:D,MATCH($L25,'msci-indices'!$B:$B)+1)</f>
        <v>776.26675599999999</v>
      </c>
      <c r="AH25" s="22">
        <f t="shared" si="4"/>
        <v>121.71742839685106</v>
      </c>
      <c r="AI25" s="22">
        <f t="shared" si="5"/>
        <v>164119.668688159</v>
      </c>
      <c r="AJ25" s="22">
        <f t="shared" si="29"/>
        <v>168178.43376093209</v>
      </c>
      <c r="AK25" s="22">
        <f t="shared" si="6"/>
        <v>-4058.7650727730943</v>
      </c>
      <c r="AL25" s="22">
        <f>AJ25*(_xlfn.XLOOKUP(Q_end,cpi!A:A,cpi!B:B)/BH25)</f>
        <v>244086.45301110201</v>
      </c>
      <c r="AM25" s="22" cm="1">
        <f t="array" ref="AM25">SUMPRODUCT($AA$3:AA25,_xlfn.SORTBY($BH$3:BH25,_xlfn.SEQUENCE(ROWS($BH$3:BH25)),-1)/$BH$3)</f>
        <v>191999.67100574836</v>
      </c>
      <c r="AN25" s="22">
        <f t="shared" si="30"/>
        <v>-27880.002317589358</v>
      </c>
      <c r="AO25" s="22">
        <f t="shared" si="7"/>
        <v>0</v>
      </c>
      <c r="AP25" s="22">
        <f t="shared" si="31"/>
        <v>164119.668688159</v>
      </c>
      <c r="AQ25" s="22"/>
      <c r="AR25" s="10">
        <f>IF($B$10="3BR_H",
INDEX('ns-combined'!$C:$D,MATCH($L25,'ns-combined'!$B:$B,0),MATCH(Council_Area,'ns-combined'!$C$1:$D$1,0))*1000,
INDEX('s-combined'!$C:$D,MATCH($L25,'s-combined'!$B:$B,0),MATCH(Council_Area,'s-combined'!$C$1:$D$1,0))*1000)</f>
        <v>470000</v>
      </c>
      <c r="AS25" s="22">
        <f t="shared" si="35"/>
        <v>21275</v>
      </c>
      <c r="AT25" s="10">
        <v>0</v>
      </c>
      <c r="AU25" s="22">
        <f t="shared" si="8"/>
        <v>9400</v>
      </c>
      <c r="AV25" s="22">
        <f t="shared" si="9"/>
        <v>1351.25</v>
      </c>
      <c r="AW25" s="22">
        <f>SUM($AV$3:AV25)</f>
        <v>30891.875</v>
      </c>
      <c r="AX25" s="22">
        <f t="shared" si="32"/>
        <v>408433.125</v>
      </c>
      <c r="AY25" s="22">
        <f t="shared" si="10"/>
        <v>1811.4588493150688</v>
      </c>
      <c r="AZ25" s="24">
        <f t="shared" si="11"/>
        <v>1.5416671058000585E-2</v>
      </c>
      <c r="BA25" s="24">
        <f t="shared" si="12"/>
        <v>0.35000000000000003</v>
      </c>
      <c r="BB25" s="25">
        <f>IF(MortgageRate="Discounted",_xlfn.XLOOKUP(L25,'mortgage-rates'!$A:$A,'mortgage-rates'!$E:$E)/100,_xlfn.XLOOKUP(L25,'mortgage-rates'!$A:$A,'mortgage-rates'!$D:$D)/100)</f>
        <v>7.0300000000000001E-2</v>
      </c>
      <c r="BC25" s="10">
        <f t="shared" si="37"/>
        <v>266214.37209872226</v>
      </c>
      <c r="BD25" s="10">
        <f t="shared" si="13"/>
        <v>6296.4883097784223</v>
      </c>
      <c r="BE25" s="10">
        <f t="shared" si="14"/>
        <v>4678.7175896350436</v>
      </c>
      <c r="BF25" s="10">
        <f t="shared" si="36"/>
        <v>1617.7707201433786</v>
      </c>
      <c r="BG25" s="12">
        <f t="shared" si="15"/>
        <v>8107.9471590934909</v>
      </c>
      <c r="BH25" s="22">
        <f>INDEX(cpi!B:B,MATCH($L25,cpi!A:A))</f>
        <v>99.7</v>
      </c>
      <c r="BI25" s="22">
        <f t="shared" si="16"/>
        <v>117.84869976359339</v>
      </c>
      <c r="BJ25" s="22">
        <f t="shared" si="17"/>
        <v>121.31801238966038</v>
      </c>
      <c r="BK25" s="22">
        <f t="shared" si="18"/>
        <v>124.0087645939373</v>
      </c>
      <c r="BL25" s="22">
        <f t="shared" si="19"/>
        <v>122.12523805094347</v>
      </c>
      <c r="BM25" s="22">
        <f t="shared" si="20"/>
        <v>200.28261082620091</v>
      </c>
      <c r="BN25" s="22">
        <f t="shared" si="21"/>
        <v>127.02702702702703</v>
      </c>
      <c r="BO25">
        <f t="shared" si="22"/>
        <v>113.26133752066804</v>
      </c>
    </row>
    <row r="26" spans="1:67" x14ac:dyDescent="0.25">
      <c r="A26" t="s">
        <v>337</v>
      </c>
      <c r="B26" s="4">
        <f>(8200+(5/100)*(AR3-250000))/AR3</f>
        <v>3.8378378378378375E-2</v>
      </c>
      <c r="C26" s="4"/>
      <c r="L26" s="1">
        <f t="shared" si="33"/>
        <v>40878</v>
      </c>
      <c r="M26" s="10">
        <f t="shared" si="0"/>
        <v>176450.23658097396</v>
      </c>
      <c r="N26" s="10">
        <f t="shared" si="23"/>
        <v>151331.52362142113</v>
      </c>
      <c r="O26" s="7">
        <f t="shared" si="24"/>
        <v>1.1659846696739213</v>
      </c>
      <c r="P26" s="7">
        <f t="shared" si="1"/>
        <v>0.67451380333826327</v>
      </c>
      <c r="Q26">
        <v>24</v>
      </c>
      <c r="R26">
        <f t="shared" si="2"/>
        <v>92</v>
      </c>
      <c r="S26" s="22"/>
      <c r="T26" s="22">
        <f>IF($B$10="3BR_H",
INDEX('3BR_H-processed'!$E:$E,MATCH($L26,'3BR_H-processed'!$B:$B,0),MATCH(Council_Area,'3BR_H-processed'!$E$1:$E$1,0)),
INDEX('2BR_F-processed'!$E:$E,MATCH($L26,'2BR_F-processed'!$B:$B,0),MATCH(Council_Area,'2BR_F-processed'!$E$1:$E$1,0)))</f>
        <v>407.91055390113155</v>
      </c>
      <c r="U26" s="22">
        <f t="shared" si="25"/>
        <v>393.79540202501488</v>
      </c>
      <c r="V26" s="22">
        <f t="shared" si="34"/>
        <v>5175.5967123287674</v>
      </c>
      <c r="W26" s="22">
        <f>$B$53/4*BH26/_xlfn.XLOOKUP(Q_end,cpi!A:A,cpi!B:B)</f>
        <v>138.07878369039392</v>
      </c>
      <c r="X26" s="22">
        <f t="shared" si="26"/>
        <v>5313.6754960191611</v>
      </c>
      <c r="Y26" s="22">
        <f t="shared" si="3"/>
        <v>2564.1106511597945</v>
      </c>
      <c r="Z26" s="22">
        <f t="shared" si="27"/>
        <v>0</v>
      </c>
      <c r="AA26" s="22" cm="1">
        <f t="array" ref="AA26">(Y26+Z26)*eff_invest</f>
        <v>2564.1106511597945</v>
      </c>
      <c r="AB26" s="22">
        <f>AA26*(_xlfn.XLOOKUP(Q_end,cpi!A:A,cpi!B:B)/BH26)</f>
        <v>3713.982094322545</v>
      </c>
      <c r="AC26" s="22" cm="1">
        <f t="array" ref="AC26">INDEX('msci-indices'!C:C,MATCH($L26,'msci-indices'!$B:$B)-2)</f>
        <v>758.748516</v>
      </c>
      <c r="AD26" s="22" cm="1">
        <f t="array" ref="AD26">INDEX('msci-indices'!D:D,MATCH($L26,'msci-indices'!$B:$B)-2)</f>
        <v>776.26675599999999</v>
      </c>
      <c r="AE26" s="22">
        <f t="shared" si="28"/>
        <v>166683.7793393188</v>
      </c>
      <c r="AF26" s="22" cm="1">
        <f t="array" ref="AF26">INDEX('msci-indices'!C:C,MATCH($L26,'msci-indices'!$B:$B)+1)</f>
        <v>816.97540400000003</v>
      </c>
      <c r="AG26" s="22" cm="1">
        <f t="array" ref="AG26">INDEX('msci-indices'!D:D,MATCH($L26,'msci-indices'!$B:$B)+1)</f>
        <v>790.49635000000001</v>
      </c>
      <c r="AH26" s="22">
        <f t="shared" si="4"/>
        <v>104.17736208707426</v>
      </c>
      <c r="AI26" s="22">
        <f t="shared" si="5"/>
        <v>176450.23658097396</v>
      </c>
      <c r="AJ26" s="22">
        <f t="shared" si="29"/>
        <v>170742.5444120919</v>
      </c>
      <c r="AK26" s="22">
        <f t="shared" si="6"/>
        <v>5707.6921688820585</v>
      </c>
      <c r="AL26" s="22">
        <f>AJ26*(_xlfn.XLOOKUP(Q_end,cpi!A:A,cpi!B:B)/BH26)</f>
        <v>247311.77353783479</v>
      </c>
      <c r="AM26" s="22" cm="1">
        <f t="array" ref="AM26">SUMPRODUCT($AA$3:AA26,_xlfn.SORTBY($BH$3:BH26,_xlfn.SEQUENCE(ROWS($BH$3:BH26)),-1)/$BH$3)</f>
        <v>195367.05560919002</v>
      </c>
      <c r="AN26" s="22">
        <f t="shared" si="30"/>
        <v>-18916.819028216065</v>
      </c>
      <c r="AO26" s="22">
        <f t="shared" si="7"/>
        <v>0</v>
      </c>
      <c r="AP26" s="22">
        <f t="shared" si="31"/>
        <v>176450.23658097396</v>
      </c>
      <c r="AQ26" s="22"/>
      <c r="AR26" s="10">
        <f>IF($B$10="3BR_H",
INDEX('ns-combined'!$C:$D,MATCH($L26,'ns-combined'!$B:$B,0),MATCH(Council_Area,'ns-combined'!$C$1:$D$1,0))*1000,
INDEX('s-combined'!$C:$D,MATCH($L26,'s-combined'!$B:$B,0),MATCH(Council_Area,'s-combined'!$C$1:$D$1,0))*1000)</f>
        <v>480000</v>
      </c>
      <c r="AS26" s="22">
        <f t="shared" si="35"/>
        <v>22200</v>
      </c>
      <c r="AT26" s="10">
        <v>0</v>
      </c>
      <c r="AU26" s="22">
        <f t="shared" si="8"/>
        <v>9600</v>
      </c>
      <c r="AV26" s="22">
        <f t="shared" si="9"/>
        <v>1380</v>
      </c>
      <c r="AW26" s="22">
        <f>SUM($AV$3:AV26)</f>
        <v>32271.875</v>
      </c>
      <c r="AX26" s="22">
        <f t="shared" si="32"/>
        <v>415928.125</v>
      </c>
      <c r="AY26" s="22">
        <f t="shared" si="10"/>
        <v>1811.4588493150688</v>
      </c>
      <c r="AZ26" s="24">
        <f t="shared" si="11"/>
        <v>1.5095490410958907E-2</v>
      </c>
      <c r="BA26" s="24">
        <f t="shared" si="12"/>
        <v>0.35000000000000003</v>
      </c>
      <c r="BB26" s="25">
        <f>IF(MortgageRate="Discounted",_xlfn.XLOOKUP(L26,'mortgage-rates'!$A:$A,'mortgage-rates'!$E:$E)/100,_xlfn.XLOOKUP(L26,'mortgage-rates'!$A:$A,'mortgage-rates'!$D:$D)/100)</f>
        <v>6.54E-2</v>
      </c>
      <c r="BC26" s="10">
        <f t="shared" si="37"/>
        <v>264596.60137857887</v>
      </c>
      <c r="BD26" s="10">
        <f t="shared" si="13"/>
        <v>6066.327297863887</v>
      </c>
      <c r="BE26" s="10">
        <f t="shared" si="14"/>
        <v>4326.1544325397645</v>
      </c>
      <c r="BF26" s="10">
        <f t="shared" si="36"/>
        <v>1740.1728653241225</v>
      </c>
      <c r="BG26" s="12">
        <f t="shared" si="15"/>
        <v>7877.7861471789556</v>
      </c>
      <c r="BH26" s="22">
        <f>INDEX(cpi!B:B,MATCH($L26,cpi!A:A))</f>
        <v>99.9</v>
      </c>
      <c r="BI26" s="22">
        <f t="shared" si="16"/>
        <v>118.08510638297874</v>
      </c>
      <c r="BJ26" s="22">
        <f t="shared" si="17"/>
        <v>100.5125194724593</v>
      </c>
      <c r="BK26" s="22">
        <f t="shared" si="18"/>
        <v>108.87999919579919</v>
      </c>
      <c r="BL26" s="22">
        <f t="shared" si="19"/>
        <v>103.02276338946128</v>
      </c>
      <c r="BM26" s="22">
        <f t="shared" si="20"/>
        <v>171.42092420616325</v>
      </c>
      <c r="BN26" s="22">
        <f t="shared" si="21"/>
        <v>129.72972972972974</v>
      </c>
      <c r="BO26">
        <f t="shared" si="22"/>
        <v>115.3397529888488</v>
      </c>
    </row>
    <row r="27" spans="1:67" x14ac:dyDescent="0.25">
      <c r="A27" s="6" t="s">
        <v>495</v>
      </c>
      <c r="L27" s="1">
        <f t="shared" si="33"/>
        <v>40969</v>
      </c>
      <c r="M27" s="10">
        <f t="shared" si="0"/>
        <v>198165.07192857875</v>
      </c>
      <c r="N27" s="10">
        <f t="shared" si="23"/>
        <v>160049.38398674526</v>
      </c>
      <c r="O27" s="7">
        <f t="shared" si="24"/>
        <v>1.2381495447991859</v>
      </c>
      <c r="P27" s="7">
        <f t="shared" si="1"/>
        <v>0.70275252815604128</v>
      </c>
      <c r="Q27">
        <v>25</v>
      </c>
      <c r="R27">
        <f t="shared" si="2"/>
        <v>91</v>
      </c>
      <c r="S27" s="22"/>
      <c r="T27" s="22">
        <f>IF($B$10="3BR_H",
INDEX('3BR_H-processed'!$E:$E,MATCH($L27,'3BR_H-processed'!$B:$B,0),MATCH(Council_Area,'3BR_H-processed'!$E$1:$E$1,0)),
INDEX('2BR_F-processed'!$E:$E,MATCH($L27,'2BR_F-processed'!$B:$B,0),MATCH(Council_Area,'2BR_F-processed'!$E$1:$E$1,0)))</f>
        <v>426.45194271481938</v>
      </c>
      <c r="U27" s="22">
        <f t="shared" si="25"/>
        <v>426.45194271481938</v>
      </c>
      <c r="V27" s="22">
        <f t="shared" si="34"/>
        <v>5543.8752552926517</v>
      </c>
      <c r="W27" s="22">
        <f>$B$53/4*BH27/_xlfn.XLOOKUP(Q_end,cpi!A:A,cpi!B:B)</f>
        <v>138.07878369039392</v>
      </c>
      <c r="X27" s="22">
        <f t="shared" si="26"/>
        <v>5681.9540389830454</v>
      </c>
      <c r="Y27" s="22">
        <f t="shared" si="3"/>
        <v>2403.3303411272282</v>
      </c>
      <c r="Z27" s="22">
        <f t="shared" si="27"/>
        <v>0</v>
      </c>
      <c r="AA27" s="22" cm="1">
        <f t="array" ref="AA27">(Y27+Z27)*eff_invest</f>
        <v>2403.3303411272282</v>
      </c>
      <c r="AB27" s="22">
        <f>AA27*(_xlfn.XLOOKUP(Q_end,cpi!A:A,cpi!B:B)/BH27)</f>
        <v>3481.1001037148135</v>
      </c>
      <c r="AC27" s="22" cm="1">
        <f t="array" ref="AC27">INDEX('msci-indices'!C:C,MATCH($L27,'msci-indices'!$B:$B)-2)</f>
        <v>816.97540400000003</v>
      </c>
      <c r="AD27" s="22" cm="1">
        <f t="array" ref="AD27">INDEX('msci-indices'!D:D,MATCH($L27,'msci-indices'!$B:$B)-2)</f>
        <v>790.49635000000001</v>
      </c>
      <c r="AE27" s="22">
        <f t="shared" si="28"/>
        <v>178853.56692210119</v>
      </c>
      <c r="AF27" s="22" cm="1">
        <f t="array" ref="AF27">INDEX('msci-indices'!C:C,MATCH($L27,'msci-indices'!$B:$B)+1)</f>
        <v>913.58723299999997</v>
      </c>
      <c r="AG27" s="22" cm="1">
        <f t="array" ref="AG27">INDEX('msci-indices'!D:D,MATCH($L27,'msci-indices'!$B:$B)+1)</f>
        <v>858.531702</v>
      </c>
      <c r="AH27" s="22">
        <f t="shared" si="4"/>
        <v>111.78347932631324</v>
      </c>
      <c r="AI27" s="22">
        <f t="shared" si="5"/>
        <v>198165.07192857875</v>
      </c>
      <c r="AJ27" s="22">
        <f t="shared" si="29"/>
        <v>173145.87475321913</v>
      </c>
      <c r="AK27" s="22">
        <f t="shared" si="6"/>
        <v>25019.197175359615</v>
      </c>
      <c r="AL27" s="22">
        <f>AJ27*(_xlfn.XLOOKUP(Q_end,cpi!A:A,cpi!B:B)/BH27)</f>
        <v>250792.87364154961</v>
      </c>
      <c r="AM27" s="22" cm="1">
        <f t="array" ref="AM27">SUMPRODUCT($AA$3:AA27,_xlfn.SORTBY($BH$3:BH27,_xlfn.SEQUENCE(ROWS($BH$3:BH27)),-1)/$BH$3)</f>
        <v>198356.41386348644</v>
      </c>
      <c r="AN27" s="22">
        <f t="shared" si="30"/>
        <v>-191.34193490768666</v>
      </c>
      <c r="AO27" s="22">
        <f t="shared" si="7"/>
        <v>0</v>
      </c>
      <c r="AP27" s="22">
        <f t="shared" si="31"/>
        <v>198165.07192857875</v>
      </c>
      <c r="AQ27" s="22"/>
      <c r="AR27" s="10">
        <f>IF($B$10="3BR_H",
INDEX('ns-combined'!$C:$D,MATCH($L27,'ns-combined'!$B:$B,0),MATCH(Council_Area,'ns-combined'!$C$1:$D$1,0))*1000,
INDEX('s-combined'!$C:$D,MATCH($L27,'s-combined'!$B:$B,0),MATCH(Council_Area,'s-combined'!$C$1:$D$1,0))*1000)</f>
        <v>489500</v>
      </c>
      <c r="AS27" s="22">
        <f t="shared" si="35"/>
        <v>23125</v>
      </c>
      <c r="AT27" s="10">
        <v>0</v>
      </c>
      <c r="AU27" s="22">
        <f t="shared" si="8"/>
        <v>9790</v>
      </c>
      <c r="AV27" s="22">
        <f t="shared" si="9"/>
        <v>1407.3125</v>
      </c>
      <c r="AW27" s="22">
        <f>SUM($AV$3:AV27)</f>
        <v>33679.1875</v>
      </c>
      <c r="AX27" s="22">
        <f t="shared" si="32"/>
        <v>422905.8125</v>
      </c>
      <c r="AY27" s="22">
        <f t="shared" si="10"/>
        <v>1940.3563393524282</v>
      </c>
      <c r="AZ27" s="24">
        <f t="shared" si="11"/>
        <v>1.5855822997772651E-2</v>
      </c>
      <c r="BA27" s="24">
        <f t="shared" si="12"/>
        <v>0.35000000000000003</v>
      </c>
      <c r="BB27" s="25">
        <f>IF(MortgageRate="Discounted",_xlfn.XLOOKUP(L27,'mortgage-rates'!$A:$A,'mortgage-rates'!$E:$E)/100,_xlfn.XLOOKUP(L27,'mortgage-rates'!$A:$A,'mortgage-rates'!$D:$D)/100)</f>
        <v>6.7099999999999993E-2</v>
      </c>
      <c r="BC27" s="10">
        <f t="shared" si="37"/>
        <v>262856.42851325474</v>
      </c>
      <c r="BD27" s="10">
        <f t="shared" si="13"/>
        <v>6144.9280407578453</v>
      </c>
      <c r="BE27" s="10">
        <f t="shared" si="14"/>
        <v>4409.4165883098476</v>
      </c>
      <c r="BF27" s="10">
        <f t="shared" si="36"/>
        <v>1735.5114524479977</v>
      </c>
      <c r="BG27" s="12">
        <f t="shared" si="15"/>
        <v>8085.2843801102736</v>
      </c>
      <c r="BH27" s="22">
        <f>INDEX(cpi!B:B,MATCH($L27,cpi!A:A))</f>
        <v>99.9</v>
      </c>
      <c r="BI27" s="22">
        <f t="shared" si="16"/>
        <v>118.08510638297874</v>
      </c>
      <c r="BJ27" s="22">
        <f t="shared" si="17"/>
        <v>108.22592001362189</v>
      </c>
      <c r="BK27" s="22">
        <f t="shared" si="18"/>
        <v>110.87585715480799</v>
      </c>
      <c r="BL27" s="22">
        <f t="shared" si="19"/>
        <v>109.02090115597773</v>
      </c>
      <c r="BM27" s="22">
        <f t="shared" si="20"/>
        <v>183.93657655759245</v>
      </c>
      <c r="BN27" s="22">
        <f t="shared" si="21"/>
        <v>132.29729729729729</v>
      </c>
      <c r="BO27">
        <f t="shared" si="22"/>
        <v>117.27471411388302</v>
      </c>
    </row>
    <row r="28" spans="1:67" x14ac:dyDescent="0.25">
      <c r="A28" t="s">
        <v>338</v>
      </c>
      <c r="B28" s="4">
        <v>1.4999999999999999E-2</v>
      </c>
      <c r="C28" s="4">
        <v>1.4999999999999999E-2</v>
      </c>
      <c r="L28" s="1">
        <f t="shared" si="33"/>
        <v>41061</v>
      </c>
      <c r="M28" s="10">
        <f t="shared" si="0"/>
        <v>189665.40186865677</v>
      </c>
      <c r="N28" s="10">
        <f t="shared" si="23"/>
        <v>168735.27043919326</v>
      </c>
      <c r="O28" s="7">
        <f t="shared" si="24"/>
        <v>1.1240412355696912</v>
      </c>
      <c r="P28" s="7">
        <f t="shared" si="1"/>
        <v>0.7265318437232603</v>
      </c>
      <c r="Q28">
        <v>26</v>
      </c>
      <c r="R28">
        <f t="shared" si="2"/>
        <v>91</v>
      </c>
      <c r="S28" s="22"/>
      <c r="T28" s="22">
        <f>IF($B$10="3BR_H",
INDEX('3BR_H-processed'!$E:$E,MATCH($L28,'3BR_H-processed'!$B:$B,0),MATCH(Council_Area,'3BR_H-processed'!$E$1:$E$1,0)),
INDEX('2BR_F-processed'!$E:$E,MATCH($L28,'2BR_F-processed'!$B:$B,0),MATCH(Council_Area,'2BR_F-processed'!$E$1:$E$1,0)))</f>
        <v>459.89915390813854</v>
      </c>
      <c r="U28" s="22">
        <f t="shared" si="25"/>
        <v>426.45194271481938</v>
      </c>
      <c r="V28" s="22">
        <f t="shared" si="34"/>
        <v>5543.8752552926517</v>
      </c>
      <c r="W28" s="22">
        <f>$B$53/4*BH28/_xlfn.XLOOKUP(Q_end,cpi!A:A,cpi!B:B)</f>
        <v>138.90808569454043</v>
      </c>
      <c r="X28" s="22">
        <f t="shared" si="26"/>
        <v>5682.7833409871919</v>
      </c>
      <c r="Y28" s="22">
        <f t="shared" si="3"/>
        <v>2139.0119321072571</v>
      </c>
      <c r="Z28" s="22">
        <f t="shared" si="27"/>
        <v>0</v>
      </c>
      <c r="AA28" s="22" cm="1">
        <f t="array" ref="AA28">(Y28+Z28)*eff_invest</f>
        <v>2139.0119321072571</v>
      </c>
      <c r="AB28" s="22">
        <f>AA28*(_xlfn.XLOOKUP(Q_end,cpi!A:A,cpi!B:B)/BH28)</f>
        <v>3079.7515082181103</v>
      </c>
      <c r="AC28" s="22" cm="1">
        <f t="array" ref="AC28">INDEX('msci-indices'!C:C,MATCH($L28,'msci-indices'!$B:$B)-2)</f>
        <v>913.58723299999997</v>
      </c>
      <c r="AD28" s="22" cm="1">
        <f t="array" ref="AD28">INDEX('msci-indices'!D:D,MATCH($L28,'msci-indices'!$B:$B)-2)</f>
        <v>858.531702</v>
      </c>
      <c r="AE28" s="22">
        <f t="shared" si="28"/>
        <v>200304.08386068602</v>
      </c>
      <c r="AF28" s="22" cm="1">
        <f t="array" ref="AF28">INDEX('msci-indices'!C:C,MATCH($L28,'msci-indices'!$B:$B)+1)</f>
        <v>865.80589099999997</v>
      </c>
      <c r="AG28" s="22" cm="1">
        <f t="array" ref="AG28">INDEX('msci-indices'!D:D,MATCH($L28,'msci-indices'!$B:$B)+1)</f>
        <v>813.09506399999998</v>
      </c>
      <c r="AH28" s="22">
        <f t="shared" si="4"/>
        <v>125.19005241292876</v>
      </c>
      <c r="AI28" s="22">
        <f t="shared" si="5"/>
        <v>189665.40186865677</v>
      </c>
      <c r="AJ28" s="22">
        <f t="shared" si="29"/>
        <v>175284.8866853264</v>
      </c>
      <c r="AK28" s="22">
        <f t="shared" si="6"/>
        <v>14380.515183330368</v>
      </c>
      <c r="AL28" s="22">
        <f>AJ28*(_xlfn.XLOOKUP(Q_end,cpi!A:A,cpi!B:B)/BH28)</f>
        <v>252375.35426235551</v>
      </c>
      <c r="AM28" s="22" cm="1">
        <f t="array" ref="AM28">SUMPRODUCT($AA$3:AA28,_xlfn.SORTBY($BH$3:BH28,_xlfn.SEQUENCE(ROWS($BH$3:BH28)),-1)/$BH$3)</f>
        <v>201762.7257955001</v>
      </c>
      <c r="AN28" s="22">
        <f t="shared" si="30"/>
        <v>-12097.323926843324</v>
      </c>
      <c r="AO28" s="22">
        <f t="shared" si="7"/>
        <v>0</v>
      </c>
      <c r="AP28" s="22">
        <f t="shared" si="31"/>
        <v>189665.40186865677</v>
      </c>
      <c r="AQ28" s="22"/>
      <c r="AR28" s="10">
        <f>IF($B$10="3BR_H",
INDEX('ns-combined'!$C:$D,MATCH($L28,'ns-combined'!$B:$B,0),MATCH(Council_Area,'ns-combined'!$C$1:$D$1,0))*1000,
INDEX('s-combined'!$C:$D,MATCH($L28,'s-combined'!$B:$B,0),MATCH(Council_Area,'s-combined'!$C$1:$D$1,0))*1000)</f>
        <v>499000</v>
      </c>
      <c r="AS28" s="22">
        <f t="shared" si="35"/>
        <v>24050</v>
      </c>
      <c r="AT28" s="10">
        <v>0</v>
      </c>
      <c r="AU28" s="22">
        <f t="shared" si="8"/>
        <v>9980</v>
      </c>
      <c r="AV28" s="22">
        <f t="shared" si="9"/>
        <v>1434.625</v>
      </c>
      <c r="AW28" s="22">
        <f>SUM($AV$3:AV28)</f>
        <v>35113.8125</v>
      </c>
      <c r="AX28" s="22">
        <f t="shared" si="32"/>
        <v>429856.1875</v>
      </c>
      <c r="AY28" s="22">
        <f t="shared" si="10"/>
        <v>1940.3563393524282</v>
      </c>
      <c r="AZ28" s="24">
        <f t="shared" si="11"/>
        <v>1.5553958632083593E-2</v>
      </c>
      <c r="BA28" s="24">
        <f t="shared" si="12"/>
        <v>0.35000000000000003</v>
      </c>
      <c r="BB28" s="25">
        <f>IF(MortgageRate="Discounted",_xlfn.XLOOKUP(L28,'mortgage-rates'!$A:$A,'mortgage-rates'!$E:$E)/100,_xlfn.XLOOKUP(L28,'mortgage-rates'!$A:$A,'mortgage-rates'!$D:$D)/100)</f>
        <v>6.13E-2</v>
      </c>
      <c r="BC28" s="10">
        <f t="shared" si="37"/>
        <v>261120.91706080674</v>
      </c>
      <c r="BD28" s="10">
        <f t="shared" si="13"/>
        <v>5881.4389337420207</v>
      </c>
      <c r="BE28" s="10">
        <f t="shared" si="14"/>
        <v>4001.6780539568631</v>
      </c>
      <c r="BF28" s="10">
        <f t="shared" si="36"/>
        <v>1879.7608797851576</v>
      </c>
      <c r="BG28" s="12">
        <f t="shared" si="15"/>
        <v>7821.7952730944489</v>
      </c>
      <c r="BH28" s="22">
        <f>INDEX(cpi!B:B,MATCH($L28,cpi!A:A))</f>
        <v>100.5</v>
      </c>
      <c r="BI28" s="22">
        <f t="shared" si="16"/>
        <v>118.79432624113475</v>
      </c>
      <c r="BJ28" s="22">
        <f t="shared" si="17"/>
        <v>121.02422951783765</v>
      </c>
      <c r="BK28" s="22">
        <f t="shared" si="18"/>
        <v>120.41856784515979</v>
      </c>
      <c r="BL28" s="22">
        <f t="shared" si="19"/>
        <v>120.8425310160343</v>
      </c>
      <c r="BM28" s="22">
        <f t="shared" si="20"/>
        <v>205.99671613978146</v>
      </c>
      <c r="BN28" s="22">
        <f t="shared" si="21"/>
        <v>134.86486486486487</v>
      </c>
      <c r="BO28">
        <f t="shared" si="22"/>
        <v>119.20210129329021</v>
      </c>
    </row>
    <row r="29" spans="1:67" x14ac:dyDescent="0.25">
      <c r="A29" t="s">
        <v>345</v>
      </c>
      <c r="B29" s="4">
        <v>5.0000000000000001E-3</v>
      </c>
      <c r="C29" s="4">
        <v>5.0000000000000001E-3</v>
      </c>
      <c r="L29" s="1">
        <f t="shared" si="33"/>
        <v>41153</v>
      </c>
      <c r="M29" s="10">
        <f t="shared" si="0"/>
        <v>205596.24162801274</v>
      </c>
      <c r="N29" s="10">
        <f t="shared" si="23"/>
        <v>164346.90631897844</v>
      </c>
      <c r="O29" s="7">
        <f t="shared" si="24"/>
        <v>1.2509894237313728</v>
      </c>
      <c r="P29" s="7">
        <f t="shared" si="1"/>
        <v>0.73459828896841195</v>
      </c>
      <c r="Q29">
        <v>27</v>
      </c>
      <c r="R29">
        <f t="shared" si="2"/>
        <v>92</v>
      </c>
      <c r="S29" s="22"/>
      <c r="T29" s="22">
        <f>IF($B$10="3BR_H",
INDEX('3BR_H-processed'!$E:$E,MATCH($L29,'3BR_H-processed'!$B:$B,0),MATCH(Council_Area,'3BR_H-processed'!$E$1:$E$1,0)),
INDEX('2BR_F-processed'!$E:$E,MATCH($L29,'2BR_F-processed'!$B:$B,0),MATCH(Council_Area,'2BR_F-processed'!$E$1:$E$1,0)))</f>
        <v>480.81792908944391</v>
      </c>
      <c r="U29" s="22">
        <f t="shared" si="25"/>
        <v>426.45194271481938</v>
      </c>
      <c r="V29" s="22">
        <f t="shared" si="34"/>
        <v>5604.7969613947689</v>
      </c>
      <c r="W29" s="22">
        <f>$B$53/4*BH29/_xlfn.XLOOKUP(Q_end,cpi!A:A,cpi!B:B)</f>
        <v>140.42847270214239</v>
      </c>
      <c r="X29" s="22">
        <f t="shared" si="26"/>
        <v>5745.2254340969112</v>
      </c>
      <c r="Y29" s="22">
        <f t="shared" si="3"/>
        <v>2075.6822924441703</v>
      </c>
      <c r="Z29" s="22">
        <f t="shared" si="27"/>
        <v>0</v>
      </c>
      <c r="AA29" s="22" cm="1">
        <f t="array" ref="AA29">(Y29+Z29)*eff_invest</f>
        <v>2075.6822924441703</v>
      </c>
      <c r="AB29" s="22">
        <f>AA29*(_xlfn.XLOOKUP(Q_end,cpi!A:A,cpi!B:B)/BH29)</f>
        <v>2956.212871227081</v>
      </c>
      <c r="AC29" s="22" cm="1">
        <f t="array" ref="AC29">INDEX('msci-indices'!C:C,MATCH($L29,'msci-indices'!$B:$B)-2)</f>
        <v>865.80589099999997</v>
      </c>
      <c r="AD29" s="22" cm="1">
        <f t="array" ref="AD29">INDEX('msci-indices'!D:D,MATCH($L29,'msci-indices'!$B:$B)-2)</f>
        <v>813.09506399999998</v>
      </c>
      <c r="AE29" s="22">
        <f t="shared" si="28"/>
        <v>191741.08416110094</v>
      </c>
      <c r="AF29" s="22" cm="1">
        <f t="array" ref="AF29">INDEX('msci-indices'!C:C,MATCH($L29,'msci-indices'!$B:$B)+1)</f>
        <v>923.89950299999998</v>
      </c>
      <c r="AG29" s="22" cm="1">
        <f t="array" ref="AG29">INDEX('msci-indices'!D:D,MATCH($L29,'msci-indices'!$B:$B)+1)</f>
        <v>883.33647499999995</v>
      </c>
      <c r="AH29" s="22">
        <f t="shared" si="4"/>
        <v>119.83817760068808</v>
      </c>
      <c r="AI29" s="22">
        <f t="shared" si="5"/>
        <v>205596.24162801274</v>
      </c>
      <c r="AJ29" s="22">
        <f t="shared" si="29"/>
        <v>177360.56897777057</v>
      </c>
      <c r="AK29" s="22">
        <f t="shared" si="6"/>
        <v>28235.672650242166</v>
      </c>
      <c r="AL29" s="22">
        <f>AJ29*(_xlfn.XLOOKUP(Q_end,cpi!A:A,cpi!B:B)/BH29)</f>
        <v>252599.15680200196</v>
      </c>
      <c r="AM29" s="22" cm="1">
        <f t="array" ref="AM29">SUMPRODUCT($AA$3:AA29,_xlfn.SORTBY($BH$3:BH29,_xlfn.SEQUENCE(ROWS($BH$3:BH29)),-1)/$BH$3)</f>
        <v>205690.42965956195</v>
      </c>
      <c r="AN29" s="22">
        <f t="shared" si="30"/>
        <v>-94.188031549216248</v>
      </c>
      <c r="AO29" s="22">
        <f t="shared" si="7"/>
        <v>0</v>
      </c>
      <c r="AP29" s="22">
        <f t="shared" si="31"/>
        <v>205596.24162801274</v>
      </c>
      <c r="AQ29" s="22"/>
      <c r="AR29" s="10">
        <f>IF($B$10="3BR_H",
INDEX('ns-combined'!$C:$D,MATCH($L29,'ns-combined'!$B:$B,0),MATCH(Council_Area,'ns-combined'!$C$1:$D$1,0))*1000,
INDEX('s-combined'!$C:$D,MATCH($L29,'s-combined'!$B:$B,0),MATCH(Council_Area,'s-combined'!$C$1:$D$1,0))*1000)</f>
        <v>495000</v>
      </c>
      <c r="AS29" s="22">
        <f t="shared" si="35"/>
        <v>24975</v>
      </c>
      <c r="AT29" s="10">
        <v>0</v>
      </c>
      <c r="AU29" s="22">
        <f t="shared" si="8"/>
        <v>9900</v>
      </c>
      <c r="AV29" s="22">
        <f t="shared" si="9"/>
        <v>1423.125</v>
      </c>
      <c r="AW29" s="22">
        <f>SUM($AV$3:AV29)</f>
        <v>36536.9375</v>
      </c>
      <c r="AX29" s="22">
        <f t="shared" si="32"/>
        <v>423588.0625</v>
      </c>
      <c r="AY29" s="22">
        <f t="shared" si="10"/>
        <v>1961.6789364881693</v>
      </c>
      <c r="AZ29" s="24">
        <f t="shared" si="11"/>
        <v>1.5851951001924599E-2</v>
      </c>
      <c r="BA29" s="24">
        <f t="shared" si="12"/>
        <v>0.35000000000000003</v>
      </c>
      <c r="BB29" s="25">
        <f>IF(MortgageRate="Discounted",_xlfn.XLOOKUP(L29,'mortgage-rates'!$A:$A,'mortgage-rates'!$E:$E)/100,_xlfn.XLOOKUP(L29,'mortgage-rates'!$A:$A,'mortgage-rates'!$D:$D)/100)</f>
        <v>6.08E-2</v>
      </c>
      <c r="BC29" s="10">
        <f t="shared" si="37"/>
        <v>259241.15618102156</v>
      </c>
      <c r="BD29" s="10">
        <f t="shared" si="13"/>
        <v>5859.2287900529127</v>
      </c>
      <c r="BE29" s="10">
        <f t="shared" si="14"/>
        <v>3940.4655739515279</v>
      </c>
      <c r="BF29" s="10">
        <f t="shared" si="36"/>
        <v>1918.7632161013848</v>
      </c>
      <c r="BG29" s="12">
        <f t="shared" si="15"/>
        <v>7820.9077265410815</v>
      </c>
      <c r="BH29" s="22">
        <f>INDEX(cpi!B:B,MATCH($L29,cpi!A:A))</f>
        <v>101.6</v>
      </c>
      <c r="BI29" s="22">
        <f t="shared" si="16"/>
        <v>120.09456264775415</v>
      </c>
      <c r="BJ29" s="22">
        <f t="shared" si="17"/>
        <v>114.69456564776658</v>
      </c>
      <c r="BK29" s="22">
        <f t="shared" si="18"/>
        <v>114.04557676875227</v>
      </c>
      <c r="BL29" s="22">
        <f t="shared" si="19"/>
        <v>114.49986898406229</v>
      </c>
      <c r="BM29" s="22">
        <f t="shared" si="20"/>
        <v>197.19035640700983</v>
      </c>
      <c r="BN29" s="22">
        <f t="shared" si="21"/>
        <v>133.78378378378378</v>
      </c>
      <c r="BO29">
        <f t="shared" si="22"/>
        <v>117.46390676940888</v>
      </c>
    </row>
    <row r="30" spans="1:67" x14ac:dyDescent="0.25">
      <c r="L30" s="1">
        <f t="shared" si="33"/>
        <v>41244</v>
      </c>
      <c r="M30" s="10">
        <f t="shared" si="0"/>
        <v>215433.69663293514</v>
      </c>
      <c r="N30" s="10">
        <f t="shared" si="23"/>
        <v>178574.41953507983</v>
      </c>
      <c r="O30" s="7">
        <f t="shared" si="24"/>
        <v>1.2064084945302849</v>
      </c>
      <c r="P30" s="7">
        <f t="shared" si="1"/>
        <v>0.75141363941939843</v>
      </c>
      <c r="Q30">
        <v>28</v>
      </c>
      <c r="R30">
        <f t="shared" si="2"/>
        <v>92</v>
      </c>
      <c r="S30" s="22"/>
      <c r="T30" s="22">
        <f>IF($B$10="3BR_H",
INDEX('3BR_H-processed'!$E:$E,MATCH($L30,'3BR_H-processed'!$B:$B,0),MATCH(Council_Area,'3BR_H-processed'!$E$1:$E$1,0)),
INDEX('2BR_F-processed'!$E:$E,MATCH($L30,'2BR_F-processed'!$B:$B,0),MATCH(Council_Area,'2BR_F-processed'!$E$1:$E$1,0)))</f>
        <v>480.81792908944391</v>
      </c>
      <c r="U30" s="22">
        <f t="shared" si="25"/>
        <v>426.45194271481938</v>
      </c>
      <c r="V30" s="22">
        <f t="shared" si="34"/>
        <v>5604.7969613947689</v>
      </c>
      <c r="W30" s="22">
        <f>$B$53/4*BH30/_xlfn.XLOOKUP(Q_end,cpi!A:A,cpi!B:B)</f>
        <v>140.98134070490673</v>
      </c>
      <c r="X30" s="22">
        <f t="shared" si="26"/>
        <v>5745.7783020996758</v>
      </c>
      <c r="Y30" s="22">
        <f t="shared" si="3"/>
        <v>1900.8466733789683</v>
      </c>
      <c r="Z30" s="22">
        <f t="shared" si="27"/>
        <v>0</v>
      </c>
      <c r="AA30" s="22" cm="1">
        <f t="array" ref="AA30">(Y30+Z30)*eff_invest</f>
        <v>1900.8466733789683</v>
      </c>
      <c r="AB30" s="22">
        <f>AA30*(_xlfn.XLOOKUP(Q_end,cpi!A:A,cpi!B:B)/BH30)</f>
        <v>2696.5932709601634</v>
      </c>
      <c r="AC30" s="22" cm="1">
        <f t="array" ref="AC30">INDEX('msci-indices'!C:C,MATCH($L30,'msci-indices'!$B:$B)-2)</f>
        <v>923.89950299999998</v>
      </c>
      <c r="AD30" s="22" cm="1">
        <f t="array" ref="AD30">INDEX('msci-indices'!D:D,MATCH($L30,'msci-indices'!$B:$B)-2)</f>
        <v>883.33647499999995</v>
      </c>
      <c r="AE30" s="22">
        <f t="shared" si="28"/>
        <v>207497.08830139169</v>
      </c>
      <c r="AF30" s="22" cm="1">
        <f t="array" ref="AF30">INDEX('msci-indices'!C:C,MATCH($L30,'msci-indices'!$B:$B)+1)</f>
        <v>948.15110700000002</v>
      </c>
      <c r="AG30" s="22" cm="1">
        <f t="array" ref="AG30">INDEX('msci-indices'!D:D,MATCH($L30,'msci-indices'!$B:$B)+1)</f>
        <v>943.69728799999996</v>
      </c>
      <c r="AH30" s="22">
        <f t="shared" si="4"/>
        <v>129.68568018836982</v>
      </c>
      <c r="AI30" s="22">
        <f t="shared" si="5"/>
        <v>215433.69663293514</v>
      </c>
      <c r="AJ30" s="22">
        <f t="shared" si="29"/>
        <v>179261.41565114952</v>
      </c>
      <c r="AK30" s="22">
        <f t="shared" si="6"/>
        <v>36172.280981785618</v>
      </c>
      <c r="AL30" s="22">
        <f>AJ30*(_xlfn.XLOOKUP(Q_end,cpi!A:A,cpi!B:B)/BH30)</f>
        <v>254305.16514432681</v>
      </c>
      <c r="AM30" s="22" cm="1">
        <f t="array" ref="AM30">SUMPRODUCT($AA$3:AA30,_xlfn.SORTBY($BH$3:BH30,_xlfn.SEQUENCE(ROWS($BH$3:BH30)),-1)/$BH$3)</f>
        <v>208671.97957730555</v>
      </c>
      <c r="AN30" s="22">
        <f t="shared" si="30"/>
        <v>6761.7170556295896</v>
      </c>
      <c r="AO30" s="22">
        <f t="shared" si="7"/>
        <v>0</v>
      </c>
      <c r="AP30" s="22">
        <f t="shared" si="31"/>
        <v>215433.69663293514</v>
      </c>
      <c r="AQ30" s="22"/>
      <c r="AR30" s="10">
        <f>IF($B$10="3BR_H",
INDEX('ns-combined'!$C:$D,MATCH($L30,'ns-combined'!$B:$B,0),MATCH(Council_Area,'ns-combined'!$C$1:$D$1,0))*1000,
INDEX('s-combined'!$C:$D,MATCH($L30,'s-combined'!$B:$B,0),MATCH(Council_Area,'s-combined'!$C$1:$D$1,0))*1000)</f>
        <v>510000</v>
      </c>
      <c r="AS30" s="22">
        <f t="shared" si="35"/>
        <v>25900</v>
      </c>
      <c r="AT30" s="10">
        <v>0</v>
      </c>
      <c r="AU30" s="22">
        <f t="shared" si="8"/>
        <v>10200</v>
      </c>
      <c r="AV30" s="22">
        <f t="shared" si="9"/>
        <v>1466.25</v>
      </c>
      <c r="AW30" s="22">
        <f>SUM($AV$3:AV30)</f>
        <v>38003.1875</v>
      </c>
      <c r="AX30" s="22">
        <f t="shared" si="32"/>
        <v>435896.8125</v>
      </c>
      <c r="AY30" s="22">
        <f t="shared" si="10"/>
        <v>1961.6789364881693</v>
      </c>
      <c r="AZ30" s="24">
        <f t="shared" si="11"/>
        <v>1.5385717148926817E-2</v>
      </c>
      <c r="BA30" s="24">
        <f t="shared" si="12"/>
        <v>0.35000000000000003</v>
      </c>
      <c r="BB30" s="25">
        <f>IF(MortgageRate="Discounted",_xlfn.XLOOKUP(L30,'mortgage-rates'!$A:$A,'mortgage-rates'!$E:$E)/100,_xlfn.XLOOKUP(L30,'mortgage-rates'!$A:$A,'mortgage-rates'!$D:$D)/100)</f>
        <v>5.6799999999999996E-2</v>
      </c>
      <c r="BC30" s="10">
        <f t="shared" si="37"/>
        <v>257322.39296492017</v>
      </c>
      <c r="BD30" s="10">
        <f t="shared" si="13"/>
        <v>5684.9460389904743</v>
      </c>
      <c r="BE30" s="10">
        <f t="shared" si="14"/>
        <v>3653.9779801018663</v>
      </c>
      <c r="BF30" s="10">
        <f t="shared" si="36"/>
        <v>2030.9680588886081</v>
      </c>
      <c r="BG30" s="12">
        <f t="shared" si="15"/>
        <v>7646.624975478644</v>
      </c>
      <c r="BH30" s="22">
        <f>INDEX(cpi!B:B,MATCH($L30,cpi!A:A))</f>
        <v>102</v>
      </c>
      <c r="BI30" s="22">
        <f t="shared" si="16"/>
        <v>120.56737588652483</v>
      </c>
      <c r="BJ30" s="22">
        <f t="shared" si="17"/>
        <v>122.39031092336657</v>
      </c>
      <c r="BK30" s="22">
        <f t="shared" si="18"/>
        <v>123.89771163615318</v>
      </c>
      <c r="BL30" s="22">
        <f t="shared" si="19"/>
        <v>122.84253113720254</v>
      </c>
      <c r="BM30" s="22">
        <f t="shared" si="20"/>
        <v>213.39414541533631</v>
      </c>
      <c r="BN30" s="22">
        <f t="shared" si="21"/>
        <v>137.83783783783784</v>
      </c>
      <c r="BO30">
        <f t="shared" si="22"/>
        <v>120.87720848975178</v>
      </c>
    </row>
    <row r="31" spans="1:67" x14ac:dyDescent="0.25">
      <c r="A31" s="5" t="s">
        <v>20</v>
      </c>
      <c r="L31" s="1">
        <f t="shared" si="33"/>
        <v>41334</v>
      </c>
      <c r="M31" s="10">
        <f t="shared" si="0"/>
        <v>234385.47757741337</v>
      </c>
      <c r="N31" s="10">
        <f t="shared" si="23"/>
        <v>187985.38759396842</v>
      </c>
      <c r="O31" s="7">
        <f t="shared" si="24"/>
        <v>1.2468281741326883</v>
      </c>
      <c r="P31" s="7">
        <f t="shared" si="1"/>
        <v>0.813913861098435</v>
      </c>
      <c r="Q31">
        <v>29</v>
      </c>
      <c r="R31">
        <f t="shared" si="2"/>
        <v>90</v>
      </c>
      <c r="S31" s="22"/>
      <c r="T31" s="22">
        <f>IF($B$10="3BR_H",
INDEX('3BR_H-processed'!$E:$E,MATCH($L31,'3BR_H-processed'!$B:$B,0),MATCH(Council_Area,'3BR_H-processed'!$E$1:$E$1,0)),
INDEX('2BR_F-processed'!$E:$E,MATCH($L31,'2BR_F-processed'!$B:$B,0),MATCH(Council_Area,'2BR_F-processed'!$E$1:$E$1,0)))</f>
        <v>485.57850264478498</v>
      </c>
      <c r="U31" s="22">
        <f t="shared" si="25"/>
        <v>485.57850264478498</v>
      </c>
      <c r="V31" s="22">
        <f t="shared" si="34"/>
        <v>6243.1521768615212</v>
      </c>
      <c r="W31" s="22">
        <f>$B$53/4*BH31/_xlfn.XLOOKUP(Q_end,cpi!A:A,cpi!B:B)</f>
        <v>141.53420870767104</v>
      </c>
      <c r="X31" s="22">
        <f t="shared" si="26"/>
        <v>6384.6863855691918</v>
      </c>
      <c r="Y31" s="22">
        <f t="shared" si="3"/>
        <v>1459.7387934695344</v>
      </c>
      <c r="Z31" s="22">
        <f t="shared" si="27"/>
        <v>0</v>
      </c>
      <c r="AA31" s="22" cm="1">
        <f t="array" ref="AA31">(Y31+Z31)*eff_invest</f>
        <v>1459.7387934695344</v>
      </c>
      <c r="AB31" s="22">
        <f>AA31*(_xlfn.XLOOKUP(Q_end,cpi!A:A,cpi!B:B)/BH31)</f>
        <v>2062.7363614750157</v>
      </c>
      <c r="AC31" s="22" cm="1">
        <f t="array" ref="AC31">INDEX('msci-indices'!C:C,MATCH($L31,'msci-indices'!$B:$B)-2)</f>
        <v>948.15110700000002</v>
      </c>
      <c r="AD31" s="22" cm="1">
        <f t="array" ref="AD31">INDEX('msci-indices'!D:D,MATCH($L31,'msci-indices'!$B:$B)-2)</f>
        <v>943.69728799999996</v>
      </c>
      <c r="AE31" s="22">
        <f t="shared" si="28"/>
        <v>216893.43542640467</v>
      </c>
      <c r="AF31" s="22" cm="1">
        <f t="array" ref="AF31">INDEX('msci-indices'!C:C,MATCH($L31,'msci-indices'!$B:$B)+1)</f>
        <v>1024.705295</v>
      </c>
      <c r="AG31" s="22" cm="1">
        <f t="array" ref="AG31">INDEX('msci-indices'!D:D,MATCH($L31,'msci-indices'!$B:$B)+1)</f>
        <v>1021.5672520000001</v>
      </c>
      <c r="AH31" s="22">
        <f t="shared" si="4"/>
        <v>135.55839714150292</v>
      </c>
      <c r="AI31" s="22">
        <f t="shared" si="5"/>
        <v>234385.47757741337</v>
      </c>
      <c r="AJ31" s="22">
        <f t="shared" si="29"/>
        <v>180721.15444461905</v>
      </c>
      <c r="AK31" s="22">
        <f t="shared" si="6"/>
        <v>53664.323132794321</v>
      </c>
      <c r="AL31" s="22">
        <f>AJ31*(_xlfn.XLOOKUP(Q_end,cpi!A:A,cpi!B:B)/BH31)</f>
        <v>255374.52195445675</v>
      </c>
      <c r="AM31" s="22" cm="1">
        <f t="array" ref="AM31">SUMPRODUCT($AA$3:AA31,_xlfn.SORTBY($BH$3:BH31,_xlfn.SEQUENCE(ROWS($BH$3:BH31)),-1)/$BH$3)</f>
        <v>211219.14053005248</v>
      </c>
      <c r="AN31" s="22">
        <f t="shared" si="30"/>
        <v>23166.337047360896</v>
      </c>
      <c r="AO31" s="22">
        <f t="shared" si="7"/>
        <v>0</v>
      </c>
      <c r="AP31" s="22">
        <f t="shared" si="31"/>
        <v>234385.47757741337</v>
      </c>
      <c r="AQ31" s="22"/>
      <c r="AR31" s="10">
        <f>IF($B$10="3BR_H",
INDEX('ns-combined'!$C:$D,MATCH($L31,'ns-combined'!$B:$B,0),MATCH(Council_Area,'ns-combined'!$C$1:$D$1,0))*1000,
INDEX('s-combined'!$C:$D,MATCH($L31,'s-combined'!$B:$B,0),MATCH(Council_Area,'s-combined'!$C$1:$D$1,0))*1000)</f>
        <v>520000</v>
      </c>
      <c r="AS31" s="22">
        <f t="shared" si="35"/>
        <v>26825</v>
      </c>
      <c r="AT31" s="10">
        <v>0</v>
      </c>
      <c r="AU31" s="22">
        <f t="shared" si="8"/>
        <v>10400</v>
      </c>
      <c r="AV31" s="22">
        <f t="shared" si="9"/>
        <v>1495</v>
      </c>
      <c r="AW31" s="22">
        <f>SUM($AV$3:AV31)</f>
        <v>39498.1875</v>
      </c>
      <c r="AX31" s="22">
        <f t="shared" si="32"/>
        <v>443276.8125</v>
      </c>
      <c r="AY31" s="22">
        <f t="shared" si="10"/>
        <v>2185.1032619015327</v>
      </c>
      <c r="AZ31" s="24">
        <f t="shared" si="11"/>
        <v>1.680848663001179E-2</v>
      </c>
      <c r="BA31" s="24">
        <f t="shared" si="12"/>
        <v>0.35000000000000003</v>
      </c>
      <c r="BB31" s="25">
        <f>IF(MortgageRate="Discounted",_xlfn.XLOOKUP(L31,'mortgage-rates'!$A:$A,'mortgage-rates'!$E:$E)/100,_xlfn.XLOOKUP(L31,'mortgage-rates'!$A:$A,'mortgage-rates'!$D:$D)/100)</f>
        <v>5.62E-2</v>
      </c>
      <c r="BC31" s="10">
        <f t="shared" si="37"/>
        <v>255291.42490603158</v>
      </c>
      <c r="BD31" s="10">
        <f t="shared" si="13"/>
        <v>5659.3219171371939</v>
      </c>
      <c r="BE31" s="10">
        <f t="shared" si="14"/>
        <v>3586.8445199297435</v>
      </c>
      <c r="BF31" s="10">
        <f t="shared" si="36"/>
        <v>2072.4773972074504</v>
      </c>
      <c r="BG31" s="12">
        <f t="shared" si="15"/>
        <v>7844.4251790387261</v>
      </c>
      <c r="BH31" s="22">
        <f>INDEX(cpi!B:B,MATCH($L31,cpi!A:A))</f>
        <v>102.4</v>
      </c>
      <c r="BI31" s="22">
        <f t="shared" si="16"/>
        <v>121.04018912529551</v>
      </c>
      <c r="BJ31" s="22">
        <f t="shared" si="17"/>
        <v>125.60295617786929</v>
      </c>
      <c r="BK31" s="22">
        <f t="shared" si="18"/>
        <v>132.36398333992017</v>
      </c>
      <c r="BL31" s="22">
        <f t="shared" si="19"/>
        <v>127.63126432648455</v>
      </c>
      <c r="BM31" s="22">
        <f t="shared" si="20"/>
        <v>223.05753626666012</v>
      </c>
      <c r="BN31" s="22">
        <f t="shared" si="21"/>
        <v>140.54054054054055</v>
      </c>
      <c r="BO31">
        <f t="shared" si="22"/>
        <v>122.92373366055551</v>
      </c>
    </row>
    <row r="32" spans="1:67" x14ac:dyDescent="0.25">
      <c r="A32" t="s">
        <v>15</v>
      </c>
      <c r="B32" s="8">
        <v>7.0000000000000007E-2</v>
      </c>
      <c r="C32" s="8">
        <v>7.0000000000000007E-2</v>
      </c>
      <c r="L32" s="1">
        <f t="shared" si="33"/>
        <v>41426</v>
      </c>
      <c r="M32" s="10">
        <f t="shared" si="0"/>
        <v>234179.94483740916</v>
      </c>
      <c r="N32" s="10">
        <f t="shared" si="23"/>
        <v>196431.98999117588</v>
      </c>
      <c r="O32" s="7">
        <f t="shared" si="24"/>
        <v>1.1921680620754744</v>
      </c>
      <c r="P32" s="7">
        <f t="shared" si="1"/>
        <v>0.83184081414804623</v>
      </c>
      <c r="Q32">
        <v>30</v>
      </c>
      <c r="R32">
        <f t="shared" si="2"/>
        <v>91</v>
      </c>
      <c r="S32" s="22"/>
      <c r="T32" s="22">
        <f>IF($B$10="3BR_H",
INDEX('3BR_H-processed'!$E:$E,MATCH($L32,'3BR_H-processed'!$B:$B,0),MATCH(Council_Area,'3BR_H-processed'!$E$1:$E$1,0)),
INDEX('2BR_F-processed'!$E:$E,MATCH($L32,'2BR_F-processed'!$B:$B,0),MATCH(Council_Area,'2BR_F-processed'!$E$1:$E$1,0)))</f>
        <v>480.81792908944391</v>
      </c>
      <c r="U32" s="22">
        <f t="shared" si="25"/>
        <v>485.57850264478498</v>
      </c>
      <c r="V32" s="22">
        <f t="shared" si="34"/>
        <v>6312.5205343822045</v>
      </c>
      <c r="W32" s="22">
        <f>$B$53/4*BH32/_xlfn.XLOOKUP(Q_end,cpi!A:A,cpi!B:B)</f>
        <v>142.22529371112648</v>
      </c>
      <c r="X32" s="22">
        <f t="shared" si="26"/>
        <v>6454.7458280933306</v>
      </c>
      <c r="Y32" s="22">
        <f>BG32-X32</f>
        <v>1304.8467746141296</v>
      </c>
      <c r="Z32" s="22">
        <f t="shared" si="27"/>
        <v>0</v>
      </c>
      <c r="AA32" s="22" cm="1">
        <f t="array" ref="AA32">(Y32+Z32)*eff_invest</f>
        <v>1304.8467746141296</v>
      </c>
      <c r="AB32" s="22">
        <f>AA32*(_xlfn.XLOOKUP(Q_end,cpi!A:A,cpi!B:B)/BH32)</f>
        <v>1834.9011495302673</v>
      </c>
      <c r="AC32" s="22" cm="1">
        <f t="array" ref="AC32">INDEX('msci-indices'!C:C,MATCH($L32,'msci-indices'!$B:$B)-2)</f>
        <v>1024.705295</v>
      </c>
      <c r="AD32" s="22" cm="1">
        <f t="array" ref="AD32">INDEX('msci-indices'!D:D,MATCH($L32,'msci-indices'!$B:$B)-2)</f>
        <v>1021.5672520000001</v>
      </c>
      <c r="AE32" s="22">
        <f t="shared" si="28"/>
        <v>235690.3243520275</v>
      </c>
      <c r="AF32" s="22" cm="1">
        <f t="array" ref="AF32">INDEX('msci-indices'!C:C,MATCH($L32,'msci-indices'!$B:$B)+1)</f>
        <v>1030.5183939999999</v>
      </c>
      <c r="AG32" s="22" cm="1">
        <f t="array" ref="AG32">INDEX('msci-indices'!D:D,MATCH($L32,'msci-indices'!$B:$B)+1)</f>
        <v>988.35138400000005</v>
      </c>
      <c r="AH32" s="22">
        <f t="shared" si="4"/>
        <v>147.30645272001718</v>
      </c>
      <c r="AI32" s="22">
        <f t="shared" si="5"/>
        <v>234179.94483740916</v>
      </c>
      <c r="AJ32" s="22">
        <f t="shared" si="29"/>
        <v>182026.00121923318</v>
      </c>
      <c r="AK32" s="22">
        <f t="shared" si="6"/>
        <v>52153.943618175981</v>
      </c>
      <c r="AL32" s="22">
        <f>AJ32*(_xlfn.XLOOKUP(Q_end,cpi!A:A,cpi!B:B)/BH32)</f>
        <v>255968.53621402368</v>
      </c>
      <c r="AM32" s="22" cm="1">
        <f t="array" ref="AM32">SUMPRODUCT($AA$3:AA32,_xlfn.SORTBY($BH$3:BH32,_xlfn.SEQUENCE(ROWS($BH$3:BH32)),-1)/$BH$3)</f>
        <v>213726.22264171214</v>
      </c>
      <c r="AN32" s="22">
        <f t="shared" si="30"/>
        <v>20453.722195697017</v>
      </c>
      <c r="AO32" s="22">
        <f t="shared" si="7"/>
        <v>0</v>
      </c>
      <c r="AP32" s="22">
        <f t="shared" si="31"/>
        <v>234179.94483740916</v>
      </c>
      <c r="AQ32" s="22"/>
      <c r="AR32" s="10">
        <f>IF($B$10="3BR_H",
INDEX('ns-combined'!$C:$D,MATCH($L32,'ns-combined'!$B:$B,0),MATCH(Council_Area,'ns-combined'!$C$1:$D$1,0))*1000,
INDEX('s-combined'!$C:$D,MATCH($L32,'s-combined'!$B:$B,0),MATCH(Council_Area,'s-combined'!$C$1:$D$1,0))*1000)</f>
        <v>529000</v>
      </c>
      <c r="AS32" s="22">
        <f t="shared" si="35"/>
        <v>27750</v>
      </c>
      <c r="AT32" s="10">
        <v>0</v>
      </c>
      <c r="AU32" s="22">
        <f t="shared" si="8"/>
        <v>10580</v>
      </c>
      <c r="AV32" s="22">
        <f t="shared" si="9"/>
        <v>1520.875</v>
      </c>
      <c r="AW32" s="22">
        <f>SUM($AV$3:AV32)</f>
        <v>41019.0625</v>
      </c>
      <c r="AX32" s="22">
        <f t="shared" si="32"/>
        <v>449650.9375</v>
      </c>
      <c r="AY32" s="22">
        <f t="shared" si="10"/>
        <v>2209.382187033772</v>
      </c>
      <c r="AZ32" s="24">
        <f t="shared" si="11"/>
        <v>1.6706103493639109E-2</v>
      </c>
      <c r="BA32" s="24">
        <f t="shared" si="12"/>
        <v>0.35000000000000009</v>
      </c>
      <c r="BB32" s="25">
        <f>IF(MortgageRate="Discounted",_xlfn.XLOOKUP(L32,'mortgage-rates'!$A:$A,'mortgage-rates'!$E:$E)/100,_xlfn.XLOOKUP(L32,'mortgage-rates'!$A:$A,'mortgage-rates'!$D:$D)/100)</f>
        <v>5.3600000000000002E-2</v>
      </c>
      <c r="BC32" s="10">
        <f t="shared" si="37"/>
        <v>253218.94750882412</v>
      </c>
      <c r="BD32" s="10">
        <f t="shared" si="13"/>
        <v>5550.2104156736877</v>
      </c>
      <c r="BE32" s="10">
        <f t="shared" si="14"/>
        <v>3393.1338966182434</v>
      </c>
      <c r="BF32" s="10">
        <f t="shared" si="36"/>
        <v>2157.0765190554444</v>
      </c>
      <c r="BG32" s="12">
        <f t="shared" si="15"/>
        <v>7759.5926027074602</v>
      </c>
      <c r="BH32" s="22">
        <f>INDEX(cpi!B:B,MATCH($L32,cpi!A:A))</f>
        <v>102.9</v>
      </c>
      <c r="BI32" s="22">
        <f t="shared" si="16"/>
        <v>121.63120567375887</v>
      </c>
      <c r="BJ32" s="22">
        <f t="shared" si="17"/>
        <v>135.74420080608061</v>
      </c>
      <c r="BK32" s="22">
        <f t="shared" si="18"/>
        <v>143.28610714873224</v>
      </c>
      <c r="BL32" s="22">
        <f t="shared" si="19"/>
        <v>138.0067727088761</v>
      </c>
      <c r="BM32" s="22">
        <f t="shared" si="20"/>
        <v>242.3886318573802</v>
      </c>
      <c r="BN32" s="22">
        <f t="shared" si="21"/>
        <v>142.97297297297297</v>
      </c>
      <c r="BO32">
        <f t="shared" si="22"/>
        <v>124.69132271941045</v>
      </c>
    </row>
    <row r="33" spans="1:67" x14ac:dyDescent="0.25">
      <c r="A33" t="s">
        <v>17</v>
      </c>
      <c r="B33" s="8">
        <v>0.16</v>
      </c>
      <c r="C33" s="8">
        <v>0.16</v>
      </c>
      <c r="L33" s="1">
        <f t="shared" si="33"/>
        <v>41518</v>
      </c>
      <c r="M33" s="10">
        <f t="shared" si="0"/>
        <v>256540.34632238961</v>
      </c>
      <c r="N33" s="10">
        <f t="shared" si="23"/>
        <v>187349.06651023132</v>
      </c>
      <c r="O33" s="7">
        <f t="shared" si="24"/>
        <v>1.3693174516478293</v>
      </c>
      <c r="P33" s="7">
        <f t="shared" si="1"/>
        <v>0.85089738458907349</v>
      </c>
      <c r="Q33">
        <v>31</v>
      </c>
      <c r="R33">
        <f t="shared" si="2"/>
        <v>92</v>
      </c>
      <c r="S33" s="22"/>
      <c r="T33" s="22">
        <f>IF($B$10="3BR_H",
INDEX('3BR_H-processed'!$E:$E,MATCH($L33,'3BR_H-processed'!$B:$B,0),MATCH(Council_Area,'3BR_H-processed'!$E$1:$E$1,0)),
INDEX('2BR_F-processed'!$E:$E,MATCH($L33,'2BR_F-processed'!$B:$B,0),MATCH(Council_Area,'2BR_F-processed'!$E$1:$E$1,0)))</f>
        <v>475.42251629206004</v>
      </c>
      <c r="U33" s="22">
        <f t="shared" si="25"/>
        <v>485.57850264478498</v>
      </c>
      <c r="V33" s="22">
        <f t="shared" si="34"/>
        <v>6381.8888919028886</v>
      </c>
      <c r="W33" s="22">
        <f>$B$53/4*BH33/_xlfn.XLOOKUP(Q_end,cpi!A:A,cpi!B:B)</f>
        <v>143.60746371803734</v>
      </c>
      <c r="X33" s="22">
        <f t="shared" si="26"/>
        <v>6525.4963556209259</v>
      </c>
      <c r="Y33" s="22">
        <f t="shared" si="3"/>
        <v>1143.4617041953043</v>
      </c>
      <c r="Z33" s="22">
        <f t="shared" si="27"/>
        <v>0</v>
      </c>
      <c r="AA33" s="22" cm="1">
        <f t="array" ref="AA33">(Y33+Z33)*eff_invest</f>
        <v>1143.4617041953043</v>
      </c>
      <c r="AB33" s="22">
        <f>AA33*(_xlfn.XLOOKUP(Q_end,cpi!A:A,cpi!B:B)/BH33)</f>
        <v>1592.482277161314</v>
      </c>
      <c r="AC33" s="22" cm="1">
        <f t="array" ref="AC33">INDEX('msci-indices'!C:C,MATCH($L33,'msci-indices'!$B:$B)-2)</f>
        <v>1030.5183939999999</v>
      </c>
      <c r="AD33" s="22" cm="1">
        <f t="array" ref="AD33">INDEX('msci-indices'!D:D,MATCH($L33,'msci-indices'!$B:$B)-2)</f>
        <v>988.35138400000005</v>
      </c>
      <c r="AE33" s="22">
        <f t="shared" si="28"/>
        <v>235323.40654160446</v>
      </c>
      <c r="AF33" s="22" cm="1">
        <f t="array" ref="AF33">INDEX('msci-indices'!C:C,MATCH($L33,'msci-indices'!$B:$B)+1)</f>
        <v>1119.437079</v>
      </c>
      <c r="AG33" s="22" cm="1">
        <f t="array" ref="AG33">INDEX('msci-indices'!D:D,MATCH($L33,'msci-indices'!$B:$B)+1)</f>
        <v>1088.458187</v>
      </c>
      <c r="AH33" s="22">
        <f t="shared" si="4"/>
        <v>147.0771290885028</v>
      </c>
      <c r="AI33" s="22">
        <f t="shared" si="5"/>
        <v>256540.34632238961</v>
      </c>
      <c r="AJ33" s="22">
        <f t="shared" si="29"/>
        <v>183169.46292342848</v>
      </c>
      <c r="AK33" s="22">
        <f t="shared" si="6"/>
        <v>73370.88339896113</v>
      </c>
      <c r="AL33" s="22">
        <f>AJ33*(_xlfn.XLOOKUP(Q_end,cpi!A:A,cpi!B:B)/BH33)</f>
        <v>255097.41371530414</v>
      </c>
      <c r="AM33" s="22" cm="1">
        <f t="array" ref="AM33">SUMPRODUCT($AA$3:AA33,_xlfn.SORTBY($BH$3:BH33,_xlfn.SEQUENCE(ROWS($BH$3:BH33)),-1)/$BH$3)</f>
        <v>216643.2994791666</v>
      </c>
      <c r="AN33" s="22">
        <f t="shared" si="30"/>
        <v>39897.046843223012</v>
      </c>
      <c r="AO33" s="22">
        <f t="shared" si="7"/>
        <v>0</v>
      </c>
      <c r="AP33" s="22">
        <f t="shared" si="31"/>
        <v>256540.34632238961</v>
      </c>
      <c r="AQ33" s="22"/>
      <c r="AR33" s="10">
        <f>IF($B$10="3BR_H",
INDEX('ns-combined'!$C:$D,MATCH($L33,'ns-combined'!$B:$B,0),MATCH(Council_Area,'ns-combined'!$C$1:$D$1,0))*1000,
INDEX('s-combined'!$C:$D,MATCH($L33,'s-combined'!$B:$B,0),MATCH(Council_Area,'s-combined'!$C$1:$D$1,0))*1000)</f>
        <v>520000</v>
      </c>
      <c r="AS33" s="22">
        <f t="shared" si="35"/>
        <v>28675</v>
      </c>
      <c r="AT33" s="10">
        <v>0</v>
      </c>
      <c r="AU33" s="22">
        <f t="shared" si="8"/>
        <v>10400</v>
      </c>
      <c r="AV33" s="22">
        <f t="shared" si="9"/>
        <v>1495</v>
      </c>
      <c r="AW33" s="22">
        <f>SUM($AV$3:AV33)</f>
        <v>42514.0625</v>
      </c>
      <c r="AX33" s="22">
        <f t="shared" si="32"/>
        <v>438410.9375</v>
      </c>
      <c r="AY33" s="22">
        <f t="shared" si="10"/>
        <v>2233.6611121660112</v>
      </c>
      <c r="AZ33" s="24">
        <f t="shared" si="11"/>
        <v>1.7182008555123165E-2</v>
      </c>
      <c r="BA33" s="24">
        <f t="shared" si="12"/>
        <v>0.35000000000000003</v>
      </c>
      <c r="BB33" s="25">
        <f>IF(MortgageRate="Discounted",_xlfn.XLOOKUP(L33,'mortgage-rates'!$A:$A,'mortgage-rates'!$E:$E)/100,_xlfn.XLOOKUP(L33,'mortgage-rates'!$A:$A,'mortgage-rates'!$D:$D)/100)</f>
        <v>5.0799999999999998E-2</v>
      </c>
      <c r="BC33" s="10">
        <f t="shared" si="37"/>
        <v>251061.87098976868</v>
      </c>
      <c r="BD33" s="10">
        <f t="shared" si="13"/>
        <v>5435.2969476502185</v>
      </c>
      <c r="BE33" s="10">
        <f t="shared" si="14"/>
        <v>3188.4857615700621</v>
      </c>
      <c r="BF33" s="10">
        <f t="shared" si="36"/>
        <v>2246.8111860801564</v>
      </c>
      <c r="BG33" s="12">
        <f t="shared" si="15"/>
        <v>7668.9580598162302</v>
      </c>
      <c r="BH33" s="22">
        <f>INDEX(cpi!B:B,MATCH($L33,cpi!A:A))</f>
        <v>103.9</v>
      </c>
      <c r="BI33" s="22">
        <f t="shared" si="16"/>
        <v>122.81323877068559</v>
      </c>
      <c r="BJ33" s="22">
        <f t="shared" si="17"/>
        <v>136.51427048544301</v>
      </c>
      <c r="BK33" s="22">
        <f t="shared" si="18"/>
        <v>138.62721424474736</v>
      </c>
      <c r="BL33" s="22">
        <f t="shared" si="19"/>
        <v>137.14815361323431</v>
      </c>
      <c r="BM33" s="22">
        <f t="shared" si="20"/>
        <v>242.01128626070775</v>
      </c>
      <c r="BN33" s="22">
        <f t="shared" si="21"/>
        <v>140.54054054054055</v>
      </c>
      <c r="BO33">
        <f t="shared" si="22"/>
        <v>121.57439278447359</v>
      </c>
    </row>
    <row r="34" spans="1:67" x14ac:dyDescent="0.25">
      <c r="A34" t="s">
        <v>16</v>
      </c>
      <c r="B34" s="8">
        <v>7.0000000000000007E-2</v>
      </c>
      <c r="C34" s="8">
        <v>7.0000000000000007E-2</v>
      </c>
      <c r="L34" s="1">
        <f t="shared" si="33"/>
        <v>41609</v>
      </c>
      <c r="M34" s="10">
        <f t="shared" si="0"/>
        <v>274396.68130650726</v>
      </c>
      <c r="N34" s="10">
        <f t="shared" si="23"/>
        <v>218443.87769631148</v>
      </c>
      <c r="O34" s="7">
        <f t="shared" si="24"/>
        <v>1.2561426953241663</v>
      </c>
      <c r="P34" s="7">
        <f t="shared" si="1"/>
        <v>0.85014706957917952</v>
      </c>
      <c r="Q34">
        <v>32</v>
      </c>
      <c r="R34">
        <f t="shared" si="2"/>
        <v>92</v>
      </c>
      <c r="S34" s="22"/>
      <c r="T34" s="22">
        <f>IF($B$10="3BR_H",
INDEX('3BR_H-processed'!$E:$E,MATCH($L34,'3BR_H-processed'!$B:$B,0),MATCH(Council_Area,'3BR_H-processed'!$E$1:$E$1,0)),
INDEX('2BR_F-processed'!$E:$E,MATCH($L34,'2BR_F-processed'!$B:$B,0),MATCH(Council_Area,'2BR_F-processed'!$E$1:$E$1,0)))</f>
        <v>475.42251629206004</v>
      </c>
      <c r="U34" s="22">
        <f t="shared" si="25"/>
        <v>485.57850264478498</v>
      </c>
      <c r="V34" s="22">
        <f t="shared" si="34"/>
        <v>6381.8888919028886</v>
      </c>
      <c r="W34" s="22">
        <f>$B$53/4*BH34/_xlfn.XLOOKUP(Q_end,cpi!A:A,cpi!B:B)</f>
        <v>144.71319972356602</v>
      </c>
      <c r="X34" s="22">
        <f t="shared" si="26"/>
        <v>6526.6020916264542</v>
      </c>
      <c r="Y34" s="22">
        <f t="shared" si="3"/>
        <v>1150.4250077636598</v>
      </c>
      <c r="Z34" s="22">
        <f t="shared" si="27"/>
        <v>0</v>
      </c>
      <c r="AA34" s="22" cm="1">
        <f t="array" ref="AA34">(Y34+Z34)*eff_invest</f>
        <v>1150.4250077636598</v>
      </c>
      <c r="AB34" s="22">
        <f>AA34*(_xlfn.XLOOKUP(Q_end,cpi!A:A,cpi!B:B)/BH34)</f>
        <v>1589.9379047125267</v>
      </c>
      <c r="AC34" s="22" cm="1">
        <f t="array" ref="AC34">INDEX('msci-indices'!C:C,MATCH($L34,'msci-indices'!$B:$B)-2)</f>
        <v>1119.437079</v>
      </c>
      <c r="AD34" s="22" cm="1">
        <f t="array" ref="AD34">INDEX('msci-indices'!D:D,MATCH($L34,'msci-indices'!$B:$B)-2)</f>
        <v>1088.458187</v>
      </c>
      <c r="AE34" s="22">
        <f t="shared" si="28"/>
        <v>257690.77133015328</v>
      </c>
      <c r="AF34" s="22" cm="1">
        <f t="array" ref="AF34">INDEX('msci-indices'!C:C,MATCH($L34,'msci-indices'!$B:$B)+1)</f>
        <v>1208.107446</v>
      </c>
      <c r="AG34" s="22" cm="1">
        <f t="array" ref="AG34">INDEX('msci-indices'!D:D,MATCH($L34,'msci-indices'!$B:$B)+1)</f>
        <v>1124.7671330000001</v>
      </c>
      <c r="AH34" s="22">
        <f t="shared" si="4"/>
        <v>161.05673208134581</v>
      </c>
      <c r="AI34" s="22">
        <f t="shared" si="5"/>
        <v>274396.68130650726</v>
      </c>
      <c r="AJ34" s="22">
        <f t="shared" si="29"/>
        <v>184319.88793119215</v>
      </c>
      <c r="AK34" s="22">
        <f t="shared" si="6"/>
        <v>90076.793375315116</v>
      </c>
      <c r="AL34" s="22">
        <f>AJ34*(_xlfn.XLOOKUP(Q_end,cpi!A:A,cpi!B:B)/BH34)</f>
        <v>254738.18322486628</v>
      </c>
      <c r="AM34" s="22" cm="1">
        <f t="array" ref="AM34">SUMPRODUCT($AA$3:AA34,_xlfn.SORTBY($BH$3:BH34,_xlfn.SEQUENCE(ROWS($BH$3:BH34)),-1)/$BH$3)</f>
        <v>219345.82322678325</v>
      </c>
      <c r="AN34" s="22">
        <f t="shared" si="30"/>
        <v>55050.858079724014</v>
      </c>
      <c r="AO34" s="22">
        <f t="shared" si="7"/>
        <v>0</v>
      </c>
      <c r="AP34" s="22">
        <f t="shared" si="31"/>
        <v>274396.68130650726</v>
      </c>
      <c r="AQ34" s="22"/>
      <c r="AR34" s="10">
        <f>IF($B$10="3BR_H",
INDEX('ns-combined'!$C:$D,MATCH($L34,'ns-combined'!$B:$B,0),MATCH(Council_Area,'ns-combined'!$C$1:$D$1,0))*1000,
INDEX('s-combined'!$C:$D,MATCH($L34,'s-combined'!$B:$B,0),MATCH(Council_Area,'s-combined'!$C$1:$D$1,0))*1000)</f>
        <v>552000</v>
      </c>
      <c r="AS34" s="22">
        <f t="shared" si="35"/>
        <v>29600</v>
      </c>
      <c r="AT34" s="10">
        <v>0</v>
      </c>
      <c r="AU34" s="22">
        <f t="shared" si="8"/>
        <v>11040</v>
      </c>
      <c r="AV34" s="22">
        <f t="shared" si="9"/>
        <v>1587</v>
      </c>
      <c r="AW34" s="22">
        <f>SUM($AV$3:AV34)</f>
        <v>44101.0625</v>
      </c>
      <c r="AX34" s="22">
        <f t="shared" si="32"/>
        <v>467258.9375</v>
      </c>
      <c r="AY34" s="22">
        <f t="shared" si="10"/>
        <v>2233.6611121660112</v>
      </c>
      <c r="AZ34" s="24">
        <f t="shared" si="11"/>
        <v>1.6185950088159502E-2</v>
      </c>
      <c r="BA34" s="24">
        <f t="shared" si="12"/>
        <v>0.35000000000000003</v>
      </c>
      <c r="BB34" s="25">
        <f>IF(MortgageRate="Discounted",_xlfn.XLOOKUP(L34,'mortgage-rates'!$A:$A,'mortgage-rates'!$E:$E)/100,_xlfn.XLOOKUP(L34,'mortgage-rates'!$A:$A,'mortgage-rates'!$D:$D)/100)</f>
        <v>5.0999999999999997E-2</v>
      </c>
      <c r="BC34" s="10">
        <f t="shared" si="37"/>
        <v>248815.05980368852</v>
      </c>
      <c r="BD34" s="10">
        <f t="shared" si="13"/>
        <v>5443.3659872241033</v>
      </c>
      <c r="BE34" s="10">
        <f t="shared" si="14"/>
        <v>3172.3920124970286</v>
      </c>
      <c r="BF34" s="10">
        <f t="shared" si="36"/>
        <v>2270.9739747270746</v>
      </c>
      <c r="BG34" s="12">
        <f t="shared" si="15"/>
        <v>7677.027099390114</v>
      </c>
      <c r="BH34" s="22">
        <f>INDEX(cpi!B:B,MATCH($L34,cpi!A:A))</f>
        <v>104.7</v>
      </c>
      <c r="BI34" s="22">
        <f t="shared" si="16"/>
        <v>123.75886524822695</v>
      </c>
      <c r="BJ34" s="22">
        <f t="shared" si="17"/>
        <v>148.29345801472445</v>
      </c>
      <c r="BK34" s="22">
        <f t="shared" si="18"/>
        <v>152.66830069587706</v>
      </c>
      <c r="BL34" s="22">
        <f t="shared" si="19"/>
        <v>149.60591081907023</v>
      </c>
      <c r="BM34" s="22">
        <f t="shared" si="20"/>
        <v>265.01433046397159</v>
      </c>
      <c r="BN34" s="22">
        <f t="shared" si="21"/>
        <v>149.18918918918919</v>
      </c>
      <c r="BO34">
        <f t="shared" si="22"/>
        <v>129.57414320823324</v>
      </c>
    </row>
    <row r="35" spans="1:67" x14ac:dyDescent="0.25">
      <c r="A35" t="s">
        <v>18</v>
      </c>
      <c r="B35" s="8">
        <v>0.05</v>
      </c>
      <c r="C35" s="8">
        <v>0.05</v>
      </c>
      <c r="L35" s="1">
        <f t="shared" si="33"/>
        <v>41699</v>
      </c>
      <c r="M35" s="10">
        <f t="shared" ref="M35:M66" si="38">AP35</f>
        <v>280285.0827558256</v>
      </c>
      <c r="N35" s="10">
        <f t="shared" ref="N35:N66" si="39">AX35-BC35</f>
        <v>197194.66417103854</v>
      </c>
      <c r="O35" s="7">
        <f t="shared" si="24"/>
        <v>1.4213624082278304</v>
      </c>
      <c r="P35" s="7">
        <f t="shared" ref="P35:P66" si="40">X35/BG35</f>
        <v>0.8152097070405252</v>
      </c>
      <c r="Q35">
        <v>33</v>
      </c>
      <c r="R35">
        <f t="shared" ref="R35:R66" si="41">EOMONTH(L35,0)-EOMONTH(L35,-3)</f>
        <v>90</v>
      </c>
      <c r="S35" s="22"/>
      <c r="T35" s="22">
        <f>IF($B$10="3BR_H",
INDEX('3BR_H-processed'!$E:$E,MATCH($L35,'3BR_H-processed'!$B:$B,0),MATCH(Council_Area,'3BR_H-processed'!$E$1:$E$1,0)),
INDEX('2BR_F-processed'!$E:$E,MATCH($L35,'2BR_F-processed'!$B:$B,0),MATCH(Council_Area,'2BR_F-processed'!$E$1:$E$1,0)))</f>
        <v>466.36684931506846</v>
      </c>
      <c r="U35" s="22">
        <f t="shared" si="25"/>
        <v>466.36684931506846</v>
      </c>
      <c r="V35" s="22">
        <f t="shared" si="34"/>
        <v>5996.1452054794518</v>
      </c>
      <c r="W35" s="22">
        <f>$B$53/4*BH35/_xlfn.XLOOKUP(Q_end,cpi!A:A,cpi!B:B)</f>
        <v>145.6807187284036</v>
      </c>
      <c r="X35" s="22">
        <f t="shared" ref="X35:X66" si="42">V35+W35</f>
        <v>6141.8259242078557</v>
      </c>
      <c r="Y35" s="22">
        <f t="shared" ref="Y35:Y66" si="43">BG35-X35</f>
        <v>1392.2182256154692</v>
      </c>
      <c r="Z35" s="22">
        <f t="shared" si="27"/>
        <v>0</v>
      </c>
      <c r="AA35" s="22" cm="1">
        <f t="array" ref="AA35">(Y35+Z35)*eff_invest</f>
        <v>1392.2182256154692</v>
      </c>
      <c r="AB35" s="22">
        <f>AA35*(_xlfn.XLOOKUP(Q_end,cpi!A:A,cpi!B:B)/BH35)</f>
        <v>1911.3280573677264</v>
      </c>
      <c r="AC35" s="22" cm="1">
        <f t="array" ref="AC35">INDEX('msci-indices'!C:C,MATCH($L35,'msci-indices'!$B:$B)-2)</f>
        <v>1208.107446</v>
      </c>
      <c r="AD35" s="22" cm="1">
        <f t="array" ref="AD35">INDEX('msci-indices'!D:D,MATCH($L35,'msci-indices'!$B:$B)-2)</f>
        <v>1124.7671330000001</v>
      </c>
      <c r="AE35" s="22">
        <f t="shared" si="28"/>
        <v>275788.89953212271</v>
      </c>
      <c r="AF35" s="22" cm="1">
        <f t="array" ref="AF35">INDEX('msci-indices'!C:C,MATCH($L35,'msci-indices'!$B:$B)+1)</f>
        <v>1225.920044</v>
      </c>
      <c r="AG35" s="22" cm="1">
        <f t="array" ref="AG35">INDEX('msci-indices'!D:D,MATCH($L35,'msci-indices'!$B:$B)+1)</f>
        <v>1149.5383919999999</v>
      </c>
      <c r="AH35" s="22">
        <f t="shared" ref="AH35:AH66" si="44">(InvestFees/4)*AE35</f>
        <v>172.36806220757668</v>
      </c>
      <c r="AI35" s="22">
        <f t="shared" ref="AI35:AI66" si="45">((AF35/AC35)*GlobalPortfolio+(AG35/AD35)*AusPortfolio)*AE35-AH35</f>
        <v>280285.0827558256</v>
      </c>
      <c r="AJ35" s="22">
        <f t="shared" si="29"/>
        <v>185712.10615680763</v>
      </c>
      <c r="AK35" s="22">
        <f t="shared" ref="AK35:AK66" si="46">AI35-AJ35</f>
        <v>94572.976599017973</v>
      </c>
      <c r="AL35" s="22">
        <f>AJ35*(_xlfn.XLOOKUP(Q_end,cpi!A:A,cpi!B:B)/BH35)</f>
        <v>254957.70171622446</v>
      </c>
      <c r="AM35" s="22" cm="1">
        <f t="array" ref="AM35">SUMPRODUCT($AA$3:AA35,_xlfn.SORTBY($BH$3:BH35,_xlfn.SEQUENCE(ROWS($BH$3:BH35)),-1)/$BH$3)</f>
        <v>222179.92240415394</v>
      </c>
      <c r="AN35" s="22">
        <f t="shared" si="30"/>
        <v>58105.160351671657</v>
      </c>
      <c r="AO35" s="22">
        <f t="shared" ref="AO35:AO66" si="47">IF($B$49="Real gains",MAX($B$50*AN35,0),IF($B$49="Discounted nominal gains",MAX($B$50*AK35/2,0),0))</f>
        <v>0</v>
      </c>
      <c r="AP35" s="22">
        <f t="shared" si="31"/>
        <v>280285.0827558256</v>
      </c>
      <c r="AQ35" s="22"/>
      <c r="AR35" s="10">
        <f>IF($B$10="3BR_H",
INDEX('ns-combined'!$C:$D,MATCH($L35,'ns-combined'!$B:$B,0),MATCH(Council_Area,'ns-combined'!$C$1:$D$1,0))*1000,
INDEX('s-combined'!$C:$D,MATCH($L35,'s-combined'!$B:$B,0),MATCH(Council_Area,'s-combined'!$C$1:$D$1,0))*1000)</f>
        <v>530500</v>
      </c>
      <c r="AS35" s="22">
        <f t="shared" si="35"/>
        <v>30525</v>
      </c>
      <c r="AT35" s="10">
        <v>0</v>
      </c>
      <c r="AU35" s="22">
        <f t="shared" ref="AU35:AU66" si="48">SUM($B$28:$B$29)*AR35</f>
        <v>10610</v>
      </c>
      <c r="AV35" s="22">
        <f t="shared" ref="AV35:AV66" si="49">AR35*$B$15/4</f>
        <v>1525.1875</v>
      </c>
      <c r="AW35" s="22">
        <f>SUM($AV$3:AV35)</f>
        <v>45626.25</v>
      </c>
      <c r="AX35" s="22">
        <f t="shared" ref="AX35:AX66" si="50">AR35-AS35-AU35-AW35</f>
        <v>443738.75</v>
      </c>
      <c r="AY35" s="22">
        <f t="shared" ref="AY35:AY66" si="51">$B$36*V35</f>
        <v>2098.6508219178081</v>
      </c>
      <c r="AZ35" s="24">
        <f t="shared" ref="AZ35:AZ66" si="52">SUM(AY35:AY35)*4/AR35</f>
        <v>1.5823945876854349E-2</v>
      </c>
      <c r="BA35" s="24">
        <f t="shared" ref="BA35:BA66" si="53">SUM(AY35:AY35)/V35</f>
        <v>0.35</v>
      </c>
      <c r="BB35" s="25">
        <f>IF(MortgageRate="Discounted",_xlfn.XLOOKUP(L35,'mortgage-rates'!$A:$A,'mortgage-rates'!$E:$E)/100,_xlfn.XLOOKUP(L35,'mortgage-rates'!$A:$A,'mortgage-rates'!$D:$D)/100)</f>
        <v>5.0799999999999998E-2</v>
      </c>
      <c r="BC35" s="10">
        <f t="shared" si="37"/>
        <v>246544.08582896146</v>
      </c>
      <c r="BD35" s="10">
        <f t="shared" ref="BD35:BD66" si="54">IF($B$16*12/3-Q35+1&gt;0,-PMT($BB35/4,$B$16*12/3-Q35+1,BC35),0)</f>
        <v>5435.3933279055173</v>
      </c>
      <c r="BE35" s="10">
        <f t="shared" ref="BE35:BE67" si="55">BC35*($BB35/4)</f>
        <v>3131.1098900278103</v>
      </c>
      <c r="BF35" s="10">
        <f t="shared" si="36"/>
        <v>2304.283437877707</v>
      </c>
      <c r="BG35" s="12">
        <f t="shared" ref="BG35:BG66" si="56">AT35+AY35+BD35</f>
        <v>7534.0441498233249</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283.62680658540432</v>
      </c>
      <c r="BN35" s="22">
        <f t="shared" ref="BN35:BN66" si="62">100*AR35/AR$3</f>
        <v>143.37837837837839</v>
      </c>
      <c r="BO35">
        <f t="shared" ref="BO35:BO66" si="63">100*AX35/AX$3</f>
        <v>123.05183213224768</v>
      </c>
    </row>
    <row r="36" spans="1:67" x14ac:dyDescent="0.25">
      <c r="A36" t="s">
        <v>19</v>
      </c>
      <c r="B36" s="8">
        <f>SUM(B32:B35)</f>
        <v>0.35000000000000003</v>
      </c>
      <c r="C36" s="8">
        <v>0.35000000000000003</v>
      </c>
      <c r="L36" s="1">
        <f t="shared" si="33"/>
        <v>41791</v>
      </c>
      <c r="M36" s="10">
        <f t="shared" si="38"/>
        <v>291271.377130315</v>
      </c>
      <c r="N36" s="10">
        <f t="shared" si="39"/>
        <v>191674.57260891626</v>
      </c>
      <c r="O36" s="7">
        <f t="shared" si="24"/>
        <v>1.5196140686047666</v>
      </c>
      <c r="P36" s="7">
        <f t="shared" si="40"/>
        <v>0.8216381422969613</v>
      </c>
      <c r="Q36">
        <v>34</v>
      </c>
      <c r="R36">
        <f t="shared" si="41"/>
        <v>91</v>
      </c>
      <c r="S36" s="22"/>
      <c r="T36" s="22">
        <f>IF($B$10="3BR_H",
INDEX('3BR_H-processed'!$E:$E,MATCH($L36,'3BR_H-processed'!$B:$B,0),MATCH(Council_Area,'3BR_H-processed'!$E$1:$E$1,0)),
INDEX('2BR_F-processed'!$E:$E,MATCH($L36,'2BR_F-processed'!$B:$B,0),MATCH(Council_Area,'2BR_F-processed'!$E$1:$E$1,0)))</f>
        <v>466.36684931506846</v>
      </c>
      <c r="U36" s="22">
        <f t="shared" si="25"/>
        <v>466.36684931506846</v>
      </c>
      <c r="V36" s="22">
        <f t="shared" si="34"/>
        <v>6062.7690410958903</v>
      </c>
      <c r="W36" s="22">
        <f>$B$53/4*BH36/_xlfn.XLOOKUP(Q_end,cpi!A:A,cpi!B:B)</f>
        <v>146.64823773324119</v>
      </c>
      <c r="X36" s="22">
        <f t="shared" si="42"/>
        <v>6209.4172788291316</v>
      </c>
      <c r="Y36" s="22">
        <f t="shared" si="43"/>
        <v>1347.945213459946</v>
      </c>
      <c r="Z36" s="22">
        <f t="shared" ref="Z36:Z67" si="64">Y36*$B$47</f>
        <v>0</v>
      </c>
      <c r="AA36" s="22" cm="1">
        <f t="array" ref="AA36">(Y36+Z36)*eff_invest</f>
        <v>1347.945213459946</v>
      </c>
      <c r="AB36" s="22">
        <f>AA36*(_xlfn.XLOOKUP(Q_end,cpi!A:A,cpi!B:B)/BH36)</f>
        <v>1838.3380997893892</v>
      </c>
      <c r="AC36" s="22" cm="1">
        <f t="array" ref="AC36">INDEX('msci-indices'!C:C,MATCH($L36,'msci-indices'!$B:$B)-2)</f>
        <v>1225.920044</v>
      </c>
      <c r="AD36" s="22" cm="1">
        <f t="array" ref="AD36">INDEX('msci-indices'!D:D,MATCH($L36,'msci-indices'!$B:$B)-2)</f>
        <v>1149.5383919999999</v>
      </c>
      <c r="AE36" s="22">
        <f t="shared" ref="AE36:AE67" si="65">AI35+AA36</f>
        <v>281633.02796928555</v>
      </c>
      <c r="AF36" s="22" cm="1">
        <f t="array" ref="AF36">INDEX('msci-indices'!C:C,MATCH($L36,'msci-indices'!$B:$B)+1)</f>
        <v>1282.9430809999999</v>
      </c>
      <c r="AG36" s="22" cm="1">
        <f t="array" ref="AG36">INDEX('msci-indices'!D:D,MATCH($L36,'msci-indices'!$B:$B)+1)</f>
        <v>1158.3053090000001</v>
      </c>
      <c r="AH36" s="22">
        <f t="shared" si="44"/>
        <v>176.02064248080347</v>
      </c>
      <c r="AI36" s="22">
        <f t="shared" si="45"/>
        <v>291271.377130315</v>
      </c>
      <c r="AJ36" s="22">
        <f t="shared" ref="AJ36:AJ67" si="66">AJ35+AA36</f>
        <v>187060.05137026758</v>
      </c>
      <c r="AK36" s="22">
        <f t="shared" si="46"/>
        <v>104211.32576004742</v>
      </c>
      <c r="AL36" s="22">
        <f>AJ36*(_xlfn.XLOOKUP(Q_end,cpi!A:A,cpi!B:B)/BH36)</f>
        <v>255113.94376322071</v>
      </c>
      <c r="AM36" s="22" cm="1">
        <f t="array" ref="AM36">SUMPRODUCT($AA$3:AA36,_xlfn.SORTBY($BH$3:BH36,_xlfn.SEQUENCE(ROWS($BH$3:BH36)),-1)/$BH$3)</f>
        <v>224985.15716851654</v>
      </c>
      <c r="AN36" s="22">
        <f t="shared" si="30"/>
        <v>66286.219961798459</v>
      </c>
      <c r="AO36" s="22">
        <f t="shared" si="47"/>
        <v>0</v>
      </c>
      <c r="AP36" s="22">
        <f t="shared" si="31"/>
        <v>291271.377130315</v>
      </c>
      <c r="AQ36" s="22"/>
      <c r="AR36" s="10">
        <f>IF($B$10="3BR_H",
INDEX('ns-combined'!$C:$D,MATCH($L36,'ns-combined'!$B:$B,0),MATCH(Council_Area,'ns-combined'!$C$1:$D$1,0))*1000,
INDEX('s-combined'!$C:$D,MATCH($L36,'s-combined'!$B:$B,0),MATCH(Council_Area,'s-combined'!$C$1:$D$1,0))*1000)</f>
        <v>525000</v>
      </c>
      <c r="AS36" s="22">
        <f t="shared" si="35"/>
        <v>31450</v>
      </c>
      <c r="AT36" s="10">
        <v>0</v>
      </c>
      <c r="AU36" s="22">
        <f t="shared" si="48"/>
        <v>10500</v>
      </c>
      <c r="AV36" s="22">
        <f t="shared" si="49"/>
        <v>1509.375</v>
      </c>
      <c r="AW36" s="22">
        <f>SUM($AV$3:AV36)</f>
        <v>47135.625</v>
      </c>
      <c r="AX36" s="22">
        <f t="shared" si="50"/>
        <v>435914.375</v>
      </c>
      <c r="AY36" s="22">
        <f t="shared" si="51"/>
        <v>2121.9691643835617</v>
      </c>
      <c r="AZ36" s="24">
        <f t="shared" si="52"/>
        <v>1.6167384109589043E-2</v>
      </c>
      <c r="BA36" s="24">
        <f t="shared" si="53"/>
        <v>0.35000000000000003</v>
      </c>
      <c r="BB36" s="25">
        <f>IF(MortgageRate="Discounted",_xlfn.XLOOKUP(L36,'mortgage-rates'!$A:$A,'mortgage-rates'!$E:$E)/100,_xlfn.XLOOKUP(L36,'mortgage-rates'!$A:$A,'mortgage-rates'!$D:$D)/100)</f>
        <v>5.0799999999999998E-2</v>
      </c>
      <c r="BC36" s="10">
        <f t="shared" ref="BC36:BC67" si="67">BC35-BF35</f>
        <v>244239.80239108374</v>
      </c>
      <c r="BD36" s="10">
        <f t="shared" si="54"/>
        <v>5435.3933279055163</v>
      </c>
      <c r="BE36" s="10">
        <f t="shared" si="55"/>
        <v>3101.8454903667634</v>
      </c>
      <c r="BF36" s="10">
        <f t="shared" si="36"/>
        <v>2333.5478375387529</v>
      </c>
      <c r="BG36" s="12">
        <f t="shared" si="56"/>
        <v>7557.3624922890776</v>
      </c>
      <c r="BH36" s="22">
        <f>INDEX(cpi!B:B,MATCH($L36,cpi!A:A))</f>
        <v>106.1</v>
      </c>
      <c r="BI36" s="22">
        <f t="shared" si="57"/>
        <v>125.41371158392435</v>
      </c>
      <c r="BJ36" s="22">
        <f t="shared" si="58"/>
        <v>162.39941126188398</v>
      </c>
      <c r="BK36" s="22">
        <f t="shared" si="59"/>
        <v>161.2354750851913</v>
      </c>
      <c r="BL36" s="22">
        <f t="shared" si="60"/>
        <v>162.05023040887616</v>
      </c>
      <c r="BM36" s="22">
        <f t="shared" si="61"/>
        <v>289.63702486728397</v>
      </c>
      <c r="BN36" s="22">
        <f t="shared" si="62"/>
        <v>141.8918918918919</v>
      </c>
      <c r="BO36">
        <f t="shared" si="63"/>
        <v>120.88207869277511</v>
      </c>
    </row>
    <row r="37" spans="1:67" x14ac:dyDescent="0.25">
      <c r="A37" s="6" t="s">
        <v>331</v>
      </c>
      <c r="B37" s="4" cm="1">
        <f t="array" ref="B37">AVERAGE(_xlfn._xlws.FILTER($AZ$3:$AZ$82,ISNUMBER($AZ$3:$AZ$82)))</f>
        <v>1.4535800843873408E-2</v>
      </c>
      <c r="C37" s="4">
        <v>1.1405453029375102E-2</v>
      </c>
      <c r="L37" s="1">
        <f t="shared" si="33"/>
        <v>41883</v>
      </c>
      <c r="M37" s="10">
        <f t="shared" si="38"/>
        <v>286119.72816575912</v>
      </c>
      <c r="N37" s="10">
        <f t="shared" si="39"/>
        <v>196459.37044645502</v>
      </c>
      <c r="O37" s="7">
        <f t="shared" si="24"/>
        <v>1.4563811719214534</v>
      </c>
      <c r="P37" s="7">
        <f t="shared" si="40"/>
        <v>0.82793586555869492</v>
      </c>
      <c r="Q37">
        <v>35</v>
      </c>
      <c r="R37">
        <f t="shared" si="41"/>
        <v>92</v>
      </c>
      <c r="S37" s="22"/>
      <c r="T37" s="22">
        <f>IF($B$10="3BR_H",
INDEX('3BR_H-processed'!$E:$E,MATCH($L37,'3BR_H-processed'!$B:$B,0),MATCH(Council_Area,'3BR_H-processed'!$E$1:$E$1,0)),
INDEX('2BR_F-processed'!$E:$E,MATCH($L37,'2BR_F-processed'!$B:$B,0),MATCH(Council_Area,'2BR_F-processed'!$E$1:$E$1,0)))</f>
        <v>444</v>
      </c>
      <c r="U37" s="22">
        <f t="shared" si="25"/>
        <v>466.36684931506846</v>
      </c>
      <c r="V37" s="22">
        <f t="shared" si="34"/>
        <v>6129.3928767123289</v>
      </c>
      <c r="W37" s="22">
        <f>$B$53/4*BH37/_xlfn.XLOOKUP(Q_end,cpi!A:A,cpi!B:B)</f>
        <v>146.92467173462336</v>
      </c>
      <c r="X37" s="22">
        <f t="shared" si="42"/>
        <v>6276.3175484469521</v>
      </c>
      <c r="Y37" s="22">
        <f t="shared" si="43"/>
        <v>1304.3632863078801</v>
      </c>
      <c r="Z37" s="22">
        <f t="shared" si="64"/>
        <v>0</v>
      </c>
      <c r="AA37" s="22" cm="1">
        <f t="array" ref="AA37">(Y37+Z37)*eff_invest</f>
        <v>1304.3632863078801</v>
      </c>
      <c r="AB37" s="22">
        <f>AA37*(_xlfn.XLOOKUP(Q_end,cpi!A:A,cpi!B:B)/BH37)</f>
        <v>1775.553786723897</v>
      </c>
      <c r="AC37" s="22" cm="1">
        <f t="array" ref="AC37">INDEX('msci-indices'!C:C,MATCH($L37,'msci-indices'!$B:$B)-2)</f>
        <v>1282.9430809999999</v>
      </c>
      <c r="AD37" s="22" cm="1">
        <f t="array" ref="AD37">INDEX('msci-indices'!D:D,MATCH($L37,'msci-indices'!$B:$B)-2)</f>
        <v>1158.3053090000001</v>
      </c>
      <c r="AE37" s="22">
        <f t="shared" si="65"/>
        <v>292575.7404166229</v>
      </c>
      <c r="AF37" s="22" cm="1">
        <f t="array" ref="AF37">INDEX('msci-indices'!C:C,MATCH($L37,'msci-indices'!$B:$B)+1)</f>
        <v>1247.292238</v>
      </c>
      <c r="AG37" s="22" cm="1">
        <f t="array" ref="AG37">INDEX('msci-indices'!D:D,MATCH($L37,'msci-indices'!$B:$B)+1)</f>
        <v>1150.6246120000001</v>
      </c>
      <c r="AH37" s="22">
        <f t="shared" si="44"/>
        <v>182.85983776038933</v>
      </c>
      <c r="AI37" s="22">
        <f t="shared" si="45"/>
        <v>286119.72816575912</v>
      </c>
      <c r="AJ37" s="22">
        <f t="shared" si="66"/>
        <v>188364.41465657545</v>
      </c>
      <c r="AK37" s="22">
        <f t="shared" si="46"/>
        <v>97755.313509183674</v>
      </c>
      <c r="AL37" s="22">
        <f>AJ37*(_xlfn.XLOOKUP(Q_end,cpi!A:A,cpi!B:B)/BH37)</f>
        <v>256409.50894455754</v>
      </c>
      <c r="AM37" s="22" cm="1">
        <f t="array" ref="AM37">SUMPRODUCT($AA$3:AA37,_xlfn.SORTBY($BH$3:BH37,_xlfn.SEQUENCE(ROWS($BH$3:BH37)),-1)/$BH$3)</f>
        <v>227194.33436212421</v>
      </c>
      <c r="AN37" s="22">
        <f t="shared" si="30"/>
        <v>58925.393803634914</v>
      </c>
      <c r="AO37" s="22">
        <f t="shared" si="47"/>
        <v>0</v>
      </c>
      <c r="AP37" s="22">
        <f t="shared" si="31"/>
        <v>286119.72816575912</v>
      </c>
      <c r="AQ37" s="22"/>
      <c r="AR37" s="10">
        <f>IF($B$10="3BR_H",
INDEX('ns-combined'!$C:$D,MATCH($L37,'ns-combined'!$B:$B,0),MATCH(Council_Area,'ns-combined'!$C$1:$D$1,0))*1000,
INDEX('s-combined'!$C:$D,MATCH($L37,'s-combined'!$B:$B,0),MATCH(Council_Area,'s-combined'!$C$1:$D$1,0))*1000)</f>
        <v>530000</v>
      </c>
      <c r="AS37" s="22">
        <f t="shared" si="35"/>
        <v>32375</v>
      </c>
      <c r="AT37" s="10">
        <v>0</v>
      </c>
      <c r="AU37" s="22">
        <f t="shared" si="48"/>
        <v>10600</v>
      </c>
      <c r="AV37" s="22">
        <f t="shared" si="49"/>
        <v>1523.75</v>
      </c>
      <c r="AW37" s="22">
        <f>SUM($AV$3:AV37)</f>
        <v>48659.375</v>
      </c>
      <c r="AX37" s="22">
        <f t="shared" si="50"/>
        <v>438365.625</v>
      </c>
      <c r="AY37" s="22">
        <f t="shared" si="51"/>
        <v>2145.2875068493154</v>
      </c>
      <c r="AZ37" s="24">
        <f t="shared" si="52"/>
        <v>1.6190849108296719E-2</v>
      </c>
      <c r="BA37" s="24">
        <f t="shared" si="53"/>
        <v>0.35000000000000003</v>
      </c>
      <c r="BB37" s="25">
        <f>IF(MortgageRate="Discounted",_xlfn.XLOOKUP(L37,'mortgage-rates'!$A:$A,'mortgage-rates'!$E:$E)/100,_xlfn.XLOOKUP(L37,'mortgage-rates'!$A:$A,'mortgage-rates'!$D:$D)/100)</f>
        <v>5.0799999999999998E-2</v>
      </c>
      <c r="BC37" s="10">
        <f t="shared" si="67"/>
        <v>241906.25455354498</v>
      </c>
      <c r="BD37" s="10">
        <f t="shared" si="54"/>
        <v>5435.3933279055163</v>
      </c>
      <c r="BE37" s="10">
        <f t="shared" si="55"/>
        <v>3072.2094328300209</v>
      </c>
      <c r="BF37" s="10">
        <f t="shared" si="36"/>
        <v>2363.1838950754955</v>
      </c>
      <c r="BG37" s="12">
        <f t="shared" si="56"/>
        <v>7580.6808347548322</v>
      </c>
      <c r="BH37" s="22">
        <f>INDEX(cpi!B:B,MATCH($L37,cpi!A:A))</f>
        <v>106.3</v>
      </c>
      <c r="BI37" s="22">
        <f t="shared" si="57"/>
        <v>125.6501182033097</v>
      </c>
      <c r="BJ37" s="22">
        <f t="shared" si="58"/>
        <v>169.95333591014156</v>
      </c>
      <c r="BK37" s="22">
        <f t="shared" si="59"/>
        <v>162.46513216960426</v>
      </c>
      <c r="BL37" s="22">
        <f t="shared" si="60"/>
        <v>167.70687478798038</v>
      </c>
      <c r="BM37" s="22">
        <f t="shared" si="61"/>
        <v>300.89072866785756</v>
      </c>
      <c r="BN37" s="22">
        <f t="shared" si="62"/>
        <v>143.24324324324326</v>
      </c>
      <c r="BO37">
        <f t="shared" si="63"/>
        <v>121.5618273140397</v>
      </c>
    </row>
    <row r="38" spans="1:67" x14ac:dyDescent="0.25">
      <c r="A38" s="6" t="s">
        <v>332</v>
      </c>
      <c r="B38" s="31" cm="1">
        <f t="array" ref="B38">AVERAGE(_xlfn._xlws.FILTER($BA$3:$BA$82,ISNUMBER($BA$3:$BA$82)))</f>
        <v>0.35000000000000048</v>
      </c>
      <c r="C38" s="31">
        <v>0.35000000000000048</v>
      </c>
      <c r="L38" s="1">
        <f t="shared" si="33"/>
        <v>41974</v>
      </c>
      <c r="M38" s="10">
        <f t="shared" si="38"/>
        <v>292029.3820395259</v>
      </c>
      <c r="N38" s="10">
        <f t="shared" si="39"/>
        <v>197350.92934153051</v>
      </c>
      <c r="O38" s="7">
        <f t="shared" si="24"/>
        <v>1.4797466777273049</v>
      </c>
      <c r="P38" s="7">
        <f t="shared" si="40"/>
        <v>0.8279723311489775</v>
      </c>
      <c r="Q38">
        <v>36</v>
      </c>
      <c r="R38">
        <f t="shared" si="41"/>
        <v>92</v>
      </c>
      <c r="S38" s="22"/>
      <c r="T38" s="22">
        <f>IF($B$10="3BR_H",
INDEX('3BR_H-processed'!$E:$E,MATCH($L38,'3BR_H-processed'!$B:$B,0),MATCH(Council_Area,'3BR_H-processed'!$E$1:$E$1,0)),
INDEX('2BR_F-processed'!$E:$E,MATCH($L38,'2BR_F-processed'!$B:$B,0),MATCH(Council_Area,'2BR_F-processed'!$E$1:$E$1,0)))</f>
        <v>444</v>
      </c>
      <c r="U38" s="22">
        <f t="shared" si="25"/>
        <v>466.36684931506846</v>
      </c>
      <c r="V38" s="22">
        <f t="shared" si="34"/>
        <v>6129.3928767123289</v>
      </c>
      <c r="W38" s="22">
        <f>$B$53/4*BH38/_xlfn.XLOOKUP(Q_end,cpi!A:A,cpi!B:B)</f>
        <v>147.20110573600553</v>
      </c>
      <c r="X38" s="22">
        <f t="shared" si="42"/>
        <v>6276.5939824483348</v>
      </c>
      <c r="Y38" s="22">
        <f t="shared" si="43"/>
        <v>1304.0868523064973</v>
      </c>
      <c r="Z38" s="22">
        <f t="shared" si="64"/>
        <v>0</v>
      </c>
      <c r="AA38" s="22" cm="1">
        <f t="array" ref="AA38">(Y38+Z38)*eff_invest</f>
        <v>1304.0868523064973</v>
      </c>
      <c r="AB38" s="22">
        <f>AA38*(_xlfn.XLOOKUP(Q_end,cpi!A:A,cpi!B:B)/BH38)</f>
        <v>1771.8438265610343</v>
      </c>
      <c r="AC38" s="22" cm="1">
        <f t="array" ref="AC38">INDEX('msci-indices'!C:C,MATCH($L38,'msci-indices'!$B:$B)-2)</f>
        <v>1247.292238</v>
      </c>
      <c r="AD38" s="22" cm="1">
        <f t="array" ref="AD38">INDEX('msci-indices'!D:D,MATCH($L38,'msci-indices'!$B:$B)-2)</f>
        <v>1150.6246120000001</v>
      </c>
      <c r="AE38" s="22">
        <f t="shared" si="65"/>
        <v>287423.81501806562</v>
      </c>
      <c r="AF38" s="22" cm="1">
        <f t="array" ref="AF38">INDEX('msci-indices'!C:C,MATCH($L38,'msci-indices'!$B:$B)+1)</f>
        <v>1262.6926370000001</v>
      </c>
      <c r="AG38" s="22" cm="1">
        <f t="array" ref="AG38">INDEX('msci-indices'!D:D,MATCH($L38,'msci-indices'!$B:$B)+1)</f>
        <v>1181.3296580000001</v>
      </c>
      <c r="AH38" s="22">
        <f t="shared" si="44"/>
        <v>179.63988438629102</v>
      </c>
      <c r="AI38" s="22">
        <f t="shared" si="45"/>
        <v>292029.3820395259</v>
      </c>
      <c r="AJ38" s="22">
        <f t="shared" si="66"/>
        <v>189668.50150888195</v>
      </c>
      <c r="AK38" s="22">
        <f t="shared" si="46"/>
        <v>102360.88053064395</v>
      </c>
      <c r="AL38" s="22">
        <f>AJ38*(_xlfn.XLOOKUP(Q_end,cpi!A:A,cpi!B:B)/BH38)</f>
        <v>257699.83256652785</v>
      </c>
      <c r="AM38" s="22" cm="1">
        <f t="array" ref="AM38">SUMPRODUCT($AA$3:AA38,_xlfn.SORTBY($BH$3:BH38,_xlfn.SEQUENCE(ROWS($BH$3:BH38)),-1)/$BH$3)</f>
        <v>229406.68286672462</v>
      </c>
      <c r="AN38" s="22">
        <f t="shared" si="30"/>
        <v>62622.69917280128</v>
      </c>
      <c r="AO38" s="22">
        <f t="shared" si="47"/>
        <v>0</v>
      </c>
      <c r="AP38" s="22">
        <f t="shared" si="31"/>
        <v>292029.3820395259</v>
      </c>
      <c r="AQ38" s="22"/>
      <c r="AR38" s="10">
        <f>IF($B$10="3BR_H",
INDEX('ns-combined'!$C:$D,MATCH($L38,'ns-combined'!$B:$B,0),MATCH(Council_Area,'ns-combined'!$C$1:$D$1,0))*1000,
INDEX('s-combined'!$C:$D,MATCH($L38,'s-combined'!$B:$B,0),MATCH(Council_Area,'s-combined'!$C$1:$D$1,0))*1000)</f>
        <v>531000</v>
      </c>
      <c r="AS38" s="22">
        <f t="shared" si="35"/>
        <v>33300</v>
      </c>
      <c r="AT38" s="10">
        <v>0</v>
      </c>
      <c r="AU38" s="22">
        <f t="shared" si="48"/>
        <v>10620</v>
      </c>
      <c r="AV38" s="22">
        <f t="shared" si="49"/>
        <v>1526.625</v>
      </c>
      <c r="AW38" s="22">
        <f>SUM($AV$3:AV38)</f>
        <v>50186</v>
      </c>
      <c r="AX38" s="22">
        <f t="shared" si="50"/>
        <v>436894</v>
      </c>
      <c r="AY38" s="22">
        <f t="shared" si="51"/>
        <v>2145.2875068493154</v>
      </c>
      <c r="AZ38" s="24">
        <f t="shared" si="52"/>
        <v>1.6160357867038157E-2</v>
      </c>
      <c r="BA38" s="24">
        <f t="shared" si="53"/>
        <v>0.35000000000000003</v>
      </c>
      <c r="BB38" s="25">
        <f>IF(MortgageRate="Discounted",_xlfn.XLOOKUP(L38,'mortgage-rates'!$A:$A,'mortgage-rates'!$E:$E)/100,_xlfn.XLOOKUP(L38,'mortgage-rates'!$A:$A,'mortgage-rates'!$D:$D)/100)</f>
        <v>5.0799999999999998E-2</v>
      </c>
      <c r="BC38" s="10">
        <f t="shared" si="67"/>
        <v>239543.07065846949</v>
      </c>
      <c r="BD38" s="10">
        <f t="shared" si="54"/>
        <v>5435.3933279055163</v>
      </c>
      <c r="BE38" s="10">
        <f t="shared" si="55"/>
        <v>3042.1969973625623</v>
      </c>
      <c r="BF38" s="10">
        <f t="shared" si="36"/>
        <v>2393.196330542954</v>
      </c>
      <c r="BG38" s="12">
        <f t="shared" si="56"/>
        <v>7580.6808347548322</v>
      </c>
      <c r="BH38" s="22">
        <f>INDEX(cpi!B:B,MATCH($L38,cpi!A:A))</f>
        <v>106.5</v>
      </c>
      <c r="BI38" s="22">
        <f t="shared" si="57"/>
        <v>125.88652482269504</v>
      </c>
      <c r="BJ38" s="22">
        <f t="shared" si="58"/>
        <v>165.23061688574342</v>
      </c>
      <c r="BK38" s="22">
        <f t="shared" si="59"/>
        <v>161.38782945540277</v>
      </c>
      <c r="BL38" s="22">
        <f t="shared" si="60"/>
        <v>164.07778065664121</v>
      </c>
      <c r="BM38" s="22">
        <f t="shared" si="61"/>
        <v>295.59238580112861</v>
      </c>
      <c r="BN38" s="22">
        <f t="shared" si="62"/>
        <v>143.51351351351352</v>
      </c>
      <c r="BO38">
        <f t="shared" si="63"/>
        <v>121.15373549771395</v>
      </c>
    </row>
    <row r="39" spans="1:67" x14ac:dyDescent="0.25">
      <c r="A39" s="6"/>
      <c r="B39" s="31"/>
      <c r="C39" s="31"/>
      <c r="L39" s="1">
        <f t="shared" si="33"/>
        <v>42064</v>
      </c>
      <c r="M39" s="10">
        <f t="shared" si="38"/>
        <v>307653.62408721657</v>
      </c>
      <c r="N39" s="10">
        <f t="shared" si="39"/>
        <v>202666.68817207348</v>
      </c>
      <c r="O39" s="7">
        <f t="shared" si="24"/>
        <v>1.5180275893490907</v>
      </c>
      <c r="P39" s="7">
        <f t="shared" si="40"/>
        <v>0.79834962293543288</v>
      </c>
      <c r="Q39">
        <v>37</v>
      </c>
      <c r="R39">
        <f t="shared" si="41"/>
        <v>90</v>
      </c>
      <c r="S39" s="22"/>
      <c r="T39" s="22">
        <f>IF($B$10="3BR_H",
INDEX('3BR_H-processed'!$E:$E,MATCH($L39,'3BR_H-processed'!$B:$B,0),MATCH(Council_Area,'3BR_H-processed'!$E$1:$E$1,0)),
INDEX('2BR_F-processed'!$E:$E,MATCH($L39,'2BR_F-processed'!$B:$B,0),MATCH(Council_Area,'2BR_F-processed'!$E$1:$E$1,0)))</f>
        <v>444</v>
      </c>
      <c r="U39" s="22">
        <f t="shared" si="25"/>
        <v>444</v>
      </c>
      <c r="V39" s="22">
        <f t="shared" si="34"/>
        <v>5708.5714285714284</v>
      </c>
      <c r="W39" s="22">
        <f>$B$53/4*BH39/_xlfn.XLOOKUP(Q_end,cpi!A:A,cpi!B:B)</f>
        <v>147.6157567380788</v>
      </c>
      <c r="X39" s="22">
        <f t="shared" si="42"/>
        <v>5856.1871853095072</v>
      </c>
      <c r="Y39" s="22">
        <f t="shared" si="43"/>
        <v>1479.1794473908767</v>
      </c>
      <c r="Z39" s="22">
        <f t="shared" si="64"/>
        <v>0</v>
      </c>
      <c r="AA39" s="22" cm="1">
        <f t="array" ref="AA39">(Y39+Z39)*eff_invest</f>
        <v>1479.1794473908767</v>
      </c>
      <c r="AB39" s="22">
        <f>AA39*(_xlfn.XLOOKUP(Q_end,cpi!A:A,cpi!B:B)/BH39)</f>
        <v>2004.0942512870774</v>
      </c>
      <c r="AC39" s="22" cm="1">
        <f t="array" ref="AC39">INDEX('msci-indices'!C:C,MATCH($L39,'msci-indices'!$B:$B)-2)</f>
        <v>1262.6926370000001</v>
      </c>
      <c r="AD39" s="22" cm="1">
        <f t="array" ref="AD39">INDEX('msci-indices'!D:D,MATCH($L39,'msci-indices'!$B:$B)-2)</f>
        <v>1181.3296580000001</v>
      </c>
      <c r="AE39" s="22">
        <f t="shared" si="65"/>
        <v>293508.56148691679</v>
      </c>
      <c r="AF39" s="22" cm="1">
        <f t="array" ref="AF39">INDEX('msci-indices'!C:C,MATCH($L39,'msci-indices'!$B:$B)+1)</f>
        <v>1295.5072580000001</v>
      </c>
      <c r="AG39" s="22" cm="1">
        <f t="array" ref="AG39">INDEX('msci-indices'!D:D,MATCH($L39,'msci-indices'!$B:$B)+1)</f>
        <v>1301.9298140000001</v>
      </c>
      <c r="AH39" s="22">
        <f t="shared" si="44"/>
        <v>183.44285092932299</v>
      </c>
      <c r="AI39" s="22">
        <f t="shared" si="45"/>
        <v>307653.62408721657</v>
      </c>
      <c r="AJ39" s="22">
        <f t="shared" si="66"/>
        <v>191147.68095627282</v>
      </c>
      <c r="AK39" s="22">
        <f t="shared" si="46"/>
        <v>116505.94313094375</v>
      </c>
      <c r="AL39" s="22">
        <f>AJ39*(_xlfn.XLOOKUP(Q_end,cpi!A:A,cpi!B:B)/BH39)</f>
        <v>258980.05088363931</v>
      </c>
      <c r="AM39" s="22" cm="1">
        <f t="array" ref="AM39">SUMPRODUCT($AA$3:AA39,_xlfn.SORTBY($BH$3:BH39,_xlfn.SEQUENCE(ROWS($BH$3:BH39)),-1)/$BH$3)</f>
        <v>231904.01675994578</v>
      </c>
      <c r="AN39" s="22">
        <f t="shared" si="30"/>
        <v>75749.607327270787</v>
      </c>
      <c r="AO39" s="22">
        <f t="shared" si="47"/>
        <v>0</v>
      </c>
      <c r="AP39" s="22">
        <f t="shared" si="31"/>
        <v>307653.62408721657</v>
      </c>
      <c r="AQ39" s="22"/>
      <c r="AR39" s="10">
        <f>IF($B$10="3BR_H",
INDEX('ns-combined'!$C:$D,MATCH($L39,'ns-combined'!$B:$B,0),MATCH(Council_Area,'ns-combined'!$C$1:$D$1,0))*1000,
INDEX('s-combined'!$C:$D,MATCH($L39,'s-combined'!$B:$B,0),MATCH(Council_Area,'s-combined'!$C$1:$D$1,0))*1000)</f>
        <v>536500</v>
      </c>
      <c r="AS39" s="22">
        <f t="shared" si="35"/>
        <v>34225</v>
      </c>
      <c r="AT39" s="10">
        <v>0</v>
      </c>
      <c r="AU39" s="22">
        <f t="shared" si="48"/>
        <v>10730</v>
      </c>
      <c r="AV39" s="22">
        <f t="shared" si="49"/>
        <v>1542.4375</v>
      </c>
      <c r="AW39" s="22">
        <f>SUM($AV$3:AV39)</f>
        <v>51728.4375</v>
      </c>
      <c r="AX39" s="22">
        <f t="shared" si="50"/>
        <v>439816.5625</v>
      </c>
      <c r="AY39" s="22">
        <f t="shared" si="51"/>
        <v>1998.0000000000002</v>
      </c>
      <c r="AZ39" s="24">
        <f t="shared" si="52"/>
        <v>1.4896551724137933E-2</v>
      </c>
      <c r="BA39" s="24">
        <f t="shared" si="53"/>
        <v>0.35000000000000003</v>
      </c>
      <c r="BB39" s="25">
        <f>IF(MortgageRate="Discounted",_xlfn.XLOOKUP(L39,'mortgage-rates'!$A:$A,'mortgage-rates'!$E:$E)/100,_xlfn.XLOOKUP(L39,'mortgage-rates'!$A:$A,'mortgage-rates'!$D:$D)/100)</f>
        <v>4.82E-2</v>
      </c>
      <c r="BC39" s="10">
        <f t="shared" si="67"/>
        <v>237149.87432792652</v>
      </c>
      <c r="BD39" s="10">
        <f t="shared" si="54"/>
        <v>5337.3666327003839</v>
      </c>
      <c r="BE39" s="10">
        <f t="shared" si="55"/>
        <v>2857.6559856515146</v>
      </c>
      <c r="BF39" s="10">
        <f t="shared" si="36"/>
        <v>2479.7106470488693</v>
      </c>
      <c r="BG39" s="12">
        <f t="shared" si="56"/>
        <v>7335.3666327003839</v>
      </c>
      <c r="BH39" s="22">
        <f>INDEX(cpi!B:B,MATCH($L39,cpi!A:A))</f>
        <v>106.8</v>
      </c>
      <c r="BI39" s="22">
        <f t="shared" si="57"/>
        <v>126.24113475177306</v>
      </c>
      <c r="BJ39" s="22">
        <f t="shared" si="58"/>
        <v>167.2707301403058</v>
      </c>
      <c r="BK39" s="22">
        <f t="shared" si="59"/>
        <v>165.69455180045574</v>
      </c>
      <c r="BL39" s="22">
        <f t="shared" si="60"/>
        <v>166.79787663835077</v>
      </c>
      <c r="BM39" s="22">
        <f t="shared" si="61"/>
        <v>301.85006046740381</v>
      </c>
      <c r="BN39" s="22">
        <f t="shared" si="62"/>
        <v>145</v>
      </c>
      <c r="BO39">
        <f t="shared" si="63"/>
        <v>121.96418234317426</v>
      </c>
    </row>
    <row r="40" spans="1:67" x14ac:dyDescent="0.25">
      <c r="A40" s="5" t="s">
        <v>347</v>
      </c>
      <c r="L40" s="1">
        <f t="shared" si="33"/>
        <v>42156</v>
      </c>
      <c r="M40" s="10">
        <f t="shared" si="38"/>
        <v>303665.1921284619</v>
      </c>
      <c r="N40" s="10">
        <f t="shared" si="39"/>
        <v>203167.52381912235</v>
      </c>
      <c r="O40" s="7">
        <f t="shared" si="24"/>
        <v>1.4946541967938314</v>
      </c>
      <c r="P40" s="7">
        <f t="shared" si="40"/>
        <v>0.8108321486724831</v>
      </c>
      <c r="Q40">
        <v>38</v>
      </c>
      <c r="R40">
        <f t="shared" si="41"/>
        <v>91</v>
      </c>
      <c r="S40" s="22"/>
      <c r="T40" s="22">
        <f>IF($B$10="3BR_H",
INDEX('3BR_H-processed'!$E:$E,MATCH($L40,'3BR_H-processed'!$B:$B,0),MATCH(Council_Area,'3BR_H-processed'!$E$1:$E$1,0)),
INDEX('2BR_F-processed'!$E:$E,MATCH($L40,'2BR_F-processed'!$B:$B,0),MATCH(Council_Area,'2BR_F-processed'!$E$1:$E$1,0)))</f>
        <v>444</v>
      </c>
      <c r="U40" s="22">
        <f t="shared" si="25"/>
        <v>444</v>
      </c>
      <c r="V40" s="22">
        <f t="shared" si="34"/>
        <v>5772</v>
      </c>
      <c r="W40" s="22">
        <f>$B$53/4*BH40/_xlfn.XLOOKUP(Q_end,cpi!A:A,cpi!B:B)</f>
        <v>148.85970974429856</v>
      </c>
      <c r="X40" s="22">
        <f t="shared" si="42"/>
        <v>5920.8597097442989</v>
      </c>
      <c r="Y40" s="22">
        <f t="shared" si="43"/>
        <v>1381.3417624569383</v>
      </c>
      <c r="Z40" s="22">
        <f t="shared" si="64"/>
        <v>0</v>
      </c>
      <c r="AA40" s="22" cm="1">
        <f t="array" ref="AA40">(Y40+Z40)*eff_invest</f>
        <v>1381.3417624569383</v>
      </c>
      <c r="AB40" s="22">
        <f>AA40*(_xlfn.XLOOKUP(Q_end,cpi!A:A,cpi!B:B)/BH40)</f>
        <v>1855.8974282963691</v>
      </c>
      <c r="AC40" s="22" cm="1">
        <f t="array" ref="AC40">INDEX('msci-indices'!C:C,MATCH($L40,'msci-indices'!$B:$B)-2)</f>
        <v>1295.5072580000001</v>
      </c>
      <c r="AD40" s="22" cm="1">
        <f t="array" ref="AD40">INDEX('msci-indices'!D:D,MATCH($L40,'msci-indices'!$B:$B)-2)</f>
        <v>1301.9298140000001</v>
      </c>
      <c r="AE40" s="22">
        <f t="shared" si="65"/>
        <v>309034.96584967349</v>
      </c>
      <c r="AF40" s="22" cm="1">
        <f t="array" ref="AF40">INDEX('msci-indices'!C:C,MATCH($L40,'msci-indices'!$B:$B)+1)</f>
        <v>1301.506973</v>
      </c>
      <c r="AG40" s="22" cm="1">
        <f t="array" ref="AG40">INDEX('msci-indices'!D:D,MATCH($L40,'msci-indices'!$B:$B)+1)</f>
        <v>1215.1659059999999</v>
      </c>
      <c r="AH40" s="22">
        <f t="shared" si="44"/>
        <v>193.14685365604595</v>
      </c>
      <c r="AI40" s="22">
        <f t="shared" si="45"/>
        <v>303665.1921284619</v>
      </c>
      <c r="AJ40" s="22">
        <f t="shared" si="66"/>
        <v>192529.02271872974</v>
      </c>
      <c r="AK40" s="22">
        <f t="shared" si="46"/>
        <v>111136.16940973216</v>
      </c>
      <c r="AL40" s="22">
        <f>AJ40*(_xlfn.XLOOKUP(Q_end,cpi!A:A,cpi!B:B)/BH40)</f>
        <v>258671.76961374364</v>
      </c>
      <c r="AM40" s="22" cm="1">
        <f t="array" ref="AM40">SUMPRODUCT($AA$3:AA40,_xlfn.SORTBY($BH$3:BH40,_xlfn.SEQUENCE(ROWS($BH$3:BH40)),-1)/$BH$3)</f>
        <v>234983.32298149102</v>
      </c>
      <c r="AN40" s="22">
        <f t="shared" si="30"/>
        <v>68681.869146970887</v>
      </c>
      <c r="AO40" s="22">
        <f t="shared" si="47"/>
        <v>0</v>
      </c>
      <c r="AP40" s="22">
        <f t="shared" si="31"/>
        <v>303665.1921284619</v>
      </c>
      <c r="AQ40" s="22"/>
      <c r="AR40" s="10">
        <f>IF($B$10="3BR_H",
INDEX('ns-combined'!$C:$D,MATCH($L40,'ns-combined'!$B:$B,0),MATCH(Council_Area,'ns-combined'!$C$1:$D$1,0))*1000,
INDEX('s-combined'!$C:$D,MATCH($L40,'s-combined'!$B:$B,0),MATCH(Council_Area,'s-combined'!$C$1:$D$1,0))*1000)</f>
        <v>537000</v>
      </c>
      <c r="AS40" s="22">
        <f t="shared" si="35"/>
        <v>35150</v>
      </c>
      <c r="AT40" s="10">
        <v>0</v>
      </c>
      <c r="AU40" s="22">
        <f t="shared" si="48"/>
        <v>10740</v>
      </c>
      <c r="AV40" s="22">
        <f t="shared" si="49"/>
        <v>1543.875</v>
      </c>
      <c r="AW40" s="22">
        <f>SUM($AV$3:AV40)</f>
        <v>53272.3125</v>
      </c>
      <c r="AX40" s="22">
        <f t="shared" si="50"/>
        <v>437837.6875</v>
      </c>
      <c r="AY40" s="22">
        <f t="shared" si="51"/>
        <v>2020.2000000000003</v>
      </c>
      <c r="AZ40" s="24">
        <f t="shared" si="52"/>
        <v>1.5048044692737432E-2</v>
      </c>
      <c r="BA40" s="24">
        <f t="shared" si="53"/>
        <v>0.35000000000000003</v>
      </c>
      <c r="BB40" s="25">
        <f>IF(MortgageRate="Discounted",_xlfn.XLOOKUP(L40,'mortgage-rates'!$A:$A,'mortgage-rates'!$E:$E)/100,_xlfn.XLOOKUP(L40,'mortgage-rates'!$A:$A,'mortgage-rates'!$D:$D)/100)</f>
        <v>4.6699999999999998E-2</v>
      </c>
      <c r="BC40" s="10">
        <f t="shared" si="67"/>
        <v>234670.16368087765</v>
      </c>
      <c r="BD40" s="10">
        <f t="shared" si="54"/>
        <v>5282.0014722012365</v>
      </c>
      <c r="BE40" s="10">
        <f t="shared" si="55"/>
        <v>2739.7741609742466</v>
      </c>
      <c r="BF40" s="10">
        <f t="shared" si="36"/>
        <v>2542.22731122699</v>
      </c>
      <c r="BG40" s="12">
        <f t="shared" si="56"/>
        <v>7302.2014722012373</v>
      </c>
      <c r="BH40" s="22">
        <f>INDEX(cpi!B:B,MATCH($L40,cpi!A:A))</f>
        <v>107.7</v>
      </c>
      <c r="BI40" s="22">
        <f t="shared" si="57"/>
        <v>127.3049645390071</v>
      </c>
      <c r="BJ40" s="22">
        <f t="shared" si="58"/>
        <v>171.61773071123525</v>
      </c>
      <c r="BK40" s="22">
        <f t="shared" si="59"/>
        <v>182.61005769685053</v>
      </c>
      <c r="BL40" s="22">
        <f t="shared" si="60"/>
        <v>174.91542880691983</v>
      </c>
      <c r="BM40" s="22">
        <f t="shared" si="61"/>
        <v>317.81772448373397</v>
      </c>
      <c r="BN40" s="22">
        <f t="shared" si="62"/>
        <v>145.13513513513513</v>
      </c>
      <c r="BO40">
        <f t="shared" si="63"/>
        <v>121.41542658472247</v>
      </c>
    </row>
    <row r="41" spans="1:67" x14ac:dyDescent="0.25">
      <c r="A41" t="s">
        <v>310</v>
      </c>
      <c r="B41" s="8">
        <v>0.7</v>
      </c>
      <c r="C41" s="8">
        <v>0.7</v>
      </c>
      <c r="L41" s="1">
        <f t="shared" si="33"/>
        <v>42248</v>
      </c>
      <c r="M41" s="10">
        <f t="shared" si="38"/>
        <v>280081.7379746834</v>
      </c>
      <c r="N41" s="10">
        <f t="shared" si="39"/>
        <v>186629.75113034932</v>
      </c>
      <c r="O41" s="7">
        <f t="shared" si="24"/>
        <v>1.5007346699994453</v>
      </c>
      <c r="P41" s="7">
        <f t="shared" si="40"/>
        <v>0.8174584287464951</v>
      </c>
      <c r="Q41">
        <v>39</v>
      </c>
      <c r="R41">
        <f t="shared" si="41"/>
        <v>92</v>
      </c>
      <c r="S41" s="22"/>
      <c r="T41" s="22">
        <f>IF($B$10="3BR_H",
INDEX('3BR_H-processed'!$E:$E,MATCH($L41,'3BR_H-processed'!$B:$B,0),MATCH(Council_Area,'3BR_H-processed'!$E$1:$E$1,0)),
INDEX('2BR_F-processed'!$E:$E,MATCH($L41,'2BR_F-processed'!$B:$B,0),MATCH(Council_Area,'2BR_F-processed'!$E$1:$E$1,0)))</f>
        <v>408</v>
      </c>
      <c r="U41" s="22">
        <f t="shared" si="25"/>
        <v>444</v>
      </c>
      <c r="V41" s="22">
        <f t="shared" si="34"/>
        <v>5835.4285714285716</v>
      </c>
      <c r="W41" s="22">
        <f>$B$53/4*BH41/_xlfn.XLOOKUP(Q_end,cpi!A:A,cpi!B:B)</f>
        <v>148.99792674498966</v>
      </c>
      <c r="X41" s="22">
        <f t="shared" si="42"/>
        <v>5984.4264981735614</v>
      </c>
      <c r="Y41" s="22">
        <f t="shared" si="43"/>
        <v>1336.3451615549766</v>
      </c>
      <c r="Z41" s="22">
        <f t="shared" si="64"/>
        <v>0</v>
      </c>
      <c r="AA41" s="22" cm="1">
        <f t="array" ref="AA41">(Y41+Z41)*eff_invest</f>
        <v>1336.3451615549766</v>
      </c>
      <c r="AB41" s="22">
        <f>AA41*(_xlfn.XLOOKUP(Q_end,cpi!A:A,cpi!B:B)/BH41)</f>
        <v>1793.7768541466153</v>
      </c>
      <c r="AC41" s="22" cm="1">
        <f t="array" ref="AC41">INDEX('msci-indices'!C:C,MATCH($L41,'msci-indices'!$B:$B)-2)</f>
        <v>1301.506973</v>
      </c>
      <c r="AD41" s="22" cm="1">
        <f t="array" ref="AD41">INDEX('msci-indices'!D:D,MATCH($L41,'msci-indices'!$B:$B)-2)</f>
        <v>1215.1659059999999</v>
      </c>
      <c r="AE41" s="22">
        <f t="shared" si="65"/>
        <v>305001.53729001689</v>
      </c>
      <c r="AF41" s="22" cm="1">
        <f t="array" ref="AF41">INDEX('msci-indices'!C:C,MATCH($L41,'msci-indices'!$B:$B)+1)</f>
        <v>1189.2854910000001</v>
      </c>
      <c r="AG41" s="22" cm="1">
        <f t="array" ref="AG41">INDEX('msci-indices'!D:D,MATCH($L41,'msci-indices'!$B:$B)+1)</f>
        <v>1131.230902</v>
      </c>
      <c r="AH41" s="22">
        <f t="shared" si="44"/>
        <v>190.62596080626057</v>
      </c>
      <c r="AI41" s="22">
        <f t="shared" si="45"/>
        <v>280081.7379746834</v>
      </c>
      <c r="AJ41" s="22">
        <f t="shared" si="66"/>
        <v>193865.36788028473</v>
      </c>
      <c r="AK41" s="22">
        <f t="shared" si="46"/>
        <v>86216.370094398677</v>
      </c>
      <c r="AL41" s="22">
        <f>AJ41*(_xlfn.XLOOKUP(Q_end,cpi!A:A,cpi!B:B)/BH41)</f>
        <v>260225.59120850835</v>
      </c>
      <c r="AM41" s="22" cm="1">
        <f t="array" ref="AM41">SUMPRODUCT($AA$3:AA41,_xlfn.SORTBY($BH$3:BH41,_xlfn.SEQUENCE(ROWS($BH$3:BH41)),-1)/$BH$3)</f>
        <v>237116.27636565163</v>
      </c>
      <c r="AN41" s="22">
        <f t="shared" si="30"/>
        <v>42965.461609031772</v>
      </c>
      <c r="AO41" s="22">
        <f t="shared" si="47"/>
        <v>0</v>
      </c>
      <c r="AP41" s="22">
        <f t="shared" si="31"/>
        <v>280081.7379746834</v>
      </c>
      <c r="AQ41" s="22"/>
      <c r="AR41" s="10">
        <f>IF($B$10="3BR_H",
INDEX('ns-combined'!$C:$D,MATCH($L41,'ns-combined'!$B:$B,0),MATCH(Council_Area,'ns-combined'!$C$1:$D$1,0))*1000,
INDEX('s-combined'!$C:$D,MATCH($L41,'s-combined'!$B:$B,0),MATCH(Council_Area,'s-combined'!$C$1:$D$1,0))*1000)</f>
        <v>520000</v>
      </c>
      <c r="AS41" s="22">
        <f t="shared" si="35"/>
        <v>36075</v>
      </c>
      <c r="AT41" s="10">
        <v>0</v>
      </c>
      <c r="AU41" s="22">
        <f t="shared" si="48"/>
        <v>10400</v>
      </c>
      <c r="AV41" s="22">
        <f t="shared" si="49"/>
        <v>1495</v>
      </c>
      <c r="AW41" s="22">
        <f>SUM($AV$3:AV41)</f>
        <v>54767.3125</v>
      </c>
      <c r="AX41" s="22">
        <f t="shared" si="50"/>
        <v>418757.6875</v>
      </c>
      <c r="AY41" s="22">
        <f t="shared" si="51"/>
        <v>2042.4000000000003</v>
      </c>
      <c r="AZ41" s="24">
        <f t="shared" si="52"/>
        <v>1.5710769230769233E-2</v>
      </c>
      <c r="BA41" s="24">
        <f t="shared" si="53"/>
        <v>0.35000000000000003</v>
      </c>
      <c r="BB41" s="25">
        <f>IF(MortgageRate="Discounted",_xlfn.XLOOKUP(L41,'mortgage-rates'!$A:$A,'mortgage-rates'!$E:$E)/100,_xlfn.XLOOKUP(L41,'mortgage-rates'!$A:$A,'mortgage-rates'!$D:$D)/100)</f>
        <v>4.6600000000000003E-2</v>
      </c>
      <c r="BC41" s="10">
        <f t="shared" si="67"/>
        <v>232127.93636965068</v>
      </c>
      <c r="BD41" s="10">
        <f t="shared" si="54"/>
        <v>5278.3716597285375</v>
      </c>
      <c r="BE41" s="10">
        <f t="shared" si="55"/>
        <v>2704.2904587064304</v>
      </c>
      <c r="BF41" s="10">
        <f t="shared" si="36"/>
        <v>2574.0812010221071</v>
      </c>
      <c r="BG41" s="12">
        <f t="shared" si="56"/>
        <v>7320.771659728538</v>
      </c>
      <c r="BH41" s="22">
        <f>INDEX(cpi!B:B,MATCH($L41,cpi!A:A))</f>
        <v>107.8</v>
      </c>
      <c r="BI41" s="22">
        <f t="shared" si="57"/>
        <v>127.42316784869978</v>
      </c>
      <c r="BJ41" s="22">
        <f t="shared" si="58"/>
        <v>172.41252168354035</v>
      </c>
      <c r="BK41" s="22">
        <f t="shared" si="59"/>
        <v>170.44045986176764</v>
      </c>
      <c r="BL41" s="22">
        <f t="shared" si="60"/>
        <v>171.82090313700854</v>
      </c>
      <c r="BM41" s="22">
        <f t="shared" si="61"/>
        <v>313.66966608143224</v>
      </c>
      <c r="BN41" s="22">
        <f t="shared" si="62"/>
        <v>140.54054054054055</v>
      </c>
      <c r="BO41">
        <f t="shared" si="63"/>
        <v>116.12441028947377</v>
      </c>
    </row>
    <row r="42" spans="1:67" x14ac:dyDescent="0.25">
      <c r="A42" t="s">
        <v>311</v>
      </c>
      <c r="B42" s="8">
        <f>1-GlobalPortfolio</f>
        <v>0.30000000000000004</v>
      </c>
      <c r="C42" s="8">
        <v>0.30000000000000004</v>
      </c>
      <c r="L42" s="1">
        <f t="shared" si="33"/>
        <v>42339</v>
      </c>
      <c r="M42" s="10">
        <f t="shared" si="38"/>
        <v>297244.14085184329</v>
      </c>
      <c r="N42" s="10">
        <f t="shared" si="39"/>
        <v>191669.45733137144</v>
      </c>
      <c r="O42" s="7">
        <f t="shared" si="24"/>
        <v>1.5508164158776065</v>
      </c>
      <c r="P42" s="7">
        <f t="shared" si="40"/>
        <v>0.8107923049441349</v>
      </c>
      <c r="Q42">
        <v>40</v>
      </c>
      <c r="R42">
        <f t="shared" si="41"/>
        <v>92</v>
      </c>
      <c r="S42" s="22"/>
      <c r="T42" s="22">
        <f>IF($B$10="3BR_H",
INDEX('3BR_H-processed'!$E:$E,MATCH($L42,'3BR_H-processed'!$B:$B,0),MATCH(Council_Area,'3BR_H-processed'!$E$1:$E$1,0)),
INDEX('2BR_F-processed'!$E:$E,MATCH($L42,'2BR_F-processed'!$B:$B,0),MATCH(Council_Area,'2BR_F-processed'!$E$1:$E$1,0)))</f>
        <v>408</v>
      </c>
      <c r="U42" s="22">
        <f t="shared" si="25"/>
        <v>444</v>
      </c>
      <c r="V42" s="22">
        <f t="shared" si="34"/>
        <v>5835.4285714285716</v>
      </c>
      <c r="W42" s="22">
        <f>$B$53/4*BH42/_xlfn.XLOOKUP(Q_end,cpi!A:A,cpi!B:B)</f>
        <v>149.68901174844507</v>
      </c>
      <c r="X42" s="22">
        <f t="shared" si="42"/>
        <v>5985.117583177017</v>
      </c>
      <c r="Y42" s="22">
        <f t="shared" si="43"/>
        <v>1396.6959178642919</v>
      </c>
      <c r="Z42" s="22">
        <f t="shared" si="64"/>
        <v>0</v>
      </c>
      <c r="AA42" s="22" cm="1">
        <f t="array" ref="AA42">(Y42+Z42)*eff_invest</f>
        <v>1396.6959178642919</v>
      </c>
      <c r="AB42" s="22">
        <f>AA42*(_xlfn.XLOOKUP(Q_end,cpi!A:A,cpi!B:B)/BH42)</f>
        <v>1866.1301875804527</v>
      </c>
      <c r="AC42" s="22" cm="1">
        <f t="array" ref="AC42">INDEX('msci-indices'!C:C,MATCH($L42,'msci-indices'!$B:$B)-2)</f>
        <v>1189.2854910000001</v>
      </c>
      <c r="AD42" s="22" cm="1">
        <f t="array" ref="AD42">INDEX('msci-indices'!D:D,MATCH($L42,'msci-indices'!$B:$B)-2)</f>
        <v>1131.230902</v>
      </c>
      <c r="AE42" s="22">
        <f t="shared" si="65"/>
        <v>281478.43389254768</v>
      </c>
      <c r="AF42" s="22" cm="1">
        <f t="array" ref="AF42">INDEX('msci-indices'!C:C,MATCH($L42,'msci-indices'!$B:$B)+1)</f>
        <v>1252.64913</v>
      </c>
      <c r="AG42" s="22" cm="1">
        <f t="array" ref="AG42">INDEX('msci-indices'!D:D,MATCH($L42,'msci-indices'!$B:$B)+1)</f>
        <v>1204.1584660000001</v>
      </c>
      <c r="AH42" s="22">
        <f t="shared" si="44"/>
        <v>175.9240211828423</v>
      </c>
      <c r="AI42" s="22">
        <f t="shared" si="45"/>
        <v>297244.14085184329</v>
      </c>
      <c r="AJ42" s="22">
        <f t="shared" si="66"/>
        <v>195262.06379814903</v>
      </c>
      <c r="AK42" s="22">
        <f t="shared" si="46"/>
        <v>101982.07705369426</v>
      </c>
      <c r="AL42" s="22">
        <f>AJ42*(_xlfn.XLOOKUP(Q_end,cpi!A:A,cpi!B:B)/BH42)</f>
        <v>260890.31054101718</v>
      </c>
      <c r="AM42" s="22" cm="1">
        <f t="array" ref="AM42">SUMPRODUCT($AA$3:AA42,_xlfn.SORTBY($BH$3:BH42,_xlfn.SEQUENCE(ROWS($BH$3:BH42)),-1)/$BH$3)</f>
        <v>239763.72951803071</v>
      </c>
      <c r="AN42" s="22">
        <f t="shared" si="30"/>
        <v>57480.411333812575</v>
      </c>
      <c r="AO42" s="22">
        <f t="shared" si="47"/>
        <v>0</v>
      </c>
      <c r="AP42" s="22">
        <f t="shared" si="31"/>
        <v>297244.14085184329</v>
      </c>
      <c r="AQ42" s="22"/>
      <c r="AR42" s="10">
        <f>IF($B$10="3BR_H",
INDEX('ns-combined'!$C:$D,MATCH($L42,'ns-combined'!$B:$B,0),MATCH(Council_Area,'ns-combined'!$C$1:$D$1,0))*1000,
INDEX('s-combined'!$C:$D,MATCH($L42,'s-combined'!$B:$B,0),MATCH(Council_Area,'s-combined'!$C$1:$D$1,0))*1000)</f>
        <v>525000</v>
      </c>
      <c r="AS42" s="22">
        <f t="shared" si="35"/>
        <v>37000</v>
      </c>
      <c r="AT42" s="10">
        <v>0</v>
      </c>
      <c r="AU42" s="22">
        <f t="shared" si="48"/>
        <v>10500</v>
      </c>
      <c r="AV42" s="22">
        <f t="shared" si="49"/>
        <v>1509.375</v>
      </c>
      <c r="AW42" s="22">
        <f>SUM($AV$3:AV42)</f>
        <v>56276.6875</v>
      </c>
      <c r="AX42" s="22">
        <f t="shared" si="50"/>
        <v>421223.3125</v>
      </c>
      <c r="AY42" s="22">
        <f t="shared" si="51"/>
        <v>2042.4000000000003</v>
      </c>
      <c r="AZ42" s="24">
        <f t="shared" si="52"/>
        <v>1.556114285714286E-2</v>
      </c>
      <c r="BA42" s="24">
        <f t="shared" si="53"/>
        <v>0.35000000000000003</v>
      </c>
      <c r="BB42" s="25">
        <f>IF(MortgageRate="Discounted",_xlfn.XLOOKUP(L42,'mortgage-rates'!$A:$A,'mortgage-rates'!$E:$E)/100,_xlfn.XLOOKUP(L42,'mortgage-rates'!$A:$A,'mortgage-rates'!$D:$D)/100)</f>
        <v>4.8300000000000003E-2</v>
      </c>
      <c r="BC42" s="10">
        <f t="shared" si="67"/>
        <v>229553.85516862856</v>
      </c>
      <c r="BD42" s="10">
        <f t="shared" si="54"/>
        <v>5339.4135010413083</v>
      </c>
      <c r="BE42" s="10">
        <f t="shared" si="55"/>
        <v>2771.86280116119</v>
      </c>
      <c r="BF42" s="10">
        <f t="shared" si="36"/>
        <v>2567.5506998801184</v>
      </c>
      <c r="BG42" s="12">
        <f t="shared" si="56"/>
        <v>7381.8135010413089</v>
      </c>
      <c r="BH42" s="22">
        <f>INDEX(cpi!B:B,MATCH($L42,cpi!A:A))</f>
        <v>108.3</v>
      </c>
      <c r="BI42" s="22">
        <f t="shared" si="57"/>
        <v>128.01418439716312</v>
      </c>
      <c r="BJ42" s="22">
        <f t="shared" si="58"/>
        <v>157.54637874303378</v>
      </c>
      <c r="BK42" s="22">
        <f t="shared" si="59"/>
        <v>158.66764710457753</v>
      </c>
      <c r="BL42" s="22">
        <f t="shared" si="60"/>
        <v>157.88275925149691</v>
      </c>
      <c r="BM42" s="22">
        <f t="shared" si="61"/>
        <v>289.47803723443667</v>
      </c>
      <c r="BN42" s="22">
        <f t="shared" si="62"/>
        <v>141.8918918918919</v>
      </c>
      <c r="BO42">
        <f t="shared" si="63"/>
        <v>116.80814519791049</v>
      </c>
    </row>
    <row r="43" spans="1:67" x14ac:dyDescent="0.25">
      <c r="A43" t="s">
        <v>330</v>
      </c>
      <c r="B43" s="4">
        <v>2.5000000000000001E-3</v>
      </c>
      <c r="C43" s="4">
        <v>2.5000000000000001E-3</v>
      </c>
      <c r="L43" s="1">
        <f t="shared" si="33"/>
        <v>42430</v>
      </c>
      <c r="M43" s="10">
        <f t="shared" si="38"/>
        <v>295887.37570223521</v>
      </c>
      <c r="N43" s="10">
        <f t="shared" si="39"/>
        <v>184962.75803125155</v>
      </c>
      <c r="O43" s="7">
        <f t="shared" si="24"/>
        <v>1.5997132549907247</v>
      </c>
      <c r="P43" s="7">
        <f t="shared" si="40"/>
        <v>0.75787828491644049</v>
      </c>
      <c r="Q43">
        <v>41</v>
      </c>
      <c r="R43">
        <f t="shared" si="41"/>
        <v>91</v>
      </c>
      <c r="S43" s="22"/>
      <c r="T43" s="22">
        <f>IF($B$10="3BR_H",
INDEX('3BR_H-processed'!$E:$E,MATCH($L43,'3BR_H-processed'!$B:$B,0),MATCH(Council_Area,'3BR_H-processed'!$E$1:$E$1,0)),
INDEX('2BR_F-processed'!$E:$E,MATCH($L43,'2BR_F-processed'!$B:$B,0),MATCH(Council_Area,'2BR_F-processed'!$E$1:$E$1,0)))</f>
        <v>408</v>
      </c>
      <c r="U43" s="22">
        <f t="shared" si="25"/>
        <v>408</v>
      </c>
      <c r="V43" s="22">
        <f t="shared" si="34"/>
        <v>5304</v>
      </c>
      <c r="W43" s="22">
        <f>$B$53/4*BH43/_xlfn.XLOOKUP(Q_end,cpi!A:A,cpi!B:B)</f>
        <v>149.550794747754</v>
      </c>
      <c r="X43" s="22">
        <f t="shared" si="42"/>
        <v>5453.5507947477536</v>
      </c>
      <c r="Y43" s="22">
        <f t="shared" si="43"/>
        <v>1742.2627062935544</v>
      </c>
      <c r="Z43" s="22">
        <f t="shared" si="64"/>
        <v>0</v>
      </c>
      <c r="AA43" s="22" cm="1">
        <f t="array" ref="AA43">(Y43+Z43)*eff_invest</f>
        <v>1742.2627062935544</v>
      </c>
      <c r="AB43" s="22">
        <f>AA43*(_xlfn.XLOOKUP(Q_end,cpi!A:A,cpi!B:B)/BH43)</f>
        <v>2329.9945804129143</v>
      </c>
      <c r="AC43" s="22" cm="1">
        <f t="array" ref="AC43">INDEX('msci-indices'!C:C,MATCH($L43,'msci-indices'!$B:$B)-2)</f>
        <v>1252.64913</v>
      </c>
      <c r="AD43" s="22" cm="1">
        <f t="array" ref="AD43">INDEX('msci-indices'!D:D,MATCH($L43,'msci-indices'!$B:$B)-2)</f>
        <v>1204.1584660000001</v>
      </c>
      <c r="AE43" s="22">
        <f t="shared" si="65"/>
        <v>298986.40355813684</v>
      </c>
      <c r="AF43" s="22" cm="1">
        <f t="array" ref="AF43">INDEX('msci-indices'!C:C,MATCH($L43,'msci-indices'!$B:$B)+1)</f>
        <v>1249.9268750000001</v>
      </c>
      <c r="AG43" s="22" cm="1">
        <f t="array" ref="AG43">INDEX('msci-indices'!D:D,MATCH($L43,'msci-indices'!$B:$B)+1)</f>
        <v>1171.1690430000001</v>
      </c>
      <c r="AH43" s="22">
        <f t="shared" si="44"/>
        <v>186.86650222383554</v>
      </c>
      <c r="AI43" s="22">
        <f t="shared" si="45"/>
        <v>295887.37570223521</v>
      </c>
      <c r="AJ43" s="22">
        <f t="shared" si="66"/>
        <v>197004.32650444258</v>
      </c>
      <c r="AK43" s="22">
        <f t="shared" si="46"/>
        <v>98883.049197792629</v>
      </c>
      <c r="AL43" s="22">
        <f>AJ43*(_xlfn.XLOOKUP(Q_end,cpi!A:A,cpi!B:B)/BH43)</f>
        <v>263461.42370788206</v>
      </c>
      <c r="AM43" s="22" cm="1">
        <f t="array" ref="AM43">SUMPRODUCT($AA$3:AA43,_xlfn.SORTBY($BH$3:BH43,_xlfn.SEQUENCE(ROWS($BH$3:BH43)),-1)/$BH$3)</f>
        <v>242078.87019592227</v>
      </c>
      <c r="AN43" s="22">
        <f t="shared" si="30"/>
        <v>53808.50550631294</v>
      </c>
      <c r="AO43" s="22">
        <f t="shared" si="47"/>
        <v>0</v>
      </c>
      <c r="AP43" s="22">
        <f t="shared" si="31"/>
        <v>295887.37570223521</v>
      </c>
      <c r="AQ43" s="22"/>
      <c r="AR43" s="10">
        <f>IF($B$10="3BR_H",
INDEX('ns-combined'!$C:$D,MATCH($L43,'ns-combined'!$B:$B,0),MATCH(Council_Area,'ns-combined'!$C$1:$D$1,0))*1000,
INDEX('s-combined'!$C:$D,MATCH($L43,'s-combined'!$B:$B,0),MATCH(Council_Area,'s-combined'!$C$1:$D$1,0))*1000)</f>
        <v>518000</v>
      </c>
      <c r="AS43" s="22">
        <f t="shared" si="35"/>
        <v>37925</v>
      </c>
      <c r="AT43" s="10">
        <v>0</v>
      </c>
      <c r="AU43" s="22">
        <f t="shared" si="48"/>
        <v>10360</v>
      </c>
      <c r="AV43" s="22">
        <f t="shared" si="49"/>
        <v>1489.25</v>
      </c>
      <c r="AW43" s="22">
        <f>SUM($AV$3:AV43)</f>
        <v>57765.9375</v>
      </c>
      <c r="AX43" s="22">
        <f t="shared" si="50"/>
        <v>411949.0625</v>
      </c>
      <c r="AY43" s="22">
        <f t="shared" si="51"/>
        <v>1856.4</v>
      </c>
      <c r="AZ43" s="24">
        <f t="shared" si="52"/>
        <v>1.4335135135135136E-2</v>
      </c>
      <c r="BA43" s="24">
        <f t="shared" si="53"/>
        <v>0.35000000000000003</v>
      </c>
      <c r="BB43" s="25">
        <f>IF(MortgageRate="Discounted",_xlfn.XLOOKUP(L43,'mortgage-rates'!$A:$A,'mortgage-rates'!$E:$E)/100,_xlfn.XLOOKUP(L43,'mortgage-rates'!$A:$A,'mortgage-rates'!$D:$D)/100)</f>
        <v>4.8300000000000003E-2</v>
      </c>
      <c r="BC43" s="10">
        <f t="shared" si="67"/>
        <v>226986.30446874845</v>
      </c>
      <c r="BD43" s="10">
        <f t="shared" si="54"/>
        <v>5339.4135010413083</v>
      </c>
      <c r="BE43" s="10">
        <f t="shared" si="55"/>
        <v>2740.8596264601379</v>
      </c>
      <c r="BF43" s="10">
        <f t="shared" si="36"/>
        <v>2598.5538745811705</v>
      </c>
      <c r="BG43" s="12">
        <f t="shared" si="56"/>
        <v>7195.813501041308</v>
      </c>
      <c r="BH43" s="22">
        <f>INDEX(cpi!B:B,MATCH($L43,cpi!A:A))</f>
        <v>108.2</v>
      </c>
      <c r="BI43" s="22">
        <f t="shared" si="57"/>
        <v>127.89598108747046</v>
      </c>
      <c r="BJ43" s="22">
        <f t="shared" si="58"/>
        <v>165.94025216028786</v>
      </c>
      <c r="BK43" s="22">
        <f t="shared" si="59"/>
        <v>168.89654464308245</v>
      </c>
      <c r="BL43" s="22">
        <f t="shared" si="60"/>
        <v>166.82713990512624</v>
      </c>
      <c r="BM43" s="22">
        <f t="shared" si="61"/>
        <v>307.4835825427125</v>
      </c>
      <c r="BN43" s="22">
        <f t="shared" si="62"/>
        <v>140</v>
      </c>
      <c r="BO43">
        <f t="shared" si="63"/>
        <v>114.23633136792044</v>
      </c>
    </row>
    <row r="44" spans="1:67" x14ac:dyDescent="0.25">
      <c r="A44" s="6" t="s">
        <v>463</v>
      </c>
      <c r="B44" t="s">
        <v>341</v>
      </c>
      <c r="C44" t="s">
        <v>341</v>
      </c>
      <c r="L44" s="1">
        <f t="shared" si="33"/>
        <v>42522</v>
      </c>
      <c r="M44" s="10">
        <f t="shared" si="38"/>
        <v>303230.09118924616</v>
      </c>
      <c r="N44" s="10">
        <f t="shared" si="39"/>
        <v>187101.31190583273</v>
      </c>
      <c r="O44" s="7">
        <f t="shared" si="24"/>
        <v>1.6206732496983267</v>
      </c>
      <c r="P44" s="7">
        <f t="shared" si="40"/>
        <v>0.76691021037929885</v>
      </c>
      <c r="Q44">
        <v>42</v>
      </c>
      <c r="R44">
        <f t="shared" si="41"/>
        <v>91</v>
      </c>
      <c r="S44" s="22"/>
      <c r="T44" s="22">
        <f>IF($B$10="3BR_H",
INDEX('3BR_H-processed'!$E:$E,MATCH($L44,'3BR_H-processed'!$B:$B,0),MATCH(Council_Area,'3BR_H-processed'!$E$1:$E$1,0)),
INDEX('2BR_F-processed'!$E:$E,MATCH($L44,'2BR_F-processed'!$B:$B,0),MATCH(Council_Area,'2BR_F-processed'!$E$1:$E$1,0)))</f>
        <v>408</v>
      </c>
      <c r="U44" s="22">
        <f t="shared" si="25"/>
        <v>408</v>
      </c>
      <c r="V44" s="22">
        <f t="shared" si="34"/>
        <v>5304</v>
      </c>
      <c r="W44" s="22">
        <f>$B$53/4*BH44/_xlfn.XLOOKUP(Q_end,cpi!A:A,cpi!B:B)</f>
        <v>150.38009675190048</v>
      </c>
      <c r="X44" s="22">
        <f t="shared" si="42"/>
        <v>5454.3800967519001</v>
      </c>
      <c r="Y44" s="22">
        <f t="shared" si="43"/>
        <v>1657.7694390513461</v>
      </c>
      <c r="Z44" s="22">
        <f t="shared" si="64"/>
        <v>0</v>
      </c>
      <c r="AA44" s="22" cm="1">
        <f t="array" ref="AA44">(Y44+Z44)*eff_invest</f>
        <v>1657.7694390513461</v>
      </c>
      <c r="AB44" s="22">
        <f>AA44*(_xlfn.XLOOKUP(Q_end,cpi!A:A,cpi!B:B)/BH44)</f>
        <v>2204.7724065324428</v>
      </c>
      <c r="AC44" s="22" cm="1">
        <f t="array" ref="AC44">INDEX('msci-indices'!C:C,MATCH($L44,'msci-indices'!$B:$B)-2)</f>
        <v>1249.9268750000001</v>
      </c>
      <c r="AD44" s="22" cm="1">
        <f t="array" ref="AD44">INDEX('msci-indices'!D:D,MATCH($L44,'msci-indices'!$B:$B)-2)</f>
        <v>1171.1690430000001</v>
      </c>
      <c r="AE44" s="22">
        <f t="shared" si="65"/>
        <v>297545.14514128654</v>
      </c>
      <c r="AF44" s="22" cm="1">
        <f t="array" ref="AF44">INDEX('msci-indices'!C:C,MATCH($L44,'msci-indices'!$B:$B)+1)</f>
        <v>1263.5195100000001</v>
      </c>
      <c r="AG44" s="22" cm="1">
        <f t="array" ref="AG44">INDEX('msci-indices'!D:D,MATCH($L44,'msci-indices'!$B:$B)+1)</f>
        <v>1218.479752</v>
      </c>
      <c r="AH44" s="22">
        <f t="shared" si="44"/>
        <v>185.96571571330409</v>
      </c>
      <c r="AI44" s="22">
        <f t="shared" si="45"/>
        <v>303230.09118924616</v>
      </c>
      <c r="AJ44" s="22">
        <f t="shared" si="66"/>
        <v>198662.09594349391</v>
      </c>
      <c r="AK44" s="22">
        <f t="shared" si="46"/>
        <v>104567.99524575224</v>
      </c>
      <c r="AL44" s="22">
        <f>AJ44*(_xlfn.XLOOKUP(Q_end,cpi!A:A,cpi!B:B)/BH44)</f>
        <v>264213.28385131957</v>
      </c>
      <c r="AM44" s="22" cm="1">
        <f t="array" ref="AM44">SUMPRODUCT($AA$3:AA44,_xlfn.SORTBY($BH$3:BH44,_xlfn.SEQUENCE(ROWS($BH$3:BH44)),-1)/$BH$3)</f>
        <v>245096.6503681778</v>
      </c>
      <c r="AN44" s="22">
        <f t="shared" si="30"/>
        <v>58133.440821068361</v>
      </c>
      <c r="AO44" s="22">
        <f t="shared" si="47"/>
        <v>0</v>
      </c>
      <c r="AP44" s="22">
        <f t="shared" si="31"/>
        <v>303230.09118924616</v>
      </c>
      <c r="AQ44" s="22"/>
      <c r="AR44" s="10">
        <f>IF($B$10="3BR_H",
INDEX('ns-combined'!$C:$D,MATCH($L44,'ns-combined'!$B:$B,0),MATCH(Council_Area,'ns-combined'!$C$1:$D$1,0))*1000,
INDEX('s-combined'!$C:$D,MATCH($L44,'s-combined'!$B:$B,0),MATCH(Council_Area,'s-combined'!$C$1:$D$1,0))*1000)</f>
        <v>520000</v>
      </c>
      <c r="AS44" s="22">
        <f t="shared" si="35"/>
        <v>38850</v>
      </c>
      <c r="AT44" s="10">
        <v>0</v>
      </c>
      <c r="AU44" s="22">
        <f t="shared" si="48"/>
        <v>10400</v>
      </c>
      <c r="AV44" s="22">
        <f t="shared" si="49"/>
        <v>1495</v>
      </c>
      <c r="AW44" s="22">
        <f>SUM($AV$3:AV44)</f>
        <v>59260.9375</v>
      </c>
      <c r="AX44" s="22">
        <f t="shared" si="50"/>
        <v>411489.0625</v>
      </c>
      <c r="AY44" s="22">
        <f t="shared" si="51"/>
        <v>1856.4</v>
      </c>
      <c r="AZ44" s="24">
        <f t="shared" si="52"/>
        <v>1.4280000000000001E-2</v>
      </c>
      <c r="BA44" s="24">
        <f t="shared" si="53"/>
        <v>0.35000000000000003</v>
      </c>
      <c r="BB44" s="25">
        <f>IF(MortgageRate="Discounted",_xlfn.XLOOKUP(L44,'mortgage-rates'!$A:$A,'mortgage-rates'!$E:$E)/100,_xlfn.XLOOKUP(L44,'mortgage-rates'!$A:$A,'mortgage-rates'!$D:$D)/100)</f>
        <v>4.5899999999999996E-2</v>
      </c>
      <c r="BC44" s="10">
        <f t="shared" si="67"/>
        <v>224387.75059416727</v>
      </c>
      <c r="BD44" s="10">
        <f t="shared" si="54"/>
        <v>5255.7495358032456</v>
      </c>
      <c r="BE44" s="10">
        <f t="shared" si="55"/>
        <v>2574.849438068069</v>
      </c>
      <c r="BF44" s="10">
        <f t="shared" si="36"/>
        <v>2680.9000977351766</v>
      </c>
      <c r="BG44" s="12">
        <f t="shared" si="56"/>
        <v>7112.1495358032462</v>
      </c>
      <c r="BH44" s="22">
        <f>INDEX(cpi!B:B,MATCH($L44,cpi!A:A))</f>
        <v>108.8</v>
      </c>
      <c r="BI44" s="22">
        <f t="shared" si="57"/>
        <v>128.60520094562648</v>
      </c>
      <c r="BJ44" s="22">
        <f t="shared" si="58"/>
        <v>165.57963108106787</v>
      </c>
      <c r="BK44" s="22">
        <f t="shared" si="59"/>
        <v>164.2694131551666</v>
      </c>
      <c r="BL44" s="22">
        <f t="shared" si="60"/>
        <v>165.1865657032975</v>
      </c>
      <c r="BM44" s="22">
        <f t="shared" si="61"/>
        <v>306.00136363205633</v>
      </c>
      <c r="BN44" s="22">
        <f t="shared" si="62"/>
        <v>140.54054054054055</v>
      </c>
      <c r="BO44">
        <f t="shared" si="63"/>
        <v>114.10877017841234</v>
      </c>
    </row>
    <row r="45" spans="1:67" x14ac:dyDescent="0.25">
      <c r="A45" t="s">
        <v>344</v>
      </c>
      <c r="B45" s="8">
        <v>0.47</v>
      </c>
      <c r="C45" s="8">
        <v>0.32</v>
      </c>
      <c r="L45" s="1">
        <f t="shared" si="33"/>
        <v>42614</v>
      </c>
      <c r="M45" s="10">
        <f t="shared" si="38"/>
        <v>320646.91219383699</v>
      </c>
      <c r="N45" s="10">
        <f t="shared" si="39"/>
        <v>177590.9620035679</v>
      </c>
      <c r="O45" s="7">
        <f t="shared" si="24"/>
        <v>1.8055362084664817</v>
      </c>
      <c r="P45" s="7">
        <f t="shared" si="40"/>
        <v>0.77595736628702805</v>
      </c>
      <c r="Q45">
        <v>43</v>
      </c>
      <c r="R45">
        <f t="shared" si="41"/>
        <v>92</v>
      </c>
      <c r="S45" s="22"/>
      <c r="T45" s="22">
        <f>IF($B$10="3BR_H",
INDEX('3BR_H-processed'!$E:$E,MATCH($L45,'3BR_H-processed'!$B:$B,0),MATCH(Council_Area,'3BR_H-processed'!$E$1:$E$1,0)),
INDEX('2BR_F-processed'!$E:$E,MATCH($L45,'2BR_F-processed'!$B:$B,0),MATCH(Council_Area,'2BR_F-processed'!$E$1:$E$1,0)))</f>
        <v>378</v>
      </c>
      <c r="U45" s="22">
        <f t="shared" si="25"/>
        <v>408</v>
      </c>
      <c r="V45" s="22">
        <f t="shared" si="34"/>
        <v>5362.2857142857147</v>
      </c>
      <c r="W45" s="22">
        <f>$B$53/4*BH45/_xlfn.XLOOKUP(Q_end,cpi!A:A,cpi!B:B)</f>
        <v>151.07118175535592</v>
      </c>
      <c r="X45" s="22">
        <f t="shared" si="42"/>
        <v>5513.3568960410703</v>
      </c>
      <c r="Y45" s="22">
        <f t="shared" si="43"/>
        <v>1591.8748287669514</v>
      </c>
      <c r="Z45" s="22">
        <f t="shared" si="64"/>
        <v>0</v>
      </c>
      <c r="AA45" s="22" cm="1">
        <f t="array" ref="AA45">(Y45+Z45)*eff_invest</f>
        <v>1591.8748287669514</v>
      </c>
      <c r="AB45" s="22">
        <f>AA45*(_xlfn.XLOOKUP(Q_end,cpi!A:A,cpi!B:B)/BH45)</f>
        <v>2107.4500249092207</v>
      </c>
      <c r="AC45" s="22" cm="1">
        <f t="array" ref="AC45">INDEX('msci-indices'!C:C,MATCH($L45,'msci-indices'!$B:$B)-2)</f>
        <v>1263.5195100000001</v>
      </c>
      <c r="AD45" s="22" cm="1">
        <f t="array" ref="AD45">INDEX('msci-indices'!D:D,MATCH($L45,'msci-indices'!$B:$B)-2)</f>
        <v>1218.479752</v>
      </c>
      <c r="AE45" s="22">
        <f t="shared" si="65"/>
        <v>304821.96601801313</v>
      </c>
      <c r="AF45" s="22" cm="1">
        <f t="array" ref="AF45">INDEX('msci-indices'!C:C,MATCH($L45,'msci-indices'!$B:$B)+1)</f>
        <v>1329.025858</v>
      </c>
      <c r="AG45" s="22" cm="1">
        <f t="array" ref="AG45">INDEX('msci-indices'!D:D,MATCH($L45,'msci-indices'!$B:$B)+1)</f>
        <v>1284.47801</v>
      </c>
      <c r="AH45" s="22">
        <f t="shared" si="44"/>
        <v>190.51372876125822</v>
      </c>
      <c r="AI45" s="22">
        <f t="shared" si="45"/>
        <v>320646.91219383699</v>
      </c>
      <c r="AJ45" s="22">
        <f t="shared" si="66"/>
        <v>200253.97077226086</v>
      </c>
      <c r="AK45" s="22">
        <f t="shared" si="46"/>
        <v>120392.94142157614</v>
      </c>
      <c r="AL45" s="22">
        <f>AJ45*(_xlfn.XLOOKUP(Q_end,cpi!A:A,cpi!B:B)/BH45)</f>
        <v>265112.07292539929</v>
      </c>
      <c r="AM45" s="22" cm="1">
        <f t="array" ref="AM45">SUMPRODUCT($AA$3:AA45,_xlfn.SORTBY($BH$3:BH45,_xlfn.SEQUENCE(ROWS($BH$3:BH45)),-1)/$BH$3)</f>
        <v>247934.50360881232</v>
      </c>
      <c r="AN45" s="22">
        <f t="shared" si="30"/>
        <v>72712.408585024677</v>
      </c>
      <c r="AO45" s="22">
        <f t="shared" si="47"/>
        <v>0</v>
      </c>
      <c r="AP45" s="22">
        <f t="shared" si="31"/>
        <v>320646.91219383699</v>
      </c>
      <c r="AQ45" s="22"/>
      <c r="AR45" s="10">
        <f>IF($B$10="3BR_H",
INDEX('ns-combined'!$C:$D,MATCH($L45,'ns-combined'!$B:$B,0),MATCH(Council_Area,'ns-combined'!$C$1:$D$1,0))*1000,
INDEX('s-combined'!$C:$D,MATCH($L45,'s-combined'!$B:$B,0),MATCH(Council_Area,'s-combined'!$C$1:$D$1,0))*1000)</f>
        <v>510000</v>
      </c>
      <c r="AS45" s="22">
        <f t="shared" si="35"/>
        <v>39775</v>
      </c>
      <c r="AT45" s="10">
        <v>0</v>
      </c>
      <c r="AU45" s="22">
        <f t="shared" si="48"/>
        <v>10200</v>
      </c>
      <c r="AV45" s="22">
        <f t="shared" si="49"/>
        <v>1466.25</v>
      </c>
      <c r="AW45" s="22">
        <f>SUM($AV$3:AV45)</f>
        <v>60727.1875</v>
      </c>
      <c r="AX45" s="22">
        <f t="shared" si="50"/>
        <v>399297.8125</v>
      </c>
      <c r="AY45" s="22">
        <f t="shared" si="51"/>
        <v>1876.8000000000004</v>
      </c>
      <c r="AZ45" s="24">
        <f t="shared" si="52"/>
        <v>1.4720000000000004E-2</v>
      </c>
      <c r="BA45" s="24">
        <f t="shared" si="53"/>
        <v>0.35000000000000003</v>
      </c>
      <c r="BB45" s="25">
        <f>IF(MortgageRate="Discounted",_xlfn.XLOOKUP(L45,'mortgage-rates'!$A:$A,'mortgage-rates'!$E:$E)/100,_xlfn.XLOOKUP(L45,'mortgage-rates'!$A:$A,'mortgage-rates'!$D:$D)/100)</f>
        <v>4.5100000000000001E-2</v>
      </c>
      <c r="BC45" s="10">
        <f t="shared" si="67"/>
        <v>221706.8504964321</v>
      </c>
      <c r="BD45" s="10">
        <f t="shared" si="54"/>
        <v>5228.4317248080215</v>
      </c>
      <c r="BE45" s="10">
        <f t="shared" si="55"/>
        <v>2499.7447393472721</v>
      </c>
      <c r="BF45" s="10">
        <f t="shared" si="36"/>
        <v>2728.6869854607494</v>
      </c>
      <c r="BG45" s="12">
        <f t="shared" si="56"/>
        <v>7105.2317248080217</v>
      </c>
      <c r="BH45" s="22">
        <f>INDEX(cpi!B:B,MATCH($L45,cpi!A:A))</f>
        <v>109.3</v>
      </c>
      <c r="BI45" s="22">
        <f t="shared" si="57"/>
        <v>129.19621749408984</v>
      </c>
      <c r="BJ45" s="22">
        <f t="shared" si="58"/>
        <v>167.38026720925703</v>
      </c>
      <c r="BK45" s="22">
        <f t="shared" si="59"/>
        <v>170.90526341934137</v>
      </c>
      <c r="BL45" s="22">
        <f t="shared" si="60"/>
        <v>168.43776607228233</v>
      </c>
      <c r="BM45" s="22">
        <f t="shared" si="61"/>
        <v>313.48499140264965</v>
      </c>
      <c r="BN45" s="22">
        <f t="shared" si="62"/>
        <v>137.83783783783784</v>
      </c>
      <c r="BO45">
        <f t="shared" si="63"/>
        <v>110.72805202278076</v>
      </c>
    </row>
    <row r="46" spans="1:67" x14ac:dyDescent="0.25">
      <c r="A46" t="s">
        <v>343</v>
      </c>
      <c r="B46" s="8">
        <v>0.15</v>
      </c>
      <c r="C46" s="8">
        <v>0.15</v>
      </c>
      <c r="L46" s="1">
        <f t="shared" si="33"/>
        <v>42705</v>
      </c>
      <c r="M46" s="10">
        <f t="shared" si="38"/>
        <v>331906.00001393043</v>
      </c>
      <c r="N46" s="10">
        <f t="shared" si="39"/>
        <v>192585.27398902865</v>
      </c>
      <c r="O46" s="7">
        <f t="shared" si="24"/>
        <v>1.7234235678520193</v>
      </c>
      <c r="P46" s="7">
        <f t="shared" si="40"/>
        <v>0.77605463053261803</v>
      </c>
      <c r="Q46">
        <v>44</v>
      </c>
      <c r="R46">
        <f t="shared" si="41"/>
        <v>92</v>
      </c>
      <c r="S46" s="22"/>
      <c r="T46" s="22">
        <f>IF($B$10="3BR_H",
INDEX('3BR_H-processed'!$E:$E,MATCH($L46,'3BR_H-processed'!$B:$B,0),MATCH(Council_Area,'3BR_H-processed'!$E$1:$E$1,0)),
INDEX('2BR_F-processed'!$E:$E,MATCH($L46,'2BR_F-processed'!$B:$B,0),MATCH(Council_Area,'2BR_F-processed'!$E$1:$E$1,0)))</f>
        <v>378</v>
      </c>
      <c r="U46" s="22">
        <f t="shared" si="25"/>
        <v>408</v>
      </c>
      <c r="V46" s="22">
        <f t="shared" si="34"/>
        <v>5362.2857142857147</v>
      </c>
      <c r="W46" s="22">
        <f>$B$53/4*BH46/_xlfn.XLOOKUP(Q_end,cpi!A:A,cpi!B:B)</f>
        <v>151.76226675881134</v>
      </c>
      <c r="X46" s="22">
        <f t="shared" si="42"/>
        <v>5514.0479810445258</v>
      </c>
      <c r="Y46" s="22">
        <f t="shared" si="43"/>
        <v>1591.1837437634958</v>
      </c>
      <c r="Z46" s="22">
        <f t="shared" si="64"/>
        <v>0</v>
      </c>
      <c r="AA46" s="22" cm="1">
        <f t="array" ref="AA46">(Y46+Z46)*eff_invest</f>
        <v>1591.1837437634958</v>
      </c>
      <c r="AB46" s="22">
        <f>AA46*(_xlfn.XLOOKUP(Q_end,cpi!A:A,cpi!B:B)/BH46)</f>
        <v>2096.9425111345886</v>
      </c>
      <c r="AC46" s="22" cm="1">
        <f t="array" ref="AC46">INDEX('msci-indices'!C:C,MATCH($L46,'msci-indices'!$B:$B)-2)</f>
        <v>1329.025858</v>
      </c>
      <c r="AD46" s="22" cm="1">
        <f t="array" ref="AD46">INDEX('msci-indices'!D:D,MATCH($L46,'msci-indices'!$B:$B)-2)</f>
        <v>1284.47801</v>
      </c>
      <c r="AE46" s="22">
        <f t="shared" si="65"/>
        <v>322238.09593760048</v>
      </c>
      <c r="AF46" s="22" cm="1">
        <f t="array" ref="AF46">INDEX('msci-indices'!C:C,MATCH($L46,'msci-indices'!$B:$B)+1)</f>
        <v>1355.3009059999999</v>
      </c>
      <c r="AG46" s="22" cm="1">
        <f t="array" ref="AG46">INDEX('msci-indices'!D:D,MATCH($L46,'msci-indices'!$B:$B)+1)</f>
        <v>1356.3584840000001</v>
      </c>
      <c r="AH46" s="22">
        <f t="shared" si="44"/>
        <v>201.3988099610003</v>
      </c>
      <c r="AI46" s="22">
        <f t="shared" si="45"/>
        <v>331906.00001393043</v>
      </c>
      <c r="AJ46" s="22">
        <f t="shared" si="66"/>
        <v>201845.15451602434</v>
      </c>
      <c r="AK46" s="22">
        <f t="shared" si="46"/>
        <v>130060.84549790609</v>
      </c>
      <c r="AL46" s="22">
        <f>AJ46*(_xlfn.XLOOKUP(Q_end,cpi!A:A,cpi!B:B)/BH46)</f>
        <v>266001.76555982442</v>
      </c>
      <c r="AM46" s="22" cm="1">
        <f t="array" ref="AM46">SUMPRODUCT($AA$3:AA46,_xlfn.SORTBY($BH$3:BH46,_xlfn.SEQUENCE(ROWS($BH$3:BH46)),-1)/$BH$3)</f>
        <v>250763.50139185452</v>
      </c>
      <c r="AN46" s="22">
        <f t="shared" si="30"/>
        <v>81142.498622075917</v>
      </c>
      <c r="AO46" s="22">
        <f t="shared" si="47"/>
        <v>0</v>
      </c>
      <c r="AP46" s="22">
        <f t="shared" si="31"/>
        <v>331906.00001393043</v>
      </c>
      <c r="AQ46" s="22"/>
      <c r="AR46" s="10">
        <f>IF($B$10="3BR_H",
INDEX('ns-combined'!$C:$D,MATCH($L46,'ns-combined'!$B:$B,0),MATCH(Council_Area,'ns-combined'!$C$1:$D$1,0))*1000,
INDEX('s-combined'!$C:$D,MATCH($L46,'s-combined'!$B:$B,0),MATCH(Council_Area,'s-combined'!$C$1:$D$1,0))*1000)</f>
        <v>525000</v>
      </c>
      <c r="AS46" s="22">
        <f t="shared" si="35"/>
        <v>40700</v>
      </c>
      <c r="AT46" s="10">
        <v>0</v>
      </c>
      <c r="AU46" s="22">
        <f t="shared" si="48"/>
        <v>10500</v>
      </c>
      <c r="AV46" s="22">
        <f t="shared" si="49"/>
        <v>1509.375</v>
      </c>
      <c r="AW46" s="22">
        <f>SUM($AV$3:AV46)</f>
        <v>62236.5625</v>
      </c>
      <c r="AX46" s="22">
        <f t="shared" si="50"/>
        <v>411563.4375</v>
      </c>
      <c r="AY46" s="22">
        <f t="shared" si="51"/>
        <v>1876.8000000000004</v>
      </c>
      <c r="AZ46" s="24">
        <f t="shared" si="52"/>
        <v>1.4299428571428574E-2</v>
      </c>
      <c r="BA46" s="24">
        <f t="shared" si="53"/>
        <v>0.35000000000000003</v>
      </c>
      <c r="BB46" s="25">
        <f>IF(MortgageRate="Discounted",_xlfn.XLOOKUP(L46,'mortgage-rates'!$A:$A,'mortgage-rates'!$E:$E)/100,_xlfn.XLOOKUP(L46,'mortgage-rates'!$A:$A,'mortgage-rates'!$D:$D)/100)</f>
        <v>4.5100000000000001E-2</v>
      </c>
      <c r="BC46" s="10">
        <f t="shared" si="67"/>
        <v>218978.16351097135</v>
      </c>
      <c r="BD46" s="10">
        <f t="shared" si="54"/>
        <v>5228.4317248080215</v>
      </c>
      <c r="BE46" s="10">
        <f t="shared" si="55"/>
        <v>2468.9787935862023</v>
      </c>
      <c r="BF46" s="10">
        <f t="shared" si="36"/>
        <v>2759.4529312218192</v>
      </c>
      <c r="BG46" s="12">
        <f t="shared" si="56"/>
        <v>7105.2317248080217</v>
      </c>
      <c r="BH46" s="22">
        <f>INDEX(cpi!B:B,MATCH($L46,cpi!A:A))</f>
        <v>109.8</v>
      </c>
      <c r="BI46" s="22">
        <f t="shared" si="57"/>
        <v>129.78723404255319</v>
      </c>
      <c r="BJ46" s="22">
        <f t="shared" si="58"/>
        <v>176.05798840419337</v>
      </c>
      <c r="BK46" s="22">
        <f t="shared" si="59"/>
        <v>180.16224914289867</v>
      </c>
      <c r="BL46" s="22">
        <f t="shared" si="60"/>
        <v>177.28926662580494</v>
      </c>
      <c r="BM46" s="22">
        <f t="shared" si="61"/>
        <v>331.39608688382839</v>
      </c>
      <c r="BN46" s="22">
        <f t="shared" si="62"/>
        <v>141.8918918918919</v>
      </c>
      <c r="BO46">
        <f t="shared" si="63"/>
        <v>114.12939488160727</v>
      </c>
    </row>
    <row r="47" spans="1:67" x14ac:dyDescent="0.25">
      <c r="A47" t="s">
        <v>471</v>
      </c>
      <c r="B47" s="8">
        <f>IF(B44="Yes",B45-B46,0)</f>
        <v>0</v>
      </c>
      <c r="C47" s="8">
        <v>0</v>
      </c>
      <c r="L47" s="1">
        <f t="shared" si="33"/>
        <v>42795</v>
      </c>
      <c r="M47" s="10">
        <f t="shared" si="38"/>
        <v>353158.07420173526</v>
      </c>
      <c r="N47" s="10">
        <f t="shared" si="39"/>
        <v>178253.47692025045</v>
      </c>
      <c r="O47" s="7">
        <f t="shared" si="24"/>
        <v>1.9812128229046331</v>
      </c>
      <c r="P47" s="7">
        <f t="shared" si="40"/>
        <v>0.72270677092408886</v>
      </c>
      <c r="Q47">
        <v>45</v>
      </c>
      <c r="R47">
        <f t="shared" si="41"/>
        <v>90</v>
      </c>
      <c r="S47" s="22"/>
      <c r="T47" s="22">
        <f>IF($B$10="3BR_H",
INDEX('3BR_H-processed'!$E:$E,MATCH($L47,'3BR_H-processed'!$B:$B,0),MATCH(Council_Area,'3BR_H-processed'!$E$1:$E$1,0)),
INDEX('2BR_F-processed'!$E:$E,MATCH($L47,'2BR_F-processed'!$B:$B,0),MATCH(Council_Area,'2BR_F-processed'!$E$1:$E$1,0)))</f>
        <v>378</v>
      </c>
      <c r="U47" s="22">
        <f t="shared" si="25"/>
        <v>378</v>
      </c>
      <c r="V47" s="22">
        <f t="shared" si="34"/>
        <v>4860</v>
      </c>
      <c r="W47" s="22">
        <f>$B$53/4*BH47/_xlfn.XLOOKUP(Q_end,cpi!A:A,cpi!B:B)</f>
        <v>152.72978576364895</v>
      </c>
      <c r="X47" s="22">
        <f t="shared" si="42"/>
        <v>5012.7297857636486</v>
      </c>
      <c r="Y47" s="22">
        <f t="shared" si="43"/>
        <v>1923.3195048139432</v>
      </c>
      <c r="Z47" s="22">
        <f t="shared" si="64"/>
        <v>0</v>
      </c>
      <c r="AA47" s="22" cm="1">
        <f t="array" ref="AA47">(Y47+Z47)*eff_invest</f>
        <v>1923.3195048139432</v>
      </c>
      <c r="AB47" s="22">
        <f>AA47*(_xlfn.XLOOKUP(Q_end,cpi!A:A,cpi!B:B)/BH47)</f>
        <v>2518.5912429554528</v>
      </c>
      <c r="AC47" s="22" cm="1">
        <f t="array" ref="AC47">INDEX('msci-indices'!C:C,MATCH($L47,'msci-indices'!$B:$B)-2)</f>
        <v>1355.3009059999999</v>
      </c>
      <c r="AD47" s="22" cm="1">
        <f t="array" ref="AD47">INDEX('msci-indices'!D:D,MATCH($L47,'msci-indices'!$B:$B)-2)</f>
        <v>1356.3584840000001</v>
      </c>
      <c r="AE47" s="22">
        <f t="shared" si="65"/>
        <v>333829.31951874436</v>
      </c>
      <c r="AF47" s="22" cm="1">
        <f t="array" ref="AF47">INDEX('msci-indices'!C:C,MATCH($L47,'msci-indices'!$B:$B)+1)</f>
        <v>1439.6180119999999</v>
      </c>
      <c r="AG47" s="22" cm="1">
        <f t="array" ref="AG47">INDEX('msci-indices'!D:D,MATCH($L47,'msci-indices'!$B:$B)+1)</f>
        <v>1424.068485</v>
      </c>
      <c r="AH47" s="22">
        <f t="shared" si="44"/>
        <v>208.64332469921524</v>
      </c>
      <c r="AI47" s="22">
        <f t="shared" si="45"/>
        <v>353158.07420173526</v>
      </c>
      <c r="AJ47" s="22">
        <f t="shared" si="66"/>
        <v>203768.47402083827</v>
      </c>
      <c r="AK47" s="22">
        <f t="shared" si="46"/>
        <v>149389.60018089699</v>
      </c>
      <c r="AL47" s="22">
        <f>AJ47*(_xlfn.XLOOKUP(Q_end,cpi!A:A,cpi!B:B)/BH47)</f>
        <v>266835.27774493478</v>
      </c>
      <c r="AM47" s="22" cm="1">
        <f t="array" ref="AM47">SUMPRODUCT($AA$3:AA47,_xlfn.SORTBY($BH$3:BH47,_xlfn.SEQUENCE(ROWS($BH$3:BH47)),-1)/$BH$3)</f>
        <v>254151.64130509298</v>
      </c>
      <c r="AN47" s="22">
        <f t="shared" si="30"/>
        <v>99006.432896642276</v>
      </c>
      <c r="AO47" s="22">
        <f t="shared" si="47"/>
        <v>0</v>
      </c>
      <c r="AP47" s="22">
        <f t="shared" si="31"/>
        <v>353158.07420173526</v>
      </c>
      <c r="AQ47" s="22"/>
      <c r="AR47" s="10">
        <f>IF($B$10="3BR_H",
INDEX('ns-combined'!$C:$D,MATCH($L47,'ns-combined'!$B:$B,0),MATCH(Council_Area,'ns-combined'!$C$1:$D$1,0))*1000,
INDEX('s-combined'!$C:$D,MATCH($L47,'s-combined'!$B:$B,0),MATCH(Council_Area,'s-combined'!$C$1:$D$1,0))*1000)</f>
        <v>510000</v>
      </c>
      <c r="AS47" s="22">
        <f t="shared" si="35"/>
        <v>41625</v>
      </c>
      <c r="AT47" s="10">
        <v>0</v>
      </c>
      <c r="AU47" s="22">
        <f t="shared" si="48"/>
        <v>10200</v>
      </c>
      <c r="AV47" s="22">
        <f t="shared" si="49"/>
        <v>1466.25</v>
      </c>
      <c r="AW47" s="22">
        <f>SUM($AV$3:AV47)</f>
        <v>63702.8125</v>
      </c>
      <c r="AX47" s="22">
        <f t="shared" si="50"/>
        <v>394472.1875</v>
      </c>
      <c r="AY47" s="22">
        <f t="shared" si="51"/>
        <v>1701.0000000000002</v>
      </c>
      <c r="AZ47" s="24">
        <f t="shared" si="52"/>
        <v>1.3341176470588237E-2</v>
      </c>
      <c r="BA47" s="24">
        <f t="shared" si="53"/>
        <v>0.35000000000000003</v>
      </c>
      <c r="BB47" s="25">
        <f>IF(MortgageRate="Discounted",_xlfn.XLOOKUP(L47,'mortgage-rates'!$A:$A,'mortgage-rates'!$E:$E)/100,_xlfn.XLOOKUP(L47,'mortgage-rates'!$A:$A,'mortgage-rates'!$D:$D)/100)</f>
        <v>4.53E-2</v>
      </c>
      <c r="BC47" s="10">
        <f t="shared" si="67"/>
        <v>216218.71057974955</v>
      </c>
      <c r="BD47" s="10">
        <f t="shared" si="54"/>
        <v>5235.0492905775918</v>
      </c>
      <c r="BE47" s="10">
        <f t="shared" si="55"/>
        <v>2448.6768973156636</v>
      </c>
      <c r="BF47" s="10">
        <f t="shared" si="36"/>
        <v>2786.3723932619282</v>
      </c>
      <c r="BG47" s="12">
        <f t="shared" si="56"/>
        <v>6936.0492905775918</v>
      </c>
      <c r="BH47" s="22">
        <f>INDEX(cpi!B:B,MATCH($L47,cpi!A:A))</f>
        <v>110.5</v>
      </c>
      <c r="BI47" s="22">
        <f t="shared" si="57"/>
        <v>130.6146572104019</v>
      </c>
      <c r="BJ47" s="22">
        <f t="shared" si="58"/>
        <v>179.53868222836397</v>
      </c>
      <c r="BK47" s="22">
        <f t="shared" si="59"/>
        <v>190.24428072652827</v>
      </c>
      <c r="BL47" s="22">
        <f t="shared" si="60"/>
        <v>182.75036177781325</v>
      </c>
      <c r="BM47" s="22">
        <f t="shared" si="61"/>
        <v>343.31673247295356</v>
      </c>
      <c r="BN47" s="22">
        <f t="shared" si="62"/>
        <v>137.83783783783784</v>
      </c>
      <c r="BO47">
        <f t="shared" si="63"/>
        <v>109.3898727507808</v>
      </c>
    </row>
    <row r="48" spans="1:67" x14ac:dyDescent="0.25">
      <c r="A48" t="s">
        <v>478</v>
      </c>
      <c r="B48" s="8">
        <v>0.32</v>
      </c>
      <c r="C48" s="8">
        <v>0.32</v>
      </c>
      <c r="L48" s="1">
        <f t="shared" si="33"/>
        <v>42887</v>
      </c>
      <c r="M48" s="10">
        <f t="shared" si="38"/>
        <v>362849.80417277466</v>
      </c>
      <c r="N48" s="10">
        <f t="shared" si="39"/>
        <v>174740.09931351239</v>
      </c>
      <c r="O48" s="7">
        <f t="shared" si="24"/>
        <v>2.0765113766002994</v>
      </c>
      <c r="P48" s="7">
        <f t="shared" si="40"/>
        <v>0.73029586594579465</v>
      </c>
      <c r="Q48">
        <v>46</v>
      </c>
      <c r="R48">
        <f t="shared" si="41"/>
        <v>91</v>
      </c>
      <c r="S48" s="22"/>
      <c r="T48" s="22">
        <f>IF($B$10="3BR_H",
INDEX('3BR_H-processed'!$E:$E,MATCH($L48,'3BR_H-processed'!$B:$B,0),MATCH(Council_Area,'3BR_H-processed'!$E$1:$E$1,0)),
INDEX('2BR_F-processed'!$E:$E,MATCH($L48,'2BR_F-processed'!$B:$B,0),MATCH(Council_Area,'2BR_F-processed'!$E$1:$E$1,0)))</f>
        <v>378</v>
      </c>
      <c r="U48" s="22">
        <f t="shared" si="25"/>
        <v>378</v>
      </c>
      <c r="V48" s="22">
        <f t="shared" si="34"/>
        <v>4914</v>
      </c>
      <c r="W48" s="22">
        <f>$B$53/4*BH48/_xlfn.XLOOKUP(Q_end,cpi!A:A,cpi!B:B)</f>
        <v>153.28265376641329</v>
      </c>
      <c r="X48" s="22">
        <f t="shared" si="42"/>
        <v>5067.2826537664132</v>
      </c>
      <c r="Y48" s="22">
        <f t="shared" si="43"/>
        <v>1871.3882193102891</v>
      </c>
      <c r="Z48" s="22">
        <f t="shared" si="64"/>
        <v>0</v>
      </c>
      <c r="AA48" s="22" cm="1">
        <f t="array" ref="AA48">(Y48+Z48)*eff_invest</f>
        <v>1871.3882193102891</v>
      </c>
      <c r="AB48" s="22">
        <f>AA48*(_xlfn.XLOOKUP(Q_end,cpi!A:A,cpi!B:B)/BH48)</f>
        <v>2441.7481995870044</v>
      </c>
      <c r="AC48" s="22" cm="1">
        <f t="array" ref="AC48">INDEX('msci-indices'!C:C,MATCH($L48,'msci-indices'!$B:$B)-2)</f>
        <v>1439.6180119999999</v>
      </c>
      <c r="AD48" s="22" cm="1">
        <f t="array" ref="AD48">INDEX('msci-indices'!D:D,MATCH($L48,'msci-indices'!$B:$B)-2)</f>
        <v>1424.068485</v>
      </c>
      <c r="AE48" s="22">
        <f t="shared" si="65"/>
        <v>355029.46242104552</v>
      </c>
      <c r="AF48" s="22" cm="1">
        <f t="array" ref="AF48">INDEX('msci-indices'!C:C,MATCH($L48,'msci-indices'!$B:$B)+1)</f>
        <v>1498.0163219999999</v>
      </c>
      <c r="AG48" s="22" cm="1">
        <f t="array" ref="AG48">INDEX('msci-indices'!D:D,MATCH($L48,'msci-indices'!$B:$B)+1)</f>
        <v>1396.8056610000001</v>
      </c>
      <c r="AH48" s="22">
        <f t="shared" si="44"/>
        <v>221.89341401315346</v>
      </c>
      <c r="AI48" s="22">
        <f t="shared" si="45"/>
        <v>362849.80417277466</v>
      </c>
      <c r="AJ48" s="22">
        <f t="shared" si="66"/>
        <v>205639.86224014856</v>
      </c>
      <c r="AK48" s="22">
        <f t="shared" si="46"/>
        <v>157209.9419326261</v>
      </c>
      <c r="AL48" s="22">
        <f>AJ48*(_xlfn.XLOOKUP(Q_end,cpi!A:A,cpi!B:B)/BH48)</f>
        <v>268314.59031694761</v>
      </c>
      <c r="AM48" s="22" cm="1">
        <f t="array" ref="AM48">SUMPRODUCT($AA$3:AA48,_xlfn.SORTBY($BH$3:BH48,_xlfn.SEQUENCE(ROWS($BH$3:BH48)),-1)/$BH$3)</f>
        <v>257172.91933543631</v>
      </c>
      <c r="AN48" s="22">
        <f t="shared" si="30"/>
        <v>105676.88483733835</v>
      </c>
      <c r="AO48" s="22">
        <f t="shared" si="47"/>
        <v>0</v>
      </c>
      <c r="AP48" s="22">
        <f t="shared" si="31"/>
        <v>362849.80417277466</v>
      </c>
      <c r="AQ48" s="22"/>
      <c r="AR48" s="10">
        <f>IF($B$10="3BR_H",
INDEX('ns-combined'!$C:$D,MATCH($L48,'ns-combined'!$B:$B,0),MATCH(Council_Area,'ns-combined'!$C$1:$D$1,0))*1000,
INDEX('s-combined'!$C:$D,MATCH($L48,'s-combined'!$B:$B,0),MATCH(Council_Area,'s-combined'!$C$1:$D$1,0))*1000)</f>
        <v>506000</v>
      </c>
      <c r="AS48" s="22">
        <f t="shared" si="35"/>
        <v>42550</v>
      </c>
      <c r="AT48" s="10">
        <v>0</v>
      </c>
      <c r="AU48" s="22">
        <f t="shared" si="48"/>
        <v>10120</v>
      </c>
      <c r="AV48" s="22">
        <f t="shared" si="49"/>
        <v>1454.75</v>
      </c>
      <c r="AW48" s="22">
        <f>SUM($AV$3:AV48)</f>
        <v>65157.5625</v>
      </c>
      <c r="AX48" s="22">
        <f t="shared" si="50"/>
        <v>388172.4375</v>
      </c>
      <c r="AY48" s="22">
        <f t="shared" si="51"/>
        <v>1719.9</v>
      </c>
      <c r="AZ48" s="24">
        <f t="shared" si="52"/>
        <v>1.359604743083004E-2</v>
      </c>
      <c r="BA48" s="24">
        <f t="shared" si="53"/>
        <v>0.35000000000000003</v>
      </c>
      <c r="BB48" s="25">
        <f>IF(MortgageRate="Discounted",_xlfn.XLOOKUP(L48,'mortgage-rates'!$A:$A,'mortgage-rates'!$E:$E)/100,_xlfn.XLOOKUP(L48,'mortgage-rates'!$A:$A,'mortgage-rates'!$D:$D)/100)</f>
        <v>4.4800000000000006E-2</v>
      </c>
      <c r="BC48" s="10">
        <f t="shared" si="67"/>
        <v>213432.33818648761</v>
      </c>
      <c r="BD48" s="10">
        <f t="shared" si="54"/>
        <v>5218.7708730767017</v>
      </c>
      <c r="BE48" s="10">
        <f t="shared" si="55"/>
        <v>2390.4421876886618</v>
      </c>
      <c r="BF48" s="10">
        <f t="shared" si="36"/>
        <v>2828.32868538804</v>
      </c>
      <c r="BG48" s="12">
        <f t="shared" si="56"/>
        <v>6938.6708730767023</v>
      </c>
      <c r="BH48" s="22">
        <f>INDEX(cpi!B:B,MATCH($L48,cpi!A:A))</f>
        <v>110.9</v>
      </c>
      <c r="BI48" s="22">
        <f t="shared" si="57"/>
        <v>131.0874704491726</v>
      </c>
      <c r="BJ48" s="22">
        <f t="shared" si="58"/>
        <v>190.70829189477206</v>
      </c>
      <c r="BK48" s="22">
        <f t="shared" si="59"/>
        <v>199.74135734026328</v>
      </c>
      <c r="BL48" s="22">
        <f t="shared" si="60"/>
        <v>193.41821152841945</v>
      </c>
      <c r="BM48" s="22">
        <f t="shared" si="61"/>
        <v>365.11938240097771</v>
      </c>
      <c r="BN48" s="22">
        <f t="shared" si="62"/>
        <v>136.75675675675674</v>
      </c>
      <c r="BO48">
        <f t="shared" si="63"/>
        <v>107.64290839512078</v>
      </c>
    </row>
    <row r="49" spans="1:67" x14ac:dyDescent="0.25">
      <c r="A49" s="6" t="s">
        <v>493</v>
      </c>
      <c r="B49" t="s">
        <v>341</v>
      </c>
      <c r="C49" t="s">
        <v>341</v>
      </c>
      <c r="L49" s="1">
        <f t="shared" si="33"/>
        <v>42979</v>
      </c>
      <c r="M49" s="10">
        <f t="shared" si="38"/>
        <v>378401.60029166978</v>
      </c>
      <c r="N49" s="10">
        <f t="shared" si="39"/>
        <v>169325.92799890041</v>
      </c>
      <c r="O49" s="7">
        <f t="shared" si="24"/>
        <v>2.2347528506923471</v>
      </c>
      <c r="P49" s="7">
        <f t="shared" si="40"/>
        <v>0.73649163451959887</v>
      </c>
      <c r="Q49">
        <v>47</v>
      </c>
      <c r="R49">
        <f t="shared" si="41"/>
        <v>92</v>
      </c>
      <c r="S49" s="22"/>
      <c r="T49" s="22">
        <f>IF($B$10="3BR_H",
INDEX('3BR_H-processed'!$E:$E,MATCH($L49,'3BR_H-processed'!$B:$B,0),MATCH(Council_Area,'3BR_H-processed'!$E$1:$E$1,0)),
INDEX('2BR_F-processed'!$E:$E,MATCH($L49,'2BR_F-processed'!$B:$B,0),MATCH(Council_Area,'2BR_F-processed'!$E$1:$E$1,0)))</f>
        <v>360</v>
      </c>
      <c r="U49" s="22">
        <f t="shared" si="25"/>
        <v>378</v>
      </c>
      <c r="V49" s="22">
        <f t="shared" si="34"/>
        <v>4968</v>
      </c>
      <c r="W49" s="22">
        <f>$B$53/4*BH49/_xlfn.XLOOKUP(Q_end,cpi!A:A,cpi!B:B)</f>
        <v>153.83552176917763</v>
      </c>
      <c r="X49" s="22">
        <f t="shared" si="42"/>
        <v>5121.8355217691778</v>
      </c>
      <c r="Y49" s="22">
        <f t="shared" si="43"/>
        <v>1832.5347408476746</v>
      </c>
      <c r="Z49" s="22">
        <f t="shared" si="64"/>
        <v>0</v>
      </c>
      <c r="AA49" s="22" cm="1">
        <f t="array" ref="AA49">(Y49+Z49)*eff_invest</f>
        <v>1832.5347408476746</v>
      </c>
      <c r="AB49" s="22">
        <f>AA49*(_xlfn.XLOOKUP(Q_end,cpi!A:A,cpi!B:B)/BH49)</f>
        <v>2382.4598113266711</v>
      </c>
      <c r="AC49" s="22" cm="1">
        <f t="array" ref="AC49">INDEX('msci-indices'!C:C,MATCH($L49,'msci-indices'!$B:$B)-2)</f>
        <v>1498.0163219999999</v>
      </c>
      <c r="AD49" s="22" cm="1">
        <f t="array" ref="AD49">INDEX('msci-indices'!D:D,MATCH($L49,'msci-indices'!$B:$B)-2)</f>
        <v>1396.8056610000001</v>
      </c>
      <c r="AE49" s="22">
        <f t="shared" si="65"/>
        <v>364682.33891362231</v>
      </c>
      <c r="AF49" s="22" cm="1">
        <f t="array" ref="AF49">INDEX('msci-indices'!C:C,MATCH($L49,'msci-indices'!$B:$B)+1)</f>
        <v>1573.3488809999999</v>
      </c>
      <c r="AG49" s="22" cm="1">
        <f t="array" ref="AG49">INDEX('msci-indices'!D:D,MATCH($L49,'msci-indices'!$B:$B)+1)</f>
        <v>1410.9739790000001</v>
      </c>
      <c r="AH49" s="22">
        <f t="shared" si="44"/>
        <v>227.92646182101396</v>
      </c>
      <c r="AI49" s="22">
        <f t="shared" si="45"/>
        <v>378401.60029166978</v>
      </c>
      <c r="AJ49" s="22">
        <f t="shared" si="66"/>
        <v>207472.39698099624</v>
      </c>
      <c r="AK49" s="22">
        <f t="shared" si="46"/>
        <v>170929.20331067353</v>
      </c>
      <c r="AL49" s="22">
        <f>AJ49*(_xlfn.XLOOKUP(Q_end,cpi!A:A,cpi!B:B)/BH49)</f>
        <v>269732.75690161862</v>
      </c>
      <c r="AM49" s="22" cm="1">
        <f t="array" ref="AM49">SUMPRODUCT($AA$3:AA49,_xlfn.SORTBY($BH$3:BH49,_xlfn.SEQUENCE(ROWS($BH$3:BH49)),-1)/$BH$3)</f>
        <v>260168.62338813013</v>
      </c>
      <c r="AN49" s="22">
        <f t="shared" si="30"/>
        <v>118232.97690353965</v>
      </c>
      <c r="AO49" s="22">
        <f t="shared" si="47"/>
        <v>0</v>
      </c>
      <c r="AP49" s="22">
        <f t="shared" si="31"/>
        <v>378401.60029166978</v>
      </c>
      <c r="AQ49" s="22"/>
      <c r="AR49" s="10">
        <f>IF($B$10="3BR_H",
INDEX('ns-combined'!$C:$D,MATCH($L49,'ns-combined'!$B:$B,0),MATCH(Council_Area,'ns-combined'!$C$1:$D$1,0))*1000,
INDEX('s-combined'!$C:$D,MATCH($L49,'s-combined'!$B:$B,0),MATCH(Council_Area,'s-combined'!$C$1:$D$1,0))*1000)</f>
        <v>500000</v>
      </c>
      <c r="AS49" s="22">
        <f t="shared" si="35"/>
        <v>43475</v>
      </c>
      <c r="AT49" s="10">
        <v>0</v>
      </c>
      <c r="AU49" s="22">
        <f t="shared" si="48"/>
        <v>10000</v>
      </c>
      <c r="AV49" s="22">
        <f t="shared" si="49"/>
        <v>1437.5</v>
      </c>
      <c r="AW49" s="22">
        <f>SUM($AV$3:AV49)</f>
        <v>66595.0625</v>
      </c>
      <c r="AX49" s="22">
        <f t="shared" si="50"/>
        <v>379929.9375</v>
      </c>
      <c r="AY49" s="22">
        <f t="shared" si="51"/>
        <v>1738.8000000000002</v>
      </c>
      <c r="AZ49" s="24">
        <f t="shared" si="52"/>
        <v>1.3910400000000002E-2</v>
      </c>
      <c r="BA49" s="24">
        <f t="shared" si="53"/>
        <v>0.35000000000000003</v>
      </c>
      <c r="BB49" s="25">
        <f>IF(MortgageRate="Discounted",_xlfn.XLOOKUP(L49,'mortgage-rates'!$A:$A,'mortgage-rates'!$E:$E)/100,_xlfn.XLOOKUP(L49,'mortgage-rates'!$A:$A,'mortgage-rates'!$D:$D)/100)</f>
        <v>4.4699999999999997E-2</v>
      </c>
      <c r="BC49" s="10">
        <f t="shared" si="67"/>
        <v>210604.00950109959</v>
      </c>
      <c r="BD49" s="10">
        <f t="shared" si="54"/>
        <v>5215.5702626168522</v>
      </c>
      <c r="BE49" s="10">
        <f t="shared" si="55"/>
        <v>2353.4998061747879</v>
      </c>
      <c r="BF49" s="10">
        <f t="shared" si="36"/>
        <v>2862.0704564420644</v>
      </c>
      <c r="BG49" s="12">
        <f t="shared" si="56"/>
        <v>6954.3702626168524</v>
      </c>
      <c r="BH49" s="22">
        <f>INDEX(cpi!B:B,MATCH($L49,cpi!A:A))</f>
        <v>111.3</v>
      </c>
      <c r="BI49" s="22">
        <f t="shared" si="57"/>
        <v>131.56028368794327</v>
      </c>
      <c r="BJ49" s="22">
        <f t="shared" si="58"/>
        <v>198.44440095759853</v>
      </c>
      <c r="BK49" s="22">
        <f t="shared" si="59"/>
        <v>195.91744470681382</v>
      </c>
      <c r="BL49" s="22">
        <f t="shared" si="60"/>
        <v>197.68631408236314</v>
      </c>
      <c r="BM49" s="22">
        <f t="shared" si="61"/>
        <v>375.04659317196092</v>
      </c>
      <c r="BN49" s="22">
        <f t="shared" si="62"/>
        <v>135.13513513513513</v>
      </c>
      <c r="BO49">
        <f t="shared" si="63"/>
        <v>105.35720599398937</v>
      </c>
    </row>
    <row r="50" spans="1:67" x14ac:dyDescent="0.25">
      <c r="A50" t="s">
        <v>488</v>
      </c>
      <c r="B50" s="8">
        <f>IF(OR(B44="Yes",B49="No"),0,MAX(0.3,B48))</f>
        <v>0</v>
      </c>
      <c r="C50" s="8">
        <v>0</v>
      </c>
      <c r="L50" s="1">
        <f t="shared" si="33"/>
        <v>43070</v>
      </c>
      <c r="M50" s="10">
        <f>AP50</f>
        <v>403495.98895596096</v>
      </c>
      <c r="N50" s="10">
        <f t="shared" si="39"/>
        <v>184482.37345534249</v>
      </c>
      <c r="O50" s="7">
        <f t="shared" si="24"/>
        <v>2.1871790859934643</v>
      </c>
      <c r="P50" s="7">
        <f t="shared" si="40"/>
        <v>0.73531821478507797</v>
      </c>
      <c r="Q50">
        <v>48</v>
      </c>
      <c r="R50">
        <f t="shared" si="41"/>
        <v>92</v>
      </c>
      <c r="S50" s="22"/>
      <c r="T50" s="22">
        <f>IF($B$10="3BR_H",
INDEX('3BR_H-processed'!$E:$E,MATCH($L50,'3BR_H-processed'!$B:$B,0),MATCH(Council_Area,'3BR_H-processed'!$E$1:$E$1,0)),
INDEX('2BR_F-processed'!$E:$E,MATCH($L50,'2BR_F-processed'!$B:$B,0),MATCH(Council_Area,'2BR_F-processed'!$E$1:$E$1,0)))</f>
        <v>360</v>
      </c>
      <c r="U50" s="22">
        <f t="shared" si="25"/>
        <v>378</v>
      </c>
      <c r="V50" s="22">
        <f t="shared" si="34"/>
        <v>4968</v>
      </c>
      <c r="W50" s="22">
        <f>$B$53/4*BH50/_xlfn.XLOOKUP(Q_end,cpi!A:A,cpi!B:B)</f>
        <v>154.94125777470629</v>
      </c>
      <c r="X50" s="22">
        <f t="shared" si="42"/>
        <v>5122.9412577747062</v>
      </c>
      <c r="Y50" s="22">
        <f t="shared" si="43"/>
        <v>1844.0305304490657</v>
      </c>
      <c r="Z50" s="22">
        <f t="shared" si="64"/>
        <v>0</v>
      </c>
      <c r="AA50" s="22" cm="1">
        <f t="array" ref="AA50">(Y50+Z50)*eff_invest</f>
        <v>1844.0305304490657</v>
      </c>
      <c r="AB50" s="22">
        <f>AA50*(_xlfn.XLOOKUP(Q_end,cpi!A:A,cpi!B:B)/BH50)</f>
        <v>2380.2963225332719</v>
      </c>
      <c r="AC50" s="22" cm="1">
        <f t="array" ref="AC50">INDEX('msci-indices'!C:C,MATCH($L50,'msci-indices'!$B:$B)-2)</f>
        <v>1573.3488809999999</v>
      </c>
      <c r="AD50" s="22" cm="1">
        <f t="array" ref="AD50">INDEX('msci-indices'!D:D,MATCH($L50,'msci-indices'!$B:$B)-2)</f>
        <v>1410.9739790000001</v>
      </c>
      <c r="AE50" s="22">
        <f t="shared" si="65"/>
        <v>380245.63082211884</v>
      </c>
      <c r="AF50" s="22" cm="1">
        <f t="array" ref="AF50">INDEX('msci-indices'!C:C,MATCH($L50,'msci-indices'!$B:$B)+1)</f>
        <v>1659.3666479999999</v>
      </c>
      <c r="AG50" s="22" cm="1">
        <f t="array" ref="AG50">INDEX('msci-indices'!D:D,MATCH($L50,'msci-indices'!$B:$B)+1)</f>
        <v>1521.502109</v>
      </c>
      <c r="AH50" s="22">
        <f t="shared" si="44"/>
        <v>237.65351926382428</v>
      </c>
      <c r="AI50" s="22">
        <f t="shared" si="45"/>
        <v>403495.98895596096</v>
      </c>
      <c r="AJ50" s="22">
        <f t="shared" si="66"/>
        <v>209316.4275114453</v>
      </c>
      <c r="AK50" s="22">
        <f t="shared" si="46"/>
        <v>194179.56144451565</v>
      </c>
      <c r="AL50" s="22">
        <f>AJ50*(_xlfn.XLOOKUP(Q_end,cpi!A:A,cpi!B:B)/BH50)</f>
        <v>270188.1093747202</v>
      </c>
      <c r="AM50" s="22" cm="1">
        <f t="array" ref="AM50">SUMPRODUCT($AA$3:AA50,_xlfn.SORTBY($BH$3:BH50,_xlfn.SEQUENCE(ROWS($BH$3:BH50)),-1)/$BH$3)</f>
        <v>263646.82580335927</v>
      </c>
      <c r="AN50" s="22">
        <f t="shared" si="30"/>
        <v>139849.16315260169</v>
      </c>
      <c r="AO50" s="22">
        <f t="shared" si="47"/>
        <v>0</v>
      </c>
      <c r="AP50" s="22">
        <f t="shared" si="31"/>
        <v>403495.98895596096</v>
      </c>
      <c r="AQ50" s="22"/>
      <c r="AR50" s="10">
        <f>IF($B$10="3BR_H",
INDEX('ns-combined'!$C:$D,MATCH($L50,'ns-combined'!$B:$B,0),MATCH(Council_Area,'ns-combined'!$C$1:$D$1,0))*1000,
INDEX('s-combined'!$C:$D,MATCH($L50,'s-combined'!$B:$B,0),MATCH(Council_Area,'s-combined'!$C$1:$D$1,0))*1000)</f>
        <v>515000</v>
      </c>
      <c r="AS50" s="22">
        <f t="shared" si="35"/>
        <v>44400</v>
      </c>
      <c r="AT50" s="10">
        <v>0</v>
      </c>
      <c r="AU50" s="22">
        <f t="shared" si="48"/>
        <v>10300</v>
      </c>
      <c r="AV50" s="22">
        <f t="shared" si="49"/>
        <v>1480.625</v>
      </c>
      <c r="AW50" s="22">
        <f>SUM($AV$3:AV50)</f>
        <v>68075.6875</v>
      </c>
      <c r="AX50" s="22">
        <f t="shared" si="50"/>
        <v>392224.3125</v>
      </c>
      <c r="AY50" s="22">
        <f t="shared" si="51"/>
        <v>1738.8000000000002</v>
      </c>
      <c r="AZ50" s="24">
        <f t="shared" si="52"/>
        <v>1.3505242718446603E-2</v>
      </c>
      <c r="BA50" s="24">
        <f t="shared" si="53"/>
        <v>0.35000000000000003</v>
      </c>
      <c r="BB50" s="25">
        <f>IF(MortgageRate="Discounted",_xlfn.XLOOKUP(L50,'mortgage-rates'!$A:$A,'mortgage-rates'!$E:$E)/100,_xlfn.XLOOKUP(L50,'mortgage-rates'!$A:$A,'mortgage-rates'!$D:$D)/100)</f>
        <v>4.5100000000000001E-2</v>
      </c>
      <c r="BC50" s="10">
        <f t="shared" si="67"/>
        <v>207741.93904465751</v>
      </c>
      <c r="BD50" s="10">
        <f t="shared" si="54"/>
        <v>5228.1717882237717</v>
      </c>
      <c r="BE50" s="10">
        <f t="shared" si="55"/>
        <v>2342.2903627285136</v>
      </c>
      <c r="BF50" s="10">
        <f t="shared" si="36"/>
        <v>2885.8814254952581</v>
      </c>
      <c r="BG50" s="12">
        <f t="shared" si="56"/>
        <v>6966.9717882237719</v>
      </c>
      <c r="BH50" s="22">
        <f>INDEX(cpi!B:B,MATCH($L50,cpi!A:A))</f>
        <v>112.1</v>
      </c>
      <c r="BI50" s="22">
        <f t="shared" si="57"/>
        <v>132.50591016548464</v>
      </c>
      <c r="BJ50" s="22">
        <f t="shared" si="58"/>
        <v>208.42381461538773</v>
      </c>
      <c r="BK50" s="22">
        <f t="shared" si="59"/>
        <v>197.90470802901882</v>
      </c>
      <c r="BL50" s="22">
        <f t="shared" si="60"/>
        <v>205.26808263947706</v>
      </c>
      <c r="BM50" s="22">
        <f t="shared" si="61"/>
        <v>391.05219307627891</v>
      </c>
      <c r="BN50" s="22">
        <f t="shared" si="62"/>
        <v>139.18918918918919</v>
      </c>
      <c r="BO50">
        <f t="shared" si="63"/>
        <v>108.76652142716013</v>
      </c>
    </row>
    <row r="51" spans="1:67" x14ac:dyDescent="0.25">
      <c r="L51" s="1">
        <f t="shared" si="33"/>
        <v>43160</v>
      </c>
      <c r="M51" s="10">
        <f>AP51</f>
        <v>397108.22509988683</v>
      </c>
      <c r="N51" s="10">
        <f t="shared" si="39"/>
        <v>180077.00488083775</v>
      </c>
      <c r="O51" s="7">
        <f t="shared" si="24"/>
        <v>2.205213405024506</v>
      </c>
      <c r="P51" s="7">
        <f t="shared" si="40"/>
        <v>0.69863054495471544</v>
      </c>
      <c r="Q51">
        <v>49</v>
      </c>
      <c r="R51">
        <f t="shared" si="41"/>
        <v>90</v>
      </c>
      <c r="S51" s="22"/>
      <c r="T51" s="22">
        <f>IF($B$10="3BR_H",
INDEX('3BR_H-processed'!$E:$E,MATCH($L51,'3BR_H-processed'!$B:$B,0),MATCH(Council_Area,'3BR_H-processed'!$E$1:$E$1,0)),
INDEX('2BR_F-processed'!$E:$E,MATCH($L51,'2BR_F-processed'!$B:$B,0),MATCH(Council_Area,'2BR_F-processed'!$E$1:$E$1,0)))</f>
        <v>360</v>
      </c>
      <c r="U51" s="22">
        <f t="shared" si="25"/>
        <v>360</v>
      </c>
      <c r="V51" s="22">
        <f t="shared" si="34"/>
        <v>4628.5714285714284</v>
      </c>
      <c r="W51" s="22">
        <f>$B$53/4*BH51/_xlfn.XLOOKUP(Q_end,cpi!A:A,cpi!B:B)</f>
        <v>155.7705597788528</v>
      </c>
      <c r="X51" s="22">
        <f t="shared" si="42"/>
        <v>4784.3419883502811</v>
      </c>
      <c r="Y51" s="22">
        <f t="shared" si="43"/>
        <v>2063.8297998734897</v>
      </c>
      <c r="Z51" s="22">
        <f t="shared" si="64"/>
        <v>0</v>
      </c>
      <c r="AA51" s="22" cm="1">
        <f t="array" ref="AA51">(Y51+Z51)*eff_invest</f>
        <v>2063.8297998734897</v>
      </c>
      <c r="AB51" s="22">
        <f>AA51*(_xlfn.XLOOKUP(Q_end,cpi!A:A,cpi!B:B)/BH51)</f>
        <v>2649.832937370842</v>
      </c>
      <c r="AC51" s="22" cm="1">
        <f t="array" ref="AC51">INDEX('msci-indices'!C:C,MATCH($L51,'msci-indices'!$B:$B)-2)</f>
        <v>1659.3666479999999</v>
      </c>
      <c r="AD51" s="22" cm="1">
        <f t="array" ref="AD51">INDEX('msci-indices'!D:D,MATCH($L51,'msci-indices'!$B:$B)-2)</f>
        <v>1521.502109</v>
      </c>
      <c r="AE51" s="22">
        <f>AI50+AA51</f>
        <v>405559.81875583442</v>
      </c>
      <c r="AF51" s="22" cm="1">
        <f t="array" ref="AF51">INDEX('msci-indices'!C:C,MATCH($L51,'msci-indices'!$B:$B)+1)</f>
        <v>1639.7568659999999</v>
      </c>
      <c r="AG51" s="22" cm="1">
        <f t="array" ref="AG51">INDEX('msci-indices'!D:D,MATCH($L51,'msci-indices'!$B:$B)+1)</f>
        <v>1460.9362550000001</v>
      </c>
      <c r="AH51" s="22">
        <f t="shared" si="44"/>
        <v>253.47488672239652</v>
      </c>
      <c r="AI51" s="22">
        <f>((AF51/AC51)*GlobalPortfolio+(AG51/AD51)*AusPortfolio)*AE51-AH51</f>
        <v>397108.22509988683</v>
      </c>
      <c r="AJ51" s="22">
        <f t="shared" si="66"/>
        <v>211380.2573113188</v>
      </c>
      <c r="AK51" s="22">
        <f t="shared" si="46"/>
        <v>185727.96778856803</v>
      </c>
      <c r="AL51" s="22">
        <f>AJ51*(_xlfn.XLOOKUP(Q_end,cpi!A:A,cpi!B:B)/BH51)</f>
        <v>271399.49629944831</v>
      </c>
      <c r="AM51" s="22" cm="1">
        <f t="array" ref="AM51">SUMPRODUCT($AA$3:AA51,_xlfn.SORTBY($BH$3:BH51,_xlfn.SEQUENCE(ROWS($BH$3:BH51)),-1)/$BH$3)</f>
        <v>267129.30640059634</v>
      </c>
      <c r="AN51" s="22">
        <f t="shared" si="30"/>
        <v>129978.91869929049</v>
      </c>
      <c r="AO51" s="22">
        <f t="shared" si="47"/>
        <v>0</v>
      </c>
      <c r="AP51" s="22">
        <f>AI51-AO51</f>
        <v>397108.22509988683</v>
      </c>
      <c r="AQ51" s="22"/>
      <c r="AR51" s="10">
        <f>IF($B$10="3BR_H",
INDEX('ns-combined'!$C:$D,MATCH($L51,'ns-combined'!$B:$B,0),MATCH(Council_Area,'ns-combined'!$C$1:$D$1,0))*1000,
INDEX('s-combined'!$C:$D,MATCH($L51,'s-combined'!$B:$B,0),MATCH(Council_Area,'s-combined'!$C$1:$D$1,0))*1000)</f>
        <v>510000</v>
      </c>
      <c r="AS51" s="22">
        <f t="shared" si="35"/>
        <v>45325</v>
      </c>
      <c r="AT51" s="10">
        <v>0</v>
      </c>
      <c r="AU51" s="22">
        <f t="shared" si="48"/>
        <v>10200</v>
      </c>
      <c r="AV51" s="22">
        <f t="shared" si="49"/>
        <v>1466.25</v>
      </c>
      <c r="AW51" s="22">
        <f>SUM($AV$3:AV51)</f>
        <v>69541.9375</v>
      </c>
      <c r="AX51" s="22">
        <f t="shared" si="50"/>
        <v>384933.0625</v>
      </c>
      <c r="AY51" s="22">
        <f t="shared" si="51"/>
        <v>1620</v>
      </c>
      <c r="AZ51" s="24">
        <f t="shared" si="52"/>
        <v>1.2705882352941176E-2</v>
      </c>
      <c r="BA51" s="24">
        <f t="shared" si="53"/>
        <v>0.35000000000000003</v>
      </c>
      <c r="BB51" s="25">
        <f>IF(MortgageRate="Discounted",_xlfn.XLOOKUP(L51,'mortgage-rates'!$A:$A,'mortgage-rates'!$E:$E)/100,_xlfn.XLOOKUP(L51,'mortgage-rates'!$A:$A,'mortgage-rates'!$D:$D)/100)</f>
        <v>4.5100000000000001E-2</v>
      </c>
      <c r="BC51" s="10">
        <f t="shared" si="67"/>
        <v>204856.05761916225</v>
      </c>
      <c r="BD51" s="10">
        <f t="shared" si="54"/>
        <v>5228.1717882237708</v>
      </c>
      <c r="BE51" s="10">
        <f t="shared" si="55"/>
        <v>2309.7520496560546</v>
      </c>
      <c r="BF51" s="10">
        <f t="shared" si="36"/>
        <v>2918.4197385677162</v>
      </c>
      <c r="BG51" s="12">
        <f t="shared" si="56"/>
        <v>6848.1717882237708</v>
      </c>
      <c r="BH51" s="22">
        <f>INDEX(cpi!B:B,MATCH($L51,cpi!A:A))</f>
        <v>112.7</v>
      </c>
      <c r="BI51" s="22">
        <f t="shared" si="57"/>
        <v>133.21513002364068</v>
      </c>
      <c r="BJ51" s="22">
        <f t="shared" si="58"/>
        <v>219.81871331798365</v>
      </c>
      <c r="BK51" s="22">
        <f t="shared" si="59"/>
        <v>213.4075008673008</v>
      </c>
      <c r="BL51" s="22">
        <f t="shared" si="60"/>
        <v>217.89534958277881</v>
      </c>
      <c r="BM51" s="22">
        <f t="shared" si="61"/>
        <v>417.08580899455217</v>
      </c>
      <c r="BN51" s="22">
        <f t="shared" si="62"/>
        <v>137.83783783783784</v>
      </c>
      <c r="BO51">
        <f t="shared" si="63"/>
        <v>106.74460724672345</v>
      </c>
    </row>
    <row r="52" spans="1:67" x14ac:dyDescent="0.25">
      <c r="A52" s="6" t="s">
        <v>348</v>
      </c>
      <c r="B52" s="8"/>
      <c r="C52" s="8"/>
      <c r="L52" s="1">
        <f t="shared" si="33"/>
        <v>43252</v>
      </c>
      <c r="M52" s="10">
        <f t="shared" si="38"/>
        <v>414956.7025336622</v>
      </c>
      <c r="N52" s="10">
        <f t="shared" si="39"/>
        <v>180604.17461940547</v>
      </c>
      <c r="O52" s="7">
        <f t="shared" si="24"/>
        <v>2.2976030504727665</v>
      </c>
      <c r="P52" s="7">
        <f t="shared" si="40"/>
        <v>0.70438983963048596</v>
      </c>
      <c r="Q52">
        <v>50</v>
      </c>
      <c r="R52">
        <f t="shared" si="41"/>
        <v>91</v>
      </c>
      <c r="S52" s="22"/>
      <c r="T52" s="22">
        <f>IF($B$10="3BR_H",
INDEX('3BR_H-processed'!$E:$E,MATCH($L52,'3BR_H-processed'!$B:$B,0),MATCH(Council_Area,'3BR_H-processed'!$E$1:$E$1,0)),
INDEX('2BR_F-processed'!$E:$E,MATCH($L52,'2BR_F-processed'!$B:$B,0),MATCH(Council_Area,'2BR_F-processed'!$E$1:$E$1,0)))</f>
        <v>360</v>
      </c>
      <c r="U52" s="22">
        <f t="shared" si="25"/>
        <v>360</v>
      </c>
      <c r="V52" s="22">
        <f t="shared" si="34"/>
        <v>4680</v>
      </c>
      <c r="W52" s="22">
        <f>$B$53/4*BH52/_xlfn.XLOOKUP(Q_end,cpi!A:A,cpi!B:B)</f>
        <v>156.46164478230824</v>
      </c>
      <c r="X52" s="22">
        <f t="shared" si="42"/>
        <v>4836.4616447823082</v>
      </c>
      <c r="Y52" s="22">
        <f t="shared" si="43"/>
        <v>2029.7101434414617</v>
      </c>
      <c r="Z52" s="22">
        <f t="shared" si="64"/>
        <v>0</v>
      </c>
      <c r="AA52" s="22" cm="1">
        <f t="array" ref="AA52">(Y52+Z52)*eff_invest</f>
        <v>2029.7101434414617</v>
      </c>
      <c r="AB52" s="22">
        <f>AA52*(_xlfn.XLOOKUP(Q_end,cpi!A:A,cpi!B:B)/BH52)</f>
        <v>2594.5146444874508</v>
      </c>
      <c r="AC52" s="22" cm="1">
        <f t="array" ref="AC52">INDEX('msci-indices'!C:C,MATCH($L52,'msci-indices'!$B:$B)-2)</f>
        <v>1639.7568659999999</v>
      </c>
      <c r="AD52" s="22" cm="1">
        <f t="array" ref="AD52">INDEX('msci-indices'!D:D,MATCH($L52,'msci-indices'!$B:$B)-2)</f>
        <v>1460.9362550000001</v>
      </c>
      <c r="AE52" s="22">
        <f t="shared" si="65"/>
        <v>399137.93524332828</v>
      </c>
      <c r="AF52" s="22" cm="1">
        <f t="array" ref="AF52">INDEX('msci-indices'!C:C,MATCH($L52,'msci-indices'!$B:$B)+1)</f>
        <v>1671.6050210000001</v>
      </c>
      <c r="AG52" s="22" cm="1">
        <f t="array" ref="AG52">INDEX('msci-indices'!D:D,MATCH($L52,'msci-indices'!$B:$B)+1)</f>
        <v>1590.772543</v>
      </c>
      <c r="AH52" s="22">
        <f t="shared" si="44"/>
        <v>249.46120952708017</v>
      </c>
      <c r="AI52" s="22">
        <f t="shared" si="45"/>
        <v>414956.7025336622</v>
      </c>
      <c r="AJ52" s="22">
        <f t="shared" si="66"/>
        <v>213409.96745476025</v>
      </c>
      <c r="AK52" s="22">
        <f t="shared" si="46"/>
        <v>201546.73507890195</v>
      </c>
      <c r="AL52" s="22">
        <f>AJ52*(_xlfn.XLOOKUP(Q_end,cpi!A:A,cpi!B:B)/BH52)</f>
        <v>272795.24991787813</v>
      </c>
      <c r="AM52" s="22" cm="1">
        <f t="array" ref="AM52">SUMPRODUCT($AA$3:AA52,_xlfn.SORTBY($BH$3:BH52,_xlfn.SEQUENCE(ROWS($BH$3:BH52)),-1)/$BH$3)</f>
        <v>270487.25773299008</v>
      </c>
      <c r="AN52" s="22">
        <f t="shared" si="30"/>
        <v>144469.44480067212</v>
      </c>
      <c r="AO52" s="22">
        <f t="shared" si="47"/>
        <v>0</v>
      </c>
      <c r="AP52" s="22">
        <f t="shared" si="31"/>
        <v>414956.7025336622</v>
      </c>
      <c r="AQ52" s="22"/>
      <c r="AR52" s="10">
        <f>IF($B$10="3BR_H",
INDEX('ns-combined'!$C:$D,MATCH($L52,'ns-combined'!$B:$B,0),MATCH(Council_Area,'ns-combined'!$C$1:$D$1,0))*1000,
INDEX('s-combined'!$C:$D,MATCH($L52,'s-combined'!$B:$B,0),MATCH(Council_Area,'s-combined'!$C$1:$D$1,0))*1000)</f>
        <v>510000</v>
      </c>
      <c r="AS52" s="22">
        <f t="shared" si="35"/>
        <v>46250</v>
      </c>
      <c r="AT52" s="10">
        <v>0</v>
      </c>
      <c r="AU52" s="22">
        <f t="shared" si="48"/>
        <v>10200</v>
      </c>
      <c r="AV52" s="22">
        <f t="shared" si="49"/>
        <v>1466.25</v>
      </c>
      <c r="AW52" s="22">
        <f>SUM($AV$3:AV52)</f>
        <v>71008.1875</v>
      </c>
      <c r="AX52" s="22">
        <f t="shared" si="50"/>
        <v>382541.8125</v>
      </c>
      <c r="AY52" s="22">
        <f t="shared" si="51"/>
        <v>1638.0000000000002</v>
      </c>
      <c r="AZ52" s="24">
        <f t="shared" si="52"/>
        <v>1.2847058823529413E-2</v>
      </c>
      <c r="BA52" s="24">
        <f t="shared" si="53"/>
        <v>0.35000000000000003</v>
      </c>
      <c r="BB52" s="25">
        <f>IF(MortgageRate="Discounted",_xlfn.XLOOKUP(L52,'mortgage-rates'!$A:$A,'mortgage-rates'!$E:$E)/100,_xlfn.XLOOKUP(L52,'mortgage-rates'!$A:$A,'mortgage-rates'!$D:$D)/100)</f>
        <v>4.5100000000000001E-2</v>
      </c>
      <c r="BC52" s="10">
        <f t="shared" si="67"/>
        <v>201937.63788059453</v>
      </c>
      <c r="BD52" s="10">
        <f t="shared" si="54"/>
        <v>5228.1717882237699</v>
      </c>
      <c r="BE52" s="10">
        <f t="shared" si="55"/>
        <v>2276.8468671037035</v>
      </c>
      <c r="BF52" s="10">
        <f t="shared" si="36"/>
        <v>2951.3249211200664</v>
      </c>
      <c r="BG52" s="12">
        <f t="shared" si="56"/>
        <v>6866.1717882237699</v>
      </c>
      <c r="BH52" s="22">
        <f>INDEX(cpi!B:B,MATCH($L52,cpi!A:A))</f>
        <v>113.2</v>
      </c>
      <c r="BI52" s="22">
        <f t="shared" si="57"/>
        <v>133.80614657210404</v>
      </c>
      <c r="BJ52" s="22">
        <f t="shared" si="58"/>
        <v>217.22097697509543</v>
      </c>
      <c r="BK52" s="22">
        <f t="shared" si="59"/>
        <v>204.91246989522486</v>
      </c>
      <c r="BL52" s="22">
        <f t="shared" si="60"/>
        <v>213.52842485113428</v>
      </c>
      <c r="BM52" s="22">
        <f t="shared" si="61"/>
        <v>410.48141586630942</v>
      </c>
      <c r="BN52" s="22">
        <f t="shared" si="62"/>
        <v>137.83783783783784</v>
      </c>
      <c r="BO52">
        <f t="shared" si="63"/>
        <v>106.08149704148165</v>
      </c>
    </row>
    <row r="53" spans="1:67" x14ac:dyDescent="0.25">
      <c r="A53" t="s">
        <v>629</v>
      </c>
      <c r="B53" s="23">
        <v>800</v>
      </c>
      <c r="C53" s="23">
        <v>800</v>
      </c>
      <c r="L53" s="1">
        <f t="shared" si="33"/>
        <v>43344</v>
      </c>
      <c r="M53" s="10">
        <f t="shared" si="38"/>
        <v>431568.48012732295</v>
      </c>
      <c r="N53" s="10">
        <f t="shared" si="39"/>
        <v>156736.12454052555</v>
      </c>
      <c r="O53" s="7">
        <f t="shared" si="24"/>
        <v>2.7534716798215655</v>
      </c>
      <c r="P53" s="7">
        <f t="shared" si="40"/>
        <v>0.70669011775324975</v>
      </c>
      <c r="Q53">
        <v>51</v>
      </c>
      <c r="R53">
        <f t="shared" si="41"/>
        <v>92</v>
      </c>
      <c r="S53" s="22"/>
      <c r="T53" s="22">
        <f>IF($B$10="3BR_H",
INDEX('3BR_H-processed'!$E:$E,MATCH($L53,'3BR_H-processed'!$B:$B,0),MATCH(Council_Area,'3BR_H-processed'!$E$1:$E$1,0)),
INDEX('2BR_F-processed'!$E:$E,MATCH($L53,'2BR_F-processed'!$B:$B,0),MATCH(Council_Area,'2BR_F-processed'!$E$1:$E$1,0)))</f>
        <v>365</v>
      </c>
      <c r="U53" s="22">
        <f t="shared" si="25"/>
        <v>360</v>
      </c>
      <c r="V53" s="22">
        <f t="shared" si="34"/>
        <v>4731.4285714285716</v>
      </c>
      <c r="W53" s="22">
        <f>$B$53/4*BH53/_xlfn.XLOOKUP(Q_end,cpi!A:A,cpi!B:B)</f>
        <v>156.87629578438148</v>
      </c>
      <c r="X53" s="22">
        <f t="shared" si="42"/>
        <v>4888.3048672129535</v>
      </c>
      <c r="Y53" s="22">
        <f t="shared" si="43"/>
        <v>2028.8781305543507</v>
      </c>
      <c r="Z53" s="22">
        <f t="shared" si="64"/>
        <v>0</v>
      </c>
      <c r="AA53" s="22" cm="1">
        <f t="array" ref="AA53">(Y53+Z53)*eff_invest</f>
        <v>2028.8781305543507</v>
      </c>
      <c r="AB53" s="22">
        <f>AA53*(_xlfn.XLOOKUP(Q_end,cpi!A:A,cpi!B:B)/BH53)</f>
        <v>2586.5961717287623</v>
      </c>
      <c r="AC53" s="22" cm="1">
        <f t="array" ref="AC53">INDEX('msci-indices'!C:C,MATCH($L53,'msci-indices'!$B:$B)-2)</f>
        <v>1671.6050210000001</v>
      </c>
      <c r="AD53" s="22" cm="1">
        <f t="array" ref="AD53">INDEX('msci-indices'!D:D,MATCH($L53,'msci-indices'!$B:$B)-2)</f>
        <v>1590.772543</v>
      </c>
      <c r="AE53" s="22">
        <f t="shared" si="65"/>
        <v>416985.58066421654</v>
      </c>
      <c r="AF53" s="22" cm="1">
        <f t="array" ref="AF53">INDEX('msci-indices'!C:C,MATCH($L53,'msci-indices'!$B:$B)+1)</f>
        <v>1747.837315</v>
      </c>
      <c r="AG53" s="22" cm="1">
        <f t="array" ref="AG53">INDEX('msci-indices'!D:D,MATCH($L53,'msci-indices'!$B:$B)+1)</f>
        <v>1610.255349</v>
      </c>
      <c r="AH53" s="22">
        <f t="shared" si="44"/>
        <v>260.61598791513535</v>
      </c>
      <c r="AI53" s="22">
        <f t="shared" si="45"/>
        <v>431568.48012732295</v>
      </c>
      <c r="AJ53" s="22">
        <f t="shared" si="66"/>
        <v>215438.84558531459</v>
      </c>
      <c r="AK53" s="22">
        <f t="shared" si="46"/>
        <v>216129.63454200837</v>
      </c>
      <c r="AL53" s="22">
        <f>AJ53*(_xlfn.XLOOKUP(Q_end,cpi!A:A,cpi!B:B)/BH53)</f>
        <v>274660.80137616757</v>
      </c>
      <c r="AM53" s="22" cm="1">
        <f t="array" ref="AM53">SUMPRODUCT($AA$3:AA53,_xlfn.SORTBY($BH$3:BH53,_xlfn.SEQUENCE(ROWS($BH$3:BH53)),-1)/$BH$3)</f>
        <v>273629.62915345794</v>
      </c>
      <c r="AN53" s="22">
        <f t="shared" si="30"/>
        <v>157938.85097386502</v>
      </c>
      <c r="AO53" s="22">
        <f t="shared" si="47"/>
        <v>0</v>
      </c>
      <c r="AP53" s="22">
        <f t="shared" si="31"/>
        <v>431568.48012732295</v>
      </c>
      <c r="AQ53" s="22"/>
      <c r="AR53" s="10">
        <f>IF($B$10="3BR_H",
INDEX('ns-combined'!$C:$D,MATCH($L53,'ns-combined'!$B:$B,0),MATCH(Council_Area,'ns-combined'!$C$1:$D$1,0))*1000,
INDEX('s-combined'!$C:$D,MATCH($L53,'s-combined'!$B:$B,0),MATCH(Council_Area,'s-combined'!$C$1:$D$1,0))*1000)</f>
        <v>485000</v>
      </c>
      <c r="AS53" s="22">
        <f t="shared" si="35"/>
        <v>47175</v>
      </c>
      <c r="AT53" s="10">
        <v>0</v>
      </c>
      <c r="AU53" s="22">
        <f t="shared" si="48"/>
        <v>9700</v>
      </c>
      <c r="AV53" s="22">
        <f t="shared" si="49"/>
        <v>1394.375</v>
      </c>
      <c r="AW53" s="22">
        <f>SUM($AV$3:AV53)</f>
        <v>72402.5625</v>
      </c>
      <c r="AX53" s="22">
        <f t="shared" si="50"/>
        <v>355722.4375</v>
      </c>
      <c r="AY53" s="22">
        <f t="shared" si="51"/>
        <v>1656.0000000000002</v>
      </c>
      <c r="AZ53" s="24">
        <f t="shared" si="52"/>
        <v>1.3657731958762888E-2</v>
      </c>
      <c r="BA53" s="24">
        <f t="shared" si="53"/>
        <v>0.35000000000000003</v>
      </c>
      <c r="BB53" s="25">
        <f>IF(MortgageRate="Discounted",_xlfn.XLOOKUP(L53,'mortgage-rates'!$A:$A,'mortgage-rates'!$E:$E)/100,_xlfn.XLOOKUP(L53,'mortgage-rates'!$A:$A,'mortgage-rates'!$D:$D)/100)</f>
        <v>4.6199999999999998E-2</v>
      </c>
      <c r="BC53" s="10">
        <f t="shared" si="67"/>
        <v>198986.31295947445</v>
      </c>
      <c r="BD53" s="10">
        <f t="shared" si="54"/>
        <v>5261.1829977673042</v>
      </c>
      <c r="BE53" s="10">
        <f t="shared" si="55"/>
        <v>2298.2919146819299</v>
      </c>
      <c r="BF53" s="10">
        <f t="shared" si="36"/>
        <v>2962.8910830853742</v>
      </c>
      <c r="BG53" s="12">
        <f t="shared" si="56"/>
        <v>6917.1829977673042</v>
      </c>
      <c r="BH53" s="22">
        <f>INDEX(cpi!B:B,MATCH($L53,cpi!A:A))</f>
        <v>113.5</v>
      </c>
      <c r="BI53" s="22">
        <f t="shared" si="57"/>
        <v>134.16075650118205</v>
      </c>
      <c r="BJ53" s="22">
        <f t="shared" si="58"/>
        <v>221.43994838933332</v>
      </c>
      <c r="BK53" s="22">
        <f t="shared" si="59"/>
        <v>223.12344546999952</v>
      </c>
      <c r="BL53" s="22">
        <f t="shared" si="60"/>
        <v>221.94499751353317</v>
      </c>
      <c r="BM53" s="22">
        <f t="shared" si="61"/>
        <v>428.83629049825794</v>
      </c>
      <c r="BN53" s="22">
        <f t="shared" si="62"/>
        <v>131.08108108108109</v>
      </c>
      <c r="BO53">
        <f t="shared" si="63"/>
        <v>98.644298396126018</v>
      </c>
    </row>
    <row r="54" spans="1:67" x14ac:dyDescent="0.25">
      <c r="A54" t="s">
        <v>630</v>
      </c>
      <c r="B54" s="8">
        <v>1</v>
      </c>
      <c r="C54" s="8">
        <v>1</v>
      </c>
      <c r="L54" s="1">
        <f t="shared" si="33"/>
        <v>43435</v>
      </c>
      <c r="M54" s="10">
        <f t="shared" si="38"/>
        <v>380167.19277583982</v>
      </c>
      <c r="N54" s="10">
        <f t="shared" si="39"/>
        <v>161288.14062361093</v>
      </c>
      <c r="O54" s="7">
        <f t="shared" si="24"/>
        <v>2.357068481947564</v>
      </c>
      <c r="P54" s="7">
        <f t="shared" si="40"/>
        <v>0.70588535620401027</v>
      </c>
      <c r="Q54">
        <v>52</v>
      </c>
      <c r="R54">
        <f t="shared" si="41"/>
        <v>92</v>
      </c>
      <c r="S54" s="22"/>
      <c r="T54" s="22">
        <f>IF($B$10="3BR_H",
INDEX('3BR_H-processed'!$E:$E,MATCH($L54,'3BR_H-processed'!$B:$B,0),MATCH(Council_Area,'3BR_H-processed'!$E$1:$E$1,0)),
INDEX('2BR_F-processed'!$E:$E,MATCH($L54,'2BR_F-processed'!$B:$B,0),MATCH(Council_Area,'2BR_F-processed'!$E$1:$E$1,0)))</f>
        <v>365</v>
      </c>
      <c r="U54" s="22">
        <f t="shared" si="25"/>
        <v>360</v>
      </c>
      <c r="V54" s="22">
        <f t="shared" si="34"/>
        <v>4731.4285714285716</v>
      </c>
      <c r="W54" s="22">
        <f>$B$53/4*BH54/_xlfn.XLOOKUP(Q_end,cpi!A:A,cpi!B:B)</f>
        <v>157.56738078783692</v>
      </c>
      <c r="X54" s="22">
        <f t="shared" si="42"/>
        <v>4888.9959522164081</v>
      </c>
      <c r="Y54" s="22">
        <f t="shared" si="43"/>
        <v>2037.0521790376752</v>
      </c>
      <c r="Z54" s="22">
        <f t="shared" si="64"/>
        <v>0</v>
      </c>
      <c r="AA54" s="22" cm="1">
        <f t="array" ref="AA54">(Y54+Z54)*eff_invest</f>
        <v>2037.0521790376752</v>
      </c>
      <c r="AB54" s="22">
        <f>AA54*(_xlfn.XLOOKUP(Q_end,cpi!A:A,cpi!B:B)/BH54)</f>
        <v>2585.6267570767682</v>
      </c>
      <c r="AC54" s="22" cm="1">
        <f t="array" ref="AC54">INDEX('msci-indices'!C:C,MATCH($L54,'msci-indices'!$B:$B)-2)</f>
        <v>1747.837315</v>
      </c>
      <c r="AD54" s="22" cm="1">
        <f t="array" ref="AD54">INDEX('msci-indices'!D:D,MATCH($L54,'msci-indices'!$B:$B)-2)</f>
        <v>1610.255349</v>
      </c>
      <c r="AE54" s="22">
        <f t="shared" si="65"/>
        <v>433605.5323063606</v>
      </c>
      <c r="AF54" s="22" cm="1">
        <f t="array" ref="AF54">INDEX('msci-indices'!C:C,MATCH($L54,'msci-indices'!$B:$B)+1)</f>
        <v>1503.1567950000001</v>
      </c>
      <c r="AG54" s="22" cm="1">
        <f t="array" ref="AG54">INDEX('msci-indices'!D:D,MATCH($L54,'msci-indices'!$B:$B)+1)</f>
        <v>1478.088164</v>
      </c>
      <c r="AH54" s="22">
        <f t="shared" si="44"/>
        <v>271.00345769147538</v>
      </c>
      <c r="AI54" s="22">
        <f t="shared" si="45"/>
        <v>380167.19277583982</v>
      </c>
      <c r="AJ54" s="22">
        <f t="shared" si="66"/>
        <v>217475.89776435227</v>
      </c>
      <c r="AK54" s="22">
        <f t="shared" si="46"/>
        <v>162691.29501148756</v>
      </c>
      <c r="AL54" s="22">
        <f>AJ54*(_xlfn.XLOOKUP(Q_end,cpi!A:A,cpi!B:B)/BH54)</f>
        <v>276041.77549562952</v>
      </c>
      <c r="AM54" s="22" cm="1">
        <f t="array" ref="AM54">SUMPRODUCT($AA$3:AA54,_xlfn.SORTBY($BH$3:BH54,_xlfn.SEQUENCE(ROWS($BH$3:BH54)),-1)/$BH$3)</f>
        <v>277019.28689851961</v>
      </c>
      <c r="AN54" s="22">
        <f t="shared" si="30"/>
        <v>103147.90587732021</v>
      </c>
      <c r="AO54" s="22">
        <f t="shared" si="47"/>
        <v>0</v>
      </c>
      <c r="AP54" s="22">
        <f t="shared" si="31"/>
        <v>380167.19277583982</v>
      </c>
      <c r="AQ54" s="22"/>
      <c r="AR54" s="10">
        <f>IF($B$10="3BR_H",
INDEX('ns-combined'!$C:$D,MATCH($L54,'ns-combined'!$B:$B,0),MATCH(Council_Area,'ns-combined'!$C$1:$D$1,0))*1000,
INDEX('s-combined'!$C:$D,MATCH($L54,'s-combined'!$B:$B,0),MATCH(Council_Area,'s-combined'!$C$1:$D$1,0))*1000)</f>
        <v>489000</v>
      </c>
      <c r="AS54" s="22">
        <f t="shared" si="35"/>
        <v>48100</v>
      </c>
      <c r="AT54" s="10">
        <v>0</v>
      </c>
      <c r="AU54" s="22">
        <f t="shared" si="48"/>
        <v>9780</v>
      </c>
      <c r="AV54" s="22">
        <f t="shared" si="49"/>
        <v>1405.875</v>
      </c>
      <c r="AW54" s="22">
        <f>SUM($AV$3:AV54)</f>
        <v>73808.4375</v>
      </c>
      <c r="AX54" s="22">
        <f t="shared" si="50"/>
        <v>357311.5625</v>
      </c>
      <c r="AY54" s="22">
        <f t="shared" si="51"/>
        <v>1656.0000000000002</v>
      </c>
      <c r="AZ54" s="24">
        <f t="shared" si="52"/>
        <v>1.3546012269938653E-2</v>
      </c>
      <c r="BA54" s="24">
        <f t="shared" si="53"/>
        <v>0.35000000000000003</v>
      </c>
      <c r="BB54" s="25">
        <f>IF(MortgageRate="Discounted",_xlfn.XLOOKUP(L54,'mortgage-rates'!$A:$A,'mortgage-rates'!$E:$E)/100,_xlfn.XLOOKUP(L54,'mortgage-rates'!$A:$A,'mortgage-rates'!$D:$D)/100)</f>
        <v>4.6500000000000007E-2</v>
      </c>
      <c r="BC54" s="10">
        <f t="shared" si="67"/>
        <v>196023.42187638907</v>
      </c>
      <c r="BD54" s="10">
        <f t="shared" si="54"/>
        <v>5270.0481312540833</v>
      </c>
      <c r="BE54" s="10">
        <f t="shared" si="55"/>
        <v>2278.7722793130233</v>
      </c>
      <c r="BF54" s="10">
        <f t="shared" si="36"/>
        <v>2991.27585194106</v>
      </c>
      <c r="BG54" s="12">
        <f t="shared" si="56"/>
        <v>6926.0481312540833</v>
      </c>
      <c r="BH54" s="22">
        <f>INDEX(cpi!B:B,MATCH($L54,cpi!A:A))</f>
        <v>114</v>
      </c>
      <c r="BI54" s="22">
        <f t="shared" si="57"/>
        <v>134.75177304964541</v>
      </c>
      <c r="BJ54" s="22">
        <f t="shared" si="58"/>
        <v>231.53855125118753</v>
      </c>
      <c r="BK54" s="22">
        <f t="shared" si="59"/>
        <v>225.85612452035926</v>
      </c>
      <c r="BL54" s="22">
        <f t="shared" si="60"/>
        <v>229.83382323193905</v>
      </c>
      <c r="BM54" s="22">
        <f t="shared" si="61"/>
        <v>445.92858035423927</v>
      </c>
      <c r="BN54" s="22">
        <f t="shared" si="62"/>
        <v>132.16216216216216</v>
      </c>
      <c r="BO54">
        <f t="shared" si="63"/>
        <v>99.084973777163086</v>
      </c>
    </row>
    <row r="55" spans="1:67" x14ac:dyDescent="0.25">
      <c r="L55" s="1">
        <f t="shared" si="33"/>
        <v>43525</v>
      </c>
      <c r="M55" s="10">
        <f t="shared" si="38"/>
        <v>428182.46060128446</v>
      </c>
      <c r="N55" s="10">
        <f t="shared" si="39"/>
        <v>162925.66647555199</v>
      </c>
      <c r="O55" s="7">
        <f t="shared" si="24"/>
        <v>2.6280847570786885</v>
      </c>
      <c r="P55" s="7">
        <f t="shared" si="40"/>
        <v>0.70082051819188929</v>
      </c>
      <c r="Q55">
        <v>53</v>
      </c>
      <c r="R55">
        <f t="shared" si="41"/>
        <v>90</v>
      </c>
      <c r="S55" s="22"/>
      <c r="T55" s="22">
        <f>IF($B$10="3BR_H",
INDEX('3BR_H-processed'!$E:$E,MATCH($L55,'3BR_H-processed'!$B:$B,0),MATCH(Council_Area,'3BR_H-processed'!$E$1:$E$1,0)),
INDEX('2BR_F-processed'!$E:$E,MATCH($L55,'2BR_F-processed'!$B:$B,0),MATCH(Council_Area,'2BR_F-processed'!$E$1:$E$1,0)))</f>
        <v>365</v>
      </c>
      <c r="U55" s="22">
        <f t="shared" si="25"/>
        <v>365</v>
      </c>
      <c r="V55" s="22">
        <f t="shared" si="34"/>
        <v>4692.8571428571431</v>
      </c>
      <c r="W55" s="22">
        <f>$B$53/4*BH55/_xlfn.XLOOKUP(Q_end,cpi!A:A,cpi!B:B)</f>
        <v>157.705597788528</v>
      </c>
      <c r="X55" s="22">
        <f t="shared" si="42"/>
        <v>4850.5627406456715</v>
      </c>
      <c r="Y55" s="22">
        <f t="shared" si="43"/>
        <v>2070.6997149115377</v>
      </c>
      <c r="Z55" s="22">
        <f t="shared" si="64"/>
        <v>0</v>
      </c>
      <c r="AA55" s="22" cm="1">
        <f t="array" ref="AA55">(Y55+Z55)*eff_invest</f>
        <v>2070.6997149115377</v>
      </c>
      <c r="AB55" s="22">
        <f>AA55*(_xlfn.XLOOKUP(Q_end,cpi!A:A,cpi!B:B)/BH55)</f>
        <v>2626.0319785074453</v>
      </c>
      <c r="AC55" s="22" cm="1">
        <f t="array" ref="AC55">INDEX('msci-indices'!C:C,MATCH($L55,'msci-indices'!$B:$B)-2)</f>
        <v>1503.1567950000001</v>
      </c>
      <c r="AD55" s="22" cm="1">
        <f t="array" ref="AD55">INDEX('msci-indices'!D:D,MATCH($L55,'msci-indices'!$B:$B)-2)</f>
        <v>1478.088164</v>
      </c>
      <c r="AE55" s="22">
        <f t="shared" si="65"/>
        <v>382237.89249075134</v>
      </c>
      <c r="AF55" s="22" cm="1">
        <f t="array" ref="AF55">INDEX('msci-indices'!C:C,MATCH($L55,'msci-indices'!$B:$B)+1)</f>
        <v>1693.1497079999999</v>
      </c>
      <c r="AG55" s="22" cm="1">
        <f t="array" ref="AG55">INDEX('msci-indices'!D:D,MATCH($L55,'msci-indices'!$B:$B)+1)</f>
        <v>1637.459214</v>
      </c>
      <c r="AH55" s="22">
        <f t="shared" si="44"/>
        <v>238.89868280671959</v>
      </c>
      <c r="AI55" s="22">
        <f t="shared" si="45"/>
        <v>428182.46060128446</v>
      </c>
      <c r="AJ55" s="22">
        <f t="shared" si="66"/>
        <v>219546.59747926382</v>
      </c>
      <c r="AK55" s="22">
        <f t="shared" si="46"/>
        <v>208635.86312202064</v>
      </c>
      <c r="AL55" s="22">
        <f>AJ55*(_xlfn.XLOOKUP(Q_end,cpi!A:A,cpi!B:B)/BH55)</f>
        <v>278425.87778483325</v>
      </c>
      <c r="AM55" s="22" cm="1">
        <f t="array" ref="AM55">SUMPRODUCT($AA$3:AA55,_xlfn.SORTBY($BH$3:BH55,_xlfn.SEQUENCE(ROWS($BH$3:BH55)),-1)/$BH$3)</f>
        <v>280003.37685700785</v>
      </c>
      <c r="AN55" s="22">
        <f t="shared" si="30"/>
        <v>148179.08374427661</v>
      </c>
      <c r="AO55" s="22">
        <f t="shared" si="47"/>
        <v>0</v>
      </c>
      <c r="AP55" s="22">
        <f t="shared" si="31"/>
        <v>428182.46060128446</v>
      </c>
      <c r="AQ55" s="22"/>
      <c r="AR55" s="10">
        <f>IF($B$10="3BR_H",
INDEX('ns-combined'!$C:$D,MATCH($L55,'ns-combined'!$B:$B,0),MATCH(Council_Area,'ns-combined'!$C$1:$D$1,0))*1000,
INDEX('s-combined'!$C:$D,MATCH($L55,'s-combined'!$B:$B,0),MATCH(Council_Area,'s-combined'!$C$1:$D$1,0))*1000)</f>
        <v>490000</v>
      </c>
      <c r="AS55" s="22">
        <f t="shared" si="35"/>
        <v>49025</v>
      </c>
      <c r="AT55" s="10">
        <v>0</v>
      </c>
      <c r="AU55" s="22">
        <f t="shared" si="48"/>
        <v>9800</v>
      </c>
      <c r="AV55" s="22">
        <f t="shared" si="49"/>
        <v>1408.75</v>
      </c>
      <c r="AW55" s="22">
        <f>SUM($AV$3:AV55)</f>
        <v>75217.1875</v>
      </c>
      <c r="AX55" s="22">
        <f t="shared" si="50"/>
        <v>355957.8125</v>
      </c>
      <c r="AY55" s="22">
        <f t="shared" si="51"/>
        <v>1642.5000000000002</v>
      </c>
      <c r="AZ55" s="24">
        <f t="shared" si="52"/>
        <v>1.3408163265306125E-2</v>
      </c>
      <c r="BA55" s="24">
        <f t="shared" si="53"/>
        <v>0.35000000000000003</v>
      </c>
      <c r="BB55" s="25">
        <f>IF(MortgageRate="Discounted",_xlfn.XLOOKUP(L55,'mortgage-rates'!$A:$A,'mortgage-rates'!$E:$E)/100,_xlfn.XLOOKUP(L55,'mortgage-rates'!$A:$A,'mortgage-rates'!$D:$D)/100)</f>
        <v>4.6799999999999994E-2</v>
      </c>
      <c r="BC55" s="10">
        <f t="shared" si="67"/>
        <v>193032.14602444801</v>
      </c>
      <c r="BD55" s="10">
        <f t="shared" si="54"/>
        <v>5278.7624555572093</v>
      </c>
      <c r="BE55" s="10">
        <f t="shared" si="55"/>
        <v>2258.4761084860415</v>
      </c>
      <c r="BF55" s="10">
        <f t="shared" si="36"/>
        <v>3020.2863470711677</v>
      </c>
      <c r="BG55" s="12">
        <f t="shared" si="56"/>
        <v>6921.2624555572093</v>
      </c>
      <c r="BH55" s="22">
        <f>INDEX(cpi!B:B,MATCH($L55,cpi!A:A))</f>
        <v>114.1</v>
      </c>
      <c r="BI55" s="22">
        <f t="shared" si="57"/>
        <v>134.86997635933807</v>
      </c>
      <c r="BJ55" s="22">
        <f t="shared" si="58"/>
        <v>199.12536689244348</v>
      </c>
      <c r="BK55" s="22">
        <f t="shared" si="59"/>
        <v>207.31821485814123</v>
      </c>
      <c r="BL55" s="22">
        <f t="shared" si="60"/>
        <v>201.58322128215281</v>
      </c>
      <c r="BM55" s="22">
        <f t="shared" si="61"/>
        <v>393.10107472421828</v>
      </c>
      <c r="BN55" s="22">
        <f t="shared" si="62"/>
        <v>132.43243243243242</v>
      </c>
      <c r="BO55">
        <f t="shared" si="63"/>
        <v>98.709569515648781</v>
      </c>
    </row>
    <row r="56" spans="1:67" x14ac:dyDescent="0.25">
      <c r="L56" s="1">
        <f t="shared" si="33"/>
        <v>43617</v>
      </c>
      <c r="M56" s="10">
        <f t="shared" si="38"/>
        <v>451511.88103726995</v>
      </c>
      <c r="N56" s="10">
        <f t="shared" si="39"/>
        <v>153840.95282262316</v>
      </c>
      <c r="O56" s="7">
        <f t="shared" si="24"/>
        <v>2.934926446782073</v>
      </c>
      <c r="P56" s="7">
        <f t="shared" si="40"/>
        <v>0.71307781357192035</v>
      </c>
      <c r="Q56">
        <v>54</v>
      </c>
      <c r="R56">
        <f t="shared" si="41"/>
        <v>91</v>
      </c>
      <c r="S56" s="22"/>
      <c r="T56" s="22">
        <f>IF($B$10="3BR_H",
INDEX('3BR_H-processed'!$E:$E,MATCH($L56,'3BR_H-processed'!$B:$B,0),MATCH(Council_Area,'3BR_H-processed'!$E$1:$E$1,0)),
INDEX('2BR_F-processed'!$E:$E,MATCH($L56,'2BR_F-processed'!$B:$B,0),MATCH(Council_Area,'2BR_F-processed'!$E$1:$E$1,0)))</f>
        <v>365</v>
      </c>
      <c r="U56" s="22">
        <f t="shared" si="25"/>
        <v>365</v>
      </c>
      <c r="V56" s="22">
        <f t="shared" si="34"/>
        <v>4745</v>
      </c>
      <c r="W56" s="22">
        <f>$B$53/4*BH56/_xlfn.XLOOKUP(Q_end,cpi!A:A,cpi!B:B)</f>
        <v>158.81133379405668</v>
      </c>
      <c r="X56" s="22">
        <f t="shared" si="42"/>
        <v>4903.8113337940567</v>
      </c>
      <c r="Y56" s="22">
        <f t="shared" si="43"/>
        <v>1973.1539012201765</v>
      </c>
      <c r="Z56" s="22">
        <f t="shared" si="64"/>
        <v>0</v>
      </c>
      <c r="AA56" s="22" cm="1">
        <f t="array" ref="AA56">(Y56+Z56)*eff_invest</f>
        <v>1973.1539012201765</v>
      </c>
      <c r="AB56" s="22">
        <f>AA56*(_xlfn.XLOOKUP(Q_end,cpi!A:A,cpi!B:B)/BH56)</f>
        <v>2484.9031288647475</v>
      </c>
      <c r="AC56" s="22" cm="1">
        <f t="array" ref="AC56">INDEX('msci-indices'!C:C,MATCH($L56,'msci-indices'!$B:$B)-2)</f>
        <v>1693.1497079999999</v>
      </c>
      <c r="AD56" s="22" cm="1">
        <f t="array" ref="AD56">INDEX('msci-indices'!D:D,MATCH($L56,'msci-indices'!$B:$B)-2)</f>
        <v>1637.459214</v>
      </c>
      <c r="AE56" s="22">
        <f t="shared" si="65"/>
        <v>430155.61450250464</v>
      </c>
      <c r="AF56" s="22" cm="1">
        <f t="array" ref="AF56">INDEX('msci-indices'!C:C,MATCH($L56,'msci-indices'!$B:$B)+1)</f>
        <v>1756.4484090000001</v>
      </c>
      <c r="AG56" s="22" cm="1">
        <f t="array" ref="AG56">INDEX('msci-indices'!D:D,MATCH($L56,'msci-indices'!$B:$B)+1)</f>
        <v>1769.0189379999999</v>
      </c>
      <c r="AH56" s="22">
        <f t="shared" si="44"/>
        <v>268.84725906406538</v>
      </c>
      <c r="AI56" s="22">
        <f t="shared" si="45"/>
        <v>451511.88103726995</v>
      </c>
      <c r="AJ56" s="22">
        <f t="shared" si="66"/>
        <v>221519.751380484</v>
      </c>
      <c r="AK56" s="22">
        <f t="shared" si="46"/>
        <v>229992.12965678595</v>
      </c>
      <c r="AL56" s="22">
        <f>AJ56*(_xlfn.XLOOKUP(Q_end,cpi!A:A,cpi!B:B)/BH56)</f>
        <v>278972.21953660599</v>
      </c>
      <c r="AM56" s="22" cm="1">
        <f t="array" ref="AM56">SUMPRODUCT($AA$3:AA56,_xlfn.SORTBY($BH$3:BH56,_xlfn.SEQUENCE(ROWS($BH$3:BH56)),-1)/$BH$3)</f>
        <v>283690.0806290356</v>
      </c>
      <c r="AN56" s="22">
        <f t="shared" si="30"/>
        <v>167821.80040823435</v>
      </c>
      <c r="AO56" s="22">
        <f t="shared" si="47"/>
        <v>0</v>
      </c>
      <c r="AP56" s="22">
        <f t="shared" si="31"/>
        <v>451511.88103726995</v>
      </c>
      <c r="AQ56" s="22"/>
      <c r="AR56" s="10">
        <f>IF($B$10="3BR_H",
INDEX('ns-combined'!$C:$D,MATCH($L56,'ns-combined'!$B:$B,0),MATCH(Council_Area,'ns-combined'!$C$1:$D$1,0))*1000,
INDEX('s-combined'!$C:$D,MATCH($L56,'s-combined'!$B:$B,0),MATCH(Council_Area,'s-combined'!$C$1:$D$1,0))*1000)</f>
        <v>480000</v>
      </c>
      <c r="AS56" s="22">
        <f t="shared" si="35"/>
        <v>49950</v>
      </c>
      <c r="AT56" s="10">
        <v>0</v>
      </c>
      <c r="AU56" s="22">
        <f t="shared" si="48"/>
        <v>9600</v>
      </c>
      <c r="AV56" s="22">
        <f t="shared" si="49"/>
        <v>1380</v>
      </c>
      <c r="AW56" s="22">
        <f>SUM($AV$3:AV56)</f>
        <v>76597.1875</v>
      </c>
      <c r="AX56" s="22">
        <f t="shared" si="50"/>
        <v>343852.8125</v>
      </c>
      <c r="AY56" s="22">
        <f t="shared" si="51"/>
        <v>1660.7500000000002</v>
      </c>
      <c r="AZ56" s="24">
        <f t="shared" si="52"/>
        <v>1.3839583333333336E-2</v>
      </c>
      <c r="BA56" s="24">
        <f t="shared" si="53"/>
        <v>0.35000000000000003</v>
      </c>
      <c r="BB56" s="25">
        <f>IF(MortgageRate="Discounted",_xlfn.XLOOKUP(L56,'mortgage-rates'!$A:$A,'mortgage-rates'!$E:$E)/100,_xlfn.XLOOKUP(L56,'mortgage-rates'!$A:$A,'mortgage-rates'!$D:$D)/100)</f>
        <v>4.4600000000000001E-2</v>
      </c>
      <c r="BC56" s="10">
        <f t="shared" si="67"/>
        <v>190011.85967737684</v>
      </c>
      <c r="BD56" s="10">
        <f t="shared" si="54"/>
        <v>5216.2152350142333</v>
      </c>
      <c r="BE56" s="10">
        <f t="shared" si="55"/>
        <v>2118.6322354027516</v>
      </c>
      <c r="BF56" s="10">
        <f t="shared" si="36"/>
        <v>3097.5829996114817</v>
      </c>
      <c r="BG56" s="12">
        <f t="shared" si="56"/>
        <v>6876.9652350142333</v>
      </c>
      <c r="BH56" s="22">
        <f>INDEX(cpi!B:B,MATCH($L56,cpi!A:A))</f>
        <v>114.9</v>
      </c>
      <c r="BI56" s="22">
        <f t="shared" si="57"/>
        <v>135.81560283687944</v>
      </c>
      <c r="BJ56" s="22">
        <f t="shared" si="58"/>
        <v>224.29400441178427</v>
      </c>
      <c r="BK56" s="22">
        <f t="shared" si="59"/>
        <v>229.67176750188432</v>
      </c>
      <c r="BL56" s="22">
        <f t="shared" si="60"/>
        <v>225.90733333881428</v>
      </c>
      <c r="BM56" s="22">
        <f t="shared" si="61"/>
        <v>442.38061605491538</v>
      </c>
      <c r="BN56" s="22">
        <f t="shared" si="62"/>
        <v>129.72972972972974</v>
      </c>
      <c r="BO56">
        <f t="shared" si="63"/>
        <v>95.352769083049964</v>
      </c>
    </row>
    <row r="57" spans="1:67" x14ac:dyDescent="0.25">
      <c r="L57" s="1">
        <f t="shared" si="33"/>
        <v>43709</v>
      </c>
      <c r="M57" s="10">
        <f t="shared" si="38"/>
        <v>457996.0435470324</v>
      </c>
      <c r="N57" s="10">
        <f t="shared" si="39"/>
        <v>152679.28582223464</v>
      </c>
      <c r="O57" s="7">
        <f t="shared" si="24"/>
        <v>2.9997261323338895</v>
      </c>
      <c r="P57" s="7">
        <f t="shared" si="40"/>
        <v>0.72497060988225503</v>
      </c>
      <c r="Q57">
        <v>55</v>
      </c>
      <c r="R57">
        <f t="shared" si="41"/>
        <v>92</v>
      </c>
      <c r="S57" s="22"/>
      <c r="T57" s="22">
        <f>IF($B$10="3BR_H",
INDEX('3BR_H-processed'!$E:$E,MATCH($L57,'3BR_H-processed'!$B:$B,0),MATCH(Council_Area,'3BR_H-processed'!$E$1:$E$1,0)),
INDEX('2BR_F-processed'!$E:$E,MATCH($L57,'2BR_F-processed'!$B:$B,0),MATCH(Council_Area,'2BR_F-processed'!$E$1:$E$1,0)))</f>
        <v>376</v>
      </c>
      <c r="U57" s="22">
        <f t="shared" si="25"/>
        <v>365</v>
      </c>
      <c r="V57" s="22">
        <f t="shared" si="34"/>
        <v>4797.1428571428569</v>
      </c>
      <c r="W57" s="22">
        <f>$B$53/4*BH57/_xlfn.XLOOKUP(Q_end,cpi!A:A,cpi!B:B)</f>
        <v>159.50241879751209</v>
      </c>
      <c r="X57" s="22">
        <f t="shared" si="42"/>
        <v>4956.6452759403692</v>
      </c>
      <c r="Y57" s="22">
        <f t="shared" si="43"/>
        <v>1880.383988936168</v>
      </c>
      <c r="Z57" s="22">
        <f t="shared" si="64"/>
        <v>0</v>
      </c>
      <c r="AA57" s="22" cm="1">
        <f t="array" ref="AA57">(Y57+Z57)*eff_invest</f>
        <v>1880.383988936168</v>
      </c>
      <c r="AB57" s="22">
        <f>AA57*(_xlfn.XLOOKUP(Q_end,cpi!A:A,cpi!B:B)/BH57)</f>
        <v>2357.8125060577422</v>
      </c>
      <c r="AC57" s="22" cm="1">
        <f t="array" ref="AC57">INDEX('msci-indices'!C:C,MATCH($L57,'msci-indices'!$B:$B)-2)</f>
        <v>1756.4484090000001</v>
      </c>
      <c r="AD57" s="22" cm="1">
        <f t="array" ref="AD57">INDEX('msci-indices'!D:D,MATCH($L57,'msci-indices'!$B:$B)-2)</f>
        <v>1769.0189379999999</v>
      </c>
      <c r="AE57" s="22">
        <f t="shared" si="65"/>
        <v>453392.26502620609</v>
      </c>
      <c r="AF57" s="22" cm="1">
        <f t="array" ref="AF57">INDEX('msci-indices'!C:C,MATCH($L57,'msci-indices'!$B:$B)+1)</f>
        <v>1762.7547079999999</v>
      </c>
      <c r="AG57" s="22" cm="1">
        <f t="array" ref="AG57">INDEX('msci-indices'!D:D,MATCH($L57,'msci-indices'!$B:$B)+1)</f>
        <v>1817.7602159999999</v>
      </c>
      <c r="AH57" s="22">
        <f t="shared" si="44"/>
        <v>283.37016564137883</v>
      </c>
      <c r="AI57" s="22">
        <f t="shared" si="45"/>
        <v>457996.0435470324</v>
      </c>
      <c r="AJ57" s="22">
        <f t="shared" si="66"/>
        <v>223400.13536942017</v>
      </c>
      <c r="AK57" s="22">
        <f t="shared" si="46"/>
        <v>234595.90817761223</v>
      </c>
      <c r="AL57" s="22">
        <f>AJ57*(_xlfn.XLOOKUP(Q_end,cpi!A:A,cpi!B:B)/BH57)</f>
        <v>280121.31358713255</v>
      </c>
      <c r="AM57" s="22" cm="1">
        <f t="array" ref="AM57">SUMPRODUCT($AA$3:AA57,_xlfn.SORTBY($BH$3:BH57,_xlfn.SEQUENCE(ROWS($BH$3:BH57)),-1)/$BH$3)</f>
        <v>286960.40352788882</v>
      </c>
      <c r="AN57" s="22">
        <f t="shared" si="30"/>
        <v>171035.64001914358</v>
      </c>
      <c r="AO57" s="22">
        <f t="shared" si="47"/>
        <v>0</v>
      </c>
      <c r="AP57" s="22">
        <f t="shared" si="31"/>
        <v>457996.0435470324</v>
      </c>
      <c r="AQ57" s="22"/>
      <c r="AR57" s="10">
        <f>IF($B$10="3BR_H",
INDEX('ns-combined'!$C:$D,MATCH($L57,'ns-combined'!$B:$B,0),MATCH(Council_Area,'ns-combined'!$C$1:$D$1,0))*1000,
INDEX('s-combined'!$C:$D,MATCH($L57,'s-combined'!$B:$B,0),MATCH(Council_Area,'s-combined'!$C$1:$D$1,0))*1000)</f>
        <v>478000</v>
      </c>
      <c r="AS57" s="22">
        <f t="shared" si="35"/>
        <v>50875</v>
      </c>
      <c r="AT57" s="10">
        <v>0</v>
      </c>
      <c r="AU57" s="22">
        <f t="shared" si="48"/>
        <v>9560</v>
      </c>
      <c r="AV57" s="22">
        <f t="shared" si="49"/>
        <v>1374.25</v>
      </c>
      <c r="AW57" s="22">
        <f>SUM($AV$3:AV57)</f>
        <v>77971.4375</v>
      </c>
      <c r="AX57" s="22">
        <f t="shared" si="50"/>
        <v>339593.5625</v>
      </c>
      <c r="AY57" s="22">
        <f t="shared" si="51"/>
        <v>1679</v>
      </c>
      <c r="AZ57" s="24">
        <f t="shared" si="52"/>
        <v>1.405020920502092E-2</v>
      </c>
      <c r="BA57" s="24">
        <f t="shared" si="53"/>
        <v>0.35000000000000003</v>
      </c>
      <c r="BB57" s="25">
        <f>IF(MortgageRate="Discounted",_xlfn.XLOOKUP(L57,'mortgage-rates'!$A:$A,'mortgage-rates'!$E:$E)/100,_xlfn.XLOOKUP(L57,'mortgage-rates'!$A:$A,'mortgage-rates'!$D:$D)/100)</f>
        <v>4.2500000000000003E-2</v>
      </c>
      <c r="BC57" s="10">
        <f t="shared" si="67"/>
        <v>186914.27667776536</v>
      </c>
      <c r="BD57" s="10">
        <f t="shared" si="54"/>
        <v>5158.0292648765371</v>
      </c>
      <c r="BE57" s="10">
        <f t="shared" si="55"/>
        <v>1985.9641897012571</v>
      </c>
      <c r="BF57" s="10">
        <f t="shared" si="36"/>
        <v>3172.0650751752801</v>
      </c>
      <c r="BG57" s="12">
        <f t="shared" si="56"/>
        <v>6837.0292648765371</v>
      </c>
      <c r="BH57" s="22">
        <f>INDEX(cpi!B:B,MATCH($L57,cpi!A:A))</f>
        <v>115.4</v>
      </c>
      <c r="BI57" s="22">
        <f t="shared" si="57"/>
        <v>136.40661938534279</v>
      </c>
      <c r="BJ57" s="22">
        <f t="shared" si="58"/>
        <v>232.67927539772964</v>
      </c>
      <c r="BK57" s="22">
        <f t="shared" si="59"/>
        <v>248.12447403942869</v>
      </c>
      <c r="BL57" s="22">
        <f t="shared" si="60"/>
        <v>237.31283499023937</v>
      </c>
      <c r="BM57" s="22">
        <f t="shared" si="61"/>
        <v>466.27765105146307</v>
      </c>
      <c r="BN57" s="22">
        <f t="shared" si="62"/>
        <v>129.18918918918919</v>
      </c>
      <c r="BO57">
        <f t="shared" si="63"/>
        <v>94.171649525631821</v>
      </c>
    </row>
    <row r="58" spans="1:67" x14ac:dyDescent="0.25">
      <c r="L58" s="1">
        <f t="shared" si="33"/>
        <v>43800</v>
      </c>
      <c r="M58" s="10">
        <f t="shared" si="38"/>
        <v>487723.25107682217</v>
      </c>
      <c r="N58" s="10">
        <f t="shared" si="39"/>
        <v>170163.22589740992</v>
      </c>
      <c r="O58" s="7">
        <f t="shared" si="24"/>
        <v>2.8662083038486039</v>
      </c>
      <c r="P58" s="7">
        <f t="shared" si="40"/>
        <v>0.7279912152478234</v>
      </c>
      <c r="Q58">
        <v>56</v>
      </c>
      <c r="R58">
        <f t="shared" si="41"/>
        <v>92</v>
      </c>
      <c r="S58" s="22"/>
      <c r="T58" s="22">
        <f>IF($B$10="3BR_H",
INDEX('3BR_H-processed'!$E:$E,MATCH($L58,'3BR_H-processed'!$B:$B,0),MATCH(Council_Area,'3BR_H-processed'!$E$1:$E$1,0)),
INDEX('2BR_F-processed'!$E:$E,MATCH($L58,'2BR_F-processed'!$B:$B,0),MATCH(Council_Area,'2BR_F-processed'!$E$1:$E$1,0)))</f>
        <v>376</v>
      </c>
      <c r="U58" s="22">
        <f t="shared" si="25"/>
        <v>365</v>
      </c>
      <c r="V58" s="22">
        <f t="shared" si="34"/>
        <v>4797.1428571428569</v>
      </c>
      <c r="W58" s="22">
        <f>$B$53/4*BH58/_xlfn.XLOOKUP(Q_end,cpi!A:A,cpi!B:B)</f>
        <v>160.4699378023497</v>
      </c>
      <c r="X58" s="22">
        <f t="shared" si="42"/>
        <v>4957.6127949452066</v>
      </c>
      <c r="Y58" s="22">
        <f t="shared" si="43"/>
        <v>1852.3770663438909</v>
      </c>
      <c r="Z58" s="22">
        <f t="shared" si="64"/>
        <v>0</v>
      </c>
      <c r="AA58" s="22" cm="1">
        <f t="array" ref="AA58">(Y58+Z58)*eff_invest</f>
        <v>1852.3770663438909</v>
      </c>
      <c r="AB58" s="22">
        <f>AA58*(_xlfn.XLOOKUP(Q_end,cpi!A:A,cpi!B:B)/BH58)</f>
        <v>2308.6904521960464</v>
      </c>
      <c r="AC58" s="22" cm="1">
        <f t="array" ref="AC58">INDEX('msci-indices'!C:C,MATCH($L58,'msci-indices'!$B:$B)-2)</f>
        <v>1762.7547079999999</v>
      </c>
      <c r="AD58" s="22" cm="1">
        <f t="array" ref="AD58">INDEX('msci-indices'!D:D,MATCH($L58,'msci-indices'!$B:$B)-2)</f>
        <v>1817.7602159999999</v>
      </c>
      <c r="AE58" s="22">
        <f t="shared" si="65"/>
        <v>459848.42061337631</v>
      </c>
      <c r="AF58" s="22" cm="1">
        <f t="array" ref="AF58">INDEX('msci-indices'!C:C,MATCH($L58,'msci-indices'!$B:$B)+1)</f>
        <v>1916.2448380000001</v>
      </c>
      <c r="AG58" s="22" cm="1">
        <f t="array" ref="AG58">INDEX('msci-indices'!D:D,MATCH($L58,'msci-indices'!$B:$B)+1)</f>
        <v>1819.5211509999999</v>
      </c>
      <c r="AH58" s="22">
        <f t="shared" si="44"/>
        <v>287.40526288336019</v>
      </c>
      <c r="AI58" s="22">
        <f t="shared" si="45"/>
        <v>487723.25107682217</v>
      </c>
      <c r="AJ58" s="22">
        <f t="shared" si="66"/>
        <v>225252.51243576405</v>
      </c>
      <c r="AK58" s="22">
        <f t="shared" si="46"/>
        <v>262470.73864105809</v>
      </c>
      <c r="AL58" s="22">
        <f>AJ58*(_xlfn.XLOOKUP(Q_end,cpi!A:A,cpi!B:B)/BH58)</f>
        <v>280741.07277739065</v>
      </c>
      <c r="AM58" s="22" cm="1">
        <f t="array" ref="AM58">SUMPRODUCT($AA$3:AA58,_xlfn.SORTBY($BH$3:BH58,_xlfn.SEQUENCE(ROWS($BH$3:BH58)),-1)/$BH$3)</f>
        <v>290432.0690846708</v>
      </c>
      <c r="AN58" s="22">
        <f t="shared" si="30"/>
        <v>197291.18199215137</v>
      </c>
      <c r="AO58" s="22">
        <f t="shared" si="47"/>
        <v>0</v>
      </c>
      <c r="AP58" s="22">
        <f t="shared" si="31"/>
        <v>487723.25107682217</v>
      </c>
      <c r="AQ58" s="22"/>
      <c r="AR58" s="10">
        <f>IF($B$10="3BR_H",
INDEX('ns-combined'!$C:$D,MATCH($L58,'ns-combined'!$B:$B,0),MATCH(Council_Area,'ns-combined'!$C$1:$D$1,0))*1000,
INDEX('s-combined'!$C:$D,MATCH($L58,'s-combined'!$B:$B,0),MATCH(Council_Area,'s-combined'!$C$1:$D$1,0))*1000)</f>
        <v>495000</v>
      </c>
      <c r="AS58" s="22">
        <f t="shared" si="35"/>
        <v>51800</v>
      </c>
      <c r="AT58" s="10">
        <v>0</v>
      </c>
      <c r="AU58" s="22">
        <f t="shared" si="48"/>
        <v>9900</v>
      </c>
      <c r="AV58" s="22">
        <f t="shared" si="49"/>
        <v>1423.125</v>
      </c>
      <c r="AW58" s="22">
        <f>SUM($AV$3:AV58)</f>
        <v>79394.5625</v>
      </c>
      <c r="AX58" s="22">
        <f t="shared" si="50"/>
        <v>353905.4375</v>
      </c>
      <c r="AY58" s="22">
        <f t="shared" si="51"/>
        <v>1679</v>
      </c>
      <c r="AZ58" s="24">
        <f t="shared" si="52"/>
        <v>1.3567676767676768E-2</v>
      </c>
      <c r="BA58" s="24">
        <f t="shared" si="53"/>
        <v>0.35000000000000003</v>
      </c>
      <c r="BB58" s="25">
        <f>IF(MortgageRate="Discounted",_xlfn.XLOOKUP(L58,'mortgage-rates'!$A:$A,'mortgage-rates'!$E:$E)/100,_xlfn.XLOOKUP(L58,'mortgage-rates'!$A:$A,'mortgage-rates'!$D:$D)/100)</f>
        <v>4.1500000000000002E-2</v>
      </c>
      <c r="BC58" s="10">
        <f t="shared" si="67"/>
        <v>183742.21160259008</v>
      </c>
      <c r="BD58" s="10">
        <f t="shared" si="54"/>
        <v>5130.9898612890975</v>
      </c>
      <c r="BE58" s="10">
        <f t="shared" si="55"/>
        <v>1906.325445376872</v>
      </c>
      <c r="BF58" s="10">
        <f t="shared" si="36"/>
        <v>3224.6644159122252</v>
      </c>
      <c r="BG58" s="12">
        <f t="shared" si="56"/>
        <v>6809.9898612890975</v>
      </c>
      <c r="BH58" s="22">
        <f>INDEX(cpi!B:B,MATCH($L58,cpi!A:A))</f>
        <v>116.1</v>
      </c>
      <c r="BI58" s="22">
        <f t="shared" si="57"/>
        <v>137.2340425531915</v>
      </c>
      <c r="BJ58" s="22">
        <f t="shared" si="58"/>
        <v>233.51467999842427</v>
      </c>
      <c r="BK58" s="22">
        <f t="shared" si="59"/>
        <v>254.96097743007783</v>
      </c>
      <c r="BL58" s="22">
        <f t="shared" si="60"/>
        <v>239.94856922792033</v>
      </c>
      <c r="BM58" s="22">
        <f t="shared" si="61"/>
        <v>472.91729026505772</v>
      </c>
      <c r="BN58" s="22">
        <f t="shared" si="62"/>
        <v>133.78378378378378</v>
      </c>
      <c r="BO58">
        <f t="shared" si="63"/>
        <v>98.140431697569056</v>
      </c>
    </row>
    <row r="59" spans="1:67" x14ac:dyDescent="0.25">
      <c r="L59" s="1">
        <f t="shared" si="33"/>
        <v>43891</v>
      </c>
      <c r="M59" s="10">
        <f t="shared" si="38"/>
        <v>378089.36301662598</v>
      </c>
      <c r="N59" s="10">
        <f t="shared" si="39"/>
        <v>153940.07781332216</v>
      </c>
      <c r="O59" s="7">
        <f t="shared" si="24"/>
        <v>2.4560814076963244</v>
      </c>
      <c r="P59" s="7">
        <f t="shared" si="40"/>
        <v>0.74489737376057241</v>
      </c>
      <c r="Q59">
        <v>57</v>
      </c>
      <c r="R59">
        <f t="shared" si="41"/>
        <v>91</v>
      </c>
      <c r="S59" s="22"/>
      <c r="T59" s="22">
        <f>IF($B$10="3BR_H",
INDEX('3BR_H-processed'!$E:$E,MATCH($L59,'3BR_H-processed'!$B:$B,0),MATCH(Council_Area,'3BR_H-processed'!$E$1:$E$1,0)),
INDEX('2BR_F-processed'!$E:$E,MATCH($L59,'2BR_F-processed'!$B:$B,0),MATCH(Council_Area,'2BR_F-processed'!$E$1:$E$1,0)))</f>
        <v>376</v>
      </c>
      <c r="U59" s="22">
        <f t="shared" si="25"/>
        <v>376</v>
      </c>
      <c r="V59" s="22">
        <f t="shared" si="34"/>
        <v>4888</v>
      </c>
      <c r="W59" s="22">
        <f>$B$53/4*BH59/_xlfn.XLOOKUP(Q_end,cpi!A:A,cpi!B:B)</f>
        <v>161.29923980649622</v>
      </c>
      <c r="X59" s="22">
        <f t="shared" si="42"/>
        <v>5049.2992398064962</v>
      </c>
      <c r="Y59" s="22">
        <f t="shared" si="43"/>
        <v>1729.2173957340392</v>
      </c>
      <c r="Z59" s="22">
        <f t="shared" si="64"/>
        <v>0</v>
      </c>
      <c r="AA59" s="22" cm="1">
        <f t="array" ref="AA59">(Y59+Z59)*eff_invest</f>
        <v>1729.2173957340392</v>
      </c>
      <c r="AB59" s="22">
        <f>AA59*(_xlfn.XLOOKUP(Q_end,cpi!A:A,cpi!B:B)/BH59)</f>
        <v>2144.1110296719403</v>
      </c>
      <c r="AC59" s="22" cm="1">
        <f t="array" ref="AC59">INDEX('msci-indices'!C:C,MATCH($L59,'msci-indices'!$B:$B)-2)</f>
        <v>1916.2448380000001</v>
      </c>
      <c r="AD59" s="22" cm="1">
        <f t="array" ref="AD59">INDEX('msci-indices'!D:D,MATCH($L59,'msci-indices'!$B:$B)-2)</f>
        <v>1819.5211509999999</v>
      </c>
      <c r="AE59" s="22">
        <f t="shared" si="65"/>
        <v>489452.46847255621</v>
      </c>
      <c r="AF59" s="22" cm="1">
        <f t="array" ref="AF59">INDEX('msci-indices'!C:C,MATCH($L59,'msci-indices'!$B:$B)+1)</f>
        <v>1491.44822</v>
      </c>
      <c r="AG59" s="22" cm="1">
        <f t="array" ref="AG59">INDEX('msci-indices'!D:D,MATCH($L59,'msci-indices'!$B:$B)+1)</f>
        <v>1384.5123450000001</v>
      </c>
      <c r="AH59" s="22">
        <f t="shared" si="44"/>
        <v>305.90779279534763</v>
      </c>
      <c r="AI59" s="22">
        <f t="shared" si="45"/>
        <v>378089.36301662598</v>
      </c>
      <c r="AJ59" s="22">
        <f t="shared" si="66"/>
        <v>226981.72983149809</v>
      </c>
      <c r="AK59" s="22">
        <f t="shared" si="46"/>
        <v>151107.6331851279</v>
      </c>
      <c r="AL59" s="22">
        <f>AJ59*(_xlfn.XLOOKUP(Q_end,cpi!A:A,cpi!B:B)/BH59)</f>
        <v>281441.78497530223</v>
      </c>
      <c r="AM59" s="22" cm="1">
        <f t="array" ref="AM59">SUMPRODUCT($AA$3:AA59,_xlfn.SORTBY($BH$3:BH59,_xlfn.SEQUENCE(ROWS($BH$3:BH59)),-1)/$BH$3)</f>
        <v>293685.42534262681</v>
      </c>
      <c r="AN59" s="22">
        <f t="shared" si="30"/>
        <v>84403.937673999171</v>
      </c>
      <c r="AO59" s="22">
        <f t="shared" si="47"/>
        <v>0</v>
      </c>
      <c r="AP59" s="22">
        <f t="shared" si="31"/>
        <v>378089.36301662598</v>
      </c>
      <c r="AQ59" s="22"/>
      <c r="AR59" s="10">
        <f>IF($B$10="3BR_H",
INDEX('ns-combined'!$C:$D,MATCH($L59,'ns-combined'!$B:$B,0),MATCH(Council_Area,'ns-combined'!$C$1:$D$1,0))*1000,
INDEX('s-combined'!$C:$D,MATCH($L59,'s-combined'!$B:$B,0),MATCH(Council_Area,'s-combined'!$C$1:$D$1,0))*1000)</f>
        <v>477500</v>
      </c>
      <c r="AS59" s="22">
        <f t="shared" si="35"/>
        <v>52725</v>
      </c>
      <c r="AT59" s="10">
        <v>0</v>
      </c>
      <c r="AU59" s="22">
        <f t="shared" si="48"/>
        <v>9550</v>
      </c>
      <c r="AV59" s="22">
        <f t="shared" si="49"/>
        <v>1372.8125</v>
      </c>
      <c r="AW59" s="22">
        <f>SUM($AV$3:AV59)</f>
        <v>80767.375</v>
      </c>
      <c r="AX59" s="22">
        <f t="shared" si="50"/>
        <v>334457.625</v>
      </c>
      <c r="AY59" s="22">
        <f t="shared" si="51"/>
        <v>1710.8000000000002</v>
      </c>
      <c r="AZ59" s="24">
        <f t="shared" si="52"/>
        <v>1.4331308900523561E-2</v>
      </c>
      <c r="BA59" s="24">
        <f t="shared" si="53"/>
        <v>0.35000000000000003</v>
      </c>
      <c r="BB59" s="25">
        <f>IF(MortgageRate="Discounted",_xlfn.XLOOKUP(L59,'mortgage-rates'!$A:$A,'mortgage-rates'!$E:$E)/100,_xlfn.XLOOKUP(L59,'mortgage-rates'!$A:$A,'mortgage-rates'!$D:$D)/100)</f>
        <v>3.9100000000000003E-2</v>
      </c>
      <c r="BC59" s="10">
        <f t="shared" si="67"/>
        <v>180517.54718667784</v>
      </c>
      <c r="BD59" s="10">
        <f t="shared" si="54"/>
        <v>5067.7166355405352</v>
      </c>
      <c r="BE59" s="10">
        <f t="shared" si="55"/>
        <v>1764.5590237497761</v>
      </c>
      <c r="BF59" s="10">
        <f t="shared" si="36"/>
        <v>3303.1576117907589</v>
      </c>
      <c r="BG59" s="12">
        <f t="shared" si="56"/>
        <v>6778.5166355405354</v>
      </c>
      <c r="BH59" s="22">
        <f>INDEX(cpi!B:B,MATCH($L59,cpi!A:A))</f>
        <v>116.7</v>
      </c>
      <c r="BI59" s="22">
        <f t="shared" si="57"/>
        <v>137.94326241134752</v>
      </c>
      <c r="BJ59" s="22">
        <f t="shared" si="58"/>
        <v>253.84774076246714</v>
      </c>
      <c r="BK59" s="22">
        <f t="shared" si="59"/>
        <v>255.20796804239237</v>
      </c>
      <c r="BL59" s="22">
        <f t="shared" si="60"/>
        <v>254.25580894644472</v>
      </c>
      <c r="BM59" s="22">
        <f t="shared" si="61"/>
        <v>503.36268371833074</v>
      </c>
      <c r="BN59" s="22">
        <f t="shared" si="62"/>
        <v>129.05405405405406</v>
      </c>
      <c r="BO59">
        <f t="shared" si="63"/>
        <v>92.747418445763969</v>
      </c>
    </row>
    <row r="60" spans="1:67" x14ac:dyDescent="0.25">
      <c r="L60" s="1">
        <f t="shared" si="33"/>
        <v>43983</v>
      </c>
      <c r="M60" s="10">
        <f t="shared" si="38"/>
        <v>452025.6467691118</v>
      </c>
      <c r="N60" s="10">
        <f t="shared" si="39"/>
        <v>152502.61042511291</v>
      </c>
      <c r="O60" s="7">
        <f t="shared" si="24"/>
        <v>2.964051864483205</v>
      </c>
      <c r="P60" s="7">
        <f t="shared" si="40"/>
        <v>0.75183952576023017</v>
      </c>
      <c r="Q60">
        <v>58</v>
      </c>
      <c r="R60">
        <f t="shared" si="41"/>
        <v>91</v>
      </c>
      <c r="S60" s="22"/>
      <c r="T60" s="22">
        <f>IF($B$10="3BR_H",
INDEX('3BR_H-processed'!$E:$E,MATCH($L60,'3BR_H-processed'!$B:$B,0),MATCH(Council_Area,'3BR_H-processed'!$E$1:$E$1,0)),
INDEX('2BR_F-processed'!$E:$E,MATCH($L60,'2BR_F-processed'!$B:$B,0),MATCH(Council_Area,'2BR_F-processed'!$E$1:$E$1,0)))</f>
        <v>376</v>
      </c>
      <c r="U60" s="22">
        <f t="shared" si="25"/>
        <v>376</v>
      </c>
      <c r="V60" s="22">
        <f t="shared" si="34"/>
        <v>4888</v>
      </c>
      <c r="W60" s="22">
        <f>$B$53/4*BH60/_xlfn.XLOOKUP(Q_end,cpi!A:A,cpi!B:B)</f>
        <v>158.25846579129234</v>
      </c>
      <c r="X60" s="22">
        <f t="shared" si="42"/>
        <v>5046.2584657912921</v>
      </c>
      <c r="Y60" s="22">
        <f t="shared" si="43"/>
        <v>1665.6239145460768</v>
      </c>
      <c r="Z60" s="22">
        <f t="shared" si="64"/>
        <v>0</v>
      </c>
      <c r="AA60" s="22" cm="1">
        <f t="array" ref="AA60">(Y60+Z60)*eff_invest</f>
        <v>1665.6239145460768</v>
      </c>
      <c r="AB60" s="22">
        <f>AA60*(_xlfn.XLOOKUP(Q_end,cpi!A:A,cpi!B:B)/BH60)</f>
        <v>2104.9413138411992</v>
      </c>
      <c r="AC60" s="22" cm="1">
        <f t="array" ref="AC60">INDEX('msci-indices'!C:C,MATCH($L60,'msci-indices'!$B:$B)-2)</f>
        <v>1491.44822</v>
      </c>
      <c r="AD60" s="22" cm="1">
        <f t="array" ref="AD60">INDEX('msci-indices'!D:D,MATCH($L60,'msci-indices'!$B:$B)-2)</f>
        <v>1384.5123450000001</v>
      </c>
      <c r="AE60" s="22">
        <f t="shared" si="65"/>
        <v>379754.98693117208</v>
      </c>
      <c r="AF60" s="22" cm="1">
        <f t="array" ref="AF60">INDEX('msci-indices'!C:C,MATCH($L60,'msci-indices'!$B:$B)+1)</f>
        <v>1788.7914370000001</v>
      </c>
      <c r="AG60" s="22" cm="1">
        <f t="array" ref="AG60">INDEX('msci-indices'!D:D,MATCH($L60,'msci-indices'!$B:$B)+1)</f>
        <v>1621.623241</v>
      </c>
      <c r="AH60" s="22">
        <f t="shared" si="44"/>
        <v>237.34686683198257</v>
      </c>
      <c r="AI60" s="22">
        <f t="shared" si="45"/>
        <v>452025.6467691118</v>
      </c>
      <c r="AJ60" s="22">
        <f t="shared" si="66"/>
        <v>228647.35374604416</v>
      </c>
      <c r="AK60" s="22">
        <f t="shared" si="46"/>
        <v>223378.29302306764</v>
      </c>
      <c r="AL60" s="22">
        <f>AJ60*(_xlfn.XLOOKUP(Q_end,cpi!A:A,cpi!B:B)/BH60)</f>
        <v>288954.34137163829</v>
      </c>
      <c r="AM60" s="22" cm="1">
        <f t="array" ref="AM60">SUMPRODUCT($AA$3:AA60,_xlfn.SORTBY($BH$3:BH60,_xlfn.SEQUENCE(ROWS($BH$3:BH60)),-1)/$BH$3)</f>
        <v>293672.55522595969</v>
      </c>
      <c r="AN60" s="22">
        <f t="shared" si="30"/>
        <v>158353.09154315211</v>
      </c>
      <c r="AO60" s="22">
        <f t="shared" si="47"/>
        <v>0</v>
      </c>
      <c r="AP60" s="22">
        <f t="shared" si="31"/>
        <v>452025.6467691118</v>
      </c>
      <c r="AQ60" s="22"/>
      <c r="AR60" s="10">
        <f>IF($B$10="3BR_H",
INDEX('ns-combined'!$C:$D,MATCH($L60,'ns-combined'!$B:$B,0),MATCH(Council_Area,'ns-combined'!$C$1:$D$1,0))*1000,
INDEX('s-combined'!$C:$D,MATCH($L60,'s-combined'!$B:$B,0),MATCH(Council_Area,'s-combined'!$C$1:$D$1,0))*1000)</f>
        <v>475000</v>
      </c>
      <c r="AS60" s="22">
        <f t="shared" si="35"/>
        <v>53650</v>
      </c>
      <c r="AT60" s="10">
        <v>0</v>
      </c>
      <c r="AU60" s="22">
        <f t="shared" si="48"/>
        <v>9500</v>
      </c>
      <c r="AV60" s="22">
        <f t="shared" si="49"/>
        <v>1365.625</v>
      </c>
      <c r="AW60" s="22">
        <f>SUM($AV$3:AV60)</f>
        <v>82133</v>
      </c>
      <c r="AX60" s="22">
        <f t="shared" si="50"/>
        <v>329717</v>
      </c>
      <c r="AY60" s="22">
        <f t="shared" si="51"/>
        <v>1710.8000000000002</v>
      </c>
      <c r="AZ60" s="24">
        <f t="shared" si="52"/>
        <v>1.4406736842105264E-2</v>
      </c>
      <c r="BA60" s="24">
        <f t="shared" si="53"/>
        <v>0.35000000000000003</v>
      </c>
      <c r="BB60" s="25">
        <f>IF(MortgageRate="Discounted",_xlfn.XLOOKUP(L60,'mortgage-rates'!$A:$A,'mortgage-rates'!$E:$E)/100,_xlfn.XLOOKUP(L60,'mortgage-rates'!$A:$A,'mortgage-rates'!$D:$D)/100)</f>
        <v>3.6499999999999998E-2</v>
      </c>
      <c r="BC60" s="10">
        <f t="shared" si="67"/>
        <v>177214.38957488709</v>
      </c>
      <c r="BD60" s="10">
        <f t="shared" si="54"/>
        <v>5001.0823803373687</v>
      </c>
      <c r="BE60" s="10">
        <f t="shared" si="55"/>
        <v>1617.0813048708446</v>
      </c>
      <c r="BF60" s="10">
        <f t="shared" si="36"/>
        <v>3384.0010754665241</v>
      </c>
      <c r="BG60" s="12">
        <f t="shared" si="56"/>
        <v>6711.8823803373689</v>
      </c>
      <c r="BH60" s="22">
        <f>INDEX(cpi!B:B,MATCH($L60,cpi!A:A))</f>
        <v>114.5</v>
      </c>
      <c r="BI60" s="22">
        <f t="shared" si="57"/>
        <v>135.34278959810877</v>
      </c>
      <c r="BJ60" s="22">
        <f t="shared" si="58"/>
        <v>197.57431493271579</v>
      </c>
      <c r="BK60" s="22">
        <f t="shared" si="59"/>
        <v>194.19317115542438</v>
      </c>
      <c r="BL60" s="22">
        <f t="shared" si="60"/>
        <v>196.55997179952837</v>
      </c>
      <c r="BM60" s="22">
        <f t="shared" si="61"/>
        <v>390.54760510991787</v>
      </c>
      <c r="BN60" s="22">
        <f t="shared" si="62"/>
        <v>128.37837837837839</v>
      </c>
      <c r="BO60">
        <f t="shared" si="63"/>
        <v>91.43281026312961</v>
      </c>
    </row>
    <row r="61" spans="1:67" x14ac:dyDescent="0.25">
      <c r="L61" s="1">
        <f t="shared" si="33"/>
        <v>44075</v>
      </c>
      <c r="M61" s="10">
        <f t="shared" si="38"/>
        <v>478320.86408714071</v>
      </c>
      <c r="N61" s="10">
        <f t="shared" si="39"/>
        <v>173138.48650057943</v>
      </c>
      <c r="O61" s="7">
        <f t="shared" si="24"/>
        <v>2.7626489855306664</v>
      </c>
      <c r="P61" s="7">
        <f t="shared" si="40"/>
        <v>0.7580691157590439</v>
      </c>
      <c r="Q61">
        <v>59</v>
      </c>
      <c r="R61">
        <f t="shared" si="41"/>
        <v>92</v>
      </c>
      <c r="S61" s="22"/>
      <c r="T61" s="22">
        <f>IF($B$10="3BR_H",
INDEX('3BR_H-processed'!$E:$E,MATCH($L61,'3BR_H-processed'!$B:$B,0),MATCH(Council_Area,'3BR_H-processed'!$E$1:$E$1,0)),
INDEX('2BR_F-processed'!$E:$E,MATCH($L61,'2BR_F-processed'!$B:$B,0),MATCH(Council_Area,'2BR_F-processed'!$E$1:$E$1,0)))</f>
        <v>427</v>
      </c>
      <c r="U61" s="22">
        <f t="shared" si="25"/>
        <v>376</v>
      </c>
      <c r="V61" s="22">
        <f t="shared" si="34"/>
        <v>4941.7142857142853</v>
      </c>
      <c r="W61" s="22">
        <f>$B$53/4*BH61/_xlfn.XLOOKUP(Q_end,cpi!A:A,cpi!B:B)</f>
        <v>160.60815480304078</v>
      </c>
      <c r="X61" s="22">
        <f t="shared" si="42"/>
        <v>5102.322440517326</v>
      </c>
      <c r="Y61" s="22">
        <f t="shared" si="43"/>
        <v>1628.3599398200431</v>
      </c>
      <c r="Z61" s="22">
        <f t="shared" si="64"/>
        <v>0</v>
      </c>
      <c r="AA61" s="22" cm="1">
        <f t="array" ref="AA61">(Y61+Z61)*eff_invest</f>
        <v>1628.3599398200431</v>
      </c>
      <c r="AB61" s="22">
        <f>AA61*(_xlfn.XLOOKUP(Q_end,cpi!A:A,cpi!B:B)/BH61)</f>
        <v>2027.7425412389002</v>
      </c>
      <c r="AC61" s="22" cm="1">
        <f t="array" ref="AC61">INDEX('msci-indices'!C:C,MATCH($L61,'msci-indices'!$B:$B)-2)</f>
        <v>1788.7914370000001</v>
      </c>
      <c r="AD61" s="22" cm="1">
        <f t="array" ref="AD61">INDEX('msci-indices'!D:D,MATCH($L61,'msci-indices'!$B:$B)-2)</f>
        <v>1621.623241</v>
      </c>
      <c r="AE61" s="22">
        <f t="shared" si="65"/>
        <v>453654.00670893182</v>
      </c>
      <c r="AF61" s="22" cm="1">
        <f t="array" ref="AF61">INDEX('msci-indices'!C:C,MATCH($L61,'msci-indices'!$B:$B)+1)</f>
        <v>1929.6383699999999</v>
      </c>
      <c r="AG61" s="22" cm="1">
        <f t="array" ref="AG61">INDEX('msci-indices'!D:D,MATCH($L61,'msci-indices'!$B:$B)+1)</f>
        <v>1620.9837990000001</v>
      </c>
      <c r="AH61" s="22">
        <f t="shared" si="44"/>
        <v>283.53375419308242</v>
      </c>
      <c r="AI61" s="22">
        <f t="shared" si="45"/>
        <v>478320.86408714071</v>
      </c>
      <c r="AJ61" s="22">
        <f t="shared" si="66"/>
        <v>230275.7136858642</v>
      </c>
      <c r="AK61" s="22">
        <f t="shared" si="46"/>
        <v>248045.15040127651</v>
      </c>
      <c r="AL61" s="22">
        <f>AJ61*(_xlfn.XLOOKUP(Q_end,cpi!A:A,cpi!B:B)/BH61)</f>
        <v>286754.69681879989</v>
      </c>
      <c r="AM61" s="22" cm="1">
        <f t="array" ref="AM61">SUMPRODUCT($AA$3:AA61,_xlfn.SORTBY($BH$3:BH61,_xlfn.SEQUENCE(ROWS($BH$3:BH61)),-1)/$BH$3)</f>
        <v>297994.73540589836</v>
      </c>
      <c r="AN61" s="22">
        <f t="shared" si="30"/>
        <v>180326.12868124235</v>
      </c>
      <c r="AO61" s="22">
        <f t="shared" si="47"/>
        <v>0</v>
      </c>
      <c r="AP61" s="22">
        <f t="shared" si="31"/>
        <v>478320.86408714071</v>
      </c>
      <c r="AQ61" s="22"/>
      <c r="AR61" s="10">
        <f>IF($B$10="3BR_H",
INDEX('ns-combined'!$C:$D,MATCH($L61,'ns-combined'!$B:$B,0),MATCH(Council_Area,'ns-combined'!$C$1:$D$1,0))*1000,
INDEX('s-combined'!$C:$D,MATCH($L61,'s-combined'!$B:$B,0),MATCH(Council_Area,'s-combined'!$C$1:$D$1,0))*1000)</f>
        <v>495000</v>
      </c>
      <c r="AS61" s="22">
        <f t="shared" si="35"/>
        <v>54575</v>
      </c>
      <c r="AT61" s="10">
        <v>0</v>
      </c>
      <c r="AU61" s="22">
        <f t="shared" si="48"/>
        <v>9900</v>
      </c>
      <c r="AV61" s="22">
        <f t="shared" si="49"/>
        <v>1423.125</v>
      </c>
      <c r="AW61" s="22">
        <f>SUM($AV$3:AV61)</f>
        <v>83556.125</v>
      </c>
      <c r="AX61" s="22">
        <f t="shared" si="50"/>
        <v>346968.875</v>
      </c>
      <c r="AY61" s="22">
        <f t="shared" si="51"/>
        <v>1729.6000000000001</v>
      </c>
      <c r="AZ61" s="24">
        <f t="shared" si="52"/>
        <v>1.3976565656565658E-2</v>
      </c>
      <c r="BA61" s="24">
        <f t="shared" si="53"/>
        <v>0.35000000000000003</v>
      </c>
      <c r="BB61" s="25">
        <f>IF(MortgageRate="Discounted",_xlfn.XLOOKUP(L61,'mortgage-rates'!$A:$A,'mortgage-rates'!$E:$E)/100,_xlfn.XLOOKUP(L61,'mortgage-rates'!$A:$A,'mortgage-rates'!$D:$D)/100)</f>
        <v>3.6499999999999998E-2</v>
      </c>
      <c r="BC61" s="10">
        <f t="shared" si="67"/>
        <v>173830.38849942057</v>
      </c>
      <c r="BD61" s="10">
        <f t="shared" si="54"/>
        <v>5001.0823803373687</v>
      </c>
      <c r="BE61" s="10">
        <f t="shared" si="55"/>
        <v>1586.2022950572127</v>
      </c>
      <c r="BF61" s="10">
        <f t="shared" si="36"/>
        <v>3414.880085280156</v>
      </c>
      <c r="BG61" s="12">
        <f t="shared" si="56"/>
        <v>6730.6823803373691</v>
      </c>
      <c r="BH61" s="22">
        <f>INDEX(cpi!B:B,MATCH($L61,cpi!A:A))</f>
        <v>116.2</v>
      </c>
      <c r="BI61" s="22">
        <f t="shared" si="57"/>
        <v>137.35224586288416</v>
      </c>
      <c r="BJ61" s="22">
        <f t="shared" si="58"/>
        <v>236.96380335804304</v>
      </c>
      <c r="BK61" s="22">
        <f t="shared" si="59"/>
        <v>227.4505971191806</v>
      </c>
      <c r="BL61" s="22">
        <f t="shared" si="60"/>
        <v>234.10984148638431</v>
      </c>
      <c r="BM61" s="22">
        <f t="shared" si="61"/>
        <v>466.54683142002665</v>
      </c>
      <c r="BN61" s="22">
        <f t="shared" si="62"/>
        <v>133.78378378378378</v>
      </c>
      <c r="BO61">
        <f t="shared" si="63"/>
        <v>96.21687482018379</v>
      </c>
    </row>
    <row r="62" spans="1:67" x14ac:dyDescent="0.25">
      <c r="L62" s="1">
        <f t="shared" si="33"/>
        <v>44166</v>
      </c>
      <c r="M62" s="10">
        <f t="shared" si="38"/>
        <v>550667.09491728467</v>
      </c>
      <c r="N62" s="10">
        <f t="shared" si="39"/>
        <v>206450.36658585959</v>
      </c>
      <c r="O62" s="7">
        <f t="shared" si="24"/>
        <v>2.6673098431543378</v>
      </c>
      <c r="P62" s="7">
        <f t="shared" si="40"/>
        <v>0.75827446938127829</v>
      </c>
      <c r="Q62">
        <v>60</v>
      </c>
      <c r="R62">
        <f t="shared" si="41"/>
        <v>92</v>
      </c>
      <c r="S62" s="22"/>
      <c r="T62" s="22">
        <f>IF($B$10="3BR_H",
INDEX('3BR_H-processed'!$E:$E,MATCH($L62,'3BR_H-processed'!$B:$B,0),MATCH(Council_Area,'3BR_H-processed'!$E$1:$E$1,0)),
INDEX('2BR_F-processed'!$E:$E,MATCH($L62,'2BR_F-processed'!$B:$B,0),MATCH(Council_Area,'2BR_F-processed'!$E$1:$E$1,0)))</f>
        <v>427</v>
      </c>
      <c r="U62" s="22">
        <f t="shared" si="25"/>
        <v>376</v>
      </c>
      <c r="V62" s="22">
        <f t="shared" si="34"/>
        <v>4941.7142857142853</v>
      </c>
      <c r="W62" s="22">
        <f>$B$53/4*BH62/_xlfn.XLOOKUP(Q_end,cpi!A:A,cpi!B:B)</f>
        <v>161.99032480995163</v>
      </c>
      <c r="X62" s="22">
        <f t="shared" si="42"/>
        <v>5103.7046105242371</v>
      </c>
      <c r="Y62" s="22">
        <f t="shared" si="43"/>
        <v>1626.9777698131311</v>
      </c>
      <c r="Z62" s="22">
        <f t="shared" si="64"/>
        <v>0</v>
      </c>
      <c r="AA62" s="22" cm="1">
        <f t="array" ref="AA62">(Y62+Z62)*eff_invest</f>
        <v>1626.9777698131311</v>
      </c>
      <c r="AB62" s="22">
        <f>AA62*(_xlfn.XLOOKUP(Q_end,cpi!A:A,cpi!B:B)/BH62)</f>
        <v>2008.7344990781573</v>
      </c>
      <c r="AC62" s="22" cm="1">
        <f t="array" ref="AC62">INDEX('msci-indices'!C:C,MATCH($L62,'msci-indices'!$B:$B)-2)</f>
        <v>1929.6383699999999</v>
      </c>
      <c r="AD62" s="22" cm="1">
        <f t="array" ref="AD62">INDEX('msci-indices'!D:D,MATCH($L62,'msci-indices'!$B:$B)-2)</f>
        <v>1620.9837990000001</v>
      </c>
      <c r="AE62" s="22">
        <f t="shared" si="65"/>
        <v>479947.84185695386</v>
      </c>
      <c r="AF62" s="22" cm="1">
        <f t="array" ref="AF62">INDEX('msci-indices'!C:C,MATCH($L62,'msci-indices'!$B:$B)+1)</f>
        <v>2220.940302</v>
      </c>
      <c r="AG62" s="22" cm="1">
        <f t="array" ref="AG62">INDEX('msci-indices'!D:D,MATCH($L62,'msci-indices'!$B:$B)+1)</f>
        <v>1849.5394759999999</v>
      </c>
      <c r="AH62" s="22">
        <f t="shared" si="44"/>
        <v>299.96740116059618</v>
      </c>
      <c r="AI62" s="22">
        <f t="shared" si="45"/>
        <v>550667.09491728467</v>
      </c>
      <c r="AJ62" s="22">
        <f t="shared" si="66"/>
        <v>231902.69145567733</v>
      </c>
      <c r="AK62" s="22">
        <f t="shared" si="46"/>
        <v>318764.40346160735</v>
      </c>
      <c r="AL62" s="22">
        <f>AJ62*(_xlfn.XLOOKUP(Q_end,cpi!A:A,cpi!B:B)/BH62)</f>
        <v>286316.71888768347</v>
      </c>
      <c r="AM62" s="22" cm="1">
        <f t="array" ref="AM62">SUMPRODUCT($AA$3:AA62,_xlfn.SORTBY($BH$3:BH62,_xlfn.SEQUENCE(ROWS($BH$3:BH62)),-1)/$BH$3)</f>
        <v>301560.66073438415</v>
      </c>
      <c r="AN62" s="22">
        <f t="shared" si="30"/>
        <v>249106.43418290053</v>
      </c>
      <c r="AO62" s="22">
        <f t="shared" si="47"/>
        <v>0</v>
      </c>
      <c r="AP62" s="22">
        <f t="shared" si="31"/>
        <v>550667.09491728467</v>
      </c>
      <c r="AQ62" s="22"/>
      <c r="AR62" s="10">
        <f>IF($B$10="3BR_H",
INDEX('ns-combined'!$C:$D,MATCH($L62,'ns-combined'!$B:$B,0),MATCH(Council_Area,'ns-combined'!$C$1:$D$1,0))*1000,
INDEX('s-combined'!$C:$D,MATCH($L62,'s-combined'!$B:$B,0),MATCH(Council_Area,'s-combined'!$C$1:$D$1,0))*1000)</f>
        <v>528000</v>
      </c>
      <c r="AS62" s="22">
        <f t="shared" si="35"/>
        <v>55500</v>
      </c>
      <c r="AT62" s="10">
        <v>0</v>
      </c>
      <c r="AU62" s="22">
        <f t="shared" si="48"/>
        <v>10560</v>
      </c>
      <c r="AV62" s="22">
        <f t="shared" si="49"/>
        <v>1518</v>
      </c>
      <c r="AW62" s="22">
        <f>SUM($AV$3:AV62)</f>
        <v>85074.125</v>
      </c>
      <c r="AX62" s="22">
        <f t="shared" si="50"/>
        <v>376865.875</v>
      </c>
      <c r="AY62" s="22">
        <f t="shared" si="51"/>
        <v>1729.6000000000001</v>
      </c>
      <c r="AZ62" s="24">
        <f t="shared" si="52"/>
        <v>1.3103030303030304E-2</v>
      </c>
      <c r="BA62" s="24">
        <f t="shared" si="53"/>
        <v>0.35000000000000003</v>
      </c>
      <c r="BB62" s="25">
        <f>IF(MortgageRate="Discounted",_xlfn.XLOOKUP(L62,'mortgage-rates'!$A:$A,'mortgage-rates'!$E:$E)/100,_xlfn.XLOOKUP(L62,'mortgage-rates'!$A:$A,'mortgage-rates'!$D:$D)/100)</f>
        <v>3.6499999999999998E-2</v>
      </c>
      <c r="BC62" s="10">
        <f t="shared" si="67"/>
        <v>170415.50841414041</v>
      </c>
      <c r="BD62" s="10">
        <f t="shared" si="54"/>
        <v>5001.0823803373678</v>
      </c>
      <c r="BE62" s="10">
        <f t="shared" si="55"/>
        <v>1555.0415142790312</v>
      </c>
      <c r="BF62" s="10">
        <f t="shared" si="36"/>
        <v>3446.0408660583366</v>
      </c>
      <c r="BG62" s="12">
        <f t="shared" si="56"/>
        <v>6730.6823803373682</v>
      </c>
      <c r="BH62" s="22">
        <f>INDEX(cpi!B:B,MATCH($L62,cpi!A:A))</f>
        <v>117.2</v>
      </c>
      <c r="BI62" s="22">
        <f t="shared" si="57"/>
        <v>138.53427895981088</v>
      </c>
      <c r="BJ62" s="22">
        <f t="shared" si="58"/>
        <v>255.62200142666194</v>
      </c>
      <c r="BK62" s="22">
        <f t="shared" si="59"/>
        <v>227.36090830549944</v>
      </c>
      <c r="BL62" s="22">
        <f t="shared" si="60"/>
        <v>247.14367349031318</v>
      </c>
      <c r="BM62" s="22">
        <f t="shared" si="61"/>
        <v>493.58793607858416</v>
      </c>
      <c r="BN62" s="22">
        <f t="shared" si="62"/>
        <v>142.70270270270271</v>
      </c>
      <c r="BO62">
        <f t="shared" si="63"/>
        <v>104.50752021740864</v>
      </c>
    </row>
    <row r="63" spans="1:67" x14ac:dyDescent="0.25">
      <c r="L63" s="1">
        <f t="shared" si="33"/>
        <v>44256</v>
      </c>
      <c r="M63" s="10">
        <f t="shared" si="38"/>
        <v>580034.13962028013</v>
      </c>
      <c r="N63" s="10">
        <f t="shared" si="39"/>
        <v>214293.28245191794</v>
      </c>
      <c r="O63" s="7">
        <f t="shared" si="24"/>
        <v>2.7067303882958873</v>
      </c>
      <c r="P63" s="7">
        <f t="shared" si="40"/>
        <v>0.81657672184156971</v>
      </c>
      <c r="Q63">
        <v>61</v>
      </c>
      <c r="R63">
        <f t="shared" si="41"/>
        <v>90</v>
      </c>
      <c r="S63" s="22"/>
      <c r="T63" s="22">
        <f>IF($B$10="3BR_H",
INDEX('3BR_H-processed'!$E:$E,MATCH($L63,'3BR_H-processed'!$B:$B,0),MATCH(Council_Area,'3BR_H-processed'!$E$1:$E$1,0)),
INDEX('2BR_F-processed'!$E:$E,MATCH($L63,'2BR_F-processed'!$B:$B,0),MATCH(Council_Area,'2BR_F-processed'!$E$1:$E$1,0)))</f>
        <v>427</v>
      </c>
      <c r="U63" s="22">
        <f t="shared" si="25"/>
        <v>427</v>
      </c>
      <c r="V63" s="22">
        <f t="shared" si="34"/>
        <v>5490</v>
      </c>
      <c r="W63" s="22">
        <f>$B$53/4*BH63/_xlfn.XLOOKUP(Q_end,cpi!A:A,cpi!B:B)</f>
        <v>162.81962681409814</v>
      </c>
      <c r="X63" s="22">
        <f t="shared" si="42"/>
        <v>5652.8196268140982</v>
      </c>
      <c r="Y63" s="22">
        <f t="shared" si="43"/>
        <v>1269.7627535232696</v>
      </c>
      <c r="Z63" s="22">
        <f t="shared" si="64"/>
        <v>0</v>
      </c>
      <c r="AA63" s="22" cm="1">
        <f t="array" ref="AA63">(Y63+Z63)*eff_invest</f>
        <v>1269.7627535232696</v>
      </c>
      <c r="AB63" s="22">
        <f>AA63*(_xlfn.XLOOKUP(Q_end,cpi!A:A,cpi!B:B)/BH63)</f>
        <v>1559.7170665094829</v>
      </c>
      <c r="AC63" s="22" cm="1">
        <f t="array" ref="AC63">INDEX('msci-indices'!C:C,MATCH($L63,'msci-indices'!$B:$B)-2)</f>
        <v>2220.940302</v>
      </c>
      <c r="AD63" s="22" cm="1">
        <f t="array" ref="AD63">INDEX('msci-indices'!D:D,MATCH($L63,'msci-indices'!$B:$B)-2)</f>
        <v>1849.5394759999999</v>
      </c>
      <c r="AE63" s="22">
        <f t="shared" si="65"/>
        <v>551936.85767080798</v>
      </c>
      <c r="AF63" s="22" cm="1">
        <f t="array" ref="AF63">INDEX('msci-indices'!C:C,MATCH($L63,'msci-indices'!$B:$B)+1)</f>
        <v>2342.5854599999998</v>
      </c>
      <c r="AG63" s="22" cm="1">
        <f t="array" ref="AG63">INDEX('msci-indices'!D:D,MATCH($L63,'msci-indices'!$B:$B)+1)</f>
        <v>1930.8659110000001</v>
      </c>
      <c r="AH63" s="22">
        <f t="shared" si="44"/>
        <v>344.96053604425498</v>
      </c>
      <c r="AI63" s="22">
        <f t="shared" si="45"/>
        <v>580034.13962028013</v>
      </c>
      <c r="AJ63" s="22">
        <f t="shared" si="66"/>
        <v>233172.4542092006</v>
      </c>
      <c r="AK63" s="22">
        <f t="shared" si="46"/>
        <v>346861.68541107955</v>
      </c>
      <c r="AL63" s="22">
        <f>AJ63*(_xlfn.XLOOKUP(Q_end,cpi!A:A,cpi!B:B)/BH63)</f>
        <v>286418.11650315218</v>
      </c>
      <c r="AM63" s="22" cm="1">
        <f t="array" ref="AM63">SUMPRODUCT($AA$3:AA63,_xlfn.SORTBY($BH$3:BH63,_xlfn.SEQUENCE(ROWS($BH$3:BH63)),-1)/$BH$3)</f>
        <v>304336.3876550108</v>
      </c>
      <c r="AN63" s="22">
        <f t="shared" si="30"/>
        <v>275697.75196526933</v>
      </c>
      <c r="AO63" s="22">
        <f t="shared" si="47"/>
        <v>0</v>
      </c>
      <c r="AP63" s="22">
        <f t="shared" si="31"/>
        <v>580034.13962028013</v>
      </c>
      <c r="AQ63" s="22"/>
      <c r="AR63" s="10">
        <f>IF($B$10="3BR_H",
INDEX('ns-combined'!$C:$D,MATCH($L63,'ns-combined'!$B:$B,0),MATCH(Council_Area,'ns-combined'!$C$1:$D$1,0))*1000,
INDEX('s-combined'!$C:$D,MATCH($L63,'s-combined'!$B:$B,0),MATCH(Council_Area,'s-combined'!$C$1:$D$1,0))*1000)</f>
        <v>535000</v>
      </c>
      <c r="AS63" s="22">
        <f t="shared" si="35"/>
        <v>56425</v>
      </c>
      <c r="AT63" s="10">
        <v>0</v>
      </c>
      <c r="AU63" s="22">
        <f t="shared" si="48"/>
        <v>10700</v>
      </c>
      <c r="AV63" s="22">
        <f t="shared" si="49"/>
        <v>1538.125</v>
      </c>
      <c r="AW63" s="22">
        <f>SUM($AV$3:AV63)</f>
        <v>86612.25</v>
      </c>
      <c r="AX63" s="22">
        <f t="shared" si="50"/>
        <v>381262.75</v>
      </c>
      <c r="AY63" s="22">
        <f t="shared" si="51"/>
        <v>1921.5000000000002</v>
      </c>
      <c r="AZ63" s="24">
        <f t="shared" si="52"/>
        <v>1.4366355140186918E-2</v>
      </c>
      <c r="BA63" s="24">
        <f t="shared" si="53"/>
        <v>0.35000000000000003</v>
      </c>
      <c r="BB63" s="25">
        <f>IF(MortgageRate="Discounted",_xlfn.XLOOKUP(L63,'mortgage-rates'!$A:$A,'mortgage-rates'!$E:$E)/100,_xlfn.XLOOKUP(L63,'mortgage-rates'!$A:$A,'mortgage-rates'!$D:$D)/100)</f>
        <v>3.6499999999999998E-2</v>
      </c>
      <c r="BC63" s="10">
        <f t="shared" si="67"/>
        <v>166969.46754808206</v>
      </c>
      <c r="BD63" s="10">
        <f t="shared" si="54"/>
        <v>5001.0823803373678</v>
      </c>
      <c r="BE63" s="10">
        <f t="shared" si="55"/>
        <v>1523.5963913762487</v>
      </c>
      <c r="BF63" s="10">
        <f t="shared" si="36"/>
        <v>3477.4859889611189</v>
      </c>
      <c r="BG63" s="12">
        <f t="shared" si="56"/>
        <v>6922.5823803373678</v>
      </c>
      <c r="BH63" s="22">
        <f>INDEX(cpi!B:B,MATCH($L63,cpi!A:A))</f>
        <v>117.8</v>
      </c>
      <c r="BI63" s="22">
        <f t="shared" si="57"/>
        <v>139.24349881796692</v>
      </c>
      <c r="BJ63" s="22">
        <f t="shared" si="58"/>
        <v>294.21119204132276</v>
      </c>
      <c r="BK63" s="22">
        <f t="shared" si="59"/>
        <v>259.41837017103796</v>
      </c>
      <c r="BL63" s="22">
        <f t="shared" si="60"/>
        <v>283.77334548023731</v>
      </c>
      <c r="BM63" s="22">
        <f t="shared" si="61"/>
        <v>567.62287620543077</v>
      </c>
      <c r="BN63" s="22">
        <f t="shared" si="62"/>
        <v>144.59459459459458</v>
      </c>
      <c r="BO63">
        <f t="shared" si="63"/>
        <v>105.72680414157905</v>
      </c>
    </row>
    <row r="64" spans="1:67" x14ac:dyDescent="0.25">
      <c r="L64" s="1">
        <f t="shared" si="33"/>
        <v>44348</v>
      </c>
      <c r="M64" s="10">
        <f t="shared" si="38"/>
        <v>625767.73210686108</v>
      </c>
      <c r="N64" s="10">
        <f t="shared" si="39"/>
        <v>220193.26844087907</v>
      </c>
      <c r="O64" s="7">
        <f t="shared" si="24"/>
        <v>2.8419021913691109</v>
      </c>
      <c r="P64" s="7">
        <f t="shared" si="40"/>
        <v>0.82471277654121899</v>
      </c>
      <c r="Q64">
        <v>62</v>
      </c>
      <c r="R64">
        <f t="shared" si="41"/>
        <v>91</v>
      </c>
      <c r="S64" s="22"/>
      <c r="T64" s="22">
        <f>IF($B$10="3BR_H",
INDEX('3BR_H-processed'!$E:$E,MATCH($L64,'3BR_H-processed'!$B:$B,0),MATCH(Council_Area,'3BR_H-processed'!$E$1:$E$1,0)),
INDEX('2BR_F-processed'!$E:$E,MATCH($L64,'2BR_F-processed'!$B:$B,0),MATCH(Council_Area,'2BR_F-processed'!$E$1:$E$1,0)))</f>
        <v>427</v>
      </c>
      <c r="U64" s="22">
        <f t="shared" si="25"/>
        <v>427</v>
      </c>
      <c r="V64" s="22">
        <f t="shared" si="34"/>
        <v>5551</v>
      </c>
      <c r="W64" s="22">
        <f>$B$53/4*BH64/_xlfn.XLOOKUP(Q_end,cpi!A:A,cpi!B:B)</f>
        <v>164.201796821009</v>
      </c>
      <c r="X64" s="22">
        <f t="shared" si="42"/>
        <v>5715.2017968210093</v>
      </c>
      <c r="Y64" s="22">
        <f t="shared" si="43"/>
        <v>1214.7281853360755</v>
      </c>
      <c r="Z64" s="22">
        <f t="shared" si="64"/>
        <v>0</v>
      </c>
      <c r="AA64" s="22" cm="1">
        <f t="array" ref="AA64">(Y64+Z64)*eff_invest</f>
        <v>1214.7281853360755</v>
      </c>
      <c r="AB64" s="22">
        <f>AA64*(_xlfn.XLOOKUP(Q_end,cpi!A:A,cpi!B:B)/BH64)</f>
        <v>1479.5552897149</v>
      </c>
      <c r="AC64" s="22" cm="1">
        <f t="array" ref="AC64">INDEX('msci-indices'!C:C,MATCH($L64,'msci-indices'!$B:$B)-2)</f>
        <v>2342.5854599999998</v>
      </c>
      <c r="AD64" s="22" cm="1">
        <f t="array" ref="AD64">INDEX('msci-indices'!D:D,MATCH($L64,'msci-indices'!$B:$B)-2)</f>
        <v>1930.8659110000001</v>
      </c>
      <c r="AE64" s="22">
        <f t="shared" si="65"/>
        <v>581248.86780561623</v>
      </c>
      <c r="AF64" s="22" cm="1">
        <f t="array" ref="AF64">INDEX('msci-indices'!C:C,MATCH($L64,'msci-indices'!$B:$B)+1)</f>
        <v>2515.6062010000001</v>
      </c>
      <c r="AG64" s="22" cm="1">
        <f t="array" ref="AG64">INDEX('msci-indices'!D:D,MATCH($L64,'msci-indices'!$B:$B)+1)</f>
        <v>2095.0894480000002</v>
      </c>
      <c r="AH64" s="22">
        <f t="shared" si="44"/>
        <v>363.28054237851018</v>
      </c>
      <c r="AI64" s="22">
        <f t="shared" si="45"/>
        <v>625767.73210686108</v>
      </c>
      <c r="AJ64" s="22">
        <f t="shared" si="66"/>
        <v>234387.18239453668</v>
      </c>
      <c r="AK64" s="22">
        <f t="shared" si="46"/>
        <v>391380.5497123244</v>
      </c>
      <c r="AL64" s="22">
        <f>AJ64*(_xlfn.XLOOKUP(Q_end,cpi!A:A,cpi!B:B)/BH64)</f>
        <v>285486.74488627492</v>
      </c>
      <c r="AM64" s="22" cm="1">
        <f t="array" ref="AM64">SUMPRODUCT($AA$3:AA64,_xlfn.SORTBY($BH$3:BH64,_xlfn.SEQUENCE(ROWS($BH$3:BH64)),-1)/$BH$3)</f>
        <v>307537.83563111612</v>
      </c>
      <c r="AN64" s="22">
        <f t="shared" si="30"/>
        <v>318229.89647574496</v>
      </c>
      <c r="AO64" s="22">
        <f t="shared" si="47"/>
        <v>0</v>
      </c>
      <c r="AP64" s="22">
        <f t="shared" si="31"/>
        <v>625767.73210686108</v>
      </c>
      <c r="AQ64" s="22"/>
      <c r="AR64" s="10">
        <f>IF($B$10="3BR_H",
INDEX('ns-combined'!$C:$D,MATCH($L64,'ns-combined'!$B:$B,0),MATCH(Council_Area,'ns-combined'!$C$1:$D$1,0))*1000,
INDEX('s-combined'!$C:$D,MATCH($L64,'s-combined'!$B:$B,0),MATCH(Council_Area,'s-combined'!$C$1:$D$1,0))*1000)</f>
        <v>540000</v>
      </c>
      <c r="AS64" s="22">
        <f t="shared" si="35"/>
        <v>57350</v>
      </c>
      <c r="AT64" s="10">
        <v>0</v>
      </c>
      <c r="AU64" s="22">
        <f t="shared" si="48"/>
        <v>10800</v>
      </c>
      <c r="AV64" s="22">
        <f t="shared" si="49"/>
        <v>1552.5</v>
      </c>
      <c r="AW64" s="22">
        <f>SUM($AV$3:AV64)</f>
        <v>88164.75</v>
      </c>
      <c r="AX64" s="22">
        <f t="shared" si="50"/>
        <v>383685.25</v>
      </c>
      <c r="AY64" s="22">
        <f t="shared" si="51"/>
        <v>1942.8500000000001</v>
      </c>
      <c r="AZ64" s="24">
        <f t="shared" si="52"/>
        <v>1.4391481481481483E-2</v>
      </c>
      <c r="BA64" s="24">
        <f t="shared" si="53"/>
        <v>0.35000000000000003</v>
      </c>
      <c r="BB64" s="25">
        <f>IF(MortgageRate="Discounted",_xlfn.XLOOKUP(L64,'mortgage-rates'!$A:$A,'mortgage-rates'!$E:$E)/100,_xlfn.XLOOKUP(L64,'mortgage-rates'!$A:$A,'mortgage-rates'!$D:$D)/100)</f>
        <v>3.5900000000000001E-2</v>
      </c>
      <c r="BC64" s="10">
        <f t="shared" si="67"/>
        <v>163491.98155912093</v>
      </c>
      <c r="BD64" s="10">
        <f t="shared" si="54"/>
        <v>4987.0799821570845</v>
      </c>
      <c r="BE64" s="10">
        <f t="shared" si="55"/>
        <v>1467.3405344931105</v>
      </c>
      <c r="BF64" s="10">
        <f t="shared" si="36"/>
        <v>3519.7394476639738</v>
      </c>
      <c r="BG64" s="12">
        <f t="shared" si="56"/>
        <v>6929.9299821570849</v>
      </c>
      <c r="BH64" s="22">
        <f>INDEX(cpi!B:B,MATCH($L64,cpi!A:A))</f>
        <v>118.8</v>
      </c>
      <c r="BI64" s="22">
        <f t="shared" si="57"/>
        <v>140.42553191489364</v>
      </c>
      <c r="BJ64" s="22">
        <f t="shared" si="58"/>
        <v>310.32570304776715</v>
      </c>
      <c r="BK64" s="22">
        <f t="shared" si="59"/>
        <v>270.82530227131878</v>
      </c>
      <c r="BL64" s="22">
        <f t="shared" si="60"/>
        <v>298.47558281483265</v>
      </c>
      <c r="BM64" s="22">
        <f t="shared" si="61"/>
        <v>597.76793223647064</v>
      </c>
      <c r="BN64" s="22">
        <f t="shared" si="62"/>
        <v>145.94594594594594</v>
      </c>
      <c r="BO64">
        <f t="shared" si="63"/>
        <v>106.39858018849939</v>
      </c>
    </row>
    <row r="65" spans="2:67" x14ac:dyDescent="0.25">
      <c r="L65" s="1">
        <f t="shared" si="33"/>
        <v>44440</v>
      </c>
      <c r="M65" s="10">
        <f t="shared" si="38"/>
        <v>628377.64749172202</v>
      </c>
      <c r="N65" s="10">
        <f t="shared" si="39"/>
        <v>206578.63288854304</v>
      </c>
      <c r="O65" s="7">
        <f t="shared" si="24"/>
        <v>3.0418327331595587</v>
      </c>
      <c r="P65" s="7">
        <f t="shared" si="40"/>
        <v>0.83497594348244319</v>
      </c>
      <c r="Q65">
        <v>63</v>
      </c>
      <c r="R65">
        <f t="shared" si="41"/>
        <v>92</v>
      </c>
      <c r="S65" s="22"/>
      <c r="T65" s="22">
        <f>IF($B$10="3BR_H",
INDEX('3BR_H-processed'!$E:$E,MATCH($L65,'3BR_H-processed'!$B:$B,0),MATCH(Council_Area,'3BR_H-processed'!$E$1:$E$1,0)),
INDEX('2BR_F-processed'!$E:$E,MATCH($L65,'2BR_F-processed'!$B:$B,0),MATCH(Council_Area,'2BR_F-processed'!$E$1:$E$1,0)))</f>
        <v>457.58977871443625</v>
      </c>
      <c r="U65" s="22">
        <f t="shared" si="25"/>
        <v>427</v>
      </c>
      <c r="V65" s="22">
        <f t="shared" si="34"/>
        <v>5612</v>
      </c>
      <c r="W65" s="22">
        <f>$B$53/4*BH65/_xlfn.XLOOKUP(Q_end,cpi!A:A,cpi!B:B)</f>
        <v>165.58396682791985</v>
      </c>
      <c r="X65" s="22">
        <f t="shared" si="42"/>
        <v>5777.5839668279195</v>
      </c>
      <c r="Y65" s="22">
        <f t="shared" si="43"/>
        <v>1141.8776199709619</v>
      </c>
      <c r="Z65" s="22">
        <f t="shared" si="64"/>
        <v>0</v>
      </c>
      <c r="AA65" s="22" cm="1">
        <f t="array" ref="AA65">(Y65+Z65)*eff_invest</f>
        <v>1141.8776199709619</v>
      </c>
      <c r="AB65" s="22">
        <f>AA65*(_xlfn.XLOOKUP(Q_end,cpi!A:A,cpi!B:B)/BH65)</f>
        <v>1379.212784722856</v>
      </c>
      <c r="AC65" s="22" cm="1">
        <f t="array" ref="AC65">INDEX('msci-indices'!C:C,MATCH($L65,'msci-indices'!$B:$B)-2)</f>
        <v>2515.6062010000001</v>
      </c>
      <c r="AD65" s="22" cm="1">
        <f t="array" ref="AD65">INDEX('msci-indices'!D:D,MATCH($L65,'msci-indices'!$B:$B)-2)</f>
        <v>2095.0894480000002</v>
      </c>
      <c r="AE65" s="22">
        <f t="shared" si="65"/>
        <v>626909.60972683202</v>
      </c>
      <c r="AF65" s="22" cm="1">
        <f t="array" ref="AF65">INDEX('msci-indices'!C:C,MATCH($L65,'msci-indices'!$B:$B)+1)</f>
        <v>2510.8156309999999</v>
      </c>
      <c r="AG65" s="22" cm="1">
        <f t="array" ref="AG65">INDEX('msci-indices'!D:D,MATCH($L65,'msci-indices'!$B:$B)+1)</f>
        <v>2125.1172740000002</v>
      </c>
      <c r="AH65" s="22">
        <f t="shared" si="44"/>
        <v>391.81850607927004</v>
      </c>
      <c r="AI65" s="22">
        <f t="shared" si="45"/>
        <v>628377.64749172202</v>
      </c>
      <c r="AJ65" s="22">
        <f t="shared" si="66"/>
        <v>235529.06001450765</v>
      </c>
      <c r="AK65" s="22">
        <f t="shared" si="46"/>
        <v>392848.5874772144</v>
      </c>
      <c r="AL65" s="22">
        <f>AJ65*(_xlfn.XLOOKUP(Q_end,cpi!A:A,cpi!B:B)/BH65)</f>
        <v>284482.92975041113</v>
      </c>
      <c r="AM65" s="22" cm="1">
        <f t="array" ref="AM65">SUMPRODUCT($AA$3:AA65,_xlfn.SORTBY($BH$3:BH65,_xlfn.SEQUENCE(ROWS($BH$3:BH65)),-1)/$BH$3)</f>
        <v>310698.82634576422</v>
      </c>
      <c r="AN65" s="22">
        <f t="shared" si="30"/>
        <v>317678.8211459578</v>
      </c>
      <c r="AO65" s="22">
        <f t="shared" si="47"/>
        <v>0</v>
      </c>
      <c r="AP65" s="22">
        <f t="shared" si="31"/>
        <v>628377.64749172202</v>
      </c>
      <c r="AQ65" s="22"/>
      <c r="AR65" s="10">
        <f>IF($B$10="3BR_H",
INDEX('ns-combined'!$C:$D,MATCH($L65,'ns-combined'!$B:$B,0),MATCH(Council_Area,'ns-combined'!$C$1:$D$1,0))*1000,
INDEX('s-combined'!$C:$D,MATCH($L65,'s-combined'!$B:$B,0),MATCH(Council_Area,'s-combined'!$C$1:$D$1,0))*1000)</f>
        <v>525000</v>
      </c>
      <c r="AS65" s="22">
        <f t="shared" si="35"/>
        <v>58275</v>
      </c>
      <c r="AT65" s="10">
        <v>0</v>
      </c>
      <c r="AU65" s="22">
        <f t="shared" si="48"/>
        <v>10500</v>
      </c>
      <c r="AV65" s="22">
        <f t="shared" si="49"/>
        <v>1509.375</v>
      </c>
      <c r="AW65" s="22">
        <f>SUM($AV$3:AV65)</f>
        <v>89674.125</v>
      </c>
      <c r="AX65" s="22">
        <f t="shared" si="50"/>
        <v>366550.875</v>
      </c>
      <c r="AY65" s="22">
        <f t="shared" si="51"/>
        <v>1964.2000000000003</v>
      </c>
      <c r="AZ65" s="24">
        <f t="shared" si="52"/>
        <v>1.4965333333333336E-2</v>
      </c>
      <c r="BA65" s="24">
        <f t="shared" si="53"/>
        <v>0.35000000000000003</v>
      </c>
      <c r="BB65" s="25">
        <f>IF(MortgageRate="Discounted",_xlfn.XLOOKUP(L65,'mortgage-rates'!$A:$A,'mortgage-rates'!$E:$E)/100,_xlfn.XLOOKUP(L65,'mortgage-rates'!$A:$A,'mortgage-rates'!$D:$D)/100)</f>
        <v>3.4500000000000003E-2</v>
      </c>
      <c r="BC65" s="10">
        <f t="shared" si="67"/>
        <v>159972.24211145696</v>
      </c>
      <c r="BD65" s="10">
        <f t="shared" si="54"/>
        <v>4955.2615867988816</v>
      </c>
      <c r="BE65" s="10">
        <f t="shared" si="55"/>
        <v>1379.7605882113164</v>
      </c>
      <c r="BF65" s="10">
        <f t="shared" si="36"/>
        <v>3575.5009985875649</v>
      </c>
      <c r="BG65" s="12">
        <f t="shared" si="56"/>
        <v>6919.4615867988814</v>
      </c>
      <c r="BH65" s="22">
        <f>INDEX(cpi!B:B,MATCH($L65,cpi!A:A))</f>
        <v>119.8</v>
      </c>
      <c r="BI65" s="22">
        <f t="shared" si="57"/>
        <v>141.60756501182033</v>
      </c>
      <c r="BJ65" s="22">
        <f t="shared" si="58"/>
        <v>333.24601225717834</v>
      </c>
      <c r="BK65" s="22">
        <f t="shared" si="59"/>
        <v>293.85946989254734</v>
      </c>
      <c r="BL65" s="22">
        <f t="shared" si="60"/>
        <v>321.43004954778905</v>
      </c>
      <c r="BM65" s="22">
        <f t="shared" si="61"/>
        <v>644.72635021270355</v>
      </c>
      <c r="BN65" s="22">
        <f t="shared" si="62"/>
        <v>141.8918918918919</v>
      </c>
      <c r="BO65">
        <f t="shared" si="63"/>
        <v>101.64709919615653</v>
      </c>
    </row>
    <row r="66" spans="2:67" x14ac:dyDescent="0.25">
      <c r="L66" s="1">
        <f t="shared" si="33"/>
        <v>44531</v>
      </c>
      <c r="M66" s="10">
        <f t="shared" si="38"/>
        <v>664512.60352646443</v>
      </c>
      <c r="N66" s="10">
        <f t="shared" si="39"/>
        <v>240746.5838871306</v>
      </c>
      <c r="O66" s="7">
        <f t="shared" si="24"/>
        <v>2.760216127668953</v>
      </c>
      <c r="P66" s="7">
        <f t="shared" si="40"/>
        <v>0.83529554522938765</v>
      </c>
      <c r="Q66">
        <v>64</v>
      </c>
      <c r="R66">
        <f t="shared" si="41"/>
        <v>92</v>
      </c>
      <c r="S66" s="22"/>
      <c r="T66" s="22">
        <f>IF($B$10="3BR_H",
INDEX('3BR_H-processed'!$E:$E,MATCH($L66,'3BR_H-processed'!$B:$B,0),MATCH(Council_Area,'3BR_H-processed'!$E$1:$E$1,0)),
INDEX('2BR_F-processed'!$E:$E,MATCH($L66,'2BR_F-processed'!$B:$B,0),MATCH(Council_Area,'2BR_F-processed'!$E$1:$E$1,0)))</f>
        <v>461.13698630136986</v>
      </c>
      <c r="U66" s="22">
        <f t="shared" si="25"/>
        <v>427</v>
      </c>
      <c r="V66" s="22">
        <f t="shared" si="34"/>
        <v>5612</v>
      </c>
      <c r="W66" s="22">
        <f>$B$53/4*BH66/_xlfn.XLOOKUP(Q_end,cpi!A:A,cpi!B:B)</f>
        <v>167.79543883897722</v>
      </c>
      <c r="X66" s="22">
        <f t="shared" si="42"/>
        <v>5779.7954388389771</v>
      </c>
      <c r="Y66" s="22">
        <f t="shared" si="43"/>
        <v>1139.6661479599061</v>
      </c>
      <c r="Z66" s="22">
        <f t="shared" si="64"/>
        <v>0</v>
      </c>
      <c r="AA66" s="22" cm="1">
        <f t="array" ref="AA66">(Y66+Z66)*eff_invest</f>
        <v>1139.6661479599061</v>
      </c>
      <c r="AB66" s="22">
        <f>AA66*(_xlfn.XLOOKUP(Q_end,cpi!A:A,cpi!B:B)/BH66)</f>
        <v>1358.399436654023</v>
      </c>
      <c r="AC66" s="22" cm="1">
        <f t="array" ref="AC66">INDEX('msci-indices'!C:C,MATCH($L66,'msci-indices'!$B:$B)-2)</f>
        <v>2510.8156309999999</v>
      </c>
      <c r="AD66" s="22" cm="1">
        <f t="array" ref="AD66">INDEX('msci-indices'!D:D,MATCH($L66,'msci-indices'!$B:$B)-2)</f>
        <v>2125.1172740000002</v>
      </c>
      <c r="AE66" s="22">
        <f t="shared" si="65"/>
        <v>629517.3136396819</v>
      </c>
      <c r="AF66" s="22" cm="1">
        <f t="array" ref="AF66">INDEX('msci-indices'!C:C,MATCH($L66,'msci-indices'!$B:$B)+1)</f>
        <v>2688.1915319999998</v>
      </c>
      <c r="AG66" s="22" cm="1">
        <f t="array" ref="AG66">INDEX('msci-indices'!D:D,MATCH($L66,'msci-indices'!$B:$B)+1)</f>
        <v>2173.034118</v>
      </c>
      <c r="AH66" s="22">
        <f t="shared" si="44"/>
        <v>393.4483210248012</v>
      </c>
      <c r="AI66" s="22">
        <f t="shared" si="45"/>
        <v>664512.60352646443</v>
      </c>
      <c r="AJ66" s="22">
        <f t="shared" si="66"/>
        <v>236668.72616246756</v>
      </c>
      <c r="AK66" s="22">
        <f t="shared" si="46"/>
        <v>427843.87736399687</v>
      </c>
      <c r="AL66" s="22">
        <f>AJ66*(_xlfn.XLOOKUP(Q_end,cpi!A:A,cpi!B:B)/BH66)</f>
        <v>282091.96602725744</v>
      </c>
      <c r="AM66" s="22" cm="1">
        <f t="array" ref="AM66">SUMPRODUCT($AA$3:AA66,_xlfn.SORTBY($BH$3:BH66,_xlfn.SEQUENCE(ROWS($BH$3:BH66)),-1)/$BH$3)</f>
        <v>314581.38779788464</v>
      </c>
      <c r="AN66" s="22">
        <f t="shared" si="30"/>
        <v>349931.21572857979</v>
      </c>
      <c r="AO66" s="22">
        <f t="shared" si="47"/>
        <v>0</v>
      </c>
      <c r="AP66" s="22">
        <f t="shared" si="31"/>
        <v>664512.60352646443</v>
      </c>
      <c r="AQ66" s="22"/>
      <c r="AR66" s="10">
        <f>IF($B$10="3BR_H",
INDEX('ns-combined'!$C:$D,MATCH($L66,'ns-combined'!$B:$B,0),MATCH(Council_Area,'ns-combined'!$C$1:$D$1,0))*1000,
INDEX('s-combined'!$C:$D,MATCH($L66,'s-combined'!$B:$B,0),MATCH(Council_Area,'s-combined'!$C$1:$D$1,0))*1000)</f>
        <v>558800</v>
      </c>
      <c r="AS66" s="22">
        <f t="shared" si="35"/>
        <v>59200</v>
      </c>
      <c r="AT66" s="10">
        <v>0</v>
      </c>
      <c r="AU66" s="22">
        <f t="shared" si="48"/>
        <v>11176</v>
      </c>
      <c r="AV66" s="22">
        <f t="shared" si="49"/>
        <v>1606.55</v>
      </c>
      <c r="AW66" s="22">
        <f>SUM($AV$3:AV66)</f>
        <v>91280.675000000003</v>
      </c>
      <c r="AX66" s="22">
        <f t="shared" si="50"/>
        <v>397143.32500000001</v>
      </c>
      <c r="AY66" s="22">
        <f t="shared" si="51"/>
        <v>1964.2000000000003</v>
      </c>
      <c r="AZ66" s="24">
        <f t="shared" si="52"/>
        <v>1.4060128847530424E-2</v>
      </c>
      <c r="BA66" s="24">
        <f t="shared" si="53"/>
        <v>0.35000000000000003</v>
      </c>
      <c r="BB66" s="25">
        <f>IF(MortgageRate="Discounted",_xlfn.XLOOKUP(L66,'mortgage-rates'!$A:$A,'mortgage-rates'!$E:$E)/100,_xlfn.XLOOKUP(L66,'mortgage-rates'!$A:$A,'mortgage-rates'!$D:$D)/100)</f>
        <v>3.4500000000000003E-2</v>
      </c>
      <c r="BC66" s="10">
        <f t="shared" si="67"/>
        <v>156396.74111286941</v>
      </c>
      <c r="BD66" s="10">
        <f t="shared" si="54"/>
        <v>4955.2615867988825</v>
      </c>
      <c r="BE66" s="10">
        <f t="shared" si="55"/>
        <v>1348.9218920984988</v>
      </c>
      <c r="BF66" s="10">
        <f t="shared" si="36"/>
        <v>3606.3396947003839</v>
      </c>
      <c r="BG66" s="12">
        <f t="shared" si="56"/>
        <v>6919.4615867988832</v>
      </c>
      <c r="BH66" s="22">
        <f>INDEX(cpi!B:B,MATCH($L66,cpi!A:A))</f>
        <v>121.4</v>
      </c>
      <c r="BI66" s="22">
        <f t="shared" si="57"/>
        <v>143.49881796690309</v>
      </c>
      <c r="BJ66" s="22">
        <f t="shared" si="58"/>
        <v>332.61139848165806</v>
      </c>
      <c r="BK66" s="22">
        <f t="shared" si="59"/>
        <v>298.0712046415382</v>
      </c>
      <c r="BL66" s="22">
        <f t="shared" si="60"/>
        <v>322.2493403296221</v>
      </c>
      <c r="BM66" s="22">
        <f t="shared" si="61"/>
        <v>647.40816494337855</v>
      </c>
      <c r="BN66" s="22">
        <f t="shared" si="62"/>
        <v>151.02702702702703</v>
      </c>
      <c r="BO66">
        <f t="shared" si="63"/>
        <v>110.13059770043225</v>
      </c>
    </row>
    <row r="67" spans="2:67" x14ac:dyDescent="0.25">
      <c r="L67" s="1">
        <f t="shared" si="33"/>
        <v>44621</v>
      </c>
      <c r="M67" s="10">
        <f t="shared" ref="M67:M80" si="68">AP67</f>
        <v>645341.20726571884</v>
      </c>
      <c r="N67" s="10">
        <f t="shared" ref="N67:N82" si="69">AX67-BC67</f>
        <v>233222.67358183098</v>
      </c>
      <c r="O67" s="7">
        <f t="shared" si="24"/>
        <v>2.767060326316376</v>
      </c>
      <c r="P67" s="7">
        <f t="shared" ref="P67:P82" si="70">X67/BG67</f>
        <v>0.87226227837343195</v>
      </c>
      <c r="Q67">
        <v>65</v>
      </c>
      <c r="R67">
        <f t="shared" ref="R67:R82" si="71">EOMONTH(L67,0)-EOMONTH(L67,-3)</f>
        <v>90</v>
      </c>
      <c r="S67" s="22"/>
      <c r="T67" s="22">
        <f>IF($B$10="3BR_H",
INDEX('3BR_H-processed'!$E:$E,MATCH($L67,'3BR_H-processed'!$B:$B,0),MATCH(Council_Area,'3BR_H-processed'!$E$1:$E$1,0)),
INDEX('2BR_F-processed'!$E:$E,MATCH($L67,'2BR_F-processed'!$B:$B,0),MATCH(Council_Area,'2BR_F-processed'!$E$1:$E$1,0)))</f>
        <v>464.7396190068493</v>
      </c>
      <c r="U67" s="22">
        <f t="shared" si="25"/>
        <v>464.7396190068493</v>
      </c>
      <c r="V67" s="22">
        <f t="shared" si="34"/>
        <v>5975.2236729452052</v>
      </c>
      <c r="W67" s="22">
        <f>$B$53/4*BH67/_xlfn.XLOOKUP(Q_end,cpi!A:A,cpi!B:B)</f>
        <v>171.25086385625434</v>
      </c>
      <c r="X67" s="22">
        <f t="shared" ref="X67:X81" si="72">V67+W67</f>
        <v>6146.4745368014592</v>
      </c>
      <c r="Y67" s="22">
        <f t="shared" ref="Y67:Y81" si="73">BG67-X67</f>
        <v>900.11533552824585</v>
      </c>
      <c r="Z67" s="22">
        <f t="shared" si="64"/>
        <v>0</v>
      </c>
      <c r="AA67" s="22" cm="1">
        <f t="array" ref="AA67">(Y67+Z67)*eff_invest</f>
        <v>900.11533552824585</v>
      </c>
      <c r="AB67" s="22">
        <f>AA67*(_xlfn.XLOOKUP(Q_end,cpi!A:A,cpi!B:B)/BH67)</f>
        <v>1051.2242861254008</v>
      </c>
      <c r="AC67" s="22" cm="1">
        <f t="array" ref="AC67">INDEX('msci-indices'!C:C,MATCH($L67,'msci-indices'!$B:$B)-2)</f>
        <v>2688.1915319999998</v>
      </c>
      <c r="AD67" s="22" cm="1">
        <f t="array" ref="AD67">INDEX('msci-indices'!D:D,MATCH($L67,'msci-indices'!$B:$B)-2)</f>
        <v>2173.034118</v>
      </c>
      <c r="AE67" s="22">
        <f t="shared" si="65"/>
        <v>665412.7188619927</v>
      </c>
      <c r="AF67" s="22" cm="1">
        <f t="array" ref="AF67">INDEX('msci-indices'!C:C,MATCH($L67,'msci-indices'!$B:$B)+1)</f>
        <v>2545.291346</v>
      </c>
      <c r="AG67" s="22" cm="1">
        <f t="array" ref="AG67">INDEX('msci-indices'!D:D,MATCH($L67,'msci-indices'!$B:$B)+1)</f>
        <v>2228.6053740000002</v>
      </c>
      <c r="AH67" s="22">
        <f t="shared" ref="AH67:AH82" si="74">(InvestFees/4)*AE67</f>
        <v>415.88294928874546</v>
      </c>
      <c r="AI67" s="22">
        <f t="shared" ref="AI67:AI82" si="75">((AF67/AC67)*GlobalPortfolio+(AG67/AD67)*AusPortfolio)*AE67-AH67</f>
        <v>645341.20726571884</v>
      </c>
      <c r="AJ67" s="22">
        <f t="shared" si="66"/>
        <v>237568.8414979958</v>
      </c>
      <c r="AK67" s="22">
        <f t="shared" ref="AK67:AK82" si="76">AI67-AJ67</f>
        <v>407772.36576772307</v>
      </c>
      <c r="AL67" s="22">
        <f>AJ67*(_xlfn.XLOOKUP(Q_end,cpi!A:A,cpi!B:B)/BH67)</f>
        <v>277451.2620238901</v>
      </c>
      <c r="AM67" s="22" cm="1">
        <f t="array" ref="AM67">SUMPRODUCT($AA$3:AA67,_xlfn.SORTBY($BH$3:BH67,_xlfn.SEQUENCE(ROWS($BH$3:BH67)),-1)/$BH$3)</f>
        <v>319315.48674883519</v>
      </c>
      <c r="AN67" s="22">
        <f t="shared" si="30"/>
        <v>326025.72051688365</v>
      </c>
      <c r="AO67" s="22">
        <f t="shared" ref="AO67:AO82" si="77">IF($B$49="Real gains",MAX($B$50*AN67,0),IF($B$49="Discounted nominal gains",MAX($B$50*AK67/2,0),0))</f>
        <v>0</v>
      </c>
      <c r="AP67" s="22">
        <f t="shared" si="31"/>
        <v>645341.20726571884</v>
      </c>
      <c r="AQ67" s="22"/>
      <c r="AR67" s="10">
        <f>IF($B$10="3BR_H",
INDEX('ns-combined'!$C:$D,MATCH($L67,'ns-combined'!$B:$B,0),MATCH(Council_Area,'ns-combined'!$C$1:$D$1,0))*1000,
INDEX('s-combined'!$C:$D,MATCH($L67,'s-combined'!$B:$B,0),MATCH(Council_Area,'s-combined'!$C$1:$D$1,0))*1000)</f>
        <v>550000</v>
      </c>
      <c r="AS67" s="22">
        <f t="shared" si="35"/>
        <v>60125</v>
      </c>
      <c r="AT67" s="10">
        <v>0</v>
      </c>
      <c r="AU67" s="22">
        <f t="shared" ref="AU67:AU82" si="78">SUM($B$28:$B$29)*AR67</f>
        <v>11000</v>
      </c>
      <c r="AV67" s="22">
        <f t="shared" ref="AV67:AV82" si="79">AR67*$B$15/4</f>
        <v>1581.25</v>
      </c>
      <c r="AW67" s="22">
        <f>SUM($AV$3:AV67)</f>
        <v>92861.925000000003</v>
      </c>
      <c r="AX67" s="22">
        <f t="shared" ref="AX67:AX82" si="80">AR67-AS67-AU67-AW67</f>
        <v>386013.07500000001</v>
      </c>
      <c r="AY67" s="22">
        <f t="shared" ref="AY67:AY82" si="81">$B$36*V67</f>
        <v>2091.3282855308221</v>
      </c>
      <c r="AZ67" s="24">
        <f t="shared" ref="AZ67:AZ82" si="82">SUM(AY67:AY67)*4/AR67</f>
        <v>1.5209660258405979E-2</v>
      </c>
      <c r="BA67" s="24">
        <f t="shared" ref="BA67:BA82" si="83">SUM(AY67:AY67)/V67</f>
        <v>0.35000000000000003</v>
      </c>
      <c r="BB67" s="25">
        <f>IF(MortgageRate="Discounted",_xlfn.XLOOKUP(L67,'mortgage-rates'!$A:$A,'mortgage-rates'!$E:$E)/100,_xlfn.XLOOKUP(L67,'mortgage-rates'!$A:$A,'mortgage-rates'!$D:$D)/100)</f>
        <v>3.4500000000000003E-2</v>
      </c>
      <c r="BC67" s="10">
        <f t="shared" si="67"/>
        <v>152790.40141816903</v>
      </c>
      <c r="BD67" s="10">
        <f t="shared" ref="BD67:BD82" si="84">IF($B$16*12/3-Q67+1&gt;0,-PMT($BB67/4,$B$16*12/3-Q67+1,BC67),0)</f>
        <v>4955.2615867988825</v>
      </c>
      <c r="BE67" s="10">
        <f t="shared" si="55"/>
        <v>1317.817212231708</v>
      </c>
      <c r="BF67" s="10">
        <f t="shared" si="36"/>
        <v>3637.4443745671742</v>
      </c>
      <c r="BG67" s="12">
        <f t="shared" ref="BG67:BG82" si="85">AT67+AY67+BD67</f>
        <v>7046.589872329705</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684.32371582872963</v>
      </c>
      <c r="BN67" s="22">
        <f t="shared" ref="BN67:BN82" si="91">100*AR67/AR$3</f>
        <v>148.64864864864865</v>
      </c>
      <c r="BO67">
        <f t="shared" ref="BO67:BO82" si="92">100*AX67/AX$3</f>
        <v>107.04410220147042</v>
      </c>
    </row>
    <row r="68" spans="2:67" x14ac:dyDescent="0.25">
      <c r="L68" s="1">
        <f t="shared" si="33"/>
        <v>44713</v>
      </c>
      <c r="M68" s="10">
        <f t="shared" si="68"/>
        <v>548746.96712933644</v>
      </c>
      <c r="N68" s="10">
        <f t="shared" si="69"/>
        <v>249010.74295639817</v>
      </c>
      <c r="O68" s="7">
        <f t="shared" ref="O68:O82" si="93">M68/N68</f>
        <v>2.2037080031740723</v>
      </c>
      <c r="P68" s="7">
        <f t="shared" si="70"/>
        <v>0.85984857332222409</v>
      </c>
      <c r="Q68">
        <v>66</v>
      </c>
      <c r="R68">
        <f t="shared" si="71"/>
        <v>91</v>
      </c>
      <c r="S68" s="22"/>
      <c r="T68" s="22">
        <f>IF($B$10="3BR_H",
INDEX('3BR_H-processed'!$E:$E,MATCH($L68,'3BR_H-processed'!$B:$B,0),MATCH(Council_Area,'3BR_H-processed'!$E$1:$E$1,0)),
INDEX('2BR_F-processed'!$E:$E,MATCH($L68,'2BR_F-processed'!$B:$B,0),MATCH(Council_Area,'2BR_F-processed'!$E$1:$E$1,0)))</f>
        <v>477</v>
      </c>
      <c r="U68" s="22">
        <f t="shared" ref="U68:U82" si="94">IF(MOD(Q68,4)=1,T68,U67)</f>
        <v>464.7396190068493</v>
      </c>
      <c r="V68" s="22">
        <f t="shared" ref="V68:V82" si="95">U68*(R68)/7</f>
        <v>6041.6150470890407</v>
      </c>
      <c r="W68" s="22">
        <f>$B$53/4*BH68/_xlfn.XLOOKUP(Q_end,cpi!A:A,cpi!B:B)</f>
        <v>174.29163787145819</v>
      </c>
      <c r="X68" s="22">
        <f t="shared" si="72"/>
        <v>6215.9066849604988</v>
      </c>
      <c r="Y68" s="22">
        <f t="shared" si="73"/>
        <v>1013.1646629675488</v>
      </c>
      <c r="Z68" s="22">
        <f t="shared" ref="Z68:Z82" si="96">Y68*$B$47</f>
        <v>0</v>
      </c>
      <c r="AA68" s="22" cm="1">
        <f t="array" ref="AA68">(Y68+Z68)*eff_invest</f>
        <v>1013.1646629675488</v>
      </c>
      <c r="AB68" s="22">
        <f>AA68*(_xlfn.XLOOKUP(Q_end,cpi!A:A,cpi!B:B)/BH68)</f>
        <v>1162.6084594084402</v>
      </c>
      <c r="AC68" s="22" cm="1">
        <f t="array" ref="AC68">INDEX('msci-indices'!C:C,MATCH($L68,'msci-indices'!$B:$B)-2)</f>
        <v>2545.291346</v>
      </c>
      <c r="AD68" s="22" cm="1">
        <f t="array" ref="AD68">INDEX('msci-indices'!D:D,MATCH($L68,'msci-indices'!$B:$B)-2)</f>
        <v>2228.6053740000002</v>
      </c>
      <c r="AE68" s="22">
        <f t="shared" ref="AE68:AE82" si="97">AI67+AA68</f>
        <v>646354.37192868639</v>
      </c>
      <c r="AF68" s="22" cm="1">
        <f t="array" ref="AF68">INDEX('msci-indices'!C:C,MATCH($L68,'msci-indices'!$B:$B)+1)</f>
        <v>2130.2472859999998</v>
      </c>
      <c r="AG68" s="22" cm="1">
        <f t="array" ref="AG68">INDEX('msci-indices'!D:D,MATCH($L68,'msci-indices'!$B:$B)+1)</f>
        <v>1959.3691980000001</v>
      </c>
      <c r="AH68" s="22">
        <f t="shared" si="74"/>
        <v>403.971482455429</v>
      </c>
      <c r="AI68" s="22">
        <f t="shared" si="75"/>
        <v>548746.96712933644</v>
      </c>
      <c r="AJ68" s="22">
        <f t="shared" ref="AJ68:AJ82" si="98">AJ67+AA68</f>
        <v>238582.00616096336</v>
      </c>
      <c r="AK68" s="22">
        <f t="shared" si="76"/>
        <v>310164.96096837311</v>
      </c>
      <c r="AL68" s="22">
        <f>AJ68*(_xlfn.XLOOKUP(Q_end,cpi!A:A,cpi!B:B)/BH68)</f>
        <v>273773.3250713037</v>
      </c>
      <c r="AM68" s="22" cm="1">
        <f t="array" ref="AM68">SUMPRODUCT($AA$3:AA68,_xlfn.SORTBY($BH$3:BH68,_xlfn.SEQUENCE(ROWS($BH$3:BH68)),-1)/$BH$3)</f>
        <v>323899.97606987326</v>
      </c>
      <c r="AN68" s="22">
        <f t="shared" ref="AN68:AN81" si="99">AI68-AM68</f>
        <v>224846.99105946318</v>
      </c>
      <c r="AO68" s="22">
        <f t="shared" si="77"/>
        <v>0</v>
      </c>
      <c r="AP68" s="22">
        <f t="shared" ref="AP68:AP81" si="100">AI68-AO68</f>
        <v>548746.96712933644</v>
      </c>
      <c r="AQ68" s="22"/>
      <c r="AR68" s="10">
        <f>IF($B$10="3BR_H",
INDEX('ns-combined'!$C:$D,MATCH($L68,'ns-combined'!$B:$B,0),MATCH(Council_Area,'ns-combined'!$C$1:$D$1,0))*1000,
INDEX('s-combined'!$C:$D,MATCH($L68,'s-combined'!$B:$B,0),MATCH(Council_Area,'s-combined'!$C$1:$D$1,0))*1000)</f>
        <v>565000</v>
      </c>
      <c r="AS68" s="22">
        <f t="shared" si="35"/>
        <v>61050</v>
      </c>
      <c r="AT68" s="10">
        <v>0</v>
      </c>
      <c r="AU68" s="22">
        <f t="shared" si="78"/>
        <v>11300</v>
      </c>
      <c r="AV68" s="22">
        <f t="shared" si="79"/>
        <v>1624.375</v>
      </c>
      <c r="AW68" s="22">
        <f>SUM($AV$3:AV68)</f>
        <v>94486.3</v>
      </c>
      <c r="AX68" s="22">
        <f t="shared" si="80"/>
        <v>398163.7</v>
      </c>
      <c r="AY68" s="22">
        <f t="shared" si="81"/>
        <v>2114.5652664811646</v>
      </c>
      <c r="AZ68" s="24">
        <f t="shared" si="82"/>
        <v>1.4970373568008245E-2</v>
      </c>
      <c r="BA68" s="24">
        <f t="shared" si="83"/>
        <v>0.35000000000000003</v>
      </c>
      <c r="BB68" s="25">
        <f>IF(MortgageRate="Discounted",_xlfn.XLOOKUP(L68,'mortgage-rates'!$A:$A,'mortgage-rates'!$E:$E)/100,_xlfn.XLOOKUP(L68,'mortgage-rates'!$A:$A,'mortgage-rates'!$D:$D)/100)</f>
        <v>4.2000000000000003E-2</v>
      </c>
      <c r="BC68" s="10">
        <f t="shared" ref="BC68:BC82" si="101">BC67-BF67</f>
        <v>149152.95704360184</v>
      </c>
      <c r="BD68" s="10">
        <f t="shared" si="84"/>
        <v>5114.5060814468825</v>
      </c>
      <c r="BE68" s="10">
        <f t="shared" ref="BE68:BE82" si="102">BC68*($BB68/4)</f>
        <v>1566.1060489578194</v>
      </c>
      <c r="BF68" s="10">
        <f t="shared" si="36"/>
        <v>3548.4000324890631</v>
      </c>
      <c r="BG68" s="12">
        <f t="shared" si="85"/>
        <v>7229.0713479280475</v>
      </c>
      <c r="BH68" s="22">
        <f>INDEX(cpi!B:B,MATCH($L68,cpi!A:A))</f>
        <v>126.1</v>
      </c>
      <c r="BI68" s="22">
        <f t="shared" si="86"/>
        <v>149.05437352245863</v>
      </c>
      <c r="BJ68" s="22">
        <f t="shared" si="87"/>
        <v>337.17844659073722</v>
      </c>
      <c r="BK68" s="22">
        <f t="shared" si="88"/>
        <v>312.58655539910018</v>
      </c>
      <c r="BL68" s="22">
        <f t="shared" si="89"/>
        <v>329.80087923324612</v>
      </c>
      <c r="BM68" s="22">
        <f t="shared" si="90"/>
        <v>664.72373160651921</v>
      </c>
      <c r="BN68" s="22">
        <f t="shared" si="91"/>
        <v>152.70270270270271</v>
      </c>
      <c r="BO68">
        <f t="shared" si="92"/>
        <v>110.4135547629199</v>
      </c>
    </row>
    <row r="69" spans="2:67" x14ac:dyDescent="0.25">
      <c r="L69" s="1">
        <f t="shared" ref="L69:L81" si="103">DATE(YEAR(L68),MONTH(L68)+3,1)</f>
        <v>44805</v>
      </c>
      <c r="M69" s="10">
        <f t="shared" si="68"/>
        <v>527023.55349177273</v>
      </c>
      <c r="N69" s="10">
        <f t="shared" si="69"/>
        <v>240238.51798888724</v>
      </c>
      <c r="O69" s="7">
        <f t="shared" si="93"/>
        <v>2.1937512681299149</v>
      </c>
      <c r="P69" s="7">
        <f t="shared" si="70"/>
        <v>0.83020162447090595</v>
      </c>
      <c r="Q69">
        <v>67</v>
      </c>
      <c r="R69">
        <f t="shared" si="71"/>
        <v>92</v>
      </c>
      <c r="S69" s="22"/>
      <c r="T69" s="22">
        <f>IF($B$10="3BR_H",
INDEX('3BR_H-processed'!$E:$E,MATCH($L69,'3BR_H-processed'!$B:$B,0),MATCH(Council_Area,'3BR_H-processed'!$E$1:$E$1,0)),
INDEX('2BR_F-processed'!$E:$E,MATCH($L69,'2BR_F-processed'!$B:$B,0),MATCH(Council_Area,'2BR_F-processed'!$E$1:$E$1,0)))</f>
        <v>514.01308106894226</v>
      </c>
      <c r="U69" s="22">
        <f t="shared" si="94"/>
        <v>464.7396190068493</v>
      </c>
      <c r="V69" s="22">
        <f t="shared" si="95"/>
        <v>6108.0064212328771</v>
      </c>
      <c r="W69" s="22">
        <f>$B$53/4*BH69/_xlfn.XLOOKUP(Q_end,cpi!A:A,cpi!B:B)</f>
        <v>177.47062888735317</v>
      </c>
      <c r="X69" s="22">
        <f t="shared" si="72"/>
        <v>6285.4770501202302</v>
      </c>
      <c r="Y69" s="22">
        <f t="shared" si="73"/>
        <v>1285.5477044097488</v>
      </c>
      <c r="Z69" s="22">
        <f t="shared" si="96"/>
        <v>0</v>
      </c>
      <c r="AA69" s="22" cm="1">
        <f t="array" ref="AA69">(Y69+Z69)*eff_invest</f>
        <v>1285.5477044097488</v>
      </c>
      <c r="AB69" s="22">
        <f>AA69*(_xlfn.XLOOKUP(Q_end,cpi!A:A,cpi!B:B)/BH69)</f>
        <v>1448.7441809041327</v>
      </c>
      <c r="AC69" s="22" cm="1">
        <f t="array" ref="AC69">INDEX('msci-indices'!C:C,MATCH($L69,'msci-indices'!$B:$B)-2)</f>
        <v>2130.2472859999998</v>
      </c>
      <c r="AD69" s="22" cm="1">
        <f t="array" ref="AD69">INDEX('msci-indices'!D:D,MATCH($L69,'msci-indices'!$B:$B)-2)</f>
        <v>1959.3691980000001</v>
      </c>
      <c r="AE69" s="22">
        <f t="shared" si="97"/>
        <v>550032.51483374613</v>
      </c>
      <c r="AF69" s="22" cm="1">
        <f t="array" ref="AF69">INDEX('msci-indices'!C:C,MATCH($L69,'msci-indices'!$B:$B)+1)</f>
        <v>2000.7468469999999</v>
      </c>
      <c r="AG69" s="22" cm="1">
        <f t="array" ref="AG69">INDEX('msci-indices'!D:D,MATCH($L69,'msci-indices'!$B:$B)+1)</f>
        <v>1968.166029</v>
      </c>
      <c r="AH69" s="22">
        <f t="shared" si="74"/>
        <v>343.77032177109135</v>
      </c>
      <c r="AI69" s="22">
        <f t="shared" si="75"/>
        <v>527023.55349177273</v>
      </c>
      <c r="AJ69" s="22">
        <f t="shared" si="98"/>
        <v>239867.55386537311</v>
      </c>
      <c r="AK69" s="22">
        <f t="shared" si="76"/>
        <v>287155.9996263996</v>
      </c>
      <c r="AL69" s="22">
        <f>AJ69*(_xlfn.XLOOKUP(Q_end,cpi!A:A,cpi!B:B)/BH69)</f>
        <v>270318.02994018293</v>
      </c>
      <c r="AM69" s="22" cm="1">
        <f t="array" ref="AM69">SUMPRODUCT($AA$3:AA69,_xlfn.SORTBY($BH$3:BH69,_xlfn.SEQUENCE(ROWS($BH$3:BH69)),-1)/$BH$3)</f>
        <v>328958.050649682</v>
      </c>
      <c r="AN69" s="22">
        <f t="shared" si="99"/>
        <v>198065.50284209073</v>
      </c>
      <c r="AO69" s="22">
        <f t="shared" si="77"/>
        <v>0</v>
      </c>
      <c r="AP69" s="22">
        <f t="shared" si="100"/>
        <v>527023.55349177273</v>
      </c>
      <c r="AQ69" s="22"/>
      <c r="AR69" s="10">
        <f>IF($B$10="3BR_H",
INDEX('ns-combined'!$C:$D,MATCH($L69,'ns-combined'!$B:$B,0),MATCH(Council_Area,'ns-combined'!$C$1:$D$1,0))*1000,
INDEX('s-combined'!$C:$D,MATCH($L69,'s-combined'!$B:$B,0),MATCH(Council_Area,'s-combined'!$C$1:$D$1,0))*1000)</f>
        <v>555000</v>
      </c>
      <c r="AS69" s="22">
        <f t="shared" ref="AS69:AS81" si="104">AS68+$AS$3</f>
        <v>61975</v>
      </c>
      <c r="AT69" s="10">
        <v>0</v>
      </c>
      <c r="AU69" s="22">
        <f t="shared" si="78"/>
        <v>11100</v>
      </c>
      <c r="AV69" s="22">
        <f t="shared" si="79"/>
        <v>1595.625</v>
      </c>
      <c r="AW69" s="22">
        <f>SUM($AV$3:AV69)</f>
        <v>96081.925000000003</v>
      </c>
      <c r="AX69" s="22">
        <f t="shared" si="80"/>
        <v>385843.07500000001</v>
      </c>
      <c r="AY69" s="22">
        <f t="shared" si="81"/>
        <v>2137.8022474315071</v>
      </c>
      <c r="AZ69" s="24">
        <f t="shared" si="82"/>
        <v>1.5407583765272124E-2</v>
      </c>
      <c r="BA69" s="24">
        <f t="shared" si="83"/>
        <v>0.35000000000000003</v>
      </c>
      <c r="BB69" s="25">
        <f>IF(MortgageRate="Discounted",_xlfn.XLOOKUP(L69,'mortgage-rates'!$A:$A,'mortgage-rates'!$E:$E)/100,_xlfn.XLOOKUP(L69,'mortgage-rates'!$A:$A,'mortgage-rates'!$D:$D)/100)</f>
        <v>5.7000000000000002E-2</v>
      </c>
      <c r="BC69" s="10">
        <f t="shared" si="101"/>
        <v>145604.55701111277</v>
      </c>
      <c r="BD69" s="10">
        <f t="shared" si="84"/>
        <v>5433.2225070984714</v>
      </c>
      <c r="BE69" s="10">
        <f t="shared" si="102"/>
        <v>2074.864937408357</v>
      </c>
      <c r="BF69" s="10">
        <f t="shared" ref="BF69:BF82" si="105">BD69-BE69</f>
        <v>3358.3575696901144</v>
      </c>
      <c r="BG69" s="12">
        <f t="shared" si="85"/>
        <v>7571.024754529979</v>
      </c>
      <c r="BH69" s="22">
        <f>INDEX(cpi!B:B,MATCH($L69,cpi!A:A))</f>
        <v>128.4</v>
      </c>
      <c r="BI69" s="22">
        <f t="shared" si="86"/>
        <v>151.77304964539007</v>
      </c>
      <c r="BJ69" s="22">
        <f t="shared" si="87"/>
        <v>282.19695630380454</v>
      </c>
      <c r="BK69" s="22">
        <f t="shared" si="88"/>
        <v>274.82320356188706</v>
      </c>
      <c r="BL69" s="22">
        <f t="shared" si="89"/>
        <v>279.98483048122927</v>
      </c>
      <c r="BM69" s="22">
        <f t="shared" si="90"/>
        <v>565.6644120379608</v>
      </c>
      <c r="BN69" s="22">
        <f t="shared" si="91"/>
        <v>150</v>
      </c>
      <c r="BO69">
        <f t="shared" si="92"/>
        <v>106.99696002273917</v>
      </c>
    </row>
    <row r="70" spans="2:67" x14ac:dyDescent="0.25">
      <c r="L70" s="1">
        <f t="shared" si="103"/>
        <v>44896</v>
      </c>
      <c r="M70" s="10">
        <f t="shared" si="68"/>
        <v>579217.76584068325</v>
      </c>
      <c r="N70" s="10">
        <f t="shared" si="69"/>
        <v>265504.37555857736</v>
      </c>
      <c r="O70" s="7">
        <f t="shared" si="93"/>
        <v>2.181575217440785</v>
      </c>
      <c r="P70" s="7">
        <f t="shared" si="70"/>
        <v>0.82446707776507522</v>
      </c>
      <c r="Q70">
        <v>68</v>
      </c>
      <c r="R70">
        <f t="shared" si="71"/>
        <v>92</v>
      </c>
      <c r="S70" s="22"/>
      <c r="T70" s="22">
        <f>IF($B$10="3BR_H",
INDEX('3BR_H-processed'!$E:$E,MATCH($L70,'3BR_H-processed'!$B:$B,0),MATCH(Council_Area,'3BR_H-processed'!$E$1:$E$1,0)),
INDEX('2BR_F-processed'!$E:$E,MATCH($L70,'2BR_F-processed'!$B:$B,0),MATCH(Council_Area,'2BR_F-processed'!$E$1:$E$1,0)))</f>
        <v>530</v>
      </c>
      <c r="U70" s="22">
        <f t="shared" si="94"/>
        <v>464.7396190068493</v>
      </c>
      <c r="V70" s="22">
        <f t="shared" si="95"/>
        <v>6108.0064212328771</v>
      </c>
      <c r="W70" s="22">
        <f>$B$53/4*BH70/_xlfn.XLOOKUP(Q_end,cpi!A:A,cpi!B:B)</f>
        <v>181.06427090532137</v>
      </c>
      <c r="X70" s="22">
        <f t="shared" si="72"/>
        <v>6289.0706921381989</v>
      </c>
      <c r="Y70" s="22">
        <f t="shared" si="73"/>
        <v>1338.9727576818987</v>
      </c>
      <c r="Z70" s="22">
        <f t="shared" si="96"/>
        <v>0</v>
      </c>
      <c r="AA70" s="22" cm="1">
        <f t="array" ref="AA70">(Y70+Z70)*eff_invest</f>
        <v>1338.9727576818987</v>
      </c>
      <c r="AB70" s="22">
        <f>AA70*(_xlfn.XLOOKUP(Q_end,cpi!A:A,cpi!B:B)/BH70)</f>
        <v>1479.0027331035933</v>
      </c>
      <c r="AC70" s="22" cm="1">
        <f t="array" ref="AC70">INDEX('msci-indices'!C:C,MATCH($L70,'msci-indices'!$B:$B)-2)</f>
        <v>2000.7468469999999</v>
      </c>
      <c r="AD70" s="22" cm="1">
        <f t="array" ref="AD70">INDEX('msci-indices'!D:D,MATCH($L70,'msci-indices'!$B:$B)-2)</f>
        <v>1968.166029</v>
      </c>
      <c r="AE70" s="22">
        <f t="shared" si="97"/>
        <v>528362.52624945459</v>
      </c>
      <c r="AF70" s="22" cm="1">
        <f t="array" ref="AF70">INDEX('msci-indices'!C:C,MATCH($L70,'msci-indices'!$B:$B)+1)</f>
        <v>2198.4432400000001</v>
      </c>
      <c r="AG70" s="22" cm="1">
        <f t="array" ref="AG70">INDEX('msci-indices'!D:D,MATCH($L70,'msci-indices'!$B:$B)+1)</f>
        <v>2149.944184</v>
      </c>
      <c r="AH70" s="22">
        <f t="shared" si="74"/>
        <v>330.22657890590915</v>
      </c>
      <c r="AI70" s="22">
        <f t="shared" si="75"/>
        <v>579217.76584068325</v>
      </c>
      <c r="AJ70" s="22">
        <f t="shared" si="98"/>
        <v>241206.52662305499</v>
      </c>
      <c r="AK70" s="22">
        <f t="shared" si="76"/>
        <v>338011.23921762826</v>
      </c>
      <c r="AL70" s="22">
        <f>AJ70*(_xlfn.XLOOKUP(Q_end,cpi!A:A,cpi!B:B)/BH70)</f>
        <v>266431.94200271793</v>
      </c>
      <c r="AM70" s="22" cm="1">
        <f t="array" ref="AM70">SUMPRODUCT($AA$3:AA70,_xlfn.SORTBY($BH$3:BH70,_xlfn.SEQUENCE(ROWS($BH$3:BH70)),-1)/$BH$3)</f>
        <v>334502.16168851784</v>
      </c>
      <c r="AN70" s="22">
        <f t="shared" si="99"/>
        <v>244715.60415216541</v>
      </c>
      <c r="AO70" s="22">
        <f t="shared" si="77"/>
        <v>0</v>
      </c>
      <c r="AP70" s="22">
        <f t="shared" si="100"/>
        <v>579217.76584068325</v>
      </c>
      <c r="AQ70" s="22"/>
      <c r="AR70" s="10">
        <f>IF($B$10="3BR_H",
INDEX('ns-combined'!$C:$D,MATCH($L70,'ns-combined'!$B:$B,0),MATCH(Council_Area,'ns-combined'!$C$1:$D$1,0))*1000,
INDEX('s-combined'!$C:$D,MATCH($L70,'s-combined'!$B:$B,0),MATCH(Council_Area,'s-combined'!$C$1:$D$1,0))*1000)</f>
        <v>580000</v>
      </c>
      <c r="AS70" s="22">
        <f t="shared" si="104"/>
        <v>62900</v>
      </c>
      <c r="AT70" s="10">
        <v>0</v>
      </c>
      <c r="AU70" s="22">
        <f t="shared" si="78"/>
        <v>11600</v>
      </c>
      <c r="AV70" s="22">
        <f t="shared" si="79"/>
        <v>1667.5</v>
      </c>
      <c r="AW70" s="22">
        <f>SUM($AV$3:AV70)</f>
        <v>97749.425000000003</v>
      </c>
      <c r="AX70" s="22">
        <f t="shared" si="80"/>
        <v>407750.57500000001</v>
      </c>
      <c r="AY70" s="22">
        <f t="shared" si="81"/>
        <v>2137.8022474315071</v>
      </c>
      <c r="AZ70" s="24">
        <f t="shared" si="82"/>
        <v>1.4743463775389704E-2</v>
      </c>
      <c r="BA70" s="24">
        <f t="shared" si="83"/>
        <v>0.35000000000000003</v>
      </c>
      <c r="BB70" s="25">
        <f>IF(MortgageRate="Discounted",_xlfn.XLOOKUP(L70,'mortgage-rates'!$A:$A,'mortgage-rates'!$E:$E)/100,_xlfn.XLOOKUP(L70,'mortgage-rates'!$A:$A,'mortgage-rates'!$D:$D)/100)</f>
        <v>5.9699999999999996E-2</v>
      </c>
      <c r="BC70" s="10">
        <f t="shared" si="101"/>
        <v>142246.19944142265</v>
      </c>
      <c r="BD70" s="10">
        <f t="shared" si="84"/>
        <v>5490.24120238859</v>
      </c>
      <c r="BE70" s="10">
        <f t="shared" si="102"/>
        <v>2123.0245266632328</v>
      </c>
      <c r="BF70" s="10">
        <f t="shared" si="105"/>
        <v>3367.2166757253572</v>
      </c>
      <c r="BG70" s="12">
        <f t="shared" si="85"/>
        <v>7628.0434498200975</v>
      </c>
      <c r="BH70" s="22">
        <f>INDEX(cpi!B:B,MATCH($L70,cpi!A:A))</f>
        <v>131</v>
      </c>
      <c r="BI70" s="22">
        <f t="shared" si="86"/>
        <v>154.84633569739952</v>
      </c>
      <c r="BJ70" s="22">
        <f t="shared" si="87"/>
        <v>265.04184479821646</v>
      </c>
      <c r="BK70" s="22">
        <f t="shared" si="88"/>
        <v>276.05705641569335</v>
      </c>
      <c r="BL70" s="22">
        <f t="shared" si="89"/>
        <v>268.34640828345954</v>
      </c>
      <c r="BM70" s="22">
        <f t="shared" si="90"/>
        <v>543.37856343661451</v>
      </c>
      <c r="BN70" s="22">
        <f t="shared" si="91"/>
        <v>156.75675675675674</v>
      </c>
      <c r="BO70">
        <f t="shared" si="92"/>
        <v>113.07206167306205</v>
      </c>
    </row>
    <row r="71" spans="2:67" x14ac:dyDescent="0.25">
      <c r="L71" s="1">
        <f t="shared" si="103"/>
        <v>44986</v>
      </c>
      <c r="M71" s="10">
        <f t="shared" si="68"/>
        <v>615262.86537225207</v>
      </c>
      <c r="N71" s="10">
        <f t="shared" si="69"/>
        <v>264324.84223430272</v>
      </c>
      <c r="O71" s="7">
        <f t="shared" si="93"/>
        <v>2.3276770362237502</v>
      </c>
      <c r="P71" s="7">
        <f t="shared" si="70"/>
        <v>0.9000457697032499</v>
      </c>
      <c r="Q71">
        <v>69</v>
      </c>
      <c r="R71">
        <f t="shared" si="71"/>
        <v>90</v>
      </c>
      <c r="S71" s="22"/>
      <c r="T71" s="22">
        <f>IF($B$10="3BR_H",
INDEX('3BR_H-processed'!$E:$E,MATCH($L71,'3BR_H-processed'!$B:$B,0),MATCH(Council_Area,'3BR_H-processed'!$E$1:$E$1,0)),
INDEX('2BR_F-processed'!$E:$E,MATCH($L71,'2BR_F-processed'!$B:$B,0),MATCH(Council_Area,'2BR_F-processed'!$E$1:$E$1,0)))</f>
        <v>550</v>
      </c>
      <c r="U71" s="22">
        <f t="shared" si="94"/>
        <v>550</v>
      </c>
      <c r="V71" s="22">
        <f t="shared" si="95"/>
        <v>7071.4285714285716</v>
      </c>
      <c r="W71" s="22">
        <f>$B$53/4*BH71/_xlfn.XLOOKUP(Q_end,cpi!A:A,cpi!B:B)</f>
        <v>183.41395991706977</v>
      </c>
      <c r="X71" s="22">
        <f t="shared" si="72"/>
        <v>7254.842531345641</v>
      </c>
      <c r="Y71" s="22">
        <f t="shared" si="73"/>
        <v>805.6836947123993</v>
      </c>
      <c r="Z71" s="22">
        <f t="shared" si="96"/>
        <v>0</v>
      </c>
      <c r="AA71" s="22" cm="1">
        <f t="array" ref="AA71">(Y71+Z71)*eff_invest</f>
        <v>805.6836947123993</v>
      </c>
      <c r="AB71" s="22">
        <f>AA71*(_xlfn.XLOOKUP(Q_end,cpi!A:A,cpi!B:B)/BH71)</f>
        <v>878.54130086574366</v>
      </c>
      <c r="AC71" s="22" cm="1">
        <f t="array" ref="AC71">INDEX('msci-indices'!C:C,MATCH($L71,'msci-indices'!$B:$B)-2)</f>
        <v>2198.4432400000001</v>
      </c>
      <c r="AD71" s="22" cm="1">
        <f t="array" ref="AD71">INDEX('msci-indices'!D:D,MATCH($L71,'msci-indices'!$B:$B)-2)</f>
        <v>2149.944184</v>
      </c>
      <c r="AE71" s="22">
        <f t="shared" si="97"/>
        <v>580023.4495353956</v>
      </c>
      <c r="AF71" s="22" cm="1">
        <f t="array" ref="AF71">INDEX('msci-indices'!C:C,MATCH($L71,'msci-indices'!$B:$B)+1)</f>
        <v>2359.7519419999999</v>
      </c>
      <c r="AG71" s="22" cm="1">
        <f t="array" ref="AG71">INDEX('msci-indices'!D:D,MATCH($L71,'msci-indices'!$B:$B)+1)</f>
        <v>2221.7402550000002</v>
      </c>
      <c r="AH71" s="22">
        <f t="shared" si="74"/>
        <v>362.51465595962225</v>
      </c>
      <c r="AI71" s="22">
        <f t="shared" si="75"/>
        <v>615262.86537225207</v>
      </c>
      <c r="AJ71" s="22">
        <f t="shared" si="98"/>
        <v>242012.2103177674</v>
      </c>
      <c r="AK71" s="22">
        <f t="shared" si="76"/>
        <v>373250.65505448467</v>
      </c>
      <c r="AL71" s="22">
        <f>AJ71*(_xlfn.XLOOKUP(Q_end,cpi!A:A,cpi!B:B)/BH71)</f>
        <v>263897.26324778405</v>
      </c>
      <c r="AM71" s="22" cm="1">
        <f t="array" ref="AM71">SUMPRODUCT($AA$3:AA71,_xlfn.SORTBY($BH$3:BH71,_xlfn.SEQUENCE(ROWS($BH$3:BH71)),-1)/$BH$3)</f>
        <v>338625.48301113449</v>
      </c>
      <c r="AN71" s="22">
        <f t="shared" si="99"/>
        <v>276637.38236111758</v>
      </c>
      <c r="AO71" s="22">
        <f t="shared" si="77"/>
        <v>0</v>
      </c>
      <c r="AP71" s="22">
        <f t="shared" si="100"/>
        <v>615262.86537225207</v>
      </c>
      <c r="AQ71" s="22"/>
      <c r="AR71" s="10">
        <f>IF($B$10="3BR_H",
INDEX('ns-combined'!$C:$D,MATCH($L71,'ns-combined'!$B:$B,0),MATCH(Council_Area,'ns-combined'!$C$1:$D$1,0))*1000,
INDEX('s-combined'!$C:$D,MATCH($L71,'s-combined'!$B:$B,0),MATCH(Council_Area,'s-combined'!$C$1:$D$1,0))*1000)</f>
        <v>578000</v>
      </c>
      <c r="AS71" s="22">
        <f t="shared" si="104"/>
        <v>63825</v>
      </c>
      <c r="AT71" s="10">
        <v>0</v>
      </c>
      <c r="AU71" s="22">
        <f t="shared" si="78"/>
        <v>11560</v>
      </c>
      <c r="AV71" s="22">
        <f t="shared" si="79"/>
        <v>1661.75</v>
      </c>
      <c r="AW71" s="22">
        <f>SUM($AV$3:AV71)</f>
        <v>99411.175000000003</v>
      </c>
      <c r="AX71" s="22">
        <f t="shared" si="80"/>
        <v>403203.82500000001</v>
      </c>
      <c r="AY71" s="22">
        <f t="shared" si="81"/>
        <v>2475.0000000000005</v>
      </c>
      <c r="AZ71" s="24">
        <f t="shared" si="82"/>
        <v>1.7128027681660902E-2</v>
      </c>
      <c r="BA71" s="24">
        <f t="shared" si="83"/>
        <v>0.35000000000000003</v>
      </c>
      <c r="BB71" s="25">
        <f>IF(MortgageRate="Discounted",_xlfn.XLOOKUP(L71,'mortgage-rates'!$A:$A,'mortgage-rates'!$E:$E)/100,_xlfn.XLOOKUP(L71,'mortgage-rates'!$A:$A,'mortgage-rates'!$D:$D)/100)</f>
        <v>6.4299999999999996E-2</v>
      </c>
      <c r="BC71" s="10">
        <f t="shared" si="101"/>
        <v>138878.98276569729</v>
      </c>
      <c r="BD71" s="10">
        <f t="shared" si="84"/>
        <v>5585.5262260580403</v>
      </c>
      <c r="BE71" s="10">
        <f t="shared" si="102"/>
        <v>2232.4796479585839</v>
      </c>
      <c r="BF71" s="10">
        <f t="shared" si="105"/>
        <v>3353.0465780994564</v>
      </c>
      <c r="BG71" s="12">
        <f t="shared" si="85"/>
        <v>8060.5262260580403</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596.50768763886811</v>
      </c>
      <c r="BN71" s="22">
        <f t="shared" si="91"/>
        <v>156.21621621621622</v>
      </c>
      <c r="BO71">
        <f t="shared" si="92"/>
        <v>111.81121637220137</v>
      </c>
    </row>
    <row r="72" spans="2:67" x14ac:dyDescent="0.25">
      <c r="L72" s="1">
        <f t="shared" si="103"/>
        <v>45078</v>
      </c>
      <c r="M72" s="10">
        <f t="shared" si="68"/>
        <v>645446.81318941223</v>
      </c>
      <c r="N72" s="10">
        <f t="shared" si="69"/>
        <v>286587.88881240215</v>
      </c>
      <c r="O72" s="7">
        <f t="shared" si="93"/>
        <v>2.2521775636231296</v>
      </c>
      <c r="P72" s="7">
        <f t="shared" si="70"/>
        <v>0.89272109249434406</v>
      </c>
      <c r="Q72">
        <v>70</v>
      </c>
      <c r="R72">
        <f t="shared" si="71"/>
        <v>91</v>
      </c>
      <c r="S72" s="22"/>
      <c r="T72" s="22">
        <f>IF($B$10="3BR_H",
INDEX('3BR_H-processed'!$E:$E,MATCH($L72,'3BR_H-processed'!$B:$B,0),MATCH(Council_Area,'3BR_H-processed'!$E$1:$E$1,0)),
INDEX('2BR_F-processed'!$E:$E,MATCH($L72,'2BR_F-processed'!$B:$B,0),MATCH(Council_Area,'2BR_F-processed'!$E$1:$E$1,0)))</f>
        <v>580</v>
      </c>
      <c r="U72" s="22">
        <f t="shared" si="94"/>
        <v>550</v>
      </c>
      <c r="V72" s="22">
        <f t="shared" si="95"/>
        <v>7150</v>
      </c>
      <c r="W72" s="22">
        <f>$B$53/4*BH72/_xlfn.XLOOKUP(Q_end,cpi!A:A,cpi!B:B)</f>
        <v>184.93434692467179</v>
      </c>
      <c r="X72" s="22">
        <f t="shared" si="72"/>
        <v>7334.9343469246714</v>
      </c>
      <c r="Y72" s="22">
        <f t="shared" si="73"/>
        <v>881.44410385237552</v>
      </c>
      <c r="Z72" s="22">
        <f t="shared" si="96"/>
        <v>0</v>
      </c>
      <c r="AA72" s="22" cm="1">
        <f t="array" ref="AA72">(Y72+Z72)*eff_invest</f>
        <v>881.44410385237552</v>
      </c>
      <c r="AB72" s="22">
        <f>AA72*(_xlfn.XLOOKUP(Q_end,cpi!A:A,cpi!B:B)/BH72)</f>
        <v>953.25083578055842</v>
      </c>
      <c r="AC72" s="22" cm="1">
        <f t="array" ref="AC72">INDEX('msci-indices'!C:C,MATCH($L72,'msci-indices'!$B:$B)-2)</f>
        <v>2359.7519419999999</v>
      </c>
      <c r="AD72" s="22" cm="1">
        <f t="array" ref="AD72">INDEX('msci-indices'!D:D,MATCH($L72,'msci-indices'!$B:$B)-2)</f>
        <v>2221.7402550000002</v>
      </c>
      <c r="AE72" s="22">
        <f t="shared" si="97"/>
        <v>616144.30947610445</v>
      </c>
      <c r="AF72" s="22" cm="1">
        <f t="array" ref="AF72">INDEX('msci-indices'!C:C,MATCH($L72,'msci-indices'!$B:$B)+1)</f>
        <v>2511.4075790000002</v>
      </c>
      <c r="AG72" s="22" cm="1">
        <f t="array" ref="AG72">INDEX('msci-indices'!D:D,MATCH($L72,'msci-indices'!$B:$B)+1)</f>
        <v>2245.4056799999998</v>
      </c>
      <c r="AH72" s="22">
        <f t="shared" si="74"/>
        <v>385.09019342256528</v>
      </c>
      <c r="AI72" s="22">
        <f t="shared" si="75"/>
        <v>645446.81318941223</v>
      </c>
      <c r="AJ72" s="22">
        <f t="shared" si="98"/>
        <v>242893.65442161978</v>
      </c>
      <c r="AK72" s="22">
        <f t="shared" si="76"/>
        <v>402553.15876779245</v>
      </c>
      <c r="AL72" s="22">
        <f>AJ72*(_xlfn.XLOOKUP(Q_end,cpi!A:A,cpi!B:B)/BH72)</f>
        <v>262680.95511814929</v>
      </c>
      <c r="AM72" s="22" cm="1">
        <f t="array" ref="AM72">SUMPRODUCT($AA$3:AA72,_xlfn.SORTBY($BH$3:BH72,_xlfn.SEQUENCE(ROWS($BH$3:BH72)),-1)/$BH$3)</f>
        <v>342190.37538332696</v>
      </c>
      <c r="AN72" s="22">
        <f t="shared" si="99"/>
        <v>303256.43780608528</v>
      </c>
      <c r="AO72" s="22">
        <f t="shared" si="77"/>
        <v>0</v>
      </c>
      <c r="AP72" s="22">
        <f t="shared" si="100"/>
        <v>645446.81318941223</v>
      </c>
      <c r="AQ72" s="22"/>
      <c r="AR72" s="10">
        <f>IF($B$10="3BR_H",
INDEX('ns-combined'!$C:$D,MATCH($L72,'ns-combined'!$B:$B,0),MATCH(Council_Area,'ns-combined'!$C$1:$D$1,0))*1000,
INDEX('s-combined'!$C:$D,MATCH($L72,'s-combined'!$B:$B,0),MATCH(Council_Area,'s-combined'!$C$1:$D$1,0))*1000)</f>
        <v>600000</v>
      </c>
      <c r="AS72" s="22">
        <f t="shared" si="104"/>
        <v>64750</v>
      </c>
      <c r="AT72" s="10">
        <v>0</v>
      </c>
      <c r="AU72" s="22">
        <f t="shared" si="78"/>
        <v>12000</v>
      </c>
      <c r="AV72" s="22">
        <f t="shared" si="79"/>
        <v>1725</v>
      </c>
      <c r="AW72" s="22">
        <f>SUM($AV$3:AV72)</f>
        <v>101136.175</v>
      </c>
      <c r="AX72" s="22">
        <f t="shared" si="80"/>
        <v>422113.82500000001</v>
      </c>
      <c r="AY72" s="22">
        <f t="shared" si="81"/>
        <v>2502.5000000000005</v>
      </c>
      <c r="AZ72" s="24">
        <f t="shared" si="82"/>
        <v>1.6683333333333335E-2</v>
      </c>
      <c r="BA72" s="24">
        <f t="shared" si="83"/>
        <v>0.35000000000000009</v>
      </c>
      <c r="BB72" s="25">
        <f>IF(MortgageRate="Discounted",_xlfn.XLOOKUP(L72,'mortgage-rates'!$A:$A,'mortgage-rates'!$E:$E)/100,_xlfn.XLOOKUP(L72,'mortgage-rates'!$A:$A,'mortgage-rates'!$D:$D)/100)</f>
        <v>7.0599999999999996E-2</v>
      </c>
      <c r="BC72" s="10">
        <f t="shared" si="101"/>
        <v>135525.93618759784</v>
      </c>
      <c r="BD72" s="10">
        <f t="shared" si="84"/>
        <v>5713.878450777047</v>
      </c>
      <c r="BE72" s="10">
        <f t="shared" si="102"/>
        <v>2392.0327737111015</v>
      </c>
      <c r="BF72" s="10">
        <f t="shared" si="105"/>
        <v>3321.8456770659454</v>
      </c>
      <c r="BG72" s="12">
        <f t="shared" si="85"/>
        <v>8216.378450777047</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633.65510065470141</v>
      </c>
      <c r="BN72" s="22">
        <f t="shared" si="91"/>
        <v>162.16216216216216</v>
      </c>
      <c r="BO72">
        <f t="shared" si="92"/>
        <v>117.0550904887188</v>
      </c>
    </row>
    <row r="73" spans="2:67" x14ac:dyDescent="0.25">
      <c r="L73" s="1">
        <f t="shared" si="103"/>
        <v>45170</v>
      </c>
      <c r="M73" s="10">
        <f t="shared" si="68"/>
        <v>628891.78994008771</v>
      </c>
      <c r="N73" s="10">
        <f t="shared" si="69"/>
        <v>287259.73448946816</v>
      </c>
      <c r="O73" s="7">
        <f t="shared" si="93"/>
        <v>2.1892792982552343</v>
      </c>
      <c r="P73" s="7">
        <f t="shared" si="70"/>
        <v>0.89950875158849719</v>
      </c>
      <c r="Q73">
        <v>71</v>
      </c>
      <c r="R73">
        <f t="shared" si="71"/>
        <v>92</v>
      </c>
      <c r="S73" s="22"/>
      <c r="T73" s="22">
        <f>IF($B$10="3BR_H",
INDEX('3BR_H-processed'!$E:$E,MATCH($L73,'3BR_H-processed'!$B:$B,0),MATCH(Council_Area,'3BR_H-processed'!$E$1:$E$1,0)),
INDEX('2BR_F-processed'!$E:$E,MATCH($L73,'2BR_F-processed'!$B:$B,0),MATCH(Council_Area,'2BR_F-processed'!$E$1:$E$1,0)))</f>
        <v>600</v>
      </c>
      <c r="U73" s="22">
        <f t="shared" si="94"/>
        <v>550</v>
      </c>
      <c r="V73" s="22">
        <f t="shared" si="95"/>
        <v>7228.5714285714284</v>
      </c>
      <c r="W73" s="22">
        <f>$B$53/4*BH73/_xlfn.XLOOKUP(Q_end,cpi!A:A,cpi!B:B)</f>
        <v>186.86938493434693</v>
      </c>
      <c r="X73" s="22">
        <f t="shared" si="72"/>
        <v>7415.4408135057756</v>
      </c>
      <c r="Y73" s="22">
        <f t="shared" si="73"/>
        <v>828.43763727127134</v>
      </c>
      <c r="Z73" s="22">
        <f t="shared" si="96"/>
        <v>0</v>
      </c>
      <c r="AA73" s="22" cm="1">
        <f t="array" ref="AA73">(Y73+Z73)*eff_invest</f>
        <v>828.43763727127134</v>
      </c>
      <c r="AB73" s="22">
        <f>AA73*(_xlfn.XLOOKUP(Q_end,cpi!A:A,cpi!B:B)/BH73)</f>
        <v>886.6488617836759</v>
      </c>
      <c r="AC73" s="22" cm="1">
        <f t="array" ref="AC73">INDEX('msci-indices'!C:C,MATCH($L73,'msci-indices'!$B:$B)-2)</f>
        <v>2511.4075790000002</v>
      </c>
      <c r="AD73" s="22" cm="1">
        <f t="array" ref="AD73">INDEX('msci-indices'!D:D,MATCH($L73,'msci-indices'!$B:$B)-2)</f>
        <v>2245.4056799999998</v>
      </c>
      <c r="AE73" s="22">
        <f t="shared" si="97"/>
        <v>646275.25082668348</v>
      </c>
      <c r="AF73" s="22" cm="1">
        <f t="array" ref="AF73">INDEX('msci-indices'!C:C,MATCH($L73,'msci-indices'!$B:$B)+1)</f>
        <v>2421.9848459999998</v>
      </c>
      <c r="AG73" s="22" cm="1">
        <f t="array" ref="AG73">INDEX('msci-indices'!D:D,MATCH($L73,'msci-indices'!$B:$B)+1)</f>
        <v>2235.3141679999999</v>
      </c>
      <c r="AH73" s="22">
        <f t="shared" si="74"/>
        <v>403.92203176667721</v>
      </c>
      <c r="AI73" s="22">
        <f t="shared" si="75"/>
        <v>628891.78994008771</v>
      </c>
      <c r="AJ73" s="22">
        <f t="shared" si="98"/>
        <v>243722.09205889105</v>
      </c>
      <c r="AK73" s="22">
        <f t="shared" si="76"/>
        <v>385169.69788119663</v>
      </c>
      <c r="AL73" s="22">
        <f>AJ73*(_xlfn.XLOOKUP(Q_end,cpi!A:A,cpi!B:B)/BH73)</f>
        <v>260847.53491805872</v>
      </c>
      <c r="AM73" s="22" cm="1">
        <f t="array" ref="AM73">SUMPRODUCT($AA$3:AA73,_xlfn.SORTBY($BH$3:BH73,_xlfn.SEQUENCE(ROWS($BH$3:BH73)),-1)/$BH$3)</f>
        <v>346069.13791003055</v>
      </c>
      <c r="AN73" s="22">
        <f t="shared" si="99"/>
        <v>282822.65203005716</v>
      </c>
      <c r="AO73" s="22">
        <f t="shared" si="77"/>
        <v>0</v>
      </c>
      <c r="AP73" s="22">
        <f t="shared" si="100"/>
        <v>628891.78994008771</v>
      </c>
      <c r="AQ73" s="22"/>
      <c r="AR73" s="10">
        <f>IF($B$10="3BR_H",
INDEX('ns-combined'!$C:$D,MATCH($L73,'ns-combined'!$B:$B,0),MATCH(Council_Area,'ns-combined'!$C$1:$D$1,0))*1000,
INDEX('s-combined'!$C:$D,MATCH($L73,'s-combined'!$B:$B,0),MATCH(Council_Area,'s-combined'!$C$1:$D$1,0))*1000)</f>
        <v>600000</v>
      </c>
      <c r="AS73" s="22">
        <f t="shared" si="104"/>
        <v>65675</v>
      </c>
      <c r="AT73" s="10">
        <v>0</v>
      </c>
      <c r="AU73" s="22">
        <f t="shared" si="78"/>
        <v>12000</v>
      </c>
      <c r="AV73" s="22">
        <f t="shared" si="79"/>
        <v>1725</v>
      </c>
      <c r="AW73" s="22">
        <f>SUM($AV$3:AV73)</f>
        <v>102861.175</v>
      </c>
      <c r="AX73" s="22">
        <f t="shared" si="80"/>
        <v>419463.82500000001</v>
      </c>
      <c r="AY73" s="22">
        <f t="shared" si="81"/>
        <v>2530</v>
      </c>
      <c r="AZ73" s="24">
        <f t="shared" si="82"/>
        <v>1.6866666666666665E-2</v>
      </c>
      <c r="BA73" s="24">
        <f t="shared" si="83"/>
        <v>0.35000000000000003</v>
      </c>
      <c r="BB73" s="25">
        <f>IF(MortgageRate="Discounted",_xlfn.XLOOKUP(L73,'mortgage-rates'!$A:$A,'mortgage-rates'!$E:$E)/100,_xlfn.XLOOKUP(L73,'mortgage-rates'!$A:$A,'mortgage-rates'!$D:$D)/100)</f>
        <v>7.0599999999999996E-2</v>
      </c>
      <c r="BC73" s="10">
        <f t="shared" si="101"/>
        <v>132204.09051053188</v>
      </c>
      <c r="BD73" s="10">
        <f t="shared" si="84"/>
        <v>5713.8784507770479</v>
      </c>
      <c r="BE73" s="10">
        <f t="shared" si="102"/>
        <v>2333.4021975108876</v>
      </c>
      <c r="BF73" s="10">
        <f t="shared" si="105"/>
        <v>3380.4762532661603</v>
      </c>
      <c r="BG73" s="12">
        <f t="shared" si="85"/>
        <v>8243.878450777047</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664.64236188666212</v>
      </c>
      <c r="BN73" s="22">
        <f t="shared" si="91"/>
        <v>162.16216216216216</v>
      </c>
      <c r="BO73">
        <f t="shared" si="92"/>
        <v>116.32022711437871</v>
      </c>
    </row>
    <row r="74" spans="2:67" x14ac:dyDescent="0.25">
      <c r="L74" s="1">
        <f t="shared" si="103"/>
        <v>45261</v>
      </c>
      <c r="M74" s="10">
        <f t="shared" si="68"/>
        <v>696398.70087802701</v>
      </c>
      <c r="N74" s="10">
        <f t="shared" si="69"/>
        <v>346617.71074273426</v>
      </c>
      <c r="O74" s="7">
        <f t="shared" si="93"/>
        <v>2.0091261331851169</v>
      </c>
      <c r="P74" s="7">
        <f t="shared" si="70"/>
        <v>0.89443387860483203</v>
      </c>
      <c r="Q74">
        <v>72</v>
      </c>
      <c r="R74">
        <f t="shared" si="71"/>
        <v>92</v>
      </c>
      <c r="S74" s="22"/>
      <c r="T74" s="22">
        <f>IF($B$10="3BR_H",
INDEX('3BR_H-processed'!$E:$E,MATCH($L74,'3BR_H-processed'!$B:$B,0),MATCH(Council_Area,'3BR_H-processed'!$E$1:$E$1,0)),
INDEX('2BR_F-processed'!$E:$E,MATCH($L74,'2BR_F-processed'!$B:$B,0),MATCH(Council_Area,'2BR_F-processed'!$E$1:$E$1,0)))</f>
        <v>620</v>
      </c>
      <c r="U74" s="22">
        <f t="shared" si="94"/>
        <v>550</v>
      </c>
      <c r="V74" s="22">
        <f t="shared" si="95"/>
        <v>7228.5714285714284</v>
      </c>
      <c r="W74" s="22">
        <f>$B$53/4*BH74/_xlfn.XLOOKUP(Q_end,cpi!A:A,cpi!B:B)</f>
        <v>188.38977194194891</v>
      </c>
      <c r="X74" s="22">
        <f t="shared" si="72"/>
        <v>7416.9612005133777</v>
      </c>
      <c r="Y74" s="22">
        <f t="shared" si="73"/>
        <v>875.39151323065289</v>
      </c>
      <c r="Z74" s="22">
        <f t="shared" si="96"/>
        <v>0</v>
      </c>
      <c r="AA74" s="22" cm="1">
        <f t="array" ref="AA74">(Y74+Z74)*eff_invest</f>
        <v>875.39151323065289</v>
      </c>
      <c r="AB74" s="22">
        <f>AA74*(_xlfn.XLOOKUP(Q_end,cpi!A:A,cpi!B:B)/BH74)</f>
        <v>929.34080678265195</v>
      </c>
      <c r="AC74" s="22" cm="1">
        <f t="array" ref="AC74">INDEX('msci-indices'!C:C,MATCH($L74,'msci-indices'!$B:$B)-2)</f>
        <v>2421.9848459999998</v>
      </c>
      <c r="AD74" s="22" cm="1">
        <f t="array" ref="AD74">INDEX('msci-indices'!D:D,MATCH($L74,'msci-indices'!$B:$B)-2)</f>
        <v>2235.3141679999999</v>
      </c>
      <c r="AE74" s="22">
        <f t="shared" si="97"/>
        <v>629767.18145331834</v>
      </c>
      <c r="AF74" s="22" cm="1">
        <f t="array" ref="AF74">INDEX('msci-indices'!C:C,MATCH($L74,'msci-indices'!$B:$B)+1)</f>
        <v>2701.360248</v>
      </c>
      <c r="AG74" s="22" cm="1">
        <f t="array" ref="AG74">INDEX('msci-indices'!D:D,MATCH($L74,'msci-indices'!$B:$B)+1)</f>
        <v>2426.6837019999998</v>
      </c>
      <c r="AH74" s="22">
        <f t="shared" si="74"/>
        <v>393.60448840832396</v>
      </c>
      <c r="AI74" s="22">
        <f t="shared" si="75"/>
        <v>696398.70087802701</v>
      </c>
      <c r="AJ74" s="22">
        <f t="shared" si="98"/>
        <v>244597.48357212171</v>
      </c>
      <c r="AK74" s="22">
        <f t="shared" si="76"/>
        <v>451801.2173059053</v>
      </c>
      <c r="AL74" s="22">
        <f>AJ74*(_xlfn.XLOOKUP(Q_end,cpi!A:A,cpi!B:B)/BH74)</f>
        <v>259671.72320532653</v>
      </c>
      <c r="AM74" s="22" cm="1">
        <f t="array" ref="AM74">SUMPRODUCT($AA$3:AA74,_xlfn.SORTBY($BH$3:BH74,_xlfn.SEQUENCE(ROWS($BH$3:BH74)),-1)/$BH$3)</f>
        <v>349695.81577853084</v>
      </c>
      <c r="AN74" s="22">
        <f t="shared" si="99"/>
        <v>346702.88509949617</v>
      </c>
      <c r="AO74" s="22">
        <f t="shared" si="77"/>
        <v>0</v>
      </c>
      <c r="AP74" s="22">
        <f t="shared" si="100"/>
        <v>696398.70087802701</v>
      </c>
      <c r="AQ74" s="22"/>
      <c r="AR74" s="10">
        <f>IF($B$10="3BR_H",
INDEX('ns-combined'!$C:$D,MATCH($L74,'ns-combined'!$B:$B,0),MATCH(Council_Area,'ns-combined'!$C$1:$D$1,0))*1000,
INDEX('s-combined'!$C:$D,MATCH($L74,'s-combined'!$B:$B,0),MATCH(Council_Area,'s-combined'!$C$1:$D$1,0))*1000)</f>
        <v>660000</v>
      </c>
      <c r="AS74" s="22">
        <f t="shared" si="104"/>
        <v>66600</v>
      </c>
      <c r="AT74" s="10">
        <v>0</v>
      </c>
      <c r="AU74" s="22">
        <f t="shared" si="78"/>
        <v>13200</v>
      </c>
      <c r="AV74" s="22">
        <f t="shared" si="79"/>
        <v>1897.5</v>
      </c>
      <c r="AW74" s="22">
        <f>SUM($AV$3:AV74)</f>
        <v>104758.675</v>
      </c>
      <c r="AX74" s="22">
        <f t="shared" si="80"/>
        <v>475441.32500000001</v>
      </c>
      <c r="AY74" s="22">
        <f t="shared" si="81"/>
        <v>2530</v>
      </c>
      <c r="AZ74" s="24">
        <f t="shared" si="82"/>
        <v>1.5333333333333332E-2</v>
      </c>
      <c r="BA74" s="24">
        <f t="shared" si="83"/>
        <v>0.35000000000000003</v>
      </c>
      <c r="BB74" s="25">
        <f>IF(MortgageRate="Discounted",_xlfn.XLOOKUP(L74,'mortgage-rates'!$A:$A,'mortgage-rates'!$E:$E)/100,_xlfn.XLOOKUP(L74,'mortgage-rates'!$A:$A,'mortgage-rates'!$D:$D)/100)</f>
        <v>7.3099999999999998E-2</v>
      </c>
      <c r="BC74" s="10">
        <f t="shared" si="101"/>
        <v>128823.61425726573</v>
      </c>
      <c r="BD74" s="10">
        <f t="shared" si="84"/>
        <v>5762.3527137440306</v>
      </c>
      <c r="BE74" s="10">
        <f t="shared" si="102"/>
        <v>2354.2515505515312</v>
      </c>
      <c r="BF74" s="10">
        <f t="shared" si="105"/>
        <v>3408.1011631924994</v>
      </c>
      <c r="BG74" s="12">
        <f t="shared" si="85"/>
        <v>8292.3527137440306</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647.66513398807319</v>
      </c>
      <c r="BN74" s="22">
        <f t="shared" si="91"/>
        <v>178.37837837837839</v>
      </c>
      <c r="BO74">
        <f t="shared" si="92"/>
        <v>131.84317599631183</v>
      </c>
    </row>
    <row r="75" spans="2:67" x14ac:dyDescent="0.25">
      <c r="L75" s="1">
        <f t="shared" si="103"/>
        <v>45352</v>
      </c>
      <c r="M75" s="10">
        <f t="shared" si="68"/>
        <v>748736.30477462744</v>
      </c>
      <c r="N75" s="10">
        <f t="shared" si="69"/>
        <v>386288.31190592679</v>
      </c>
      <c r="O75" s="7">
        <f t="shared" si="93"/>
        <v>1.9382836127772045</v>
      </c>
      <c r="P75" s="7">
        <f t="shared" si="70"/>
        <v>0.99084797181631235</v>
      </c>
      <c r="Q75">
        <v>73</v>
      </c>
      <c r="R75">
        <f t="shared" si="71"/>
        <v>91</v>
      </c>
      <c r="S75" s="22"/>
      <c r="T75" s="22">
        <f>IF($B$10="3BR_H",
INDEX('3BR_H-processed'!$E:$E,MATCH($L75,'3BR_H-processed'!$B:$B,0),MATCH(Council_Area,'3BR_H-processed'!$E$1:$E$1,0)),
INDEX('2BR_F-processed'!$E:$E,MATCH($L75,'2BR_F-processed'!$B:$B,0),MATCH(Council_Area,'2BR_F-processed'!$E$1:$E$1,0)))</f>
        <v>650</v>
      </c>
      <c r="U75" s="22">
        <f t="shared" si="94"/>
        <v>650</v>
      </c>
      <c r="V75" s="22">
        <f t="shared" si="95"/>
        <v>8450</v>
      </c>
      <c r="W75" s="22">
        <f>$B$53/4*BH75/_xlfn.XLOOKUP(Q_end,cpi!A:A,cpi!B:B)</f>
        <v>190.0483759502419</v>
      </c>
      <c r="X75" s="22">
        <f t="shared" si="72"/>
        <v>8640.0483759502422</v>
      </c>
      <c r="Y75" s="22">
        <f t="shared" si="73"/>
        <v>79.804337793790182</v>
      </c>
      <c r="Z75" s="22">
        <f t="shared" si="96"/>
        <v>0</v>
      </c>
      <c r="AA75" s="22" cm="1">
        <f t="array" ref="AA75">(Y75+Z75)*eff_invest</f>
        <v>79.804337793790182</v>
      </c>
      <c r="AB75" s="22">
        <f>AA75*(_xlfn.XLOOKUP(Q_end,cpi!A:A,cpi!B:B)/BH75)</f>
        <v>83.983183118265018</v>
      </c>
      <c r="AC75" s="22" cm="1">
        <f t="array" ref="AC75">INDEX('msci-indices'!C:C,MATCH($L75,'msci-indices'!$B:$B)-2)</f>
        <v>2701.360248</v>
      </c>
      <c r="AD75" s="22" cm="1">
        <f t="array" ref="AD75">INDEX('msci-indices'!D:D,MATCH($L75,'msci-indices'!$B:$B)-2)</f>
        <v>2426.6837019999998</v>
      </c>
      <c r="AE75" s="22">
        <f t="shared" si="97"/>
        <v>696478.50521582086</v>
      </c>
      <c r="AF75" s="22" cm="1">
        <f t="array" ref="AF75">INDEX('msci-indices'!C:C,MATCH($L75,'msci-indices'!$B:$B)+1)</f>
        <v>2928.0916900000002</v>
      </c>
      <c r="AG75" s="22" cm="1">
        <f t="array" ref="AG75">INDEX('msci-indices'!D:D,MATCH($L75,'msci-indices'!$B:$B)+1)</f>
        <v>2563.417899</v>
      </c>
      <c r="AH75" s="22">
        <f t="shared" si="74"/>
        <v>435.29906575988804</v>
      </c>
      <c r="AI75" s="22">
        <f t="shared" si="75"/>
        <v>748736.30477462744</v>
      </c>
      <c r="AJ75" s="22">
        <f t="shared" si="98"/>
        <v>244677.2879099155</v>
      </c>
      <c r="AK75" s="22">
        <f t="shared" si="76"/>
        <v>504059.01686471194</v>
      </c>
      <c r="AL75" s="22">
        <f>AJ75*(_xlfn.XLOOKUP(Q_end,cpi!A:A,cpi!B:B)/BH75)</f>
        <v>257489.48044047109</v>
      </c>
      <c r="AM75" s="22" cm="1">
        <f t="array" ref="AM75">SUMPRODUCT($AA$3:AA75,_xlfn.SORTBY($BH$3:BH75,_xlfn.SEQUENCE(ROWS($BH$3:BH75)),-1)/$BH$3)</f>
        <v>352663.55576052377</v>
      </c>
      <c r="AN75" s="22">
        <f t="shared" si="99"/>
        <v>396072.74901410367</v>
      </c>
      <c r="AO75" s="22">
        <f t="shared" si="77"/>
        <v>0</v>
      </c>
      <c r="AP75" s="22">
        <f t="shared" si="100"/>
        <v>748736.30477462744</v>
      </c>
      <c r="AQ75" s="22"/>
      <c r="AR75" s="10">
        <f>IF($B$10="3BR_H",
INDEX('ns-combined'!$C:$D,MATCH($L75,'ns-combined'!$B:$B,0),MATCH(Council_Area,'ns-combined'!$C$1:$D$1,0))*1000,
INDEX('s-combined'!$C:$D,MATCH($L75,'s-combined'!$B:$B,0),MATCH(Council_Area,'s-combined'!$C$1:$D$1,0))*1000)</f>
        <v>700000</v>
      </c>
      <c r="AS75" s="22">
        <f t="shared" si="104"/>
        <v>67525</v>
      </c>
      <c r="AT75" s="10">
        <v>0</v>
      </c>
      <c r="AU75" s="22">
        <f t="shared" si="78"/>
        <v>14000</v>
      </c>
      <c r="AV75" s="22">
        <f t="shared" si="79"/>
        <v>2012.5</v>
      </c>
      <c r="AW75" s="22">
        <f>SUM($AV$3:AV75)</f>
        <v>106771.175</v>
      </c>
      <c r="AX75" s="22">
        <f t="shared" si="80"/>
        <v>511703.82500000001</v>
      </c>
      <c r="AY75" s="22">
        <f t="shared" si="81"/>
        <v>2957.5000000000005</v>
      </c>
      <c r="AZ75" s="24">
        <f t="shared" si="82"/>
        <v>1.6900000000000002E-2</v>
      </c>
      <c r="BA75" s="24">
        <f t="shared" si="83"/>
        <v>0.35000000000000003</v>
      </c>
      <c r="BB75" s="25">
        <f>IF(MortgageRate="Discounted",_xlfn.XLOOKUP(L75,'mortgage-rates'!$A:$A,'mortgage-rates'!$E:$E)/100,_xlfn.XLOOKUP(L75,'mortgage-rates'!$A:$A,'mortgage-rates'!$D:$D)/100)</f>
        <v>7.3099999999999998E-2</v>
      </c>
      <c r="BC75" s="10">
        <f t="shared" si="101"/>
        <v>125415.51309407322</v>
      </c>
      <c r="BD75" s="10">
        <f t="shared" si="84"/>
        <v>5762.3527137440315</v>
      </c>
      <c r="BE75" s="10">
        <f t="shared" si="102"/>
        <v>2291.9685017941879</v>
      </c>
      <c r="BF75" s="10">
        <f t="shared" si="105"/>
        <v>3470.3842119498436</v>
      </c>
      <c r="BG75" s="12">
        <f t="shared" si="85"/>
        <v>8719.8527137440324</v>
      </c>
      <c r="BH75" s="22">
        <f>INDEX(cpi!B:B,MATCH($L75,cpi!A:A))</f>
        <v>137.5</v>
      </c>
      <c r="BI75" s="22">
        <f t="shared" si="86"/>
        <v>162.52955082742318</v>
      </c>
      <c r="BJ75" s="22">
        <f t="shared" si="87"/>
        <v>357.853121032302</v>
      </c>
      <c r="BK75" s="22">
        <f t="shared" si="88"/>
        <v>340.36923194250375</v>
      </c>
      <c r="BL75" s="22">
        <f t="shared" si="89"/>
        <v>352.60795430536251</v>
      </c>
      <c r="BM75" s="22">
        <f t="shared" si="90"/>
        <v>716.27239031326746</v>
      </c>
      <c r="BN75" s="22">
        <f t="shared" si="91"/>
        <v>189.18918918918919</v>
      </c>
      <c r="BO75">
        <f t="shared" si="92"/>
        <v>141.89901868008832</v>
      </c>
    </row>
    <row r="76" spans="2:67" x14ac:dyDescent="0.25">
      <c r="B76" s="7"/>
      <c r="L76" s="1">
        <f t="shared" si="103"/>
        <v>45444</v>
      </c>
      <c r="M76" s="10">
        <f t="shared" si="68"/>
        <v>756560.96052017773</v>
      </c>
      <c r="N76" s="10">
        <f t="shared" si="69"/>
        <v>441540.19611787656</v>
      </c>
      <c r="O76" s="7">
        <f t="shared" si="93"/>
        <v>1.7134588587223463</v>
      </c>
      <c r="P76" s="7">
        <f t="shared" si="70"/>
        <v>0.9950216955050819</v>
      </c>
      <c r="Q76">
        <v>74</v>
      </c>
      <c r="R76">
        <f t="shared" si="71"/>
        <v>91</v>
      </c>
      <c r="S76" s="22"/>
      <c r="T76" s="22">
        <f>IF($B$10="3BR_H",
INDEX('3BR_H-processed'!$E:$E,MATCH($L76,'3BR_H-processed'!$B:$B,0),MATCH(Council_Area,'3BR_H-processed'!$E$1:$E$1,0)),
INDEX('2BR_F-processed'!$E:$E,MATCH($L76,'2BR_F-processed'!$B:$B,0),MATCH(Council_Area,'2BR_F-processed'!$E$1:$E$1,0)))</f>
        <v>650</v>
      </c>
      <c r="U76" s="22">
        <f t="shared" si="94"/>
        <v>650</v>
      </c>
      <c r="V76" s="22">
        <f t="shared" si="95"/>
        <v>8450</v>
      </c>
      <c r="W76" s="22">
        <f>$B$53/4*BH76/_xlfn.XLOOKUP(Q_end,cpi!A:A,cpi!B:B)</f>
        <v>191.98341395991707</v>
      </c>
      <c r="X76" s="22">
        <f t="shared" si="72"/>
        <v>8641.983413959917</v>
      </c>
      <c r="Y76" s="22">
        <f t="shared" si="73"/>
        <v>43.237675187459899</v>
      </c>
      <c r="Z76" s="22">
        <f t="shared" si="96"/>
        <v>0</v>
      </c>
      <c r="AA76" s="22" cm="1">
        <f t="array" ref="AA76">(Y76+Z76)*eff_invest</f>
        <v>43.237675187459899</v>
      </c>
      <c r="AB76" s="22">
        <f>AA76*(_xlfn.XLOOKUP(Q_end,cpi!A:A,cpi!B:B)/BH76)</f>
        <v>45.043136066417901</v>
      </c>
      <c r="AC76" s="22" cm="1">
        <f t="array" ref="AC76">INDEX('msci-indices'!C:C,MATCH($L76,'msci-indices'!$B:$B)-2)</f>
        <v>2928.0916900000002</v>
      </c>
      <c r="AD76" s="22" cm="1">
        <f t="array" ref="AD76">INDEX('msci-indices'!D:D,MATCH($L76,'msci-indices'!$B:$B)-2)</f>
        <v>2563.417899</v>
      </c>
      <c r="AE76" s="22">
        <f t="shared" si="97"/>
        <v>748779.54244981485</v>
      </c>
      <c r="AF76" s="22" cm="1">
        <f t="array" ref="AF76">INDEX('msci-indices'!C:C,MATCH($L76,'msci-indices'!$B:$B)+1)</f>
        <v>2988.3970690000001</v>
      </c>
      <c r="AG76" s="22" cm="1">
        <f t="array" ref="AG76">INDEX('msci-indices'!D:D,MATCH($L76,'msci-indices'!$B:$B)+1)</f>
        <v>2534.3685369999998</v>
      </c>
      <c r="AH76" s="22">
        <f t="shared" si="74"/>
        <v>467.98721403113427</v>
      </c>
      <c r="AI76" s="22">
        <f t="shared" si="75"/>
        <v>756560.96052017773</v>
      </c>
      <c r="AJ76" s="22">
        <f t="shared" si="98"/>
        <v>244720.52558510297</v>
      </c>
      <c r="AK76" s="22">
        <f t="shared" si="76"/>
        <v>511840.43493507477</v>
      </c>
      <c r="AL76" s="22">
        <f>AJ76*(_xlfn.XLOOKUP(Q_end,cpi!A:A,cpi!B:B)/BH76)</f>
        <v>254939.23723660471</v>
      </c>
      <c r="AM76" s="22" cm="1">
        <f t="array" ref="AM76">SUMPRODUCT($AA$3:AA76,_xlfn.SORTBY($BH$3:BH76,_xlfn.SEQUENCE(ROWS($BH$3:BH76)),-1)/$BH$3)</f>
        <v>355851.1443553525</v>
      </c>
      <c r="AN76" s="22">
        <f t="shared" si="99"/>
        <v>400709.81616482523</v>
      </c>
      <c r="AO76" s="22">
        <f t="shared" si="77"/>
        <v>0</v>
      </c>
      <c r="AP76" s="22">
        <f t="shared" si="100"/>
        <v>756560.96052017773</v>
      </c>
      <c r="AQ76" s="22"/>
      <c r="AR76" s="10">
        <f>IF($B$10="3BR_H",
INDEX('ns-combined'!$C:$D,MATCH($L76,'ns-combined'!$B:$B,0),MATCH(Council_Area,'ns-combined'!$C$1:$D$1,0))*1000,
INDEX('s-combined'!$C:$D,MATCH($L76,'s-combined'!$B:$B,0),MATCH(Council_Area,'s-combined'!$C$1:$D$1,0))*1000)</f>
        <v>756000</v>
      </c>
      <c r="AS76" s="22">
        <f t="shared" si="104"/>
        <v>68450</v>
      </c>
      <c r="AT76" s="10">
        <v>0</v>
      </c>
      <c r="AU76" s="22">
        <f t="shared" si="78"/>
        <v>15120</v>
      </c>
      <c r="AV76" s="22">
        <f t="shared" si="79"/>
        <v>2173.5</v>
      </c>
      <c r="AW76" s="22">
        <f>SUM($AV$3:AV76)</f>
        <v>108944.675</v>
      </c>
      <c r="AX76" s="22">
        <f t="shared" si="80"/>
        <v>563485.32499999995</v>
      </c>
      <c r="AY76" s="22">
        <f t="shared" si="81"/>
        <v>2957.5000000000005</v>
      </c>
      <c r="AZ76" s="24">
        <f t="shared" si="82"/>
        <v>1.5648148148148151E-2</v>
      </c>
      <c r="BA76" s="24">
        <f t="shared" si="83"/>
        <v>0.35000000000000003</v>
      </c>
      <c r="BB76" s="25">
        <f>IF(MortgageRate="Discounted",_xlfn.XLOOKUP(L76,'mortgage-rates'!$A:$A,'mortgage-rates'!$E:$E)/100,_xlfn.XLOOKUP(L76,'mortgage-rates'!$A:$A,'mortgage-rates'!$D:$D)/100)</f>
        <v>7.1199999999999999E-2</v>
      </c>
      <c r="BC76" s="10">
        <f t="shared" si="101"/>
        <v>121945.12888212338</v>
      </c>
      <c r="BD76" s="10">
        <f t="shared" si="84"/>
        <v>5727.721089147376</v>
      </c>
      <c r="BE76" s="10">
        <f t="shared" si="102"/>
        <v>2170.6232941017961</v>
      </c>
      <c r="BF76" s="10">
        <f t="shared" si="105"/>
        <v>3557.0977950455799</v>
      </c>
      <c r="BG76" s="12">
        <f t="shared" si="85"/>
        <v>8685.2210891473769</v>
      </c>
      <c r="BH76" s="22">
        <f>INDEX(cpi!B:B,MATCH($L76,cpi!A:A))</f>
        <v>138.9</v>
      </c>
      <c r="BI76" s="22">
        <f t="shared" si="86"/>
        <v>164.18439716312056</v>
      </c>
      <c r="BJ76" s="22">
        <f t="shared" si="87"/>
        <v>387.88856492244037</v>
      </c>
      <c r="BK76" s="22">
        <f t="shared" si="88"/>
        <v>359.54771555567845</v>
      </c>
      <c r="BL76" s="22">
        <f t="shared" si="89"/>
        <v>379.38631011241176</v>
      </c>
      <c r="BM76" s="22">
        <f t="shared" si="90"/>
        <v>770.05982047071018</v>
      </c>
      <c r="BN76" s="22">
        <f t="shared" si="91"/>
        <v>204.32432432432432</v>
      </c>
      <c r="BO76">
        <f t="shared" si="92"/>
        <v>156.25838766816065</v>
      </c>
    </row>
    <row r="77" spans="2:67" x14ac:dyDescent="0.25">
      <c r="B77" s="7"/>
      <c r="L77" s="1">
        <f t="shared" si="103"/>
        <v>45536</v>
      </c>
      <c r="M77" s="10">
        <f t="shared" si="68"/>
        <v>808713.5705348152</v>
      </c>
      <c r="N77" s="10">
        <f t="shared" si="69"/>
        <v>465449.79391292215</v>
      </c>
      <c r="O77" s="7">
        <f t="shared" si="93"/>
        <v>1.7374882986544236</v>
      </c>
      <c r="P77" s="7">
        <f t="shared" si="70"/>
        <v>1.0030075917352987</v>
      </c>
      <c r="Q77">
        <v>75</v>
      </c>
      <c r="R77">
        <f t="shared" si="71"/>
        <v>92</v>
      </c>
      <c r="S77" s="22"/>
      <c r="T77" s="22">
        <f>IF($B$10="3BR_H",
INDEX('3BR_H-processed'!$E:$E,MATCH($L77,'3BR_H-processed'!$B:$B,0),MATCH(Council_Area,'3BR_H-processed'!$E$1:$E$1,0)),
INDEX('2BR_F-processed'!$E:$E,MATCH($L77,'2BR_F-processed'!$B:$B,0),MATCH(Council_Area,'2BR_F-processed'!$E$1:$E$1,0)))</f>
        <v>660</v>
      </c>
      <c r="U77" s="22">
        <f t="shared" si="94"/>
        <v>650</v>
      </c>
      <c r="V77" s="22">
        <f t="shared" si="95"/>
        <v>8542.8571428571431</v>
      </c>
      <c r="W77" s="22">
        <f>$B$53/4*BH77/_xlfn.XLOOKUP(Q_end,cpi!A:A,cpi!B:B)</f>
        <v>192.25984796129924</v>
      </c>
      <c r="X77" s="22">
        <f t="shared" si="72"/>
        <v>8735.116990818442</v>
      </c>
      <c r="Y77" s="22">
        <f t="shared" si="73"/>
        <v>-26.192888154515458</v>
      </c>
      <c r="Z77" s="22">
        <f t="shared" si="96"/>
        <v>0</v>
      </c>
      <c r="AA77" s="22" cm="1">
        <f t="array" ref="AA77">(Y77+Z77)*eff_invest</f>
        <v>-26.192888154515458</v>
      </c>
      <c r="AB77" s="22">
        <f>AA77*(_xlfn.XLOOKUP(Q_end,cpi!A:A,cpi!B:B)/BH77)</f>
        <v>-27.24738257338883</v>
      </c>
      <c r="AC77" s="22" cm="1">
        <f t="array" ref="AC77">INDEX('msci-indices'!C:C,MATCH($L77,'msci-indices'!$B:$B)-2)</f>
        <v>2988.3970690000001</v>
      </c>
      <c r="AD77" s="22" cm="1">
        <f t="array" ref="AD77">INDEX('msci-indices'!D:D,MATCH($L77,'msci-indices'!$B:$B)-2)</f>
        <v>2534.3685369999998</v>
      </c>
      <c r="AE77" s="22">
        <f t="shared" si="97"/>
        <v>756534.7676320232</v>
      </c>
      <c r="AF77" s="22" cm="1">
        <f t="array" ref="AF77">INDEX('msci-indices'!C:C,MATCH($L77,'msci-indices'!$B:$B)+1)</f>
        <v>3187.708345</v>
      </c>
      <c r="AG77" s="22" cm="1">
        <f t="array" ref="AG77">INDEX('msci-indices'!D:D,MATCH($L77,'msci-indices'!$B:$B)+1)</f>
        <v>2727.9035779999999</v>
      </c>
      <c r="AH77" s="22">
        <f t="shared" si="74"/>
        <v>472.83422977001453</v>
      </c>
      <c r="AI77" s="22">
        <f t="shared" si="75"/>
        <v>808713.5705348152</v>
      </c>
      <c r="AJ77" s="22">
        <f t="shared" si="98"/>
        <v>244694.33269694846</v>
      </c>
      <c r="AK77" s="22">
        <f t="shared" si="76"/>
        <v>564019.23783786676</v>
      </c>
      <c r="AL77" s="22">
        <f>AJ77*(_xlfn.XLOOKUP(Q_end,cpi!A:A,cpi!B:B)/BH77)</f>
        <v>254545.43451652364</v>
      </c>
      <c r="AM77" s="22" cm="1">
        <f t="array" ref="AM77">SUMPRODUCT($AA$3:AA77,_xlfn.SORTBY($BH$3:BH77,_xlfn.SEQUENCE(ROWS($BH$3:BH77)),-1)/$BH$3)</f>
        <v>357614.24884895881</v>
      </c>
      <c r="AN77" s="22">
        <f t="shared" si="99"/>
        <v>451099.32168585638</v>
      </c>
      <c r="AO77" s="22">
        <f t="shared" si="77"/>
        <v>0</v>
      </c>
      <c r="AP77" s="22">
        <f t="shared" si="100"/>
        <v>808713.5705348152</v>
      </c>
      <c r="AQ77" s="22"/>
      <c r="AR77" s="10">
        <f>IF($B$10="3BR_H",
INDEX('ns-combined'!$C:$D,MATCH($L77,'ns-combined'!$B:$B,0),MATCH(Council_Area,'ns-combined'!$C$1:$D$1,0))*1000,
INDEX('s-combined'!$C:$D,MATCH($L77,'s-combined'!$B:$B,0),MATCH(Council_Area,'s-combined'!$C$1:$D$1,0))*1000)</f>
        <v>780000</v>
      </c>
      <c r="AS77" s="22">
        <f t="shared" si="104"/>
        <v>69375</v>
      </c>
      <c r="AT77" s="10">
        <v>0</v>
      </c>
      <c r="AU77" s="22">
        <f t="shared" si="78"/>
        <v>15600</v>
      </c>
      <c r="AV77" s="22">
        <f t="shared" si="79"/>
        <v>2242.5</v>
      </c>
      <c r="AW77" s="22">
        <f>SUM($AV$3:AV77)</f>
        <v>111187.175</v>
      </c>
      <c r="AX77" s="22">
        <f t="shared" si="80"/>
        <v>583837.82499999995</v>
      </c>
      <c r="AY77" s="22">
        <f t="shared" si="81"/>
        <v>2990.0000000000005</v>
      </c>
      <c r="AZ77" s="24">
        <f t="shared" si="82"/>
        <v>1.5333333333333336E-2</v>
      </c>
      <c r="BA77" s="24">
        <f t="shared" si="83"/>
        <v>0.35000000000000003</v>
      </c>
      <c r="BB77" s="25">
        <f>IF(MortgageRate="Discounted",_xlfn.XLOOKUP(L77,'mortgage-rates'!$A:$A,'mortgage-rates'!$E:$E)/100,_xlfn.XLOOKUP(L77,'mortgage-rates'!$A:$A,'mortgage-rates'!$D:$D)/100)</f>
        <v>7.0699999999999999E-2</v>
      </c>
      <c r="BC77" s="10">
        <f t="shared" si="101"/>
        <v>118388.03108707779</v>
      </c>
      <c r="BD77" s="10">
        <f t="shared" si="84"/>
        <v>5718.9241026639256</v>
      </c>
      <c r="BE77" s="10">
        <f t="shared" si="102"/>
        <v>2092.5084494641001</v>
      </c>
      <c r="BF77" s="10">
        <f t="shared" si="105"/>
        <v>3626.4156531998256</v>
      </c>
      <c r="BG77" s="12">
        <f t="shared" si="85"/>
        <v>8708.9241026639265</v>
      </c>
      <c r="BH77" s="22">
        <f>INDEX(cpi!B:B,MATCH($L77,cpi!A:A))</f>
        <v>139.1</v>
      </c>
      <c r="BI77" s="22">
        <f t="shared" si="86"/>
        <v>164.42080378250591</v>
      </c>
      <c r="BJ77" s="22">
        <f t="shared" si="87"/>
        <v>395.87730618942362</v>
      </c>
      <c r="BK77" s="22">
        <f t="shared" si="88"/>
        <v>355.47322120595709</v>
      </c>
      <c r="BL77" s="22">
        <f t="shared" si="89"/>
        <v>383.75608069438363</v>
      </c>
      <c r="BM77" s="22">
        <f t="shared" si="90"/>
        <v>778.03544877377863</v>
      </c>
      <c r="BN77" s="22">
        <f t="shared" si="91"/>
        <v>210.81081081081081</v>
      </c>
      <c r="BO77">
        <f t="shared" si="92"/>
        <v>161.90227703655944</v>
      </c>
    </row>
    <row r="78" spans="2:67" x14ac:dyDescent="0.25">
      <c r="B78" s="7"/>
      <c r="L78" s="1">
        <f t="shared" si="103"/>
        <v>45627</v>
      </c>
      <c r="M78" s="10">
        <f t="shared" si="68"/>
        <v>803166.54672286753</v>
      </c>
      <c r="N78" s="10">
        <f t="shared" si="69"/>
        <v>504993.70956612198</v>
      </c>
      <c r="O78" s="7">
        <f t="shared" si="93"/>
        <v>1.5904486165044081</v>
      </c>
      <c r="P78" s="7">
        <f t="shared" si="70"/>
        <v>1.0030710746634133</v>
      </c>
      <c r="Q78">
        <v>76</v>
      </c>
      <c r="R78">
        <f t="shared" si="71"/>
        <v>92</v>
      </c>
      <c r="S78" s="22"/>
      <c r="T78" s="22">
        <f>IF($B$10="3BR_H",
INDEX('3BR_H-processed'!$E:$E,MATCH($L78,'3BR_H-processed'!$B:$B,0),MATCH(Council_Area,'3BR_H-processed'!$E$1:$E$1,0)),
INDEX('2BR_F-processed'!$E:$E,MATCH($L78,'2BR_F-processed'!$B:$B,0),MATCH(Council_Area,'2BR_F-processed'!$E$1:$E$1,0)))</f>
        <v>670</v>
      </c>
      <c r="U78" s="22">
        <f t="shared" si="94"/>
        <v>650</v>
      </c>
      <c r="V78" s="22">
        <f t="shared" si="95"/>
        <v>8542.8571428571431</v>
      </c>
      <c r="W78" s="22">
        <f>$B$53/4*BH78/_xlfn.XLOOKUP(Q_end,cpi!A:A,cpi!B:B)</f>
        <v>192.81271596406359</v>
      </c>
      <c r="X78" s="22">
        <f t="shared" si="72"/>
        <v>8735.6698588212075</v>
      </c>
      <c r="Y78" s="22">
        <f t="shared" si="73"/>
        <v>-26.745756157280994</v>
      </c>
      <c r="Z78" s="22">
        <f t="shared" si="96"/>
        <v>0</v>
      </c>
      <c r="AA78" s="22" cm="1">
        <f t="array" ref="AA78">(Y78+Z78)*eff_invest</f>
        <v>-26.745756157280994</v>
      </c>
      <c r="AB78" s="22">
        <f>AA78*(_xlfn.XLOOKUP(Q_end,cpi!A:A,cpi!B:B)/BH78)</f>
        <v>-27.742730580348098</v>
      </c>
      <c r="AC78" s="22" cm="1">
        <f t="array" ref="AC78">INDEX('msci-indices'!C:C,MATCH($L78,'msci-indices'!$B:$B)-2)</f>
        <v>3187.708345</v>
      </c>
      <c r="AD78" s="22" cm="1">
        <f t="array" ref="AD78">INDEX('msci-indices'!D:D,MATCH($L78,'msci-indices'!$B:$B)-2)</f>
        <v>2727.9035779999999</v>
      </c>
      <c r="AE78" s="22">
        <f t="shared" si="97"/>
        <v>808686.82477865787</v>
      </c>
      <c r="AF78" s="22" cm="1">
        <f t="array" ref="AF78">INDEX('msci-indices'!C:C,MATCH($L78,'msci-indices'!$B:$B)+1)</f>
        <v>3174.5512990000002</v>
      </c>
      <c r="AG78" s="22" cm="1">
        <f t="array" ref="AG78">INDEX('msci-indices'!D:D,MATCH($L78,'msci-indices'!$B:$B)+1)</f>
        <v>2697.7873119999999</v>
      </c>
      <c r="AH78" s="22">
        <f t="shared" si="74"/>
        <v>505.42926548666117</v>
      </c>
      <c r="AI78" s="22">
        <f t="shared" si="75"/>
        <v>803166.54672286753</v>
      </c>
      <c r="AJ78" s="22">
        <f t="shared" si="98"/>
        <v>244667.58694079117</v>
      </c>
      <c r="AK78" s="22">
        <f t="shared" si="76"/>
        <v>558498.9597820763</v>
      </c>
      <c r="AL78" s="22">
        <f>AJ78*(_xlfn.XLOOKUP(Q_end,cpi!A:A,cpi!B:B)/BH78)</f>
        <v>253787.81240381708</v>
      </c>
      <c r="AM78" s="22" cm="1">
        <f t="array" ref="AM78">SUMPRODUCT($AA$3:AA78,_xlfn.SORTBY($BH$3:BH78,_xlfn.SEQUENCE(ROWS($BH$3:BH78)),-1)/$BH$3)</f>
        <v>359568.83810847357</v>
      </c>
      <c r="AN78" s="22">
        <f t="shared" si="99"/>
        <v>443597.70861439395</v>
      </c>
      <c r="AO78" s="22">
        <f t="shared" si="77"/>
        <v>0</v>
      </c>
      <c r="AP78" s="22">
        <f t="shared" si="100"/>
        <v>803166.54672286753</v>
      </c>
      <c r="AQ78" s="22"/>
      <c r="AR78" s="10">
        <f>IF($B$10="3BR_H",
INDEX('ns-combined'!$C:$D,MATCH($L78,'ns-combined'!$B:$B,0),MATCH(Council_Area,'ns-combined'!$C$1:$D$1,0))*1000,
INDEX('s-combined'!$C:$D,MATCH($L78,'s-combined'!$B:$B,0),MATCH(Council_Area,'s-combined'!$C$1:$D$1,0))*1000)</f>
        <v>820000</v>
      </c>
      <c r="AS78" s="22">
        <f t="shared" si="104"/>
        <v>70300</v>
      </c>
      <c r="AT78" s="10">
        <v>0</v>
      </c>
      <c r="AU78" s="22">
        <f t="shared" si="78"/>
        <v>16400</v>
      </c>
      <c r="AV78" s="22">
        <f t="shared" si="79"/>
        <v>2357.5</v>
      </c>
      <c r="AW78" s="22">
        <f>SUM($AV$3:AV78)</f>
        <v>113544.675</v>
      </c>
      <c r="AX78" s="22">
        <f t="shared" si="80"/>
        <v>619755.32499999995</v>
      </c>
      <c r="AY78" s="22">
        <f t="shared" si="81"/>
        <v>2990.0000000000005</v>
      </c>
      <c r="AZ78" s="24">
        <f t="shared" si="82"/>
        <v>1.4585365853658539E-2</v>
      </c>
      <c r="BA78" s="24">
        <f t="shared" si="83"/>
        <v>0.35000000000000003</v>
      </c>
      <c r="BB78" s="25">
        <f>IF(MortgageRate="Discounted",_xlfn.XLOOKUP(L78,'mortgage-rates'!$A:$A,'mortgage-rates'!$E:$E)/100,_xlfn.XLOOKUP(L78,'mortgage-rates'!$A:$A,'mortgage-rates'!$D:$D)/100)</f>
        <v>7.0699999999999999E-2</v>
      </c>
      <c r="BC78" s="10">
        <f t="shared" si="101"/>
        <v>114761.61543387796</v>
      </c>
      <c r="BD78" s="10">
        <f t="shared" si="84"/>
        <v>5718.9241026639265</v>
      </c>
      <c r="BE78" s="10">
        <f t="shared" si="102"/>
        <v>2028.4115527937929</v>
      </c>
      <c r="BF78" s="10">
        <f t="shared" si="105"/>
        <v>3690.5125498701336</v>
      </c>
      <c r="BG78" s="12">
        <f t="shared" si="85"/>
        <v>8708.9241026639265</v>
      </c>
      <c r="BH78" s="22">
        <f>INDEX(cpi!B:B,MATCH($L78,cpi!A:A))</f>
        <v>139.5</v>
      </c>
      <c r="BI78" s="22">
        <f t="shared" si="86"/>
        <v>164.89361702127661</v>
      </c>
      <c r="BJ78" s="22">
        <f t="shared" si="87"/>
        <v>422.28036080842037</v>
      </c>
      <c r="BK78" s="22">
        <f t="shared" si="88"/>
        <v>382.61865149208802</v>
      </c>
      <c r="BL78" s="22">
        <f t="shared" si="89"/>
        <v>410.38184801352065</v>
      </c>
      <c r="BM78" s="22">
        <f t="shared" si="90"/>
        <v>831.66966483705642</v>
      </c>
      <c r="BN78" s="22">
        <f t="shared" si="91"/>
        <v>221.62162162162161</v>
      </c>
      <c r="BO78">
        <f t="shared" si="92"/>
        <v>171.86244882820486</v>
      </c>
    </row>
    <row r="79" spans="2:67" x14ac:dyDescent="0.25">
      <c r="L79" s="1">
        <f t="shared" si="103"/>
        <v>45717</v>
      </c>
      <c r="M79" s="10">
        <f t="shared" si="68"/>
        <v>784232.41870120075</v>
      </c>
      <c r="N79" s="10">
        <f t="shared" si="69"/>
        <v>506867.4096159921</v>
      </c>
      <c r="O79" s="7">
        <f t="shared" si="93"/>
        <v>1.5472141309999456</v>
      </c>
      <c r="P79" s="7">
        <f t="shared" si="70"/>
        <v>1.0322205134137752</v>
      </c>
      <c r="Q79">
        <v>77</v>
      </c>
      <c r="R79">
        <f t="shared" si="71"/>
        <v>90</v>
      </c>
      <c r="S79" s="22"/>
      <c r="T79" s="22">
        <f>IF($B$10="3BR_H",
INDEX('3BR_H-processed'!$E:$E,MATCH($L79,'3BR_H-processed'!$B:$B,0),MATCH(Council_Area,'3BR_H-processed'!$E$1:$E$1,0)),
INDEX('2BR_F-processed'!$E:$E,MATCH($L79,'2BR_F-processed'!$B:$B,0),MATCH(Council_Area,'2BR_F-processed'!$E$1:$E$1,0)))</f>
        <v>690</v>
      </c>
      <c r="U79" s="22">
        <f t="shared" si="94"/>
        <v>690</v>
      </c>
      <c r="V79" s="22">
        <f t="shared" si="95"/>
        <v>8871.4285714285706</v>
      </c>
      <c r="W79" s="22">
        <f>$B$53/4*BH79/_xlfn.XLOOKUP(Q_end,cpi!A:A,cpi!B:B)</f>
        <v>194.60953697304774</v>
      </c>
      <c r="X79" s="22">
        <f>V79+W79</f>
        <v>9066.038108401619</v>
      </c>
      <c r="Y79" s="22">
        <f t="shared" si="73"/>
        <v>-282.99418456185595</v>
      </c>
      <c r="Z79" s="22">
        <f t="shared" si="96"/>
        <v>0</v>
      </c>
      <c r="AA79" s="22" cm="1">
        <f t="array" ref="AA79">(Y79+Z79)*eff_invest</f>
        <v>-282.99418456185595</v>
      </c>
      <c r="AB79" s="22">
        <f>AA79*(_xlfn.XLOOKUP(Q_end,cpi!A:A,cpi!B:B)/BH79)</f>
        <v>-290.8328018899187</v>
      </c>
      <c r="AC79" s="22" cm="1">
        <f t="array" ref="AC79">INDEX('msci-indices'!C:C,MATCH($L79,'msci-indices'!$B:$B)-2)</f>
        <v>3174.5512990000002</v>
      </c>
      <c r="AD79" s="22" cm="1">
        <f t="array" ref="AD79">INDEX('msci-indices'!D:D,MATCH($L79,'msci-indices'!$B:$B)-2)</f>
        <v>2697.7873119999999</v>
      </c>
      <c r="AE79" s="22">
        <f t="shared" si="97"/>
        <v>802883.55253830564</v>
      </c>
      <c r="AF79" s="22" cm="1">
        <f t="array" ref="AF79">INDEX('msci-indices'!C:C,MATCH($L79,'msci-indices'!$B:$B)+1)</f>
        <v>3111.4241780000002</v>
      </c>
      <c r="AG79" s="22" cm="1">
        <f t="array" ref="AG79">INDEX('msci-indices'!D:D,MATCH($L79,'msci-indices'!$B:$B)+1)</f>
        <v>2619.6825220000001</v>
      </c>
      <c r="AH79" s="22">
        <f t="shared" si="74"/>
        <v>501.80222033644105</v>
      </c>
      <c r="AI79" s="22">
        <f t="shared" si="75"/>
        <v>784232.41870120075</v>
      </c>
      <c r="AJ79" s="22">
        <f t="shared" si="98"/>
        <v>244384.59275622931</v>
      </c>
      <c r="AK79" s="22">
        <f t="shared" si="76"/>
        <v>539847.82594497141</v>
      </c>
      <c r="AL79" s="22">
        <f>AJ79*(_xlfn.XLOOKUP(Q_end,cpi!A:A,cpi!B:B)/BH79)</f>
        <v>251153.76826581234</v>
      </c>
      <c r="AM79" s="22" cm="1">
        <f t="array" ref="AM79">SUMPRODUCT($AA$3:AA79,_xlfn.SORTBY($BH$3:BH79,_xlfn.SEQUENCE(ROWS($BH$3:BH79)),-1)/$BH$3)</f>
        <v>362256.39307597146</v>
      </c>
      <c r="AN79" s="22">
        <f t="shared" si="99"/>
        <v>421976.02562522929</v>
      </c>
      <c r="AO79" s="22">
        <f t="shared" si="77"/>
        <v>0</v>
      </c>
      <c r="AP79" s="22">
        <f t="shared" si="100"/>
        <v>784232.41870120075</v>
      </c>
      <c r="AQ79" s="22"/>
      <c r="AR79" s="10">
        <f>IF($B$10="3BR_H",
INDEX('ns-combined'!$C:$D,MATCH($L79,'ns-combined'!$B:$B,0),MATCH(Council_Area,'ns-combined'!$C$1:$D$1,0))*1000,
INDEX('s-combined'!$C:$D,MATCH($L79,'s-combined'!$B:$B,0),MATCH(Council_Area,'s-combined'!$C$1:$D$1,0))*1000)</f>
        <v>821500</v>
      </c>
      <c r="AS79" s="22">
        <f t="shared" si="104"/>
        <v>71225</v>
      </c>
      <c r="AT79" s="10">
        <v>0</v>
      </c>
      <c r="AU79" s="22">
        <f t="shared" si="78"/>
        <v>16430</v>
      </c>
      <c r="AV79" s="22">
        <f t="shared" si="79"/>
        <v>2361.8125</v>
      </c>
      <c r="AW79" s="22">
        <f>SUM($AV$3:AV79)</f>
        <v>115906.4875</v>
      </c>
      <c r="AX79" s="22">
        <f t="shared" si="80"/>
        <v>617938.51249999995</v>
      </c>
      <c r="AY79" s="22">
        <f t="shared" si="81"/>
        <v>3105</v>
      </c>
      <c r="AZ79" s="24">
        <f t="shared" si="82"/>
        <v>1.5118685331710286E-2</v>
      </c>
      <c r="BA79" s="24">
        <f t="shared" si="83"/>
        <v>0.35000000000000003</v>
      </c>
      <c r="BB79" s="25">
        <f>IF(MortgageRate="Discounted",_xlfn.XLOOKUP(L79,'mortgage-rates'!$A:$A,'mortgage-rates'!$E:$E)/100,_xlfn.XLOOKUP(L79,'mortgage-rates'!$A:$A,'mortgage-rates'!$D:$D)/100)</f>
        <v>6.8199999999999997E-2</v>
      </c>
      <c r="BC79" s="10">
        <f t="shared" si="101"/>
        <v>111071.10288400782</v>
      </c>
      <c r="BD79" s="10">
        <f t="shared" si="84"/>
        <v>5678.0439238397621</v>
      </c>
      <c r="BE79" s="10">
        <f t="shared" si="102"/>
        <v>1893.7623041723332</v>
      </c>
      <c r="BF79" s="10">
        <f t="shared" si="105"/>
        <v>3784.2816196674289</v>
      </c>
      <c r="BG79" s="12">
        <f t="shared" si="85"/>
        <v>8783.043923839763</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825.70146388310502</v>
      </c>
      <c r="BN79" s="22">
        <f t="shared" si="91"/>
        <v>222.02702702702703</v>
      </c>
      <c r="BO79">
        <f t="shared" si="92"/>
        <v>171.35863412469797</v>
      </c>
    </row>
    <row r="80" spans="2:67" x14ac:dyDescent="0.25">
      <c r="B80" s="7"/>
      <c r="L80" s="1">
        <f t="shared" si="103"/>
        <v>45809</v>
      </c>
      <c r="M80" s="10">
        <f t="shared" si="68"/>
        <v>868367.1441341528</v>
      </c>
      <c r="N80" s="10">
        <f t="shared" si="69"/>
        <v>535212.94123565953</v>
      </c>
      <c r="O80" s="7">
        <f t="shared" si="93"/>
        <v>1.6224703799749904</v>
      </c>
      <c r="P80" s="7">
        <f t="shared" si="70"/>
        <v>1.0492002213197429</v>
      </c>
      <c r="Q80">
        <v>78</v>
      </c>
      <c r="R80">
        <f t="shared" si="71"/>
        <v>91</v>
      </c>
      <c r="S80" s="22"/>
      <c r="T80" s="22">
        <f>IF($B$10="3BR_H",
INDEX('3BR_H-processed'!$E:$E,MATCH($L80,'3BR_H-processed'!$B:$B,0),MATCH(Council_Area,'3BR_H-processed'!$E$1:$E$1,0)),
INDEX('2BR_F-processed'!$E:$E,MATCH($L80,'2BR_F-processed'!$B:$B,0),MATCH(Council_Area,'2BR_F-processed'!$E$1:$E$1,0)))</f>
        <v>700</v>
      </c>
      <c r="U80" s="22">
        <f t="shared" si="94"/>
        <v>690</v>
      </c>
      <c r="V80" s="22">
        <f t="shared" si="95"/>
        <v>8970</v>
      </c>
      <c r="W80" s="22">
        <f>$B$53/4*BH80/_xlfn.XLOOKUP(Q_end,cpi!A:A,cpi!B:B)</f>
        <v>195.99170697995856</v>
      </c>
      <c r="X80" s="22">
        <f t="shared" si="72"/>
        <v>9165.9917069799594</v>
      </c>
      <c r="Y80" s="22">
        <f t="shared" si="73"/>
        <v>-429.82150731067122</v>
      </c>
      <c r="Z80" s="22">
        <f t="shared" si="96"/>
        <v>0</v>
      </c>
      <c r="AA80" s="22" cm="1">
        <f t="array" ref="AA80">(Y80+Z80)*eff_invest</f>
        <v>-429.82150731067122</v>
      </c>
      <c r="AB80" s="22">
        <f>AA80*(_xlfn.XLOOKUP(Q_end,cpi!A:A,cpi!B:B)/BH80)</f>
        <v>-438.61193305962001</v>
      </c>
      <c r="AC80" s="22" cm="1">
        <f t="array" ref="AC80">INDEX('msci-indices'!C:C,MATCH($L80,'msci-indices'!$B:$B)-2)</f>
        <v>3111.4241780000002</v>
      </c>
      <c r="AD80" s="22" cm="1">
        <f t="array" ref="AD80">INDEX('msci-indices'!D:D,MATCH($L80,'msci-indices'!$B:$B)-2)</f>
        <v>2619.6825220000001</v>
      </c>
      <c r="AE80" s="22">
        <f t="shared" si="97"/>
        <v>783802.59719389002</v>
      </c>
      <c r="AF80" s="22" cm="1">
        <f t="array" ref="AF80">INDEX('msci-indices'!C:C,MATCH($L80,'msci-indices'!$B:$B)+1)</f>
        <v>3468.7668789999998</v>
      </c>
      <c r="AG80" s="22" cm="1">
        <f t="array" ref="AG80">INDEX('msci-indices'!D:D,MATCH($L80,'msci-indices'!$B:$B)+1)</f>
        <v>2865.243618</v>
      </c>
      <c r="AH80" s="22">
        <f t="shared" si="74"/>
        <v>489.87662324618128</v>
      </c>
      <c r="AI80" s="22">
        <f t="shared" si="75"/>
        <v>868367.1441341528</v>
      </c>
      <c r="AJ80" s="22">
        <f t="shared" si="98"/>
        <v>243954.77124891864</v>
      </c>
      <c r="AK80" s="22">
        <f t="shared" si="76"/>
        <v>624412.37288523419</v>
      </c>
      <c r="AL80" s="22">
        <f>AJ80*(_xlfn.XLOOKUP(Q_end,cpi!A:A,cpi!B:B)/BH80)</f>
        <v>248943.97319970749</v>
      </c>
      <c r="AM80" s="22" cm="1">
        <f t="array" ref="AM80">SUMPRODUCT($AA$3:AA80,_xlfn.SORTBY($BH$3:BH80,_xlfn.SEQUENCE(ROWS($BH$3:BH80)),-1)/$BH$3)</f>
        <v>364438.17209750175</v>
      </c>
      <c r="AN80" s="22">
        <f t="shared" si="99"/>
        <v>503928.97203665104</v>
      </c>
      <c r="AO80" s="22">
        <f t="shared" si="77"/>
        <v>0</v>
      </c>
      <c r="AP80" s="22">
        <f t="shared" si="100"/>
        <v>868367.1441341528</v>
      </c>
      <c r="AQ80" s="22"/>
      <c r="AR80" s="10">
        <f>IF($B$10="3BR_H",
INDEX('ns-combined'!$C:$D,MATCH($L80,'ns-combined'!$B:$B,0),MATCH(Council_Area,'ns-combined'!$C$1:$D$1,0))*1000,
INDEX('s-combined'!$C:$D,MATCH($L80,'s-combined'!$B:$B,0),MATCH(Council_Area,'s-combined'!$C$1:$D$1,0))*1000)</f>
        <v>850000</v>
      </c>
      <c r="AS80" s="22">
        <f t="shared" si="104"/>
        <v>72150</v>
      </c>
      <c r="AT80" s="10">
        <v>0</v>
      </c>
      <c r="AU80" s="22">
        <f t="shared" si="78"/>
        <v>17000</v>
      </c>
      <c r="AV80" s="22">
        <f t="shared" si="79"/>
        <v>2443.75</v>
      </c>
      <c r="AW80" s="22">
        <f>SUM($AV$3:AV80)</f>
        <v>118350.2375</v>
      </c>
      <c r="AX80" s="22">
        <f t="shared" si="80"/>
        <v>642499.76249999995</v>
      </c>
      <c r="AY80" s="22">
        <f t="shared" si="81"/>
        <v>3139.5000000000005</v>
      </c>
      <c r="AZ80" s="24">
        <f t="shared" si="82"/>
        <v>1.4774117647058826E-2</v>
      </c>
      <c r="BA80" s="24">
        <f t="shared" si="83"/>
        <v>0.35000000000000003</v>
      </c>
      <c r="BB80" s="25">
        <f>IF(MortgageRate="Discounted",_xlfn.XLOOKUP(L80,'mortgage-rates'!$A:$A,'mortgage-rates'!$E:$E)/100,_xlfn.XLOOKUP(L80,'mortgage-rates'!$A:$A,'mortgage-rates'!$D:$D)/100)</f>
        <v>6.3E-2</v>
      </c>
      <c r="BC80" s="10">
        <f t="shared" si="101"/>
        <v>107286.8212643404</v>
      </c>
      <c r="BD80" s="10">
        <f t="shared" si="84"/>
        <v>5596.6701996692873</v>
      </c>
      <c r="BE80" s="10">
        <f t="shared" si="102"/>
        <v>1689.7674349133613</v>
      </c>
      <c r="BF80" s="10">
        <f t="shared" si="105"/>
        <v>3906.902764755926</v>
      </c>
      <c r="BG80" s="12">
        <f t="shared" si="85"/>
        <v>8736.1701996692882</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806.07822871984592</v>
      </c>
      <c r="BN80" s="22">
        <f t="shared" si="91"/>
        <v>229.72972972972974</v>
      </c>
      <c r="BO80">
        <f t="shared" si="92"/>
        <v>178.16963905036238</v>
      </c>
    </row>
    <row r="81" spans="2:67" x14ac:dyDescent="0.25">
      <c r="B81" s="7"/>
      <c r="L81" s="1">
        <f t="shared" si="103"/>
        <v>45901</v>
      </c>
      <c r="M81" s="10">
        <f>AP81</f>
        <v>924227.57100546558</v>
      </c>
      <c r="N81" s="10">
        <f t="shared" si="69"/>
        <v>556270.71900041553</v>
      </c>
      <c r="O81" s="7">
        <f t="shared" si="93"/>
        <v>1.6614708260507509</v>
      </c>
      <c r="P81" s="7">
        <f t="shared" si="70"/>
        <v>1.0611166386113082</v>
      </c>
      <c r="Q81">
        <v>79</v>
      </c>
      <c r="R81">
        <f t="shared" si="71"/>
        <v>92</v>
      </c>
      <c r="S81" s="22"/>
      <c r="T81" s="22">
        <f>IF($B$10="3BR_H",
INDEX('3BR_H-processed'!$E:$E,MATCH($L81,'3BR_H-processed'!$B:$B,0),MATCH(Council_Area,'3BR_H-processed'!$E$1:$E$1,0)),
INDEX('2BR_F-processed'!$E:$E,MATCH($L81,'2BR_F-processed'!$B:$B,0),MATCH(Council_Area,'2BR_F-processed'!$E$1:$E$1,0)))</f>
        <v>700</v>
      </c>
      <c r="U81" s="22">
        <f t="shared" si="94"/>
        <v>690</v>
      </c>
      <c r="V81" s="22">
        <f t="shared" si="95"/>
        <v>9068.5714285714294</v>
      </c>
      <c r="W81" s="22">
        <f>$B$53/4*BH81/_xlfn.XLOOKUP(Q_end,cpi!A:A,cpi!B:B)</f>
        <v>198.47961299239807</v>
      </c>
      <c r="X81" s="22">
        <f t="shared" si="72"/>
        <v>9267.0510415638273</v>
      </c>
      <c r="Y81" s="22">
        <f t="shared" si="73"/>
        <v>-533.75000343130887</v>
      </c>
      <c r="Z81" s="22">
        <f t="shared" si="96"/>
        <v>0</v>
      </c>
      <c r="AA81" s="22" cm="1">
        <f t="array" ref="AA81">(Y81+Z81)*eff_invest</f>
        <v>-533.75000343130887</v>
      </c>
      <c r="AB81" s="22">
        <f>AA81*(_xlfn.XLOOKUP(Q_end,cpi!A:A,cpi!B:B)/BH81)</f>
        <v>-537.83861766372138</v>
      </c>
      <c r="AC81" s="22" cm="1">
        <f t="array" ref="AC81">INDEX('msci-indices'!C:C,MATCH($L81,'msci-indices'!$B:$B)-2)</f>
        <v>3468.7668789999998</v>
      </c>
      <c r="AD81" s="22" cm="1">
        <f t="array" ref="AD81">INDEX('msci-indices'!D:D,MATCH($L81,'msci-indices'!$B:$B)-2)</f>
        <v>2865.243618</v>
      </c>
      <c r="AE81" s="22">
        <f t="shared" si="97"/>
        <v>867833.39413072146</v>
      </c>
      <c r="AF81" s="22" cm="1">
        <f t="array" ref="AF81">INDEX('msci-indices'!C:C,MATCH($L81,'msci-indices'!$B:$B)+1)</f>
        <v>3725.5302940000001</v>
      </c>
      <c r="AG81" s="22" cm="1">
        <f t="array" ref="AG81">INDEX('msci-indices'!D:D,MATCH($L81,'msci-indices'!$B:$B)+1)</f>
        <v>2996.9746749999999</v>
      </c>
      <c r="AH81" s="22">
        <f t="shared" si="74"/>
        <v>542.39587133170096</v>
      </c>
      <c r="AI81" s="22">
        <f t="shared" si="75"/>
        <v>924227.57100546558</v>
      </c>
      <c r="AJ81" s="22">
        <f t="shared" si="98"/>
        <v>243421.02124548733</v>
      </c>
      <c r="AK81" s="22">
        <f t="shared" si="76"/>
        <v>680806.5497599782</v>
      </c>
      <c r="AL81" s="22">
        <f>AJ81*(_xlfn.XLOOKUP(Q_end,cpi!A:A,cpi!B:B)/BH81)</f>
        <v>245285.66695140678</v>
      </c>
      <c r="AM81" s="22" cm="1">
        <f t="array" ref="AM81">SUMPRODUCT($AA$3:AA81,_xlfn.SORTBY($BH$3:BH81,_xlfn.SEQUENCE(ROWS($BH$3:BH81)),-1)/$BH$3)</f>
        <v>367408.80893529736</v>
      </c>
      <c r="AN81" s="22">
        <f t="shared" si="99"/>
        <v>556818.76207016828</v>
      </c>
      <c r="AO81" s="22">
        <f t="shared" si="77"/>
        <v>0</v>
      </c>
      <c r="AP81" s="22">
        <f t="shared" si="100"/>
        <v>924227.57100546558</v>
      </c>
      <c r="AQ81" s="22"/>
      <c r="AR81" s="10">
        <f>IF($B$10="3BR_H",
INDEX('ns-combined'!$C:$D,MATCH($L81,'ns-combined'!$B:$B,0),MATCH(Council_Area,'ns-combined'!$C$1:$D$1,0))*1000,
INDEX('s-combined'!$C:$D,MATCH($L81,'s-combined'!$B:$B,0),MATCH(Council_Area,'s-combined'!$C$1:$D$1,0))*1000)</f>
        <v>871000</v>
      </c>
      <c r="AS81" s="22">
        <f t="shared" si="104"/>
        <v>73075</v>
      </c>
      <c r="AT81" s="10">
        <v>0</v>
      </c>
      <c r="AU81" s="22">
        <f t="shared" si="78"/>
        <v>17420</v>
      </c>
      <c r="AV81" s="22">
        <f t="shared" si="79"/>
        <v>2504.125</v>
      </c>
      <c r="AW81" s="22">
        <f>SUM($AV$3:AV81)</f>
        <v>120854.3625</v>
      </c>
      <c r="AX81" s="22">
        <f t="shared" si="80"/>
        <v>659650.63749999995</v>
      </c>
      <c r="AY81" s="22">
        <f t="shared" si="81"/>
        <v>3174.0000000000005</v>
      </c>
      <c r="AZ81" s="24">
        <f t="shared" si="82"/>
        <v>1.457634902411022E-2</v>
      </c>
      <c r="BA81" s="24">
        <f t="shared" si="83"/>
        <v>0.35000000000000003</v>
      </c>
      <c r="BB81" s="25">
        <f>IF(MortgageRate="Discounted",_xlfn.XLOOKUP(L81,'mortgage-rates'!$A:$A,'mortgage-rates'!$E:$E)/100,_xlfn.XLOOKUP(L81,'mortgage-rates'!$A:$A,'mortgage-rates'!$D:$D)/100)</f>
        <v>6.0499999999999998E-2</v>
      </c>
      <c r="BC81" s="10">
        <f t="shared" si="101"/>
        <v>103379.91849958447</v>
      </c>
      <c r="BD81" s="10">
        <f t="shared" si="84"/>
        <v>5559.3010381325175</v>
      </c>
      <c r="BE81" s="10">
        <f t="shared" si="102"/>
        <v>1563.621267306215</v>
      </c>
      <c r="BF81" s="10">
        <f t="shared" si="105"/>
        <v>3995.6797708263025</v>
      </c>
      <c r="BG81" s="12">
        <f t="shared" si="85"/>
        <v>8733.3010381325184</v>
      </c>
      <c r="BH81" s="22">
        <f>INDEX(cpi!B:B,MATCH($L81,cpi!A:A))</f>
        <v>143.6</v>
      </c>
      <c r="BI81" s="22">
        <f t="shared" si="86"/>
        <v>169.73995271867614</v>
      </c>
      <c r="BJ81" s="22">
        <f t="shared" si="87"/>
        <v>459.51259359156273</v>
      </c>
      <c r="BK81" s="22">
        <f t="shared" si="88"/>
        <v>401.88211128753886</v>
      </c>
      <c r="BL81" s="22">
        <f t="shared" si="89"/>
        <v>442.22344890035555</v>
      </c>
      <c r="BM81" s="22">
        <f t="shared" si="90"/>
        <v>892.49717680098149</v>
      </c>
      <c r="BN81" s="22">
        <f t="shared" si="91"/>
        <v>235.40540540540542</v>
      </c>
      <c r="BO81">
        <f t="shared" si="92"/>
        <v>182.92569560711152</v>
      </c>
    </row>
    <row r="82" spans="2:67" x14ac:dyDescent="0.25">
      <c r="B82" s="7"/>
      <c r="L82" s="1">
        <f>DATE(YEAR(L81),MONTH(L81)+3,1)</f>
        <v>45992</v>
      </c>
      <c r="M82" s="10">
        <f>AP82</f>
        <v>940067.90168769576</v>
      </c>
      <c r="N82" s="10">
        <f t="shared" si="69"/>
        <v>635007.27377124177</v>
      </c>
      <c r="O82" s="7">
        <f t="shared" si="93"/>
        <v>1.4804049347415043</v>
      </c>
      <c r="P82" s="7">
        <f t="shared" si="70"/>
        <v>1.061290729370457</v>
      </c>
      <c r="Q82">
        <v>80</v>
      </c>
      <c r="R82">
        <f t="shared" si="71"/>
        <v>92</v>
      </c>
      <c r="S82" s="22"/>
      <c r="T82" s="22">
        <f>IF($B$10="3BR_H",
INDEX('3BR_H-processed'!$E:$E,MATCH($L82,'3BR_H-processed'!$B:$B,0),MATCH(Council_Area,'3BR_H-processed'!$E$1:$E$1,0)),
INDEX('2BR_F-processed'!$E:$E,MATCH($L82,'2BR_F-processed'!$B:$B,0),MATCH(Council_Area,'2BR_F-processed'!$E$1:$E$1,0)))</f>
        <v>700</v>
      </c>
      <c r="U82" s="22">
        <f t="shared" si="94"/>
        <v>690</v>
      </c>
      <c r="V82" s="22">
        <f t="shared" si="95"/>
        <v>9068.5714285714294</v>
      </c>
      <c r="W82" s="22">
        <f>$B$53/4*BH82/_xlfn.XLOOKUP(Q_end,cpi!A:A,cpi!B:B)</f>
        <v>200</v>
      </c>
      <c r="X82" s="22">
        <f>V82+W82</f>
        <v>9268.5714285714294</v>
      </c>
      <c r="Y82" s="22">
        <f>BG82-X82</f>
        <v>-535.27039043891091</v>
      </c>
      <c r="Z82" s="22">
        <f t="shared" si="96"/>
        <v>0</v>
      </c>
      <c r="AA82" s="22" cm="1">
        <f t="array" ref="AA82">(Y82+Z82)*eff_invest</f>
        <v>-535.27039043891091</v>
      </c>
      <c r="AB82" s="22">
        <f>AA82*(_xlfn.XLOOKUP(Q_end,cpi!A:A,cpi!B:B)/BH82)</f>
        <v>-535.27039043891091</v>
      </c>
      <c r="AC82" s="22" cm="1">
        <f t="array" ref="AC82">INDEX('msci-indices'!C:C,MATCH($L82,'msci-indices'!$B:$B)-2)</f>
        <v>3725.5302940000001</v>
      </c>
      <c r="AD82" s="22" cm="1">
        <f t="array" ref="AD82">INDEX('msci-indices'!D:D,MATCH($L82,'msci-indices'!$B:$B)-2)</f>
        <v>2996.9746749999999</v>
      </c>
      <c r="AE82" s="22">
        <f t="shared" si="97"/>
        <v>923692.30061502662</v>
      </c>
      <c r="AF82" s="22" cm="1">
        <f t="array" ref="AF82">INDEX('msci-indices'!C:C,MATCH($L82,'msci-indices'!$B:$B)+1)</f>
        <v>3840.531755</v>
      </c>
      <c r="AG82" s="22" cm="1">
        <f t="array" ref="AG82">INDEX('msci-indices'!D:D,MATCH($L82,'msci-indices'!$B:$B)+1)</f>
        <v>2964.4622850000001</v>
      </c>
      <c r="AH82" s="22">
        <f t="shared" si="74"/>
        <v>577.30768788439161</v>
      </c>
      <c r="AI82" s="22">
        <f t="shared" si="75"/>
        <v>940067.90168769576</v>
      </c>
      <c r="AJ82" s="22">
        <f t="shared" si="98"/>
        <v>242885.75085504842</v>
      </c>
      <c r="AK82" s="22">
        <f t="shared" si="76"/>
        <v>697182.15083264734</v>
      </c>
      <c r="AL82" s="22">
        <f>AJ82*(_xlfn.XLOOKUP(Q_end,cpi!A:A,cpi!B:B)/BH82)</f>
        <v>242885.75085504842</v>
      </c>
      <c r="AM82" s="22" cm="1">
        <f t="array" ref="AM82">SUMPRODUCT($AA$3:AA82,_xlfn.SORTBY($BH$3:BH82,_xlfn.SEQUENCE(ROWS($BH$3:BH82)),-1)/$BH$3)</f>
        <v>369602.3072071792</v>
      </c>
      <c r="AN82" s="22">
        <f>AI82-AM82</f>
        <v>570465.59448051662</v>
      </c>
      <c r="AO82" s="22">
        <f t="shared" si="77"/>
        <v>0</v>
      </c>
      <c r="AP82" s="22">
        <f>AI82-AO82</f>
        <v>940067.90168769576</v>
      </c>
      <c r="AQ82" s="22"/>
      <c r="AR82" s="10">
        <f>IF($B$10="3BR_H",
INDEX('ns-combined'!$C:$D,MATCH($L82,'ns-combined'!$B:$B,0),MATCH(Council_Area,'ns-combined'!$C$1:$D$1,0))*1000,
INDEX('s-combined'!$C:$D,MATCH($L82,'s-combined'!$B:$B,0),MATCH(Council_Area,'s-combined'!$C$1:$D$1,0))*1000)</f>
        <v>951000</v>
      </c>
      <c r="AS82" s="22">
        <f>AS81+$AS$3</f>
        <v>74000</v>
      </c>
      <c r="AT82" s="10">
        <v>0</v>
      </c>
      <c r="AU82" s="22">
        <f t="shared" si="78"/>
        <v>19020</v>
      </c>
      <c r="AV82" s="22">
        <f t="shared" si="79"/>
        <v>2734.125</v>
      </c>
      <c r="AW82" s="22">
        <f>SUM($AV$3:AV82)</f>
        <v>123588.4875</v>
      </c>
      <c r="AX82" s="22">
        <f t="shared" si="80"/>
        <v>734391.51249999995</v>
      </c>
      <c r="AY82" s="22">
        <f t="shared" si="81"/>
        <v>3174.0000000000005</v>
      </c>
      <c r="AZ82" s="24">
        <f t="shared" si="82"/>
        <v>1.3350157728706626E-2</v>
      </c>
      <c r="BA82" s="24">
        <f t="shared" si="83"/>
        <v>0.35000000000000003</v>
      </c>
      <c r="BB82" s="25">
        <f>IF(MortgageRate="Discounted",_xlfn.XLOOKUP(L82,'mortgage-rates'!$A:$A,'mortgage-rates'!$E:$E)/100,_xlfn.XLOOKUP(L82,'mortgage-rates'!$A:$A,'mortgage-rates'!$D:$D)/100)</f>
        <v>6.0499999999999998E-2</v>
      </c>
      <c r="BC82" s="10">
        <f t="shared" si="101"/>
        <v>99384.238728758166</v>
      </c>
      <c r="BD82" s="10">
        <f t="shared" si="84"/>
        <v>5559.3010381325184</v>
      </c>
      <c r="BE82" s="10">
        <f t="shared" si="102"/>
        <v>1503.1866107724672</v>
      </c>
      <c r="BF82" s="10">
        <f t="shared" si="105"/>
        <v>4056.1144273600512</v>
      </c>
      <c r="BG82" s="12">
        <f t="shared" si="85"/>
        <v>8733.3010381325184</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949.94359067903861</v>
      </c>
      <c r="BN82" s="22">
        <f t="shared" si="91"/>
        <v>257.02702702702703</v>
      </c>
      <c r="BO82">
        <f t="shared" si="92"/>
        <v>203.65185847640637</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'2BR_F-processed'!$E$1:$E$1</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795" workbookViewId="0">
      <selection activeCell="H823" sqref="H823"/>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B140-3029-4A50-92A2-2EBFC006705E}">
  <sheetPr>
    <tabColor rgb="FFFF0000"/>
  </sheetPr>
  <dimension ref="A1:G14"/>
  <sheetViews>
    <sheetView workbookViewId="0">
      <selection activeCell="E4" sqref="E4"/>
    </sheetView>
  </sheetViews>
  <sheetFormatPr defaultRowHeight="15" x14ac:dyDescent="0.25"/>
  <cols>
    <col min="1" max="6" width="12.85546875" customWidth="1"/>
  </cols>
  <sheetData>
    <row r="1" spans="1:7" x14ac:dyDescent="0.25">
      <c r="A1" t="s">
        <v>634</v>
      </c>
      <c r="B1" t="s">
        <v>5</v>
      </c>
      <c r="C1" t="s">
        <v>558</v>
      </c>
      <c r="D1" t="s">
        <v>641</v>
      </c>
      <c r="E1" t="s">
        <v>642</v>
      </c>
      <c r="F1" t="s">
        <v>643</v>
      </c>
      <c r="G1" t="s">
        <v>644</v>
      </c>
    </row>
    <row r="2" spans="1:7" x14ac:dyDescent="0.25">
      <c r="A2" s="1">
        <v>44896</v>
      </c>
      <c r="B2">
        <v>530</v>
      </c>
      <c r="C2">
        <v>440</v>
      </c>
      <c r="D2" s="7">
        <f>_xlfn.XLOOKUP(A2,'rai-values'!E:E,'rai-values'!H:H)</f>
        <v>501.87751813053984</v>
      </c>
      <c r="E2" s="7">
        <f>B2/$D2</f>
        <v>1.0560345519644205</v>
      </c>
      <c r="F2" s="7">
        <f>C2/$D2</f>
        <v>0.8767079299327265</v>
      </c>
    </row>
    <row r="3" spans="1:7" x14ac:dyDescent="0.25">
      <c r="A3" s="1">
        <v>44986</v>
      </c>
      <c r="B3">
        <v>550</v>
      </c>
      <c r="C3">
        <v>450</v>
      </c>
      <c r="D3" s="7">
        <f>_xlfn.XLOOKUP(A3,'rai-values'!E:E,'rai-values'!H:H)</f>
        <v>519.33412745681949</v>
      </c>
      <c r="E3" s="7">
        <f t="shared" ref="E3:F14" si="0">B3/$D3</f>
        <v>1.0590484447716759</v>
      </c>
      <c r="F3" s="7">
        <f t="shared" si="0"/>
        <v>0.86649418208591666</v>
      </c>
    </row>
    <row r="4" spans="1:7" x14ac:dyDescent="0.25">
      <c r="A4" s="1">
        <v>45078</v>
      </c>
      <c r="B4">
        <v>580</v>
      </c>
      <c r="C4">
        <v>480</v>
      </c>
      <c r="D4" s="7">
        <f>_xlfn.XLOOKUP(A4,'rai-values'!E:E,'rai-values'!H:H)</f>
        <v>533.24486301369859</v>
      </c>
      <c r="E4" s="7">
        <f t="shared" si="0"/>
        <v>1.0876804264406019</v>
      </c>
      <c r="F4" s="7">
        <f t="shared" si="0"/>
        <v>0.90014931843360158</v>
      </c>
    </row>
    <row r="5" spans="1:7" x14ac:dyDescent="0.25">
      <c r="A5" s="1">
        <v>45170</v>
      </c>
      <c r="B5">
        <v>600</v>
      </c>
      <c r="C5">
        <v>500</v>
      </c>
      <c r="D5" s="7">
        <f>_xlfn.XLOOKUP(A5,'rai-values'!E:E,'rai-values'!H:H)</f>
        <v>563.0596958652759</v>
      </c>
      <c r="E5" s="7">
        <f t="shared" si="0"/>
        <v>1.0656063724787768</v>
      </c>
      <c r="F5" s="7">
        <f t="shared" si="0"/>
        <v>0.88800531039898067</v>
      </c>
    </row>
    <row r="6" spans="1:7" x14ac:dyDescent="0.25">
      <c r="A6" s="1">
        <v>45261</v>
      </c>
      <c r="B6">
        <v>620</v>
      </c>
      <c r="C6">
        <v>520</v>
      </c>
      <c r="D6" s="7">
        <f>_xlfn.XLOOKUP(A6,'rai-values'!E:E,'rai-values'!H:H)</f>
        <v>584.50958904109586</v>
      </c>
      <c r="E6" s="7">
        <f t="shared" si="0"/>
        <v>1.0607182698527275</v>
      </c>
      <c r="F6" s="7">
        <f t="shared" si="0"/>
        <v>0.88963467794099726</v>
      </c>
    </row>
    <row r="7" spans="1:7" x14ac:dyDescent="0.25">
      <c r="A7" s="1">
        <v>45352</v>
      </c>
      <c r="B7">
        <v>650</v>
      </c>
      <c r="C7">
        <v>550</v>
      </c>
      <c r="D7" s="7">
        <f>_xlfn.XLOOKUP(A7,'rai-values'!E:E,'rai-values'!H:H)</f>
        <v>607.65848365658485</v>
      </c>
      <c r="E7" s="7">
        <f t="shared" si="0"/>
        <v>1.0696797913338181</v>
      </c>
      <c r="F7" s="7">
        <f t="shared" si="0"/>
        <v>0.90511366959015382</v>
      </c>
    </row>
    <row r="8" spans="1:7" x14ac:dyDescent="0.25">
      <c r="A8" s="1">
        <v>45444</v>
      </c>
      <c r="B8">
        <v>650</v>
      </c>
      <c r="C8">
        <v>550</v>
      </c>
      <c r="D8" s="7">
        <f>_xlfn.XLOOKUP(A8,'rai-values'!E:E,'rai-values'!H:H)</f>
        <v>626.2602739726027</v>
      </c>
      <c r="E8" s="7">
        <f t="shared" si="0"/>
        <v>1.0379071242644968</v>
      </c>
      <c r="F8" s="7">
        <f t="shared" si="0"/>
        <v>0.87822910514688191</v>
      </c>
    </row>
    <row r="9" spans="1:7" x14ac:dyDescent="0.25">
      <c r="A9" s="1">
        <v>45536</v>
      </c>
      <c r="B9">
        <v>660</v>
      </c>
      <c r="C9">
        <v>570</v>
      </c>
      <c r="D9" s="7">
        <f>_xlfn.XLOOKUP(A9,'rai-values'!E:E,'rai-values'!H:H)</f>
        <v>648.41682974559683</v>
      </c>
      <c r="E9" s="7">
        <f t="shared" si="0"/>
        <v>1.0178637717638326</v>
      </c>
      <c r="F9" s="7">
        <f t="shared" si="0"/>
        <v>0.87906416652330988</v>
      </c>
    </row>
    <row r="10" spans="1:7" x14ac:dyDescent="0.25">
      <c r="A10" s="1">
        <v>45627</v>
      </c>
      <c r="B10">
        <v>670</v>
      </c>
      <c r="C10">
        <v>620</v>
      </c>
      <c r="D10" s="7">
        <f>_xlfn.XLOOKUP(A10,'rai-values'!E:E,'rai-values'!H:H)</f>
        <v>661.92551369863008</v>
      </c>
      <c r="E10" s="7">
        <f t="shared" si="0"/>
        <v>1.0121984817540153</v>
      </c>
      <c r="F10" s="7">
        <f t="shared" si="0"/>
        <v>0.93666128162311857</v>
      </c>
    </row>
    <row r="11" spans="1:7" x14ac:dyDescent="0.25">
      <c r="A11" s="1">
        <v>45717</v>
      </c>
      <c r="B11">
        <v>690</v>
      </c>
      <c r="C11">
        <v>650</v>
      </c>
      <c r="D11" s="7">
        <f>_xlfn.XLOOKUP(A11,'rai-values'!E:E,'rai-values'!H:H)</f>
        <v>655.10153933060292</v>
      </c>
      <c r="E11" s="7">
        <f t="shared" si="0"/>
        <v>1.0532718343251903</v>
      </c>
      <c r="F11" s="7">
        <f t="shared" si="0"/>
        <v>0.99221259755271562</v>
      </c>
    </row>
    <row r="12" spans="1:7" x14ac:dyDescent="0.25">
      <c r="A12" s="1">
        <v>45809</v>
      </c>
      <c r="B12">
        <v>700</v>
      </c>
      <c r="C12">
        <v>620</v>
      </c>
      <c r="D12" s="7">
        <f>_xlfn.XLOOKUP(A12,'rai-values'!E:E,'rai-values'!H:H)</f>
        <v>676.00903526668594</v>
      </c>
      <c r="E12" s="7">
        <f t="shared" si="0"/>
        <v>1.035489118461042</v>
      </c>
      <c r="F12" s="7">
        <f t="shared" si="0"/>
        <v>0.91714750492263708</v>
      </c>
    </row>
    <row r="13" spans="1:7" x14ac:dyDescent="0.25">
      <c r="A13" s="1">
        <v>45901</v>
      </c>
      <c r="B13">
        <v>700</v>
      </c>
      <c r="C13">
        <v>650</v>
      </c>
      <c r="D13" s="7" t="e">
        <f>_xlfn.XLOOKUP(A13,'rai-values'!E:E,'rai-values'!H:H)</f>
        <v>#DIV/0!</v>
      </c>
      <c r="E13" s="46" t="e">
        <f t="shared" si="0"/>
        <v>#DIV/0!</v>
      </c>
      <c r="F13" s="46" t="e">
        <f t="shared" si="0"/>
        <v>#DIV/0!</v>
      </c>
    </row>
    <row r="14" spans="1:7" x14ac:dyDescent="0.25">
      <c r="A14" s="1">
        <v>45992</v>
      </c>
      <c r="B14">
        <v>700</v>
      </c>
      <c r="C14">
        <v>660</v>
      </c>
      <c r="D14" s="7" t="e">
        <f>_xlfn.XLOOKUP(A14,'rai-values'!E:E,'rai-values'!H:H)</f>
        <v>#DIV/0!</v>
      </c>
      <c r="E14" s="46" t="e">
        <f t="shared" si="0"/>
        <v>#DIV/0!</v>
      </c>
      <c r="F14" s="46" t="e">
        <f t="shared" si="0"/>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9194-BCD9-42F8-AB42-5331A10B1A16}">
  <sheetPr>
    <tabColor rgb="FFFF0000"/>
  </sheetPr>
  <dimension ref="A1:D13"/>
  <sheetViews>
    <sheetView workbookViewId="0">
      <selection activeCell="D1" sqref="D1"/>
    </sheetView>
  </sheetViews>
  <sheetFormatPr defaultRowHeight="15" x14ac:dyDescent="0.25"/>
  <cols>
    <col min="1" max="1" width="11.85546875" customWidth="1"/>
    <col min="2" max="3" width="19.85546875" customWidth="1"/>
  </cols>
  <sheetData>
    <row r="1" spans="1:4" x14ac:dyDescent="0.25">
      <c r="A1" t="s">
        <v>645</v>
      </c>
      <c r="D1" t="s">
        <v>646</v>
      </c>
    </row>
    <row r="2" spans="1:4" x14ac:dyDescent="0.25">
      <c r="A2" t="s">
        <v>647</v>
      </c>
      <c r="B2" t="s">
        <v>648</v>
      </c>
      <c r="C2" t="s">
        <v>649</v>
      </c>
    </row>
    <row r="3" spans="1:4" x14ac:dyDescent="0.25">
      <c r="A3">
        <v>2008</v>
      </c>
      <c r="B3">
        <v>338</v>
      </c>
      <c r="C3">
        <v>305</v>
      </c>
    </row>
    <row r="4" spans="1:4" x14ac:dyDescent="0.25">
      <c r="A4">
        <v>2010</v>
      </c>
      <c r="B4">
        <v>379</v>
      </c>
      <c r="C4">
        <v>350</v>
      </c>
    </row>
    <row r="5" spans="1:4" x14ac:dyDescent="0.25">
      <c r="A5">
        <v>2015</v>
      </c>
      <c r="B5">
        <v>444</v>
      </c>
      <c r="C5">
        <v>411</v>
      </c>
    </row>
    <row r="6" spans="1:4" x14ac:dyDescent="0.25">
      <c r="A6">
        <v>2016</v>
      </c>
      <c r="B6">
        <v>408</v>
      </c>
      <c r="C6">
        <v>380</v>
      </c>
    </row>
    <row r="7" spans="1:4" x14ac:dyDescent="0.25">
      <c r="A7">
        <v>2017</v>
      </c>
      <c r="B7">
        <v>378</v>
      </c>
      <c r="C7">
        <v>343</v>
      </c>
    </row>
    <row r="8" spans="1:4" x14ac:dyDescent="0.25">
      <c r="A8">
        <v>2018</v>
      </c>
      <c r="B8">
        <v>360</v>
      </c>
      <c r="C8">
        <v>330</v>
      </c>
    </row>
    <row r="9" spans="1:4" x14ac:dyDescent="0.25">
      <c r="A9">
        <v>2019</v>
      </c>
      <c r="B9">
        <v>365</v>
      </c>
      <c r="C9">
        <v>330</v>
      </c>
    </row>
    <row r="10" spans="1:4" x14ac:dyDescent="0.25">
      <c r="A10">
        <v>2020</v>
      </c>
      <c r="B10">
        <v>376</v>
      </c>
      <c r="C10">
        <v>344</v>
      </c>
    </row>
    <row r="11" spans="1:4" x14ac:dyDescent="0.25">
      <c r="A11">
        <v>2021</v>
      </c>
      <c r="B11">
        <v>427</v>
      </c>
      <c r="C11">
        <v>380</v>
      </c>
    </row>
    <row r="12" spans="1:4" x14ac:dyDescent="0.25">
      <c r="A12" s="1">
        <v>44713</v>
      </c>
      <c r="B12">
        <v>477</v>
      </c>
      <c r="C12">
        <v>420</v>
      </c>
    </row>
    <row r="13" spans="1:4" x14ac:dyDescent="0.25">
      <c r="A13" s="1">
        <v>44896</v>
      </c>
      <c r="B13">
        <v>500</v>
      </c>
      <c r="C13">
        <v>450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8C56-5EB4-4A17-883F-45F034504F13}">
  <sheetPr>
    <tabColor rgb="FFFF0000"/>
    <pageSetUpPr autoPageBreaks="0"/>
  </sheetPr>
  <dimension ref="A1:H63"/>
  <sheetViews>
    <sheetView zoomScaleNormal="100" workbookViewId="0">
      <selection activeCell="E4" sqref="E4"/>
    </sheetView>
  </sheetViews>
  <sheetFormatPr defaultRowHeight="15" x14ac:dyDescent="0.25"/>
  <cols>
    <col min="8" max="8" width="20" bestFit="1" customWidth="1"/>
  </cols>
  <sheetData>
    <row r="1" spans="1:8" x14ac:dyDescent="0.25">
      <c r="E1" t="s">
        <v>650</v>
      </c>
    </row>
    <row r="2" spans="1:8" x14ac:dyDescent="0.25">
      <c r="A2" t="s">
        <v>651</v>
      </c>
      <c r="E2" t="s">
        <v>652</v>
      </c>
    </row>
    <row r="3" spans="1:8" x14ac:dyDescent="0.25">
      <c r="A3" t="s">
        <v>653</v>
      </c>
      <c r="B3" t="s">
        <v>632</v>
      </c>
      <c r="C3" t="s">
        <v>654</v>
      </c>
      <c r="E3" t="s">
        <v>2</v>
      </c>
      <c r="F3" t="s">
        <v>655</v>
      </c>
      <c r="G3" t="s">
        <v>656</v>
      </c>
      <c r="H3" t="s">
        <v>657</v>
      </c>
    </row>
    <row r="4" spans="1:8" x14ac:dyDescent="0.25">
      <c r="A4" t="s">
        <v>658</v>
      </c>
      <c r="B4">
        <v>2011</v>
      </c>
      <c r="C4" s="47">
        <v>74964</v>
      </c>
      <c r="E4" s="1">
        <v>40603</v>
      </c>
      <c r="F4">
        <f>IF(MONTH(E4)&gt;6,YEAR(E4)+1,YEAR(E4))</f>
        <v>2011</v>
      </c>
      <c r="G4">
        <v>115</v>
      </c>
      <c r="H4" s="7">
        <f>(100/G4)*0.3*(_xlfn.XLOOKUP(F4,B:B,C:C)/(365/7))</f>
        <v>375.04324002382367</v>
      </c>
    </row>
    <row r="5" spans="1:8" x14ac:dyDescent="0.25">
      <c r="A5" t="s">
        <v>658</v>
      </c>
      <c r="B5">
        <v>2012</v>
      </c>
      <c r="C5" s="47">
        <v>77651</v>
      </c>
      <c r="E5" s="1">
        <v>40695</v>
      </c>
      <c r="F5">
        <f t="shared" ref="F5:F63" si="0">IF(MONTH(E5)&gt;6,YEAR(E5)+1,YEAR(E5))</f>
        <v>2011</v>
      </c>
      <c r="G5">
        <v>115</v>
      </c>
      <c r="H5" s="7">
        <f t="shared" ref="H5:H63" si="1">(100/G5)*0.3*(_xlfn.XLOOKUP(F5,B:B,C:C)/(365/7))</f>
        <v>375.04324002382367</v>
      </c>
    </row>
    <row r="6" spans="1:8" x14ac:dyDescent="0.25">
      <c r="A6" t="s">
        <v>658</v>
      </c>
      <c r="B6">
        <v>2013</v>
      </c>
      <c r="C6" s="47">
        <v>81183</v>
      </c>
      <c r="E6" s="1">
        <v>40787</v>
      </c>
      <c r="F6">
        <f t="shared" si="0"/>
        <v>2012</v>
      </c>
      <c r="G6">
        <v>116</v>
      </c>
      <c r="H6" s="7">
        <f t="shared" si="1"/>
        <v>385.13722248464802</v>
      </c>
    </row>
    <row r="7" spans="1:8" x14ac:dyDescent="0.25">
      <c r="A7" t="s">
        <v>658</v>
      </c>
      <c r="B7">
        <v>2014</v>
      </c>
      <c r="C7" s="47">
        <v>81059</v>
      </c>
      <c r="E7" s="1">
        <v>40878</v>
      </c>
      <c r="F7">
        <f t="shared" si="0"/>
        <v>2012</v>
      </c>
      <c r="G7">
        <v>115</v>
      </c>
      <c r="H7" s="7">
        <f t="shared" si="1"/>
        <v>388.48624181060148</v>
      </c>
    </row>
    <row r="8" spans="1:8" x14ac:dyDescent="0.25">
      <c r="A8" t="s">
        <v>658</v>
      </c>
      <c r="B8">
        <v>2015</v>
      </c>
      <c r="C8" s="47">
        <v>82669</v>
      </c>
      <c r="E8" s="1">
        <v>40969</v>
      </c>
      <c r="F8">
        <f t="shared" si="0"/>
        <v>2012</v>
      </c>
      <c r="G8">
        <v>110</v>
      </c>
      <c r="H8" s="7">
        <f t="shared" si="1"/>
        <v>406.14470734744702</v>
      </c>
    </row>
    <row r="9" spans="1:8" x14ac:dyDescent="0.25">
      <c r="A9" t="s">
        <v>658</v>
      </c>
      <c r="B9">
        <v>2016</v>
      </c>
      <c r="C9" s="47">
        <v>82742</v>
      </c>
      <c r="E9" s="1">
        <v>41061</v>
      </c>
      <c r="F9">
        <f t="shared" si="0"/>
        <v>2012</v>
      </c>
      <c r="G9">
        <v>102</v>
      </c>
      <c r="H9" s="7">
        <f t="shared" si="1"/>
        <v>437.99919419822714</v>
      </c>
    </row>
    <row r="10" spans="1:8" x14ac:dyDescent="0.25">
      <c r="A10" t="s">
        <v>658</v>
      </c>
      <c r="B10">
        <v>2017</v>
      </c>
      <c r="C10" s="47">
        <v>82759</v>
      </c>
      <c r="E10" s="1">
        <v>41153</v>
      </c>
      <c r="F10">
        <f t="shared" si="0"/>
        <v>2013</v>
      </c>
      <c r="G10">
        <v>102</v>
      </c>
      <c r="H10" s="7">
        <f t="shared" si="1"/>
        <v>457.9218372280418</v>
      </c>
    </row>
    <row r="11" spans="1:8" x14ac:dyDescent="0.25">
      <c r="A11" t="s">
        <v>658</v>
      </c>
      <c r="B11">
        <v>2018</v>
      </c>
      <c r="C11" s="47">
        <v>84938</v>
      </c>
      <c r="E11" s="1">
        <v>41244</v>
      </c>
      <c r="F11">
        <f t="shared" si="0"/>
        <v>2013</v>
      </c>
      <c r="G11">
        <v>102</v>
      </c>
      <c r="H11" s="7">
        <f t="shared" si="1"/>
        <v>457.9218372280418</v>
      </c>
    </row>
    <row r="12" spans="1:8" x14ac:dyDescent="0.25">
      <c r="A12" t="s">
        <v>658</v>
      </c>
      <c r="B12">
        <v>2019</v>
      </c>
      <c r="C12" s="47">
        <v>88130</v>
      </c>
      <c r="E12" s="1">
        <v>41334</v>
      </c>
      <c r="F12">
        <f t="shared" si="0"/>
        <v>2013</v>
      </c>
      <c r="G12">
        <v>101</v>
      </c>
      <c r="H12" s="7">
        <f t="shared" si="1"/>
        <v>462.45571680455708</v>
      </c>
    </row>
    <row r="13" spans="1:8" x14ac:dyDescent="0.25">
      <c r="A13" t="s">
        <v>658</v>
      </c>
      <c r="B13">
        <v>2020</v>
      </c>
      <c r="C13" s="47">
        <v>92634</v>
      </c>
      <c r="E13" s="1">
        <v>41426</v>
      </c>
      <c r="F13">
        <f t="shared" si="0"/>
        <v>2013</v>
      </c>
      <c r="G13">
        <v>102</v>
      </c>
      <c r="H13" s="7">
        <f t="shared" si="1"/>
        <v>457.9218372280418</v>
      </c>
    </row>
    <row r="14" spans="1:8" x14ac:dyDescent="0.25">
      <c r="A14" t="s">
        <v>658</v>
      </c>
      <c r="B14">
        <v>2021</v>
      </c>
      <c r="C14" s="47">
        <v>96008</v>
      </c>
      <c r="E14" s="1">
        <v>41518</v>
      </c>
      <c r="F14">
        <f t="shared" si="0"/>
        <v>2014</v>
      </c>
      <c r="G14">
        <v>103</v>
      </c>
      <c r="H14" s="7">
        <f t="shared" si="1"/>
        <v>452.78334884958099</v>
      </c>
    </row>
    <row r="15" spans="1:8" x14ac:dyDescent="0.25">
      <c r="A15" t="s">
        <v>658</v>
      </c>
      <c r="B15">
        <v>2022</v>
      </c>
      <c r="C15" s="47">
        <v>98470</v>
      </c>
      <c r="E15" s="1">
        <v>41609</v>
      </c>
      <c r="F15">
        <f t="shared" si="0"/>
        <v>2014</v>
      </c>
      <c r="G15">
        <v>103</v>
      </c>
      <c r="H15" s="7">
        <f t="shared" si="1"/>
        <v>452.78334884958099</v>
      </c>
    </row>
    <row r="16" spans="1:8" x14ac:dyDescent="0.25">
      <c r="A16" t="s">
        <v>658</v>
      </c>
      <c r="B16">
        <v>2023</v>
      </c>
      <c r="C16" s="47">
        <v>103805</v>
      </c>
      <c r="E16" s="1">
        <v>41699</v>
      </c>
      <c r="F16">
        <f t="shared" si="0"/>
        <v>2014</v>
      </c>
      <c r="G16">
        <v>105</v>
      </c>
      <c r="H16" s="7">
        <f t="shared" si="1"/>
        <v>444.158904109589</v>
      </c>
    </row>
    <row r="17" spans="1:8" x14ac:dyDescent="0.25">
      <c r="A17" t="s">
        <v>658</v>
      </c>
      <c r="B17">
        <v>2024</v>
      </c>
      <c r="C17" s="47">
        <v>106673</v>
      </c>
      <c r="E17" s="1">
        <v>41791</v>
      </c>
      <c r="F17">
        <f t="shared" si="0"/>
        <v>2014</v>
      </c>
      <c r="G17">
        <v>105</v>
      </c>
      <c r="H17" s="7">
        <f t="shared" si="1"/>
        <v>444.158904109589</v>
      </c>
    </row>
    <row r="18" spans="1:8" x14ac:dyDescent="0.25">
      <c r="A18" t="s">
        <v>658</v>
      </c>
      <c r="B18">
        <v>2025</v>
      </c>
      <c r="C18" s="47">
        <v>110447</v>
      </c>
      <c r="E18" s="1">
        <v>41883</v>
      </c>
      <c r="F18">
        <f t="shared" si="0"/>
        <v>2015</v>
      </c>
      <c r="G18">
        <v>110</v>
      </c>
      <c r="H18" s="7">
        <f t="shared" si="1"/>
        <v>432.39078455790775</v>
      </c>
    </row>
    <row r="19" spans="1:8" x14ac:dyDescent="0.25">
      <c r="E19" s="1">
        <v>41974</v>
      </c>
      <c r="F19">
        <f t="shared" si="0"/>
        <v>2015</v>
      </c>
      <c r="G19">
        <v>112</v>
      </c>
      <c r="H19" s="7">
        <f t="shared" si="1"/>
        <v>424.66952054794513</v>
      </c>
    </row>
    <row r="20" spans="1:8" x14ac:dyDescent="0.25">
      <c r="E20" s="1">
        <v>42064</v>
      </c>
      <c r="F20">
        <f t="shared" si="0"/>
        <v>2015</v>
      </c>
      <c r="G20">
        <v>113</v>
      </c>
      <c r="H20" s="7">
        <f t="shared" si="1"/>
        <v>420.9113831979634</v>
      </c>
    </row>
    <row r="21" spans="1:8" x14ac:dyDescent="0.25">
      <c r="E21" s="1">
        <v>42156</v>
      </c>
      <c r="F21">
        <f t="shared" si="0"/>
        <v>2015</v>
      </c>
      <c r="G21">
        <v>115</v>
      </c>
      <c r="H21" s="7">
        <f t="shared" si="1"/>
        <v>413.59118522930311</v>
      </c>
    </row>
    <row r="22" spans="1:8" x14ac:dyDescent="0.25">
      <c r="E22" s="1">
        <v>42248</v>
      </c>
      <c r="F22">
        <f t="shared" si="0"/>
        <v>2016</v>
      </c>
      <c r="G22">
        <v>118</v>
      </c>
      <c r="H22" s="7">
        <f t="shared" si="1"/>
        <v>403.43208729974458</v>
      </c>
    </row>
    <row r="23" spans="1:8" x14ac:dyDescent="0.25">
      <c r="E23" s="1">
        <v>42339</v>
      </c>
      <c r="F23">
        <f t="shared" si="0"/>
        <v>2016</v>
      </c>
      <c r="G23">
        <v>122</v>
      </c>
      <c r="H23" s="7">
        <f t="shared" si="1"/>
        <v>390.20480574893327</v>
      </c>
    </row>
    <row r="24" spans="1:8" x14ac:dyDescent="0.25">
      <c r="E24" s="1">
        <v>42430</v>
      </c>
      <c r="F24">
        <f t="shared" si="0"/>
        <v>2016</v>
      </c>
      <c r="G24">
        <v>124</v>
      </c>
      <c r="H24" s="7">
        <f t="shared" si="1"/>
        <v>383.91117984975693</v>
      </c>
    </row>
    <row r="25" spans="1:8" x14ac:dyDescent="0.25">
      <c r="E25" s="1">
        <v>42522</v>
      </c>
      <c r="F25">
        <f t="shared" si="0"/>
        <v>2016</v>
      </c>
      <c r="G25">
        <v>126</v>
      </c>
      <c r="H25" s="7">
        <f t="shared" si="1"/>
        <v>377.8173515981735</v>
      </c>
    </row>
    <row r="26" spans="1:8" x14ac:dyDescent="0.25">
      <c r="E26" s="1">
        <v>42614</v>
      </c>
      <c r="F26">
        <f t="shared" si="0"/>
        <v>2017</v>
      </c>
      <c r="G26">
        <v>131</v>
      </c>
      <c r="H26" s="7">
        <f t="shared" si="1"/>
        <v>363.47150475792114</v>
      </c>
    </row>
    <row r="27" spans="1:8" x14ac:dyDescent="0.25">
      <c r="E27" s="1">
        <v>42705</v>
      </c>
      <c r="F27">
        <f t="shared" si="0"/>
        <v>2017</v>
      </c>
      <c r="G27">
        <v>135</v>
      </c>
      <c r="H27" s="7">
        <f t="shared" si="1"/>
        <v>352.70197869101975</v>
      </c>
    </row>
    <row r="28" spans="1:8" x14ac:dyDescent="0.25">
      <c r="E28" s="1">
        <v>42795</v>
      </c>
      <c r="F28">
        <f t="shared" si="0"/>
        <v>2017</v>
      </c>
      <c r="G28">
        <v>137</v>
      </c>
      <c r="H28" s="7">
        <f t="shared" si="1"/>
        <v>347.55304469553039</v>
      </c>
    </row>
    <row r="29" spans="1:8" x14ac:dyDescent="0.25">
      <c r="E29" s="1">
        <v>42887</v>
      </c>
      <c r="F29">
        <f t="shared" si="0"/>
        <v>2017</v>
      </c>
      <c r="G29">
        <v>139</v>
      </c>
      <c r="H29" s="7">
        <f t="shared" si="1"/>
        <v>342.55228146250118</v>
      </c>
    </row>
    <row r="30" spans="1:8" x14ac:dyDescent="0.25">
      <c r="E30" s="1">
        <v>42979</v>
      </c>
      <c r="F30">
        <f t="shared" si="0"/>
        <v>2018</v>
      </c>
      <c r="G30">
        <v>142</v>
      </c>
      <c r="H30" s="7">
        <f t="shared" si="1"/>
        <v>344.14393208566457</v>
      </c>
    </row>
    <row r="31" spans="1:8" x14ac:dyDescent="0.25">
      <c r="E31" s="1">
        <v>43070</v>
      </c>
      <c r="F31">
        <f t="shared" si="0"/>
        <v>2018</v>
      </c>
      <c r="G31">
        <v>146</v>
      </c>
      <c r="H31" s="7">
        <f t="shared" si="1"/>
        <v>334.7153312066053</v>
      </c>
    </row>
    <row r="32" spans="1:8" x14ac:dyDescent="0.25">
      <c r="E32" s="1">
        <v>43160</v>
      </c>
      <c r="F32">
        <f t="shared" si="0"/>
        <v>2018</v>
      </c>
      <c r="G32">
        <v>144</v>
      </c>
      <c r="H32" s="7">
        <f t="shared" si="1"/>
        <v>339.36415525114148</v>
      </c>
    </row>
    <row r="33" spans="5:8" x14ac:dyDescent="0.25">
      <c r="E33" s="1">
        <v>43252</v>
      </c>
      <c r="F33">
        <f t="shared" si="0"/>
        <v>2018</v>
      </c>
      <c r="G33">
        <v>145</v>
      </c>
      <c r="H33" s="7">
        <f t="shared" si="1"/>
        <v>337.02371280113363</v>
      </c>
    </row>
    <row r="34" spans="5:8" x14ac:dyDescent="0.25">
      <c r="E34" s="1">
        <v>43344</v>
      </c>
      <c r="F34">
        <f t="shared" si="0"/>
        <v>2019</v>
      </c>
      <c r="G34">
        <v>145</v>
      </c>
      <c r="H34" s="7">
        <f t="shared" si="1"/>
        <v>349.68918280585734</v>
      </c>
    </row>
    <row r="35" spans="5:8" x14ac:dyDescent="0.25">
      <c r="E35" s="1">
        <v>43435</v>
      </c>
      <c r="F35">
        <f t="shared" si="0"/>
        <v>2019</v>
      </c>
      <c r="G35">
        <v>147</v>
      </c>
      <c r="H35" s="7">
        <f t="shared" si="1"/>
        <v>344.93150684931499</v>
      </c>
    </row>
    <row r="36" spans="5:8" x14ac:dyDescent="0.25">
      <c r="E36" s="1">
        <v>43525</v>
      </c>
      <c r="F36">
        <f t="shared" si="0"/>
        <v>2019</v>
      </c>
      <c r="G36">
        <v>146</v>
      </c>
      <c r="H36" s="7">
        <f t="shared" si="1"/>
        <v>347.29405141677609</v>
      </c>
    </row>
    <row r="37" spans="5:8" x14ac:dyDescent="0.25">
      <c r="E37" s="1">
        <v>43617</v>
      </c>
      <c r="F37">
        <f t="shared" si="0"/>
        <v>2019</v>
      </c>
      <c r="G37">
        <v>147</v>
      </c>
      <c r="H37" s="7">
        <f t="shared" si="1"/>
        <v>344.93150684931499</v>
      </c>
    </row>
    <row r="38" spans="5:8" x14ac:dyDescent="0.25">
      <c r="E38" s="1">
        <v>43709</v>
      </c>
      <c r="F38">
        <f t="shared" si="0"/>
        <v>2020</v>
      </c>
      <c r="G38">
        <v>146</v>
      </c>
      <c r="H38" s="7">
        <f t="shared" si="1"/>
        <v>365.04297241508721</v>
      </c>
    </row>
    <row r="39" spans="5:8" x14ac:dyDescent="0.25">
      <c r="E39" s="1">
        <v>43800</v>
      </c>
      <c r="F39">
        <f t="shared" si="0"/>
        <v>2020</v>
      </c>
      <c r="G39">
        <v>144</v>
      </c>
      <c r="H39" s="7">
        <f t="shared" si="1"/>
        <v>370.11301369863008</v>
      </c>
    </row>
    <row r="40" spans="5:8" x14ac:dyDescent="0.25">
      <c r="E40" s="1">
        <v>43891</v>
      </c>
      <c r="F40">
        <f t="shared" si="0"/>
        <v>2020</v>
      </c>
      <c r="G40">
        <v>146</v>
      </c>
      <c r="H40" s="7">
        <f t="shared" si="1"/>
        <v>365.04297241508721</v>
      </c>
    </row>
    <row r="41" spans="5:8" x14ac:dyDescent="0.25">
      <c r="E41" s="1">
        <v>43983</v>
      </c>
      <c r="F41">
        <f t="shared" si="0"/>
        <v>2020</v>
      </c>
      <c r="G41">
        <v>152</v>
      </c>
      <c r="H41" s="7">
        <f t="shared" si="1"/>
        <v>350.63338139870223</v>
      </c>
    </row>
    <row r="42" spans="5:8" x14ac:dyDescent="0.25">
      <c r="E42" s="1">
        <v>44075</v>
      </c>
      <c r="F42">
        <f t="shared" si="0"/>
        <v>2021</v>
      </c>
      <c r="G42">
        <v>144</v>
      </c>
      <c r="H42" s="7">
        <f t="shared" si="1"/>
        <v>383.59360730593602</v>
      </c>
    </row>
    <row r="43" spans="5:8" x14ac:dyDescent="0.25">
      <c r="E43" s="1">
        <v>44166</v>
      </c>
      <c r="F43">
        <f t="shared" si="0"/>
        <v>2021</v>
      </c>
      <c r="G43">
        <v>136</v>
      </c>
      <c r="H43" s="7">
        <f t="shared" si="1"/>
        <v>406.15793714746172</v>
      </c>
    </row>
    <row r="44" spans="5:8" x14ac:dyDescent="0.25">
      <c r="E44" s="1">
        <v>44256</v>
      </c>
      <c r="F44">
        <f t="shared" si="0"/>
        <v>2021</v>
      </c>
      <c r="G44">
        <v>134</v>
      </c>
      <c r="H44" s="7">
        <f t="shared" si="1"/>
        <v>412.21999591085665</v>
      </c>
    </row>
    <row r="45" spans="5:8" x14ac:dyDescent="0.25">
      <c r="E45" s="1">
        <v>44348</v>
      </c>
      <c r="F45">
        <f t="shared" si="0"/>
        <v>2021</v>
      </c>
      <c r="G45">
        <v>132</v>
      </c>
      <c r="H45" s="7">
        <f t="shared" si="1"/>
        <v>418.46575342465746</v>
      </c>
    </row>
    <row r="46" spans="5:8" x14ac:dyDescent="0.25">
      <c r="E46" s="1">
        <v>44440</v>
      </c>
      <c r="F46">
        <f t="shared" si="0"/>
        <v>2022</v>
      </c>
      <c r="G46">
        <v>130</v>
      </c>
      <c r="H46" s="7">
        <f t="shared" si="1"/>
        <v>435.799789251844</v>
      </c>
    </row>
    <row r="47" spans="5:8" x14ac:dyDescent="0.25">
      <c r="E47" s="1">
        <v>44531</v>
      </c>
      <c r="F47">
        <f t="shared" si="0"/>
        <v>2022</v>
      </c>
      <c r="G47">
        <v>129</v>
      </c>
      <c r="H47" s="7">
        <f t="shared" si="1"/>
        <v>439.17808219178079</v>
      </c>
    </row>
    <row r="48" spans="5:8" x14ac:dyDescent="0.25">
      <c r="E48" s="1">
        <v>44621</v>
      </c>
      <c r="F48">
        <f t="shared" si="0"/>
        <v>2022</v>
      </c>
      <c r="G48">
        <v>128</v>
      </c>
      <c r="H48" s="7">
        <f t="shared" si="1"/>
        <v>442.60916095890406</v>
      </c>
    </row>
    <row r="49" spans="5:8" x14ac:dyDescent="0.25">
      <c r="E49" s="1">
        <v>44713</v>
      </c>
      <c r="F49">
        <f t="shared" si="0"/>
        <v>2022</v>
      </c>
      <c r="G49">
        <v>124</v>
      </c>
      <c r="H49" s="7">
        <f t="shared" si="1"/>
        <v>456.88687582854607</v>
      </c>
    </row>
    <row r="50" spans="5:8" x14ac:dyDescent="0.25">
      <c r="E50" s="1">
        <v>44805</v>
      </c>
      <c r="F50">
        <f t="shared" si="0"/>
        <v>2023</v>
      </c>
      <c r="G50">
        <v>122</v>
      </c>
      <c r="H50" s="7">
        <f t="shared" si="1"/>
        <v>489.5362676847069</v>
      </c>
    </row>
    <row r="51" spans="5:8" x14ac:dyDescent="0.25">
      <c r="E51" s="1">
        <v>44896</v>
      </c>
      <c r="F51">
        <f t="shared" si="0"/>
        <v>2023</v>
      </c>
      <c r="G51">
        <v>119</v>
      </c>
      <c r="H51" s="7">
        <f t="shared" si="1"/>
        <v>501.87751813053984</v>
      </c>
    </row>
    <row r="52" spans="5:8" x14ac:dyDescent="0.25">
      <c r="E52" s="1">
        <v>44986</v>
      </c>
      <c r="F52">
        <f t="shared" si="0"/>
        <v>2023</v>
      </c>
      <c r="G52">
        <v>115</v>
      </c>
      <c r="H52" s="7">
        <f t="shared" si="1"/>
        <v>519.33412745681949</v>
      </c>
    </row>
    <row r="53" spans="5:8" x14ac:dyDescent="0.25">
      <c r="E53" s="1">
        <v>45078</v>
      </c>
      <c r="F53">
        <f t="shared" si="0"/>
        <v>2023</v>
      </c>
      <c r="G53">
        <v>112</v>
      </c>
      <c r="H53" s="7">
        <f t="shared" si="1"/>
        <v>533.24486301369859</v>
      </c>
    </row>
    <row r="54" spans="5:8" x14ac:dyDescent="0.25">
      <c r="E54" s="1">
        <v>45170</v>
      </c>
      <c r="F54">
        <f t="shared" si="0"/>
        <v>2024</v>
      </c>
      <c r="G54">
        <v>109</v>
      </c>
      <c r="H54" s="7">
        <f t="shared" si="1"/>
        <v>563.0596958652759</v>
      </c>
    </row>
    <row r="55" spans="5:8" x14ac:dyDescent="0.25">
      <c r="E55" s="1">
        <v>45261</v>
      </c>
      <c r="F55">
        <f t="shared" si="0"/>
        <v>2024</v>
      </c>
      <c r="G55">
        <v>105</v>
      </c>
      <c r="H55" s="7">
        <f t="shared" si="1"/>
        <v>584.50958904109586</v>
      </c>
    </row>
    <row r="56" spans="5:8" x14ac:dyDescent="0.25">
      <c r="E56" s="1">
        <v>45352</v>
      </c>
      <c r="F56">
        <f t="shared" si="0"/>
        <v>2024</v>
      </c>
      <c r="G56">
        <v>101</v>
      </c>
      <c r="H56" s="7">
        <f t="shared" si="1"/>
        <v>607.65848365658485</v>
      </c>
    </row>
    <row r="57" spans="5:8" x14ac:dyDescent="0.25">
      <c r="E57" s="1">
        <v>45444</v>
      </c>
      <c r="F57">
        <f t="shared" si="0"/>
        <v>2024</v>
      </c>
      <c r="G57">
        <v>98</v>
      </c>
      <c r="H57" s="7">
        <f t="shared" si="1"/>
        <v>626.2602739726027</v>
      </c>
    </row>
    <row r="58" spans="5:8" x14ac:dyDescent="0.25">
      <c r="E58" s="1">
        <v>45536</v>
      </c>
      <c r="F58">
        <f t="shared" si="0"/>
        <v>2025</v>
      </c>
      <c r="G58">
        <v>98</v>
      </c>
      <c r="H58" s="7">
        <f t="shared" si="1"/>
        <v>648.41682974559683</v>
      </c>
    </row>
    <row r="59" spans="5:8" x14ac:dyDescent="0.25">
      <c r="E59" s="1">
        <v>45627</v>
      </c>
      <c r="F59">
        <f t="shared" si="0"/>
        <v>2025</v>
      </c>
      <c r="G59">
        <v>96</v>
      </c>
      <c r="H59" s="7">
        <f t="shared" si="1"/>
        <v>661.92551369863008</v>
      </c>
    </row>
    <row r="60" spans="5:8" x14ac:dyDescent="0.25">
      <c r="E60" s="1">
        <v>45717</v>
      </c>
      <c r="F60">
        <f t="shared" si="0"/>
        <v>2025</v>
      </c>
      <c r="G60">
        <v>97</v>
      </c>
      <c r="H60" s="7">
        <f t="shared" si="1"/>
        <v>655.10153933060292</v>
      </c>
    </row>
    <row r="61" spans="5:8" x14ac:dyDescent="0.25">
      <c r="E61" s="1">
        <v>45809</v>
      </c>
      <c r="F61">
        <f t="shared" si="0"/>
        <v>2025</v>
      </c>
      <c r="G61">
        <v>94</v>
      </c>
      <c r="H61" s="7">
        <f t="shared" si="1"/>
        <v>676.00903526668594</v>
      </c>
    </row>
    <row r="62" spans="5:8" x14ac:dyDescent="0.25">
      <c r="E62" s="1">
        <v>45901</v>
      </c>
      <c r="F62">
        <f t="shared" si="0"/>
        <v>2026</v>
      </c>
      <c r="H62" s="7" t="e">
        <f t="shared" si="1"/>
        <v>#DIV/0!</v>
      </c>
    </row>
    <row r="63" spans="5:8" x14ac:dyDescent="0.25">
      <c r="E63" s="1">
        <v>45992</v>
      </c>
      <c r="F63">
        <f t="shared" si="0"/>
        <v>2026</v>
      </c>
      <c r="H63" s="7" t="e">
        <f t="shared" si="1"/>
        <v>#DIV/0!</v>
      </c>
    </row>
  </sheetData>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BCA0-5908-4EE1-ACBF-E7CDDB3A6635}">
  <sheetPr>
    <tabColor rgb="FFFF0000"/>
  </sheetPr>
  <dimension ref="A1:E8"/>
  <sheetViews>
    <sheetView workbookViewId="0">
      <selection activeCell="F8" sqref="F8"/>
    </sheetView>
  </sheetViews>
  <sheetFormatPr defaultRowHeight="15" x14ac:dyDescent="0.25"/>
  <cols>
    <col min="1" max="1" width="21.140625" customWidth="1"/>
    <col min="2" max="5" width="11.7109375" customWidth="1"/>
  </cols>
  <sheetData>
    <row r="1" spans="1:5" x14ac:dyDescent="0.25">
      <c r="B1" s="1">
        <v>38961</v>
      </c>
      <c r="C1" s="1">
        <v>40787</v>
      </c>
      <c r="D1" s="1">
        <v>42614</v>
      </c>
      <c r="E1" s="1">
        <v>44440</v>
      </c>
    </row>
    <row r="2" spans="1:5" x14ac:dyDescent="0.25">
      <c r="A2" t="s">
        <v>659</v>
      </c>
      <c r="B2" t="s">
        <v>660</v>
      </c>
      <c r="C2" t="s">
        <v>661</v>
      </c>
      <c r="D2" t="s">
        <v>662</v>
      </c>
      <c r="E2" t="s">
        <v>663</v>
      </c>
    </row>
    <row r="3" spans="1:5" x14ac:dyDescent="0.25">
      <c r="A3" t="s">
        <v>664</v>
      </c>
    </row>
    <row r="4" spans="1:5" x14ac:dyDescent="0.25">
      <c r="A4" t="s">
        <v>665</v>
      </c>
      <c r="B4">
        <f>_xlfn.NUMBERVALUE(MID(B2,FIND("$",B2)+1,3))</f>
        <v>160</v>
      </c>
      <c r="C4">
        <f t="shared" ref="C4:E4" si="0">_xlfn.NUMBERVALUE(MID(C2,FIND("$",C2)+1,3))</f>
        <v>300</v>
      </c>
      <c r="D4">
        <f t="shared" si="0"/>
        <v>350</v>
      </c>
      <c r="E4">
        <f t="shared" si="0"/>
        <v>325</v>
      </c>
    </row>
    <row r="5" spans="1:5" x14ac:dyDescent="0.25">
      <c r="A5" t="s">
        <v>666</v>
      </c>
      <c r="B5" s="45">
        <f>_xlfn.NUMBERVALUE(RIGHT(B2,3))</f>
        <v>179</v>
      </c>
      <c r="C5" s="45">
        <f t="shared" ref="C5:E5" si="1">_xlfn.NUMBERVALUE(RIGHT(C2,3))</f>
        <v>324</v>
      </c>
      <c r="D5">
        <f t="shared" si="1"/>
        <v>374</v>
      </c>
      <c r="E5" s="45">
        <f t="shared" si="1"/>
        <v>349</v>
      </c>
    </row>
    <row r="6" spans="1:5" x14ac:dyDescent="0.25">
      <c r="A6" t="s">
        <v>641</v>
      </c>
      <c r="B6" t="e">
        <f>_xlfn.XLOOKUP(B1,'rai-values'!$E:$E,'rai-values'!$H:$H)</f>
        <v>#N/A</v>
      </c>
      <c r="C6" s="7">
        <f>_xlfn.XLOOKUP(C1,'rai-values'!$E:$E,'rai-values'!$H:$H)</f>
        <v>385.13722248464802</v>
      </c>
      <c r="D6" s="7">
        <f>_xlfn.XLOOKUP(D1,'rai-values'!$E:$E,'rai-values'!$H:$H)</f>
        <v>363.47150475792114</v>
      </c>
      <c r="E6" s="7">
        <f>_xlfn.XLOOKUP(E1,'rai-values'!$E:$E,'rai-values'!$H:$H)</f>
        <v>435.799789251844</v>
      </c>
    </row>
    <row r="7" spans="1:5" x14ac:dyDescent="0.25">
      <c r="A7" t="s">
        <v>667</v>
      </c>
      <c r="B7" t="e">
        <f t="shared" ref="B7:E8" si="2">B4/B$6</f>
        <v>#N/A</v>
      </c>
      <c r="C7" s="7">
        <f t="shared" si="2"/>
        <v>0.77894314671690379</v>
      </c>
      <c r="D7" s="7">
        <f t="shared" si="2"/>
        <v>0.96293655876299455</v>
      </c>
      <c r="E7" s="7">
        <f t="shared" si="2"/>
        <v>0.74575529409488994</v>
      </c>
    </row>
    <row r="8" spans="1:5" x14ac:dyDescent="0.25">
      <c r="A8" t="s">
        <v>668</v>
      </c>
      <c r="B8" t="e">
        <f t="shared" si="2"/>
        <v>#N/A</v>
      </c>
      <c r="C8" s="7">
        <f t="shared" si="2"/>
        <v>0.8412585984542561</v>
      </c>
      <c r="D8" s="7">
        <f t="shared" si="2"/>
        <v>1.0289664942210286</v>
      </c>
      <c r="E8" s="7">
        <f t="shared" si="2"/>
        <v>0.80082645427420496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L109"/>
  <sheetViews>
    <sheetView workbookViewId="0">
      <pane ySplit="1" topLeftCell="A58" activePane="bottomLeft" state="frozen"/>
      <selection pane="bottomLeft" activeCell="L14" sqref="L14"/>
    </sheetView>
  </sheetViews>
  <sheetFormatPr defaultRowHeight="15" x14ac:dyDescent="0.25"/>
  <cols>
    <col min="1" max="1" width="33.42578125" bestFit="1" customWidth="1"/>
    <col min="5" max="5" width="11" bestFit="1" customWidth="1"/>
  </cols>
  <sheetData>
    <row r="1" spans="1:12" x14ac:dyDescent="0.25">
      <c r="A1" t="s">
        <v>6</v>
      </c>
      <c r="B1" s="1" t="s">
        <v>1</v>
      </c>
      <c r="C1" t="s">
        <v>655</v>
      </c>
      <c r="D1" s="1" t="s">
        <v>633</v>
      </c>
      <c r="E1" s="5" t="s">
        <v>634</v>
      </c>
      <c r="F1" t="s">
        <v>636</v>
      </c>
      <c r="G1" t="s">
        <v>637</v>
      </c>
      <c r="H1" t="s">
        <v>638</v>
      </c>
      <c r="I1" t="s">
        <v>670</v>
      </c>
      <c r="J1" s="6" t="s">
        <v>671</v>
      </c>
      <c r="K1" s="6" t="s">
        <v>639</v>
      </c>
      <c r="L1" s="6" t="s">
        <v>640</v>
      </c>
    </row>
    <row r="2" spans="1:12" x14ac:dyDescent="0.25">
      <c r="A2" t="s">
        <v>3</v>
      </c>
      <c r="B2" s="1">
        <v>38777</v>
      </c>
      <c r="C2">
        <v>2006</v>
      </c>
      <c r="D2" s="23">
        <f>MONTH(B2)</f>
        <v>3</v>
      </c>
      <c r="E2" cm="1">
        <f t="array" ref="E2">_xlfn.XLOOKUP(TRUE,ISNUMBER(F2:I2),F2:I2)</f>
        <v>268.14077025232405</v>
      </c>
      <c r="H2" s="1"/>
      <c r="I2">
        <f t="shared" ref="I2:I6" si="0">$G$8*(J2/$J$8)</f>
        <v>268.14077025232405</v>
      </c>
      <c r="J2">
        <v>66.2</v>
      </c>
      <c r="K2">
        <v>72.900000000000006</v>
      </c>
    </row>
    <row r="3" spans="1:12" x14ac:dyDescent="0.25">
      <c r="A3" t="s">
        <v>0</v>
      </c>
      <c r="B3" s="1">
        <v>38869</v>
      </c>
      <c r="C3">
        <v>2006</v>
      </c>
      <c r="D3" s="23">
        <f>MONTH(B3)</f>
        <v>6</v>
      </c>
      <c r="E3" cm="1">
        <f t="array" ref="E3">_xlfn.XLOOKUP(TRUE,ISNUMBER(F3:I3),F3:I3)</f>
        <v>272.59628154050466</v>
      </c>
      <c r="I3">
        <f t="shared" si="0"/>
        <v>272.59628154050466</v>
      </c>
      <c r="J3">
        <v>67.3</v>
      </c>
      <c r="K3">
        <v>73.5</v>
      </c>
    </row>
    <row r="4" spans="1:12" x14ac:dyDescent="0.25">
      <c r="B4" s="1">
        <v>38961</v>
      </c>
      <c r="C4">
        <v>2007</v>
      </c>
      <c r="D4" s="23">
        <f>MONTH(B4)</f>
        <v>9</v>
      </c>
      <c r="E4" cm="1">
        <f t="array" ref="E4">_xlfn.XLOOKUP(TRUE,ISNUMBER(F4:I4),F4:I4)</f>
        <v>278.26693227091636</v>
      </c>
      <c r="I4">
        <f t="shared" si="0"/>
        <v>278.26693227091636</v>
      </c>
      <c r="J4">
        <v>68.7</v>
      </c>
      <c r="K4">
        <v>74.3</v>
      </c>
      <c r="L4">
        <v>179</v>
      </c>
    </row>
    <row r="5" spans="1:12" x14ac:dyDescent="0.25">
      <c r="B5" s="1">
        <v>39052</v>
      </c>
      <c r="C5">
        <v>2007</v>
      </c>
      <c r="D5" s="23">
        <f>MONTH(B5)</f>
        <v>12</v>
      </c>
      <c r="E5" cm="1">
        <f t="array" ref="E5">_xlfn.XLOOKUP(TRUE,ISNUMBER(F5:I5),F5:I5)</f>
        <v>283.12749003984067</v>
      </c>
      <c r="I5">
        <f t="shared" si="0"/>
        <v>283.12749003984067</v>
      </c>
      <c r="J5">
        <v>69.900000000000006</v>
      </c>
      <c r="K5">
        <v>75</v>
      </c>
    </row>
    <row r="6" spans="1:12" x14ac:dyDescent="0.25">
      <c r="B6" s="1">
        <v>39142</v>
      </c>
      <c r="C6">
        <v>2007</v>
      </c>
      <c r="D6" s="23">
        <f t="shared" ref="D6:D37" si="1">MONTH(B6)</f>
        <v>3</v>
      </c>
      <c r="E6" cm="1">
        <f t="array" ref="E6">_xlfn.XLOOKUP(TRUE,ISNUMBER(F6:I6),F6:I6)</f>
        <v>290.41832669322713</v>
      </c>
      <c r="I6">
        <f t="shared" si="0"/>
        <v>290.41832669322713</v>
      </c>
      <c r="J6">
        <v>71.7</v>
      </c>
      <c r="K6">
        <v>76.099999999999994</v>
      </c>
    </row>
    <row r="7" spans="1:12" x14ac:dyDescent="0.25">
      <c r="B7" s="1">
        <v>39234</v>
      </c>
      <c r="C7">
        <v>2007</v>
      </c>
      <c r="D7" s="23">
        <f t="shared" si="1"/>
        <v>6</v>
      </c>
      <c r="E7" cm="1">
        <f t="array" ref="E7">_xlfn.XLOOKUP(TRUE,ISNUMBER(F7:I7),F7:I7)</f>
        <v>298.92430278884461</v>
      </c>
      <c r="I7">
        <f>$G$8*(J7/$J$8)</f>
        <v>298.92430278884461</v>
      </c>
      <c r="J7">
        <v>73.8</v>
      </c>
      <c r="K7">
        <v>77.3</v>
      </c>
    </row>
    <row r="8" spans="1:12" x14ac:dyDescent="0.25">
      <c r="B8" s="1">
        <v>39326</v>
      </c>
      <c r="C8">
        <v>2008</v>
      </c>
      <c r="D8" s="23">
        <f t="shared" si="1"/>
        <v>9</v>
      </c>
      <c r="E8" cm="1">
        <f t="array" ref="E8">_xlfn.XLOOKUP(TRUE,ISNUMBER(F8:I8),F8:I8)</f>
        <v>305</v>
      </c>
      <c r="G8" s="45">
        <f>_xlfn.XLOOKUP(C8,'Ableson and Joyeux 2023'!A:A,'Ableson and Joyeux 2023'!C:C)</f>
        <v>305</v>
      </c>
      <c r="J8">
        <v>75.3</v>
      </c>
      <c r="K8">
        <v>78.599999999999994</v>
      </c>
    </row>
    <row r="9" spans="1:12" x14ac:dyDescent="0.25">
      <c r="B9" s="1">
        <v>39417</v>
      </c>
      <c r="C9">
        <v>2008</v>
      </c>
      <c r="D9" s="23">
        <f t="shared" si="1"/>
        <v>12</v>
      </c>
      <c r="E9" cm="1">
        <f t="array" ref="E9">_xlfn.XLOOKUP(TRUE,ISNUMBER(F9:I9),F9:I9)</f>
        <v>305</v>
      </c>
      <c r="G9" s="45">
        <f>_xlfn.XLOOKUP(C9,'Ableson and Joyeux 2023'!A:A,'Ableson and Joyeux 2023'!C:C)</f>
        <v>305</v>
      </c>
      <c r="J9">
        <v>77.7</v>
      </c>
      <c r="K9">
        <v>80</v>
      </c>
    </row>
    <row r="10" spans="1:12" x14ac:dyDescent="0.25">
      <c r="B10" s="1">
        <v>39508</v>
      </c>
      <c r="C10">
        <v>2008</v>
      </c>
      <c r="D10" s="23">
        <f t="shared" si="1"/>
        <v>3</v>
      </c>
      <c r="E10" cm="1">
        <f t="array" ref="E10">_xlfn.XLOOKUP(TRUE,ISNUMBER(F10:I10),F10:I10)</f>
        <v>305</v>
      </c>
      <c r="G10" s="45">
        <f>_xlfn.XLOOKUP(C10,'Ableson and Joyeux 2023'!A:A,'Ableson and Joyeux 2023'!C:C)</f>
        <v>305</v>
      </c>
      <c r="J10">
        <v>80.3</v>
      </c>
      <c r="K10">
        <v>81.400000000000006</v>
      </c>
    </row>
    <row r="11" spans="1:12" x14ac:dyDescent="0.25">
      <c r="B11" s="1">
        <v>39600</v>
      </c>
      <c r="C11">
        <v>2008</v>
      </c>
      <c r="D11" s="23">
        <f t="shared" si="1"/>
        <v>6</v>
      </c>
      <c r="E11" cm="1">
        <f t="array" ref="E11">_xlfn.XLOOKUP(TRUE,ISNUMBER(F11:I11),F11:I11)</f>
        <v>305</v>
      </c>
      <c r="G11" s="45">
        <f>_xlfn.XLOOKUP(C11,'Ableson and Joyeux 2023'!A:A,'Ableson and Joyeux 2023'!C:C)</f>
        <v>305</v>
      </c>
      <c r="J11">
        <v>83</v>
      </c>
      <c r="K11">
        <v>83.3</v>
      </c>
    </row>
    <row r="12" spans="1:12" x14ac:dyDescent="0.25">
      <c r="B12" s="1">
        <v>39692</v>
      </c>
      <c r="C12">
        <v>2009</v>
      </c>
      <c r="D12" s="23">
        <f t="shared" si="1"/>
        <v>9</v>
      </c>
      <c r="E12" cm="1">
        <f t="array" ref="E12">_xlfn.XLOOKUP(TRUE,ISNUMBER(F12:I12),F12:I12)</f>
        <v>327.45633187772927</v>
      </c>
      <c r="I12">
        <f t="shared" ref="I12:I14" si="2">$G$16*(J12/$J$16)</f>
        <v>327.45633187772927</v>
      </c>
      <c r="J12">
        <v>85.7</v>
      </c>
      <c r="K12">
        <v>85</v>
      </c>
    </row>
    <row r="13" spans="1:12" x14ac:dyDescent="0.25">
      <c r="B13" s="1">
        <v>39783</v>
      </c>
      <c r="C13">
        <v>2009</v>
      </c>
      <c r="D13" s="23">
        <f t="shared" si="1"/>
        <v>12</v>
      </c>
      <c r="E13" cm="1">
        <f t="array" ref="E13">_xlfn.XLOOKUP(TRUE,ISNUMBER(F13:I13),F13:I13)</f>
        <v>333.18777292576425</v>
      </c>
      <c r="I13">
        <f t="shared" si="2"/>
        <v>333.18777292576425</v>
      </c>
      <c r="J13">
        <v>87.2</v>
      </c>
      <c r="K13">
        <v>86.7</v>
      </c>
    </row>
    <row r="14" spans="1:12" x14ac:dyDescent="0.25">
      <c r="B14" s="1">
        <v>39873</v>
      </c>
      <c r="C14">
        <v>2009</v>
      </c>
      <c r="D14" s="23">
        <f t="shared" si="1"/>
        <v>3</v>
      </c>
      <c r="E14" cm="1">
        <f t="array" ref="E14">_xlfn.XLOOKUP(TRUE,ISNUMBER(F14:I14),F14:I14)</f>
        <v>340.44759825327509</v>
      </c>
      <c r="I14">
        <f t="shared" si="2"/>
        <v>340.44759825327509</v>
      </c>
      <c r="J14">
        <v>89.1</v>
      </c>
      <c r="K14">
        <v>88</v>
      </c>
    </row>
    <row r="15" spans="1:12" x14ac:dyDescent="0.25">
      <c r="B15" s="1">
        <v>39965</v>
      </c>
      <c r="C15">
        <v>2009</v>
      </c>
      <c r="D15" s="23">
        <f t="shared" si="1"/>
        <v>6</v>
      </c>
      <c r="E15" cm="1">
        <f t="array" ref="E15">_xlfn.XLOOKUP(TRUE,ISNUMBER(F15:I15),F15:I15)</f>
        <v>346.56113537117909</v>
      </c>
      <c r="I15">
        <f>$G$16*(J15/$J$16)</f>
        <v>346.56113537117909</v>
      </c>
      <c r="J15">
        <v>90.7</v>
      </c>
      <c r="K15">
        <v>89.3</v>
      </c>
    </row>
    <row r="16" spans="1:12" x14ac:dyDescent="0.25">
      <c r="B16" s="1">
        <v>40057</v>
      </c>
      <c r="C16">
        <v>2010</v>
      </c>
      <c r="D16" s="23">
        <f t="shared" si="1"/>
        <v>9</v>
      </c>
      <c r="E16" cm="1">
        <f t="array" ref="E16">_xlfn.XLOOKUP(TRUE,ISNUMBER(F16:I16),F16:I16)</f>
        <v>350</v>
      </c>
      <c r="G16" s="45">
        <f>_xlfn.XLOOKUP(C16,'Ableson and Joyeux 2023'!A:A,'Ableson and Joyeux 2023'!C:C)</f>
        <v>350</v>
      </c>
      <c r="J16">
        <v>91.6</v>
      </c>
      <c r="K16">
        <v>90.3</v>
      </c>
    </row>
    <row r="17" spans="2:12" x14ac:dyDescent="0.25">
      <c r="B17" s="1">
        <v>40148</v>
      </c>
      <c r="C17">
        <v>2010</v>
      </c>
      <c r="D17" s="23">
        <f t="shared" si="1"/>
        <v>12</v>
      </c>
      <c r="E17" cm="1">
        <f t="array" ref="E17">_xlfn.XLOOKUP(TRUE,ISNUMBER(F17:I17),F17:I17)</f>
        <v>350</v>
      </c>
      <c r="G17" s="45">
        <f>_xlfn.XLOOKUP(C17,'Ableson and Joyeux 2023'!A:A,'Ableson and Joyeux 2023'!C:C)</f>
        <v>350</v>
      </c>
      <c r="J17">
        <v>92.4</v>
      </c>
      <c r="K17">
        <v>91.2</v>
      </c>
    </row>
    <row r="18" spans="2:12" x14ac:dyDescent="0.25">
      <c r="B18" s="1">
        <v>40238</v>
      </c>
      <c r="C18">
        <v>2010</v>
      </c>
      <c r="D18" s="23">
        <f t="shared" si="1"/>
        <v>3</v>
      </c>
      <c r="E18" cm="1">
        <f t="array" ref="E18">_xlfn.XLOOKUP(TRUE,ISNUMBER(F18:I18),F18:I18)</f>
        <v>350</v>
      </c>
      <c r="G18" s="45">
        <f>_xlfn.XLOOKUP(C18,'Ableson and Joyeux 2023'!A:A,'Ableson and Joyeux 2023'!C:C)</f>
        <v>350</v>
      </c>
      <c r="J18">
        <v>93.1</v>
      </c>
      <c r="K18">
        <v>92.1</v>
      </c>
    </row>
    <row r="19" spans="2:12" x14ac:dyDescent="0.25">
      <c r="B19" s="1">
        <v>40330</v>
      </c>
      <c r="C19">
        <v>2010</v>
      </c>
      <c r="D19" s="23">
        <f t="shared" si="1"/>
        <v>6</v>
      </c>
      <c r="E19" cm="1">
        <f t="array" ref="E19">_xlfn.XLOOKUP(TRUE,ISNUMBER(F19:I19),F19:I19)</f>
        <v>350</v>
      </c>
      <c r="G19" s="45">
        <f>_xlfn.XLOOKUP(C19,'Ableson and Joyeux 2023'!A:A,'Ableson and Joyeux 2023'!C:C)</f>
        <v>350</v>
      </c>
      <c r="J19">
        <v>93.9</v>
      </c>
      <c r="K19">
        <v>93</v>
      </c>
    </row>
    <row r="20" spans="2:12" x14ac:dyDescent="0.25">
      <c r="B20" s="1">
        <v>40422</v>
      </c>
      <c r="C20">
        <v>2011</v>
      </c>
      <c r="D20" s="23">
        <f t="shared" si="1"/>
        <v>9</v>
      </c>
      <c r="E20" cm="1">
        <f t="array" ref="E20">_xlfn.XLOOKUP(TRUE,ISNUMBER(F20:I20),F20:I20)</f>
        <v>351.84207392661631</v>
      </c>
      <c r="I20">
        <f>$H$22*(J20/$J$22)</f>
        <v>351.84207392661631</v>
      </c>
      <c r="J20">
        <v>94.9</v>
      </c>
      <c r="K20">
        <v>94.1</v>
      </c>
    </row>
    <row r="21" spans="2:12" x14ac:dyDescent="0.25">
      <c r="B21" s="1">
        <v>40513</v>
      </c>
      <c r="C21">
        <v>2011</v>
      </c>
      <c r="D21" s="23">
        <f t="shared" si="1"/>
        <v>12</v>
      </c>
      <c r="E21" cm="1">
        <f t="array" ref="E21">_xlfn.XLOOKUP(TRUE,ISNUMBER(F21:I21),F21:I21)</f>
        <v>354.06657597462436</v>
      </c>
      <c r="I21">
        <f>$H$22*(J21/$J$22)</f>
        <v>354.06657597462436</v>
      </c>
      <c r="J21">
        <v>95.5</v>
      </c>
      <c r="K21">
        <v>95.1</v>
      </c>
    </row>
    <row r="22" spans="2:12" x14ac:dyDescent="0.25">
      <c r="B22" s="1">
        <v>40603</v>
      </c>
      <c r="C22">
        <v>2011</v>
      </c>
      <c r="D22" s="23">
        <f t="shared" si="1"/>
        <v>3</v>
      </c>
      <c r="E22" cm="1">
        <f t="array" ref="E22">_xlfn.XLOOKUP(TRUE,ISNUMBER(F22:I22),F22:I22)</f>
        <v>356.29107802263246</v>
      </c>
      <c r="H22" s="7">
        <f>_xlfn.XLOOKUP(B22,'rai-values'!E:E,'rai-values'!H:H)*0.95</f>
        <v>356.29107802263246</v>
      </c>
      <c r="J22">
        <v>96.1</v>
      </c>
      <c r="K22">
        <v>96.2</v>
      </c>
    </row>
    <row r="23" spans="2:12" x14ac:dyDescent="0.25">
      <c r="B23" s="1">
        <v>40695</v>
      </c>
      <c r="C23">
        <v>2011</v>
      </c>
      <c r="D23" s="23">
        <f t="shared" si="1"/>
        <v>6</v>
      </c>
      <c r="E23" cm="1">
        <f t="array" ref="E23">_xlfn.XLOOKUP(TRUE,ISNUMBER(F23:I23),F23:I23)</f>
        <v>356.29107802263246</v>
      </c>
      <c r="H23" s="7">
        <f>_xlfn.XLOOKUP(B23,'rai-values'!E:E,'rai-values'!H:H)*0.95</f>
        <v>356.29107802263246</v>
      </c>
      <c r="J23">
        <v>97.1</v>
      </c>
      <c r="K23">
        <v>97.2</v>
      </c>
    </row>
    <row r="24" spans="2:12" x14ac:dyDescent="0.25">
      <c r="B24" s="1">
        <v>40787</v>
      </c>
      <c r="C24">
        <v>2012</v>
      </c>
      <c r="D24" s="23">
        <f t="shared" si="1"/>
        <v>9</v>
      </c>
      <c r="E24" cm="1">
        <f t="array" ref="E24">_xlfn.XLOOKUP(TRUE,ISNUMBER(F24:I24),F24:I24)</f>
        <v>365.88036136041558</v>
      </c>
      <c r="H24" s="7">
        <f>_xlfn.XLOOKUP(B24,'rai-values'!E:E,'rai-values'!H:H)*0.95</f>
        <v>365.88036136041558</v>
      </c>
      <c r="J24">
        <v>98</v>
      </c>
      <c r="K24">
        <v>98.5</v>
      </c>
      <c r="L24">
        <v>324</v>
      </c>
    </row>
    <row r="25" spans="2:12" x14ac:dyDescent="0.25">
      <c r="B25" s="1">
        <v>40878</v>
      </c>
      <c r="C25">
        <v>2012</v>
      </c>
      <c r="D25" s="23">
        <f t="shared" si="1"/>
        <v>12</v>
      </c>
      <c r="E25" cm="1">
        <f t="array" ref="E25">_xlfn.XLOOKUP(TRUE,ISNUMBER(F25:I25),F25:I25)</f>
        <v>369.06192972007142</v>
      </c>
      <c r="H25" s="7">
        <f>_xlfn.XLOOKUP(B25,'rai-values'!E:E,'rai-values'!H:H)*0.95</f>
        <v>369.06192972007142</v>
      </c>
      <c r="J25">
        <v>99.2</v>
      </c>
      <c r="K25">
        <v>99.6</v>
      </c>
    </row>
    <row r="26" spans="2:12" x14ac:dyDescent="0.25">
      <c r="B26" s="1">
        <v>40969</v>
      </c>
      <c r="C26">
        <v>2012</v>
      </c>
      <c r="D26" s="23">
        <f t="shared" si="1"/>
        <v>3</v>
      </c>
      <c r="E26" cm="1">
        <f t="array" ref="E26">_xlfn.XLOOKUP(TRUE,ISNUMBER(F26:I26),F26:I26)</f>
        <v>385.83747198007467</v>
      </c>
      <c r="H26" s="7">
        <f>_xlfn.XLOOKUP(B26,'rai-values'!E:E,'rai-values'!H:H)*0.95</f>
        <v>385.83747198007467</v>
      </c>
      <c r="J26">
        <v>100.6</v>
      </c>
      <c r="K26">
        <v>100.5</v>
      </c>
    </row>
    <row r="27" spans="2:12" x14ac:dyDescent="0.25">
      <c r="B27" s="1">
        <v>41061</v>
      </c>
      <c r="C27">
        <v>2012</v>
      </c>
      <c r="D27" s="23">
        <f t="shared" si="1"/>
        <v>6</v>
      </c>
      <c r="E27" cm="1">
        <f t="array" ref="E27">_xlfn.XLOOKUP(TRUE,ISNUMBER(F27:I27),F27:I27)</f>
        <v>416.09923448831574</v>
      </c>
      <c r="H27" s="7">
        <f>_xlfn.XLOOKUP(B27,'rai-values'!E:E,'rai-values'!H:H)*0.95</f>
        <v>416.09923448831574</v>
      </c>
      <c r="J27">
        <v>102.2</v>
      </c>
      <c r="K27">
        <v>101.5</v>
      </c>
    </row>
    <row r="28" spans="2:12" x14ac:dyDescent="0.25">
      <c r="B28" s="1">
        <v>41153</v>
      </c>
      <c r="C28">
        <v>2013</v>
      </c>
      <c r="D28" s="23">
        <f t="shared" si="1"/>
        <v>9</v>
      </c>
      <c r="E28" cm="1">
        <f t="array" ref="E28">_xlfn.XLOOKUP(TRUE,ISNUMBER(F28:I28),F28:I28)</f>
        <v>435.02574536663968</v>
      </c>
      <c r="H28" s="7">
        <f>_xlfn.XLOOKUP(B28,'rai-values'!E:E,'rai-values'!H:H)*0.95</f>
        <v>435.02574536663968</v>
      </c>
      <c r="J28">
        <v>104.2</v>
      </c>
      <c r="K28">
        <v>102.4</v>
      </c>
    </row>
    <row r="29" spans="2:12" x14ac:dyDescent="0.25">
      <c r="B29" s="1">
        <v>41244</v>
      </c>
      <c r="C29">
        <v>2013</v>
      </c>
      <c r="D29" s="23">
        <f t="shared" si="1"/>
        <v>12</v>
      </c>
      <c r="E29" cm="1">
        <f t="array" ref="E29">_xlfn.XLOOKUP(TRUE,ISNUMBER(F29:I29),F29:I29)</f>
        <v>435.02574536663968</v>
      </c>
      <c r="H29" s="7">
        <f>_xlfn.XLOOKUP(B29,'rai-values'!E:E,'rai-values'!H:H)*0.95</f>
        <v>435.02574536663968</v>
      </c>
      <c r="J29">
        <v>105.6</v>
      </c>
      <c r="K29">
        <v>103.3</v>
      </c>
    </row>
    <row r="30" spans="2:12" x14ac:dyDescent="0.25">
      <c r="B30" s="1">
        <v>41334</v>
      </c>
      <c r="C30">
        <v>2013</v>
      </c>
      <c r="D30" s="23">
        <f t="shared" si="1"/>
        <v>3</v>
      </c>
      <c r="E30" cm="1">
        <f t="array" ref="E30">_xlfn.XLOOKUP(TRUE,ISNUMBER(F30:I30),F30:I30)</f>
        <v>439.33293096432919</v>
      </c>
      <c r="H30" s="7">
        <f>_xlfn.XLOOKUP(B30,'rai-values'!E:E,'rai-values'!H:H)*0.95</f>
        <v>439.33293096432919</v>
      </c>
      <c r="J30">
        <v>107.5</v>
      </c>
      <c r="K30">
        <v>104</v>
      </c>
    </row>
    <row r="31" spans="2:12" x14ac:dyDescent="0.25">
      <c r="B31" s="1">
        <v>41426</v>
      </c>
      <c r="C31">
        <v>2013</v>
      </c>
      <c r="D31" s="23">
        <f t="shared" si="1"/>
        <v>6</v>
      </c>
      <c r="E31" cm="1">
        <f t="array" ref="E31">_xlfn.XLOOKUP(TRUE,ISNUMBER(F31:I31),F31:I31)</f>
        <v>435.02574536663968</v>
      </c>
      <c r="H31" s="7">
        <f>_xlfn.XLOOKUP(B31,'rai-values'!E:E,'rai-values'!H:H)*0.95</f>
        <v>435.02574536663968</v>
      </c>
      <c r="J31">
        <v>109.9</v>
      </c>
      <c r="K31">
        <v>105</v>
      </c>
    </row>
    <row r="32" spans="2:12" x14ac:dyDescent="0.25">
      <c r="B32" s="1">
        <v>41518</v>
      </c>
      <c r="C32">
        <v>2014</v>
      </c>
      <c r="D32" s="23">
        <f t="shared" si="1"/>
        <v>9</v>
      </c>
      <c r="E32" cm="1">
        <f t="array" ref="E32">_xlfn.XLOOKUP(TRUE,ISNUMBER(F32:I32),F32:I32)</f>
        <v>430.14418140710194</v>
      </c>
      <c r="H32" s="7">
        <f>_xlfn.XLOOKUP(B32,'rai-values'!E:E,'rai-values'!H:H)*0.95</f>
        <v>430.14418140710194</v>
      </c>
      <c r="J32">
        <v>111.1</v>
      </c>
      <c r="K32">
        <v>105.7</v>
      </c>
    </row>
    <row r="33" spans="1:12" x14ac:dyDescent="0.25">
      <c r="B33" s="1">
        <v>41609</v>
      </c>
      <c r="C33">
        <v>2014</v>
      </c>
      <c r="D33" s="23">
        <f t="shared" si="1"/>
        <v>12</v>
      </c>
      <c r="E33" cm="1">
        <f t="array" ref="E33">_xlfn.XLOOKUP(TRUE,ISNUMBER(F33:I33),F33:I33)</f>
        <v>430.14418140710194</v>
      </c>
      <c r="H33" s="7">
        <f>_xlfn.XLOOKUP(B33,'rai-values'!E:E,'rai-values'!H:H)*0.95</f>
        <v>430.14418140710194</v>
      </c>
      <c r="J33">
        <v>111.7</v>
      </c>
      <c r="K33">
        <v>106.4</v>
      </c>
    </row>
    <row r="34" spans="1:12" x14ac:dyDescent="0.25">
      <c r="B34" s="1">
        <v>41699</v>
      </c>
      <c r="C34">
        <v>2014</v>
      </c>
      <c r="D34" s="23">
        <f t="shared" si="1"/>
        <v>3</v>
      </c>
      <c r="E34" cm="1">
        <f t="array" ref="E34">_xlfn.XLOOKUP(TRUE,ISNUMBER(F34:I34),F34:I34)</f>
        <v>421.95095890410954</v>
      </c>
      <c r="H34" s="7">
        <f>_xlfn.XLOOKUP(B34,'rai-values'!E:E,'rai-values'!H:H)*0.95</f>
        <v>421.95095890410954</v>
      </c>
      <c r="J34">
        <v>112.5</v>
      </c>
      <c r="K34">
        <v>107</v>
      </c>
    </row>
    <row r="35" spans="1:12" x14ac:dyDescent="0.25">
      <c r="B35" s="1">
        <v>41791</v>
      </c>
      <c r="C35">
        <v>2014</v>
      </c>
      <c r="D35" s="23">
        <f t="shared" si="1"/>
        <v>6</v>
      </c>
      <c r="E35" cm="1">
        <f t="array" ref="E35">_xlfn.XLOOKUP(TRUE,ISNUMBER(F35:I35),F35:I35)</f>
        <v>421.95095890410954</v>
      </c>
      <c r="H35" s="7">
        <f>_xlfn.XLOOKUP(B35,'rai-values'!E:E,'rai-values'!H:H)*0.95</f>
        <v>421.95095890410954</v>
      </c>
      <c r="J35">
        <v>113.1</v>
      </c>
      <c r="K35">
        <v>107.5</v>
      </c>
    </row>
    <row r="36" spans="1:12" x14ac:dyDescent="0.25">
      <c r="B36" s="1">
        <v>41883</v>
      </c>
      <c r="C36">
        <v>2015</v>
      </c>
      <c r="D36" s="23">
        <f t="shared" si="1"/>
        <v>9</v>
      </c>
      <c r="E36" cm="1">
        <f t="array" ref="E36">_xlfn.XLOOKUP(TRUE,ISNUMBER(F36:I36),F36:I36)</f>
        <v>411</v>
      </c>
      <c r="G36" s="45">
        <f>_xlfn.XLOOKUP(C36,'Ableson and Joyeux 2023'!A:A,'Ableson and Joyeux 2023'!C:C)</f>
        <v>411</v>
      </c>
      <c r="H36" s="7">
        <f>_xlfn.XLOOKUP(B36,'rai-values'!E:E,'rai-values'!H:H)*0.95</f>
        <v>410.77124533001233</v>
      </c>
      <c r="J36">
        <v>113.4</v>
      </c>
      <c r="K36">
        <v>108.3</v>
      </c>
    </row>
    <row r="37" spans="1:12" x14ac:dyDescent="0.25">
      <c r="B37" s="1">
        <v>41974</v>
      </c>
      <c r="C37">
        <v>2015</v>
      </c>
      <c r="D37" s="23">
        <f t="shared" si="1"/>
        <v>12</v>
      </c>
      <c r="E37" cm="1">
        <f t="array" ref="E37">_xlfn.XLOOKUP(TRUE,ISNUMBER(F37:I37),F37:I37)</f>
        <v>411</v>
      </c>
      <c r="G37" s="45">
        <f>_xlfn.XLOOKUP(C37,'Ableson and Joyeux 2023'!A:A,'Ableson and Joyeux 2023'!C:C)</f>
        <v>411</v>
      </c>
      <c r="H37" s="7">
        <f>_xlfn.XLOOKUP(B37,'rai-values'!E:E,'rai-values'!H:H)*0.95</f>
        <v>403.43604452054785</v>
      </c>
      <c r="J37">
        <v>113.4</v>
      </c>
      <c r="K37">
        <v>108.9</v>
      </c>
    </row>
    <row r="38" spans="1:12" x14ac:dyDescent="0.25">
      <c r="B38" s="1">
        <v>42064</v>
      </c>
      <c r="C38">
        <v>2015</v>
      </c>
      <c r="D38" s="23">
        <f t="shared" ref="D38:D69" si="3">MONTH(B38)</f>
        <v>3</v>
      </c>
      <c r="E38" cm="1">
        <f t="array" ref="E38">_xlfn.XLOOKUP(TRUE,ISNUMBER(F38:I38),F38:I38)</f>
        <v>411</v>
      </c>
      <c r="G38" s="45">
        <f>_xlfn.XLOOKUP(C38,'Ableson and Joyeux 2023'!A:A,'Ableson and Joyeux 2023'!C:C)</f>
        <v>411</v>
      </c>
      <c r="H38" s="7">
        <f>_xlfn.XLOOKUP(B38,'rai-values'!E:E,'rai-values'!H:H)*0.95</f>
        <v>399.8658140380652</v>
      </c>
      <c r="J38">
        <v>112.6</v>
      </c>
      <c r="K38">
        <v>109.2</v>
      </c>
    </row>
    <row r="39" spans="1:12" x14ac:dyDescent="0.25">
      <c r="B39" s="1">
        <v>42156</v>
      </c>
      <c r="C39">
        <v>2015</v>
      </c>
      <c r="D39" s="23">
        <f t="shared" si="3"/>
        <v>6</v>
      </c>
      <c r="E39" cm="1">
        <f t="array" ref="E39">_xlfn.XLOOKUP(TRUE,ISNUMBER(F39:I39),F39:I39)</f>
        <v>411</v>
      </c>
      <c r="G39" s="45">
        <f>_xlfn.XLOOKUP(C39,'Ableson and Joyeux 2023'!A:A,'Ableson and Joyeux 2023'!C:C)</f>
        <v>411</v>
      </c>
      <c r="H39" s="7">
        <f>_xlfn.XLOOKUP(B39,'rai-values'!E:E,'rai-values'!H:H)*0.95</f>
        <v>392.91162596783795</v>
      </c>
      <c r="J39">
        <v>112.6</v>
      </c>
      <c r="K39">
        <v>109.6</v>
      </c>
    </row>
    <row r="40" spans="1:12" x14ac:dyDescent="0.25">
      <c r="B40" s="1">
        <v>42248</v>
      </c>
      <c r="C40">
        <v>2016</v>
      </c>
      <c r="D40" s="23">
        <f t="shared" si="3"/>
        <v>9</v>
      </c>
      <c r="E40" cm="1">
        <f t="array" ref="E40">_xlfn.XLOOKUP(TRUE,ISNUMBER(F40:I40),F40:I40)</f>
        <v>380</v>
      </c>
      <c r="G40" s="45">
        <f>_xlfn.XLOOKUP(C40,'Ableson and Joyeux 2023'!A:A,'Ableson and Joyeux 2023'!C:C)</f>
        <v>380</v>
      </c>
      <c r="H40" s="7">
        <f>_xlfn.XLOOKUP(B40,'rai-values'!E:E,'rai-values'!H:H)*0.95</f>
        <v>383.26048293475731</v>
      </c>
      <c r="J40">
        <v>111.6</v>
      </c>
      <c r="K40">
        <v>109.9</v>
      </c>
    </row>
    <row r="41" spans="1:12" x14ac:dyDescent="0.25">
      <c r="B41" s="1">
        <v>42339</v>
      </c>
      <c r="C41">
        <v>2016</v>
      </c>
      <c r="D41" s="23">
        <f t="shared" si="3"/>
        <v>12</v>
      </c>
      <c r="E41" cm="1">
        <f t="array" ref="E41">_xlfn.XLOOKUP(TRUE,ISNUMBER(F41:I41),F41:I41)</f>
        <v>380</v>
      </c>
      <c r="G41" s="45">
        <f>_xlfn.XLOOKUP(C41,'Ableson and Joyeux 2023'!A:A,'Ableson and Joyeux 2023'!C:C)</f>
        <v>380</v>
      </c>
      <c r="H41" s="7">
        <f>_xlfn.XLOOKUP(B41,'rai-values'!E:E,'rai-values'!H:H)*0.95</f>
        <v>370.6945654614866</v>
      </c>
      <c r="J41">
        <v>110.1</v>
      </c>
      <c r="K41">
        <v>110.1</v>
      </c>
    </row>
    <row r="42" spans="1:12" x14ac:dyDescent="0.25">
      <c r="B42" s="1">
        <v>42430</v>
      </c>
      <c r="C42">
        <v>2016</v>
      </c>
      <c r="D42" s="23">
        <f t="shared" si="3"/>
        <v>3</v>
      </c>
      <c r="E42" cm="1">
        <f t="array" ref="E42">_xlfn.XLOOKUP(TRUE,ISNUMBER(F42:I42),F42:I42)</f>
        <v>380</v>
      </c>
      <c r="G42" s="45">
        <f>_xlfn.XLOOKUP(C42,'Ableson and Joyeux 2023'!A:A,'Ableson and Joyeux 2023'!C:C)</f>
        <v>380</v>
      </c>
      <c r="H42" s="7">
        <f>_xlfn.XLOOKUP(B42,'rai-values'!E:E,'rai-values'!H:H)*0.95</f>
        <v>364.71562085726907</v>
      </c>
      <c r="J42">
        <v>107.6</v>
      </c>
      <c r="K42">
        <v>110.2</v>
      </c>
    </row>
    <row r="43" spans="1:12" x14ac:dyDescent="0.25">
      <c r="B43" s="1">
        <v>42522</v>
      </c>
      <c r="C43">
        <v>2016</v>
      </c>
      <c r="D43" s="23">
        <f t="shared" si="3"/>
        <v>6</v>
      </c>
      <c r="E43" cm="1">
        <f t="array" ref="E43">_xlfn.XLOOKUP(TRUE,ISNUMBER(F43:I43),F43:I43)</f>
        <v>380</v>
      </c>
      <c r="G43" s="45">
        <f>_xlfn.XLOOKUP(C43,'Ableson and Joyeux 2023'!A:A,'Ableson and Joyeux 2023'!C:C)</f>
        <v>380</v>
      </c>
      <c r="H43" s="7">
        <f>_xlfn.XLOOKUP(B43,'rai-values'!E:E,'rai-values'!H:H)*0.95</f>
        <v>358.92648401826483</v>
      </c>
      <c r="J43">
        <v>106.8</v>
      </c>
      <c r="K43">
        <v>110.4</v>
      </c>
    </row>
    <row r="44" spans="1:12" x14ac:dyDescent="0.25">
      <c r="B44" s="1">
        <v>42614</v>
      </c>
      <c r="C44">
        <v>2017</v>
      </c>
      <c r="D44" s="23">
        <f t="shared" si="3"/>
        <v>9</v>
      </c>
      <c r="E44" cm="1">
        <f t="array" ref="E44">_xlfn.XLOOKUP(TRUE,ISNUMBER(F44:I44),F44:I44)</f>
        <v>343</v>
      </c>
      <c r="G44" s="45">
        <f>_xlfn.XLOOKUP(C44,'Ableson and Joyeux 2023'!A:A,'Ableson and Joyeux 2023'!C:C)</f>
        <v>343</v>
      </c>
      <c r="H44" s="7">
        <f>_xlfn.XLOOKUP(B44,'rai-values'!E:E,'rai-values'!H:H)*0.95</f>
        <v>345.29792952002509</v>
      </c>
      <c r="J44">
        <v>104.5</v>
      </c>
      <c r="K44">
        <v>110.7</v>
      </c>
      <c r="L44">
        <v>374</v>
      </c>
    </row>
    <row r="45" spans="1:12" x14ac:dyDescent="0.25">
      <c r="B45" s="1">
        <v>42705</v>
      </c>
      <c r="C45">
        <v>2017</v>
      </c>
      <c r="D45" s="23">
        <f t="shared" si="3"/>
        <v>12</v>
      </c>
      <c r="E45" cm="1">
        <f t="array" ref="E45">_xlfn.XLOOKUP(TRUE,ISNUMBER(F45:I45),F45:I45)</f>
        <v>343</v>
      </c>
      <c r="G45" s="45">
        <f>_xlfn.XLOOKUP(C45,'Ableson and Joyeux 2023'!A:A,'Ableson and Joyeux 2023'!C:C)</f>
        <v>343</v>
      </c>
      <c r="H45" s="7">
        <f>_xlfn.XLOOKUP(B45,'rai-values'!E:E,'rai-values'!H:H)*0.95</f>
        <v>335.06687975646872</v>
      </c>
      <c r="J45">
        <v>102.2</v>
      </c>
      <c r="K45">
        <v>110.8</v>
      </c>
    </row>
    <row r="46" spans="1:12" x14ac:dyDescent="0.25">
      <c r="A46" s="3"/>
      <c r="B46" s="1">
        <v>42795</v>
      </c>
      <c r="C46">
        <v>2017</v>
      </c>
      <c r="D46" s="23">
        <f t="shared" si="3"/>
        <v>3</v>
      </c>
      <c r="E46" cm="1">
        <f t="array" ref="E46">_xlfn.XLOOKUP(TRUE,ISNUMBER(F46:I46),F46:I46)</f>
        <v>343</v>
      </c>
      <c r="G46" s="45">
        <f>_xlfn.XLOOKUP(C46,'Ableson and Joyeux 2023'!A:A,'Ableson and Joyeux 2023'!C:C)</f>
        <v>343</v>
      </c>
      <c r="H46" s="7">
        <f>_xlfn.XLOOKUP(B46,'rai-values'!E:E,'rai-values'!H:H)*0.95</f>
        <v>330.17539246075387</v>
      </c>
      <c r="J46">
        <v>99.7</v>
      </c>
      <c r="K46">
        <v>110.9</v>
      </c>
    </row>
    <row r="47" spans="1:12" x14ac:dyDescent="0.25">
      <c r="A47" s="3"/>
      <c r="B47" s="1">
        <v>42887</v>
      </c>
      <c r="C47">
        <v>2017</v>
      </c>
      <c r="D47" s="23">
        <f t="shared" si="3"/>
        <v>6</v>
      </c>
      <c r="E47" cm="1">
        <f t="array" ref="E47">_xlfn.XLOOKUP(TRUE,ISNUMBER(F47:I47),F47:I47)</f>
        <v>343</v>
      </c>
      <c r="G47" s="45">
        <f>_xlfn.XLOOKUP(C47,'Ableson and Joyeux 2023'!A:A,'Ableson and Joyeux 2023'!C:C)</f>
        <v>343</v>
      </c>
      <c r="H47" s="7">
        <f>_xlfn.XLOOKUP(B47,'rai-values'!E:E,'rai-values'!H:H)*0.95</f>
        <v>325.42466738937611</v>
      </c>
      <c r="J47">
        <v>98.2</v>
      </c>
      <c r="K47">
        <v>111.1</v>
      </c>
    </row>
    <row r="48" spans="1:12" x14ac:dyDescent="0.25">
      <c r="A48" s="3"/>
      <c r="B48" s="1">
        <v>42979</v>
      </c>
      <c r="C48">
        <v>2018</v>
      </c>
      <c r="D48" s="23">
        <f t="shared" si="3"/>
        <v>9</v>
      </c>
      <c r="E48" cm="1">
        <f t="array" ref="E48">_xlfn.XLOOKUP(TRUE,ISNUMBER(F48:I48),F48:I48)</f>
        <v>330</v>
      </c>
      <c r="G48" s="45">
        <f>_xlfn.XLOOKUP(C48,'Ableson and Joyeux 2023'!A:A,'Ableson and Joyeux 2023'!C:C)</f>
        <v>330</v>
      </c>
      <c r="H48" s="7">
        <f>_xlfn.XLOOKUP(B48,'rai-values'!E:E,'rai-values'!H:H)*0.95</f>
        <v>326.93673548138133</v>
      </c>
      <c r="J48">
        <v>96.1</v>
      </c>
      <c r="K48">
        <v>111.3</v>
      </c>
    </row>
    <row r="49" spans="1:12" x14ac:dyDescent="0.25">
      <c r="A49" s="3"/>
      <c r="B49" s="1">
        <v>43070</v>
      </c>
      <c r="C49">
        <v>2018</v>
      </c>
      <c r="D49" s="23">
        <f t="shared" si="3"/>
        <v>12</v>
      </c>
      <c r="E49" cm="1">
        <f t="array" ref="E49">_xlfn.XLOOKUP(TRUE,ISNUMBER(F49:I49),F49:I49)</f>
        <v>330</v>
      </c>
      <c r="G49" s="45">
        <f>_xlfn.XLOOKUP(C49,'Ableson and Joyeux 2023'!A:A,'Ableson and Joyeux 2023'!C:C)</f>
        <v>330</v>
      </c>
      <c r="H49" s="7">
        <f>_xlfn.XLOOKUP(B49,'rai-values'!E:E,'rai-values'!H:H)*0.95</f>
        <v>317.97956464627504</v>
      </c>
      <c r="J49">
        <v>94.9</v>
      </c>
      <c r="K49">
        <v>111.6</v>
      </c>
    </row>
    <row r="50" spans="1:12" x14ac:dyDescent="0.25">
      <c r="A50" s="3"/>
      <c r="B50" s="1">
        <v>43160</v>
      </c>
      <c r="C50">
        <v>2018</v>
      </c>
      <c r="D50" s="23">
        <f t="shared" si="3"/>
        <v>3</v>
      </c>
      <c r="E50" cm="1">
        <f t="array" ref="E50">_xlfn.XLOOKUP(TRUE,ISNUMBER(F50:I50),F50:I50)</f>
        <v>330</v>
      </c>
      <c r="G50" s="45">
        <f>_xlfn.XLOOKUP(C50,'Ableson and Joyeux 2023'!A:A,'Ableson and Joyeux 2023'!C:C)</f>
        <v>330</v>
      </c>
      <c r="H50" s="7">
        <f>_xlfn.XLOOKUP(B50,'rai-values'!E:E,'rai-values'!H:H)*0.95</f>
        <v>322.3959474885844</v>
      </c>
      <c r="K50">
        <v>111.8</v>
      </c>
    </row>
    <row r="51" spans="1:12" x14ac:dyDescent="0.25">
      <c r="A51" s="3"/>
      <c r="B51" s="1">
        <v>43252</v>
      </c>
      <c r="C51">
        <v>2018</v>
      </c>
      <c r="D51" s="23">
        <f t="shared" si="3"/>
        <v>6</v>
      </c>
      <c r="E51" cm="1">
        <f t="array" ref="E51">_xlfn.XLOOKUP(TRUE,ISNUMBER(F51:I51),F51:I51)</f>
        <v>330</v>
      </c>
      <c r="G51" s="45">
        <f>_xlfn.XLOOKUP(C51,'Ableson and Joyeux 2023'!A:A,'Ableson and Joyeux 2023'!C:C)</f>
        <v>330</v>
      </c>
      <c r="H51" s="7">
        <f>_xlfn.XLOOKUP(B51,'rai-values'!E:E,'rai-values'!H:H)*0.95</f>
        <v>320.17252716107691</v>
      </c>
      <c r="K51">
        <v>111.8</v>
      </c>
    </row>
    <row r="52" spans="1:12" x14ac:dyDescent="0.25">
      <c r="A52" s="3"/>
      <c r="B52" s="1">
        <v>43344</v>
      </c>
      <c r="C52">
        <v>2019</v>
      </c>
      <c r="D52" s="23">
        <f t="shared" si="3"/>
        <v>9</v>
      </c>
      <c r="E52" cm="1">
        <f t="array" ref="E52">_xlfn.XLOOKUP(TRUE,ISNUMBER(F52:I52),F52:I52)</f>
        <v>330</v>
      </c>
      <c r="G52" s="45">
        <f>_xlfn.XLOOKUP(C52,'Ableson and Joyeux 2023'!A:A,'Ableson and Joyeux 2023'!C:C)</f>
        <v>330</v>
      </c>
      <c r="H52" s="7">
        <f>_xlfn.XLOOKUP(B52,'rai-values'!E:E,'rai-values'!H:H)*0.95</f>
        <v>332.20472366556447</v>
      </c>
      <c r="K52">
        <v>112</v>
      </c>
    </row>
    <row r="53" spans="1:12" x14ac:dyDescent="0.25">
      <c r="A53" s="3"/>
      <c r="B53" s="1">
        <v>43435</v>
      </c>
      <c r="C53">
        <v>2019</v>
      </c>
      <c r="D53" s="23">
        <f t="shared" si="3"/>
        <v>12</v>
      </c>
      <c r="E53" cm="1">
        <f t="array" ref="E53">_xlfn.XLOOKUP(TRUE,ISNUMBER(F53:I53),F53:I53)</f>
        <v>330</v>
      </c>
      <c r="G53" s="45">
        <f>_xlfn.XLOOKUP(C53,'Ableson and Joyeux 2023'!A:A,'Ableson and Joyeux 2023'!C:C)</f>
        <v>330</v>
      </c>
      <c r="H53" s="7">
        <f>_xlfn.XLOOKUP(B53,'rai-values'!E:E,'rai-values'!H:H)*0.95</f>
        <v>327.68493150684924</v>
      </c>
      <c r="K53">
        <v>112.2</v>
      </c>
    </row>
    <row r="54" spans="1:12" x14ac:dyDescent="0.25">
      <c r="A54" s="3"/>
      <c r="B54" s="1">
        <v>43525</v>
      </c>
      <c r="C54">
        <v>2019</v>
      </c>
      <c r="D54" s="23">
        <f t="shared" si="3"/>
        <v>3</v>
      </c>
      <c r="E54" cm="1">
        <f t="array" ref="E54">_xlfn.XLOOKUP(TRUE,ISNUMBER(F54:I54),F54:I54)</f>
        <v>330</v>
      </c>
      <c r="G54" s="45">
        <f>_xlfn.XLOOKUP(C54,'Ableson and Joyeux 2023'!A:A,'Ableson and Joyeux 2023'!C:C)</f>
        <v>330</v>
      </c>
      <c r="H54" s="7">
        <f>_xlfn.XLOOKUP(B54,'rai-values'!E:E,'rai-values'!H:H)*0.95</f>
        <v>329.92934884593728</v>
      </c>
      <c r="K54">
        <v>112.3</v>
      </c>
    </row>
    <row r="55" spans="1:12" x14ac:dyDescent="0.25">
      <c r="A55" s="3"/>
      <c r="B55" s="1">
        <v>43617</v>
      </c>
      <c r="C55">
        <v>2019</v>
      </c>
      <c r="D55" s="23">
        <f t="shared" si="3"/>
        <v>6</v>
      </c>
      <c r="E55" cm="1">
        <f t="array" ref="E55">_xlfn.XLOOKUP(TRUE,ISNUMBER(F55:I55),F55:I55)</f>
        <v>330</v>
      </c>
      <c r="G55" s="45">
        <f>_xlfn.XLOOKUP(C55,'Ableson and Joyeux 2023'!A:A,'Ableson and Joyeux 2023'!C:C)</f>
        <v>330</v>
      </c>
      <c r="H55" s="7">
        <f>_xlfn.XLOOKUP(B55,'rai-values'!E:E,'rai-values'!H:H)*0.95</f>
        <v>327.68493150684924</v>
      </c>
      <c r="K55">
        <v>112.3</v>
      </c>
    </row>
    <row r="56" spans="1:12" x14ac:dyDescent="0.25">
      <c r="A56" s="3"/>
      <c r="B56" s="1">
        <v>43709</v>
      </c>
      <c r="C56">
        <v>2020</v>
      </c>
      <c r="D56" s="23">
        <f t="shared" si="3"/>
        <v>9</v>
      </c>
      <c r="E56" cm="1">
        <f t="array" ref="E56">_xlfn.XLOOKUP(TRUE,ISNUMBER(F56:I56),F56:I56)</f>
        <v>344</v>
      </c>
      <c r="G56" s="45">
        <f>_xlfn.XLOOKUP(C56,'Ableson and Joyeux 2023'!A:A,'Ableson and Joyeux 2023'!C:C)</f>
        <v>344</v>
      </c>
      <c r="H56" s="7">
        <f>_xlfn.XLOOKUP(B56,'rai-values'!E:E,'rai-values'!H:H)*0.95</f>
        <v>346.79082379433282</v>
      </c>
      <c r="K56">
        <v>112.4</v>
      </c>
    </row>
    <row r="57" spans="1:12" x14ac:dyDescent="0.25">
      <c r="A57" s="3"/>
      <c r="B57" s="1">
        <v>43800</v>
      </c>
      <c r="C57">
        <v>2020</v>
      </c>
      <c r="D57" s="23">
        <f t="shared" si="3"/>
        <v>12</v>
      </c>
      <c r="E57" cm="1">
        <f t="array" ref="E57">_xlfn.XLOOKUP(TRUE,ISNUMBER(F57:I57),F57:I57)</f>
        <v>344</v>
      </c>
      <c r="G57" s="45">
        <f>_xlfn.XLOOKUP(C57,'Ableson and Joyeux 2023'!A:A,'Ableson and Joyeux 2023'!C:C)</f>
        <v>344</v>
      </c>
      <c r="H57" s="7">
        <f>_xlfn.XLOOKUP(B57,'rai-values'!E:E,'rai-values'!H:H)*0.95</f>
        <v>351.60736301369855</v>
      </c>
      <c r="K57">
        <v>112.4</v>
      </c>
    </row>
    <row r="58" spans="1:12" x14ac:dyDescent="0.25">
      <c r="A58" s="3"/>
      <c r="B58" s="1">
        <v>43891</v>
      </c>
      <c r="C58">
        <v>2020</v>
      </c>
      <c r="D58" s="23">
        <f t="shared" si="3"/>
        <v>3</v>
      </c>
      <c r="E58" cm="1">
        <f t="array" ref="E58">_xlfn.XLOOKUP(TRUE,ISNUMBER(F58:I58),F58:I58)</f>
        <v>344</v>
      </c>
      <c r="G58" s="45">
        <f>_xlfn.XLOOKUP(C58,'Ableson and Joyeux 2023'!A:A,'Ableson and Joyeux 2023'!C:C)</f>
        <v>344</v>
      </c>
      <c r="H58" s="7">
        <f>_xlfn.XLOOKUP(B58,'rai-values'!E:E,'rai-values'!H:H)*0.95</f>
        <v>346.79082379433282</v>
      </c>
      <c r="K58">
        <v>112.5</v>
      </c>
    </row>
    <row r="59" spans="1:12" x14ac:dyDescent="0.25">
      <c r="A59" s="3"/>
      <c r="B59" s="1">
        <v>43983</v>
      </c>
      <c r="C59">
        <v>2020</v>
      </c>
      <c r="D59" s="23">
        <f t="shared" si="3"/>
        <v>6</v>
      </c>
      <c r="E59" cm="1">
        <f t="array" ref="E59">_xlfn.XLOOKUP(TRUE,ISNUMBER(F59:I59),F59:I59)</f>
        <v>344</v>
      </c>
      <c r="G59" s="45">
        <f>_xlfn.XLOOKUP(C59,'Ableson and Joyeux 2023'!A:A,'Ableson and Joyeux 2023'!C:C)</f>
        <v>344</v>
      </c>
      <c r="H59" s="7">
        <f>_xlfn.XLOOKUP(B59,'rai-values'!E:E,'rai-values'!H:H)*0.95</f>
        <v>333.10171232876712</v>
      </c>
      <c r="K59">
        <v>111</v>
      </c>
    </row>
    <row r="60" spans="1:12" x14ac:dyDescent="0.25">
      <c r="A60" s="3"/>
      <c r="B60" s="1">
        <v>44075</v>
      </c>
      <c r="C60">
        <v>2021</v>
      </c>
      <c r="D60" s="23">
        <f t="shared" si="3"/>
        <v>9</v>
      </c>
      <c r="E60" cm="1">
        <f t="array" ref="E60">_xlfn.XLOOKUP(TRUE,ISNUMBER(F60:I60),F60:I60)</f>
        <v>380</v>
      </c>
      <c r="G60" s="45">
        <f>_xlfn.XLOOKUP(C60,'Ableson and Joyeux 2023'!A:A,'Ableson and Joyeux 2023'!C:C)</f>
        <v>380</v>
      </c>
      <c r="H60" s="7">
        <f>_xlfn.XLOOKUP(B60,'rai-values'!E:E,'rai-values'!H:H)*0.95</f>
        <v>364.41392694063921</v>
      </c>
      <c r="K60">
        <v>110.8</v>
      </c>
    </row>
    <row r="61" spans="1:12" x14ac:dyDescent="0.25">
      <c r="A61" s="3"/>
      <c r="B61" s="1">
        <v>44166</v>
      </c>
      <c r="C61">
        <v>2021</v>
      </c>
      <c r="D61" s="23">
        <f t="shared" si="3"/>
        <v>12</v>
      </c>
      <c r="E61" cm="1">
        <f t="array" ref="E61">_xlfn.XLOOKUP(TRUE,ISNUMBER(F61:I61),F61:I61)</f>
        <v>380</v>
      </c>
      <c r="G61" s="45">
        <f>_xlfn.XLOOKUP(C61,'Ableson and Joyeux 2023'!A:A,'Ableson and Joyeux 2023'!C:C)</f>
        <v>380</v>
      </c>
      <c r="H61" s="7">
        <f>_xlfn.XLOOKUP(B61,'rai-values'!E:E,'rai-values'!H:H)*0.95</f>
        <v>385.8500402900886</v>
      </c>
      <c r="K61">
        <v>110.9</v>
      </c>
    </row>
    <row r="62" spans="1:12" x14ac:dyDescent="0.25">
      <c r="A62" s="3"/>
      <c r="B62" s="1">
        <v>44256</v>
      </c>
      <c r="C62">
        <v>2021</v>
      </c>
      <c r="D62" s="23">
        <f t="shared" si="3"/>
        <v>3</v>
      </c>
      <c r="E62" cm="1">
        <f t="array" ref="E62">_xlfn.XLOOKUP(TRUE,ISNUMBER(F62:I62),F62:I62)</f>
        <v>380</v>
      </c>
      <c r="G62" s="45">
        <f>_xlfn.XLOOKUP(C62,'Ableson and Joyeux 2023'!A:A,'Ableson and Joyeux 2023'!C:C)</f>
        <v>380</v>
      </c>
      <c r="H62" s="7">
        <f>_xlfn.XLOOKUP(B62,'rai-values'!E:E,'rai-values'!H:H)*0.95</f>
        <v>391.6089961153138</v>
      </c>
      <c r="K62">
        <v>110.9</v>
      </c>
    </row>
    <row r="63" spans="1:12" x14ac:dyDescent="0.25">
      <c r="A63" s="3"/>
      <c r="B63" s="1">
        <v>44348</v>
      </c>
      <c r="C63">
        <v>2021</v>
      </c>
      <c r="D63" s="23">
        <f t="shared" si="3"/>
        <v>6</v>
      </c>
      <c r="E63" cm="1">
        <f t="array" ref="E63">_xlfn.XLOOKUP(TRUE,ISNUMBER(F63:I63),F63:I63)</f>
        <v>380</v>
      </c>
      <c r="G63" s="45">
        <f>_xlfn.XLOOKUP(C63,'Ableson and Joyeux 2023'!A:A,'Ableson and Joyeux 2023'!C:C)</f>
        <v>380</v>
      </c>
      <c r="H63" s="7">
        <f>_xlfn.XLOOKUP(B63,'rai-values'!E:E,'rai-values'!H:H)*0.95</f>
        <v>397.54246575342455</v>
      </c>
      <c r="K63">
        <v>111</v>
      </c>
    </row>
    <row r="64" spans="1:12" x14ac:dyDescent="0.25">
      <c r="A64" s="3"/>
      <c r="B64" s="1">
        <v>44440</v>
      </c>
      <c r="C64">
        <v>2022</v>
      </c>
      <c r="D64" s="23">
        <f t="shared" si="3"/>
        <v>9</v>
      </c>
      <c r="E64" cm="1">
        <f t="array" ref="E64">_xlfn.XLOOKUP(TRUE,ISNUMBER(F64:I64),F64:I64)</f>
        <v>414.00979978925176</v>
      </c>
      <c r="H64" s="7">
        <f>_xlfn.XLOOKUP(B64,'rai-values'!E:E,'rai-values'!H:H)*0.95</f>
        <v>414.00979978925176</v>
      </c>
      <c r="K64">
        <v>111.2</v>
      </c>
      <c r="L64">
        <v>349</v>
      </c>
    </row>
    <row r="65" spans="1:11" x14ac:dyDescent="0.25">
      <c r="A65" s="3"/>
      <c r="B65" s="1">
        <v>44531</v>
      </c>
      <c r="C65">
        <v>2022</v>
      </c>
      <c r="D65" s="23">
        <f t="shared" si="3"/>
        <v>12</v>
      </c>
      <c r="E65" cm="1">
        <f t="array" ref="E65">_xlfn.XLOOKUP(TRUE,ISNUMBER(F65:I65),F65:I65)</f>
        <v>417.21917808219172</v>
      </c>
      <c r="H65" s="7">
        <f>_xlfn.XLOOKUP(B65,'rai-values'!E:E,'rai-values'!H:H)*0.95</f>
        <v>417.21917808219172</v>
      </c>
      <c r="K65">
        <v>111.3</v>
      </c>
    </row>
    <row r="66" spans="1:11" x14ac:dyDescent="0.25">
      <c r="A66" s="3"/>
      <c r="B66" s="1">
        <v>44621</v>
      </c>
      <c r="C66">
        <v>2022</v>
      </c>
      <c r="D66" s="23">
        <f t="shared" si="3"/>
        <v>3</v>
      </c>
      <c r="E66" cm="1">
        <f t="array" ref="E66">_xlfn.XLOOKUP(TRUE,ISNUMBER(F66:I66),F66:I66)</f>
        <v>420.47870291095882</v>
      </c>
      <c r="H66" s="7">
        <f>_xlfn.XLOOKUP(B66,'rai-values'!E:E,'rai-values'!H:H)*0.95</f>
        <v>420.47870291095882</v>
      </c>
      <c r="K66">
        <v>112.1</v>
      </c>
    </row>
    <row r="67" spans="1:11" x14ac:dyDescent="0.25">
      <c r="A67" s="3"/>
      <c r="B67" s="1">
        <v>44713</v>
      </c>
      <c r="C67">
        <v>2022</v>
      </c>
      <c r="D67" s="23">
        <f t="shared" si="3"/>
        <v>6</v>
      </c>
      <c r="E67" cm="1">
        <f t="array" ref="E67">_xlfn.XLOOKUP(TRUE,ISNUMBER(F67:I67),F67:I67)</f>
        <v>420</v>
      </c>
      <c r="G67" s="45">
        <f>_xlfn.XLOOKUP(B67,'Ableson and Joyeux 2023'!A:A,'Ableson and Joyeux 2023'!C:C)</f>
        <v>420</v>
      </c>
      <c r="H67" s="7">
        <f>_xlfn.XLOOKUP(B67,'rai-values'!E:E,'rai-values'!H:H)*0.95</f>
        <v>434.04253203711875</v>
      </c>
      <c r="K67">
        <v>112.7</v>
      </c>
    </row>
    <row r="68" spans="1:11" x14ac:dyDescent="0.25">
      <c r="A68" s="3"/>
      <c r="B68" s="1">
        <v>44805</v>
      </c>
      <c r="C68">
        <v>2023</v>
      </c>
      <c r="D68" s="23">
        <f t="shared" si="3"/>
        <v>9</v>
      </c>
      <c r="E68" cm="1">
        <f t="array" ref="E68">_xlfn.XLOOKUP(TRUE,ISNUMBER(F68:I68),F68:I68)</f>
        <v>465.05945430047154</v>
      </c>
      <c r="H68" s="7">
        <f>_xlfn.XLOOKUP(B68,'rai-values'!E:E,'rai-values'!H:H)*0.95</f>
        <v>465.05945430047154</v>
      </c>
      <c r="K68">
        <v>114.2</v>
      </c>
    </row>
    <row r="69" spans="1:11" x14ac:dyDescent="0.25">
      <c r="A69" s="3"/>
      <c r="B69" s="1">
        <v>44896</v>
      </c>
      <c r="C69">
        <v>2023</v>
      </c>
      <c r="D69" s="23">
        <f t="shared" si="3"/>
        <v>12</v>
      </c>
      <c r="E69" cm="1">
        <f t="array" ref="E69">_xlfn.XLOOKUP(TRUE,ISNUMBER(F69:I69),F69:I69)</f>
        <v>440</v>
      </c>
      <c r="F69">
        <f>_xlfn.XLOOKUP(B69,'domain-values'!A:A,'domain-values'!C:C)</f>
        <v>440</v>
      </c>
      <c r="G69" s="45">
        <f>_xlfn.XLOOKUP(B69,'Ableson and Joyeux 2023'!A:A,'Ableson and Joyeux 2023'!C:C)</f>
        <v>450</v>
      </c>
      <c r="H69" s="7">
        <f>_xlfn.XLOOKUP(B69,'rai-values'!E:E,'rai-values'!H:H)*0.95</f>
        <v>476.78364222401285</v>
      </c>
      <c r="K69">
        <v>115.8</v>
      </c>
    </row>
    <row r="70" spans="1:11" x14ac:dyDescent="0.25">
      <c r="A70" s="3"/>
      <c r="B70" s="1">
        <v>44986</v>
      </c>
      <c r="C70">
        <v>2023</v>
      </c>
      <c r="D70" s="23">
        <f t="shared" ref="D70:D81" si="4">MONTH(B70)</f>
        <v>3</v>
      </c>
      <c r="E70" cm="1">
        <f t="array" ref="E70">_xlfn.XLOOKUP(TRUE,ISNUMBER(F70:I70),F70:I70)</f>
        <v>450</v>
      </c>
      <c r="F70">
        <f>_xlfn.XLOOKUP(B70,'domain-values'!A:A,'domain-values'!C:C)</f>
        <v>450</v>
      </c>
      <c r="H70" s="7">
        <f>_xlfn.XLOOKUP(B70,'rai-values'!E:E,'rai-values'!H:H)*0.95</f>
        <v>493.36742108397851</v>
      </c>
      <c r="K70">
        <v>117.7</v>
      </c>
    </row>
    <row r="71" spans="1:11" x14ac:dyDescent="0.25">
      <c r="A71" s="3"/>
      <c r="B71" s="1">
        <v>45078</v>
      </c>
      <c r="C71">
        <v>2023</v>
      </c>
      <c r="D71" s="23">
        <f t="shared" si="4"/>
        <v>6</v>
      </c>
      <c r="E71" cm="1">
        <f t="array" ref="E71">_xlfn.XLOOKUP(TRUE,ISNUMBER(F71:I71),F71:I71)</f>
        <v>480</v>
      </c>
      <c r="F71">
        <f>_xlfn.XLOOKUP(B71,'domain-values'!A:A,'domain-values'!C:C)</f>
        <v>480</v>
      </c>
      <c r="H71" s="7">
        <f>_xlfn.XLOOKUP(B71,'rai-values'!E:E,'rai-values'!H:H)*0.95</f>
        <v>506.58261986301363</v>
      </c>
      <c r="K71">
        <v>120.3</v>
      </c>
    </row>
    <row r="72" spans="1:11" x14ac:dyDescent="0.25">
      <c r="A72" s="3"/>
      <c r="B72" s="1">
        <v>45170</v>
      </c>
      <c r="C72">
        <v>2024</v>
      </c>
      <c r="D72" s="23">
        <f t="shared" si="4"/>
        <v>9</v>
      </c>
      <c r="E72" cm="1">
        <f t="array" ref="E72">_xlfn.XLOOKUP(TRUE,ISNUMBER(F72:I72),F72:I72)</f>
        <v>500</v>
      </c>
      <c r="F72">
        <f>_xlfn.XLOOKUP(B72,'domain-values'!A:A,'domain-values'!C:C)</f>
        <v>500</v>
      </c>
      <c r="H72" s="7">
        <f>_xlfn.XLOOKUP(B72,'rai-values'!E:E,'rai-values'!H:H)*0.95</f>
        <v>534.90671107201206</v>
      </c>
      <c r="K72">
        <v>122.9</v>
      </c>
    </row>
    <row r="73" spans="1:11" x14ac:dyDescent="0.25">
      <c r="A73" s="3"/>
      <c r="B73" s="1">
        <v>45261</v>
      </c>
      <c r="C73">
        <v>2024</v>
      </c>
      <c r="D73" s="23">
        <f t="shared" si="4"/>
        <v>12</v>
      </c>
      <c r="E73" cm="1">
        <f t="array" ref="E73">_xlfn.XLOOKUP(TRUE,ISNUMBER(F73:I73),F73:I73)</f>
        <v>520</v>
      </c>
      <c r="F73">
        <f>_xlfn.XLOOKUP(B73,'domain-values'!A:A,'domain-values'!C:C)</f>
        <v>520</v>
      </c>
      <c r="H73" s="7">
        <f>_xlfn.XLOOKUP(B73,'rai-values'!E:E,'rai-values'!H:H)*0.95</f>
        <v>555.28410958904101</v>
      </c>
      <c r="K73">
        <v>124.2</v>
      </c>
    </row>
    <row r="74" spans="1:11" x14ac:dyDescent="0.25">
      <c r="A74" s="3"/>
      <c r="B74" s="1">
        <v>45352</v>
      </c>
      <c r="C74">
        <v>2024</v>
      </c>
      <c r="D74" s="23">
        <f t="shared" si="4"/>
        <v>3</v>
      </c>
      <c r="E74" cm="1">
        <f t="array" ref="E74">_xlfn.XLOOKUP(TRUE,ISNUMBER(F74:I74),F74:I74)</f>
        <v>550</v>
      </c>
      <c r="F74">
        <f>_xlfn.XLOOKUP(B74,'domain-values'!A:A,'domain-values'!C:C)</f>
        <v>550</v>
      </c>
      <c r="H74" s="7">
        <f>_xlfn.XLOOKUP(B74,'rai-values'!E:E,'rai-values'!H:H)*0.95</f>
        <v>577.27555947375561</v>
      </c>
      <c r="K74">
        <v>126.9</v>
      </c>
    </row>
    <row r="75" spans="1:11" x14ac:dyDescent="0.25">
      <c r="A75" s="3"/>
      <c r="B75" s="1">
        <v>45444</v>
      </c>
      <c r="C75">
        <v>2024</v>
      </c>
      <c r="D75" s="23">
        <f t="shared" si="4"/>
        <v>6</v>
      </c>
      <c r="E75" cm="1">
        <f t="array" ref="E75">_xlfn.XLOOKUP(TRUE,ISNUMBER(F75:I75),F75:I75)</f>
        <v>550</v>
      </c>
      <c r="F75">
        <f>_xlfn.XLOOKUP(B75,'domain-values'!A:A,'domain-values'!C:C)</f>
        <v>550</v>
      </c>
      <c r="H75" s="7">
        <f>_xlfn.XLOOKUP(B75,'rai-values'!E:E,'rai-values'!H:H)*0.95</f>
        <v>594.94726027397257</v>
      </c>
      <c r="K75">
        <v>129.1</v>
      </c>
    </row>
    <row r="76" spans="1:11" x14ac:dyDescent="0.25">
      <c r="A76" s="3"/>
      <c r="B76" s="1">
        <v>45536</v>
      </c>
      <c r="C76">
        <v>2025</v>
      </c>
      <c r="D76" s="23">
        <f t="shared" si="4"/>
        <v>9</v>
      </c>
      <c r="E76" cm="1">
        <f t="array" ref="E76">_xlfn.XLOOKUP(TRUE,ISNUMBER(F76:I76),F76:I76)</f>
        <v>570</v>
      </c>
      <c r="F76">
        <f>_xlfn.XLOOKUP(B76,'domain-values'!A:A,'domain-values'!C:C)</f>
        <v>570</v>
      </c>
      <c r="H76" s="7">
        <f>_xlfn.XLOOKUP(B76,'rai-values'!E:E,'rai-values'!H:H)*0.95</f>
        <v>615.99598825831697</v>
      </c>
      <c r="K76">
        <v>131.19999999999999</v>
      </c>
    </row>
    <row r="77" spans="1:11" x14ac:dyDescent="0.25">
      <c r="A77" s="3"/>
      <c r="B77" s="1">
        <v>45627</v>
      </c>
      <c r="C77">
        <v>2025</v>
      </c>
      <c r="D77" s="23">
        <f t="shared" si="4"/>
        <v>12</v>
      </c>
      <c r="E77" cm="1">
        <f t="array" ref="E77">_xlfn.XLOOKUP(TRUE,ISNUMBER(F77:I77),F77:I77)</f>
        <v>620</v>
      </c>
      <c r="F77">
        <f>_xlfn.XLOOKUP(B77,'domain-values'!A:A,'domain-values'!C:C)</f>
        <v>620</v>
      </c>
      <c r="H77" s="7">
        <f>_xlfn.XLOOKUP(B77,'rai-values'!E:E,'rai-values'!H:H)*0.95</f>
        <v>628.8292380136985</v>
      </c>
      <c r="K77">
        <v>132.19999999999999</v>
      </c>
    </row>
    <row r="78" spans="1:11" x14ac:dyDescent="0.25">
      <c r="A78" s="3"/>
      <c r="B78" s="1">
        <v>45717</v>
      </c>
      <c r="C78">
        <v>2025</v>
      </c>
      <c r="D78" s="23">
        <f t="shared" si="4"/>
        <v>3</v>
      </c>
      <c r="E78" cm="1">
        <f t="array" ref="E78">_xlfn.XLOOKUP(TRUE,ISNUMBER(F78:I78),F78:I78)</f>
        <v>650</v>
      </c>
      <c r="F78">
        <f>_xlfn.XLOOKUP(B78,'domain-values'!A:A,'domain-values'!C:C)</f>
        <v>650</v>
      </c>
      <c r="H78" s="7">
        <f>_xlfn.XLOOKUP(B78,'rai-values'!E:E,'rai-values'!H:H)*0.95</f>
        <v>622.34646236407275</v>
      </c>
      <c r="K78">
        <v>133.9</v>
      </c>
    </row>
    <row r="79" spans="1:11" x14ac:dyDescent="0.25">
      <c r="A79" s="3"/>
      <c r="B79" s="1">
        <v>45809</v>
      </c>
      <c r="C79">
        <v>2025</v>
      </c>
      <c r="D79" s="23">
        <f t="shared" si="4"/>
        <v>6</v>
      </c>
      <c r="E79" cm="1">
        <f t="array" ref="E79">_xlfn.XLOOKUP(TRUE,ISNUMBER(F79:I79),F79:I79)</f>
        <v>620</v>
      </c>
      <c r="F79">
        <f>_xlfn.XLOOKUP(B79,'domain-values'!A:A,'domain-values'!C:C)</f>
        <v>620</v>
      </c>
      <c r="H79" s="7">
        <f>_xlfn.XLOOKUP(B79,'rai-values'!E:E,'rai-values'!H:H)*0.95</f>
        <v>642.20858350335163</v>
      </c>
      <c r="K79">
        <v>134.9</v>
      </c>
    </row>
    <row r="80" spans="1:11" x14ac:dyDescent="0.25">
      <c r="A80" s="3"/>
      <c r="B80" s="1">
        <v>45901</v>
      </c>
      <c r="C80">
        <v>2026</v>
      </c>
      <c r="D80" s="23">
        <f t="shared" si="4"/>
        <v>9</v>
      </c>
      <c r="E80" cm="1">
        <f t="array" ref="E80">_xlfn.XLOOKUP(TRUE,ISNUMBER(F80:I80),F80:I80)</f>
        <v>650</v>
      </c>
      <c r="F80">
        <f>_xlfn.XLOOKUP(B80,'domain-values'!A:A,'domain-values'!C:C)</f>
        <v>650</v>
      </c>
      <c r="H80" s="7"/>
      <c r="K80">
        <v>136.1</v>
      </c>
    </row>
    <row r="81" spans="1:11" x14ac:dyDescent="0.25">
      <c r="A81" s="3"/>
      <c r="B81" s="1">
        <v>45992</v>
      </c>
      <c r="C81">
        <v>2026</v>
      </c>
      <c r="D81" s="23">
        <f t="shared" si="4"/>
        <v>12</v>
      </c>
      <c r="E81" cm="1">
        <f t="array" ref="E81">_xlfn.XLOOKUP(TRUE,ISNUMBER(F81:I81),F81:I81)</f>
        <v>660</v>
      </c>
      <c r="F81">
        <f>_xlfn.XLOOKUP(B81,'domain-values'!A:A,'domain-values'!C:C)</f>
        <v>660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K109"/>
  <sheetViews>
    <sheetView workbookViewId="0">
      <pane ySplit="1" topLeftCell="A54" activePane="bottomLeft" state="frozen"/>
      <selection pane="bottomLeft" activeCell="J1" sqref="J1"/>
    </sheetView>
  </sheetViews>
  <sheetFormatPr defaultRowHeight="15" x14ac:dyDescent="0.25"/>
  <cols>
    <col min="1" max="1" width="33.42578125" bestFit="1" customWidth="1"/>
    <col min="5" max="5" width="11" bestFit="1" customWidth="1"/>
  </cols>
  <sheetData>
    <row r="1" spans="1:11" x14ac:dyDescent="0.25">
      <c r="A1" t="s">
        <v>5</v>
      </c>
      <c r="B1" s="1" t="s">
        <v>1</v>
      </c>
      <c r="C1" t="s">
        <v>655</v>
      </c>
      <c r="D1" s="1" t="s">
        <v>633</v>
      </c>
      <c r="E1" s="5" t="s">
        <v>634</v>
      </c>
      <c r="F1" t="s">
        <v>636</v>
      </c>
      <c r="G1" t="s">
        <v>637</v>
      </c>
      <c r="H1" t="s">
        <v>669</v>
      </c>
      <c r="I1" t="s">
        <v>670</v>
      </c>
      <c r="J1" s="6" t="s">
        <v>671</v>
      </c>
      <c r="K1" s="6" t="s">
        <v>639</v>
      </c>
    </row>
    <row r="2" spans="1:11" x14ac:dyDescent="0.25">
      <c r="A2" t="s">
        <v>4</v>
      </c>
      <c r="B2" s="1">
        <v>38777</v>
      </c>
      <c r="C2">
        <v>2006</v>
      </c>
      <c r="D2" s="23">
        <f>MONTH(B2)</f>
        <v>3</v>
      </c>
      <c r="E2" cm="1">
        <f t="array" ref="E2">_xlfn.XLOOKUP(TRUE,ISNUMBER(F2:I2),F2:I2)</f>
        <v>297.15272244355913</v>
      </c>
      <c r="H2" s="7"/>
      <c r="I2">
        <f t="shared" ref="I2:I6" si="0">$G$8*(J2/$J$8)</f>
        <v>297.15272244355913</v>
      </c>
      <c r="J2">
        <v>66.2</v>
      </c>
      <c r="K2">
        <v>72.900000000000006</v>
      </c>
    </row>
    <row r="3" spans="1:11" x14ac:dyDescent="0.25">
      <c r="A3" t="s">
        <v>0</v>
      </c>
      <c r="B3" s="1">
        <v>38869</v>
      </c>
      <c r="C3">
        <v>2006</v>
      </c>
      <c r="D3" s="23">
        <f>MONTH(B3)</f>
        <v>6</v>
      </c>
      <c r="E3" cm="1">
        <f t="array" ref="E3">_xlfn.XLOOKUP(TRUE,ISNUMBER(F3:I3),F3:I3)</f>
        <v>302.09030544488712</v>
      </c>
      <c r="H3" s="7"/>
      <c r="I3">
        <f t="shared" si="0"/>
        <v>302.09030544488712</v>
      </c>
      <c r="J3">
        <v>67.3</v>
      </c>
      <c r="K3">
        <v>73.5</v>
      </c>
    </row>
    <row r="4" spans="1:11" x14ac:dyDescent="0.25">
      <c r="B4" s="1">
        <v>38961</v>
      </c>
      <c r="C4">
        <v>2007</v>
      </c>
      <c r="D4" s="23">
        <f>MONTH(B4)</f>
        <v>9</v>
      </c>
      <c r="E4" cm="1">
        <f t="array" ref="E4">_xlfn.XLOOKUP(TRUE,ISNUMBER(F4:I4),F4:I4)</f>
        <v>308.37450199203192</v>
      </c>
      <c r="H4" s="7"/>
      <c r="I4">
        <f t="shared" si="0"/>
        <v>308.37450199203192</v>
      </c>
      <c r="J4">
        <v>68.7</v>
      </c>
      <c r="K4">
        <v>74.3</v>
      </c>
    </row>
    <row r="5" spans="1:11" x14ac:dyDescent="0.25">
      <c r="B5" s="1">
        <v>39052</v>
      </c>
      <c r="C5">
        <v>2007</v>
      </c>
      <c r="D5" s="23">
        <f>MONTH(B5)</f>
        <v>12</v>
      </c>
      <c r="E5" cm="1">
        <f t="array" ref="E5">_xlfn.XLOOKUP(TRUE,ISNUMBER(F5:I5),F5:I5)</f>
        <v>313.76095617529882</v>
      </c>
      <c r="H5" s="7"/>
      <c r="I5">
        <f t="shared" si="0"/>
        <v>313.76095617529882</v>
      </c>
      <c r="J5">
        <v>69.900000000000006</v>
      </c>
      <c r="K5">
        <v>75</v>
      </c>
    </row>
    <row r="6" spans="1:11" x14ac:dyDescent="0.25">
      <c r="B6" s="1">
        <v>39142</v>
      </c>
      <c r="C6">
        <v>2007</v>
      </c>
      <c r="D6" s="23">
        <f t="shared" ref="D6:D37" si="1">MONTH(B6)</f>
        <v>3</v>
      </c>
      <c r="E6" cm="1">
        <f t="array" ref="E6">_xlfn.XLOOKUP(TRUE,ISNUMBER(F6:I6),F6:I6)</f>
        <v>321.84063745019921</v>
      </c>
      <c r="H6" s="7"/>
      <c r="I6">
        <f t="shared" si="0"/>
        <v>321.84063745019921</v>
      </c>
      <c r="J6">
        <v>71.7</v>
      </c>
      <c r="K6">
        <v>76.099999999999994</v>
      </c>
    </row>
    <row r="7" spans="1:11" x14ac:dyDescent="0.25">
      <c r="B7" s="1">
        <v>39234</v>
      </c>
      <c r="C7">
        <v>2007</v>
      </c>
      <c r="D7" s="23">
        <f t="shared" si="1"/>
        <v>6</v>
      </c>
      <c r="E7" cm="1">
        <f t="array" ref="E7">_xlfn.XLOOKUP(TRUE,ISNUMBER(F7:I7),F7:I7)</f>
        <v>331.26693227091636</v>
      </c>
      <c r="H7" s="7"/>
      <c r="I7">
        <f>$G$8*(J7/$J$8)</f>
        <v>331.26693227091636</v>
      </c>
      <c r="J7">
        <v>73.8</v>
      </c>
      <c r="K7">
        <v>77.3</v>
      </c>
    </row>
    <row r="8" spans="1:11" x14ac:dyDescent="0.25">
      <c r="B8" s="1">
        <v>39326</v>
      </c>
      <c r="C8">
        <v>2008</v>
      </c>
      <c r="D8" s="23">
        <f t="shared" si="1"/>
        <v>9</v>
      </c>
      <c r="E8" cm="1">
        <f t="array" ref="E8">_xlfn.XLOOKUP(TRUE,ISNUMBER(F8:I8),F8:I8)</f>
        <v>338</v>
      </c>
      <c r="G8" s="45">
        <f>_xlfn.XLOOKUP(C8,'Ableson and Joyeux 2023'!A:A,'Ableson and Joyeux 2023'!B:B)</f>
        <v>338</v>
      </c>
      <c r="H8" s="7"/>
      <c r="J8">
        <v>75.3</v>
      </c>
      <c r="K8">
        <v>78.599999999999994</v>
      </c>
    </row>
    <row r="9" spans="1:11" x14ac:dyDescent="0.25">
      <c r="B9" s="1">
        <v>39417</v>
      </c>
      <c r="C9">
        <v>2008</v>
      </c>
      <c r="D9" s="23">
        <f t="shared" si="1"/>
        <v>12</v>
      </c>
      <c r="E9" cm="1">
        <f t="array" ref="E9">_xlfn.XLOOKUP(TRUE,ISNUMBER(F9:I9),F9:I9)</f>
        <v>338</v>
      </c>
      <c r="G9" s="45">
        <f>_xlfn.XLOOKUP(C9,'Ableson and Joyeux 2023'!A:A,'Ableson and Joyeux 2023'!B:B)</f>
        <v>338</v>
      </c>
      <c r="H9" s="7"/>
      <c r="J9">
        <v>77.7</v>
      </c>
      <c r="K9">
        <v>80</v>
      </c>
    </row>
    <row r="10" spans="1:11" x14ac:dyDescent="0.25">
      <c r="B10" s="1">
        <v>39508</v>
      </c>
      <c r="C10">
        <v>2008</v>
      </c>
      <c r="D10" s="23">
        <f t="shared" si="1"/>
        <v>3</v>
      </c>
      <c r="E10" cm="1">
        <f t="array" ref="E10">_xlfn.XLOOKUP(TRUE,ISNUMBER(F10:I10),F10:I10)</f>
        <v>338</v>
      </c>
      <c r="G10" s="45">
        <f>_xlfn.XLOOKUP(C10,'Ableson and Joyeux 2023'!A:A,'Ableson and Joyeux 2023'!B:B)</f>
        <v>338</v>
      </c>
      <c r="H10" s="7"/>
      <c r="J10">
        <v>80.3</v>
      </c>
      <c r="K10">
        <v>81.400000000000006</v>
      </c>
    </row>
    <row r="11" spans="1:11" x14ac:dyDescent="0.25">
      <c r="B11" s="1">
        <v>39600</v>
      </c>
      <c r="C11">
        <v>2008</v>
      </c>
      <c r="D11" s="23">
        <f t="shared" si="1"/>
        <v>6</v>
      </c>
      <c r="E11" cm="1">
        <f t="array" ref="E11">_xlfn.XLOOKUP(TRUE,ISNUMBER(F11:I11),F11:I11)</f>
        <v>338</v>
      </c>
      <c r="G11" s="45">
        <f>_xlfn.XLOOKUP(C11,'Ableson and Joyeux 2023'!A:A,'Ableson and Joyeux 2023'!B:B)</f>
        <v>338</v>
      </c>
      <c r="H11" s="7"/>
      <c r="J11">
        <v>83</v>
      </c>
      <c r="K11">
        <v>83.3</v>
      </c>
    </row>
    <row r="12" spans="1:11" x14ac:dyDescent="0.25">
      <c r="B12" s="1">
        <v>39692</v>
      </c>
      <c r="C12">
        <v>2009</v>
      </c>
      <c r="D12" s="23">
        <f t="shared" si="1"/>
        <v>9</v>
      </c>
      <c r="E12" cm="1">
        <f t="array" ref="E12">_xlfn.XLOOKUP(TRUE,ISNUMBER(F12:I12),F12:I12)</f>
        <v>354.58842794759829</v>
      </c>
      <c r="H12" s="7"/>
      <c r="I12">
        <f t="shared" ref="I12:I14" si="2">$G$16*(J12/$J$16)</f>
        <v>354.58842794759829</v>
      </c>
      <c r="J12">
        <v>85.7</v>
      </c>
      <c r="K12">
        <v>85</v>
      </c>
    </row>
    <row r="13" spans="1:11" x14ac:dyDescent="0.25">
      <c r="B13" s="1">
        <v>39783</v>
      </c>
      <c r="C13">
        <v>2009</v>
      </c>
      <c r="D13" s="23">
        <f t="shared" si="1"/>
        <v>12</v>
      </c>
      <c r="E13" cm="1">
        <f t="array" ref="E13">_xlfn.XLOOKUP(TRUE,ISNUMBER(F13:I13),F13:I13)</f>
        <v>360.79475982532756</v>
      </c>
      <c r="H13" s="7"/>
      <c r="I13">
        <f t="shared" si="2"/>
        <v>360.79475982532756</v>
      </c>
      <c r="J13">
        <v>87.2</v>
      </c>
      <c r="K13">
        <v>86.7</v>
      </c>
    </row>
    <row r="14" spans="1:11" x14ac:dyDescent="0.25">
      <c r="B14" s="1">
        <v>39873</v>
      </c>
      <c r="C14">
        <v>2009</v>
      </c>
      <c r="D14" s="23">
        <f t="shared" si="1"/>
        <v>3</v>
      </c>
      <c r="E14" cm="1">
        <f t="array" ref="E14">_xlfn.XLOOKUP(TRUE,ISNUMBER(F14:I14),F14:I14)</f>
        <v>368.6561135371179</v>
      </c>
      <c r="H14" s="7"/>
      <c r="I14">
        <f t="shared" si="2"/>
        <v>368.6561135371179</v>
      </c>
      <c r="J14">
        <v>89.1</v>
      </c>
      <c r="K14">
        <v>88</v>
      </c>
    </row>
    <row r="15" spans="1:11" x14ac:dyDescent="0.25">
      <c r="B15" s="1">
        <v>39965</v>
      </c>
      <c r="C15">
        <v>2009</v>
      </c>
      <c r="D15" s="23">
        <f t="shared" si="1"/>
        <v>6</v>
      </c>
      <c r="E15" cm="1">
        <f t="array" ref="E15">_xlfn.XLOOKUP(TRUE,ISNUMBER(F15:I15),F15:I15)</f>
        <v>375.27620087336248</v>
      </c>
      <c r="H15" s="7"/>
      <c r="I15">
        <f>$G$16*(J15/$J$16)</f>
        <v>375.27620087336248</v>
      </c>
      <c r="J15">
        <v>90.7</v>
      </c>
      <c r="K15">
        <v>89.3</v>
      </c>
    </row>
    <row r="16" spans="1:11" x14ac:dyDescent="0.25">
      <c r="B16" s="1">
        <v>40057</v>
      </c>
      <c r="C16">
        <v>2010</v>
      </c>
      <c r="D16" s="23">
        <f t="shared" si="1"/>
        <v>9</v>
      </c>
      <c r="E16" cm="1">
        <f t="array" ref="E16">_xlfn.XLOOKUP(TRUE,ISNUMBER(F16:I16),F16:I16)</f>
        <v>379</v>
      </c>
      <c r="G16" s="45">
        <f>_xlfn.XLOOKUP(C16,'Ableson and Joyeux 2023'!A:A,'Ableson and Joyeux 2023'!B:B)</f>
        <v>379</v>
      </c>
      <c r="H16" s="7"/>
      <c r="J16">
        <v>91.6</v>
      </c>
      <c r="K16">
        <v>90.3</v>
      </c>
    </row>
    <row r="17" spans="2:11" x14ac:dyDescent="0.25">
      <c r="B17" s="1">
        <v>40148</v>
      </c>
      <c r="C17">
        <v>2010</v>
      </c>
      <c r="D17" s="23">
        <f t="shared" si="1"/>
        <v>12</v>
      </c>
      <c r="E17" cm="1">
        <f t="array" ref="E17">_xlfn.XLOOKUP(TRUE,ISNUMBER(F17:I17),F17:I17)</f>
        <v>379</v>
      </c>
      <c r="G17" s="45">
        <f>_xlfn.XLOOKUP(C17,'Ableson and Joyeux 2023'!A:A,'Ableson and Joyeux 2023'!B:B)</f>
        <v>379</v>
      </c>
      <c r="H17" s="7"/>
      <c r="J17">
        <v>92.4</v>
      </c>
      <c r="K17">
        <v>91.2</v>
      </c>
    </row>
    <row r="18" spans="2:11" x14ac:dyDescent="0.25">
      <c r="B18" s="1">
        <v>40238</v>
      </c>
      <c r="C18">
        <v>2010</v>
      </c>
      <c r="D18" s="23">
        <f t="shared" si="1"/>
        <v>3</v>
      </c>
      <c r="E18" cm="1">
        <f t="array" ref="E18">_xlfn.XLOOKUP(TRUE,ISNUMBER(F18:I18),F18:I18)</f>
        <v>379</v>
      </c>
      <c r="G18" s="45">
        <f>_xlfn.XLOOKUP(C18,'Ableson and Joyeux 2023'!A:A,'Ableson and Joyeux 2023'!B:B)</f>
        <v>379</v>
      </c>
      <c r="H18" s="7"/>
      <c r="J18">
        <v>93.1</v>
      </c>
      <c r="K18">
        <v>92.1</v>
      </c>
    </row>
    <row r="19" spans="2:11" x14ac:dyDescent="0.25">
      <c r="B19" s="1">
        <v>40330</v>
      </c>
      <c r="C19">
        <v>2010</v>
      </c>
      <c r="D19" s="23">
        <f t="shared" si="1"/>
        <v>6</v>
      </c>
      <c r="E19" cm="1">
        <f t="array" ref="E19">_xlfn.XLOOKUP(TRUE,ISNUMBER(F19:I19),F19:I19)</f>
        <v>379</v>
      </c>
      <c r="G19" s="45">
        <f>_xlfn.XLOOKUP(C19,'Ableson and Joyeux 2023'!A:A,'Ableson and Joyeux 2023'!B:B)</f>
        <v>379</v>
      </c>
      <c r="H19" s="7"/>
      <c r="J19">
        <v>93.9</v>
      </c>
      <c r="K19">
        <v>93</v>
      </c>
    </row>
    <row r="20" spans="2:11" x14ac:dyDescent="0.25">
      <c r="B20" s="1">
        <v>40422</v>
      </c>
      <c r="C20">
        <v>2011</v>
      </c>
      <c r="D20" s="23">
        <f t="shared" si="1"/>
        <v>9</v>
      </c>
      <c r="E20" cm="1">
        <f t="array" ref="E20">_xlfn.XLOOKUP(TRUE,ISNUMBER(F20:I20),F20:I20)</f>
        <v>388.87808170836541</v>
      </c>
      <c r="H20" s="7"/>
      <c r="I20">
        <f t="shared" ref="I20:I21" si="3">$H$22*(J20/$J$22)</f>
        <v>388.87808170836541</v>
      </c>
      <c r="J20">
        <v>94.9</v>
      </c>
      <c r="K20">
        <v>94.1</v>
      </c>
    </row>
    <row r="21" spans="2:11" x14ac:dyDescent="0.25">
      <c r="B21" s="1">
        <v>40513</v>
      </c>
      <c r="C21">
        <v>2011</v>
      </c>
      <c r="D21" s="23">
        <f t="shared" si="1"/>
        <v>12</v>
      </c>
      <c r="E21" cm="1">
        <f t="array" ref="E21">_xlfn.XLOOKUP(TRUE,ISNUMBER(F21:I21),F21:I21)</f>
        <v>391.33674186669015</v>
      </c>
      <c r="H21" s="7"/>
      <c r="I21">
        <f t="shared" si="3"/>
        <v>391.33674186669015</v>
      </c>
      <c r="J21">
        <v>95.5</v>
      </c>
      <c r="K21">
        <v>95.1</v>
      </c>
    </row>
    <row r="22" spans="2:11" x14ac:dyDescent="0.25">
      <c r="B22" s="1">
        <v>40603</v>
      </c>
      <c r="C22">
        <v>2011</v>
      </c>
      <c r="D22" s="23">
        <f t="shared" si="1"/>
        <v>3</v>
      </c>
      <c r="E22" cm="1">
        <f t="array" ref="E22">_xlfn.XLOOKUP(TRUE,ISNUMBER(F22:I22),F22:I22)</f>
        <v>393.79540202501488</v>
      </c>
      <c r="H22" s="7">
        <f>_xlfn.XLOOKUP(B22,'rai-values'!E:E,'rai-values'!H:H)*1.05</f>
        <v>393.79540202501488</v>
      </c>
      <c r="J22">
        <v>96.1</v>
      </c>
      <c r="K22">
        <v>96.2</v>
      </c>
    </row>
    <row r="23" spans="2:11" x14ac:dyDescent="0.25">
      <c r="B23" s="1">
        <v>40695</v>
      </c>
      <c r="C23">
        <v>2011</v>
      </c>
      <c r="D23" s="23">
        <f t="shared" si="1"/>
        <v>6</v>
      </c>
      <c r="E23" cm="1">
        <f t="array" ref="E23">_xlfn.XLOOKUP(TRUE,ISNUMBER(F23:I23),F23:I23)</f>
        <v>393.79540202501488</v>
      </c>
      <c r="H23" s="7">
        <f>_xlfn.XLOOKUP(B23,'rai-values'!E:E,'rai-values'!H:H)*1.05</f>
        <v>393.79540202501488</v>
      </c>
      <c r="J23">
        <v>97.1</v>
      </c>
      <c r="K23">
        <v>97.2</v>
      </c>
    </row>
    <row r="24" spans="2:11" x14ac:dyDescent="0.25">
      <c r="B24" s="1">
        <v>40787</v>
      </c>
      <c r="C24">
        <v>2012</v>
      </c>
      <c r="D24" s="23">
        <f t="shared" si="1"/>
        <v>9</v>
      </c>
      <c r="E24" cm="1">
        <f t="array" ref="E24">_xlfn.XLOOKUP(TRUE,ISNUMBER(F24:I24),F24:I24)</f>
        <v>404.39408360888046</v>
      </c>
      <c r="H24" s="7">
        <f>_xlfn.XLOOKUP(B24,'rai-values'!E:E,'rai-values'!H:H)*1.05</f>
        <v>404.39408360888046</v>
      </c>
      <c r="J24">
        <v>98</v>
      </c>
      <c r="K24">
        <v>98.5</v>
      </c>
    </row>
    <row r="25" spans="2:11" x14ac:dyDescent="0.25">
      <c r="B25" s="1">
        <v>40878</v>
      </c>
      <c r="C25">
        <v>2012</v>
      </c>
      <c r="D25" s="23">
        <f t="shared" si="1"/>
        <v>12</v>
      </c>
      <c r="E25" cm="1">
        <f t="array" ref="E25">_xlfn.XLOOKUP(TRUE,ISNUMBER(F25:I25),F25:I25)</f>
        <v>407.91055390113155</v>
      </c>
      <c r="H25" s="7">
        <f>_xlfn.XLOOKUP(B25,'rai-values'!E:E,'rai-values'!H:H)*1.05</f>
        <v>407.91055390113155</v>
      </c>
      <c r="J25">
        <v>99.2</v>
      </c>
      <c r="K25">
        <v>99.6</v>
      </c>
    </row>
    <row r="26" spans="2:11" x14ac:dyDescent="0.25">
      <c r="B26" s="1">
        <v>40969</v>
      </c>
      <c r="C26">
        <v>2012</v>
      </c>
      <c r="D26" s="23">
        <f t="shared" si="1"/>
        <v>3</v>
      </c>
      <c r="E26" cm="1">
        <f t="array" ref="E26">_xlfn.XLOOKUP(TRUE,ISNUMBER(F26:I26),F26:I26)</f>
        <v>426.45194271481938</v>
      </c>
      <c r="H26" s="7">
        <f>_xlfn.XLOOKUP(B26,'rai-values'!E:E,'rai-values'!H:H)*1.05</f>
        <v>426.45194271481938</v>
      </c>
      <c r="J26">
        <v>100.6</v>
      </c>
      <c r="K26">
        <v>100.5</v>
      </c>
    </row>
    <row r="27" spans="2:11" x14ac:dyDescent="0.25">
      <c r="B27" s="1">
        <v>41061</v>
      </c>
      <c r="C27">
        <v>2012</v>
      </c>
      <c r="D27" s="23">
        <f t="shared" si="1"/>
        <v>6</v>
      </c>
      <c r="E27" cm="1">
        <f t="array" ref="E27">_xlfn.XLOOKUP(TRUE,ISNUMBER(F27:I27),F27:I27)</f>
        <v>459.89915390813854</v>
      </c>
      <c r="H27" s="7">
        <f>_xlfn.XLOOKUP(B27,'rai-values'!E:E,'rai-values'!H:H)*1.05</f>
        <v>459.89915390813854</v>
      </c>
      <c r="J27">
        <v>102.2</v>
      </c>
      <c r="K27">
        <v>101.5</v>
      </c>
    </row>
    <row r="28" spans="2:11" x14ac:dyDescent="0.25">
      <c r="B28" s="1">
        <v>41153</v>
      </c>
      <c r="C28">
        <v>2013</v>
      </c>
      <c r="D28" s="23">
        <f t="shared" si="1"/>
        <v>9</v>
      </c>
      <c r="E28" cm="1">
        <f t="array" ref="E28">_xlfn.XLOOKUP(TRUE,ISNUMBER(F28:I28),F28:I28)</f>
        <v>480.81792908944391</v>
      </c>
      <c r="H28" s="7">
        <f>_xlfn.XLOOKUP(B28,'rai-values'!E:E,'rai-values'!H:H)*1.05</f>
        <v>480.81792908944391</v>
      </c>
      <c r="J28">
        <v>104.2</v>
      </c>
      <c r="K28">
        <v>102.4</v>
      </c>
    </row>
    <row r="29" spans="2:11" x14ac:dyDescent="0.25">
      <c r="B29" s="1">
        <v>41244</v>
      </c>
      <c r="C29">
        <v>2013</v>
      </c>
      <c r="D29" s="23">
        <f t="shared" si="1"/>
        <v>12</v>
      </c>
      <c r="E29" cm="1">
        <f t="array" ref="E29">_xlfn.XLOOKUP(TRUE,ISNUMBER(F29:I29),F29:I29)</f>
        <v>480.81792908944391</v>
      </c>
      <c r="H29" s="7">
        <f>_xlfn.XLOOKUP(B29,'rai-values'!E:E,'rai-values'!H:H)*1.05</f>
        <v>480.81792908944391</v>
      </c>
      <c r="J29">
        <v>105.6</v>
      </c>
      <c r="K29">
        <v>103.3</v>
      </c>
    </row>
    <row r="30" spans="2:11" x14ac:dyDescent="0.25">
      <c r="B30" s="1">
        <v>41334</v>
      </c>
      <c r="C30">
        <v>2013</v>
      </c>
      <c r="D30" s="23">
        <f t="shared" si="1"/>
        <v>3</v>
      </c>
      <c r="E30" cm="1">
        <f t="array" ref="E30">_xlfn.XLOOKUP(TRUE,ISNUMBER(F30:I30),F30:I30)</f>
        <v>485.57850264478498</v>
      </c>
      <c r="H30" s="7">
        <f>_xlfn.XLOOKUP(B30,'rai-values'!E:E,'rai-values'!H:H)*1.05</f>
        <v>485.57850264478498</v>
      </c>
      <c r="J30">
        <v>107.5</v>
      </c>
      <c r="K30">
        <v>104</v>
      </c>
    </row>
    <row r="31" spans="2:11" x14ac:dyDescent="0.25">
      <c r="B31" s="1">
        <v>41426</v>
      </c>
      <c r="C31">
        <v>2013</v>
      </c>
      <c r="D31" s="23">
        <f t="shared" si="1"/>
        <v>6</v>
      </c>
      <c r="E31" cm="1">
        <f t="array" ref="E31">_xlfn.XLOOKUP(TRUE,ISNUMBER(F31:I31),F31:I31)</f>
        <v>480.81792908944391</v>
      </c>
      <c r="H31" s="7">
        <f>_xlfn.XLOOKUP(B31,'rai-values'!E:E,'rai-values'!H:H)*1.05</f>
        <v>480.81792908944391</v>
      </c>
      <c r="J31">
        <v>109.9</v>
      </c>
      <c r="K31">
        <v>105</v>
      </c>
    </row>
    <row r="32" spans="2:11" x14ac:dyDescent="0.25">
      <c r="B32" s="1">
        <v>41518</v>
      </c>
      <c r="C32">
        <v>2014</v>
      </c>
      <c r="D32" s="23">
        <f t="shared" si="1"/>
        <v>9</v>
      </c>
      <c r="E32" cm="1">
        <f t="array" ref="E32">_xlfn.XLOOKUP(TRUE,ISNUMBER(F32:I32),F32:I32)</f>
        <v>475.42251629206004</v>
      </c>
      <c r="H32" s="7">
        <f>_xlfn.XLOOKUP(B32,'rai-values'!E:E,'rai-values'!H:H)*1.05</f>
        <v>475.42251629206004</v>
      </c>
      <c r="J32">
        <v>111.1</v>
      </c>
      <c r="K32">
        <v>105.7</v>
      </c>
    </row>
    <row r="33" spans="1:11" x14ac:dyDescent="0.25">
      <c r="B33" s="1">
        <v>41609</v>
      </c>
      <c r="C33">
        <v>2014</v>
      </c>
      <c r="D33" s="23">
        <f t="shared" si="1"/>
        <v>12</v>
      </c>
      <c r="E33" cm="1">
        <f t="array" ref="E33">_xlfn.XLOOKUP(TRUE,ISNUMBER(F33:I33),F33:I33)</f>
        <v>475.42251629206004</v>
      </c>
      <c r="H33" s="7">
        <f>_xlfn.XLOOKUP(B33,'rai-values'!E:E,'rai-values'!H:H)*1.05</f>
        <v>475.42251629206004</v>
      </c>
      <c r="J33">
        <v>111.7</v>
      </c>
      <c r="K33">
        <v>106.4</v>
      </c>
    </row>
    <row r="34" spans="1:11" x14ac:dyDescent="0.25">
      <c r="B34" s="1">
        <v>41699</v>
      </c>
      <c r="C34">
        <v>2014</v>
      </c>
      <c r="D34" s="23">
        <f t="shared" si="1"/>
        <v>3</v>
      </c>
      <c r="E34" cm="1">
        <f t="array" ref="E34">_xlfn.XLOOKUP(TRUE,ISNUMBER(F34:I34),F34:I34)</f>
        <v>466.36684931506846</v>
      </c>
      <c r="H34" s="7">
        <f>_xlfn.XLOOKUP(B34,'rai-values'!E:E,'rai-values'!H:H)*1.05</f>
        <v>466.36684931506846</v>
      </c>
      <c r="J34">
        <v>112.5</v>
      </c>
      <c r="K34">
        <v>107</v>
      </c>
    </row>
    <row r="35" spans="1:11" x14ac:dyDescent="0.25">
      <c r="B35" s="1">
        <v>41791</v>
      </c>
      <c r="C35">
        <v>2014</v>
      </c>
      <c r="D35" s="23">
        <f t="shared" si="1"/>
        <v>6</v>
      </c>
      <c r="E35" cm="1">
        <f t="array" ref="E35">_xlfn.XLOOKUP(TRUE,ISNUMBER(F35:I35),F35:I35)</f>
        <v>466.36684931506846</v>
      </c>
      <c r="H35" s="7">
        <f>_xlfn.XLOOKUP(B35,'rai-values'!E:E,'rai-values'!H:H)*1.05</f>
        <v>466.36684931506846</v>
      </c>
      <c r="J35">
        <v>113.1</v>
      </c>
      <c r="K35">
        <v>107.5</v>
      </c>
    </row>
    <row r="36" spans="1:11" x14ac:dyDescent="0.25">
      <c r="B36" s="1">
        <v>41883</v>
      </c>
      <c r="C36">
        <v>2015</v>
      </c>
      <c r="D36" s="23">
        <f t="shared" si="1"/>
        <v>9</v>
      </c>
      <c r="E36" cm="1">
        <f t="array" ref="E36">_xlfn.XLOOKUP(TRUE,ISNUMBER(F36:I36),F36:I36)</f>
        <v>444</v>
      </c>
      <c r="G36" s="45">
        <f>_xlfn.XLOOKUP(C36,'Ableson and Joyeux 2023'!A:A,'Ableson and Joyeux 2023'!B:B)</f>
        <v>444</v>
      </c>
      <c r="H36" s="7">
        <f>_xlfn.XLOOKUP(B36,'rai-values'!E:E,'rai-values'!H:H)*1.05</f>
        <v>454.01032378580317</v>
      </c>
      <c r="J36">
        <v>113.4</v>
      </c>
      <c r="K36">
        <v>108.3</v>
      </c>
    </row>
    <row r="37" spans="1:11" x14ac:dyDescent="0.25">
      <c r="B37" s="1">
        <v>41974</v>
      </c>
      <c r="C37">
        <v>2015</v>
      </c>
      <c r="D37" s="23">
        <f t="shared" si="1"/>
        <v>12</v>
      </c>
      <c r="E37" cm="1">
        <f t="array" ref="E37">_xlfn.XLOOKUP(TRUE,ISNUMBER(F37:I37),F37:I37)</f>
        <v>444</v>
      </c>
      <c r="G37" s="45">
        <f>_xlfn.XLOOKUP(C37,'Ableson and Joyeux 2023'!A:A,'Ableson and Joyeux 2023'!B:B)</f>
        <v>444</v>
      </c>
      <c r="H37" s="7">
        <f>_xlfn.XLOOKUP(B37,'rai-values'!E:E,'rai-values'!H:H)*1.05</f>
        <v>445.9029965753424</v>
      </c>
      <c r="J37">
        <v>113.4</v>
      </c>
      <c r="K37">
        <v>108.9</v>
      </c>
    </row>
    <row r="38" spans="1:11" x14ac:dyDescent="0.25">
      <c r="B38" s="1">
        <v>42064</v>
      </c>
      <c r="C38">
        <v>2015</v>
      </c>
      <c r="D38" s="23">
        <f t="shared" ref="D38:D69" si="4">MONTH(B38)</f>
        <v>3</v>
      </c>
      <c r="E38" cm="1">
        <f t="array" ref="E38">_xlfn.XLOOKUP(TRUE,ISNUMBER(F38:I38),F38:I38)</f>
        <v>444</v>
      </c>
      <c r="G38" s="45">
        <f>_xlfn.XLOOKUP(C38,'Ableson and Joyeux 2023'!A:A,'Ableson and Joyeux 2023'!B:B)</f>
        <v>444</v>
      </c>
      <c r="H38" s="7">
        <f>_xlfn.XLOOKUP(B38,'rai-values'!E:E,'rai-values'!H:H)*1.05</f>
        <v>441.95695235786161</v>
      </c>
      <c r="J38">
        <v>112.6</v>
      </c>
      <c r="K38">
        <v>109.2</v>
      </c>
    </row>
    <row r="39" spans="1:11" x14ac:dyDescent="0.25">
      <c r="B39" s="1">
        <v>42156</v>
      </c>
      <c r="C39">
        <v>2015</v>
      </c>
      <c r="D39" s="23">
        <f t="shared" si="4"/>
        <v>6</v>
      </c>
      <c r="E39" cm="1">
        <f t="array" ref="E39">_xlfn.XLOOKUP(TRUE,ISNUMBER(F39:I39),F39:I39)</f>
        <v>444</v>
      </c>
      <c r="G39" s="45">
        <f>_xlfn.XLOOKUP(C39,'Ableson and Joyeux 2023'!A:A,'Ableson and Joyeux 2023'!B:B)</f>
        <v>444</v>
      </c>
      <c r="H39" s="7">
        <f>_xlfn.XLOOKUP(B39,'rai-values'!E:E,'rai-values'!H:H)*1.05</f>
        <v>434.27074449076827</v>
      </c>
      <c r="J39">
        <v>112.6</v>
      </c>
      <c r="K39">
        <v>109.6</v>
      </c>
    </row>
    <row r="40" spans="1:11" x14ac:dyDescent="0.25">
      <c r="B40" s="1">
        <v>42248</v>
      </c>
      <c r="C40">
        <v>2016</v>
      </c>
      <c r="D40" s="23">
        <f t="shared" si="4"/>
        <v>9</v>
      </c>
      <c r="E40" cm="1">
        <f t="array" ref="E40">_xlfn.XLOOKUP(TRUE,ISNUMBER(F40:I40),F40:I40)</f>
        <v>408</v>
      </c>
      <c r="G40" s="45">
        <f>_xlfn.XLOOKUP(C40,'Ableson and Joyeux 2023'!A:A,'Ableson and Joyeux 2023'!B:B)</f>
        <v>408</v>
      </c>
      <c r="H40" s="7">
        <f>_xlfn.XLOOKUP(B40,'rai-values'!E:E,'rai-values'!H:H)*1.05</f>
        <v>423.60369166473185</v>
      </c>
      <c r="J40">
        <v>111.6</v>
      </c>
      <c r="K40">
        <v>109.9</v>
      </c>
    </row>
    <row r="41" spans="1:11" x14ac:dyDescent="0.25">
      <c r="B41" s="1">
        <v>42339</v>
      </c>
      <c r="C41">
        <v>2016</v>
      </c>
      <c r="D41" s="23">
        <f t="shared" si="4"/>
        <v>12</v>
      </c>
      <c r="E41" cm="1">
        <f t="array" ref="E41">_xlfn.XLOOKUP(TRUE,ISNUMBER(F41:I41),F41:I41)</f>
        <v>408</v>
      </c>
      <c r="G41" s="45">
        <f>_xlfn.XLOOKUP(C41,'Ableson and Joyeux 2023'!A:A,'Ableson and Joyeux 2023'!B:B)</f>
        <v>408</v>
      </c>
      <c r="H41" s="7">
        <f>_xlfn.XLOOKUP(B41,'rai-values'!E:E,'rai-values'!H:H)*1.05</f>
        <v>409.71504603637993</v>
      </c>
      <c r="J41">
        <v>110.1</v>
      </c>
      <c r="K41">
        <v>110.1</v>
      </c>
    </row>
    <row r="42" spans="1:11" x14ac:dyDescent="0.25">
      <c r="B42" s="1">
        <v>42430</v>
      </c>
      <c r="C42">
        <v>2016</v>
      </c>
      <c r="D42" s="23">
        <f t="shared" si="4"/>
        <v>3</v>
      </c>
      <c r="E42" cm="1">
        <f t="array" ref="E42">_xlfn.XLOOKUP(TRUE,ISNUMBER(F42:I42),F42:I42)</f>
        <v>408</v>
      </c>
      <c r="G42" s="45">
        <f>_xlfn.XLOOKUP(C42,'Ableson and Joyeux 2023'!A:A,'Ableson and Joyeux 2023'!B:B)</f>
        <v>408</v>
      </c>
      <c r="H42" s="7">
        <f>_xlfn.XLOOKUP(B42,'rai-values'!E:E,'rai-values'!H:H)*1.05</f>
        <v>403.10673884224479</v>
      </c>
      <c r="J42">
        <v>107.6</v>
      </c>
      <c r="K42">
        <v>110.2</v>
      </c>
    </row>
    <row r="43" spans="1:11" x14ac:dyDescent="0.25">
      <c r="B43" s="1">
        <v>42522</v>
      </c>
      <c r="C43">
        <v>2016</v>
      </c>
      <c r="D43" s="23">
        <f t="shared" si="4"/>
        <v>6</v>
      </c>
      <c r="E43" cm="1">
        <f t="array" ref="E43">_xlfn.XLOOKUP(TRUE,ISNUMBER(F43:I43),F43:I43)</f>
        <v>408</v>
      </c>
      <c r="G43" s="45">
        <f>_xlfn.XLOOKUP(C43,'Ableson and Joyeux 2023'!A:A,'Ableson and Joyeux 2023'!B:B)</f>
        <v>408</v>
      </c>
      <c r="H43" s="7">
        <f>_xlfn.XLOOKUP(B43,'rai-values'!E:E,'rai-values'!H:H)*1.05</f>
        <v>396.70821917808217</v>
      </c>
      <c r="J43">
        <v>106.8</v>
      </c>
      <c r="K43">
        <v>110.4</v>
      </c>
    </row>
    <row r="44" spans="1:11" x14ac:dyDescent="0.25">
      <c r="B44" s="1">
        <v>42614</v>
      </c>
      <c r="C44">
        <v>2017</v>
      </c>
      <c r="D44" s="23">
        <f t="shared" si="4"/>
        <v>9</v>
      </c>
      <c r="E44" cm="1">
        <f t="array" ref="E44">_xlfn.XLOOKUP(TRUE,ISNUMBER(F44:I44),F44:I44)</f>
        <v>378</v>
      </c>
      <c r="G44" s="45">
        <f>_xlfn.XLOOKUP(C44,'Ableson and Joyeux 2023'!A:A,'Ableson and Joyeux 2023'!B:B)</f>
        <v>378</v>
      </c>
      <c r="H44" s="7">
        <f>_xlfn.XLOOKUP(B44,'rai-values'!E:E,'rai-values'!H:H)*1.05</f>
        <v>381.64507999581718</v>
      </c>
      <c r="J44">
        <v>104.5</v>
      </c>
      <c r="K44">
        <v>110.7</v>
      </c>
    </row>
    <row r="45" spans="1:11" x14ac:dyDescent="0.25">
      <c r="B45" s="1">
        <v>42705</v>
      </c>
      <c r="C45">
        <v>2017</v>
      </c>
      <c r="D45" s="23">
        <f t="shared" si="4"/>
        <v>12</v>
      </c>
      <c r="E45" cm="1">
        <f t="array" ref="E45">_xlfn.XLOOKUP(TRUE,ISNUMBER(F45:I45),F45:I45)</f>
        <v>378</v>
      </c>
      <c r="G45" s="45">
        <f>_xlfn.XLOOKUP(C45,'Ableson and Joyeux 2023'!A:A,'Ableson and Joyeux 2023'!B:B)</f>
        <v>378</v>
      </c>
      <c r="H45" s="7">
        <f>_xlfn.XLOOKUP(B45,'rai-values'!E:E,'rai-values'!H:H)*1.05</f>
        <v>370.33707762557077</v>
      </c>
      <c r="J45">
        <v>102.2</v>
      </c>
      <c r="K45">
        <v>110.8</v>
      </c>
    </row>
    <row r="46" spans="1:11" x14ac:dyDescent="0.25">
      <c r="A46" s="3"/>
      <c r="B46" s="1">
        <v>42795</v>
      </c>
      <c r="C46">
        <v>2017</v>
      </c>
      <c r="D46" s="23">
        <f t="shared" si="4"/>
        <v>3</v>
      </c>
      <c r="E46" cm="1">
        <f t="array" ref="E46">_xlfn.XLOOKUP(TRUE,ISNUMBER(F46:I46),F46:I46)</f>
        <v>378</v>
      </c>
      <c r="G46" s="45">
        <f>_xlfn.XLOOKUP(C46,'Ableson and Joyeux 2023'!A:A,'Ableson and Joyeux 2023'!B:B)</f>
        <v>378</v>
      </c>
      <c r="H46" s="7">
        <f>_xlfn.XLOOKUP(B46,'rai-values'!E:E,'rai-values'!H:H)*1.05</f>
        <v>364.93069693030691</v>
      </c>
      <c r="J46">
        <v>99.7</v>
      </c>
      <c r="K46">
        <v>110.9</v>
      </c>
    </row>
    <row r="47" spans="1:11" x14ac:dyDescent="0.25">
      <c r="A47" s="3"/>
      <c r="B47" s="1">
        <v>42887</v>
      </c>
      <c r="C47">
        <v>2017</v>
      </c>
      <c r="D47" s="23">
        <f t="shared" si="4"/>
        <v>6</v>
      </c>
      <c r="E47" cm="1">
        <f t="array" ref="E47">_xlfn.XLOOKUP(TRUE,ISNUMBER(F47:I47),F47:I47)</f>
        <v>378</v>
      </c>
      <c r="G47" s="45">
        <f>_xlfn.XLOOKUP(C47,'Ableson and Joyeux 2023'!A:A,'Ableson and Joyeux 2023'!B:B)</f>
        <v>378</v>
      </c>
      <c r="H47" s="7">
        <f>_xlfn.XLOOKUP(B47,'rai-values'!E:E,'rai-values'!H:H)*1.05</f>
        <v>359.67989553562626</v>
      </c>
      <c r="J47">
        <v>98.2</v>
      </c>
      <c r="K47">
        <v>111.1</v>
      </c>
    </row>
    <row r="48" spans="1:11" x14ac:dyDescent="0.25">
      <c r="A48" s="3"/>
      <c r="B48" s="1">
        <v>42979</v>
      </c>
      <c r="C48">
        <v>2018</v>
      </c>
      <c r="D48" s="23">
        <f t="shared" si="4"/>
        <v>9</v>
      </c>
      <c r="E48" cm="1">
        <f t="array" ref="E48">_xlfn.XLOOKUP(TRUE,ISNUMBER(F48:I48),F48:I48)</f>
        <v>360</v>
      </c>
      <c r="G48" s="45">
        <f>_xlfn.XLOOKUP(C48,'Ableson and Joyeux 2023'!A:A,'Ableson and Joyeux 2023'!B:B)</f>
        <v>360</v>
      </c>
      <c r="H48" s="7">
        <f>_xlfn.XLOOKUP(B48,'rai-values'!E:E,'rai-values'!H:H)*1.05</f>
        <v>361.35112868994781</v>
      </c>
      <c r="J48">
        <v>96.1</v>
      </c>
      <c r="K48">
        <v>111.3</v>
      </c>
    </row>
    <row r="49" spans="1:11" x14ac:dyDescent="0.25">
      <c r="A49" s="3"/>
      <c r="B49" s="1">
        <v>43070</v>
      </c>
      <c r="C49">
        <v>2018</v>
      </c>
      <c r="D49" s="23">
        <f t="shared" si="4"/>
        <v>12</v>
      </c>
      <c r="E49" cm="1">
        <f t="array" ref="E49">_xlfn.XLOOKUP(TRUE,ISNUMBER(F49:I49),F49:I49)</f>
        <v>360</v>
      </c>
      <c r="G49" s="45">
        <f>_xlfn.XLOOKUP(C49,'Ableson and Joyeux 2023'!A:A,'Ableson and Joyeux 2023'!B:B)</f>
        <v>360</v>
      </c>
      <c r="H49" s="7">
        <f>_xlfn.XLOOKUP(B49,'rai-values'!E:E,'rai-values'!H:H)*1.05</f>
        <v>351.45109776693556</v>
      </c>
      <c r="J49">
        <v>94.9</v>
      </c>
      <c r="K49">
        <v>111.6</v>
      </c>
    </row>
    <row r="50" spans="1:11" x14ac:dyDescent="0.25">
      <c r="A50" s="3"/>
      <c r="B50" s="1">
        <v>43160</v>
      </c>
      <c r="C50">
        <v>2018</v>
      </c>
      <c r="D50" s="23">
        <f t="shared" si="4"/>
        <v>3</v>
      </c>
      <c r="E50" cm="1">
        <f t="array" ref="E50">_xlfn.XLOOKUP(TRUE,ISNUMBER(F50:I50),F50:I50)</f>
        <v>360</v>
      </c>
      <c r="G50" s="45">
        <f>_xlfn.XLOOKUP(C50,'Ableson and Joyeux 2023'!A:A,'Ableson and Joyeux 2023'!B:B)</f>
        <v>360</v>
      </c>
      <c r="H50" s="7">
        <f>_xlfn.XLOOKUP(B50,'rai-values'!E:E,'rai-values'!H:H)*1.05</f>
        <v>356.33236301369857</v>
      </c>
      <c r="K50">
        <v>111.8</v>
      </c>
    </row>
    <row r="51" spans="1:11" x14ac:dyDescent="0.25">
      <c r="A51" s="3"/>
      <c r="B51" s="1">
        <v>43252</v>
      </c>
      <c r="C51">
        <v>2018</v>
      </c>
      <c r="D51" s="23">
        <f t="shared" si="4"/>
        <v>6</v>
      </c>
      <c r="E51" cm="1">
        <f t="array" ref="E51">_xlfn.XLOOKUP(TRUE,ISNUMBER(F51:I51),F51:I51)</f>
        <v>360</v>
      </c>
      <c r="G51" s="45">
        <f>_xlfn.XLOOKUP(C51,'Ableson and Joyeux 2023'!A:A,'Ableson and Joyeux 2023'!B:B)</f>
        <v>360</v>
      </c>
      <c r="H51" s="7">
        <f>_xlfn.XLOOKUP(B51,'rai-values'!E:E,'rai-values'!H:H)*1.05</f>
        <v>353.87489844119034</v>
      </c>
      <c r="K51">
        <v>111.8</v>
      </c>
    </row>
    <row r="52" spans="1:11" x14ac:dyDescent="0.25">
      <c r="A52" s="3"/>
      <c r="B52" s="1">
        <v>43344</v>
      </c>
      <c r="C52">
        <v>2019</v>
      </c>
      <c r="D52" s="23">
        <f t="shared" si="4"/>
        <v>9</v>
      </c>
      <c r="E52" cm="1">
        <f t="array" ref="E52">_xlfn.XLOOKUP(TRUE,ISNUMBER(F52:I52),F52:I52)</f>
        <v>365</v>
      </c>
      <c r="G52" s="45">
        <f>_xlfn.XLOOKUP(C52,'Ableson and Joyeux 2023'!A:A,'Ableson and Joyeux 2023'!B:B)</f>
        <v>365</v>
      </c>
      <c r="H52" s="7">
        <f>_xlfn.XLOOKUP(B52,'rai-values'!E:E,'rai-values'!H:H)*1.05</f>
        <v>367.17364194615021</v>
      </c>
      <c r="K52">
        <v>112</v>
      </c>
    </row>
    <row r="53" spans="1:11" x14ac:dyDescent="0.25">
      <c r="A53" s="3"/>
      <c r="B53" s="1">
        <v>43435</v>
      </c>
      <c r="C53">
        <v>2019</v>
      </c>
      <c r="D53" s="23">
        <f t="shared" si="4"/>
        <v>12</v>
      </c>
      <c r="E53" cm="1">
        <f t="array" ref="E53">_xlfn.XLOOKUP(TRUE,ISNUMBER(F53:I53),F53:I53)</f>
        <v>365</v>
      </c>
      <c r="G53" s="45">
        <f>_xlfn.XLOOKUP(C53,'Ableson and Joyeux 2023'!A:A,'Ableson and Joyeux 2023'!B:B)</f>
        <v>365</v>
      </c>
      <c r="H53" s="7">
        <f>_xlfn.XLOOKUP(B53,'rai-values'!E:E,'rai-values'!H:H)*1.05</f>
        <v>362.17808219178073</v>
      </c>
      <c r="K53">
        <v>112.2</v>
      </c>
    </row>
    <row r="54" spans="1:11" x14ac:dyDescent="0.25">
      <c r="A54" s="3"/>
      <c r="B54" s="1">
        <v>43525</v>
      </c>
      <c r="C54">
        <v>2019</v>
      </c>
      <c r="D54" s="23">
        <f t="shared" si="4"/>
        <v>3</v>
      </c>
      <c r="E54" cm="1">
        <f t="array" ref="E54">_xlfn.XLOOKUP(TRUE,ISNUMBER(F54:I54),F54:I54)</f>
        <v>365</v>
      </c>
      <c r="G54" s="45">
        <f>_xlfn.XLOOKUP(C54,'Ableson and Joyeux 2023'!A:A,'Ableson and Joyeux 2023'!B:B)</f>
        <v>365</v>
      </c>
      <c r="H54" s="7">
        <f>_xlfn.XLOOKUP(B54,'rai-values'!E:E,'rai-values'!H:H)*1.05</f>
        <v>364.65875398761489</v>
      </c>
      <c r="K54">
        <v>112.3</v>
      </c>
    </row>
    <row r="55" spans="1:11" x14ac:dyDescent="0.25">
      <c r="A55" s="3"/>
      <c r="B55" s="1">
        <v>43617</v>
      </c>
      <c r="C55">
        <v>2019</v>
      </c>
      <c r="D55" s="23">
        <f t="shared" si="4"/>
        <v>6</v>
      </c>
      <c r="E55" cm="1">
        <f t="array" ref="E55">_xlfn.XLOOKUP(TRUE,ISNUMBER(F55:I55),F55:I55)</f>
        <v>365</v>
      </c>
      <c r="G55" s="45">
        <f>_xlfn.XLOOKUP(C55,'Ableson and Joyeux 2023'!A:A,'Ableson and Joyeux 2023'!B:B)</f>
        <v>365</v>
      </c>
      <c r="H55" s="7">
        <f>_xlfn.XLOOKUP(B55,'rai-values'!E:E,'rai-values'!H:H)*1.05</f>
        <v>362.17808219178073</v>
      </c>
      <c r="K55">
        <v>112.3</v>
      </c>
    </row>
    <row r="56" spans="1:11" x14ac:dyDescent="0.25">
      <c r="A56" s="3"/>
      <c r="B56" s="1">
        <v>43709</v>
      </c>
      <c r="C56">
        <v>2020</v>
      </c>
      <c r="D56" s="23">
        <f t="shared" si="4"/>
        <v>9</v>
      </c>
      <c r="E56" cm="1">
        <f t="array" ref="E56">_xlfn.XLOOKUP(TRUE,ISNUMBER(F56:I56),F56:I56)</f>
        <v>376</v>
      </c>
      <c r="G56" s="45">
        <f>_xlfn.XLOOKUP(C56,'Ableson and Joyeux 2023'!A:A,'Ableson and Joyeux 2023'!B:B)</f>
        <v>376</v>
      </c>
      <c r="H56" s="7">
        <f>_xlfn.XLOOKUP(B56,'rai-values'!E:E,'rai-values'!H:H)*1.05</f>
        <v>383.29512103584159</v>
      </c>
      <c r="K56">
        <v>112.4</v>
      </c>
    </row>
    <row r="57" spans="1:11" x14ac:dyDescent="0.25">
      <c r="A57" s="3"/>
      <c r="B57" s="1">
        <v>43800</v>
      </c>
      <c r="C57">
        <v>2020</v>
      </c>
      <c r="D57" s="23">
        <f t="shared" si="4"/>
        <v>12</v>
      </c>
      <c r="E57" cm="1">
        <f t="array" ref="E57">_xlfn.XLOOKUP(TRUE,ISNUMBER(F57:I57),F57:I57)</f>
        <v>376</v>
      </c>
      <c r="G57" s="45">
        <f>_xlfn.XLOOKUP(C57,'Ableson and Joyeux 2023'!A:A,'Ableson and Joyeux 2023'!B:B)</f>
        <v>376</v>
      </c>
      <c r="H57" s="7">
        <f>_xlfn.XLOOKUP(B57,'rai-values'!E:E,'rai-values'!H:H)*1.05</f>
        <v>388.61866438356162</v>
      </c>
      <c r="K57">
        <v>112.4</v>
      </c>
    </row>
    <row r="58" spans="1:11" x14ac:dyDescent="0.25">
      <c r="A58" s="3"/>
      <c r="B58" s="1">
        <v>43891</v>
      </c>
      <c r="C58">
        <v>2020</v>
      </c>
      <c r="D58" s="23">
        <f t="shared" si="4"/>
        <v>3</v>
      </c>
      <c r="E58" cm="1">
        <f t="array" ref="E58">_xlfn.XLOOKUP(TRUE,ISNUMBER(F58:I58),F58:I58)</f>
        <v>376</v>
      </c>
      <c r="G58" s="45">
        <f>_xlfn.XLOOKUP(C58,'Ableson and Joyeux 2023'!A:A,'Ableson and Joyeux 2023'!B:B)</f>
        <v>376</v>
      </c>
      <c r="H58" s="7">
        <f>_xlfn.XLOOKUP(B58,'rai-values'!E:E,'rai-values'!H:H)*1.05</f>
        <v>383.29512103584159</v>
      </c>
      <c r="K58">
        <v>112.5</v>
      </c>
    </row>
    <row r="59" spans="1:11" x14ac:dyDescent="0.25">
      <c r="A59" s="3"/>
      <c r="B59" s="1">
        <v>43983</v>
      </c>
      <c r="C59">
        <v>2020</v>
      </c>
      <c r="D59" s="23">
        <f t="shared" si="4"/>
        <v>6</v>
      </c>
      <c r="E59" cm="1">
        <f t="array" ref="E59">_xlfn.XLOOKUP(TRUE,ISNUMBER(F59:I59),F59:I59)</f>
        <v>376</v>
      </c>
      <c r="G59" s="45">
        <f>_xlfn.XLOOKUP(C59,'Ableson and Joyeux 2023'!A:A,'Ableson and Joyeux 2023'!B:B)</f>
        <v>376</v>
      </c>
      <c r="H59" s="7">
        <f>_xlfn.XLOOKUP(B59,'rai-values'!E:E,'rai-values'!H:H)*1.05</f>
        <v>368.16505046863733</v>
      </c>
      <c r="K59">
        <v>111</v>
      </c>
    </row>
    <row r="60" spans="1:11" x14ac:dyDescent="0.25">
      <c r="A60" s="3"/>
      <c r="B60" s="1">
        <v>44075</v>
      </c>
      <c r="C60">
        <v>2021</v>
      </c>
      <c r="D60" s="23">
        <f t="shared" si="4"/>
        <v>9</v>
      </c>
      <c r="E60" cm="1">
        <f t="array" ref="E60">_xlfn.XLOOKUP(TRUE,ISNUMBER(F60:I60),F60:I60)</f>
        <v>427</v>
      </c>
      <c r="G60" s="45">
        <f>_xlfn.XLOOKUP(C60,'Ableson and Joyeux 2023'!A:A,'Ableson and Joyeux 2023'!B:B)</f>
        <v>427</v>
      </c>
      <c r="H60" s="7">
        <f>_xlfn.XLOOKUP(B60,'rai-values'!E:E,'rai-values'!H:H)*1.05</f>
        <v>402.77328767123282</v>
      </c>
      <c r="K60">
        <v>110.8</v>
      </c>
    </row>
    <row r="61" spans="1:11" x14ac:dyDescent="0.25">
      <c r="A61" s="3"/>
      <c r="B61" s="1">
        <v>44166</v>
      </c>
      <c r="C61">
        <v>2021</v>
      </c>
      <c r="D61" s="23">
        <f t="shared" si="4"/>
        <v>12</v>
      </c>
      <c r="E61" cm="1">
        <f t="array" ref="E61">_xlfn.XLOOKUP(TRUE,ISNUMBER(F61:I61),F61:I61)</f>
        <v>427</v>
      </c>
      <c r="G61" s="45">
        <f>_xlfn.XLOOKUP(C61,'Ableson and Joyeux 2023'!A:A,'Ableson and Joyeux 2023'!B:B)</f>
        <v>427</v>
      </c>
      <c r="H61" s="7">
        <f>_xlfn.XLOOKUP(B61,'rai-values'!E:E,'rai-values'!H:H)*1.05</f>
        <v>426.46583400483485</v>
      </c>
      <c r="K61">
        <v>110.9</v>
      </c>
    </row>
    <row r="62" spans="1:11" x14ac:dyDescent="0.25">
      <c r="A62" s="3"/>
      <c r="B62" s="1">
        <v>44256</v>
      </c>
      <c r="C62">
        <v>2021</v>
      </c>
      <c r="D62" s="23">
        <f t="shared" si="4"/>
        <v>3</v>
      </c>
      <c r="E62" cm="1">
        <f t="array" ref="E62">_xlfn.XLOOKUP(TRUE,ISNUMBER(F62:I62),F62:I62)</f>
        <v>427</v>
      </c>
      <c r="G62" s="45">
        <f>_xlfn.XLOOKUP(C62,'Ableson and Joyeux 2023'!A:A,'Ableson and Joyeux 2023'!B:B)</f>
        <v>427</v>
      </c>
      <c r="H62" s="7">
        <f>_xlfn.XLOOKUP(B62,'rai-values'!E:E,'rai-values'!H:H)*1.05</f>
        <v>432.83099570639951</v>
      </c>
      <c r="K62">
        <v>110.9</v>
      </c>
    </row>
    <row r="63" spans="1:11" x14ac:dyDescent="0.25">
      <c r="A63" s="3"/>
      <c r="B63" s="1">
        <v>44348</v>
      </c>
      <c r="C63">
        <v>2021</v>
      </c>
      <c r="D63" s="23">
        <f t="shared" si="4"/>
        <v>6</v>
      </c>
      <c r="E63" cm="1">
        <f t="array" ref="E63">_xlfn.XLOOKUP(TRUE,ISNUMBER(F63:I63),F63:I63)</f>
        <v>427</v>
      </c>
      <c r="G63" s="45">
        <f>_xlfn.XLOOKUP(C63,'Ableson and Joyeux 2023'!A:A,'Ableson and Joyeux 2023'!B:B)</f>
        <v>427</v>
      </c>
      <c r="H63" s="7">
        <f>_xlfn.XLOOKUP(B63,'rai-values'!E:E,'rai-values'!H:H)*1.05</f>
        <v>439.38904109589038</v>
      </c>
      <c r="K63">
        <v>111</v>
      </c>
    </row>
    <row r="64" spans="1:11" x14ac:dyDescent="0.25">
      <c r="A64" s="3"/>
      <c r="B64" s="1">
        <v>44440</v>
      </c>
      <c r="C64">
        <v>2022</v>
      </c>
      <c r="D64" s="23">
        <f t="shared" si="4"/>
        <v>9</v>
      </c>
      <c r="E64" cm="1">
        <f t="array" ref="E64">_xlfn.XLOOKUP(TRUE,ISNUMBER(F64:I64),F64:I64)</f>
        <v>457.58977871443625</v>
      </c>
      <c r="H64" s="7">
        <f>_xlfn.XLOOKUP(B64,'rai-values'!E:E,'rai-values'!H:H)*1.05</f>
        <v>457.58977871443625</v>
      </c>
      <c r="K64">
        <v>111.2</v>
      </c>
    </row>
    <row r="65" spans="1:11" x14ac:dyDescent="0.25">
      <c r="A65" s="3"/>
      <c r="B65" s="1">
        <v>44531</v>
      </c>
      <c r="C65">
        <v>2022</v>
      </c>
      <c r="D65" s="23">
        <f t="shared" si="4"/>
        <v>12</v>
      </c>
      <c r="E65" cm="1">
        <f t="array" ref="E65">_xlfn.XLOOKUP(TRUE,ISNUMBER(F65:I65),F65:I65)</f>
        <v>461.13698630136986</v>
      </c>
      <c r="H65" s="7">
        <f>_xlfn.XLOOKUP(B65,'rai-values'!E:E,'rai-values'!H:H)*1.05</f>
        <v>461.13698630136986</v>
      </c>
      <c r="K65">
        <v>111.3</v>
      </c>
    </row>
    <row r="66" spans="1:11" x14ac:dyDescent="0.25">
      <c r="A66" s="3"/>
      <c r="B66" s="1">
        <v>44621</v>
      </c>
      <c r="C66">
        <v>2022</v>
      </c>
      <c r="D66" s="23">
        <f t="shared" si="4"/>
        <v>3</v>
      </c>
      <c r="E66" cm="1">
        <f t="array" ref="E66">_xlfn.XLOOKUP(TRUE,ISNUMBER(F66:I66),F66:I66)</f>
        <v>464.7396190068493</v>
      </c>
      <c r="H66" s="7">
        <f>_xlfn.XLOOKUP(B66,'rai-values'!E:E,'rai-values'!H:H)*1.05</f>
        <v>464.7396190068493</v>
      </c>
      <c r="K66">
        <v>112.1</v>
      </c>
    </row>
    <row r="67" spans="1:11" x14ac:dyDescent="0.25">
      <c r="A67" s="3"/>
      <c r="B67" s="1">
        <v>44713</v>
      </c>
      <c r="C67">
        <v>2022</v>
      </c>
      <c r="D67" s="23">
        <f t="shared" si="4"/>
        <v>6</v>
      </c>
      <c r="E67" cm="1">
        <f t="array" ref="E67">_xlfn.XLOOKUP(TRUE,ISNUMBER(F67:I67),F67:I67)</f>
        <v>477</v>
      </c>
      <c r="G67" s="45">
        <f>_xlfn.XLOOKUP(B67,'Ableson and Joyeux 2023'!A:A,'Ableson and Joyeux 2023'!B:B)</f>
        <v>477</v>
      </c>
      <c r="H67" s="7">
        <f>_xlfn.XLOOKUP(B67,'rai-values'!E:E,'rai-values'!H:H)*1.05</f>
        <v>479.73121961997339</v>
      </c>
      <c r="K67">
        <v>112.7</v>
      </c>
    </row>
    <row r="68" spans="1:11" x14ac:dyDescent="0.25">
      <c r="A68" s="3"/>
      <c r="B68" s="1">
        <v>44805</v>
      </c>
      <c r="C68">
        <v>2023</v>
      </c>
      <c r="D68" s="23">
        <f t="shared" si="4"/>
        <v>9</v>
      </c>
      <c r="E68" cm="1">
        <f t="array" ref="E68">_xlfn.XLOOKUP(TRUE,ISNUMBER(F68:I68),F68:I68)</f>
        <v>514.01308106894226</v>
      </c>
      <c r="H68" s="7">
        <f>_xlfn.XLOOKUP(B68,'rai-values'!E:E,'rai-values'!H:H)*1.05</f>
        <v>514.01308106894226</v>
      </c>
      <c r="K68">
        <v>114.2</v>
      </c>
    </row>
    <row r="69" spans="1:11" x14ac:dyDescent="0.25">
      <c r="A69" s="3"/>
      <c r="B69" s="1">
        <v>44896</v>
      </c>
      <c r="C69">
        <v>2023</v>
      </c>
      <c r="D69" s="23">
        <f t="shared" si="4"/>
        <v>12</v>
      </c>
      <c r="E69" cm="1">
        <f t="array" ref="E69">_xlfn.XLOOKUP(TRUE,ISNUMBER(F69:I69),F69:I69)</f>
        <v>530</v>
      </c>
      <c r="F69">
        <f>_xlfn.XLOOKUP(B69,'domain-values'!A:A,'domain-values'!B:B)</f>
        <v>530</v>
      </c>
      <c r="G69" s="45">
        <f>_xlfn.XLOOKUP(B69,'Ableson and Joyeux 2023'!A:A,'Ableson and Joyeux 2023'!B:B)</f>
        <v>500</v>
      </c>
      <c r="H69" s="7">
        <f>_xlfn.XLOOKUP(B69,'rai-values'!E:E,'rai-values'!H:H)*1.05</f>
        <v>526.97139403706683</v>
      </c>
      <c r="K69">
        <v>115.8</v>
      </c>
    </row>
    <row r="70" spans="1:11" x14ac:dyDescent="0.25">
      <c r="A70" s="3"/>
      <c r="B70" s="1">
        <v>44986</v>
      </c>
      <c r="C70">
        <v>2023</v>
      </c>
      <c r="D70" s="23">
        <f t="shared" ref="D70:D81" si="5">MONTH(B70)</f>
        <v>3</v>
      </c>
      <c r="E70" cm="1">
        <f t="array" ref="E70">_xlfn.XLOOKUP(TRUE,ISNUMBER(F70:I70),F70:I70)</f>
        <v>550</v>
      </c>
      <c r="F70">
        <f>_xlfn.XLOOKUP(B70,'domain-values'!A:A,'domain-values'!B:B)</f>
        <v>550</v>
      </c>
      <c r="H70" s="7">
        <f>_xlfn.XLOOKUP(B70,'rai-values'!E:E,'rai-values'!H:H)*1.05</f>
        <v>545.30083382966052</v>
      </c>
      <c r="K70">
        <v>117.7</v>
      </c>
    </row>
    <row r="71" spans="1:11" x14ac:dyDescent="0.25">
      <c r="A71" s="3"/>
      <c r="B71" s="1">
        <v>45078</v>
      </c>
      <c r="C71">
        <v>2023</v>
      </c>
      <c r="D71" s="23">
        <f t="shared" si="5"/>
        <v>6</v>
      </c>
      <c r="E71" cm="1">
        <f t="array" ref="E71">_xlfn.XLOOKUP(TRUE,ISNUMBER(F71:I71),F71:I71)</f>
        <v>580</v>
      </c>
      <c r="F71">
        <f>_xlfn.XLOOKUP(B71,'domain-values'!A:A,'domain-values'!B:B)</f>
        <v>580</v>
      </c>
      <c r="H71" s="7">
        <f>_xlfn.XLOOKUP(B71,'rai-values'!E:E,'rai-values'!H:H)*1.05</f>
        <v>559.90710616438355</v>
      </c>
      <c r="K71">
        <v>120.3</v>
      </c>
    </row>
    <row r="72" spans="1:11" x14ac:dyDescent="0.25">
      <c r="A72" s="3"/>
      <c r="B72" s="1">
        <v>45170</v>
      </c>
      <c r="C72">
        <v>2024</v>
      </c>
      <c r="D72" s="23">
        <f t="shared" si="5"/>
        <v>9</v>
      </c>
      <c r="E72" cm="1">
        <f t="array" ref="E72">_xlfn.XLOOKUP(TRUE,ISNUMBER(F72:I72),F72:I72)</f>
        <v>600</v>
      </c>
      <c r="F72">
        <f>_xlfn.XLOOKUP(B72,'domain-values'!A:A,'domain-values'!B:B)</f>
        <v>600</v>
      </c>
      <c r="H72" s="7">
        <f>_xlfn.XLOOKUP(B72,'rai-values'!E:E,'rai-values'!H:H)*1.05</f>
        <v>591.21268065853974</v>
      </c>
      <c r="K72">
        <v>122.9</v>
      </c>
    </row>
    <row r="73" spans="1:11" x14ac:dyDescent="0.25">
      <c r="A73" s="3"/>
      <c r="B73" s="1">
        <v>45261</v>
      </c>
      <c r="C73">
        <v>2024</v>
      </c>
      <c r="D73" s="23">
        <f t="shared" si="5"/>
        <v>12</v>
      </c>
      <c r="E73" cm="1">
        <f t="array" ref="E73">_xlfn.XLOOKUP(TRUE,ISNUMBER(F73:I73),F73:I73)</f>
        <v>620</v>
      </c>
      <c r="F73">
        <f>_xlfn.XLOOKUP(B73,'domain-values'!A:A,'domain-values'!B:B)</f>
        <v>620</v>
      </c>
      <c r="H73" s="7">
        <f>_xlfn.XLOOKUP(B73,'rai-values'!E:E,'rai-values'!H:H)*1.05</f>
        <v>613.73506849315072</v>
      </c>
      <c r="K73">
        <v>124.2</v>
      </c>
    </row>
    <row r="74" spans="1:11" x14ac:dyDescent="0.25">
      <c r="A74" s="3"/>
      <c r="B74" s="1">
        <v>45352</v>
      </c>
      <c r="C74">
        <v>2024</v>
      </c>
      <c r="D74" s="23">
        <f t="shared" si="5"/>
        <v>3</v>
      </c>
      <c r="E74" cm="1">
        <f t="array" ref="E74">_xlfn.XLOOKUP(TRUE,ISNUMBER(F74:I74),F74:I74)</f>
        <v>650</v>
      </c>
      <c r="F74">
        <f>_xlfn.XLOOKUP(B74,'domain-values'!A:A,'domain-values'!B:B)</f>
        <v>650</v>
      </c>
      <c r="H74" s="7">
        <f>_xlfn.XLOOKUP(B74,'rai-values'!E:E,'rai-values'!H:H)*1.05</f>
        <v>638.04140783941409</v>
      </c>
      <c r="K74">
        <v>126.9</v>
      </c>
    </row>
    <row r="75" spans="1:11" x14ac:dyDescent="0.25">
      <c r="A75" s="3"/>
      <c r="B75" s="1">
        <v>45444</v>
      </c>
      <c r="C75">
        <v>2024</v>
      </c>
      <c r="D75" s="23">
        <f t="shared" si="5"/>
        <v>6</v>
      </c>
      <c r="E75" cm="1">
        <f t="array" ref="E75">_xlfn.XLOOKUP(TRUE,ISNUMBER(F75:I75),F75:I75)</f>
        <v>650</v>
      </c>
      <c r="F75">
        <f>_xlfn.XLOOKUP(B75,'domain-values'!A:A,'domain-values'!B:B)</f>
        <v>650</v>
      </c>
      <c r="H75" s="7">
        <f>_xlfn.XLOOKUP(B75,'rai-values'!E:E,'rai-values'!H:H)*1.05</f>
        <v>657.57328767123283</v>
      </c>
      <c r="K75">
        <v>129.1</v>
      </c>
    </row>
    <row r="76" spans="1:11" x14ac:dyDescent="0.25">
      <c r="A76" s="3"/>
      <c r="B76" s="1">
        <v>45536</v>
      </c>
      <c r="C76">
        <v>2025</v>
      </c>
      <c r="D76" s="23">
        <f t="shared" si="5"/>
        <v>9</v>
      </c>
      <c r="E76" cm="1">
        <f t="array" ref="E76">_xlfn.XLOOKUP(TRUE,ISNUMBER(F76:I76),F76:I76)</f>
        <v>660</v>
      </c>
      <c r="F76">
        <f>_xlfn.XLOOKUP(B76,'domain-values'!A:A,'domain-values'!B:B)</f>
        <v>660</v>
      </c>
      <c r="H76" s="7">
        <f>_xlfn.XLOOKUP(B76,'rai-values'!E:E,'rai-values'!H:H)*1.05</f>
        <v>680.83767123287669</v>
      </c>
      <c r="K76">
        <v>131.19999999999999</v>
      </c>
    </row>
    <row r="77" spans="1:11" x14ac:dyDescent="0.25">
      <c r="A77" s="3"/>
      <c r="B77" s="1">
        <v>45627</v>
      </c>
      <c r="C77">
        <v>2025</v>
      </c>
      <c r="D77" s="23">
        <f t="shared" si="5"/>
        <v>12</v>
      </c>
      <c r="E77" cm="1">
        <f t="array" ref="E77">_xlfn.XLOOKUP(TRUE,ISNUMBER(F77:I77),F77:I77)</f>
        <v>670</v>
      </c>
      <c r="F77">
        <f>_xlfn.XLOOKUP(B77,'domain-values'!A:A,'domain-values'!B:B)</f>
        <v>670</v>
      </c>
      <c r="H77" s="7">
        <f>_xlfn.XLOOKUP(B77,'rai-values'!E:E,'rai-values'!H:H)*1.05</f>
        <v>695.02178938356167</v>
      </c>
      <c r="K77">
        <v>132.19999999999999</v>
      </c>
    </row>
    <row r="78" spans="1:11" x14ac:dyDescent="0.25">
      <c r="A78" s="3"/>
      <c r="B78" s="1">
        <v>45717</v>
      </c>
      <c r="C78">
        <v>2025</v>
      </c>
      <c r="D78" s="23">
        <f t="shared" si="5"/>
        <v>3</v>
      </c>
      <c r="E78" cm="1">
        <f t="array" ref="E78">_xlfn.XLOOKUP(TRUE,ISNUMBER(F78:I78),F78:I78)</f>
        <v>690</v>
      </c>
      <c r="F78">
        <f>_xlfn.XLOOKUP(B78,'domain-values'!A:A,'domain-values'!B:B)</f>
        <v>690</v>
      </c>
      <c r="H78" s="7">
        <f>_xlfn.XLOOKUP(B78,'rai-values'!E:E,'rai-values'!H:H)*1.05</f>
        <v>687.85661629713309</v>
      </c>
      <c r="K78">
        <v>133.9</v>
      </c>
    </row>
    <row r="79" spans="1:11" x14ac:dyDescent="0.25">
      <c r="A79" s="3"/>
      <c r="B79" s="1">
        <v>45809</v>
      </c>
      <c r="C79">
        <v>2025</v>
      </c>
      <c r="D79" s="23">
        <f t="shared" si="5"/>
        <v>6</v>
      </c>
      <c r="E79" cm="1">
        <f t="array" ref="E79">_xlfn.XLOOKUP(TRUE,ISNUMBER(F79:I79),F79:I79)</f>
        <v>700</v>
      </c>
      <c r="F79">
        <f>_xlfn.XLOOKUP(B79,'domain-values'!A:A,'domain-values'!B:B)</f>
        <v>700</v>
      </c>
      <c r="H79" s="7">
        <f>_xlfn.XLOOKUP(B79,'rai-values'!E:E,'rai-values'!H:H)*1.05</f>
        <v>709.80948703002025</v>
      </c>
      <c r="K79">
        <v>134.9</v>
      </c>
    </row>
    <row r="80" spans="1:11" x14ac:dyDescent="0.25">
      <c r="A80" s="3"/>
      <c r="B80" s="1">
        <v>45901</v>
      </c>
      <c r="C80">
        <v>2026</v>
      </c>
      <c r="D80" s="23">
        <f t="shared" si="5"/>
        <v>9</v>
      </c>
      <c r="E80" cm="1">
        <f t="array" ref="E80">_xlfn.XLOOKUP(TRUE,ISNUMBER(F80:I80),F80:I80)</f>
        <v>700</v>
      </c>
      <c r="F80">
        <f>_xlfn.XLOOKUP(B80,'domain-values'!A:A,'domain-values'!B:B)</f>
        <v>700</v>
      </c>
      <c r="H80" s="7"/>
      <c r="K80">
        <v>136.1</v>
      </c>
    </row>
    <row r="81" spans="1:11" x14ac:dyDescent="0.25">
      <c r="A81" s="3"/>
      <c r="B81" s="1">
        <v>45992</v>
      </c>
      <c r="C81">
        <v>2026</v>
      </c>
      <c r="D81" s="23">
        <f t="shared" si="5"/>
        <v>12</v>
      </c>
      <c r="E81" cm="1">
        <f t="array" ref="E81">_xlfn.XLOOKUP(TRUE,ISNUMBER(F81:I81),F81:I81)</f>
        <v>700</v>
      </c>
      <c r="F81">
        <f>_xlfn.XLOOKUP(B81,'domain-values'!A:A,'domain-values'!B:B)</f>
        <v>700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B11" activePane="bottomRight" state="frozen"/>
      <selection pane="topRight" activeCell="B1" sqref="B1"/>
      <selection pane="bottomLeft" activeCell="A11" sqref="A11"/>
      <selection pane="bottomRight" activeCell="F112" sqref="F112"/>
    </sheetView>
  </sheetViews>
  <sheetFormatPr defaultColWidth="14.7109375" defaultRowHeight="11.25" x14ac:dyDescent="0.2"/>
  <cols>
    <col min="1" max="16384" width="14.7109375" style="39"/>
  </cols>
  <sheetData>
    <row r="1" spans="1:61" s="35" customFormat="1" ht="99.95" customHeight="1" x14ac:dyDescent="0.2">
      <c r="B1" s="36" t="s">
        <v>498</v>
      </c>
      <c r="C1" s="36" t="s">
        <v>499</v>
      </c>
      <c r="D1" s="36" t="s">
        <v>500</v>
      </c>
      <c r="E1" s="36" t="s">
        <v>501</v>
      </c>
      <c r="F1" s="36" t="s">
        <v>502</v>
      </c>
      <c r="G1" s="36" t="s">
        <v>503</v>
      </c>
      <c r="H1" s="36" t="s">
        <v>504</v>
      </c>
      <c r="I1" s="36" t="s">
        <v>505</v>
      </c>
      <c r="J1" s="36" t="s">
        <v>506</v>
      </c>
      <c r="K1" s="36" t="s">
        <v>507</v>
      </c>
      <c r="L1" s="36" t="s">
        <v>508</v>
      </c>
      <c r="M1" s="36" t="s">
        <v>509</v>
      </c>
      <c r="N1" s="36" t="s">
        <v>510</v>
      </c>
      <c r="O1" s="36" t="s">
        <v>511</v>
      </c>
      <c r="P1" s="36" t="s">
        <v>512</v>
      </c>
      <c r="Q1" s="36" t="s">
        <v>513</v>
      </c>
      <c r="R1" s="36" t="s">
        <v>514</v>
      </c>
      <c r="S1" s="36" t="s">
        <v>515</v>
      </c>
      <c r="T1" s="36" t="s">
        <v>516</v>
      </c>
      <c r="U1" s="36" t="s">
        <v>517</v>
      </c>
      <c r="V1" s="36" t="s">
        <v>518</v>
      </c>
      <c r="W1" s="36" t="s">
        <v>519</v>
      </c>
      <c r="X1" s="36" t="s">
        <v>520</v>
      </c>
      <c r="Y1" s="36" t="s">
        <v>521</v>
      </c>
      <c r="Z1" s="36" t="s">
        <v>522</v>
      </c>
      <c r="AA1" s="36" t="s">
        <v>523</v>
      </c>
      <c r="AB1" s="36" t="s">
        <v>524</v>
      </c>
      <c r="AC1" s="36" t="s">
        <v>525</v>
      </c>
      <c r="AD1" s="36" t="s">
        <v>526</v>
      </c>
      <c r="AE1" s="36" t="s">
        <v>527</v>
      </c>
      <c r="AF1" s="36" t="s">
        <v>528</v>
      </c>
      <c r="AG1" s="36" t="s">
        <v>529</v>
      </c>
      <c r="AH1" s="36" t="s">
        <v>530</v>
      </c>
      <c r="AI1" s="36" t="s">
        <v>531</v>
      </c>
      <c r="AJ1" s="36" t="s">
        <v>532</v>
      </c>
      <c r="AK1" s="36" t="s">
        <v>533</v>
      </c>
      <c r="AL1" s="36" t="s">
        <v>534</v>
      </c>
      <c r="AM1" s="36" t="s">
        <v>535</v>
      </c>
      <c r="AN1" s="36" t="s">
        <v>536</v>
      </c>
      <c r="AO1" s="36" t="s">
        <v>537</v>
      </c>
      <c r="AP1" s="36" t="s">
        <v>538</v>
      </c>
      <c r="AQ1" s="36" t="s">
        <v>539</v>
      </c>
      <c r="AR1" s="36" t="s">
        <v>540</v>
      </c>
      <c r="AS1" s="36" t="s">
        <v>541</v>
      </c>
      <c r="AT1" s="36" t="s">
        <v>542</v>
      </c>
      <c r="AU1" s="36" t="s">
        <v>543</v>
      </c>
      <c r="AV1" s="36" t="s">
        <v>544</v>
      </c>
      <c r="AW1" s="36" t="s">
        <v>545</v>
      </c>
      <c r="AX1" s="36" t="s">
        <v>546</v>
      </c>
      <c r="AY1" s="36" t="s">
        <v>547</v>
      </c>
      <c r="AZ1" s="36" t="s">
        <v>548</v>
      </c>
      <c r="BA1" s="36" t="s">
        <v>549</v>
      </c>
      <c r="BB1" s="36" t="s">
        <v>550</v>
      </c>
      <c r="BC1" s="36" t="s">
        <v>551</v>
      </c>
      <c r="BD1" s="36" t="s">
        <v>552</v>
      </c>
      <c r="BE1" s="36" t="s">
        <v>553</v>
      </c>
      <c r="BF1" s="36" t="s">
        <v>554</v>
      </c>
      <c r="BG1" s="36" t="s">
        <v>555</v>
      </c>
      <c r="BH1" s="36" t="s">
        <v>556</v>
      </c>
      <c r="BI1" s="36" t="s">
        <v>557</v>
      </c>
    </row>
    <row r="2" spans="1:61" x14ac:dyDescent="0.2">
      <c r="A2" s="37" t="s">
        <v>558</v>
      </c>
      <c r="B2" s="38" t="s">
        <v>559</v>
      </c>
      <c r="C2" s="38" t="s">
        <v>559</v>
      </c>
      <c r="D2" s="38" t="s">
        <v>559</v>
      </c>
      <c r="E2" s="38" t="s">
        <v>559</v>
      </c>
      <c r="F2" s="38" t="s">
        <v>559</v>
      </c>
      <c r="G2" s="38" t="s">
        <v>559</v>
      </c>
      <c r="H2" s="38" t="s">
        <v>559</v>
      </c>
      <c r="I2" s="38" t="s">
        <v>559</v>
      </c>
      <c r="J2" s="38" t="s">
        <v>559</v>
      </c>
      <c r="K2" s="38" t="s">
        <v>559</v>
      </c>
      <c r="L2" s="38" t="s">
        <v>559</v>
      </c>
      <c r="M2" s="38" t="s">
        <v>559</v>
      </c>
      <c r="N2" s="38" t="s">
        <v>559</v>
      </c>
      <c r="O2" s="38" t="s">
        <v>559</v>
      </c>
      <c r="P2" s="38" t="s">
        <v>559</v>
      </c>
      <c r="Q2" s="38" t="s">
        <v>559</v>
      </c>
      <c r="R2" s="38" t="s">
        <v>559</v>
      </c>
      <c r="S2" s="38" t="s">
        <v>559</v>
      </c>
      <c r="T2" s="38" t="s">
        <v>559</v>
      </c>
      <c r="U2" s="38" t="s">
        <v>559</v>
      </c>
      <c r="V2" s="38" t="s">
        <v>559</v>
      </c>
      <c r="W2" s="38" t="s">
        <v>559</v>
      </c>
      <c r="X2" s="38" t="s">
        <v>559</v>
      </c>
      <c r="Y2" s="38" t="s">
        <v>559</v>
      </c>
      <c r="Z2" s="38" t="s">
        <v>559</v>
      </c>
      <c r="AA2" s="38" t="s">
        <v>559</v>
      </c>
      <c r="AB2" s="38" t="s">
        <v>559</v>
      </c>
      <c r="AC2" s="38" t="s">
        <v>559</v>
      </c>
      <c r="AD2" s="38" t="s">
        <v>559</v>
      </c>
      <c r="AE2" s="38" t="s">
        <v>559</v>
      </c>
      <c r="AF2" s="38" t="s">
        <v>560</v>
      </c>
      <c r="AG2" s="38" t="s">
        <v>560</v>
      </c>
      <c r="AH2" s="38" t="s">
        <v>560</v>
      </c>
      <c r="AI2" s="38" t="s">
        <v>560</v>
      </c>
      <c r="AJ2" s="38" t="s">
        <v>560</v>
      </c>
      <c r="AK2" s="38" t="s">
        <v>560</v>
      </c>
      <c r="AL2" s="38" t="s">
        <v>560</v>
      </c>
      <c r="AM2" s="38" t="s">
        <v>560</v>
      </c>
      <c r="AN2" s="38" t="s">
        <v>560</v>
      </c>
      <c r="AO2" s="38" t="s">
        <v>560</v>
      </c>
      <c r="AP2" s="38" t="s">
        <v>560</v>
      </c>
      <c r="AQ2" s="38" t="s">
        <v>560</v>
      </c>
      <c r="AR2" s="38" t="s">
        <v>560</v>
      </c>
      <c r="AS2" s="38" t="s">
        <v>560</v>
      </c>
      <c r="AT2" s="38" t="s">
        <v>560</v>
      </c>
      <c r="AU2" s="38" t="s">
        <v>560</v>
      </c>
      <c r="AV2" s="38" t="s">
        <v>560</v>
      </c>
      <c r="AW2" s="38" t="s">
        <v>560</v>
      </c>
      <c r="AX2" s="38" t="s">
        <v>560</v>
      </c>
      <c r="AY2" s="38" t="s">
        <v>560</v>
      </c>
      <c r="AZ2" s="38" t="s">
        <v>560</v>
      </c>
      <c r="BA2" s="38" t="s">
        <v>560</v>
      </c>
      <c r="BB2" s="38" t="s">
        <v>560</v>
      </c>
      <c r="BC2" s="38" t="s">
        <v>560</v>
      </c>
      <c r="BD2" s="38" t="s">
        <v>560</v>
      </c>
      <c r="BE2" s="38" t="s">
        <v>560</v>
      </c>
      <c r="BF2" s="38" t="s">
        <v>560</v>
      </c>
      <c r="BG2" s="38" t="s">
        <v>560</v>
      </c>
      <c r="BH2" s="38" t="s">
        <v>560</v>
      </c>
      <c r="BI2" s="38" t="s">
        <v>560</v>
      </c>
    </row>
    <row r="3" spans="1:61" x14ac:dyDescent="0.2">
      <c r="A3" s="37" t="s">
        <v>561</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562</v>
      </c>
      <c r="B4" s="38" t="s">
        <v>563</v>
      </c>
      <c r="C4" s="38" t="s">
        <v>563</v>
      </c>
      <c r="D4" s="38" t="s">
        <v>563</v>
      </c>
      <c r="E4" s="38" t="s">
        <v>563</v>
      </c>
      <c r="F4" s="38" t="s">
        <v>563</v>
      </c>
      <c r="G4" s="38" t="s">
        <v>563</v>
      </c>
      <c r="H4" s="38" t="s">
        <v>563</v>
      </c>
      <c r="I4" s="38" t="s">
        <v>563</v>
      </c>
      <c r="J4" s="38" t="s">
        <v>563</v>
      </c>
      <c r="K4" s="38" t="s">
        <v>563</v>
      </c>
      <c r="L4" s="38" t="s">
        <v>563</v>
      </c>
      <c r="M4" s="38" t="s">
        <v>563</v>
      </c>
      <c r="N4" s="38" t="s">
        <v>563</v>
      </c>
      <c r="O4" s="38" t="s">
        <v>563</v>
      </c>
      <c r="P4" s="38" t="s">
        <v>563</v>
      </c>
      <c r="Q4" s="38" t="s">
        <v>563</v>
      </c>
      <c r="R4" s="38" t="s">
        <v>563</v>
      </c>
      <c r="S4" s="38" t="s">
        <v>563</v>
      </c>
      <c r="T4" s="38" t="s">
        <v>563</v>
      </c>
      <c r="U4" s="38" t="s">
        <v>563</v>
      </c>
      <c r="V4" s="38" t="s">
        <v>563</v>
      </c>
      <c r="W4" s="38" t="s">
        <v>563</v>
      </c>
      <c r="X4" s="38" t="s">
        <v>563</v>
      </c>
      <c r="Y4" s="38" t="s">
        <v>563</v>
      </c>
      <c r="Z4" s="38" t="s">
        <v>563</v>
      </c>
      <c r="AA4" s="38" t="s">
        <v>563</v>
      </c>
      <c r="AB4" s="38" t="s">
        <v>563</v>
      </c>
      <c r="AC4" s="38" t="s">
        <v>563</v>
      </c>
      <c r="AD4" s="38" t="s">
        <v>563</v>
      </c>
      <c r="AE4" s="38" t="s">
        <v>563</v>
      </c>
      <c r="AF4" s="38" t="s">
        <v>563</v>
      </c>
      <c r="AG4" s="38" t="s">
        <v>563</v>
      </c>
      <c r="AH4" s="38" t="s">
        <v>563</v>
      </c>
      <c r="AI4" s="38" t="s">
        <v>563</v>
      </c>
      <c r="AJ4" s="38" t="s">
        <v>563</v>
      </c>
      <c r="AK4" s="38" t="s">
        <v>563</v>
      </c>
      <c r="AL4" s="38" t="s">
        <v>563</v>
      </c>
      <c r="AM4" s="38" t="s">
        <v>563</v>
      </c>
      <c r="AN4" s="38" t="s">
        <v>563</v>
      </c>
      <c r="AO4" s="38" t="s">
        <v>563</v>
      </c>
      <c r="AP4" s="38" t="s">
        <v>563</v>
      </c>
      <c r="AQ4" s="38" t="s">
        <v>563</v>
      </c>
      <c r="AR4" s="38" t="s">
        <v>563</v>
      </c>
      <c r="AS4" s="38" t="s">
        <v>563</v>
      </c>
      <c r="AT4" s="38" t="s">
        <v>563</v>
      </c>
      <c r="AU4" s="38" t="s">
        <v>563</v>
      </c>
      <c r="AV4" s="38" t="s">
        <v>563</v>
      </c>
      <c r="AW4" s="38" t="s">
        <v>563</v>
      </c>
      <c r="AX4" s="38" t="s">
        <v>563</v>
      </c>
      <c r="AY4" s="38" t="s">
        <v>563</v>
      </c>
      <c r="AZ4" s="38" t="s">
        <v>563</v>
      </c>
      <c r="BA4" s="38" t="s">
        <v>563</v>
      </c>
      <c r="BB4" s="38" t="s">
        <v>563</v>
      </c>
      <c r="BC4" s="38" t="s">
        <v>563</v>
      </c>
      <c r="BD4" s="38" t="s">
        <v>563</v>
      </c>
      <c r="BE4" s="38" t="s">
        <v>563</v>
      </c>
      <c r="BF4" s="38" t="s">
        <v>563</v>
      </c>
      <c r="BG4" s="38" t="s">
        <v>563</v>
      </c>
      <c r="BH4" s="38" t="s">
        <v>563</v>
      </c>
      <c r="BI4" s="38" t="s">
        <v>563</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564</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565</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566</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567</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568</v>
      </c>
      <c r="C10" s="38" t="s">
        <v>569</v>
      </c>
      <c r="D10" s="38" t="s">
        <v>570</v>
      </c>
      <c r="E10" s="38" t="s">
        <v>571</v>
      </c>
      <c r="F10" s="38" t="s">
        <v>572</v>
      </c>
      <c r="G10" s="38" t="s">
        <v>573</v>
      </c>
      <c r="H10" s="38" t="s">
        <v>574</v>
      </c>
      <c r="I10" s="38" t="s">
        <v>575</v>
      </c>
      <c r="J10" s="38" t="s">
        <v>576</v>
      </c>
      <c r="K10" s="38" t="s">
        <v>577</v>
      </c>
      <c r="L10" s="38" t="s">
        <v>578</v>
      </c>
      <c r="M10" s="38" t="s">
        <v>579</v>
      </c>
      <c r="N10" s="38" t="s">
        <v>580</v>
      </c>
      <c r="O10" s="38" t="s">
        <v>581</v>
      </c>
      <c r="P10" s="38" t="s">
        <v>582</v>
      </c>
      <c r="Q10" s="38" t="s">
        <v>583</v>
      </c>
      <c r="R10" s="38" t="s">
        <v>584</v>
      </c>
      <c r="S10" s="38" t="s">
        <v>585</v>
      </c>
      <c r="T10" s="38" t="s">
        <v>586</v>
      </c>
      <c r="U10" s="38" t="s">
        <v>587</v>
      </c>
      <c r="V10" s="38" t="s">
        <v>588</v>
      </c>
      <c r="W10" s="38" t="s">
        <v>589</v>
      </c>
      <c r="X10" s="38" t="s">
        <v>590</v>
      </c>
      <c r="Y10" s="38" t="s">
        <v>591</v>
      </c>
      <c r="Z10" s="38" t="s">
        <v>592</v>
      </c>
      <c r="AA10" s="38" t="s">
        <v>593</v>
      </c>
      <c r="AB10" s="38" t="s">
        <v>594</v>
      </c>
      <c r="AC10" s="38" t="s">
        <v>595</v>
      </c>
      <c r="AD10" s="38" t="s">
        <v>596</v>
      </c>
      <c r="AE10" s="38" t="s">
        <v>597</v>
      </c>
      <c r="AF10" s="38" t="s">
        <v>598</v>
      </c>
      <c r="AG10" s="38" t="s">
        <v>599</v>
      </c>
      <c r="AH10" s="38" t="s">
        <v>600</v>
      </c>
      <c r="AI10" s="38" t="s">
        <v>601</v>
      </c>
      <c r="AJ10" s="38" t="s">
        <v>602</v>
      </c>
      <c r="AK10" s="38" t="s">
        <v>603</v>
      </c>
      <c r="AL10" s="38" t="s">
        <v>604</v>
      </c>
      <c r="AM10" s="38" t="s">
        <v>605</v>
      </c>
      <c r="AN10" s="38" t="s">
        <v>606</v>
      </c>
      <c r="AO10" s="38" t="s">
        <v>607</v>
      </c>
      <c r="AP10" s="38" t="s">
        <v>608</v>
      </c>
      <c r="AQ10" s="38" t="s">
        <v>609</v>
      </c>
      <c r="AR10" s="38" t="s">
        <v>610</v>
      </c>
      <c r="AS10" s="38" t="s">
        <v>611</v>
      </c>
      <c r="AT10" s="38" t="s">
        <v>612</v>
      </c>
      <c r="AU10" s="38" t="s">
        <v>613</v>
      </c>
      <c r="AV10" s="38" t="s">
        <v>614</v>
      </c>
      <c r="AW10" s="38" t="s">
        <v>615</v>
      </c>
      <c r="AX10" s="38" t="s">
        <v>616</v>
      </c>
      <c r="AY10" s="38" t="s">
        <v>617</v>
      </c>
      <c r="AZ10" s="38" t="s">
        <v>618</v>
      </c>
      <c r="BA10" s="38" t="s">
        <v>619</v>
      </c>
      <c r="BB10" s="38" t="s">
        <v>620</v>
      </c>
      <c r="BC10" s="38" t="s">
        <v>621</v>
      </c>
      <c r="BD10" s="38" t="s">
        <v>622</v>
      </c>
      <c r="BE10" s="38" t="s">
        <v>623</v>
      </c>
      <c r="BF10" s="38" t="s">
        <v>624</v>
      </c>
      <c r="BG10" s="38" t="s">
        <v>625</v>
      </c>
      <c r="BH10" s="38" t="s">
        <v>626</v>
      </c>
      <c r="BI10" s="38" t="s">
        <v>627</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D102"/>
  <sheetViews>
    <sheetView topLeftCell="A70" zoomScaleNormal="100" workbookViewId="0">
      <selection activeCell="I16" sqref="I16"/>
    </sheetView>
  </sheetViews>
  <sheetFormatPr defaultRowHeight="15" x14ac:dyDescent="0.25"/>
  <cols>
    <col min="1" max="1" width="24.28515625" bestFit="1" customWidth="1"/>
    <col min="2" max="2" width="20" bestFit="1" customWidth="1"/>
  </cols>
  <sheetData>
    <row r="1" spans="1:4" x14ac:dyDescent="0.25">
      <c r="A1" t="s">
        <v>23</v>
      </c>
      <c r="B1" s="1" t="s">
        <v>1</v>
      </c>
      <c r="C1" t="s">
        <v>634</v>
      </c>
      <c r="D1" t="s">
        <v>635</v>
      </c>
    </row>
    <row r="2" spans="1:4" x14ac:dyDescent="0.25">
      <c r="A2" t="s">
        <v>11</v>
      </c>
      <c r="B2" s="2">
        <v>37316</v>
      </c>
      <c r="C2" cm="1">
        <f t="array" ref="C2:C97">_xlfn.XLOOKUP("Median Price of Established House*Perth*",'ABS-total-value-dwellings'!1:1,'ABS-total-value-dwellings'!11:106,"na",2)</f>
        <v>190</v>
      </c>
      <c r="D2" cm="1">
        <f t="array" ref="D2:D97">_xlfn.XLOOKUP("Median Price of Established House*Rest of WA*",'ABS-total-value-dwellings'!1:1,'ABS-total-value-dwellings'!11:106,"na",2)</f>
        <v>0</v>
      </c>
    </row>
    <row r="3" spans="1:4" x14ac:dyDescent="0.25">
      <c r="A3" t="s">
        <v>13</v>
      </c>
      <c r="B3" s="2">
        <v>37408</v>
      </c>
      <c r="C3">
        <v>190</v>
      </c>
      <c r="D3">
        <v>0</v>
      </c>
    </row>
    <row r="4" spans="1:4" x14ac:dyDescent="0.25">
      <c r="B4" s="2">
        <v>37500</v>
      </c>
      <c r="C4">
        <v>195</v>
      </c>
      <c r="D4">
        <v>0</v>
      </c>
    </row>
    <row r="5" spans="1:4" x14ac:dyDescent="0.25">
      <c r="B5" s="2">
        <v>37591</v>
      </c>
      <c r="C5">
        <v>206</v>
      </c>
      <c r="D5">
        <v>0</v>
      </c>
    </row>
    <row r="6" spans="1:4" x14ac:dyDescent="0.25">
      <c r="B6" s="2">
        <v>37681</v>
      </c>
      <c r="C6">
        <v>216</v>
      </c>
      <c r="D6">
        <v>0</v>
      </c>
    </row>
    <row r="7" spans="1:4" x14ac:dyDescent="0.25">
      <c r="B7" s="2">
        <v>37773</v>
      </c>
      <c r="C7">
        <v>225</v>
      </c>
      <c r="D7">
        <v>0</v>
      </c>
    </row>
    <row r="8" spans="1:4" x14ac:dyDescent="0.25">
      <c r="B8" s="2">
        <v>37865</v>
      </c>
      <c r="C8">
        <v>236</v>
      </c>
      <c r="D8">
        <v>160</v>
      </c>
    </row>
    <row r="9" spans="1:4" x14ac:dyDescent="0.25">
      <c r="B9" s="2">
        <v>37956</v>
      </c>
      <c r="C9">
        <v>250</v>
      </c>
      <c r="D9">
        <v>164</v>
      </c>
    </row>
    <row r="10" spans="1:4" x14ac:dyDescent="0.25">
      <c r="B10" s="2">
        <v>38047</v>
      </c>
      <c r="C10">
        <v>255</v>
      </c>
      <c r="D10">
        <v>178</v>
      </c>
    </row>
    <row r="11" spans="1:4" x14ac:dyDescent="0.25">
      <c r="B11" s="2">
        <v>38139</v>
      </c>
      <c r="C11">
        <v>262</v>
      </c>
      <c r="D11">
        <v>178</v>
      </c>
    </row>
    <row r="12" spans="1:4" x14ac:dyDescent="0.25">
      <c r="B12" s="2">
        <v>38231</v>
      </c>
      <c r="C12">
        <v>259</v>
      </c>
      <c r="D12">
        <v>185</v>
      </c>
    </row>
    <row r="13" spans="1:4" x14ac:dyDescent="0.25">
      <c r="B13" s="2">
        <v>38322</v>
      </c>
      <c r="C13">
        <v>280</v>
      </c>
      <c r="D13">
        <v>199.8</v>
      </c>
    </row>
    <row r="14" spans="1:4" x14ac:dyDescent="0.25">
      <c r="B14" s="2">
        <v>38412</v>
      </c>
      <c r="C14">
        <v>290</v>
      </c>
      <c r="D14">
        <v>225</v>
      </c>
    </row>
    <row r="15" spans="1:4" x14ac:dyDescent="0.25">
      <c r="B15" s="2">
        <v>38504</v>
      </c>
      <c r="C15">
        <v>300</v>
      </c>
      <c r="D15">
        <v>230</v>
      </c>
    </row>
    <row r="16" spans="1:4" x14ac:dyDescent="0.25">
      <c r="B16" s="2">
        <v>38596</v>
      </c>
      <c r="C16">
        <v>315</v>
      </c>
      <c r="D16">
        <v>245</v>
      </c>
    </row>
    <row r="17" spans="2:4" x14ac:dyDescent="0.25">
      <c r="B17" s="2">
        <v>38687</v>
      </c>
      <c r="C17">
        <v>340</v>
      </c>
      <c r="D17">
        <v>265</v>
      </c>
    </row>
    <row r="18" spans="2:4" x14ac:dyDescent="0.25">
      <c r="B18" s="2">
        <v>38777</v>
      </c>
      <c r="C18">
        <v>370</v>
      </c>
      <c r="D18">
        <v>295</v>
      </c>
    </row>
    <row r="19" spans="2:4" x14ac:dyDescent="0.25">
      <c r="B19" s="2">
        <v>38869</v>
      </c>
      <c r="C19">
        <v>415</v>
      </c>
      <c r="D19">
        <v>324</v>
      </c>
    </row>
    <row r="20" spans="2:4" x14ac:dyDescent="0.25">
      <c r="B20" s="2">
        <v>38961</v>
      </c>
      <c r="C20">
        <v>450</v>
      </c>
      <c r="D20">
        <v>335</v>
      </c>
    </row>
    <row r="21" spans="2:4" x14ac:dyDescent="0.25">
      <c r="B21" s="2">
        <v>39052</v>
      </c>
      <c r="C21">
        <v>470</v>
      </c>
      <c r="D21">
        <v>350</v>
      </c>
    </row>
    <row r="22" spans="2:4" x14ac:dyDescent="0.25">
      <c r="B22" s="2">
        <v>39142</v>
      </c>
      <c r="C22">
        <v>475</v>
      </c>
      <c r="D22">
        <v>370</v>
      </c>
    </row>
    <row r="23" spans="2:4" x14ac:dyDescent="0.25">
      <c r="B23" s="2">
        <v>39234</v>
      </c>
      <c r="C23">
        <v>465</v>
      </c>
      <c r="D23">
        <v>374</v>
      </c>
    </row>
    <row r="24" spans="2:4" x14ac:dyDescent="0.25">
      <c r="B24" s="2">
        <v>39326</v>
      </c>
      <c r="C24">
        <v>475</v>
      </c>
      <c r="D24">
        <v>376.4</v>
      </c>
    </row>
    <row r="25" spans="2:4" x14ac:dyDescent="0.25">
      <c r="B25" s="2">
        <v>39417</v>
      </c>
      <c r="C25">
        <v>480</v>
      </c>
      <c r="D25">
        <v>379.5</v>
      </c>
    </row>
    <row r="26" spans="2:4" x14ac:dyDescent="0.25">
      <c r="B26" s="2">
        <v>39508</v>
      </c>
      <c r="C26">
        <v>470</v>
      </c>
      <c r="D26">
        <v>390</v>
      </c>
    </row>
    <row r="27" spans="2:4" x14ac:dyDescent="0.25">
      <c r="B27" s="2">
        <v>39600</v>
      </c>
      <c r="C27">
        <v>455</v>
      </c>
      <c r="D27">
        <v>360</v>
      </c>
    </row>
    <row r="28" spans="2:4" x14ac:dyDescent="0.25">
      <c r="B28" s="2">
        <v>39692</v>
      </c>
      <c r="C28">
        <v>440</v>
      </c>
      <c r="D28">
        <v>365</v>
      </c>
    </row>
    <row r="29" spans="2:4" x14ac:dyDescent="0.25">
      <c r="B29" s="2">
        <v>39783</v>
      </c>
      <c r="C29">
        <v>425</v>
      </c>
      <c r="D29">
        <v>351</v>
      </c>
    </row>
    <row r="30" spans="2:4" x14ac:dyDescent="0.25">
      <c r="B30" s="2">
        <v>39873</v>
      </c>
      <c r="C30">
        <v>439</v>
      </c>
      <c r="D30">
        <v>360</v>
      </c>
    </row>
    <row r="31" spans="2:4" x14ac:dyDescent="0.25">
      <c r="B31" s="2">
        <v>39965</v>
      </c>
      <c r="C31">
        <v>455</v>
      </c>
      <c r="D31">
        <v>370</v>
      </c>
    </row>
    <row r="32" spans="2:4" x14ac:dyDescent="0.25">
      <c r="B32" s="2">
        <v>40057</v>
      </c>
      <c r="C32">
        <v>473</v>
      </c>
      <c r="D32">
        <v>375</v>
      </c>
    </row>
    <row r="33" spans="2:4" x14ac:dyDescent="0.25">
      <c r="B33" s="2">
        <v>40148</v>
      </c>
      <c r="C33">
        <v>505</v>
      </c>
      <c r="D33">
        <v>400</v>
      </c>
    </row>
    <row r="34" spans="2:4" x14ac:dyDescent="0.25">
      <c r="B34" s="2">
        <v>40238</v>
      </c>
      <c r="C34">
        <v>518</v>
      </c>
      <c r="D34">
        <v>410</v>
      </c>
    </row>
    <row r="35" spans="2:4" x14ac:dyDescent="0.25">
      <c r="B35" s="2">
        <v>40330</v>
      </c>
      <c r="C35">
        <v>510</v>
      </c>
      <c r="D35">
        <v>385</v>
      </c>
    </row>
    <row r="36" spans="2:4" x14ac:dyDescent="0.25">
      <c r="B36" s="2">
        <v>40422</v>
      </c>
      <c r="C36">
        <v>500</v>
      </c>
      <c r="D36">
        <v>380</v>
      </c>
    </row>
    <row r="37" spans="2:4" x14ac:dyDescent="0.25">
      <c r="B37" s="2">
        <v>40513</v>
      </c>
      <c r="C37">
        <v>500</v>
      </c>
      <c r="D37">
        <v>385</v>
      </c>
    </row>
    <row r="38" spans="2:4" x14ac:dyDescent="0.25">
      <c r="B38" s="2">
        <v>40603</v>
      </c>
      <c r="C38">
        <v>500</v>
      </c>
      <c r="D38">
        <v>385.3</v>
      </c>
    </row>
    <row r="39" spans="2:4" x14ac:dyDescent="0.25">
      <c r="B39" s="2">
        <v>40695</v>
      </c>
      <c r="C39">
        <v>485</v>
      </c>
      <c r="D39">
        <v>380</v>
      </c>
    </row>
    <row r="40" spans="2:4" x14ac:dyDescent="0.25">
      <c r="B40" s="2">
        <v>40787</v>
      </c>
      <c r="C40">
        <v>470</v>
      </c>
      <c r="D40">
        <v>375</v>
      </c>
    </row>
    <row r="41" spans="2:4" x14ac:dyDescent="0.25">
      <c r="B41" s="2">
        <v>40878</v>
      </c>
      <c r="C41">
        <v>480</v>
      </c>
      <c r="D41">
        <v>372.5</v>
      </c>
    </row>
    <row r="42" spans="2:4" x14ac:dyDescent="0.25">
      <c r="B42" s="2">
        <v>40969</v>
      </c>
      <c r="C42">
        <v>489.5</v>
      </c>
      <c r="D42">
        <v>385</v>
      </c>
    </row>
    <row r="43" spans="2:4" x14ac:dyDescent="0.25">
      <c r="B43" s="2">
        <v>41061</v>
      </c>
      <c r="C43">
        <v>499</v>
      </c>
      <c r="D43">
        <v>375</v>
      </c>
    </row>
    <row r="44" spans="2:4" x14ac:dyDescent="0.25">
      <c r="B44" s="2">
        <v>41153</v>
      </c>
      <c r="C44">
        <v>495</v>
      </c>
      <c r="D44">
        <v>380</v>
      </c>
    </row>
    <row r="45" spans="2:4" x14ac:dyDescent="0.25">
      <c r="B45" s="2">
        <v>41244</v>
      </c>
      <c r="C45">
        <v>510</v>
      </c>
      <c r="D45">
        <v>370</v>
      </c>
    </row>
    <row r="46" spans="2:4" x14ac:dyDescent="0.25">
      <c r="B46" s="2">
        <v>41334</v>
      </c>
      <c r="C46">
        <v>520</v>
      </c>
      <c r="D46">
        <v>380.5</v>
      </c>
    </row>
    <row r="47" spans="2:4" x14ac:dyDescent="0.25">
      <c r="B47" s="2">
        <v>41426</v>
      </c>
      <c r="C47">
        <v>529</v>
      </c>
      <c r="D47">
        <v>380</v>
      </c>
    </row>
    <row r="48" spans="2:4" x14ac:dyDescent="0.25">
      <c r="B48" s="2">
        <v>41518</v>
      </c>
      <c r="C48">
        <v>520</v>
      </c>
      <c r="D48">
        <v>375</v>
      </c>
    </row>
    <row r="49" spans="2:4" x14ac:dyDescent="0.25">
      <c r="B49" s="2">
        <v>41609</v>
      </c>
      <c r="C49">
        <v>552</v>
      </c>
      <c r="D49">
        <v>385</v>
      </c>
    </row>
    <row r="50" spans="2:4" x14ac:dyDescent="0.25">
      <c r="B50" s="2">
        <v>41699</v>
      </c>
      <c r="C50">
        <v>530.5</v>
      </c>
      <c r="D50">
        <v>379</v>
      </c>
    </row>
    <row r="51" spans="2:4" x14ac:dyDescent="0.25">
      <c r="B51" s="2">
        <v>41791</v>
      </c>
      <c r="C51">
        <v>525</v>
      </c>
      <c r="D51">
        <v>366</v>
      </c>
    </row>
    <row r="52" spans="2:4" x14ac:dyDescent="0.25">
      <c r="B52" s="2">
        <v>41883</v>
      </c>
      <c r="C52">
        <v>530</v>
      </c>
      <c r="D52">
        <v>370</v>
      </c>
    </row>
    <row r="53" spans="2:4" x14ac:dyDescent="0.25">
      <c r="B53" s="2">
        <v>41974</v>
      </c>
      <c r="C53">
        <v>531</v>
      </c>
      <c r="D53">
        <v>380</v>
      </c>
    </row>
    <row r="54" spans="2:4" x14ac:dyDescent="0.25">
      <c r="B54" s="2">
        <v>42064</v>
      </c>
      <c r="C54">
        <v>536.5</v>
      </c>
      <c r="D54">
        <v>370</v>
      </c>
    </row>
    <row r="55" spans="2:4" x14ac:dyDescent="0.25">
      <c r="B55" s="2">
        <v>42156</v>
      </c>
      <c r="C55">
        <v>537</v>
      </c>
      <c r="D55">
        <v>355</v>
      </c>
    </row>
    <row r="56" spans="2:4" x14ac:dyDescent="0.25">
      <c r="B56" s="2">
        <v>42248</v>
      </c>
      <c r="C56">
        <v>520</v>
      </c>
      <c r="D56">
        <v>350</v>
      </c>
    </row>
    <row r="57" spans="2:4" x14ac:dyDescent="0.25">
      <c r="B57" s="2">
        <v>42339</v>
      </c>
      <c r="C57">
        <v>525</v>
      </c>
      <c r="D57">
        <v>350</v>
      </c>
    </row>
    <row r="58" spans="2:4" x14ac:dyDescent="0.25">
      <c r="B58" s="2">
        <v>42430</v>
      </c>
      <c r="C58">
        <v>518</v>
      </c>
      <c r="D58">
        <v>360.5</v>
      </c>
    </row>
    <row r="59" spans="2:4" x14ac:dyDescent="0.25">
      <c r="B59" s="2">
        <v>42522</v>
      </c>
      <c r="C59">
        <v>520</v>
      </c>
      <c r="D59">
        <v>330</v>
      </c>
    </row>
    <row r="60" spans="2:4" x14ac:dyDescent="0.25">
      <c r="B60" s="2">
        <v>42614</v>
      </c>
      <c r="C60">
        <v>510</v>
      </c>
      <c r="D60">
        <v>327.8</v>
      </c>
    </row>
    <row r="61" spans="2:4" x14ac:dyDescent="0.25">
      <c r="B61" s="2">
        <v>42705</v>
      </c>
      <c r="C61">
        <v>525</v>
      </c>
      <c r="D61">
        <v>345</v>
      </c>
    </row>
    <row r="62" spans="2:4" x14ac:dyDescent="0.25">
      <c r="B62" s="2">
        <v>42795</v>
      </c>
      <c r="C62">
        <v>510</v>
      </c>
      <c r="D62">
        <v>350</v>
      </c>
    </row>
    <row r="63" spans="2:4" x14ac:dyDescent="0.25">
      <c r="B63" s="2">
        <v>42887</v>
      </c>
      <c r="C63">
        <v>506</v>
      </c>
      <c r="D63">
        <v>327</v>
      </c>
    </row>
    <row r="64" spans="2:4" x14ac:dyDescent="0.25">
      <c r="B64" s="2">
        <v>42979</v>
      </c>
      <c r="C64">
        <v>500</v>
      </c>
      <c r="D64">
        <v>325</v>
      </c>
    </row>
    <row r="65" spans="2:4" x14ac:dyDescent="0.25">
      <c r="B65" s="2">
        <v>43070</v>
      </c>
      <c r="C65">
        <v>515</v>
      </c>
      <c r="D65">
        <v>340</v>
      </c>
    </row>
    <row r="66" spans="2:4" x14ac:dyDescent="0.25">
      <c r="B66" s="2">
        <v>43160</v>
      </c>
      <c r="C66">
        <v>510</v>
      </c>
      <c r="D66">
        <v>338</v>
      </c>
    </row>
    <row r="67" spans="2:4" x14ac:dyDescent="0.25">
      <c r="B67" s="2">
        <v>43252</v>
      </c>
      <c r="C67">
        <v>510</v>
      </c>
      <c r="D67">
        <v>310</v>
      </c>
    </row>
    <row r="68" spans="2:4" x14ac:dyDescent="0.25">
      <c r="B68" s="2">
        <v>43344</v>
      </c>
      <c r="C68">
        <v>485</v>
      </c>
      <c r="D68">
        <v>321.5</v>
      </c>
    </row>
    <row r="69" spans="2:4" x14ac:dyDescent="0.25">
      <c r="B69" s="2">
        <v>43435</v>
      </c>
      <c r="C69">
        <v>489</v>
      </c>
      <c r="D69">
        <v>320</v>
      </c>
    </row>
    <row r="70" spans="2:4" x14ac:dyDescent="0.25">
      <c r="B70" s="2">
        <v>43525</v>
      </c>
      <c r="C70">
        <v>490</v>
      </c>
      <c r="D70">
        <v>330</v>
      </c>
    </row>
    <row r="71" spans="2:4" x14ac:dyDescent="0.25">
      <c r="B71" s="2">
        <v>43617</v>
      </c>
      <c r="C71">
        <v>480</v>
      </c>
      <c r="D71">
        <v>320</v>
      </c>
    </row>
    <row r="72" spans="2:4" x14ac:dyDescent="0.25">
      <c r="B72" s="2">
        <v>43709</v>
      </c>
      <c r="C72">
        <v>478</v>
      </c>
      <c r="D72">
        <v>310</v>
      </c>
    </row>
    <row r="73" spans="2:4" x14ac:dyDescent="0.25">
      <c r="B73" s="2">
        <v>43800</v>
      </c>
      <c r="C73">
        <v>495</v>
      </c>
      <c r="D73">
        <v>337.8</v>
      </c>
    </row>
    <row r="74" spans="2:4" x14ac:dyDescent="0.25">
      <c r="B74" s="2">
        <v>43891</v>
      </c>
      <c r="C74">
        <v>477.5</v>
      </c>
      <c r="D74">
        <v>337</v>
      </c>
    </row>
    <row r="75" spans="2:4" x14ac:dyDescent="0.25">
      <c r="B75" s="2">
        <v>43983</v>
      </c>
      <c r="C75">
        <v>475</v>
      </c>
      <c r="D75">
        <v>327</v>
      </c>
    </row>
    <row r="76" spans="2:4" x14ac:dyDescent="0.25">
      <c r="B76" s="2">
        <v>44075</v>
      </c>
      <c r="C76">
        <v>495</v>
      </c>
      <c r="D76">
        <v>365</v>
      </c>
    </row>
    <row r="77" spans="2:4" x14ac:dyDescent="0.25">
      <c r="B77" s="2">
        <v>44166</v>
      </c>
      <c r="C77">
        <v>528</v>
      </c>
      <c r="D77">
        <v>375</v>
      </c>
    </row>
    <row r="78" spans="2:4" x14ac:dyDescent="0.25">
      <c r="B78" s="2">
        <v>44256</v>
      </c>
      <c r="C78">
        <v>535</v>
      </c>
      <c r="D78">
        <v>392.5</v>
      </c>
    </row>
    <row r="79" spans="2:4" x14ac:dyDescent="0.25">
      <c r="B79" s="2">
        <v>44348</v>
      </c>
      <c r="C79">
        <v>540</v>
      </c>
      <c r="D79">
        <v>379</v>
      </c>
    </row>
    <row r="80" spans="2:4" x14ac:dyDescent="0.25">
      <c r="B80" s="2">
        <v>44440</v>
      </c>
      <c r="C80">
        <v>525</v>
      </c>
      <c r="D80">
        <v>365</v>
      </c>
    </row>
    <row r="81" spans="2:4" x14ac:dyDescent="0.25">
      <c r="B81" s="2">
        <v>44531</v>
      </c>
      <c r="C81">
        <v>558.79999999999995</v>
      </c>
      <c r="D81">
        <v>380</v>
      </c>
    </row>
    <row r="82" spans="2:4" x14ac:dyDescent="0.25">
      <c r="B82" s="2">
        <v>44621</v>
      </c>
      <c r="C82">
        <v>550</v>
      </c>
      <c r="D82">
        <v>380</v>
      </c>
    </row>
    <row r="83" spans="2:4" x14ac:dyDescent="0.25">
      <c r="B83" s="2">
        <v>44713</v>
      </c>
      <c r="C83">
        <v>565</v>
      </c>
      <c r="D83">
        <v>375</v>
      </c>
    </row>
    <row r="84" spans="2:4" x14ac:dyDescent="0.25">
      <c r="B84" s="2">
        <v>44805</v>
      </c>
      <c r="C84">
        <v>555</v>
      </c>
      <c r="D84">
        <v>380</v>
      </c>
    </row>
    <row r="85" spans="2:4" x14ac:dyDescent="0.25">
      <c r="B85" s="2">
        <v>44896</v>
      </c>
      <c r="C85">
        <v>580</v>
      </c>
      <c r="D85">
        <v>390</v>
      </c>
    </row>
    <row r="86" spans="2:4" x14ac:dyDescent="0.25">
      <c r="B86" s="2">
        <v>44986</v>
      </c>
      <c r="C86">
        <v>578</v>
      </c>
      <c r="D86">
        <v>400</v>
      </c>
    </row>
    <row r="87" spans="2:4" x14ac:dyDescent="0.25">
      <c r="B87" s="2">
        <v>45078</v>
      </c>
      <c r="C87">
        <v>600</v>
      </c>
      <c r="D87">
        <v>400</v>
      </c>
    </row>
    <row r="88" spans="2:4" x14ac:dyDescent="0.25">
      <c r="B88" s="2">
        <v>45170</v>
      </c>
      <c r="C88">
        <v>600</v>
      </c>
      <c r="D88">
        <v>410</v>
      </c>
    </row>
    <row r="89" spans="2:4" x14ac:dyDescent="0.25">
      <c r="B89" s="2">
        <v>45261</v>
      </c>
      <c r="C89">
        <v>660</v>
      </c>
      <c r="D89">
        <v>443</v>
      </c>
    </row>
    <row r="90" spans="2:4" x14ac:dyDescent="0.25">
      <c r="B90" s="2">
        <v>45352</v>
      </c>
      <c r="C90">
        <v>700</v>
      </c>
      <c r="D90">
        <v>450</v>
      </c>
    </row>
    <row r="91" spans="2:4" x14ac:dyDescent="0.25">
      <c r="B91" s="2">
        <v>45444</v>
      </c>
      <c r="C91">
        <v>756</v>
      </c>
      <c r="D91">
        <v>470</v>
      </c>
    </row>
    <row r="92" spans="2:4" x14ac:dyDescent="0.25">
      <c r="B92" s="2">
        <v>45536</v>
      </c>
      <c r="C92">
        <v>780</v>
      </c>
      <c r="D92">
        <v>495</v>
      </c>
    </row>
    <row r="93" spans="2:4" x14ac:dyDescent="0.25">
      <c r="B93" s="2">
        <v>45627</v>
      </c>
      <c r="C93">
        <v>820</v>
      </c>
      <c r="D93">
        <v>520</v>
      </c>
    </row>
    <row r="94" spans="2:4" x14ac:dyDescent="0.25">
      <c r="B94" s="2">
        <v>45717</v>
      </c>
      <c r="C94">
        <v>821.5</v>
      </c>
      <c r="D94">
        <v>540</v>
      </c>
    </row>
    <row r="95" spans="2:4" x14ac:dyDescent="0.25">
      <c r="B95" s="2">
        <v>45809</v>
      </c>
      <c r="C95">
        <v>850</v>
      </c>
      <c r="D95">
        <v>550</v>
      </c>
    </row>
    <row r="96" spans="2:4" x14ac:dyDescent="0.25">
      <c r="B96" s="2">
        <v>45901</v>
      </c>
      <c r="C96">
        <v>871</v>
      </c>
      <c r="D96">
        <v>577.5</v>
      </c>
    </row>
    <row r="97" spans="2:4" x14ac:dyDescent="0.25">
      <c r="B97" s="2">
        <v>45992</v>
      </c>
      <c r="C97">
        <v>951</v>
      </c>
      <c r="D97">
        <v>622</v>
      </c>
    </row>
    <row r="98" spans="2:4" x14ac:dyDescent="0.25">
      <c r="B98" s="2"/>
    </row>
    <row r="99" spans="2:4" x14ac:dyDescent="0.25">
      <c r="B99" s="2"/>
    </row>
    <row r="100" spans="2:4" x14ac:dyDescent="0.25">
      <c r="B100" s="2"/>
    </row>
    <row r="101" spans="2:4" x14ac:dyDescent="0.25">
      <c r="B101" s="2"/>
    </row>
    <row r="102" spans="2:4" x14ac:dyDescent="0.25">
      <c r="B102" s="2"/>
    </row>
  </sheetData>
  <autoFilter ref="B1:D102" xr:uid="{01F0EFC7-7237-4430-B607-A7F5094CDFD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D97"/>
  <sheetViews>
    <sheetView zoomScaleNormal="100" workbookViewId="0">
      <selection activeCell="J8" sqref="J8"/>
    </sheetView>
  </sheetViews>
  <sheetFormatPr defaultRowHeight="15" x14ac:dyDescent="0.25"/>
  <cols>
    <col min="1" max="1" width="24.28515625" bestFit="1" customWidth="1"/>
    <col min="2" max="2" width="20" bestFit="1" customWidth="1"/>
  </cols>
  <sheetData>
    <row r="1" spans="1:4" x14ac:dyDescent="0.25">
      <c r="A1" t="s">
        <v>23</v>
      </c>
      <c r="B1" s="1" t="s">
        <v>1</v>
      </c>
      <c r="C1" t="s">
        <v>634</v>
      </c>
      <c r="D1" t="s">
        <v>635</v>
      </c>
    </row>
    <row r="2" spans="1:4" x14ac:dyDescent="0.25">
      <c r="A2" t="s">
        <v>12</v>
      </c>
      <c r="B2" s="2">
        <v>37316</v>
      </c>
      <c r="C2" cm="1">
        <f t="array" ref="C2:C97">_xlfn.XLOOKUP("Median Price of Attached Dwelling*Perth*",'ABS-total-value-dwellings'!1:1,'ABS-total-value-dwellings'!11:106,"na",2)</f>
        <v>0</v>
      </c>
      <c r="D2" cm="1">
        <f t="array" ref="D2:D97">_xlfn.XLOOKUP("Median Price of Attached Dwelling*Rest of WA*",'ABS-total-value-dwellings'!1:1,'ABS-total-value-dwellings'!11:106,"na",2)</f>
        <v>0</v>
      </c>
    </row>
    <row r="3" spans="1:4" x14ac:dyDescent="0.25">
      <c r="A3" t="s">
        <v>13</v>
      </c>
      <c r="B3" s="2">
        <v>37408</v>
      </c>
      <c r="C3">
        <v>0</v>
      </c>
      <c r="D3">
        <v>0</v>
      </c>
    </row>
    <row r="4" spans="1:4" x14ac:dyDescent="0.25">
      <c r="B4" s="2">
        <v>37500</v>
      </c>
      <c r="C4">
        <v>0</v>
      </c>
      <c r="D4">
        <v>0</v>
      </c>
    </row>
    <row r="5" spans="1:4" x14ac:dyDescent="0.25">
      <c r="B5" s="2">
        <v>37591</v>
      </c>
      <c r="C5">
        <v>0</v>
      </c>
      <c r="D5">
        <v>0</v>
      </c>
    </row>
    <row r="6" spans="1:4" x14ac:dyDescent="0.25">
      <c r="B6" s="2">
        <v>37681</v>
      </c>
      <c r="C6">
        <v>0</v>
      </c>
      <c r="D6">
        <v>0</v>
      </c>
    </row>
    <row r="7" spans="1:4" x14ac:dyDescent="0.25">
      <c r="B7" s="2">
        <v>37773</v>
      </c>
      <c r="C7">
        <v>0</v>
      </c>
      <c r="D7">
        <v>0</v>
      </c>
    </row>
    <row r="8" spans="1:4" x14ac:dyDescent="0.25">
      <c r="B8" s="2">
        <v>37865</v>
      </c>
      <c r="C8">
        <v>195</v>
      </c>
      <c r="D8">
        <v>135.5</v>
      </c>
    </row>
    <row r="9" spans="1:4" x14ac:dyDescent="0.25">
      <c r="B9" s="2">
        <v>37956</v>
      </c>
      <c r="C9">
        <v>198</v>
      </c>
      <c r="D9">
        <v>138</v>
      </c>
    </row>
    <row r="10" spans="1:4" x14ac:dyDescent="0.25">
      <c r="B10" s="2">
        <v>38047</v>
      </c>
      <c r="C10">
        <v>208</v>
      </c>
      <c r="D10">
        <v>139</v>
      </c>
    </row>
    <row r="11" spans="1:4" x14ac:dyDescent="0.25">
      <c r="B11" s="2">
        <v>38139</v>
      </c>
      <c r="C11">
        <v>215</v>
      </c>
      <c r="D11">
        <v>148.5</v>
      </c>
    </row>
    <row r="12" spans="1:4" x14ac:dyDescent="0.25">
      <c r="B12" s="2">
        <v>38231</v>
      </c>
      <c r="C12">
        <v>215</v>
      </c>
      <c r="D12">
        <v>156</v>
      </c>
    </row>
    <row r="13" spans="1:4" x14ac:dyDescent="0.25">
      <c r="B13" s="2">
        <v>38322</v>
      </c>
      <c r="C13">
        <v>229</v>
      </c>
      <c r="D13">
        <v>165</v>
      </c>
    </row>
    <row r="14" spans="1:4" x14ac:dyDescent="0.25">
      <c r="B14" s="2">
        <v>38412</v>
      </c>
      <c r="C14">
        <v>235</v>
      </c>
      <c r="D14">
        <v>183</v>
      </c>
    </row>
    <row r="15" spans="1:4" x14ac:dyDescent="0.25">
      <c r="B15" s="2">
        <v>38504</v>
      </c>
      <c r="C15">
        <v>247.5</v>
      </c>
      <c r="D15">
        <v>175</v>
      </c>
    </row>
    <row r="16" spans="1:4" x14ac:dyDescent="0.25">
      <c r="B16" s="2">
        <v>38596</v>
      </c>
      <c r="C16">
        <v>255</v>
      </c>
      <c r="D16">
        <v>190</v>
      </c>
    </row>
    <row r="17" spans="2:4" x14ac:dyDescent="0.25">
      <c r="B17" s="2">
        <v>38687</v>
      </c>
      <c r="C17">
        <v>276</v>
      </c>
      <c r="D17">
        <v>220</v>
      </c>
    </row>
    <row r="18" spans="2:4" x14ac:dyDescent="0.25">
      <c r="B18" s="2">
        <v>38777</v>
      </c>
      <c r="C18">
        <v>292</v>
      </c>
      <c r="D18">
        <v>235</v>
      </c>
    </row>
    <row r="19" spans="2:4" x14ac:dyDescent="0.25">
      <c r="B19" s="2">
        <v>38869</v>
      </c>
      <c r="C19">
        <v>332.5</v>
      </c>
      <c r="D19">
        <v>230</v>
      </c>
    </row>
    <row r="20" spans="2:4" x14ac:dyDescent="0.25">
      <c r="B20" s="2">
        <v>38961</v>
      </c>
      <c r="C20">
        <v>350</v>
      </c>
      <c r="D20">
        <v>260</v>
      </c>
    </row>
    <row r="21" spans="2:4" x14ac:dyDescent="0.25">
      <c r="B21" s="2">
        <v>39052</v>
      </c>
      <c r="C21">
        <v>362.5</v>
      </c>
      <c r="D21">
        <v>297</v>
      </c>
    </row>
    <row r="22" spans="2:4" x14ac:dyDescent="0.25">
      <c r="B22" s="2">
        <v>39142</v>
      </c>
      <c r="C22">
        <v>370</v>
      </c>
      <c r="D22">
        <v>285</v>
      </c>
    </row>
    <row r="23" spans="2:4" x14ac:dyDescent="0.25">
      <c r="B23" s="2">
        <v>39234</v>
      </c>
      <c r="C23">
        <v>370</v>
      </c>
      <c r="D23">
        <v>299</v>
      </c>
    </row>
    <row r="24" spans="2:4" x14ac:dyDescent="0.25">
      <c r="B24" s="2">
        <v>39326</v>
      </c>
      <c r="C24">
        <v>376</v>
      </c>
      <c r="D24">
        <v>307.3</v>
      </c>
    </row>
    <row r="25" spans="2:4" x14ac:dyDescent="0.25">
      <c r="B25" s="2">
        <v>39417</v>
      </c>
      <c r="C25">
        <v>385</v>
      </c>
      <c r="D25">
        <v>319.5</v>
      </c>
    </row>
    <row r="26" spans="2:4" x14ac:dyDescent="0.25">
      <c r="B26" s="2">
        <v>39508</v>
      </c>
      <c r="C26">
        <v>380</v>
      </c>
      <c r="D26">
        <v>320</v>
      </c>
    </row>
    <row r="27" spans="2:4" x14ac:dyDescent="0.25">
      <c r="B27" s="2">
        <v>39600</v>
      </c>
      <c r="C27">
        <v>372.3</v>
      </c>
      <c r="D27">
        <v>313</v>
      </c>
    </row>
    <row r="28" spans="2:4" x14ac:dyDescent="0.25">
      <c r="B28" s="2">
        <v>39692</v>
      </c>
      <c r="C28">
        <v>360</v>
      </c>
      <c r="D28">
        <v>300</v>
      </c>
    </row>
    <row r="29" spans="2:4" x14ac:dyDescent="0.25">
      <c r="B29" s="2">
        <v>39783</v>
      </c>
      <c r="C29">
        <v>350</v>
      </c>
      <c r="D29">
        <v>300</v>
      </c>
    </row>
    <row r="30" spans="2:4" x14ac:dyDescent="0.25">
      <c r="B30" s="2">
        <v>39873</v>
      </c>
      <c r="C30">
        <v>350</v>
      </c>
      <c r="D30">
        <v>315</v>
      </c>
    </row>
    <row r="31" spans="2:4" x14ac:dyDescent="0.25">
      <c r="B31" s="2">
        <v>39965</v>
      </c>
      <c r="C31">
        <v>380</v>
      </c>
      <c r="D31">
        <v>325</v>
      </c>
    </row>
    <row r="32" spans="2:4" x14ac:dyDescent="0.25">
      <c r="B32" s="2">
        <v>40057</v>
      </c>
      <c r="C32">
        <v>390</v>
      </c>
      <c r="D32">
        <v>331</v>
      </c>
    </row>
    <row r="33" spans="2:4" x14ac:dyDescent="0.25">
      <c r="B33" s="2">
        <v>40148</v>
      </c>
      <c r="C33">
        <v>415</v>
      </c>
      <c r="D33">
        <v>339</v>
      </c>
    </row>
    <row r="34" spans="2:4" x14ac:dyDescent="0.25">
      <c r="B34" s="2">
        <v>40238</v>
      </c>
      <c r="C34">
        <v>420</v>
      </c>
      <c r="D34">
        <v>347.5</v>
      </c>
    </row>
    <row r="35" spans="2:4" x14ac:dyDescent="0.25">
      <c r="B35" s="2">
        <v>40330</v>
      </c>
      <c r="C35">
        <v>417</v>
      </c>
      <c r="D35">
        <v>348.5</v>
      </c>
    </row>
    <row r="36" spans="2:4" x14ac:dyDescent="0.25">
      <c r="B36" s="2">
        <v>40422</v>
      </c>
      <c r="C36">
        <v>410</v>
      </c>
      <c r="D36">
        <v>329</v>
      </c>
    </row>
    <row r="37" spans="2:4" x14ac:dyDescent="0.25">
      <c r="B37" s="2">
        <v>40513</v>
      </c>
      <c r="C37">
        <v>410</v>
      </c>
      <c r="D37">
        <v>335</v>
      </c>
    </row>
    <row r="38" spans="2:4" x14ac:dyDescent="0.25">
      <c r="B38" s="2">
        <v>40603</v>
      </c>
      <c r="C38">
        <v>405</v>
      </c>
      <c r="D38">
        <v>310</v>
      </c>
    </row>
    <row r="39" spans="2:4" x14ac:dyDescent="0.25">
      <c r="B39" s="2">
        <v>40695</v>
      </c>
      <c r="C39">
        <v>405</v>
      </c>
      <c r="D39">
        <v>335</v>
      </c>
    </row>
    <row r="40" spans="2:4" x14ac:dyDescent="0.25">
      <c r="B40" s="2">
        <v>40787</v>
      </c>
      <c r="C40">
        <v>395</v>
      </c>
      <c r="D40">
        <v>315</v>
      </c>
    </row>
    <row r="41" spans="2:4" x14ac:dyDescent="0.25">
      <c r="B41" s="2">
        <v>40878</v>
      </c>
      <c r="C41">
        <v>400</v>
      </c>
      <c r="D41">
        <v>328.3</v>
      </c>
    </row>
    <row r="42" spans="2:4" x14ac:dyDescent="0.25">
      <c r="B42" s="2">
        <v>40969</v>
      </c>
      <c r="C42">
        <v>406</v>
      </c>
      <c r="D42">
        <v>325</v>
      </c>
    </row>
    <row r="43" spans="2:4" x14ac:dyDescent="0.25">
      <c r="B43" s="2">
        <v>41061</v>
      </c>
      <c r="C43">
        <v>400</v>
      </c>
      <c r="D43">
        <v>326.8</v>
      </c>
    </row>
    <row r="44" spans="2:4" x14ac:dyDescent="0.25">
      <c r="B44" s="2">
        <v>41153</v>
      </c>
      <c r="C44">
        <v>400</v>
      </c>
      <c r="D44">
        <v>322.5</v>
      </c>
    </row>
    <row r="45" spans="2:4" x14ac:dyDescent="0.25">
      <c r="B45" s="2">
        <v>41244</v>
      </c>
      <c r="C45">
        <v>410</v>
      </c>
      <c r="D45">
        <v>310</v>
      </c>
    </row>
    <row r="46" spans="2:4" x14ac:dyDescent="0.25">
      <c r="B46" s="2">
        <v>41334</v>
      </c>
      <c r="C46">
        <v>430</v>
      </c>
      <c r="D46">
        <v>315</v>
      </c>
    </row>
    <row r="47" spans="2:4" x14ac:dyDescent="0.25">
      <c r="B47" s="2">
        <v>41426</v>
      </c>
      <c r="C47">
        <v>426</v>
      </c>
      <c r="D47">
        <v>310</v>
      </c>
    </row>
    <row r="48" spans="2:4" x14ac:dyDescent="0.25">
      <c r="B48" s="2">
        <v>41518</v>
      </c>
      <c r="C48">
        <v>430</v>
      </c>
      <c r="D48">
        <v>314.5</v>
      </c>
    </row>
    <row r="49" spans="2:4" x14ac:dyDescent="0.25">
      <c r="B49" s="2">
        <v>41609</v>
      </c>
      <c r="C49">
        <v>450</v>
      </c>
      <c r="D49">
        <v>320</v>
      </c>
    </row>
    <row r="50" spans="2:4" x14ac:dyDescent="0.25">
      <c r="B50" s="2">
        <v>41699</v>
      </c>
      <c r="C50">
        <v>445</v>
      </c>
      <c r="D50">
        <v>325</v>
      </c>
    </row>
    <row r="51" spans="2:4" x14ac:dyDescent="0.25">
      <c r="B51" s="2">
        <v>41791</v>
      </c>
      <c r="C51">
        <v>452</v>
      </c>
      <c r="D51">
        <v>322</v>
      </c>
    </row>
    <row r="52" spans="2:4" x14ac:dyDescent="0.25">
      <c r="B52" s="2">
        <v>41883</v>
      </c>
      <c r="C52">
        <v>442</v>
      </c>
      <c r="D52">
        <v>325</v>
      </c>
    </row>
    <row r="53" spans="2:4" x14ac:dyDescent="0.25">
      <c r="B53" s="2">
        <v>41974</v>
      </c>
      <c r="C53">
        <v>445</v>
      </c>
      <c r="D53">
        <v>320</v>
      </c>
    </row>
    <row r="54" spans="2:4" x14ac:dyDescent="0.25">
      <c r="B54" s="2">
        <v>42064</v>
      </c>
      <c r="C54">
        <v>440</v>
      </c>
      <c r="D54">
        <v>325</v>
      </c>
    </row>
    <row r="55" spans="2:4" x14ac:dyDescent="0.25">
      <c r="B55" s="2">
        <v>42156</v>
      </c>
      <c r="C55">
        <v>434.5</v>
      </c>
      <c r="D55">
        <v>315</v>
      </c>
    </row>
    <row r="56" spans="2:4" x14ac:dyDescent="0.25">
      <c r="B56" s="2">
        <v>42248</v>
      </c>
      <c r="C56">
        <v>425</v>
      </c>
      <c r="D56">
        <v>330</v>
      </c>
    </row>
    <row r="57" spans="2:4" x14ac:dyDescent="0.25">
      <c r="B57" s="2">
        <v>42339</v>
      </c>
      <c r="C57">
        <v>430</v>
      </c>
      <c r="D57">
        <v>295</v>
      </c>
    </row>
    <row r="58" spans="2:4" x14ac:dyDescent="0.25">
      <c r="B58" s="2">
        <v>42430</v>
      </c>
      <c r="C58">
        <v>430</v>
      </c>
      <c r="D58">
        <v>327.5</v>
      </c>
    </row>
    <row r="59" spans="2:4" x14ac:dyDescent="0.25">
      <c r="B59" s="2">
        <v>42522</v>
      </c>
      <c r="C59">
        <v>410</v>
      </c>
      <c r="D59">
        <v>300</v>
      </c>
    </row>
    <row r="60" spans="2:4" x14ac:dyDescent="0.25">
      <c r="B60" s="2">
        <v>42614</v>
      </c>
      <c r="C60">
        <v>425</v>
      </c>
      <c r="D60">
        <v>270</v>
      </c>
    </row>
    <row r="61" spans="2:4" x14ac:dyDescent="0.25">
      <c r="B61" s="2">
        <v>42705</v>
      </c>
      <c r="C61">
        <v>410</v>
      </c>
      <c r="D61">
        <v>288</v>
      </c>
    </row>
    <row r="62" spans="2:4" x14ac:dyDescent="0.25">
      <c r="B62" s="2">
        <v>42795</v>
      </c>
      <c r="C62">
        <v>415</v>
      </c>
      <c r="D62">
        <v>311.5</v>
      </c>
    </row>
    <row r="63" spans="2:4" x14ac:dyDescent="0.25">
      <c r="B63" s="2">
        <v>42887</v>
      </c>
      <c r="C63">
        <v>405</v>
      </c>
      <c r="D63">
        <v>270</v>
      </c>
    </row>
    <row r="64" spans="2:4" x14ac:dyDescent="0.25">
      <c r="B64" s="2">
        <v>42979</v>
      </c>
      <c r="C64">
        <v>405</v>
      </c>
      <c r="D64">
        <v>268</v>
      </c>
    </row>
    <row r="65" spans="2:4" x14ac:dyDescent="0.25">
      <c r="B65" s="2">
        <v>43070</v>
      </c>
      <c r="C65">
        <v>410</v>
      </c>
      <c r="D65">
        <v>255</v>
      </c>
    </row>
    <row r="66" spans="2:4" x14ac:dyDescent="0.25">
      <c r="B66" s="2">
        <v>43160</v>
      </c>
      <c r="C66">
        <v>400</v>
      </c>
      <c r="D66">
        <v>255</v>
      </c>
    </row>
    <row r="67" spans="2:4" x14ac:dyDescent="0.25">
      <c r="B67" s="2">
        <v>43252</v>
      </c>
      <c r="C67">
        <v>408</v>
      </c>
      <c r="D67">
        <v>233.1</v>
      </c>
    </row>
    <row r="68" spans="2:4" x14ac:dyDescent="0.25">
      <c r="B68" s="2">
        <v>43344</v>
      </c>
      <c r="C68">
        <v>395</v>
      </c>
      <c r="D68">
        <v>240</v>
      </c>
    </row>
    <row r="69" spans="2:4" x14ac:dyDescent="0.25">
      <c r="B69" s="2">
        <v>43435</v>
      </c>
      <c r="C69">
        <v>392</v>
      </c>
      <c r="D69">
        <v>265</v>
      </c>
    </row>
    <row r="70" spans="2:4" x14ac:dyDescent="0.25">
      <c r="B70" s="2">
        <v>43525</v>
      </c>
      <c r="C70">
        <v>387.5</v>
      </c>
      <c r="D70">
        <v>256.5</v>
      </c>
    </row>
    <row r="71" spans="2:4" x14ac:dyDescent="0.25">
      <c r="B71" s="2">
        <v>43617</v>
      </c>
      <c r="C71">
        <v>379</v>
      </c>
      <c r="D71">
        <v>230</v>
      </c>
    </row>
    <row r="72" spans="2:4" x14ac:dyDescent="0.25">
      <c r="B72" s="2">
        <v>43709</v>
      </c>
      <c r="C72">
        <v>380</v>
      </c>
      <c r="D72">
        <v>240</v>
      </c>
    </row>
    <row r="73" spans="2:4" x14ac:dyDescent="0.25">
      <c r="B73" s="2">
        <v>43800</v>
      </c>
      <c r="C73">
        <v>380</v>
      </c>
      <c r="D73">
        <v>246.5</v>
      </c>
    </row>
    <row r="74" spans="2:4" x14ac:dyDescent="0.25">
      <c r="B74" s="2">
        <v>43891</v>
      </c>
      <c r="C74">
        <v>380</v>
      </c>
      <c r="D74">
        <v>233.3</v>
      </c>
    </row>
    <row r="75" spans="2:4" x14ac:dyDescent="0.25">
      <c r="B75" s="2">
        <v>43983</v>
      </c>
      <c r="C75">
        <v>350</v>
      </c>
      <c r="D75">
        <v>210</v>
      </c>
    </row>
    <row r="76" spans="2:4" x14ac:dyDescent="0.25">
      <c r="B76" s="2">
        <v>44075</v>
      </c>
      <c r="C76">
        <v>385</v>
      </c>
      <c r="D76">
        <v>247</v>
      </c>
    </row>
    <row r="77" spans="2:4" x14ac:dyDescent="0.25">
      <c r="B77" s="2">
        <v>44166</v>
      </c>
      <c r="C77">
        <v>400</v>
      </c>
      <c r="D77">
        <v>270</v>
      </c>
    </row>
    <row r="78" spans="2:4" x14ac:dyDescent="0.25">
      <c r="B78" s="2">
        <v>44256</v>
      </c>
      <c r="C78">
        <v>414</v>
      </c>
      <c r="D78">
        <v>265</v>
      </c>
    </row>
    <row r="79" spans="2:4" x14ac:dyDescent="0.25">
      <c r="B79" s="2">
        <v>44348</v>
      </c>
      <c r="C79">
        <v>420</v>
      </c>
      <c r="D79">
        <v>297</v>
      </c>
    </row>
    <row r="80" spans="2:4" x14ac:dyDescent="0.25">
      <c r="B80" s="2">
        <v>44440</v>
      </c>
      <c r="C80">
        <v>415</v>
      </c>
      <c r="D80">
        <v>299.5</v>
      </c>
    </row>
    <row r="81" spans="2:4" x14ac:dyDescent="0.25">
      <c r="B81" s="2">
        <v>44531</v>
      </c>
      <c r="C81">
        <v>412.8</v>
      </c>
      <c r="D81">
        <v>295</v>
      </c>
    </row>
    <row r="82" spans="2:4" x14ac:dyDescent="0.25">
      <c r="B82" s="2">
        <v>44621</v>
      </c>
      <c r="C82">
        <v>410</v>
      </c>
      <c r="D82">
        <v>320</v>
      </c>
    </row>
    <row r="83" spans="2:4" x14ac:dyDescent="0.25">
      <c r="B83" s="2">
        <v>44713</v>
      </c>
      <c r="C83">
        <v>405</v>
      </c>
      <c r="D83">
        <v>324.5</v>
      </c>
    </row>
    <row r="84" spans="2:4" x14ac:dyDescent="0.25">
      <c r="B84" s="2">
        <v>44805</v>
      </c>
      <c r="C84">
        <v>400</v>
      </c>
      <c r="D84">
        <v>300</v>
      </c>
    </row>
    <row r="85" spans="2:4" x14ac:dyDescent="0.25">
      <c r="B85" s="2">
        <v>44896</v>
      </c>
      <c r="C85">
        <v>400</v>
      </c>
      <c r="D85">
        <v>313.5</v>
      </c>
    </row>
    <row r="86" spans="2:4" x14ac:dyDescent="0.25">
      <c r="B86" s="2">
        <v>44986</v>
      </c>
      <c r="C86">
        <v>402.6</v>
      </c>
      <c r="D86">
        <v>320</v>
      </c>
    </row>
    <row r="87" spans="2:4" x14ac:dyDescent="0.25">
      <c r="B87" s="2">
        <v>45078</v>
      </c>
      <c r="C87">
        <v>410</v>
      </c>
      <c r="D87">
        <v>323</v>
      </c>
    </row>
    <row r="88" spans="2:4" x14ac:dyDescent="0.25">
      <c r="B88" s="2">
        <v>45170</v>
      </c>
      <c r="C88">
        <v>420</v>
      </c>
      <c r="D88">
        <v>320</v>
      </c>
    </row>
    <row r="89" spans="2:4" x14ac:dyDescent="0.25">
      <c r="B89" s="2">
        <v>45261</v>
      </c>
      <c r="C89">
        <v>445</v>
      </c>
      <c r="D89">
        <v>339</v>
      </c>
    </row>
    <row r="90" spans="2:4" x14ac:dyDescent="0.25">
      <c r="B90" s="2">
        <v>45352</v>
      </c>
      <c r="C90">
        <v>475</v>
      </c>
      <c r="D90">
        <v>365</v>
      </c>
    </row>
    <row r="91" spans="2:4" x14ac:dyDescent="0.25">
      <c r="B91" s="2">
        <v>45444</v>
      </c>
      <c r="C91">
        <v>510</v>
      </c>
      <c r="D91">
        <v>380</v>
      </c>
    </row>
    <row r="92" spans="2:4" x14ac:dyDescent="0.25">
      <c r="B92" s="2">
        <v>45536</v>
      </c>
      <c r="C92">
        <v>540</v>
      </c>
      <c r="D92">
        <v>380</v>
      </c>
    </row>
    <row r="93" spans="2:4" x14ac:dyDescent="0.25">
      <c r="B93" s="2">
        <v>45627</v>
      </c>
      <c r="C93">
        <v>557.5</v>
      </c>
      <c r="D93">
        <v>400</v>
      </c>
    </row>
    <row r="94" spans="2:4" x14ac:dyDescent="0.25">
      <c r="B94" s="2">
        <v>45717</v>
      </c>
      <c r="C94">
        <v>575</v>
      </c>
      <c r="D94">
        <v>420</v>
      </c>
    </row>
    <row r="95" spans="2:4" x14ac:dyDescent="0.25">
      <c r="B95" s="2">
        <v>45809</v>
      </c>
      <c r="C95">
        <v>600</v>
      </c>
      <c r="D95">
        <v>410</v>
      </c>
    </row>
    <row r="96" spans="2:4" x14ac:dyDescent="0.25">
      <c r="B96" s="2">
        <v>45901</v>
      </c>
      <c r="C96">
        <v>625.9</v>
      </c>
      <c r="D96">
        <v>430</v>
      </c>
    </row>
    <row r="97" spans="2:4" x14ac:dyDescent="0.25">
      <c r="B97" s="2">
        <v>45992</v>
      </c>
      <c r="C97">
        <v>700</v>
      </c>
      <c r="D97">
        <v>450</v>
      </c>
    </row>
  </sheetData>
  <autoFilter ref="B1:D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15</vt:i4>
      </vt:variant>
      <vt:variant>
        <vt:lpstr>Charts</vt:lpstr>
      </vt:variant>
      <vt:variant>
        <vt:i4>2</vt:i4>
      </vt:variant>
      <vt:variant>
        <vt:lpstr>Named Ranges</vt:lpstr>
      </vt:variant>
      <vt:variant>
        <vt:i4>196</vt:i4>
      </vt:variant>
    </vt:vector>
  </HeadingPairs>
  <TitlesOfParts>
    <vt:vector size="213" baseType="lpstr">
      <vt:lpstr>analysis</vt:lpstr>
      <vt:lpstr>cpi</vt:lpstr>
      <vt:lpstr>msci-indices</vt:lpstr>
      <vt:lpstr>mortgage-rates</vt:lpstr>
      <vt:lpstr>wa-rent &gt;&gt;</vt:lpstr>
      <vt:lpstr>domain-values</vt:lpstr>
      <vt:lpstr>Ableson and Joyeux 2023</vt:lpstr>
      <vt:lpstr>rai-values</vt:lpstr>
      <vt:lpstr>census-values</vt:lpstr>
      <vt:lpstr>2BR_F-processed</vt:lpstr>
      <vt:lpstr>3BR_H-processed</vt:lpstr>
      <vt:lpstr>wa-buy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2026-09-06T01:09:37Z</dcterms:modified>
</cp:coreProperties>
</file>