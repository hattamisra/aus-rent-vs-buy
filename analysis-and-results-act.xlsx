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262" documentId="8_{72F4D299-6897-470A-91B7-71EE09BFF31D}" xr6:coauthVersionLast="47" xr6:coauthVersionMax="47" xr10:uidLastSave="{54E5B845-41E5-4843-A554-F80B4F1CD103}"/>
  <bookViews>
    <workbookView xWindow="-105" yWindow="0" windowWidth="14610" windowHeight="17385" tabRatio="665" xr2:uid="{D8AAAA89-5358-4611-B113-99C6929A3BCB}"/>
  </bookViews>
  <sheets>
    <sheet name="analysis" sheetId="13" r:id="rId1"/>
    <sheet name="cpi" sheetId="23" r:id="rId2"/>
    <sheet name="msci-indices" sheetId="20" r:id="rId3"/>
    <sheet name="mortgage-rates" sheetId="19" r:id="rId4"/>
    <sheet name="act-rent &gt;&gt;" sheetId="6" r:id="rId5"/>
    <sheet name="domain-values" sheetId="34" r:id="rId6"/>
    <sheet name="Ableson and Joyeux 2023" sheetId="35" r:id="rId7"/>
    <sheet name="rai-values-2bf" sheetId="38" r:id="rId8"/>
    <sheet name="rai-values-3bh" sheetId="36" r:id="rId9"/>
    <sheet name="2BR_F-processed" sheetId="2" r:id="rId10"/>
    <sheet name="3BR_H-processed" sheetId="11" r:id="rId11"/>
    <sheet name="chart-2bflat" sheetId="3" r:id="rId12"/>
    <sheet name="chart-3bhouse" sheetId="12" r:id="rId13"/>
    <sheet name="act-buy &gt;&gt;" sheetId="14" r:id="rId14"/>
    <sheet name="ABS-total-value-dwellings" sheetId="24" r:id="rId15"/>
    <sheet name="ns-combined" sheetId="18" r:id="rId16"/>
    <sheet name="s-combined" sheetId="22" r:id="rId17"/>
  </sheets>
  <definedNames>
    <definedName name="_xlnm._FilterDatabase" localSheetId="9" hidden="1">'2BR_F-processed'!$A$1:$E$97</definedName>
    <definedName name="_xlnm._FilterDatabase" localSheetId="10" hidden="1">'3BR_H-processed'!$A$1:$E$97</definedName>
    <definedName name="_xlnm._FilterDatabase" localSheetId="15" hidden="1">'ns-combined'!$B$1:$C$102</definedName>
    <definedName name="_xlnm._FilterDatabase" localSheetId="16" hidden="1">'s-combined'!$B$1:$C$97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10">'3BR_H-processed'!$A$1</definedName>
    <definedName name="HouseNumberOfBedrooms" localSheetId="10">'3BR_H-processed'!$A$2</definedName>
    <definedName name="InvestFees">analysis!$B$43</definedName>
    <definedName name="MortgageRate">analysis!$B$19</definedName>
    <definedName name="Q_end">analysis!$B$12</definedName>
    <definedName name="Q_start">analysis!$B$11</definedName>
    <definedName name="Qstart">analysis!$B$11</definedName>
    <definedName name="TopOfTable_Table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2" l="1" a="1"/>
  <c r="C2" i="18" a="1"/>
  <c r="F63" i="38"/>
  <c r="H63" i="38" s="1"/>
  <c r="F62" i="38"/>
  <c r="H62" i="38" s="1"/>
  <c r="F61" i="38"/>
  <c r="H61" i="38" s="1"/>
  <c r="H79" i="2" s="1"/>
  <c r="F60" i="38"/>
  <c r="H60" i="38" s="1"/>
  <c r="H78" i="2" s="1"/>
  <c r="F59" i="38"/>
  <c r="H59" i="38" s="1"/>
  <c r="H77" i="2" s="1"/>
  <c r="F58" i="38"/>
  <c r="H58" i="38" s="1"/>
  <c r="H76" i="2" s="1"/>
  <c r="F57" i="38"/>
  <c r="H57" i="38" s="1"/>
  <c r="H75" i="2" s="1"/>
  <c r="F56" i="38"/>
  <c r="H56" i="38" s="1"/>
  <c r="H74" i="2" s="1"/>
  <c r="F55" i="38"/>
  <c r="H55" i="38" s="1"/>
  <c r="H73" i="2" s="1"/>
  <c r="F54" i="38"/>
  <c r="H54" i="38" s="1"/>
  <c r="H72" i="2" s="1"/>
  <c r="F53" i="38"/>
  <c r="H53" i="38" s="1"/>
  <c r="H71" i="2" s="1"/>
  <c r="F52" i="38"/>
  <c r="H52" i="38" s="1"/>
  <c r="H70" i="2" s="1"/>
  <c r="F51" i="38"/>
  <c r="H51" i="38" s="1"/>
  <c r="H69" i="2" s="1"/>
  <c r="F50" i="38"/>
  <c r="H50" i="38" s="1"/>
  <c r="H68" i="2" s="1"/>
  <c r="F49" i="38"/>
  <c r="H49" i="38" s="1"/>
  <c r="H67" i="2" s="1"/>
  <c r="F48" i="38"/>
  <c r="H48" i="38" s="1"/>
  <c r="H66" i="2" s="1"/>
  <c r="F47" i="38"/>
  <c r="H47" i="38" s="1"/>
  <c r="H65" i="2" s="1"/>
  <c r="F46" i="38"/>
  <c r="H46" i="38" s="1"/>
  <c r="H64" i="2" s="1"/>
  <c r="F45" i="38"/>
  <c r="H45" i="38" s="1"/>
  <c r="H63" i="2" s="1"/>
  <c r="F44" i="38"/>
  <c r="H44" i="38" s="1"/>
  <c r="H62" i="2" s="1"/>
  <c r="F43" i="38"/>
  <c r="H43" i="38" s="1"/>
  <c r="H61" i="2" s="1"/>
  <c r="F42" i="38"/>
  <c r="H42" i="38" s="1"/>
  <c r="H60" i="2" s="1"/>
  <c r="F41" i="38"/>
  <c r="H41" i="38" s="1"/>
  <c r="H59" i="2" s="1"/>
  <c r="F40" i="38"/>
  <c r="H40" i="38" s="1"/>
  <c r="H58" i="2" s="1"/>
  <c r="F39" i="38"/>
  <c r="H39" i="38" s="1"/>
  <c r="H57" i="2" s="1"/>
  <c r="H38" i="38"/>
  <c r="H56" i="2" s="1"/>
  <c r="F38" i="38"/>
  <c r="F37" i="38"/>
  <c r="H37" i="38" s="1"/>
  <c r="H55" i="2" s="1"/>
  <c r="H36" i="38"/>
  <c r="H54" i="2" s="1"/>
  <c r="F36" i="38"/>
  <c r="F35" i="38"/>
  <c r="H35" i="38" s="1"/>
  <c r="H53" i="2" s="1"/>
  <c r="F34" i="38"/>
  <c r="H34" i="38" s="1"/>
  <c r="H52" i="2" s="1"/>
  <c r="F33" i="38"/>
  <c r="H33" i="38" s="1"/>
  <c r="H51" i="2" s="1"/>
  <c r="F32" i="38"/>
  <c r="H32" i="38" s="1"/>
  <c r="H50" i="2" s="1"/>
  <c r="F31" i="38"/>
  <c r="H31" i="38" s="1"/>
  <c r="H49" i="2" s="1"/>
  <c r="F30" i="38"/>
  <c r="H30" i="38" s="1"/>
  <c r="H48" i="2" s="1"/>
  <c r="H29" i="38"/>
  <c r="H47" i="2" s="1"/>
  <c r="F29" i="38"/>
  <c r="F28" i="38"/>
  <c r="H28" i="38" s="1"/>
  <c r="H46" i="2" s="1"/>
  <c r="F27" i="38"/>
  <c r="H27" i="38" s="1"/>
  <c r="H45" i="2" s="1"/>
  <c r="F26" i="38"/>
  <c r="H26" i="38" s="1"/>
  <c r="H44" i="2" s="1"/>
  <c r="F25" i="38"/>
  <c r="H25" i="38" s="1"/>
  <c r="H43" i="2" s="1"/>
  <c r="F24" i="38"/>
  <c r="H24" i="38" s="1"/>
  <c r="H42" i="2" s="1"/>
  <c r="F23" i="38"/>
  <c r="H23" i="38" s="1"/>
  <c r="H41" i="2" s="1"/>
  <c r="F22" i="38"/>
  <c r="H22" i="38" s="1"/>
  <c r="H40" i="2" s="1"/>
  <c r="F21" i="38"/>
  <c r="H21" i="38" s="1"/>
  <c r="H39" i="2" s="1"/>
  <c r="F20" i="38"/>
  <c r="H20" i="38" s="1"/>
  <c r="H38" i="2" s="1"/>
  <c r="H19" i="38"/>
  <c r="H37" i="2" s="1"/>
  <c r="F19" i="38"/>
  <c r="F18" i="38"/>
  <c r="H18" i="38" s="1"/>
  <c r="H36" i="2" s="1"/>
  <c r="F17" i="38"/>
  <c r="H17" i="38" s="1"/>
  <c r="H35" i="2" s="1"/>
  <c r="F16" i="38"/>
  <c r="H16" i="38" s="1"/>
  <c r="H34" i="2" s="1"/>
  <c r="F15" i="38"/>
  <c r="H15" i="38" s="1"/>
  <c r="H33" i="2" s="1"/>
  <c r="F14" i="38"/>
  <c r="H14" i="38" s="1"/>
  <c r="H32" i="2" s="1"/>
  <c r="F13" i="38"/>
  <c r="H13" i="38" s="1"/>
  <c r="H31" i="2" s="1"/>
  <c r="F12" i="38"/>
  <c r="H12" i="38" s="1"/>
  <c r="H30" i="2" s="1"/>
  <c r="F11" i="38"/>
  <c r="H11" i="38" s="1"/>
  <c r="H29" i="2" s="1"/>
  <c r="F10" i="38"/>
  <c r="H10" i="38" s="1"/>
  <c r="H28" i="2" s="1"/>
  <c r="F9" i="38"/>
  <c r="H9" i="38" s="1"/>
  <c r="H27" i="2" s="1"/>
  <c r="F8" i="38"/>
  <c r="H8" i="38" s="1"/>
  <c r="H26" i="2" s="1"/>
  <c r="F7" i="38"/>
  <c r="H7" i="38" s="1"/>
  <c r="H25" i="2" s="1"/>
  <c r="F6" i="38"/>
  <c r="H6" i="38" s="1"/>
  <c r="H24" i="2" s="1"/>
  <c r="F5" i="38"/>
  <c r="H5" i="38" s="1"/>
  <c r="H23" i="2" s="1"/>
  <c r="F4" i="38"/>
  <c r="H4" i="38" s="1"/>
  <c r="H22" i="2" s="1"/>
  <c r="I21" i="2" s="1"/>
  <c r="F70" i="11"/>
  <c r="E70" i="11" s="1" a="1"/>
  <c r="F71" i="11"/>
  <c r="E71" i="11" s="1" a="1"/>
  <c r="F72" i="11"/>
  <c r="E72" i="11" s="1" a="1"/>
  <c r="F73" i="11"/>
  <c r="E73" i="11" s="1" a="1"/>
  <c r="F74" i="11"/>
  <c r="E74" i="11" s="1" a="1"/>
  <c r="F75" i="11"/>
  <c r="E75" i="11" s="1" a="1"/>
  <c r="F76" i="11"/>
  <c r="E76" i="11" s="1" a="1"/>
  <c r="F77" i="11"/>
  <c r="E77" i="11" s="1" a="1"/>
  <c r="F78" i="11"/>
  <c r="E78" i="11" s="1" a="1"/>
  <c r="F79" i="11"/>
  <c r="E79" i="11" s="1" a="1"/>
  <c r="F80" i="11"/>
  <c r="E80" i="11" s="1" a="1"/>
  <c r="F81" i="11"/>
  <c r="E81" i="11" s="1" a="1"/>
  <c r="F69" i="11"/>
  <c r="E69" i="11" s="1" a="1"/>
  <c r="F70" i="2"/>
  <c r="E70" i="2" s="1" a="1"/>
  <c r="F71" i="2"/>
  <c r="E71" i="2" s="1" a="1"/>
  <c r="F72" i="2"/>
  <c r="E72" i="2" s="1" a="1"/>
  <c r="F73" i="2"/>
  <c r="E73" i="2" s="1" a="1"/>
  <c r="F74" i="2"/>
  <c r="E74" i="2" s="1" a="1"/>
  <c r="F75" i="2"/>
  <c r="E75" i="2" s="1" a="1"/>
  <c r="F76" i="2"/>
  <c r="E76" i="2" s="1" a="1"/>
  <c r="F77" i="2"/>
  <c r="E77" i="2" s="1" a="1"/>
  <c r="F78" i="2"/>
  <c r="E78" i="2" s="1" a="1"/>
  <c r="F79" i="2"/>
  <c r="E79" i="2" s="1" a="1"/>
  <c r="F80" i="2"/>
  <c r="E80" i="2" s="1" a="1"/>
  <c r="F81" i="2"/>
  <c r="E81" i="2" s="1" a="1"/>
  <c r="F69" i="2"/>
  <c r="E69" i="2" s="1" a="1"/>
  <c r="G69" i="11"/>
  <c r="G67" i="11"/>
  <c r="E67" i="11" s="1" a="1"/>
  <c r="G63" i="11"/>
  <c r="E63" i="11" s="1" a="1"/>
  <c r="G62" i="11"/>
  <c r="E62" i="11" s="1" a="1"/>
  <c r="G61" i="11"/>
  <c r="E61" i="11" s="1" a="1"/>
  <c r="G60" i="11"/>
  <c r="E60" i="11" s="1" a="1"/>
  <c r="G59" i="11"/>
  <c r="E59" i="11" s="1" a="1"/>
  <c r="G58" i="11"/>
  <c r="E58" i="11" s="1" a="1"/>
  <c r="G57" i="11"/>
  <c r="E57" i="11" s="1" a="1"/>
  <c r="G56" i="11"/>
  <c r="G55" i="11"/>
  <c r="E55" i="11" s="1" a="1"/>
  <c r="G54" i="11"/>
  <c r="E54" i="11" s="1" a="1"/>
  <c r="G53" i="11"/>
  <c r="E53" i="11" s="1" a="1"/>
  <c r="G52" i="11"/>
  <c r="E52" i="11" s="1" a="1"/>
  <c r="G51" i="11"/>
  <c r="E51" i="11" s="1" a="1"/>
  <c r="G50" i="11"/>
  <c r="G49" i="11"/>
  <c r="E49" i="11" s="1" a="1"/>
  <c r="G48" i="11"/>
  <c r="G47" i="11"/>
  <c r="E47" i="11" s="1" a="1"/>
  <c r="G46" i="11"/>
  <c r="G45" i="11"/>
  <c r="E45" i="11" s="1" a="1"/>
  <c r="G44" i="11"/>
  <c r="E44" i="11" s="1" a="1"/>
  <c r="G43" i="11"/>
  <c r="G42" i="11"/>
  <c r="G41" i="11"/>
  <c r="E41" i="11" s="1" a="1"/>
  <c r="G40" i="11"/>
  <c r="G39" i="11"/>
  <c r="E39" i="11" s="1" a="1"/>
  <c r="G38" i="11"/>
  <c r="E38" i="11" s="1" a="1"/>
  <c r="G37" i="11"/>
  <c r="E37" i="11" s="1" a="1"/>
  <c r="G36" i="11"/>
  <c r="E36" i="11" s="1" a="1"/>
  <c r="G19" i="11"/>
  <c r="E19" i="11" s="1" a="1"/>
  <c r="G18" i="11"/>
  <c r="E18" i="11" s="1" a="1"/>
  <c r="G17" i="11"/>
  <c r="E17" i="11" s="1" a="1"/>
  <c r="G16" i="11"/>
  <c r="G9" i="11"/>
  <c r="E9" i="11" s="1" a="1"/>
  <c r="G10" i="11"/>
  <c r="E10" i="11" s="1" a="1"/>
  <c r="G11" i="11"/>
  <c r="E11" i="11" s="1" a="1"/>
  <c r="G8" i="11"/>
  <c r="E56" i="11" a="1"/>
  <c r="E50" i="11" a="1"/>
  <c r="E48" i="11" a="1"/>
  <c r="E46" i="11" a="1"/>
  <c r="E43" i="11" a="1"/>
  <c r="E42" i="11" a="1"/>
  <c r="E40" i="11" a="1"/>
  <c r="G69" i="2"/>
  <c r="G67" i="2"/>
  <c r="E67" i="2" s="1" a="1"/>
  <c r="G63" i="2"/>
  <c r="E63" i="2" s="1" a="1"/>
  <c r="G62" i="2"/>
  <c r="E62" i="2" s="1" a="1"/>
  <c r="G61" i="2"/>
  <c r="E61" i="2" s="1" a="1"/>
  <c r="G60" i="2"/>
  <c r="E60" i="2" s="1" a="1"/>
  <c r="G59" i="2"/>
  <c r="E59" i="2" s="1" a="1"/>
  <c r="G58" i="2"/>
  <c r="E58" i="2" s="1" a="1"/>
  <c r="G57" i="2"/>
  <c r="E57" i="2" s="1" a="1"/>
  <c r="G56" i="2"/>
  <c r="E56" i="2" s="1" a="1"/>
  <c r="G55" i="2"/>
  <c r="E55" i="2" s="1" a="1"/>
  <c r="G54" i="2"/>
  <c r="E54" i="2" s="1" a="1"/>
  <c r="G53" i="2"/>
  <c r="E53" i="2" s="1" a="1"/>
  <c r="G52" i="2"/>
  <c r="E52" i="2" s="1" a="1"/>
  <c r="G51" i="2"/>
  <c r="E51" i="2" s="1" a="1"/>
  <c r="G50" i="2"/>
  <c r="E50" i="2" s="1" a="1"/>
  <c r="G49" i="2"/>
  <c r="E49" i="2" s="1" a="1"/>
  <c r="G48" i="2"/>
  <c r="E48" i="2" s="1" a="1"/>
  <c r="G47" i="2"/>
  <c r="E47" i="2" s="1" a="1"/>
  <c r="G46" i="2"/>
  <c r="E46" i="2" s="1" a="1"/>
  <c r="G45" i="2"/>
  <c r="E45" i="2" s="1" a="1"/>
  <c r="G44" i="2"/>
  <c r="E44" i="2" s="1" a="1"/>
  <c r="G43" i="2"/>
  <c r="E43" i="2" s="1" a="1"/>
  <c r="G42" i="2"/>
  <c r="E42" i="2" s="1" a="1"/>
  <c r="G41" i="2"/>
  <c r="E41" i="2" s="1" a="1"/>
  <c r="G40" i="2"/>
  <c r="E40" i="2" s="1" a="1"/>
  <c r="G39" i="2"/>
  <c r="E39" i="2" s="1" a="1"/>
  <c r="G38" i="2"/>
  <c r="E38" i="2" s="1" a="1"/>
  <c r="G37" i="2"/>
  <c r="E37" i="2" s="1" a="1"/>
  <c r="G36" i="2"/>
  <c r="E36" i="2" s="1" a="1"/>
  <c r="G19" i="2"/>
  <c r="E19" i="2" s="1" a="1"/>
  <c r="G18" i="2"/>
  <c r="E18" i="2" s="1" a="1"/>
  <c r="G17" i="2"/>
  <c r="E17" i="2" s="1" a="1"/>
  <c r="G16" i="2"/>
  <c r="G9" i="2"/>
  <c r="E9" i="2" s="1" a="1"/>
  <c r="G10" i="2"/>
  <c r="E10" i="2" s="1" a="1"/>
  <c r="G11" i="2"/>
  <c r="E11" i="2" s="1" a="1"/>
  <c r="G8" i="2"/>
  <c r="F63" i="36"/>
  <c r="H63" i="36" s="1"/>
  <c r="D14" i="34" s="1"/>
  <c r="F62" i="36"/>
  <c r="H62" i="36" s="1"/>
  <c r="D13" i="34" s="1"/>
  <c r="F61" i="36"/>
  <c r="H61" i="36" s="1"/>
  <c r="H79" i="11" s="1"/>
  <c r="F60" i="36"/>
  <c r="H60" i="36" s="1"/>
  <c r="H78" i="11" s="1"/>
  <c r="F59" i="36"/>
  <c r="H59" i="36" s="1"/>
  <c r="H77" i="11" s="1"/>
  <c r="F58" i="36"/>
  <c r="H58" i="36" s="1"/>
  <c r="H76" i="11" s="1"/>
  <c r="F57" i="36"/>
  <c r="H57" i="36" s="1"/>
  <c r="H75" i="11" s="1"/>
  <c r="F56" i="36"/>
  <c r="H56" i="36" s="1"/>
  <c r="H74" i="11" s="1"/>
  <c r="F55" i="36"/>
  <c r="H55" i="36" s="1"/>
  <c r="H73" i="11" s="1"/>
  <c r="F54" i="36"/>
  <c r="H54" i="36" s="1"/>
  <c r="H72" i="11" s="1"/>
  <c r="F53" i="36"/>
  <c r="H53" i="36" s="1"/>
  <c r="H71" i="11" s="1"/>
  <c r="F52" i="36"/>
  <c r="H52" i="36" s="1"/>
  <c r="H70" i="11" s="1"/>
  <c r="H51" i="36"/>
  <c r="F51" i="36"/>
  <c r="F50" i="36"/>
  <c r="H50" i="36" s="1"/>
  <c r="H68" i="11" s="1"/>
  <c r="F49" i="36"/>
  <c r="H49" i="36" s="1"/>
  <c r="H67" i="11" s="1"/>
  <c r="F48" i="36"/>
  <c r="H48" i="36" s="1"/>
  <c r="H66" i="11" s="1"/>
  <c r="F47" i="36"/>
  <c r="H47" i="36" s="1"/>
  <c r="H65" i="11" s="1"/>
  <c r="F46" i="36"/>
  <c r="H46" i="36" s="1"/>
  <c r="H64" i="11" s="1"/>
  <c r="F45" i="36"/>
  <c r="H45" i="36" s="1"/>
  <c r="H63" i="11" s="1"/>
  <c r="F44" i="36"/>
  <c r="H44" i="36" s="1"/>
  <c r="H62" i="11" s="1"/>
  <c r="F43" i="36"/>
  <c r="H43" i="36" s="1"/>
  <c r="H61" i="11" s="1"/>
  <c r="F42" i="36"/>
  <c r="H42" i="36" s="1"/>
  <c r="H60" i="11" s="1"/>
  <c r="F41" i="36"/>
  <c r="H41" i="36" s="1"/>
  <c r="H59" i="11" s="1"/>
  <c r="F40" i="36"/>
  <c r="H40" i="36" s="1"/>
  <c r="H58" i="11" s="1"/>
  <c r="F39" i="36"/>
  <c r="H39" i="36" s="1"/>
  <c r="H57" i="11" s="1"/>
  <c r="F38" i="36"/>
  <c r="H38" i="36" s="1"/>
  <c r="H56" i="11" s="1"/>
  <c r="F37" i="36"/>
  <c r="H37" i="36" s="1"/>
  <c r="H55" i="11" s="1"/>
  <c r="F36" i="36"/>
  <c r="H36" i="36" s="1"/>
  <c r="H54" i="11" s="1"/>
  <c r="F35" i="36"/>
  <c r="H35" i="36" s="1"/>
  <c r="H53" i="11" s="1"/>
  <c r="F34" i="36"/>
  <c r="H34" i="36" s="1"/>
  <c r="H52" i="11" s="1"/>
  <c r="F33" i="36"/>
  <c r="H33" i="36" s="1"/>
  <c r="H51" i="11" s="1"/>
  <c r="F32" i="36"/>
  <c r="H32" i="36" s="1"/>
  <c r="H50" i="11" s="1"/>
  <c r="F31" i="36"/>
  <c r="H31" i="36" s="1"/>
  <c r="H49" i="11" s="1"/>
  <c r="F30" i="36"/>
  <c r="H30" i="36" s="1"/>
  <c r="H48" i="11" s="1"/>
  <c r="H29" i="36"/>
  <c r="H47" i="11" s="1"/>
  <c r="F29" i="36"/>
  <c r="F28" i="36"/>
  <c r="H28" i="36" s="1"/>
  <c r="H46" i="11" s="1"/>
  <c r="F27" i="36"/>
  <c r="H27" i="36" s="1"/>
  <c r="H45" i="11" s="1"/>
  <c r="F26" i="36"/>
  <c r="H26" i="36" s="1"/>
  <c r="H44" i="11" s="1"/>
  <c r="F25" i="36"/>
  <c r="H25" i="36" s="1"/>
  <c r="H43" i="11" s="1"/>
  <c r="F24" i="36"/>
  <c r="H24" i="36" s="1"/>
  <c r="H42" i="11" s="1"/>
  <c r="F23" i="36"/>
  <c r="H23" i="36" s="1"/>
  <c r="H41" i="11" s="1"/>
  <c r="F22" i="36"/>
  <c r="H22" i="36" s="1"/>
  <c r="H40" i="11" s="1"/>
  <c r="F21" i="36"/>
  <c r="H21" i="36" s="1"/>
  <c r="H39" i="11" s="1"/>
  <c r="H20" i="36"/>
  <c r="H38" i="11" s="1"/>
  <c r="F20" i="36"/>
  <c r="F19" i="36"/>
  <c r="H19" i="36" s="1"/>
  <c r="H37" i="11" s="1"/>
  <c r="F18" i="36"/>
  <c r="H18" i="36" s="1"/>
  <c r="H36" i="11" s="1"/>
  <c r="F17" i="36"/>
  <c r="H17" i="36" s="1"/>
  <c r="H35" i="11" s="1"/>
  <c r="F16" i="36"/>
  <c r="H16" i="36" s="1"/>
  <c r="H34" i="11" s="1"/>
  <c r="F15" i="36"/>
  <c r="H15" i="36" s="1"/>
  <c r="H33" i="11" s="1"/>
  <c r="F14" i="36"/>
  <c r="H14" i="36" s="1"/>
  <c r="H32" i="11" s="1"/>
  <c r="F13" i="36"/>
  <c r="H13" i="36" s="1"/>
  <c r="H31" i="11" s="1"/>
  <c r="F12" i="36"/>
  <c r="H12" i="36" s="1"/>
  <c r="H30" i="11" s="1"/>
  <c r="F11" i="36"/>
  <c r="H11" i="36" s="1"/>
  <c r="H29" i="11" s="1"/>
  <c r="F10" i="36"/>
  <c r="H10" i="36" s="1"/>
  <c r="H28" i="11" s="1"/>
  <c r="F9" i="36"/>
  <c r="H9" i="36" s="1"/>
  <c r="H27" i="11" s="1"/>
  <c r="F8" i="36"/>
  <c r="H8" i="36" s="1"/>
  <c r="H26" i="11" s="1"/>
  <c r="F7" i="36"/>
  <c r="H7" i="36" s="1"/>
  <c r="H25" i="11" s="1"/>
  <c r="F6" i="36"/>
  <c r="H6" i="36" s="1"/>
  <c r="H24" i="11" s="1"/>
  <c r="F5" i="36"/>
  <c r="H5" i="36" s="1"/>
  <c r="H23" i="11" s="1"/>
  <c r="F4" i="36"/>
  <c r="H4" i="36" s="1"/>
  <c r="H22" i="11" s="1"/>
  <c r="E2" i="13"/>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D2" i="34" l="1"/>
  <c r="H69" i="11"/>
  <c r="E64" i="2" a="1"/>
  <c r="I6" i="11"/>
  <c r="E6" i="11" s="1" a="1"/>
  <c r="I5" i="11"/>
  <c r="E5" i="11" s="1" a="1"/>
  <c r="I4" i="11"/>
  <c r="E4" i="11" s="1" a="1"/>
  <c r="I3" i="11"/>
  <c r="E3" i="11" s="1" a="1"/>
  <c r="I2" i="11"/>
  <c r="E2" i="11" s="1" a="1"/>
  <c r="I15" i="2"/>
  <c r="E15" i="2" s="1" a="1"/>
  <c r="I12" i="2"/>
  <c r="E12" i="2" s="1" a="1"/>
  <c r="I13" i="2"/>
  <c r="E13" i="2" s="1" a="1"/>
  <c r="I14" i="2"/>
  <c r="E14" i="2" s="1" a="1"/>
  <c r="I4" i="2"/>
  <c r="E4" i="2" s="1" a="1"/>
  <c r="I5" i="2"/>
  <c r="E5" i="2" s="1" a="1"/>
  <c r="I6" i="2"/>
  <c r="E6" i="2" s="1" a="1"/>
  <c r="I7" i="2"/>
  <c r="E7" i="2" s="1" a="1"/>
  <c r="I3" i="2"/>
  <c r="E3" i="2" s="1" a="1"/>
  <c r="I2" i="2"/>
  <c r="E2" i="2" s="1" a="1"/>
  <c r="D5" i="34"/>
  <c r="D4" i="34"/>
  <c r="D3" i="34"/>
  <c r="E68" i="11" a="1"/>
  <c r="E68" i="2" a="1"/>
  <c r="E66" i="11" a="1"/>
  <c r="E66" i="2" a="1"/>
  <c r="E65" i="2" a="1"/>
  <c r="E65" i="11" a="1"/>
  <c r="D12" i="34"/>
  <c r="D11" i="34"/>
  <c r="D10" i="34"/>
  <c r="D9" i="34"/>
  <c r="D8" i="34"/>
  <c r="D7" i="34"/>
  <c r="D6" i="34"/>
  <c r="E64" i="11" a="1"/>
  <c r="E35" i="2" a="1"/>
  <c r="E35" i="11" a="1"/>
  <c r="E34" i="11" a="1"/>
  <c r="E34" i="2" a="1"/>
  <c r="E33" i="2" a="1"/>
  <c r="E33" i="11" a="1"/>
  <c r="E32" i="11" a="1"/>
  <c r="E32" i="2" a="1"/>
  <c r="E31" i="2" a="1"/>
  <c r="E31" i="11" a="1"/>
  <c r="E30" i="2" a="1"/>
  <c r="E30" i="11" a="1"/>
  <c r="E29" i="11" a="1"/>
  <c r="E29" i="2" a="1"/>
  <c r="E28" i="11" a="1"/>
  <c r="E28" i="2" a="1"/>
  <c r="E27" i="2" a="1"/>
  <c r="E27" i="11" a="1"/>
  <c r="E26" i="11" a="1"/>
  <c r="E26" i="2" a="1"/>
  <c r="E25" i="11" a="1"/>
  <c r="E25" i="2" a="1"/>
  <c r="E24" i="2" a="1"/>
  <c r="E24" i="11" a="1"/>
  <c r="E23" i="11" a="1"/>
  <c r="E23" i="2" a="1"/>
  <c r="E22" i="2" a="1"/>
  <c r="E8" i="11" a="1"/>
  <c r="I7" i="11"/>
  <c r="E7" i="11" s="1" a="1"/>
  <c r="I13" i="11"/>
  <c r="E13" i="11" s="1" a="1"/>
  <c r="I15" i="11"/>
  <c r="E15" i="11" s="1" a="1"/>
  <c r="I14" i="11"/>
  <c r="E14" i="11" s="1" a="1"/>
  <c r="E16" i="11" a="1"/>
  <c r="I12" i="11"/>
  <c r="E12" i="11" s="1" a="1"/>
  <c r="E14" i="34"/>
  <c r="F14" i="34"/>
  <c r="E13" i="34"/>
  <c r="F13" i="34"/>
  <c r="E16" i="2" a="1"/>
  <c r="E8" i="2" a="1"/>
  <c r="L3" i="13"/>
  <c r="BB3" i="13" s="1"/>
  <c r="E2" i="34" l="1"/>
  <c r="F2" i="34"/>
  <c r="F5" i="34"/>
  <c r="E5" i="34"/>
  <c r="E4" i="34"/>
  <c r="F4" i="34"/>
  <c r="E3" i="34"/>
  <c r="F3" i="34"/>
  <c r="E12" i="34"/>
  <c r="F12" i="34"/>
  <c r="E11" i="34"/>
  <c r="F11" i="34"/>
  <c r="E10" i="34"/>
  <c r="F10" i="34"/>
  <c r="F9" i="34"/>
  <c r="E9" i="34"/>
  <c r="E8" i="34"/>
  <c r="F8" i="34"/>
  <c r="E7" i="34"/>
  <c r="F7" i="34"/>
  <c r="E6" i="34"/>
  <c r="F6" i="34"/>
  <c r="I20" i="2"/>
  <c r="E20" i="2" s="1" a="1"/>
  <c r="E21" i="2" a="1"/>
  <c r="I21" i="11"/>
  <c r="E21" i="11" s="1" a="1"/>
  <c r="E22" i="11" a="1"/>
  <c r="I20" i="11"/>
  <c r="E20" i="11" s="1" a="1"/>
  <c r="AG3" i="13" a="1"/>
  <c r="AF3" i="13" a="1"/>
  <c r="BH3" i="13"/>
  <c r="L4" i="13"/>
  <c r="BB4" i="13" s="1"/>
  <c r="AR3" i="13"/>
  <c r="B26" i="13" s="1"/>
  <c r="T3" i="13"/>
  <c r="U3" i="13" s="1"/>
  <c r="AC3" i="13" a="1"/>
  <c r="BJ3" i="13" s="1"/>
  <c r="AD3" i="13" a="1"/>
  <c r="BK3" i="13" s="1"/>
  <c r="R3" i="13"/>
  <c r="V3" i="13" l="1"/>
  <c r="BC3" i="13"/>
  <c r="BI3" i="13"/>
  <c r="W3" i="13"/>
  <c r="AV3" i="13"/>
  <c r="BN3" i="13"/>
  <c r="L5" i="13"/>
  <c r="BB5" i="13" s="1"/>
  <c r="AF4" i="13" a="1"/>
  <c r="AG4" i="13" a="1"/>
  <c r="BL3" i="13"/>
  <c r="AR4" i="13"/>
  <c r="AV4" i="13" s="1"/>
  <c r="BH4" i="13"/>
  <c r="AU3" i="13"/>
  <c r="AS3" i="13"/>
  <c r="T4" i="13"/>
  <c r="AC4" i="13" a="1"/>
  <c r="BJ4" i="13" s="1"/>
  <c r="AD4" i="13" a="1"/>
  <c r="BK4" i="13" s="1"/>
  <c r="U4" i="13"/>
  <c r="R4" i="13"/>
  <c r="X3" i="13" l="1"/>
  <c r="BI4" i="13"/>
  <c r="W4" i="13"/>
  <c r="AW3" i="13"/>
  <c r="BD3" i="13"/>
  <c r="AW4" i="13"/>
  <c r="AS4" i="13"/>
  <c r="AT3" i="13"/>
  <c r="BH5" i="13"/>
  <c r="AU4" i="13"/>
  <c r="BN4" i="13"/>
  <c r="AG5" i="13" a="1"/>
  <c r="AF5" i="13" a="1"/>
  <c r="L6" i="13"/>
  <c r="BB6" i="13" s="1"/>
  <c r="BL4" i="13"/>
  <c r="BE3" i="13"/>
  <c r="AR5" i="13"/>
  <c r="AV5" i="13" s="1"/>
  <c r="T5" i="13"/>
  <c r="V4" i="13"/>
  <c r="AC5" i="13" a="1"/>
  <c r="BJ5" i="13" s="1"/>
  <c r="R5" i="13"/>
  <c r="AD5" i="13" a="1"/>
  <c r="BK5" i="13" s="1"/>
  <c r="U5" i="13"/>
  <c r="AY3" i="13"/>
  <c r="BI5" i="13" l="1"/>
  <c r="W5" i="13"/>
  <c r="AX3" i="13"/>
  <c r="N3" i="13" s="1"/>
  <c r="BG3" i="13"/>
  <c r="AW5" i="13"/>
  <c r="AX4" i="13"/>
  <c r="AU5" i="13"/>
  <c r="BN5" i="13"/>
  <c r="AG6" i="13" a="1"/>
  <c r="AF6" i="13" a="1"/>
  <c r="L7" i="13"/>
  <c r="BB7" i="13" s="1"/>
  <c r="BL5" i="13"/>
  <c r="AR6" i="13"/>
  <c r="AV6" i="13" s="1"/>
  <c r="BH6" i="13"/>
  <c r="AS5" i="13"/>
  <c r="BA3" i="13"/>
  <c r="AZ3" i="13"/>
  <c r="BF3" i="13"/>
  <c r="BC4" i="13" s="1"/>
  <c r="T6" i="13"/>
  <c r="AD6" i="13" a="1"/>
  <c r="BK6" i="13" s="1"/>
  <c r="AC6" i="13" a="1"/>
  <c r="BJ6" i="13" s="1"/>
  <c r="R6" i="13"/>
  <c r="V5" i="13"/>
  <c r="U6" i="13"/>
  <c r="AY4" i="13"/>
  <c r="X4" i="13"/>
  <c r="X5" i="13" l="1"/>
  <c r="BI6" i="13"/>
  <c r="W6" i="13"/>
  <c r="BO3" i="13"/>
  <c r="Y3" i="13"/>
  <c r="AW6" i="13"/>
  <c r="AX5" i="13"/>
  <c r="BO4" i="13"/>
  <c r="AU6" i="13"/>
  <c r="BN6" i="13"/>
  <c r="AG7" i="13" a="1"/>
  <c r="AF7" i="13" a="1"/>
  <c r="L8" i="13"/>
  <c r="BB8" i="13" s="1"/>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a="1"/>
  <c r="AE3" i="13" s="1"/>
  <c r="BM3" i="13" s="1"/>
  <c r="AX6" i="13"/>
  <c r="AW7" i="13"/>
  <c r="BO5" i="13"/>
  <c r="AU7" i="13"/>
  <c r="BN7" i="13"/>
  <c r="AG8" i="13" a="1"/>
  <c r="AF8" i="13" a="1"/>
  <c r="L9" i="13"/>
  <c r="BB9" i="13" s="1"/>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B10" i="13" s="1"/>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B11" i="13" s="1"/>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B12" i="13" s="1"/>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B13" i="13" s="1"/>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B14" i="13" s="1"/>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Z7" i="13"/>
  <c r="AA7" i="13" s="1" a="1"/>
  <c r="M4" i="13"/>
  <c r="O4" i="13" s="1"/>
  <c r="AW13" i="13"/>
  <c r="AX12" i="13"/>
  <c r="BN13" i="13"/>
  <c r="BO11" i="13"/>
  <c r="AZ11" i="13"/>
  <c r="AG14" i="13" a="1"/>
  <c r="AF14" i="13" a="1"/>
  <c r="L15" i="13"/>
  <c r="BB15" i="13" s="1"/>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B16" i="13" s="1"/>
  <c r="BL14" i="13"/>
  <c r="AN5" i="13"/>
  <c r="AO5" i="13" s="1"/>
  <c r="AP5" i="13" s="1"/>
  <c r="Z8" i="13"/>
  <c r="AA8" i="13" s="1" a="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W15" i="13"/>
  <c r="AX14" i="13"/>
  <c r="BN15" i="13"/>
  <c r="BO13" i="13"/>
  <c r="AG16" i="13" a="1"/>
  <c r="AF16" i="13" a="1"/>
  <c r="L17" i="13"/>
  <c r="BB17" i="13" s="1"/>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B18" i="13" s="1"/>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B19" i="13" s="1"/>
  <c r="BL17" i="13"/>
  <c r="AK6" i="13"/>
  <c r="AN6" i="13"/>
  <c r="AO6" i="13" s="1"/>
  <c r="AP6" i="13" s="1"/>
  <c r="AM9" i="13" a="1"/>
  <c r="AB9" i="13"/>
  <c r="AJ9" i="13"/>
  <c r="AL9" i="13" s="1"/>
  <c r="AU17" i="13"/>
  <c r="BH18" i="13"/>
  <c r="BE10" i="13"/>
  <c r="BF10" i="13" s="1"/>
  <c r="BC11" i="13" s="1"/>
  <c r="BA15" i="13"/>
  <c r="AS17" i="13"/>
  <c r="Z10" i="13"/>
  <c r="AA10" i="13" s="1" a="1"/>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BB20" i="13" s="1"/>
  <c r="AH7" i="13"/>
  <c r="M6" i="13"/>
  <c r="O6" i="13" s="1"/>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BI19" i="13" l="1"/>
  <c r="W19" i="13"/>
  <c r="AW19" i="13"/>
  <c r="AX18" i="13"/>
  <c r="BO17" i="13"/>
  <c r="AU19" i="13"/>
  <c r="BN19" i="13"/>
  <c r="AG20" i="13" a="1"/>
  <c r="AF20" i="13" a="1"/>
  <c r="L21" i="13"/>
  <c r="BL19" i="13"/>
  <c r="AI7" i="13"/>
  <c r="AE8" i="13" s="1"/>
  <c r="BM8" i="13" s="1"/>
  <c r="AR20" i="13"/>
  <c r="AV20" i="13" s="1"/>
  <c r="BH20" i="13"/>
  <c r="AS19" i="13"/>
  <c r="Z11" i="13"/>
  <c r="AA11" i="13" s="1" a="1"/>
  <c r="V19" i="13"/>
  <c r="AC20" i="13" a="1"/>
  <c r="BJ20" i="13" s="1"/>
  <c r="AD20" i="13" a="1"/>
  <c r="BK20" i="13" s="1"/>
  <c r="T20" i="13"/>
  <c r="R20" i="13"/>
  <c r="V20" i="13" s="1"/>
  <c r="AZ18" i="13"/>
  <c r="BA18" i="13"/>
  <c r="BF11" i="13"/>
  <c r="BC12" i="13" s="1"/>
  <c r="U21" i="13"/>
  <c r="N11" i="13"/>
  <c r="BH21" i="13" l="1"/>
  <c r="BB21" i="13"/>
  <c r="X19" i="13"/>
  <c r="BI21" i="13"/>
  <c r="W21" i="13"/>
  <c r="BI20" i="13"/>
  <c r="W20" i="13"/>
  <c r="X20" i="13" s="1"/>
  <c r="AX19" i="13"/>
  <c r="AW20" i="13"/>
  <c r="BO18" i="13"/>
  <c r="BN20" i="13"/>
  <c r="AG21" i="13" a="1"/>
  <c r="AF21" i="13" a="1"/>
  <c r="L22" i="13"/>
  <c r="BB22" i="13" s="1"/>
  <c r="BL20" i="13"/>
  <c r="AK7" i="13"/>
  <c r="AN7" i="13"/>
  <c r="AO7" i="13" s="1"/>
  <c r="AP7" i="13" s="1"/>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B23" i="13" s="1"/>
  <c r="BL21" i="13"/>
  <c r="AH8" i="13"/>
  <c r="M7" i="13"/>
  <c r="O7" i="13" s="1"/>
  <c r="AR22" i="13"/>
  <c r="AV22" i="13" s="1"/>
  <c r="BH22" i="13"/>
  <c r="AU21" i="13"/>
  <c r="AS21" i="13"/>
  <c r="BA19" i="13"/>
  <c r="T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B24" i="13" s="1"/>
  <c r="BL22" i="13"/>
  <c r="AI8" i="13"/>
  <c r="AE9" i="13" s="1"/>
  <c r="BM9" i="13" s="1"/>
  <c r="AU22" i="13"/>
  <c r="AR23" i="13"/>
  <c r="AV23" i="13" s="1"/>
  <c r="BH23" i="13"/>
  <c r="AS22" i="13"/>
  <c r="BE13" i="13"/>
  <c r="BD13" i="13"/>
  <c r="BG13" i="13" s="1"/>
  <c r="Y13" i="13" s="1"/>
  <c r="Z12" i="13"/>
  <c r="AA12" i="13" s="1" a="1"/>
  <c r="AD23" i="13" a="1"/>
  <c r="BK23" i="13" s="1"/>
  <c r="T23" i="13"/>
  <c r="U23" i="13" s="1"/>
  <c r="U24" i="13" s="1"/>
  <c r="R23" i="13"/>
  <c r="AC23" i="13" a="1"/>
  <c r="BJ23" i="13" s="1"/>
  <c r="AZ21" i="13"/>
  <c r="BA21" i="13"/>
  <c r="P12" i="13"/>
  <c r="AY22" i="13"/>
  <c r="BI23" i="13" l="1"/>
  <c r="W23" i="13"/>
  <c r="AX22" i="13"/>
  <c r="AW23" i="13"/>
  <c r="BN23" i="13"/>
  <c r="BO21" i="13"/>
  <c r="AG24" i="13" a="1"/>
  <c r="AF24" i="13" a="1"/>
  <c r="L25" i="13"/>
  <c r="BB25" i="13" s="1"/>
  <c r="BL23" i="13"/>
  <c r="AK8" i="13"/>
  <c r="AN8" i="13"/>
  <c r="AO8" i="13" s="1"/>
  <c r="AP8" i="13" s="1"/>
  <c r="AM12" i="13" a="1"/>
  <c r="AB12" i="13"/>
  <c r="AJ12" i="13"/>
  <c r="AL12" i="13" s="1"/>
  <c r="AU23" i="13"/>
  <c r="AR24" i="13"/>
  <c r="AV24" i="13" s="1"/>
  <c r="BH24" i="13"/>
  <c r="AS23" i="13"/>
  <c r="Z13" i="13"/>
  <c r="AA13" i="13" s="1" a="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B26" i="13" s="1"/>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L25" i="13"/>
  <c r="AH9" i="13"/>
  <c r="AI9" i="13" s="1"/>
  <c r="AE10" i="13" s="1"/>
  <c r="BM10" i="13" s="1"/>
  <c r="AU25" i="13"/>
  <c r="AR26" i="13"/>
  <c r="AV26" i="13" s="1"/>
  <c r="BH26" i="13"/>
  <c r="AZ23" i="13"/>
  <c r="BA23" i="13"/>
  <c r="AS25" i="13"/>
  <c r="Z14" i="13"/>
  <c r="AA14" i="13" s="1" a="1"/>
  <c r="R26" i="13"/>
  <c r="V26" i="13" s="1"/>
  <c r="AC26" i="13" a="1"/>
  <c r="BJ26" i="13" s="1"/>
  <c r="T26" i="13"/>
  <c r="AD26" i="13" a="1"/>
  <c r="BK26" i="13" s="1"/>
  <c r="BF14" i="13"/>
  <c r="BC15" i="13" s="1"/>
  <c r="AZ24" i="13"/>
  <c r="BA24" i="13"/>
  <c r="P14" i="13"/>
  <c r="AY25" i="13"/>
  <c r="N14" i="13"/>
  <c r="BH27" i="13" l="1"/>
  <c r="BI27" i="13" s="1"/>
  <c r="BB27" i="13"/>
  <c r="W27" i="13"/>
  <c r="BI26" i="13"/>
  <c r="W26" i="13"/>
  <c r="X26" i="13" s="1"/>
  <c r="AX25" i="13"/>
  <c r="AW26" i="13"/>
  <c r="BO24" i="13"/>
  <c r="BN26" i="13"/>
  <c r="AG27" i="13" a="1"/>
  <c r="AF27" i="13" a="1"/>
  <c r="L28" i="13"/>
  <c r="BB28" i="13" s="1"/>
  <c r="BL26" i="13"/>
  <c r="AN9" i="13"/>
  <c r="AO9" i="13" s="1"/>
  <c r="AP9" i="13" s="1"/>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AW27" i="13" l="1"/>
  <c r="AX26" i="13"/>
  <c r="BN27" i="13"/>
  <c r="BO25" i="13"/>
  <c r="AF28" i="13" a="1"/>
  <c r="AG28" i="13" a="1"/>
  <c r="L29" i="13"/>
  <c r="BB29" i="13" s="1"/>
  <c r="BL27" i="13"/>
  <c r="M9" i="13"/>
  <c r="O9" i="13" s="1"/>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B30" i="13" s="1"/>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a="1"/>
  <c r="BI29" i="13" l="1"/>
  <c r="W29" i="13"/>
  <c r="AW29" i="13"/>
  <c r="AX28" i="13"/>
  <c r="BN29" i="13"/>
  <c r="BO27" i="13"/>
  <c r="AF30" i="13" a="1"/>
  <c r="AG30" i="13" a="1"/>
  <c r="L31" i="13"/>
  <c r="BB31" i="13" s="1"/>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a="1"/>
  <c r="BF16" i="13"/>
  <c r="BC17" i="13" s="1"/>
  <c r="P16" i="13"/>
  <c r="N16" i="13"/>
  <c r="BI30" i="13" l="1"/>
  <c r="W30" i="13"/>
  <c r="AX29" i="13"/>
  <c r="AW30" i="13"/>
  <c r="BN30" i="13"/>
  <c r="BO28" i="13"/>
  <c r="AG31" i="13" a="1"/>
  <c r="AF31" i="13" a="1"/>
  <c r="L32" i="13"/>
  <c r="BB32" i="13" s="1"/>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B33" i="13" s="1"/>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H34" i="13" l="1"/>
  <c r="BB34" i="13"/>
  <c r="BI34" i="13"/>
  <c r="W34" i="13"/>
  <c r="BI33" i="13"/>
  <c r="W33" i="13"/>
  <c r="X33" i="13" s="1"/>
  <c r="AW33" i="13"/>
  <c r="AX32" i="13"/>
  <c r="BO31" i="13"/>
  <c r="BN33" i="13"/>
  <c r="AG34" i="13" a="1"/>
  <c r="AF34" i="13" a="1"/>
  <c r="L35" i="13"/>
  <c r="BB35" i="13" s="1"/>
  <c r="BL33" i="13"/>
  <c r="M11" i="13"/>
  <c r="O11" i="13" s="1"/>
  <c r="Z18" i="13"/>
  <c r="AA18" i="13" s="1" a="1"/>
  <c r="AU33" i="13"/>
  <c r="AR34" i="13"/>
  <c r="AV34" i="13" s="1"/>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a="1"/>
  <c r="AZ33" i="13"/>
  <c r="BA33" i="13"/>
  <c r="P19" i="13"/>
  <c r="AY34" i="13"/>
  <c r="X34" i="13"/>
  <c r="BH36" i="13" l="1"/>
  <c r="BB36" i="13"/>
  <c r="BI35" i="13"/>
  <c r="W35" i="13"/>
  <c r="AW35" i="13"/>
  <c r="AX34" i="13"/>
  <c r="BO33" i="13"/>
  <c r="BN35" i="13"/>
  <c r="AF36" i="13" a="1"/>
  <c r="AG36" i="13" a="1"/>
  <c r="L37" i="13"/>
  <c r="BB37" i="13" s="1"/>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BI36" i="13" l="1"/>
  <c r="W36" i="13"/>
  <c r="X36" i="13" s="1"/>
  <c r="AW36" i="13"/>
  <c r="AX35" i="13"/>
  <c r="BO34" i="13"/>
  <c r="BN36" i="13"/>
  <c r="AG37" i="13" a="1"/>
  <c r="AF37" i="13" a="1"/>
  <c r="L38" i="13"/>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BH38" i="13" l="1"/>
  <c r="BB38" i="13"/>
  <c r="BI37" i="13"/>
  <c r="W37" i="13"/>
  <c r="X37" i="13" s="1"/>
  <c r="AW37" i="13"/>
  <c r="AX36" i="13"/>
  <c r="BO35" i="13"/>
  <c r="BN37" i="13"/>
  <c r="AF38" i="13" a="1"/>
  <c r="AG38" i="13" a="1"/>
  <c r="L39" i="13"/>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a="1"/>
  <c r="AZ36" i="13"/>
  <c r="BA36" i="13"/>
  <c r="AY37" i="13"/>
  <c r="BI38" i="13" l="1"/>
  <c r="W38" i="13"/>
  <c r="X38" i="13" s="1"/>
  <c r="BH39" i="13"/>
  <c r="BB39" i="13"/>
  <c r="BI39" i="13"/>
  <c r="W39" i="13"/>
  <c r="AX37" i="13"/>
  <c r="AW38" i="13"/>
  <c r="BN38" i="13"/>
  <c r="BO36" i="13"/>
  <c r="AF39" i="13" a="1"/>
  <c r="AG39" i="13" a="1"/>
  <c r="L40" i="13"/>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a="1"/>
  <c r="BF21" i="13"/>
  <c r="BC22" i="13" s="1"/>
  <c r="AZ37" i="13"/>
  <c r="BA37" i="13"/>
  <c r="P21" i="13"/>
  <c r="AY38" i="13"/>
  <c r="BH40" i="13" l="1"/>
  <c r="BI40" i="13" s="1"/>
  <c r="BB40" i="13"/>
  <c r="W40" i="13"/>
  <c r="AX38" i="13"/>
  <c r="AW39" i="13"/>
  <c r="BN39" i="13"/>
  <c r="BO37" i="13"/>
  <c r="AF40" i="13" a="1"/>
  <c r="AG40" i="13" a="1"/>
  <c r="L41" i="13"/>
  <c r="BB41" i="13" s="1"/>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a="1"/>
  <c r="BF22" i="13"/>
  <c r="BC23" i="13" s="1"/>
  <c r="P22" i="13"/>
  <c r="BH42" i="13" l="1"/>
  <c r="BB42" i="13"/>
  <c r="BI42" i="13"/>
  <c r="W42" i="13"/>
  <c r="BI41" i="13"/>
  <c r="W41" i="13"/>
  <c r="AW41" i="13"/>
  <c r="AX40" i="13"/>
  <c r="BO39" i="13"/>
  <c r="BN41" i="13"/>
  <c r="AG42" i="13" a="1"/>
  <c r="AF42" i="13" a="1"/>
  <c r="L43" i="13"/>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BH43" i="13" l="1"/>
  <c r="BB43" i="13"/>
  <c r="BI43" i="13"/>
  <c r="W43" i="13"/>
  <c r="AX41" i="13"/>
  <c r="AW42" i="13"/>
  <c r="BN42" i="13"/>
  <c r="BO40" i="13"/>
  <c r="AG43" i="13" a="1"/>
  <c r="AF43" i="13" a="1"/>
  <c r="L44" i="13"/>
  <c r="BL42" i="13"/>
  <c r="M14" i="13"/>
  <c r="O14" i="13" s="1"/>
  <c r="X41" i="13"/>
  <c r="AY41" i="13"/>
  <c r="AR43" i="13"/>
  <c r="AV43" i="13" s="1"/>
  <c r="R43" i="13"/>
  <c r="AC43" i="13" a="1"/>
  <c r="BJ43" i="13" s="1"/>
  <c r="AD43" i="13" a="1"/>
  <c r="BK43" i="13" s="1"/>
  <c r="T43" i="13"/>
  <c r="U43" i="13" s="1"/>
  <c r="AU42" i="13"/>
  <c r="AZ40" i="13"/>
  <c r="BA40" i="13"/>
  <c r="AS42" i="13"/>
  <c r="Z23" i="13"/>
  <c r="AA23" i="13" s="1" a="1"/>
  <c r="BF23" i="13"/>
  <c r="BC24" i="13" s="1"/>
  <c r="P23" i="13"/>
  <c r="AY42" i="13"/>
  <c r="X42" i="13"/>
  <c r="BH44" i="13" l="1"/>
  <c r="BB44" i="13"/>
  <c r="BI44" i="13"/>
  <c r="W44" i="13"/>
  <c r="AW43" i="13"/>
  <c r="AX42" i="13"/>
  <c r="BN43" i="13"/>
  <c r="BO41" i="13"/>
  <c r="AG44" i="13" a="1"/>
  <c r="AF44" i="13" a="1"/>
  <c r="L45" i="13"/>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BH45" i="13" l="1"/>
  <c r="BB45" i="13"/>
  <c r="BI45" i="13"/>
  <c r="W45" i="13"/>
  <c r="AX43" i="13"/>
  <c r="AW44" i="13"/>
  <c r="BN44" i="13"/>
  <c r="BO42" i="13"/>
  <c r="AF45" i="13" a="1"/>
  <c r="AG45" i="13" a="1"/>
  <c r="L46" i="13"/>
  <c r="BL44" i="13"/>
  <c r="AK15" i="13"/>
  <c r="AN15" i="13"/>
  <c r="AO15" i="13" s="1"/>
  <c r="AP15" i="13" s="1"/>
  <c r="AU44" i="13"/>
  <c r="AR45" i="13"/>
  <c r="AV45" i="13" s="1"/>
  <c r="T45" i="13"/>
  <c r="AC45" i="13" a="1"/>
  <c r="BJ45" i="13" s="1"/>
  <c r="AD45" i="13" a="1"/>
  <c r="BK45" i="13" s="1"/>
  <c r="R45" i="13"/>
  <c r="U45" i="13"/>
  <c r="V44" i="13"/>
  <c r="AY43" i="13"/>
  <c r="X43" i="13"/>
  <c r="AS44" i="13"/>
  <c r="Z24" i="13"/>
  <c r="AA24" i="13" s="1" a="1"/>
  <c r="BF24" i="13"/>
  <c r="BC25" i="13" s="1"/>
  <c r="P24" i="13"/>
  <c r="BH46" i="13" l="1"/>
  <c r="BB46" i="13"/>
  <c r="BI46" i="13"/>
  <c r="W46" i="13"/>
  <c r="AX44" i="13"/>
  <c r="AW45" i="13"/>
  <c r="BN45" i="13"/>
  <c r="BO43" i="13"/>
  <c r="AF46" i="13" a="1"/>
  <c r="AG46" i="13" a="1"/>
  <c r="L47" i="13"/>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BH47" i="13" l="1"/>
  <c r="BB47" i="13"/>
  <c r="BI47" i="13"/>
  <c r="W47" i="13"/>
  <c r="AX45" i="13"/>
  <c r="AW46" i="13"/>
  <c r="BN46" i="13"/>
  <c r="BO44" i="13"/>
  <c r="AF47" i="13" a="1"/>
  <c r="AG47" i="13" a="1"/>
  <c r="L48" i="13"/>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a="1"/>
  <c r="BF25" i="13"/>
  <c r="BC26" i="13" s="1"/>
  <c r="P25" i="13"/>
  <c r="BH48" i="13" l="1"/>
  <c r="BB48" i="13"/>
  <c r="BI48" i="13"/>
  <c r="W48" i="13"/>
  <c r="BO45" i="13"/>
  <c r="AW47" i="13"/>
  <c r="AX46" i="13"/>
  <c r="BN47" i="13"/>
  <c r="AG48" i="13" a="1"/>
  <c r="AF48" i="13" a="1"/>
  <c r="L49" i="13"/>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BH49" i="13" l="1"/>
  <c r="BB49" i="13"/>
  <c r="AW48" i="13"/>
  <c r="AX47" i="13"/>
  <c r="BO46" i="13"/>
  <c r="BN48" i="13"/>
  <c r="AF49" i="13" a="1"/>
  <c r="AG49" i="13" a="1"/>
  <c r="L50" i="13"/>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a="1"/>
  <c r="BF26" i="13"/>
  <c r="BC27" i="13" s="1"/>
  <c r="P26" i="13"/>
  <c r="BI49" i="13" l="1"/>
  <c r="W49" i="13"/>
  <c r="BH50" i="13"/>
  <c r="BB50" i="13"/>
  <c r="BI50" i="13"/>
  <c r="W50" i="13"/>
  <c r="AW49" i="13"/>
  <c r="AX48" i="13"/>
  <c r="BN49" i="13"/>
  <c r="BO47" i="13"/>
  <c r="AF50" i="13" a="1"/>
  <c r="AG50" i="13" a="1"/>
  <c r="L51" i="13"/>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BH51" i="13" l="1"/>
  <c r="BB51" i="13"/>
  <c r="BI51" i="13"/>
  <c r="W51" i="13"/>
  <c r="AX49" i="13"/>
  <c r="AW50" i="13"/>
  <c r="BN50" i="13"/>
  <c r="BO48" i="13"/>
  <c r="AF51" i="13" a="1"/>
  <c r="AG51" i="13" a="1"/>
  <c r="L52" i="13"/>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X50" i="13"/>
  <c r="BH52" i="13" l="1"/>
  <c r="BB52" i="13"/>
  <c r="AX50" i="13"/>
  <c r="AW51" i="13"/>
  <c r="BO49" i="13"/>
  <c r="BN51" i="13"/>
  <c r="AF52" i="13" a="1"/>
  <c r="AG52" i="13" a="1"/>
  <c r="L53" i="13"/>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BI52" i="13" l="1"/>
  <c r="W52" i="13"/>
  <c r="BH53" i="13"/>
  <c r="BB53" i="13"/>
  <c r="BI53" i="13"/>
  <c r="W53" i="13"/>
  <c r="BO50" i="13"/>
  <c r="AX51" i="13"/>
  <c r="AW52" i="13"/>
  <c r="BN52" i="13"/>
  <c r="AF53" i="13" a="1"/>
  <c r="AG53" i="13" a="1"/>
  <c r="L54" i="13"/>
  <c r="BB54" i="13" s="1"/>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AW53" i="13" l="1"/>
  <c r="AX52" i="13"/>
  <c r="BO51" i="13"/>
  <c r="BN53" i="13"/>
  <c r="AF54" i="13" a="1"/>
  <c r="AG54" i="13" a="1"/>
  <c r="L55" i="13"/>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H55" i="13" l="1"/>
  <c r="BI55" i="13" s="1"/>
  <c r="BB55" i="13"/>
  <c r="W55" i="13"/>
  <c r="BI54" i="13"/>
  <c r="W54" i="13"/>
  <c r="X54" i="13" s="1"/>
  <c r="AX53" i="13"/>
  <c r="AW54" i="13"/>
  <c r="BN54" i="13"/>
  <c r="BO52" i="13"/>
  <c r="AF55" i="13" a="1"/>
  <c r="AG55" i="13" a="1"/>
  <c r="L56" i="13"/>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BH56" i="13" l="1"/>
  <c r="BB56" i="13"/>
  <c r="AW55" i="13"/>
  <c r="AX54" i="13"/>
  <c r="BN55" i="13"/>
  <c r="BO53" i="13"/>
  <c r="AG56" i="13" a="1"/>
  <c r="AF56" i="13" a="1"/>
  <c r="L57" i="13"/>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BI56" i="13" l="1"/>
  <c r="W56" i="13"/>
  <c r="BH57" i="13"/>
  <c r="BB57" i="13"/>
  <c r="BI57" i="13"/>
  <c r="W57" i="13"/>
  <c r="AX55" i="13"/>
  <c r="AW56" i="13"/>
  <c r="BN56" i="13"/>
  <c r="BO54" i="13"/>
  <c r="AF57" i="13" a="1"/>
  <c r="AG57" i="13" a="1"/>
  <c r="L58" i="13"/>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BH58" i="13" l="1"/>
  <c r="BB58" i="13"/>
  <c r="AX56" i="13"/>
  <c r="AW57" i="13"/>
  <c r="BN57" i="13"/>
  <c r="BO55" i="13"/>
  <c r="AG58" i="13" a="1"/>
  <c r="AF58" i="13" a="1"/>
  <c r="L59" i="13"/>
  <c r="BL57" i="13"/>
  <c r="M19" i="13"/>
  <c r="O19" i="13" s="1"/>
  <c r="V57" i="13"/>
  <c r="AU57" i="13"/>
  <c r="AY56" i="13"/>
  <c r="X56" i="13"/>
  <c r="AZ55" i="13"/>
  <c r="BA55" i="13"/>
  <c r="AR58" i="13"/>
  <c r="AV58" i="13" s="1"/>
  <c r="T58" i="13"/>
  <c r="AD58" i="13" a="1"/>
  <c r="BK58" i="13" s="1"/>
  <c r="R58" i="13"/>
  <c r="V58" i="13" s="1"/>
  <c r="AC58" i="13" a="1"/>
  <c r="BJ58" i="13" s="1"/>
  <c r="AS57" i="13"/>
  <c r="Z31" i="13"/>
  <c r="AA31" i="13" s="1" a="1"/>
  <c r="AB31" i="13" s="1"/>
  <c r="BF31" i="13"/>
  <c r="BC32" i="13" s="1"/>
  <c r="N30" i="13"/>
  <c r="BI58" i="13" l="1"/>
  <c r="W58" i="13"/>
  <c r="X58" i="13" s="1"/>
  <c r="BH59" i="13"/>
  <c r="BB59" i="13"/>
  <c r="BI59" i="13"/>
  <c r="W59" i="13"/>
  <c r="AX57" i="13"/>
  <c r="AW58" i="13"/>
  <c r="BN58" i="13"/>
  <c r="BO56" i="13"/>
  <c r="AF59" i="13" a="1"/>
  <c r="AG59" i="13" a="1"/>
  <c r="L60" i="13"/>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BH60" i="13" l="1"/>
  <c r="BB60" i="13"/>
  <c r="AW59" i="13"/>
  <c r="AX58" i="13"/>
  <c r="BN59" i="13"/>
  <c r="BO57" i="13"/>
  <c r="AG60" i="13" a="1"/>
  <c r="AF60" i="13" a="1"/>
  <c r="L61" i="13"/>
  <c r="BL59" i="13"/>
  <c r="AK20" i="13"/>
  <c r="AN20" i="13"/>
  <c r="AO20" i="13" s="1"/>
  <c r="AP20" i="13" s="1"/>
  <c r="AZ57" i="13"/>
  <c r="BA57" i="13"/>
  <c r="AU59" i="13"/>
  <c r="V59" i="13"/>
  <c r="U60" i="13"/>
  <c r="AR60" i="13"/>
  <c r="AV60" i="13" s="1"/>
  <c r="T60" i="13"/>
  <c r="AC60" i="13" a="1"/>
  <c r="BJ60" i="13" s="1"/>
  <c r="AD60" i="13" a="1"/>
  <c r="BK60" i="13" s="1"/>
  <c r="R60" i="13"/>
  <c r="AS59" i="13"/>
  <c r="Z32" i="13"/>
  <c r="AA32" i="13" s="1" a="1"/>
  <c r="AB32" i="13" s="1"/>
  <c r="AZ58" i="13"/>
  <c r="BA58" i="13"/>
  <c r="P32" i="13"/>
  <c r="BF32" i="13"/>
  <c r="BC33" i="13" s="1"/>
  <c r="N31" i="13"/>
  <c r="BI60" i="13" l="1"/>
  <c r="W60" i="13"/>
  <c r="BH61" i="13"/>
  <c r="BI61" i="13" s="1"/>
  <c r="BB61" i="13"/>
  <c r="W61" i="13"/>
  <c r="AW60" i="13"/>
  <c r="AX59" i="13"/>
  <c r="BN60" i="13"/>
  <c r="BO58" i="13"/>
  <c r="AF61" i="13" a="1"/>
  <c r="AG61" i="13" a="1"/>
  <c r="L62" i="13"/>
  <c r="BL60" i="13"/>
  <c r="M20" i="13"/>
  <c r="AU60" i="13"/>
  <c r="AC61" i="13" a="1"/>
  <c r="BJ61" i="13" s="1"/>
  <c r="R61" i="13"/>
  <c r="AY59" i="13"/>
  <c r="X59" i="13"/>
  <c r="V60" i="13"/>
  <c r="U61" i="13"/>
  <c r="AR61" i="13"/>
  <c r="AV61" i="13" s="1"/>
  <c r="T61" i="13"/>
  <c r="AD61" i="13" a="1"/>
  <c r="BK61" i="13" s="1"/>
  <c r="AS60" i="13"/>
  <c r="BE33" i="13"/>
  <c r="BD33" i="13"/>
  <c r="BG33" i="13" s="1"/>
  <c r="Y33" i="13" s="1"/>
  <c r="BH62" i="13" l="1"/>
  <c r="BB62" i="13"/>
  <c r="BI62" i="13"/>
  <c r="W62" i="13"/>
  <c r="AX60" i="13"/>
  <c r="AW61" i="13"/>
  <c r="BN61" i="13"/>
  <c r="BO59" i="13"/>
  <c r="AF62" i="13" a="1"/>
  <c r="AG62" i="13" a="1"/>
  <c r="L63" i="13"/>
  <c r="BB63" i="13" s="1"/>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B64" i="13" s="1"/>
  <c r="BL62" i="13"/>
  <c r="AK21" i="13"/>
  <c r="AN21" i="13"/>
  <c r="AO21" i="13" s="1"/>
  <c r="AP21" i="13" s="1"/>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B65" i="13" s="1"/>
  <c r="BL63" i="13"/>
  <c r="M21"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B66" i="13" s="1"/>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B67" i="13" s="1"/>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B68" i="13" s="1"/>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B69" i="13" s="1"/>
  <c r="BL67" i="13"/>
  <c r="AH23" i="13"/>
  <c r="AI23" i="13" s="1"/>
  <c r="AE24" i="13" s="1"/>
  <c r="BM24" i="13" s="1"/>
  <c r="V67" i="13"/>
  <c r="AU67" i="13"/>
  <c r="AY66" i="13"/>
  <c r="X66"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H69" i="13"/>
  <c r="AR69" i="13"/>
  <c r="AV69" i="13" s="1"/>
  <c r="T69" i="13"/>
  <c r="AF69" i="13" a="1"/>
  <c r="AG69" i="13" a="1"/>
  <c r="L70" i="13"/>
  <c r="BB70" i="13" s="1"/>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B71" i="13" s="1"/>
  <c r="BL69" i="13"/>
  <c r="M23" i="13"/>
  <c r="O23" i="13" s="1"/>
  <c r="AZ67" i="13"/>
  <c r="BA67" i="13"/>
  <c r="AR70" i="13"/>
  <c r="AV70" i="13" s="1"/>
  <c r="R70" i="13"/>
  <c r="V70" i="13" s="1"/>
  <c r="BH70" i="13"/>
  <c r="T70" i="13"/>
  <c r="AC70" i="13" a="1"/>
  <c r="BJ70" i="13" s="1"/>
  <c r="AD70" i="13" a="1"/>
  <c r="BK70" i="13" s="1"/>
  <c r="AS69" i="13"/>
  <c r="Z37" i="13"/>
  <c r="AA37" i="13" s="1" a="1"/>
  <c r="AB37" i="13" s="1"/>
  <c r="AZ68" i="13"/>
  <c r="BA68" i="13"/>
  <c r="BF37" i="13"/>
  <c r="BC38" i="13" s="1"/>
  <c r="AY69" i="13"/>
  <c r="N36" i="13"/>
  <c r="BI70" i="13" l="1"/>
  <c r="W70" i="13"/>
  <c r="X70" i="13" s="1"/>
  <c r="AX69" i="13"/>
  <c r="AW70" i="13"/>
  <c r="BN70" i="13"/>
  <c r="BO68" i="13"/>
  <c r="AG71" i="13" a="1"/>
  <c r="AF71" i="13" a="1"/>
  <c r="L72" i="13"/>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AR72" i="13" l="1"/>
  <c r="BB72" i="13"/>
  <c r="BI71" i="13"/>
  <c r="W71" i="13"/>
  <c r="AW71" i="13"/>
  <c r="AX70" i="13"/>
  <c r="BN71" i="13"/>
  <c r="BO69" i="13"/>
  <c r="AF72" i="13" a="1"/>
  <c r="AG72" i="13" a="1"/>
  <c r="L73" i="13"/>
  <c r="BB73" i="13" s="1"/>
  <c r="BL71" i="13"/>
  <c r="AK24" i="13"/>
  <c r="AN24" i="13"/>
  <c r="AO24" i="13" s="1"/>
  <c r="AP24" i="13" s="1"/>
  <c r="BH72" i="13"/>
  <c r="T72" i="13"/>
  <c r="AC72" i="13" a="1"/>
  <c r="BJ72" i="13" s="1"/>
  <c r="AD72" i="13" a="1"/>
  <c r="BK72" i="13" s="1"/>
  <c r="R72" i="13"/>
  <c r="AU71" i="13"/>
  <c r="V71" i="13"/>
  <c r="U72" i="13"/>
  <c r="AS71" i="13"/>
  <c r="Z38" i="13"/>
  <c r="AA38" i="13" s="1" a="1"/>
  <c r="AB38" i="13" s="1"/>
  <c r="AZ70" i="13"/>
  <c r="BA70" i="13"/>
  <c r="P38" i="13"/>
  <c r="BF38" i="13"/>
  <c r="BC39" i="13" s="1"/>
  <c r="N37" i="13"/>
  <c r="AV72" i="13" l="1"/>
  <c r="AW72" i="13" s="1"/>
  <c r="AU72" i="13"/>
  <c r="BN72" i="13"/>
  <c r="BI72" i="13"/>
  <c r="W72" i="13"/>
  <c r="AX71" i="13"/>
  <c r="BO70" i="13"/>
  <c r="AC73" i="13" a="1"/>
  <c r="BJ73" i="13" s="1"/>
  <c r="T73" i="13"/>
  <c r="AF73" i="13" a="1"/>
  <c r="AG73" i="13" a="1"/>
  <c r="L74" i="13"/>
  <c r="BL72" i="13"/>
  <c r="M24" i="13"/>
  <c r="O24" i="13" s="1"/>
  <c r="AR73" i="13"/>
  <c r="AV73" i="13" s="1"/>
  <c r="BH73" i="13"/>
  <c r="AD73" i="13" a="1"/>
  <c r="BK73" i="13" s="1"/>
  <c r="R73" i="13"/>
  <c r="AY71" i="13"/>
  <c r="X71" i="13"/>
  <c r="V72" i="13"/>
  <c r="U73" i="13"/>
  <c r="AS72" i="13"/>
  <c r="BE39" i="13"/>
  <c r="BD39" i="13"/>
  <c r="BG39" i="13" s="1"/>
  <c r="Y39" i="13" s="1"/>
  <c r="AX72" i="13" l="1"/>
  <c r="BO72" i="13" s="1"/>
  <c r="AR74" i="13"/>
  <c r="BB74" i="13"/>
  <c r="BI73" i="13"/>
  <c r="W73" i="13"/>
  <c r="AW73" i="13"/>
  <c r="BN73" i="13"/>
  <c r="BO71" i="13"/>
  <c r="BL73" i="13"/>
  <c r="BH74" i="13"/>
  <c r="T74" i="13"/>
  <c r="AF74" i="13" a="1"/>
  <c r="AG74" i="13" a="1"/>
  <c r="L75" i="13"/>
  <c r="BB75" i="13" s="1"/>
  <c r="AH25" i="13"/>
  <c r="AI25" i="13" s="1"/>
  <c r="AE26" i="13" s="1"/>
  <c r="BM26" i="13" s="1"/>
  <c r="AU73" i="13"/>
  <c r="AC74" i="13" a="1"/>
  <c r="BJ74" i="13" s="1"/>
  <c r="AD74" i="13" a="1"/>
  <c r="BK74" i="13" s="1"/>
  <c r="R74" i="13"/>
  <c r="AY72" i="13"/>
  <c r="X72" i="13"/>
  <c r="V73" i="13"/>
  <c r="U74" i="13"/>
  <c r="AZ71" i="13"/>
  <c r="BA71" i="13"/>
  <c r="AS73" i="13"/>
  <c r="Z39" i="13"/>
  <c r="AA39" i="13" s="1" a="1"/>
  <c r="AB39" i="13" s="1"/>
  <c r="BF39" i="13"/>
  <c r="BC40" i="13" s="1"/>
  <c r="N38" i="13"/>
  <c r="AV74" i="13" l="1"/>
  <c r="AW74" i="13" s="1"/>
  <c r="AU74" i="13"/>
  <c r="BN74" i="13"/>
  <c r="BI74" i="13"/>
  <c r="W74" i="13"/>
  <c r="AX73" i="13"/>
  <c r="AF75" i="13" a="1"/>
  <c r="AG75" i="13" a="1"/>
  <c r="L76" i="13"/>
  <c r="BB76" i="13" s="1"/>
  <c r="BL74" i="13"/>
  <c r="AK25" i="13"/>
  <c r="AN25" i="13"/>
  <c r="AO25" i="13" s="1"/>
  <c r="AP25" i="13" s="1"/>
  <c r="V74" i="13"/>
  <c r="AZ72" i="13"/>
  <c r="BA72" i="13"/>
  <c r="AR75" i="13"/>
  <c r="AV75" i="13" s="1"/>
  <c r="BH75" i="13"/>
  <c r="T75" i="13"/>
  <c r="U75" i="13" s="1"/>
  <c r="AD75" i="13" a="1"/>
  <c r="BK75" i="13" s="1"/>
  <c r="AC75" i="13" a="1"/>
  <c r="BJ75" i="13" s="1"/>
  <c r="R75" i="13"/>
  <c r="AY73" i="13"/>
  <c r="X73" i="13"/>
  <c r="AS74" i="13"/>
  <c r="BE40" i="13"/>
  <c r="BD40" i="13"/>
  <c r="BG40" i="13" s="1"/>
  <c r="Y40" i="13" s="1"/>
  <c r="P39" i="13"/>
  <c r="AX74" i="13" l="1"/>
  <c r="BO74" i="13" s="1"/>
  <c r="BI75" i="13"/>
  <c r="W75" i="13"/>
  <c r="AW75" i="13"/>
  <c r="BN75" i="13"/>
  <c r="BO73" i="13"/>
  <c r="AR76" i="13"/>
  <c r="AV76" i="13" s="1"/>
  <c r="BH76" i="13"/>
  <c r="AF76" i="13" a="1"/>
  <c r="AG76" i="13" a="1"/>
  <c r="L77" i="13"/>
  <c r="BB77" i="13" s="1"/>
  <c r="BL75" i="13"/>
  <c r="M25" i="13"/>
  <c r="O25" i="13" s="1"/>
  <c r="AY74" i="13"/>
  <c r="X74" i="13"/>
  <c r="T76" i="13"/>
  <c r="AC76" i="13" a="1"/>
  <c r="BJ76" i="13" s="1"/>
  <c r="AD76" i="13" a="1"/>
  <c r="BK76" i="13" s="1"/>
  <c r="R76" i="13"/>
  <c r="AU75" i="13"/>
  <c r="V75" i="13"/>
  <c r="U76" i="13"/>
  <c r="AZ73" i="13"/>
  <c r="BA73" i="13"/>
  <c r="AS75" i="13"/>
  <c r="Z40" i="13"/>
  <c r="AA40" i="13" s="1" a="1"/>
  <c r="AB40" i="13" s="1"/>
  <c r="P40" i="13"/>
  <c r="BF40" i="13"/>
  <c r="BC41" i="13" s="1"/>
  <c r="N39" i="13"/>
  <c r="BI76" i="13" l="1"/>
  <c r="W76" i="13"/>
  <c r="AX75" i="13"/>
  <c r="AW76" i="13"/>
  <c r="BN76" i="13"/>
  <c r="AU76" i="13"/>
  <c r="AR77" i="13"/>
  <c r="AV77" i="13" s="1"/>
  <c r="BH77" i="13"/>
  <c r="AF77" i="13" a="1"/>
  <c r="AG77" i="13" a="1"/>
  <c r="L78" i="13"/>
  <c r="BL76" i="13"/>
  <c r="AH26" i="13"/>
  <c r="AI26" i="13" s="1"/>
  <c r="AZ74" i="13"/>
  <c r="BA74" i="13"/>
  <c r="T77" i="13"/>
  <c r="AC77" i="13" a="1"/>
  <c r="BJ77" i="13" s="1"/>
  <c r="AD77" i="13" a="1"/>
  <c r="BK77" i="13" s="1"/>
  <c r="R77" i="13"/>
  <c r="AY75" i="13"/>
  <c r="X75" i="13"/>
  <c r="V76" i="13"/>
  <c r="U77" i="13"/>
  <c r="AS76" i="13"/>
  <c r="BE41" i="13"/>
  <c r="BD41" i="13"/>
  <c r="BG41" i="13" s="1"/>
  <c r="Y41" i="13" s="1"/>
  <c r="AR78" i="13" l="1"/>
  <c r="BB78" i="13"/>
  <c r="BI77" i="13"/>
  <c r="W77" i="13"/>
  <c r="AX76" i="13"/>
  <c r="AW77" i="13"/>
  <c r="BN77" i="13"/>
  <c r="BO75" i="13"/>
  <c r="AU77" i="13"/>
  <c r="AG78" i="13" a="1"/>
  <c r="AF78" i="13" a="1"/>
  <c r="L79" i="13"/>
  <c r="BB79" i="13" s="1"/>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a="1"/>
  <c r="AB41" i="13" s="1"/>
  <c r="BF41" i="13"/>
  <c r="BC42" i="13" s="1"/>
  <c r="N40" i="13"/>
  <c r="AV78" i="13" l="1"/>
  <c r="AW78" i="13" s="1"/>
  <c r="AU78" i="13"/>
  <c r="BN78" i="13"/>
  <c r="BI78" i="13"/>
  <c r="W78" i="13"/>
  <c r="AX77" i="13"/>
  <c r="BO76" i="13"/>
  <c r="AF79" i="13" a="1"/>
  <c r="AG79" i="13" a="1"/>
  <c r="L80" i="13"/>
  <c r="BB80" i="13" s="1"/>
  <c r="BL78" i="13"/>
  <c r="V78" i="13"/>
  <c r="AR79" i="13"/>
  <c r="AV79" i="13" s="1"/>
  <c r="BH79" i="13"/>
  <c r="AD79" i="13" a="1"/>
  <c r="BK79" i="13" s="1"/>
  <c r="T79" i="13"/>
  <c r="U79" i="13" s="1"/>
  <c r="AC79" i="13" a="1"/>
  <c r="BJ79" i="13" s="1"/>
  <c r="R79" i="13"/>
  <c r="BA76" i="13"/>
  <c r="AZ76" i="13"/>
  <c r="AY77" i="13"/>
  <c r="X77" i="13"/>
  <c r="AS78" i="13"/>
  <c r="BE42" i="13"/>
  <c r="BD42" i="13"/>
  <c r="BG42" i="13" s="1"/>
  <c r="Y42" i="13" s="1"/>
  <c r="P41" i="13"/>
  <c r="AX78" i="13" l="1"/>
  <c r="BO78" i="13" s="1"/>
  <c r="BI79" i="13"/>
  <c r="W79" i="13"/>
  <c r="AW79" i="13"/>
  <c r="BN79" i="13"/>
  <c r="BO77" i="13"/>
  <c r="AG80" i="13" a="1"/>
  <c r="AF80" i="13" a="1"/>
  <c r="L81" i="13"/>
  <c r="BL79" i="13"/>
  <c r="AY78" i="13"/>
  <c r="X78" i="13"/>
  <c r="AU79" i="13"/>
  <c r="V79" i="13"/>
  <c r="U80" i="13"/>
  <c r="AR80" i="13"/>
  <c r="AV80" i="13" s="1"/>
  <c r="AD80" i="13" a="1"/>
  <c r="BK80" i="13" s="1"/>
  <c r="BH80" i="13"/>
  <c r="T80" i="13"/>
  <c r="AC80" i="13" a="1"/>
  <c r="BJ80" i="13" s="1"/>
  <c r="R80" i="13"/>
  <c r="AZ77" i="13"/>
  <c r="BA77" i="13"/>
  <c r="AS79" i="13"/>
  <c r="Z42" i="13"/>
  <c r="AA42" i="13" s="1" a="1"/>
  <c r="AB42" i="13" s="1"/>
  <c r="P42" i="13"/>
  <c r="BF42" i="13"/>
  <c r="BC43" i="13" s="1"/>
  <c r="N41" i="13"/>
  <c r="X79" i="13" l="1"/>
  <c r="AR81" i="13"/>
  <c r="BB81" i="13"/>
  <c r="BI80" i="13"/>
  <c r="W80" i="13"/>
  <c r="AX79" i="13"/>
  <c r="AW80" i="13"/>
  <c r="BN80" i="13"/>
  <c r="AG81" i="13" a="1"/>
  <c r="AF81" i="13" a="1"/>
  <c r="L82" i="13"/>
  <c r="BB82" i="13" s="1"/>
  <c r="BL80" i="13"/>
  <c r="AZ78" i="13"/>
  <c r="BA78" i="13"/>
  <c r="AY79" i="13"/>
  <c r="U81" i="13"/>
  <c r="V80" i="13"/>
  <c r="AU80" i="13"/>
  <c r="BH81" i="13"/>
  <c r="T81" i="13"/>
  <c r="AC81" i="13" a="1"/>
  <c r="BJ81" i="13" s="1"/>
  <c r="AD81" i="13" a="1"/>
  <c r="BK81" i="13" s="1"/>
  <c r="R81" i="13"/>
  <c r="AS80" i="13"/>
  <c r="BE43" i="13"/>
  <c r="BD43" i="13"/>
  <c r="BG43" i="13" s="1"/>
  <c r="Y43" i="13" s="1"/>
  <c r="AV81" i="13" l="1"/>
  <c r="AW81" i="13" s="1"/>
  <c r="BN81" i="13"/>
  <c r="AU81" i="13"/>
  <c r="BI81" i="13"/>
  <c r="W81" i="13"/>
  <c r="AX80" i="13"/>
  <c r="BO79" i="13"/>
  <c r="AC82" i="13" a="1"/>
  <c r="BJ82" i="13" s="1"/>
  <c r="AD82" i="13" a="1"/>
  <c r="BK82" i="13" s="1"/>
  <c r="R82" i="13"/>
  <c r="T82" i="13"/>
  <c r="AR82" i="13"/>
  <c r="BH82" i="13"/>
  <c r="AG82" i="13" a="1"/>
  <c r="AF82" i="13" a="1"/>
  <c r="BL81" i="13"/>
  <c r="AZ79" i="13"/>
  <c r="BA79" i="13"/>
  <c r="U82" i="13"/>
  <c r="V81" i="13"/>
  <c r="AY80" i="13"/>
  <c r="X80" i="13"/>
  <c r="AS81" i="13"/>
  <c r="Z43" i="13"/>
  <c r="AA43" i="13" s="1" a="1"/>
  <c r="AB43" i="13" s="1"/>
  <c r="BF43" i="13"/>
  <c r="BC44" i="13" s="1"/>
  <c r="N42" i="13"/>
  <c r="AX81" i="13" l="1"/>
  <c r="BI82" i="13"/>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AE40279F-2926-44E8-822F-3B68F447DAEB}">
      <text>
        <r>
          <rPr>
            <b/>
            <sz val="9"/>
            <color indexed="81"/>
            <rFont val="Tahoma"/>
            <family val="2"/>
          </rPr>
          <t xml:space="preserve">Hatta Misra:
</t>
        </r>
        <r>
          <rPr>
            <sz val="9"/>
            <color indexed="81"/>
            <rFont val="Tahoma"/>
            <family val="2"/>
          </rPr>
          <t>Australian Capital Territory Revenue Office. Historical rates of duty [conveyance duty (stamp duty)]. &lt;https://www.revenue.act.gov.au/rates-and-property-charges/conveyance-duty-stamp-duty/historical-rates-of-duty#Transaction-dates-from-1-July-2002-to-5-June-2012&gt;. Retrieved 14 August 2026.</t>
        </r>
        <r>
          <rPr>
            <b/>
            <sz val="9"/>
            <color indexed="81"/>
            <rFont val="Tahoma"/>
            <family val="2"/>
          </rPr>
          <t xml:space="preserve">
</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EF23F778-2FB1-4589-B4A8-9AC08DFC7AD3}">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F42DAEFA-7BA8-4FDC-BFD0-39782D6EE819}">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<sst xmlns="http://schemas.openxmlformats.org/spreadsheetml/2006/main" count="997" uniqueCount="665">
  <si>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</si>
  <si>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</si>
  <si>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</si>
  <si>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</si>
  <si>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</si>
  <si>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</si>
  <si>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</si>
  <si>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</si>
  <si>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</si>
  <si>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</si>
  <si>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</si>
  <si>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</si>
  <si>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</si>
  <si>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</si>
  <si>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</si>
  <si>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</si>
  <si>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</si>
  <si>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</si>
  <si>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</si>
  <si>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</si>
  <si>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</si>
  <si>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</si>
  <si>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</si>
  <si>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</si>
  <si>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</si>
  <si>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</si>
  <si>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</si>
  <si>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</si>
  <si>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</si>
  <si>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</si>
  <si>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</si>
  <si>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</si>
  <si>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</si>
  <si>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</si>
  <si>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</si>
  <si>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</si>
  <si>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</si>
  <si>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</si>
  <si>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</si>
  <si>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</si>
  <si>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</si>
  <si>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</si>
  <si>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</si>
  <si>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</si>
  <si>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</si>
  <si>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</si>
  <si>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</si>
  <si>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</si>
  <si>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</si>
  <si>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</si>
  <si>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</si>
  <si>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</si>
  <si>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</si>
  <si>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</si>
  <si>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</si>
  <si>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</si>
  <si>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</si>
  <si>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</si>
  <si>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</si>
  <si>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</si>
  <si>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</si>
  <si>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</si>
  <si>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</si>
  <si>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</si>
  <si>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</si>
  <si>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</si>
  <si>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</si>
  <si>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</si>
  <si>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</si>
  <si>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</si>
  <si>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</si>
  <si>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</si>
  <si>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</si>
  <si>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</si>
  <si>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</si>
  <si>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</si>
  <si>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</si>
  <si>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</si>
  <si>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</si>
  <si>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</si>
  <si>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</si>
  <si>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</si>
  <si>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</si>
  <si>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</si>
  <si>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</si>
  <si>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</si>
  <si>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</si>
  <si>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</si>
  <si>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</si>
  <si>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</si>
  <si>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</si>
  <si>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</si>
  <si>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</si>
  <si>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</si>
  <si>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</si>
  <si>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</si>
  <si>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</si>
  <si>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</si>
  <si>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</si>
  <si>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</si>
  <si>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</si>
  <si>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</si>
  <si>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</si>
  <si>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</si>
  <si>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</si>
  <si>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</si>
  <si>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</si>
  <si>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</si>
  <si>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</si>
  <si>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</si>
  <si>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</si>
  <si>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</si>
  <si>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</si>
  <si>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</si>
  <si>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</si>
  <si>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</si>
  <si>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</si>
  <si>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</si>
  <si>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</si>
  <si>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</si>
  <si>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</si>
  <si>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</si>
  <si>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</si>
  <si>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</si>
  <si>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</si>
  <si>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</si>
  <si>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</si>
  <si>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</si>
  <si>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</si>
  <si>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</si>
  <si>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</si>
  <si>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</si>
  <si>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</si>
  <si>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</si>
  <si>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</si>
  <si>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</si>
  <si>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</si>
  <si>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</si>
  <si>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</si>
  <si>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</si>
  <si>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</si>
  <si>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</si>
  <si>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</si>
  <si>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</si>
  <si>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</si>
  <si>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</si>
  <si>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</si>
  <si>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</si>
  <si>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</si>
  <si>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</si>
  <si>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</si>
  <si>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</si>
  <si>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</si>
  <si>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</si>
  <si>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</si>
  <si>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</si>
  <si>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</si>
  <si>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</si>
  <si>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</si>
  <si>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</si>
  <si>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</si>
  <si>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</si>
  <si>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</si>
  <si>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</si>
  <si>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</si>
  <si>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</si>
  <si>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</si>
  <si>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</si>
  <si>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</si>
  <si>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</si>
  <si>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</si>
  <si>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</si>
  <si>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</si>
  <si>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</si>
  <si>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</si>
  <si>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</si>
  <si>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</si>
  <si>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</si>
  <si>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</si>
  <si>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</si>
  <si>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</si>
  <si>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</si>
  <si>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</si>
  <si>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</si>
  <si>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</si>
  <si>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</si>
  <si>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</si>
  <si>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</si>
  <si>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</si>
  <si>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</si>
  <si>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</si>
  <si>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</si>
  <si>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</si>
  <si>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</si>
  <si>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</si>
  <si>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</si>
  <si>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</si>
  <si>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</si>
  <si>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</si>
  <si>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</si>
  <si>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</si>
  <si>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</si>
  <si>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</si>
  <si>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</si>
  <si>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</si>
  <si>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</si>
  <si>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</si>
  <si>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</si>
  <si>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</si>
  <si>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</si>
  <si>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</si>
  <si>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</si>
  <si>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</si>
  <si>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</si>
  <si>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</si>
  <si>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</si>
  <si>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</si>
  <si>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</si>
  <si>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</si>
  <si>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</si>
  <si>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</si>
  <si>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</si>
  <si>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</si>
  <si>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</si>
  <si>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</si>
  <si>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</si>
  <si>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</si>
  <si>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</si>
  <si>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</si>
  <si>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</si>
  <si>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</si>
  <si>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</si>
  <si>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</si>
  <si>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</si>
  <si>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</si>
  <si>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</si>
  <si>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</si>
  <si>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</si>
  <si>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</si>
  <si>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</si>
  <si>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</si>
  <si>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</si>
  <si>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</si>
  <si>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</si>
  <si>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</si>
  <si>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</si>
  <si>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</si>
  <si>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</si>
  <si>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</si>
  <si>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</si>
  <si>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</si>
  <si>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</si>
  <si>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</si>
  <si>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</si>
  <si>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</si>
  <si>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</si>
  <si>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</si>
  <si>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</si>
  <si>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</si>
  <si>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</si>
  <si>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</si>
  <si>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</si>
  <si>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</si>
  <si>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</si>
  <si>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</si>
  <si>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</si>
  <si>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</si>
  <si>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</si>
  <si>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</si>
  <si>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</si>
  <si>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</si>
  <si>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</si>
  <si>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</si>
  <si>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</si>
  <si>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</si>
  <si>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</si>
  <si>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</si>
  <si>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</si>
  <si>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</si>
  <si>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</si>
  <si>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</si>
  <si>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</si>
  <si>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</si>
  <si>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</si>
  <si>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</si>
  <si>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</si>
  <si>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</si>
  <si>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</si>
  <si>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</si>
  <si>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</si>
  <si>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</si>
  <si>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</si>
  <si>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</si>
  <si>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</si>
  <si>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</si>
  <si>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</si>
  <si>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</si>
  <si>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</si>
  <si>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</si>
  <si>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</si>
  <si>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</si>
  <si>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</si>
  <si>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</si>
  <si>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</si>
  <si>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</si>
  <si>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</si>
  <si>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</si>
  <si>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</si>
  <si>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</si>
  <si>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</si>
  <si>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</si>
  <si>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</si>
  <si>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</si>
  <si>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</si>
  <si>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</si>
  <si>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</si>
  <si>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</si>
  <si>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</si>
  <si>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</si>
  <si>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</si>
  <si>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</si>
  <si>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</si>
  <si>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</si>
  <si>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</si>
  <si>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</si>
  <si>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</si>
  <si>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</si>
  <si>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</si>
  <si>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</si>
  <si>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</si>
  <si>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</si>
  <si>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</si>
  <si>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</si>
  <si>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</si>
  <si>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</si>
  <si>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</si>
  <si>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</si>
  <si>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</si>
  <si>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</si>
  <si>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</si>
  <si>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</si>
  <si>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</si>
  <si>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</si>
  <si>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</si>
  <si>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</si>
  <si>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</si>
  <si>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</si>
  <si>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</si>
  <si>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</si>
  <si>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</si>
  <si>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</si>
  <si>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</si>
  <si>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</si>
  <si>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</si>
  <si>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</si>
  <si>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</si>
  <si>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</si>
  <si>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</si>
  <si>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</si>
  <si>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</si>
  <si>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</si>
  <si>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</si>
  <si>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</si>
  <si>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</si>
  <si>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</si>
  <si>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</si>
  <si>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</si>
  <si>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</si>
  <si>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</si>
  <si>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</si>
  <si>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</si>
  <si>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</si>
  <si>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</si>
  <si>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</si>
  <si>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</si>
  <si>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</si>
  <si>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</si>
  <si>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</si>
  <si>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</si>
  <si>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</si>
  <si>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</si>
  <si>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</si>
  <si>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</si>
  <si>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</si>
  <si>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</si>
  <si>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</si>
  <si>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</si>
  <si>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</si>
  <si>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</si>
  <si>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</si>
  <si>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</si>
  <si>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</si>
  <si>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</si>
  <si>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</si>
  <si>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</si>
  <si>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</si>
  <si>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</si>
  <si>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</si>
  <si>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</si>
  <si>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</si>
  <si>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</si>
  <si>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</si>
  <si>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</si>
  <si>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</si>
  <si>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</si>
  <si>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</si>
  <si>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</si>
  <si>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</si>
  <si>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</si>
  <si>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</si>
  <si>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</si>
  <si>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</si>
  <si>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</si>
  <si>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</si>
  <si>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</si>
  <si>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</si>
  <si>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</si>
  <si>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</si>
  <si>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</si>
  <si>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</si>
  <si>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</si>
  <si>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</si>
  <si>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</si>
  <si>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</si>
  <si>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</si>
  <si>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</si>
  <si>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</si>
  <si>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</si>
  <si>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</si>
  <si>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</si>
  <si>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</si>
  <si>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</si>
  <si>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</si>
  <si>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</si>
  <si>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</si>
  <si>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</si>
  <si>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</si>
  <si>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</si>
  <si>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</si>
  <si>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</si>
  <si>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</si>
  <si>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</si>
  <si>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</si>
  <si>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</si>
  <si>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</si>
  <si>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</si>
  <si>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</si>
  <si>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</si>
  <si>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</si>
  <si>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</si>
  <si>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</si>
  <si>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</si>
  <si>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</si>
  <si>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</si>
  <si>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</si>
  <si>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</si>
  <si>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</si>
  <si>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</si>
  <si>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</si>
  <si>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</si>
  <si>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</si>
  <si>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</si>
  <si>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</si>
  <si>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</si>
  <si>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</si>
  <si>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</si>
  <si>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</si>
  <si>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</si>
  <si>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</si>
  <si>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</si>
  <si>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</si>
  <si>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</si>
  <si>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</si>
  <si>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</si>
  <si>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</si>
  <si>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</si>
  <si>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</si>
  <si>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</si>
  <si>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</si>
  <si>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</si>
  <si>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</si>
  <si>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</si>
  <si>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</si>
  <si>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</si>
  <si>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</si>
  <si>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</si>
  <si>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</si>
  <si>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</si>
  <si>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</si>
  <si>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</si>
  <si>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</si>
  <si>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</si>
  <si>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</si>
  <si>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</si>
  <si>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</si>
  <si>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</si>
  <si>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</si>
  <si>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</si>
  <si>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</si>
  <si>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</si>
  <si>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</si>
  <si>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</si>
  <si>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</si>
  <si>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</si>
  <si>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</si>
  <si>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</si>
  <si>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</si>
  <si>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</si>
  <si>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</si>
  <si>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</si>
  <si>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</si>
  <si>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</si>
  <si>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</si>
  <si>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</si>
  <si>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</si>
  <si>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</si>
  <si>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</si>
  <si>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</si>
  <si>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</si>
  <si>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</si>
  <si>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</si>
  <si>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</si>
  <si>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</si>
  <si>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</si>
  <si>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</si>
  <si>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</si>
  <si>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</si>
  <si>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</si>
  <si>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</si>
  <si>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</si>
  <si>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</si>
  <si>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</si>
  <si>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</si>
  <si>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</si>
  <si>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</si>
  <si>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</si>
  <si>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</si>
  <si>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</si>
  <si>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</si>
  <si>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</si>
  <si>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</si>
  <si>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</si>
  <si>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</si>
  <si>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</si>
  <si>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</si>
  <si>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</si>
  <si>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</si>
  <si>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</si>
  <si>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</si>
  <si>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</si>
  <si>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</si>
  <si>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</si>
  <si>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</si>
  <si>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</si>
  <si>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</si>
  <si>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</si>
  <si>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</si>
  <si>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</si>
  <si>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</si>
  <si>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</si>
  <si>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</si>
  <si>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</si>
  <si>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</si>
  <si>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</si>
  <si>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</si>
  <si>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</si>
  <si>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</si>
  <si>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</si>
  <si>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</si>
  <si>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</si>
  <si>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</si>
  <si>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</si>
  <si>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</si>
  <si>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</si>
  <si>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</si>
  <si>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</si>
  <si>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</si>
  <si>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</si>
  <si>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</si>
  <si>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</si>
  <si>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</si>
  <si>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</si>
  <si>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</si>
  <si>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</si>
  <si>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</si>
  <si>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</si>
  <si>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</si>
  <si>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</si>
  <si>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</si>
  <si>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</si>
  <si>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</si>
  <si>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</si>
  <si>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</si>
  <si>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</si>
  <si>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</si>
  <si>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</si>
  <si>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</si>
  <si>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</si>
  <si>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</si>
  <si>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</si>
  <si>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</si>
  <si>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</si>
  <si>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</si>
  <si>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</si>
  <si>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</si>
  <si>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</si>
  <si>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</si>
  <si>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</si>
  <si>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</si>
  <si>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</si>
  <si>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</si>
  <si>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</si>
  <si>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</si>
  <si>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</si>
  <si>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</si>
  <si>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</si>
  <si>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</si>
  <si>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</si>
  <si>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</si>
  <si>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</si>
  <si>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</si>
  <si>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</si>
  <si>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</si>
  <si>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</si>
  <si>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</si>
  <si>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</si>
  <si>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</si>
  <si>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Portfolio index (Q_start=100)</t>
  </si>
  <si>
    <t>Renter's insurance and other costs ($ per year, end-quarter dollars)</t>
  </si>
  <si>
    <t>Investment efficiency</t>
  </si>
  <si>
    <t>Other renter costs</t>
  </si>
  <si>
    <t>Year</t>
  </si>
  <si>
    <t>Month</t>
  </si>
  <si>
    <t>Perth</t>
  </si>
  <si>
    <t>Domain</t>
  </si>
  <si>
    <t>Ableson</t>
  </si>
  <si>
    <t>Aus Rent CPI numbers</t>
  </si>
  <si>
    <t>RAI median</t>
  </si>
  <si>
    <t>Ratio - house</t>
  </si>
  <si>
    <t>Ratio - unit</t>
  </si>
  <si>
    <t>https://www.domain.com.au/research/rental-report</t>
  </si>
  <si>
    <t>Abelson and Joyeux 2023</t>
  </si>
  <si>
    <t>https://appliedeconomics.com.au/wp-content/uploads/2023/10/Complete-WP-Abelson-Joyeux-Sep-2023-5.pdf</t>
  </si>
  <si>
    <t>House median rent</t>
  </si>
  <si>
    <t>Unit median rent</t>
  </si>
  <si>
    <t>https://sgsep.com.au/projects/rental-affordability-index</t>
  </si>
  <si>
    <t>RAI income assumptions</t>
  </si>
  <si>
    <t>Renter Affordability Index</t>
  </si>
  <si>
    <t>Sum of Annual income</t>
  </si>
  <si>
    <t>FY</t>
  </si>
  <si>
    <t>RAI</t>
  </si>
  <si>
    <t>Rent, median weekly</t>
  </si>
  <si>
    <t>RAI uprated</t>
  </si>
  <si>
    <t>Single income couple with children</t>
  </si>
  <si>
    <t>3-bedroom rental dwelling</t>
  </si>
  <si>
    <t>Single full-time working parent</t>
  </si>
  <si>
    <t>2-bedroom rental dwelling</t>
  </si>
  <si>
    <t>Consider CGT? Note: Unlikely to reflect realistic tax liabilities</t>
  </si>
  <si>
    <t>Canberra</t>
  </si>
  <si>
    <t>Canberra (FY)</t>
  </si>
  <si>
    <t>Region of Australia</t>
  </si>
  <si>
    <t>ACT</t>
  </si>
  <si>
    <t>Canberra CPI</t>
  </si>
  <si>
    <t>Canberra Rent CPI numbers</t>
  </si>
  <si>
    <t>Rent vs buy analysis - Canberra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</si>
</sst>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0.0"/>
  </numFmts>
  <fonts count="19"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u/>
      <sz val="11"/>
      <color theme="10"/>
      <name val="Arial"/>
      <family val="2"/>
    </font>
    <font>
      <sz val="11"/>
      <color theme="1"/>
      <name val="Arial"/>
      <family val="2"/>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9">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16" fillId="0" borderId="0" applyNumberFormat="0" applyFill="0" applyBorder="0" applyAlignment="0" applyProtection="0"/>
    <xf numFmtId="0" fontId="17" fillId="0" borderId="0"/>
    <xf numFmtId="0" fontId="18" fillId="0" borderId="0" applyNumberFormat="0" applyFill="0" applyBorder="0" applyAlignment="0" applyProtection="0"/>
  </cellStyleXfs>
  <cellXfs count="49">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0" fillId="2" borderId="0" xfId="0" applyFill="1"/>
    <xf numFmtId="171" fontId="0" fillId="0" borderId="0" xfId="0" applyNumberFormat="1"/>
    <xf numFmtId="6" fontId="0" fillId="0" borderId="0" xfId="0" applyNumberFormat="1"/>
    <xf numFmtId="0" fontId="18" fillId="0" borderId="0" xfId="8"/>
  </cellXfs>
  <cellStyles count="9">
    <cellStyle name="Comma" xfId="2" builtinId="3"/>
    <cellStyle name="Comma 2" xfId="4" xr:uid="{08858974-E26C-4C8C-A06B-AA9505693D98}"/>
    <cellStyle name="Comma 3" xfId="5" xr:uid="{2E7F94B6-BC7E-43E6-AF74-4A0A33FAFB5F}"/>
    <cellStyle name="Hyperlink" xfId="8" builtinId="8"/>
    <cellStyle name="Hyperlink 2" xfId="6" xr:uid="{1869A5C3-0A3F-429E-8621-BEACBAB5CE53}"/>
    <cellStyle name="Normal" xfId="0" builtinId="0"/>
    <cellStyle name="Normal 2" xfId="1" xr:uid="{EA054D48-7445-4D79-A4CC-930395C15F80}"/>
    <cellStyle name="Normal 3" xfId="7" xr:uid="{5E19C680-7C1F-4703-995A-94C079162749}"/>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5.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1.6034437112431479</c:v>
                </c:pt>
                <c:pt idx="1">
                  <c:v>1.3686773491902469</c:v>
                </c:pt>
                <c:pt idx="2">
                  <c:v>1.267207185011316</c:v>
                </c:pt>
                <c:pt idx="3">
                  <c:v>1.3278744426900508</c:v>
                </c:pt>
                <c:pt idx="4">
                  <c:v>1.3108934215099604</c:v>
                </c:pt>
                <c:pt idx="5">
                  <c:v>1.2641883579649826</c:v>
                </c:pt>
                <c:pt idx="6">
                  <c:v>1.1971243492269397</c:v>
                </c:pt>
                <c:pt idx="7">
                  <c:v>1.1335317356498056</c:v>
                </c:pt>
                <c:pt idx="8">
                  <c:v>1.0314079128374118</c:v>
                </c:pt>
                <c:pt idx="9">
                  <c:v>1.0240637046957113</c:v>
                </c:pt>
                <c:pt idx="10">
                  <c:v>1.1192688497339758</c:v>
                </c:pt>
                <c:pt idx="11">
                  <c:v>0.88566023093699497</c:v>
                </c:pt>
                <c:pt idx="12">
                  <c:v>0.76657582989928996</c:v>
                </c:pt>
                <c:pt idx="13">
                  <c:v>0.96146825730947549</c:v>
                </c:pt>
                <c:pt idx="14">
                  <c:v>1.1575348476500817</c:v>
                </c:pt>
                <c:pt idx="15">
                  <c:v>0.85930266735348404</c:v>
                </c:pt>
                <c:pt idx="16">
                  <c:v>0.80757486957066926</c:v>
                </c:pt>
                <c:pt idx="17">
                  <c:v>0.77629320254854339</c:v>
                </c:pt>
                <c:pt idx="18">
                  <c:v>0.82862828011458411</c:v>
                </c:pt>
                <c:pt idx="19">
                  <c:v>0.89366474277767471</c:v>
                </c:pt>
                <c:pt idx="20">
                  <c:v>0.97422380633854333</c:v>
                </c:pt>
                <c:pt idx="21">
                  <c:v>0.96633882770973656</c:v>
                </c:pt>
                <c:pt idx="22">
                  <c:v>1.0616611707230641</c:v>
                </c:pt>
                <c:pt idx="23">
                  <c:v>1.075388224937345</c:v>
                </c:pt>
                <c:pt idx="24">
                  <c:v>1.1249575219030929</c:v>
                </c:pt>
                <c:pt idx="25">
                  <c:v>1.305098945139495</c:v>
                </c:pt>
                <c:pt idx="26">
                  <c:v>1.3475300587864658</c:v>
                </c:pt>
                <c:pt idx="27">
                  <c:v>1.186540789745167</c:v>
                </c:pt>
                <c:pt idx="28">
                  <c:v>1.4057546177411426</c:v>
                </c:pt>
                <c:pt idx="29">
                  <c:v>1.3679113803769016</c:v>
                </c:pt>
                <c:pt idx="30">
                  <c:v>1.5484019447335142</c:v>
                </c:pt>
                <c:pt idx="31">
                  <c:v>1.6769251511524037</c:v>
                </c:pt>
                <c:pt idx="32">
                  <c:v>1.310950672736874</c:v>
                </c:pt>
                <c:pt idx="33">
                  <c:v>1.3894322183802983</c:v>
                </c:pt>
                <c:pt idx="34">
                  <c:v>1.3419133729641475</c:v>
                </c:pt>
                <c:pt idx="35">
                  <c:v>1.2765086034696427</c:v>
                </c:pt>
                <c:pt idx="36">
                  <c:v>1.2637336165724506</c:v>
                </c:pt>
                <c:pt idx="37">
                  <c:v>1.2745562697159691</c:v>
                </c:pt>
                <c:pt idx="38">
                  <c:v>1.1404857268458319</c:v>
                </c:pt>
                <c:pt idx="39">
                  <c:v>1.0896632057888778</c:v>
                </c:pt>
                <c:pt idx="40">
                  <c:v>1.1930625187295607</c:v>
                </c:pt>
                <c:pt idx="41">
                  <c:v>1.0789143337653844</c:v>
                </c:pt>
                <c:pt idx="42">
                  <c:v>1.1698935241112127</c:v>
                </c:pt>
                <c:pt idx="43">
                  <c:v>1.1271040909752583</c:v>
                </c:pt>
                <c:pt idx="44">
                  <c:v>1.1258866395621969</c:v>
                </c:pt>
                <c:pt idx="45">
                  <c:v>1.0999287782234011</c:v>
                </c:pt>
                <c:pt idx="46">
                  <c:v>1.1533093127957614</c:v>
                </c:pt>
                <c:pt idx="47">
                  <c:v>1.1481116570246659</c:v>
                </c:pt>
                <c:pt idx="48">
                  <c:v>1.0997031028941351</c:v>
                </c:pt>
                <c:pt idx="49">
                  <c:v>1.1732645478196442</c:v>
                </c:pt>
                <c:pt idx="50">
                  <c:v>1.1824340375825009</c:v>
                </c:pt>
                <c:pt idx="51">
                  <c:v>0.98372399801563892</c:v>
                </c:pt>
                <c:pt idx="52">
                  <c:v>1.198501901387611</c:v>
                </c:pt>
                <c:pt idx="53">
                  <c:v>1.1753057829131655</c:v>
                </c:pt>
                <c:pt idx="54">
                  <c:v>1.3255947981803256</c:v>
                </c:pt>
                <c:pt idx="55">
                  <c:v>1.1668726440600665</c:v>
                </c:pt>
                <c:pt idx="56">
                  <c:v>0.95924821527129223</c:v>
                </c:pt>
                <c:pt idx="57">
                  <c:v>1.142821083170898</c:v>
                </c:pt>
                <c:pt idx="58">
                  <c:v>1.1028946051510602</c:v>
                </c:pt>
                <c:pt idx="59">
                  <c:v>1.1798513249226239</c:v>
                </c:pt>
                <c:pt idx="60">
                  <c:v>1.114435564583319</c:v>
                </c:pt>
                <c:pt idx="61">
                  <c:v>1.0512564169964893</c:v>
                </c:pt>
                <c:pt idx="62">
                  <c:v>0.99209966548061257</c:v>
                </c:pt>
                <c:pt idx="63">
                  <c:v>0.89799280793460656</c:v>
                </c:pt>
                <c:pt idx="64">
                  <c:v>0.82377657715786701</c:v>
                </c:pt>
                <c:pt idx="65">
                  <c:v>0.71967874752855143</c:v>
                </c:pt>
                <c:pt idx="66">
                  <c:v>0.75131350136863739</c:v>
                </c:pt>
                <c:pt idx="67">
                  <c:v>0.8241608830165118</c:v>
                </c:pt>
                <c:pt idx="68">
                  <c:v>0.89611999357625671</c:v>
                </c:pt>
                <c:pt idx="69">
                  <c:v>0.94052850167817392</c:v>
                </c:pt>
                <c:pt idx="70">
                  <c:v>0.91266967085319428</c:v>
                </c:pt>
                <c:pt idx="71">
                  <c:v>0.986613049903453</c:v>
                </c:pt>
                <c:pt idx="72">
                  <c:v>1.0858005996707576</c:v>
                </c:pt>
                <c:pt idx="73">
                  <c:v>1.0889355164705343</c:v>
                </c:pt>
                <c:pt idx="74">
                  <c:v>1.1464521703902135</c:v>
                </c:pt>
                <c:pt idx="75">
                  <c:v>1.1385947549452966</c:v>
                </c:pt>
                <c:pt idx="76">
                  <c:v>1.1556902586695781</c:v>
                </c:pt>
                <c:pt idx="77">
                  <c:v>1.2310787932902687</c:v>
                </c:pt>
                <c:pt idx="78">
                  <c:v>1.2585351599165449</c:v>
                </c:pt>
                <c:pt idx="79">
                  <c:v>1.2515874980470107</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103.76623376623377</c:v>
                </c:pt>
                <c:pt idx="2">
                  <c:v>107.27272727272727</c:v>
                </c:pt>
                <c:pt idx="3">
                  <c:v>109.2987012987013</c:v>
                </c:pt>
                <c:pt idx="4">
                  <c:v>111.68831168831169</c:v>
                </c:pt>
                <c:pt idx="5">
                  <c:v>115.58441558441558</c:v>
                </c:pt>
                <c:pt idx="6">
                  <c:v>119.48051948051948</c:v>
                </c:pt>
                <c:pt idx="7">
                  <c:v>121.55844155844156</c:v>
                </c:pt>
                <c:pt idx="8">
                  <c:v>122.07792207792208</c:v>
                </c:pt>
                <c:pt idx="9">
                  <c:v>123.11688311688312</c:v>
                </c:pt>
                <c:pt idx="10">
                  <c:v>116.1038961038961</c:v>
                </c:pt>
                <c:pt idx="11">
                  <c:v>116.88311688311688</c:v>
                </c:pt>
                <c:pt idx="12">
                  <c:v>119.35064935064935</c:v>
                </c:pt>
                <c:pt idx="13">
                  <c:v>118.18181818181819</c:v>
                </c:pt>
                <c:pt idx="14">
                  <c:v>118.44155844155844</c:v>
                </c:pt>
                <c:pt idx="15">
                  <c:v>132.20779220779221</c:v>
                </c:pt>
                <c:pt idx="16">
                  <c:v>137.66233766233765</c:v>
                </c:pt>
                <c:pt idx="17">
                  <c:v>134.0779220779221</c:v>
                </c:pt>
                <c:pt idx="18">
                  <c:v>137.66233766233765</c:v>
                </c:pt>
                <c:pt idx="19">
                  <c:v>138.83116883116884</c:v>
                </c:pt>
                <c:pt idx="20">
                  <c:v>137.66233766233765</c:v>
                </c:pt>
                <c:pt idx="21">
                  <c:v>138.44155844155844</c:v>
                </c:pt>
                <c:pt idx="22">
                  <c:v>127.27272727272727</c:v>
                </c:pt>
                <c:pt idx="23">
                  <c:v>129.87012987012986</c:v>
                </c:pt>
                <c:pt idx="24">
                  <c:v>133.11688311688312</c:v>
                </c:pt>
                <c:pt idx="25">
                  <c:v>125.32467532467533</c:v>
                </c:pt>
                <c:pt idx="26">
                  <c:v>127.27272727272727</c:v>
                </c:pt>
                <c:pt idx="27">
                  <c:v>134.80519480519482</c:v>
                </c:pt>
                <c:pt idx="28">
                  <c:v>131.16883116883116</c:v>
                </c:pt>
                <c:pt idx="29">
                  <c:v>132.46753246753246</c:v>
                </c:pt>
                <c:pt idx="30">
                  <c:v>131.16883116883116</c:v>
                </c:pt>
                <c:pt idx="31">
                  <c:v>130.72727272727272</c:v>
                </c:pt>
                <c:pt idx="32">
                  <c:v>143.81818181818181</c:v>
                </c:pt>
                <c:pt idx="33">
                  <c:v>142.85714285714286</c:v>
                </c:pt>
                <c:pt idx="34">
                  <c:v>143.89610389610391</c:v>
                </c:pt>
                <c:pt idx="35">
                  <c:v>148.05194805194805</c:v>
                </c:pt>
                <c:pt idx="36">
                  <c:v>151.94805194805195</c:v>
                </c:pt>
                <c:pt idx="37">
                  <c:v>150.64935064935065</c:v>
                </c:pt>
                <c:pt idx="38">
                  <c:v>152.59740259740261</c:v>
                </c:pt>
                <c:pt idx="39">
                  <c:v>159.74025974025975</c:v>
                </c:pt>
                <c:pt idx="40">
                  <c:v>153.24675324675326</c:v>
                </c:pt>
                <c:pt idx="41">
                  <c:v>161.81818181818181</c:v>
                </c:pt>
                <c:pt idx="42">
                  <c:v>159.94805194805195</c:v>
                </c:pt>
                <c:pt idx="43">
                  <c:v>165.19480519480518</c:v>
                </c:pt>
                <c:pt idx="44">
                  <c:v>170</c:v>
                </c:pt>
                <c:pt idx="45">
                  <c:v>174.02597402597402</c:v>
                </c:pt>
                <c:pt idx="46">
                  <c:v>173.37662337662337</c:v>
                </c:pt>
                <c:pt idx="47">
                  <c:v>179.22077922077921</c:v>
                </c:pt>
                <c:pt idx="48">
                  <c:v>181.42857142857142</c:v>
                </c:pt>
                <c:pt idx="49">
                  <c:v>179.22077922077921</c:v>
                </c:pt>
                <c:pt idx="50">
                  <c:v>181.81818181818181</c:v>
                </c:pt>
                <c:pt idx="51">
                  <c:v>187.01298701298703</c:v>
                </c:pt>
                <c:pt idx="52">
                  <c:v>179.22077922077921</c:v>
                </c:pt>
                <c:pt idx="53">
                  <c:v>185.71428571428572</c:v>
                </c:pt>
                <c:pt idx="54">
                  <c:v>175.58441558441558</c:v>
                </c:pt>
                <c:pt idx="55">
                  <c:v>193.50649350649351</c:v>
                </c:pt>
                <c:pt idx="56">
                  <c:v>187.14285714285714</c:v>
                </c:pt>
                <c:pt idx="57">
                  <c:v>187.01298701298703</c:v>
                </c:pt>
                <c:pt idx="58">
                  <c:v>196.10389610389609</c:v>
                </c:pt>
                <c:pt idx="59">
                  <c:v>203.89610389610391</c:v>
                </c:pt>
                <c:pt idx="60">
                  <c:v>216.88311688311688</c:v>
                </c:pt>
                <c:pt idx="61">
                  <c:v>235.06493506493507</c:v>
                </c:pt>
                <c:pt idx="62">
                  <c:v>244.15584415584416</c:v>
                </c:pt>
                <c:pt idx="63">
                  <c:v>270.12987012987014</c:v>
                </c:pt>
                <c:pt idx="64">
                  <c:v>280.51948051948051</c:v>
                </c:pt>
                <c:pt idx="65">
                  <c:v>275.06493506493507</c:v>
                </c:pt>
                <c:pt idx="66">
                  <c:v>259.74025974025972</c:v>
                </c:pt>
                <c:pt idx="67">
                  <c:v>259.74025974025972</c:v>
                </c:pt>
                <c:pt idx="68">
                  <c:v>255.58441558441558</c:v>
                </c:pt>
                <c:pt idx="69">
                  <c:v>255.32467532467533</c:v>
                </c:pt>
                <c:pt idx="70">
                  <c:v>255.84415584415584</c:v>
                </c:pt>
                <c:pt idx="71">
                  <c:v>259.74025974025972</c:v>
                </c:pt>
                <c:pt idx="72">
                  <c:v>255.84415584415584</c:v>
                </c:pt>
                <c:pt idx="73">
                  <c:v>257.14285714285717</c:v>
                </c:pt>
                <c:pt idx="74">
                  <c:v>259.74025974025972</c:v>
                </c:pt>
                <c:pt idx="75">
                  <c:v>259.74025974025972</c:v>
                </c:pt>
                <c:pt idx="76">
                  <c:v>253.24675324675326</c:v>
                </c:pt>
                <c:pt idx="77">
                  <c:v>259.74025974025972</c:v>
                </c:pt>
                <c:pt idx="78">
                  <c:v>266.75324675324674</c:v>
                </c:pt>
                <c:pt idx="79">
                  <c:v>270.77922077922079</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103.22440032713214</c:v>
                </c:pt>
                <c:pt idx="2">
                  <c:v>106.17728430348669</c:v>
                </c:pt>
                <c:pt idx="3">
                  <c:v>107.63550749622316</c:v>
                </c:pt>
                <c:pt idx="4">
                  <c:v>109.45232348772171</c:v>
                </c:pt>
                <c:pt idx="5">
                  <c:v>112.77244827764258</c:v>
                </c:pt>
                <c:pt idx="6">
                  <c:v>116.08108013571653</c:v>
                </c:pt>
                <c:pt idx="7">
                  <c:v>117.55537344533113</c:v>
                </c:pt>
                <c:pt idx="8">
                  <c:v>117.46109809134049</c:v>
                </c:pt>
                <c:pt idx="9">
                  <c:v>117.88610337975479</c:v>
                </c:pt>
                <c:pt idx="10">
                  <c:v>110.23544186991667</c:v>
                </c:pt>
                <c:pt idx="11">
                  <c:v>110.41766313717063</c:v>
                </c:pt>
                <c:pt idx="12">
                  <c:v>112.29022817633822</c:v>
                </c:pt>
                <c:pt idx="13">
                  <c:v>110.50982312544451</c:v>
                </c:pt>
                <c:pt idx="14">
                  <c:v>110.16510179572896</c:v>
                </c:pt>
                <c:pt idx="15">
                  <c:v>123.36075313682086</c:v>
                </c:pt>
                <c:pt idx="16">
                  <c:v>128.18278758563483</c:v>
                </c:pt>
                <c:pt idx="17">
                  <c:v>123.92658515013269</c:v>
                </c:pt>
                <c:pt idx="18">
                  <c:v>126.86817607171589</c:v>
                </c:pt>
                <c:pt idx="19">
                  <c:v>127.37741289107198</c:v>
                </c:pt>
                <c:pt idx="20">
                  <c:v>125.53954318094372</c:v>
                </c:pt>
                <c:pt idx="21">
                  <c:v>125.65817022531144</c:v>
                </c:pt>
                <c:pt idx="22">
                  <c:v>113.79579891699937</c:v>
                </c:pt>
                <c:pt idx="23">
                  <c:v>115.76791939623799</c:v>
                </c:pt>
                <c:pt idx="24">
                  <c:v>118.38339421255928</c:v>
                </c:pt>
                <c:pt idx="25">
                  <c:v>109.92201462767065</c:v>
                </c:pt>
                <c:pt idx="26">
                  <c:v>111.2488652811854</c:v>
                </c:pt>
                <c:pt idx="27">
                  <c:v>118.16870957694351</c:v>
                </c:pt>
                <c:pt idx="28">
                  <c:v>113.86885398813064</c:v>
                </c:pt>
                <c:pt idx="29">
                  <c:v>114.52744895222772</c:v>
                </c:pt>
                <c:pt idx="30">
                  <c:v>112.57814777245328</c:v>
                </c:pt>
                <c:pt idx="31">
                  <c:v>111.49201907493558</c:v>
                </c:pt>
                <c:pt idx="32">
                  <c:v>123.97437242762368</c:v>
                </c:pt>
                <c:pt idx="33">
                  <c:v>122.3301169780585</c:v>
                </c:pt>
                <c:pt idx="34">
                  <c:v>122.69382662995591</c:v>
                </c:pt>
                <c:pt idx="35">
                  <c:v>126.17934969993453</c:v>
                </c:pt>
                <c:pt idx="36">
                  <c:v>129.39220712595088</c:v>
                </c:pt>
                <c:pt idx="37">
                  <c:v>127.38544128694187</c:v>
                </c:pt>
                <c:pt idx="38">
                  <c:v>128.63758788345169</c:v>
                </c:pt>
                <c:pt idx="39">
                  <c:v>135.09211834721646</c:v>
                </c:pt>
                <c:pt idx="40">
                  <c:v>127.8542363113352</c:v>
                </c:pt>
                <c:pt idx="41">
                  <c:v>135.7390871280829</c:v>
                </c:pt>
                <c:pt idx="42">
                  <c:v>133.13031152507875</c:v>
                </c:pt>
                <c:pt idx="43">
                  <c:v>137.66219108581555</c:v>
                </c:pt>
                <c:pt idx="44">
                  <c:v>141.73590242001168</c:v>
                </c:pt>
                <c:pt idx="45">
                  <c:v>145.01421958828652</c:v>
                </c:pt>
                <c:pt idx="46">
                  <c:v>143.59334342712563</c:v>
                </c:pt>
                <c:pt idx="47">
                  <c:v>148.68454567107892</c:v>
                </c:pt>
                <c:pt idx="48">
                  <c:v>150.11281728403696</c:v>
                </c:pt>
                <c:pt idx="49">
                  <c:v>147.10766545241341</c:v>
                </c:pt>
                <c:pt idx="50">
                  <c:v>148.92654684035983</c:v>
                </c:pt>
                <c:pt idx="51">
                  <c:v>153.34183144033085</c:v>
                </c:pt>
                <c:pt idx="52">
                  <c:v>144.72146629822657</c:v>
                </c:pt>
                <c:pt idx="53">
                  <c:v>150.44644543605679</c:v>
                </c:pt>
                <c:pt idx="54">
                  <c:v>139.48625262130457</c:v>
                </c:pt>
                <c:pt idx="55">
                  <c:v>156.67984522851776</c:v>
                </c:pt>
                <c:pt idx="56">
                  <c:v>149.47256104162605</c:v>
                </c:pt>
                <c:pt idx="57">
                  <c:v>148.53380504323172</c:v>
                </c:pt>
                <c:pt idx="58">
                  <c:v>156.83986348395734</c:v>
                </c:pt>
                <c:pt idx="59">
                  <c:v>163.81707250041222</c:v>
                </c:pt>
                <c:pt idx="60">
                  <c:v>175.97942598635171</c:v>
                </c:pt>
                <c:pt idx="61">
                  <c:v>193.3116000326466</c:v>
                </c:pt>
                <c:pt idx="62">
                  <c:v>201.47591231392693</c:v>
                </c:pt>
                <c:pt idx="63">
                  <c:v>226.53983133706103</c:v>
                </c:pt>
                <c:pt idx="64">
                  <c:v>235.90273981501377</c:v>
                </c:pt>
                <c:pt idx="65">
                  <c:v>229.35020295851385</c:v>
                </c:pt>
                <c:pt idx="66">
                  <c:v>212.91830857356058</c:v>
                </c:pt>
                <c:pt idx="67">
                  <c:v>211.8956042034149</c:v>
                </c:pt>
                <c:pt idx="68">
                  <c:v>206.70639556672646</c:v>
                </c:pt>
                <c:pt idx="69">
                  <c:v>205.43554380722523</c:v>
                </c:pt>
                <c:pt idx="70">
                  <c:v>204.94667779315722</c:v>
                </c:pt>
                <c:pt idx="71">
                  <c:v>207.84156410474225</c:v>
                </c:pt>
                <c:pt idx="72">
                  <c:v>202.91276198471274</c:v>
                </c:pt>
                <c:pt idx="73">
                  <c:v>203.20358312970856</c:v>
                </c:pt>
                <c:pt idx="74">
                  <c:v>204.79260588071671</c:v>
                </c:pt>
                <c:pt idx="75">
                  <c:v>203.769901510571</c:v>
                </c:pt>
                <c:pt idx="76">
                  <c:v>196.23703422395226</c:v>
                </c:pt>
                <c:pt idx="77">
                  <c:v>201.74364765669114</c:v>
                </c:pt>
                <c:pt idx="78">
                  <c:v>207.75191923633631</c:v>
                </c:pt>
                <c:pt idx="79">
                  <c:v>210.74482859707948</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Canberra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67230.625</c:v>
                </c:pt>
                <c:pt idx="1">
                  <c:v>80550.347090229916</c:v>
                </c:pt>
                <c:pt idx="2">
                  <c:v>92817.742649578606</c:v>
                </c:pt>
                <c:pt idx="3">
                  <c:v>99445.189421312534</c:v>
                </c:pt>
                <c:pt idx="4">
                  <c:v>107395.41211665102</c:v>
                </c:pt>
                <c:pt idx="5">
                  <c:v>121007.66807707492</c:v>
                </c:pt>
                <c:pt idx="6">
                  <c:v>134598.35243318474</c:v>
                </c:pt>
                <c:pt idx="7">
                  <c:v>141284.94826363301</c:v>
                </c:pt>
                <c:pt idx="8">
                  <c:v>142066.07346268883</c:v>
                </c:pt>
                <c:pt idx="9">
                  <c:v>144701.99580902711</c:v>
                </c:pt>
                <c:pt idx="10">
                  <c:v>117036.88099737704</c:v>
                </c:pt>
                <c:pt idx="11">
                  <c:v>118798.41269265721</c:v>
                </c:pt>
                <c:pt idx="12">
                  <c:v>127387.61016441364</c:v>
                </c:pt>
                <c:pt idx="13">
                  <c:v>122517.3783783312</c:v>
                </c:pt>
                <c:pt idx="14">
                  <c:v>123066.95852355688</c:v>
                </c:pt>
                <c:pt idx="15">
                  <c:v>174447.84724864876</c:v>
                </c:pt>
                <c:pt idx="16">
                  <c:v>194241.64790363592</c:v>
                </c:pt>
                <c:pt idx="17">
                  <c:v>179944.11658148951</c:v>
                </c:pt>
                <c:pt idx="18">
                  <c:v>192579.7242226344</c:v>
                </c:pt>
                <c:pt idx="19">
                  <c:v>196115.35821147368</c:v>
                </c:pt>
                <c:pt idx="20">
                  <c:v>190793.46485860494</c:v>
                </c:pt>
                <c:pt idx="21">
                  <c:v>192848.76164453145</c:v>
                </c:pt>
                <c:pt idx="22">
                  <c:v>149989.8408567349</c:v>
                </c:pt>
                <c:pt idx="23">
                  <c:v>159073.19687634357</c:v>
                </c:pt>
                <c:pt idx="24">
                  <c:v>170697.97979026189</c:v>
                </c:pt>
                <c:pt idx="25">
                  <c:v>140754.16231510643</c:v>
                </c:pt>
                <c:pt idx="26">
                  <c:v>147688.87971704506</c:v>
                </c:pt>
                <c:pt idx="27">
                  <c:v>175650.80563109647</c:v>
                </c:pt>
                <c:pt idx="28">
                  <c:v>161629.73523291299</c:v>
                </c:pt>
                <c:pt idx="29">
                  <c:v>166257.48198406131</c:v>
                </c:pt>
                <c:pt idx="30">
                  <c:v>161187.63255118657</c:v>
                </c:pt>
                <c:pt idx="31">
                  <c:v>159450.04317724297</c:v>
                </c:pt>
                <c:pt idx="32">
                  <c:v>208650.69616445896</c:v>
                </c:pt>
                <c:pt idx="33">
                  <c:v>204878.64649846684</c:v>
                </c:pt>
                <c:pt idx="34">
                  <c:v>208671.54762671664</c:v>
                </c:pt>
                <c:pt idx="35">
                  <c:v>224209.28627429518</c:v>
                </c:pt>
                <c:pt idx="36">
                  <c:v>238755.12907769799</c:v>
                </c:pt>
                <c:pt idx="37">
                  <c:v>233805.36853476235</c:v>
                </c:pt>
                <c:pt idx="38">
                  <c:v>241149.09661536341</c:v>
                </c:pt>
                <c:pt idx="39">
                  <c:v>268046.90745967021</c:v>
                </c:pt>
                <c:pt idx="40">
                  <c:v>243559.79805278868</c:v>
                </c:pt>
                <c:pt idx="41">
                  <c:v>275850.07370606909</c:v>
                </c:pt>
                <c:pt idx="42">
                  <c:v>268850.73394290166</c:v>
                </c:pt>
                <c:pt idx="43">
                  <c:v>288695.04337371892</c:v>
                </c:pt>
                <c:pt idx="44">
                  <c:v>306852.17851836863</c:v>
                </c:pt>
                <c:pt idx="45">
                  <c:v>322052.76195460057</c:v>
                </c:pt>
                <c:pt idx="46">
                  <c:v>319664.1901137206</c:v>
                </c:pt>
                <c:pt idx="47">
                  <c:v>341746.0404535319</c:v>
                </c:pt>
                <c:pt idx="48">
                  <c:v>350108.22957195266</c:v>
                </c:pt>
                <c:pt idx="49">
                  <c:v>341868.71362424607</c:v>
                </c:pt>
                <c:pt idx="50">
                  <c:v>351764.68685297912</c:v>
                </c:pt>
                <c:pt idx="51">
                  <c:v>371415.19514213555</c:v>
                </c:pt>
                <c:pt idx="52">
                  <c:v>342181.48893402016</c:v>
                </c:pt>
                <c:pt idx="53">
                  <c:v>366806.09432218882</c:v>
                </c:pt>
                <c:pt idx="54">
                  <c:v>328903.25501097378</c:v>
                </c:pt>
                <c:pt idx="55">
                  <c:v>396719.54231892643</c:v>
                </c:pt>
                <c:pt idx="56">
                  <c:v>373030.99887332157</c:v>
                </c:pt>
                <c:pt idx="57">
                  <c:v>372945.56828018487</c:v>
                </c:pt>
                <c:pt idx="58">
                  <c:v>407633.6335884406</c:v>
                </c:pt>
                <c:pt idx="59">
                  <c:v>437367.57975825912</c:v>
                </c:pt>
                <c:pt idx="60">
                  <c:v>486590.19998375227</c:v>
                </c:pt>
                <c:pt idx="61">
                  <c:v>555244.29013442807</c:v>
                </c:pt>
                <c:pt idx="62">
                  <c:v>589541.72172186221</c:v>
                </c:pt>
                <c:pt idx="63">
                  <c:v>687309.67546363571</c:v>
                </c:pt>
                <c:pt idx="64">
                  <c:v>726194.7181189321</c:v>
                </c:pt>
                <c:pt idx="65">
                  <c:v>705392.5014546304</c:v>
                </c:pt>
                <c:pt idx="66">
                  <c:v>647427.25554249063</c:v>
                </c:pt>
                <c:pt idx="67">
                  <c:v>647084.26274338434</c:v>
                </c:pt>
                <c:pt idx="68">
                  <c:v>631116.48820326081</c:v>
                </c:pt>
                <c:pt idx="69">
                  <c:v>629836.84410209395</c:v>
                </c:pt>
                <c:pt idx="70">
                  <c:v>631458.9841985004</c:v>
                </c:pt>
                <c:pt idx="71">
                  <c:v>645839.00678635843</c:v>
                </c:pt>
                <c:pt idx="72">
                  <c:v>630890.8992129236</c:v>
                </c:pt>
                <c:pt idx="73">
                  <c:v>635593.22467670927</c:v>
                </c:pt>
                <c:pt idx="74">
                  <c:v>645257.02913912153</c:v>
                </c:pt>
                <c:pt idx="75">
                  <c:v>645192.96164312679</c:v>
                </c:pt>
                <c:pt idx="76">
                  <c:v>620767.46456664032</c:v>
                </c:pt>
                <c:pt idx="77">
                  <c:v>645367.66300872667</c:v>
                </c:pt>
                <c:pt idx="78">
                  <c:v>671977.82872340514</c:v>
                </c:pt>
                <c:pt idx="79">
                  <c:v>687365.80801196769</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107800.52285919635</c:v>
                </c:pt>
                <c:pt idx="1">
                  <c:v>110247.4355318102</c:v>
                </c:pt>
                <c:pt idx="2">
                  <c:v>117619.31038207728</c:v>
                </c:pt>
                <c:pt idx="3">
                  <c:v>132050.72548103193</c:v>
                </c:pt>
                <c:pt idx="4">
                  <c:v>140783.9392440689</c:v>
                </c:pt>
                <c:pt idx="5">
                  <c:v>152976.48520752898</c:v>
                </c:pt>
                <c:pt idx="6">
                  <c:v>161130.96506359454</c:v>
                </c:pt>
                <c:pt idx="7">
                  <c:v>160150.97262646889</c:v>
                </c:pt>
                <c:pt idx="8">
                  <c:v>146528.07231515829</c:v>
                </c:pt>
                <c:pt idx="9">
                  <c:v>148184.0619050556</c:v>
                </c:pt>
                <c:pt idx="10">
                  <c:v>130995.73517038641</c:v>
                </c:pt>
                <c:pt idx="11">
                  <c:v>105215.02962032722</c:v>
                </c:pt>
                <c:pt idx="12">
                  <c:v>97652.262980672604</c:v>
                </c:pt>
                <c:pt idx="13">
                  <c:v>117796.57027953971</c:v>
                </c:pt>
                <c:pt idx="14">
                  <c:v>142454.29308532435</c:v>
                </c:pt>
                <c:pt idx="15">
                  <c:v>149903.50045483702</c:v>
                </c:pt>
                <c:pt idx="16">
                  <c:v>156864.67347097065</c:v>
                </c:pt>
                <c:pt idx="17">
                  <c:v>139689.39454081294</c:v>
                </c:pt>
                <c:pt idx="18">
                  <c:v>159577.00566754246</c:v>
                </c:pt>
                <c:pt idx="19">
                  <c:v>175261.38115080816</c:v>
                </c:pt>
                <c:pt idx="20">
                  <c:v>185875.53555906922</c:v>
                </c:pt>
                <c:pt idx="21">
                  <c:v>186357.24625285092</c:v>
                </c:pt>
                <c:pt idx="22">
                  <c:v>159238.39004052724</c:v>
                </c:pt>
                <c:pt idx="23">
                  <c:v>171065.44282395992</c:v>
                </c:pt>
                <c:pt idx="24">
                  <c:v>192027.97633871724</c:v>
                </c:pt>
                <c:pt idx="25">
                  <c:v>183698.10876143866</c:v>
                </c:pt>
                <c:pt idx="26">
                  <c:v>199015.20476721699</c:v>
                </c:pt>
                <c:pt idx="27">
                  <c:v>208416.84563289603</c:v>
                </c:pt>
                <c:pt idx="28">
                  <c:v>227211.7466679457</c:v>
                </c:pt>
                <c:pt idx="29">
                  <c:v>227425.50167880516</c:v>
                </c:pt>
                <c:pt idx="30">
                  <c:v>249583.2437092484</c:v>
                </c:pt>
                <c:pt idx="31">
                  <c:v>267385.78775625548</c:v>
                </c:pt>
                <c:pt idx="32">
                  <c:v>273530.77050381457</c:v>
                </c:pt>
                <c:pt idx="33">
                  <c:v>284664.9923031177</c:v>
                </c:pt>
                <c:pt idx="34">
                  <c:v>280019.14031741605</c:v>
                </c:pt>
                <c:pt idx="35">
                  <c:v>286205.08290692588</c:v>
                </c:pt>
                <c:pt idx="36">
                  <c:v>301722.88274458156</c:v>
                </c:pt>
                <c:pt idx="37">
                  <c:v>297998.09835923411</c:v>
                </c:pt>
                <c:pt idx="38">
                  <c:v>275027.10273158847</c:v>
                </c:pt>
                <c:pt idx="39">
                  <c:v>292080.85248429887</c:v>
                </c:pt>
                <c:pt idx="40">
                  <c:v>290582.06612612325</c:v>
                </c:pt>
                <c:pt idx="41">
                  <c:v>297618.59849171567</c:v>
                </c:pt>
                <c:pt idx="42">
                  <c:v>314526.73259234725</c:v>
                </c:pt>
                <c:pt idx="43">
                  <c:v>325389.36443079822</c:v>
                </c:pt>
                <c:pt idx="44">
                  <c:v>345480.76811438543</c:v>
                </c:pt>
                <c:pt idx="45">
                  <c:v>354235.10098019562</c:v>
                </c:pt>
                <c:pt idx="46">
                  <c:v>368671.68742546876</c:v>
                </c:pt>
                <c:pt idx="47">
                  <c:v>392362.61278672301</c:v>
                </c:pt>
                <c:pt idx="48">
                  <c:v>385015.10640904855</c:v>
                </c:pt>
                <c:pt idx="49">
                  <c:v>401102.44170403451</c:v>
                </c:pt>
                <c:pt idx="50">
                  <c:v>415938.53895451216</c:v>
                </c:pt>
                <c:pt idx="51">
                  <c:v>365370.04068898031</c:v>
                </c:pt>
                <c:pt idx="52">
                  <c:v>410105.16510706698</c:v>
                </c:pt>
                <c:pt idx="53">
                  <c:v>431109.32386466052</c:v>
                </c:pt>
                <c:pt idx="54">
                  <c:v>435992.44394712395</c:v>
                </c:pt>
                <c:pt idx="55">
                  <c:v>462921.18129598512</c:v>
                </c:pt>
                <c:pt idx="56">
                  <c:v>357829.31991010113</c:v>
                </c:pt>
                <c:pt idx="57">
                  <c:v>426210.05830574699</c:v>
                </c:pt>
                <c:pt idx="58">
                  <c:v>449576.93536281516</c:v>
                </c:pt>
                <c:pt idx="59">
                  <c:v>516028.71845598344</c:v>
                </c:pt>
                <c:pt idx="60">
                  <c:v>542273.4242396031</c:v>
                </c:pt>
                <c:pt idx="61">
                  <c:v>583704.12300447805</c:v>
                </c:pt>
                <c:pt idx="62">
                  <c:v>584884.14490712387</c:v>
                </c:pt>
                <c:pt idx="63">
                  <c:v>617199.14539021335</c:v>
                </c:pt>
                <c:pt idx="64">
                  <c:v>598222.19924213598</c:v>
                </c:pt>
                <c:pt idx="65">
                  <c:v>507655.99196290027</c:v>
                </c:pt>
                <c:pt idx="66">
                  <c:v>486420.83824311616</c:v>
                </c:pt>
                <c:pt idx="67">
                  <c:v>533301.53736867616</c:v>
                </c:pt>
                <c:pt idx="68">
                  <c:v>565556.10335457581</c:v>
                </c:pt>
                <c:pt idx="69">
                  <c:v>592379.50328505202</c:v>
                </c:pt>
                <c:pt idx="70">
                  <c:v>576313.46326573775</c:v>
                </c:pt>
                <c:pt idx="71">
                  <c:v>637193.192232106</c:v>
                </c:pt>
                <c:pt idx="72">
                  <c:v>685021.716692216</c:v>
                </c:pt>
                <c:pt idx="73">
                  <c:v>692120.03637850471</c:v>
                </c:pt>
                <c:pt idx="74">
                  <c:v>739756.32151608716</c:v>
                </c:pt>
                <c:pt idx="75">
                  <c:v>734613.32205448614</c:v>
                </c:pt>
                <c:pt idx="76">
                  <c:v>717414.91169867874</c:v>
                </c:pt>
                <c:pt idx="77">
                  <c:v>794498.44380534394</c:v>
                </c:pt>
                <c:pt idx="78">
                  <c:v>845707.72413278325</c:v>
                </c:pt>
                <c:pt idx="79">
                  <c:v>860298.45189276058</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Canberra</c:v>
                </c:pt>
              </c:strCache>
            </c:strRef>
          </c:tx>
          <c:spPr>
            <a:ln w="28575" cap="rnd">
              <a:solidFill>
                <a:schemeClr val="accent1"/>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'2BR_F-processed'!$E$2:$E$109</c:f>
              <c:numCache>
                <c:formatCode>General</c:formatCode>
                <c:ptCount val="108"/>
                <c:pt idx="0">
                  <c:v>338.2442159383034</c:v>
                </c:pt>
                <c:pt idx="1">
                  <c:v>343.41902313624684</c:v>
                </c:pt>
                <c:pt idx="2">
                  <c:v>344.83033419023138</c:v>
                </c:pt>
                <c:pt idx="3">
                  <c:v>348.59383033419022</c:v>
                </c:pt>
                <c:pt idx="4">
                  <c:v>354.70951156812345</c:v>
                </c:pt>
                <c:pt idx="5">
                  <c:v>361.76606683804636</c:v>
                </c:pt>
                <c:pt idx="6">
                  <c:v>366</c:v>
                </c:pt>
                <c:pt idx="7">
                  <c:v>366</c:v>
                </c:pt>
                <c:pt idx="8">
                  <c:v>366</c:v>
                </c:pt>
                <c:pt idx="9">
                  <c:v>366</c:v>
                </c:pt>
                <c:pt idx="10">
                  <c:v>376.98310810810813</c:v>
                </c:pt>
                <c:pt idx="11">
                  <c:v>386.41891891891891</c:v>
                </c:pt>
                <c:pt idx="12">
                  <c:v>392.70945945945948</c:v>
                </c:pt>
                <c:pt idx="13">
                  <c:v>395.85472972972968</c:v>
                </c:pt>
                <c:pt idx="14">
                  <c:v>399</c:v>
                </c:pt>
                <c:pt idx="15">
                  <c:v>399</c:v>
                </c:pt>
                <c:pt idx="16">
                  <c:v>399</c:v>
                </c:pt>
                <c:pt idx="17">
                  <c:v>399</c:v>
                </c:pt>
                <c:pt idx="18">
                  <c:v>416.2939760417263</c:v>
                </c:pt>
                <c:pt idx="19">
                  <c:v>422.13827592136181</c:v>
                </c:pt>
                <c:pt idx="20">
                  <c:v>429.78082191780817</c:v>
                </c:pt>
                <c:pt idx="21">
                  <c:v>429.78082191780817</c:v>
                </c:pt>
                <c:pt idx="22">
                  <c:v>447.34505040062027</c:v>
                </c:pt>
                <c:pt idx="23">
                  <c:v>455.94783983140138</c:v>
                </c:pt>
                <c:pt idx="24">
                  <c:v>439.06088280060879</c:v>
                </c:pt>
                <c:pt idx="25">
                  <c:v>439.06088280060879</c:v>
                </c:pt>
                <c:pt idx="26">
                  <c:v>430.48854406594739</c:v>
                </c:pt>
                <c:pt idx="27">
                  <c:v>438.24509440947799</c:v>
                </c:pt>
                <c:pt idx="28">
                  <c:v>430.48854406594739</c:v>
                </c:pt>
                <c:pt idx="29">
                  <c:v>419.35521965044865</c:v>
                </c:pt>
                <c:pt idx="30">
                  <c:v>437.8404109589041</c:v>
                </c:pt>
                <c:pt idx="31">
                  <c:v>430.6626993038401</c:v>
                </c:pt>
                <c:pt idx="32">
                  <c:v>398.03673723536735</c:v>
                </c:pt>
                <c:pt idx="33">
                  <c:v>389.19147640791476</c:v>
                </c:pt>
                <c:pt idx="34">
                  <c:v>380</c:v>
                </c:pt>
                <c:pt idx="35">
                  <c:v>380</c:v>
                </c:pt>
                <c:pt idx="36">
                  <c:v>380</c:v>
                </c:pt>
                <c:pt idx="37">
                  <c:v>380</c:v>
                </c:pt>
                <c:pt idx="38">
                  <c:v>395</c:v>
                </c:pt>
                <c:pt idx="39">
                  <c:v>395</c:v>
                </c:pt>
                <c:pt idx="40">
                  <c:v>395</c:v>
                </c:pt>
                <c:pt idx="41">
                  <c:v>395</c:v>
                </c:pt>
                <c:pt idx="42">
                  <c:v>416</c:v>
                </c:pt>
                <c:pt idx="43">
                  <c:v>416</c:v>
                </c:pt>
                <c:pt idx="44">
                  <c:v>416</c:v>
                </c:pt>
                <c:pt idx="45">
                  <c:v>416</c:v>
                </c:pt>
                <c:pt idx="46">
                  <c:v>441</c:v>
                </c:pt>
                <c:pt idx="47">
                  <c:v>441</c:v>
                </c:pt>
                <c:pt idx="48">
                  <c:v>441</c:v>
                </c:pt>
                <c:pt idx="49">
                  <c:v>441</c:v>
                </c:pt>
                <c:pt idx="50">
                  <c:v>466</c:v>
                </c:pt>
                <c:pt idx="51">
                  <c:v>466</c:v>
                </c:pt>
                <c:pt idx="52">
                  <c:v>466</c:v>
                </c:pt>
                <c:pt idx="53">
                  <c:v>466</c:v>
                </c:pt>
                <c:pt idx="54">
                  <c:v>475</c:v>
                </c:pt>
                <c:pt idx="55">
                  <c:v>475</c:v>
                </c:pt>
                <c:pt idx="56">
                  <c:v>475</c:v>
                </c:pt>
                <c:pt idx="57">
                  <c:v>475</c:v>
                </c:pt>
                <c:pt idx="58">
                  <c:v>495</c:v>
                </c:pt>
                <c:pt idx="59">
                  <c:v>495</c:v>
                </c:pt>
                <c:pt idx="60">
                  <c:v>495</c:v>
                </c:pt>
                <c:pt idx="61">
                  <c:v>495</c:v>
                </c:pt>
                <c:pt idx="62">
                  <c:v>549.31668009669613</c:v>
                </c:pt>
                <c:pt idx="63">
                  <c:v>578.4839374469633</c:v>
                </c:pt>
                <c:pt idx="64">
                  <c:v>558.70670881629769</c:v>
                </c:pt>
                <c:pt idx="65">
                  <c:v>533</c:v>
                </c:pt>
                <c:pt idx="66">
                  <c:v>587.28334534967541</c:v>
                </c:pt>
                <c:pt idx="67">
                  <c:v>560</c:v>
                </c:pt>
                <c:pt idx="68">
                  <c:v>550</c:v>
                </c:pt>
                <c:pt idx="69">
                  <c:v>550</c:v>
                </c:pt>
                <c:pt idx="70">
                  <c:v>550</c:v>
                </c:pt>
                <c:pt idx="71">
                  <c:v>560</c:v>
                </c:pt>
                <c:pt idx="72">
                  <c:v>570</c:v>
                </c:pt>
                <c:pt idx="73">
                  <c:v>560</c:v>
                </c:pt>
                <c:pt idx="74">
                  <c:v>550</c:v>
                </c:pt>
                <c:pt idx="75">
                  <c:v>565</c:v>
                </c:pt>
                <c:pt idx="76">
                  <c:v>575</c:v>
                </c:pt>
                <c:pt idx="77">
                  <c:v>580</c:v>
                </c:pt>
                <c:pt idx="78">
                  <c:v>560</c:v>
                </c:pt>
                <c:pt idx="79">
                  <c:v>580</c:v>
                </c:pt>
              </c:numCache>
            </c:numRef>
          </c:val>
          <c:smooth val="0"/>
          <c:extLst>
            <c:ext xmlns:c16="http://schemas.microsoft.com/office/drawing/2014/chart" uri="{C3380CC4-5D6E-409C-BE32-E72D297353CC}">
              <c16:uniqueId val="{00000000-617F-4C2B-A3D4-409ECC1B6286}"/>
            </c:ext>
          </c:extLst>
        </c:ser>
        <c:ser>
          <c:idx val="1"/>
          <c:order val="1"/>
          <c:tx>
            <c:strRef>
              <c:f>'2BR_F-processed'!#REF!</c:f>
              <c:strCache>
                <c:ptCount val="1"/>
                <c:pt idx="0">
                  <c:v>#REF!</c:v>
                </c:pt>
              </c:strCache>
            </c:strRef>
          </c:tx>
          <c:spPr>
            <a:ln w="28575" cap="rnd">
              <a:solidFill>
                <a:schemeClr val="accent2"/>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'2BR_F-processed'!#REF!</c:f>
              <c:numCache>
                <c:formatCode>General</c:formatCode>
                <c:ptCount val="1"/>
                <c:pt idx="0">
                  <c:v>1</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Canberra</c:v>
                </c:pt>
              </c:strCache>
            </c:strRef>
          </c:tx>
          <c:spPr>
            <a:ln w="28575" cap="rnd">
              <a:solidFill>
                <a:schemeClr val="accent1"/>
              </a:solidFill>
              <a:round/>
            </a:ln>
            <a:effectLst/>
          </c:spPr>
          <c:marker>
            <c:symbol val="none"/>
          </c:marker>
          <c:cat>
            <c:numRef>
              <c:f>'3BR_H-processed'!$B$2:$B$97</c:f>
              <c:numCache>
                <c:formatCode>mmm\-yy</c:formatCode>
                <c:ptCount val="96"/>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'3BR_H-processed'!$E$2:$E$97</c:f>
              <c:numCache>
                <c:formatCode>General</c:formatCode>
                <c:ptCount val="96"/>
                <c:pt idx="0">
                  <c:v>380.75578406169672</c:v>
                </c:pt>
                <c:pt idx="1">
                  <c:v>386.58097686375322</c:v>
                </c:pt>
                <c:pt idx="2">
                  <c:v>388.16966580976867</c:v>
                </c:pt>
                <c:pt idx="3">
                  <c:v>392.40616966580973</c:v>
                </c:pt>
                <c:pt idx="4">
                  <c:v>399.29048843187667</c:v>
                </c:pt>
                <c:pt idx="5">
                  <c:v>407.23393316195381</c:v>
                </c:pt>
                <c:pt idx="6">
                  <c:v>412</c:v>
                </c:pt>
                <c:pt idx="7">
                  <c:v>412</c:v>
                </c:pt>
                <c:pt idx="8">
                  <c:v>412</c:v>
                </c:pt>
                <c:pt idx="9">
                  <c:v>412</c:v>
                </c:pt>
                <c:pt idx="10">
                  <c:v>427.05855855855862</c:v>
                </c:pt>
                <c:pt idx="11">
                  <c:v>437.74774774774772</c:v>
                </c:pt>
                <c:pt idx="12">
                  <c:v>444.87387387387389</c:v>
                </c:pt>
                <c:pt idx="13">
                  <c:v>448.43693693693689</c:v>
                </c:pt>
                <c:pt idx="14">
                  <c:v>452</c:v>
                </c:pt>
                <c:pt idx="15">
                  <c:v>452</c:v>
                </c:pt>
                <c:pt idx="16">
                  <c:v>452</c:v>
                </c:pt>
                <c:pt idx="17">
                  <c:v>452</c:v>
                </c:pt>
                <c:pt idx="18">
                  <c:v>432.61923000414686</c:v>
                </c:pt>
                <c:pt idx="19">
                  <c:v>438.6927181143563</c:v>
                </c:pt>
                <c:pt idx="20">
                  <c:v>446.6349717969378</c:v>
                </c:pt>
                <c:pt idx="21">
                  <c:v>446.6349717969378</c:v>
                </c:pt>
                <c:pt idx="22">
                  <c:v>464.88799355358572</c:v>
                </c:pt>
                <c:pt idx="23">
                  <c:v>478.97550850975506</c:v>
                </c:pt>
                <c:pt idx="24">
                  <c:v>474.18575342465749</c:v>
                </c:pt>
                <c:pt idx="25">
                  <c:v>469.49084497490838</c:v>
                </c:pt>
                <c:pt idx="26">
                  <c:v>472.28354834419463</c:v>
                </c:pt>
                <c:pt idx="27">
                  <c:v>472.28354834419463</c:v>
                </c:pt>
                <c:pt idx="28">
                  <c:v>467.74236037934662</c:v>
                </c:pt>
                <c:pt idx="29">
                  <c:v>450.41856925418568</c:v>
                </c:pt>
                <c:pt idx="30">
                  <c:v>486.48934550989344</c:v>
                </c:pt>
                <c:pt idx="31">
                  <c:v>486.48934550989344</c:v>
                </c:pt>
                <c:pt idx="32">
                  <c:v>449.06708816297851</c:v>
                </c:pt>
                <c:pt idx="33">
                  <c:v>427.16137654527228</c:v>
                </c:pt>
                <c:pt idx="34">
                  <c:v>450</c:v>
                </c:pt>
                <c:pt idx="35">
                  <c:v>450</c:v>
                </c:pt>
                <c:pt idx="36">
                  <c:v>450</c:v>
                </c:pt>
                <c:pt idx="37">
                  <c:v>450</c:v>
                </c:pt>
                <c:pt idx="38">
                  <c:v>457</c:v>
                </c:pt>
                <c:pt idx="39">
                  <c:v>457</c:v>
                </c:pt>
                <c:pt idx="40">
                  <c:v>457</c:v>
                </c:pt>
                <c:pt idx="41">
                  <c:v>457</c:v>
                </c:pt>
                <c:pt idx="42">
                  <c:v>492</c:v>
                </c:pt>
                <c:pt idx="43">
                  <c:v>492</c:v>
                </c:pt>
                <c:pt idx="44">
                  <c:v>492</c:v>
                </c:pt>
                <c:pt idx="45">
                  <c:v>492</c:v>
                </c:pt>
                <c:pt idx="46">
                  <c:v>531</c:v>
                </c:pt>
                <c:pt idx="47">
                  <c:v>531</c:v>
                </c:pt>
                <c:pt idx="48">
                  <c:v>531</c:v>
                </c:pt>
                <c:pt idx="49">
                  <c:v>531</c:v>
                </c:pt>
                <c:pt idx="50">
                  <c:v>551</c:v>
                </c:pt>
                <c:pt idx="51">
                  <c:v>551</c:v>
                </c:pt>
                <c:pt idx="52">
                  <c:v>551</c:v>
                </c:pt>
                <c:pt idx="53">
                  <c:v>551</c:v>
                </c:pt>
                <c:pt idx="54">
                  <c:v>569</c:v>
                </c:pt>
                <c:pt idx="55">
                  <c:v>569</c:v>
                </c:pt>
                <c:pt idx="56">
                  <c:v>569</c:v>
                </c:pt>
                <c:pt idx="57">
                  <c:v>569</c:v>
                </c:pt>
                <c:pt idx="58">
                  <c:v>606</c:v>
                </c:pt>
                <c:pt idx="59">
                  <c:v>606</c:v>
                </c:pt>
                <c:pt idx="60">
                  <c:v>606</c:v>
                </c:pt>
                <c:pt idx="61">
                  <c:v>606</c:v>
                </c:pt>
                <c:pt idx="62">
                  <c:v>622.55890410958898</c:v>
                </c:pt>
                <c:pt idx="63">
                  <c:v>640.86946011281202</c:v>
                </c:pt>
                <c:pt idx="64">
                  <c:v>640.86946011281202</c:v>
                </c:pt>
                <c:pt idx="65">
                  <c:v>673</c:v>
                </c:pt>
                <c:pt idx="66">
                  <c:v>662.87427098874264</c:v>
                </c:pt>
                <c:pt idx="67">
                  <c:v>690</c:v>
                </c:pt>
                <c:pt idx="68">
                  <c:v>690</c:v>
                </c:pt>
                <c:pt idx="69">
                  <c:v>675</c:v>
                </c:pt>
                <c:pt idx="70">
                  <c:v>660</c:v>
                </c:pt>
                <c:pt idx="71">
                  <c:v>680</c:v>
                </c:pt>
                <c:pt idx="72">
                  <c:v>685</c:v>
                </c:pt>
                <c:pt idx="73">
                  <c:v>690</c:v>
                </c:pt>
                <c:pt idx="74">
                  <c:v>680</c:v>
                </c:pt>
                <c:pt idx="75">
                  <c:v>695</c:v>
                </c:pt>
                <c:pt idx="76">
                  <c:v>700</c:v>
                </c:pt>
                <c:pt idx="77">
                  <c:v>700</c:v>
                </c:pt>
                <c:pt idx="78">
                  <c:v>690</c:v>
                </c:pt>
                <c:pt idx="79">
                  <c:v>700</c:v>
                </c:pt>
              </c:numCache>
            </c:numRef>
          </c:val>
          <c:smooth val="0"/>
          <c:extLst>
            <c:ext xmlns:c16="http://schemas.microsoft.com/office/drawing/2014/chart" uri="{C3380CC4-5D6E-409C-BE32-E72D297353CC}">
              <c16:uniqueId val="{00000000-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9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9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94703</xdr:rowOff>
    </xdr:from>
    <xdr:to>
      <xdr:col>10</xdr:col>
      <xdr:colOff>171450</xdr:colOff>
      <xdr:row>39</xdr:row>
      <xdr:rowOff>19050</xdr:rowOff>
    </xdr:to>
    <xdr:pic>
      <xdr:nvPicPr>
        <xdr:cNvPr id="2" name="Picture 1">
          <a:extLst>
            <a:ext uri="{FF2B5EF4-FFF2-40B4-BE49-F238E27FC236}">
              <a16:creationId xmlns:a16="http://schemas.microsoft.com/office/drawing/2014/main" id="{8E1D67AB-E872-7094-995D-DFE8B76E9DBC}"/>
            </a:ext>
          </a:extLst>
        </xdr:cNvPr>
        <xdr:cNvPicPr>
          <a:picLocks noChangeAspect="1"/>
        </xdr:cNvPicPr>
      </xdr:nvPicPr>
      <xdr:blipFill>
        <a:blip xmlns:r="http://schemas.openxmlformats.org/officeDocument/2006/relationships" r:embed="rId1"/>
        <a:stretch>
          <a:fillRect/>
        </a:stretch>
      </xdr:blipFill>
      <xdr:spPr>
        <a:xfrm>
          <a:off x="5600700" y="285203"/>
          <a:ext cx="1390650" cy="7163347"/>
        </a:xfrm>
        <a:prstGeom prst="rect">
          <a:avLst/>
        </a:prstGeom>
      </xdr:spPr>
    </xdr:pic>
    <xdr:clientData/>
  </xdr:twoCellAnchor>
  <xdr:twoCellAnchor editAs="oneCell">
    <xdr:from>
      <xdr:col>8</xdr:col>
      <xdr:colOff>47625</xdr:colOff>
      <xdr:row>38</xdr:row>
      <xdr:rowOff>180975</xdr:rowOff>
    </xdr:from>
    <xdr:to>
      <xdr:col>10</xdr:col>
      <xdr:colOff>104775</xdr:colOff>
      <xdr:row>61</xdr:row>
      <xdr:rowOff>53973</xdr:rowOff>
    </xdr:to>
    <xdr:pic>
      <xdr:nvPicPr>
        <xdr:cNvPr id="5" name="Picture 4">
          <a:extLst>
            <a:ext uri="{FF2B5EF4-FFF2-40B4-BE49-F238E27FC236}">
              <a16:creationId xmlns:a16="http://schemas.microsoft.com/office/drawing/2014/main" id="{3AEFA7FC-D60A-89D8-18D9-33B346C4A312}"/>
            </a:ext>
          </a:extLst>
        </xdr:cNvPr>
        <xdr:cNvPicPr>
          <a:picLocks noChangeAspect="1"/>
        </xdr:cNvPicPr>
      </xdr:nvPicPr>
      <xdr:blipFill>
        <a:blip xmlns:r="http://schemas.openxmlformats.org/officeDocument/2006/relationships" r:embed="rId2"/>
        <a:stretch>
          <a:fillRect/>
        </a:stretch>
      </xdr:blipFill>
      <xdr:spPr>
        <a:xfrm>
          <a:off x="5648325" y="7419975"/>
          <a:ext cx="1276350" cy="42544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xdr:row>
      <xdr:rowOff>104775</xdr:rowOff>
    </xdr:from>
    <xdr:to>
      <xdr:col>10</xdr:col>
      <xdr:colOff>57150</xdr:colOff>
      <xdr:row>38</xdr:row>
      <xdr:rowOff>150409</xdr:rowOff>
    </xdr:to>
    <xdr:pic>
      <xdr:nvPicPr>
        <xdr:cNvPr id="2" name="Picture 1">
          <a:extLst>
            <a:ext uri="{FF2B5EF4-FFF2-40B4-BE49-F238E27FC236}">
              <a16:creationId xmlns:a16="http://schemas.microsoft.com/office/drawing/2014/main" id="{3CF3B0DF-9100-FE21-EFB2-6B8D92D7BCA8}"/>
            </a:ext>
          </a:extLst>
        </xdr:cNvPr>
        <xdr:cNvPicPr>
          <a:picLocks noChangeAspect="1"/>
        </xdr:cNvPicPr>
      </xdr:nvPicPr>
      <xdr:blipFill>
        <a:blip xmlns:r="http://schemas.openxmlformats.org/officeDocument/2006/relationships" r:embed="rId1"/>
        <a:stretch>
          <a:fillRect/>
        </a:stretch>
      </xdr:blipFill>
      <xdr:spPr>
        <a:xfrm>
          <a:off x="5600700" y="295275"/>
          <a:ext cx="1276350" cy="7094134"/>
        </a:xfrm>
        <a:prstGeom prst="rect">
          <a:avLst/>
        </a:prstGeom>
      </xdr:spPr>
    </xdr:pic>
    <xdr:clientData/>
  </xdr:twoCellAnchor>
  <xdr:twoCellAnchor editAs="oneCell">
    <xdr:from>
      <xdr:col>8</xdr:col>
      <xdr:colOff>0</xdr:colOff>
      <xdr:row>39</xdr:row>
      <xdr:rowOff>0</xdr:rowOff>
    </xdr:from>
    <xdr:to>
      <xdr:col>9</xdr:col>
      <xdr:colOff>523875</xdr:colOff>
      <xdr:row>61</xdr:row>
      <xdr:rowOff>31948</xdr:rowOff>
    </xdr:to>
    <xdr:pic>
      <xdr:nvPicPr>
        <xdr:cNvPr id="3" name="Picture 2">
          <a:extLst>
            <a:ext uri="{FF2B5EF4-FFF2-40B4-BE49-F238E27FC236}">
              <a16:creationId xmlns:a16="http://schemas.microsoft.com/office/drawing/2014/main" id="{7C80283C-EFEC-0F88-B0BF-2C81F4C430BD}"/>
            </a:ext>
          </a:extLst>
        </xdr:cNvPr>
        <xdr:cNvPicPr>
          <a:picLocks noChangeAspect="1"/>
        </xdr:cNvPicPr>
      </xdr:nvPicPr>
      <xdr:blipFill>
        <a:blip xmlns:r="http://schemas.openxmlformats.org/officeDocument/2006/relationships" r:embed="rId2"/>
        <a:stretch>
          <a:fillRect/>
        </a:stretch>
      </xdr:blipFill>
      <xdr:spPr>
        <a:xfrm>
          <a:off x="5600700" y="7429500"/>
          <a:ext cx="1133475" cy="42229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9292167" cy="6064250"/>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2167" cy="6064250"/>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liedeconomics.com.au/wp-content/uploads/2023/10/Complete-WP-Abelson-Joyeux-Sep-2023-5.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B18" sqref="B18"/>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664</v>
      </c>
      <c r="B1" s="5" t="s">
        <v>491</v>
      </c>
      <c r="C1" s="5" t="s">
        <v>490</v>
      </c>
      <c r="O1" s="7"/>
      <c r="S1" s="11"/>
      <c r="T1" t="s">
        <v>14</v>
      </c>
      <c r="X1" s="11" cm="1">
        <f t="array" ref="X1">SUM(_xlfn._xlws.FILTER(X3:X82,ISNUMBER(X3:X82)))</f>
        <v>549525.36546747654</v>
      </c>
      <c r="Y1" s="33"/>
      <c r="AA1" s="34"/>
      <c r="AI1" t="s">
        <v>469</v>
      </c>
      <c r="AP1" s="11"/>
      <c r="AQ1" s="11"/>
      <c r="AR1" t="s">
        <v>21</v>
      </c>
      <c r="AT1" s="11"/>
      <c r="AX1" s="6"/>
      <c r="AY1" t="s">
        <v>326</v>
      </c>
      <c r="BB1" t="s">
        <v>323</v>
      </c>
      <c r="BG1" s="11" cm="1">
        <f t="array" ref="BG1">SUM(_xlfn._xlws.FILTER(BG3:BG82,ISNUMBER(BG3:BG82)))</f>
        <v>756006.58110764343</v>
      </c>
      <c r="BH1" t="s">
        <v>477</v>
      </c>
    </row>
    <row r="2" spans="1:67" x14ac:dyDescent="0.25">
      <c r="A2" s="5" t="s">
        <v>328</v>
      </c>
      <c r="B2" s="32">
        <f>_xlfn.XLOOKUP(Q_end,L:L,O:O)</f>
        <v>1.2515874980470107</v>
      </c>
      <c r="E2" t="str">
        <f>"Renter vs owner wealth, "&amp;Council_Area&amp;IF(B10="2BR_F"," 2-bedroom flat"," 3-bedroom house")</f>
        <v>Renter vs owner wealth, Canberra 3-bedroom house</v>
      </c>
      <c r="L2" t="s">
        <v>54</v>
      </c>
      <c r="M2" s="5" t="s">
        <v>62</v>
      </c>
      <c r="N2" s="5" t="s">
        <v>61</v>
      </c>
      <c r="O2" t="s">
        <v>316</v>
      </c>
      <c r="P2" t="s">
        <v>318</v>
      </c>
      <c r="Q2" t="s">
        <v>58</v>
      </c>
      <c r="R2" t="s">
        <v>53</v>
      </c>
      <c r="S2" s="5"/>
      <c r="T2" t="s">
        <v>305</v>
      </c>
      <c r="U2" t="s">
        <v>306</v>
      </c>
      <c r="V2" t="s">
        <v>10</v>
      </c>
      <c r="W2" t="s">
        <v>630</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627</v>
      </c>
      <c r="BM2" t="s">
        <v>482</v>
      </c>
      <c r="BN2" t="s">
        <v>484</v>
      </c>
      <c r="BO2" t="s">
        <v>483</v>
      </c>
    </row>
    <row r="3" spans="1:67" x14ac:dyDescent="0.25">
      <c r="A3" s="5" t="s">
        <v>496</v>
      </c>
      <c r="B3" s="32" cm="1">
        <f t="array" ref="B3">SUM(_xlfn._xlws.FILTER($X$3:$X$82,ISNUMBER($X$3:$X$82)))/(SUM(_xlfn._xlws.FILTER($BG$3:$BG$82,ISNUMBER($BG$3:$BG$82)))-AT3)</f>
        <v>0.83380605128609253</v>
      </c>
      <c r="L3" s="1">
        <f>Q_start</f>
        <v>38777</v>
      </c>
      <c r="M3" s="10">
        <f t="shared" ref="M3:M34" si="0">AP3</f>
        <v>107800.52285919635</v>
      </c>
      <c r="N3" s="10">
        <f>AX3-BC3</f>
        <v>67230.625</v>
      </c>
      <c r="O3" s="7">
        <f>M3/N3</f>
        <v>1.6034437112431479</v>
      </c>
      <c r="P3" s="7">
        <f t="shared" ref="P3:P34" si="1">X3/BG3</f>
        <v>4.7738161837912928E-2</v>
      </c>
      <c r="Q3">
        <v>1</v>
      </c>
      <c r="R3">
        <f t="shared" ref="R3:R34" si="2">EOMONTH(L3,0)-EOMONTH(L3,-3)</f>
        <v>90</v>
      </c>
      <c r="S3" s="22"/>
      <c r="T3" s="22">
        <f>IF($B$10="3BR_H",
INDEX('3BR_H-processed'!$E:$E,MATCH($L3,'3BR_H-processed'!$B:$B,0),MATCH(Council_Area,'3BR_H-processed'!$E$1:$E$1,0)),
INDEX('2BR_F-processed'!$E:$E,MATCH($L3,'2BR_F-processed'!$B:$B,0),MATCH(Council_Area,'2BR_F-processed'!$E$1:$E$1,0)))</f>
        <v>380.75578406169672</v>
      </c>
      <c r="U3" s="22">
        <f>IF(MOD(Q3,4)=1,T3,U2)</f>
        <v>380.75578406169672</v>
      </c>
      <c r="V3" s="22">
        <f>U3*(R3)/7</f>
        <v>4895.4315093646719</v>
      </c>
      <c r="W3" s="22">
        <f>$B$53/4*BH3/_xlfn.XLOOKUP(Q_end,cpi!A:A,cpi!B:B)</f>
        <v>116.93158258465792</v>
      </c>
      <c r="X3" s="22">
        <f>V3+W3</f>
        <v>5012.3630919493298</v>
      </c>
      <c r="Y3" s="22">
        <f t="shared" ref="Y3:Y34" si="3">BG3-X3</f>
        <v>99984.622526558218</v>
      </c>
      <c r="Z3" s="29">
        <f>MAX(0,Y3*$B$47)</f>
        <v>0</v>
      </c>
      <c r="AA3" s="22" cm="1">
        <f t="array" ref="AA3">(Y3+Z3)*eff_invest</f>
        <v>99984.622526558218</v>
      </c>
      <c r="AB3" s="22">
        <f>AA3*(_xlfn.XLOOKUP(Q_end,cpi!A:A,cpi!B:B)/BH3)</f>
        <v>171013.88746563799</v>
      </c>
      <c r="AC3" s="22" cm="1">
        <f t="array" ref="AC3">INDEX('msci-indices'!C:C,MATCH($L3,'msci-indices'!$B:$B)-2)</f>
        <v>754.87961099999995</v>
      </c>
      <c r="AD3" s="22" cm="1">
        <f t="array" ref="AD3">INDEX('msci-indices'!D:D,MATCH($L3,'msci-indices'!$B:$B)-2)</f>
        <v>712.95624699999996</v>
      </c>
      <c r="AE3" s="29">
        <f>AA3</f>
        <v>99984.622526558218</v>
      </c>
      <c r="AF3" s="22" cm="1">
        <f t="array" ref="AF3">INDEX('msci-indices'!C:C,MATCH($L3,'msci-indices'!$B:$B)+1)</f>
        <v>809.32011899999998</v>
      </c>
      <c r="AG3" s="22" cm="1">
        <f t="array" ref="AG3">INDEX('msci-indices'!D:D,MATCH($L3,'msci-indices'!$B:$B)+1)</f>
        <v>780.24346800000001</v>
      </c>
      <c r="AH3" s="22">
        <f t="shared" ref="AH3:AH34" si="4">(InvestFees/4)*AE3</f>
        <v>62.49038907909889</v>
      </c>
      <c r="AI3" s="22">
        <f t="shared" ref="AI3:AI34" si="5">((AF3/AC3)*GlobalPortfolio+(AG3/AD3)*AusPortfolio)*AE3-AH3</f>
        <v>107800.52285919635</v>
      </c>
      <c r="AJ3" s="29">
        <f>AA3</f>
        <v>99984.622526558218</v>
      </c>
      <c r="AK3" s="22">
        <f t="shared" ref="AK3:AK34" si="6">AI3-AJ3</f>
        <v>7815.9003326381353</v>
      </c>
      <c r="AL3" s="22">
        <f>AJ3*(_xlfn.XLOOKUP(Q_end,cpi!A:A,cpi!B:B)/BH3)</f>
        <v>171013.88746563799</v>
      </c>
      <c r="AM3" s="29">
        <f>AA3</f>
        <v>99984.622526558218</v>
      </c>
      <c r="AN3" s="22">
        <f>AI3-AM3</f>
        <v>7815.9003326381353</v>
      </c>
      <c r="AO3" s="22">
        <f t="shared" ref="AO3:AO34" si="7">IF($B$49="Real gains",MAX($B$50*AN3,0),IF($B$49="Discounted nominal gains",MAX($B$50*AK3/2,0),0))</f>
        <v>0</v>
      </c>
      <c r="AP3" s="22">
        <f>AI3-AO3</f>
        <v>107800.52285919635</v>
      </c>
      <c r="AQ3" s="22"/>
      <c r="AR3" s="10">
        <f>IF($B$10="3BR_H",
INDEX('ns-combined'!$C:$C,MATCH($L3,'ns-combined'!$B:$B,0),MATCH(Council_Area,'ns-combined'!$C$1:$C$1,0))*1000,
INDEX('s-combined'!$C:$C,MATCH($L3,'s-combined'!$B:$B,0),MATCH(Council_Area,'s-combined'!$C$1:$C$1,0))*1000)</f>
        <v>385000</v>
      </c>
      <c r="AS3" s="29">
        <f>AR3*$B$14/4</f>
        <v>962.5</v>
      </c>
      <c r="AT3" s="13">
        <f>SUM(B20:B26)*AR3</f>
        <v>96950</v>
      </c>
      <c r="AU3" s="22">
        <f t="shared" ref="AU3:AU34" si="8">SUM($B$28:$B$29)*AR3</f>
        <v>7700</v>
      </c>
      <c r="AV3" s="22">
        <f t="shared" ref="AV3:AV34" si="9">AR3*$B$15/4</f>
        <v>1106.875</v>
      </c>
      <c r="AW3" s="22">
        <f>SUM($AV$3:AV3)</f>
        <v>1106.875</v>
      </c>
      <c r="AX3" s="22">
        <f>AR3-AS3-AU3-AW3</f>
        <v>375230.625</v>
      </c>
      <c r="AY3" s="22">
        <f t="shared" ref="AY3:AY34" si="10">$B$36*V3</f>
        <v>1713.4010282776353</v>
      </c>
      <c r="AZ3" s="24">
        <f t="shared" ref="AZ3:AZ34" si="11">SUM(AY3:AY3)*4/AR3</f>
        <v>1.7801569124962446E-2</v>
      </c>
      <c r="BA3" s="24">
        <f t="shared" ref="BA3:BA34" si="12">SUM(AY3:AY3)/V3</f>
        <v>0.35000000000000003</v>
      </c>
      <c r="BB3" s="25">
        <f>IF(MortgageRate="Discounted",_xlfn.XLOOKUP(L3,'mortgage-rates'!$A:$A,'mortgage-rates'!$E:$E)/100,_xlfn.XLOOKUP(L3,'mortgage-rates'!$A:$A,'mortgage-rates'!$D:$D)/100)</f>
        <v>6.6400000000000001E-2</v>
      </c>
      <c r="BC3" s="10">
        <f>(1-B20)*AR3</f>
        <v>308000</v>
      </c>
      <c r="BD3" s="10">
        <f t="shared" ref="BD3:BD34" si="13">IF($B$16*12/3-Q3+1&gt;0,-PMT($BB3/4,$B$16*12/3-Q3+1,BC3),0)</f>
        <v>6333.5845902299125</v>
      </c>
      <c r="BE3" s="10">
        <f t="shared" ref="BE3:BE34" si="14">BC3*($BB3/4)</f>
        <v>5112.8</v>
      </c>
      <c r="BF3" s="10">
        <f>BD3-BE3</f>
        <v>1220.7845902299123</v>
      </c>
      <c r="BG3" s="12">
        <f t="shared" ref="BG3:BG34" si="15">AT3+AY3+BD3</f>
        <v>104996.98561850755</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99.999999999999986</v>
      </c>
      <c r="BN3" s="22">
        <f t="shared" ref="BN3:BN34" si="21">100*AR3/AR$3</f>
        <v>100</v>
      </c>
      <c r="BO3">
        <f t="shared" ref="BO3:BO34" si="22">100*AX3/AX$3</f>
        <v>100</v>
      </c>
    </row>
    <row r="4" spans="1:67" x14ac:dyDescent="0.25">
      <c r="A4" t="s">
        <v>485</v>
      </c>
      <c r="B4" s="4">
        <f>((_xlfn.XLOOKUP(Q_end,L:L,AR:AR)/_xlfn.XLOOKUP(Q_start,L:L,AR:AR))^(1/YEARFRAC(EOMONTH(Q_start,-3)+1,EOMONTH(Q_end,0))))-1</f>
        <v>5.1067885309542316E-2</v>
      </c>
      <c r="L4" s="1">
        <f>IF(DATE(YEAR(L3),MONTH(L3)+3,1)&lt;=Q_end,DATE(YEAR(L3),MONTH(L3)+3,1),"")</f>
        <v>38869</v>
      </c>
      <c r="M4" s="10">
        <f t="shared" si="0"/>
        <v>110247.4355318102</v>
      </c>
      <c r="N4" s="10">
        <f t="shared" ref="N4:N34" si="23">AX4-BC4</f>
        <v>80550.347090229916</v>
      </c>
      <c r="O4" s="7">
        <f t="shared" ref="O4:O67" si="24">M4/N4</f>
        <v>1.3686773491902469</v>
      </c>
      <c r="P4" s="7">
        <f t="shared" si="1"/>
        <v>0.6155146705783886</v>
      </c>
      <c r="Q4">
        <v>2</v>
      </c>
      <c r="R4">
        <f t="shared" si="2"/>
        <v>91</v>
      </c>
      <c r="S4" s="22"/>
      <c r="T4" s="22">
        <f>IF($B$10="3BR_H",
INDEX('3BR_H-processed'!$E:$E,MATCH($L4,'3BR_H-processed'!$B:$B,0),MATCH(Council_Area,'3BR_H-processed'!$E$1:$E$1,0)),
INDEX('2BR_F-processed'!$E:$E,MATCH($L4,'2BR_F-processed'!$B:$B,0),MATCH(Council_Area,'2BR_F-processed'!$E$1:$E$1,0)))</f>
        <v>386.58097686375322</v>
      </c>
      <c r="U4" s="22">
        <f t="shared" ref="U4:U67" si="25">IF(MOD(Q4,4)=1,T4,U3)</f>
        <v>380.75578406169672</v>
      </c>
      <c r="V4" s="22">
        <f>U4*(R4)/7</f>
        <v>4949.8251928020572</v>
      </c>
      <c r="W4" s="22">
        <f>$B$53/4*BH4/_xlfn.XLOOKUP(Q_end,cpi!A:A,cpi!B:B)</f>
        <v>118.72840359364203</v>
      </c>
      <c r="X4" s="22">
        <f t="shared" ref="X4:X34" si="26">V4+W4</f>
        <v>5068.5535963956991</v>
      </c>
      <c r="Y4" s="22">
        <f t="shared" si="3"/>
        <v>3166.1056874079932</v>
      </c>
      <c r="Z4" s="22">
        <f t="shared" ref="Z4:Z35" si="27">Y4*$B$47</f>
        <v>0</v>
      </c>
      <c r="AA4" s="22" cm="1">
        <f t="array" ref="AA4">(Y4+Z4)*eff_invest</f>
        <v>3166.1056874079932</v>
      </c>
      <c r="AB4" s="22">
        <f>AA4*(_xlfn.XLOOKUP(Q_end,cpi!A:A,cpi!B:B)/BH4)</f>
        <v>5333.3584745976314</v>
      </c>
      <c r="AC4" s="22" cm="1">
        <f t="array" ref="AC4">INDEX('msci-indices'!C:C,MATCH($L4,'msci-indices'!$B:$B)-2)</f>
        <v>809.32011899999998</v>
      </c>
      <c r="AD4" s="22" cm="1">
        <f t="array" ref="AD4">INDEX('msci-indices'!D:D,MATCH($L4,'msci-indices'!$B:$B)-2)</f>
        <v>780.24346800000001</v>
      </c>
      <c r="AE4" s="22">
        <f t="shared" ref="AE4:AE35" si="28">AI3+AA4</f>
        <v>110966.62854660435</v>
      </c>
      <c r="AF4" s="22" cm="1">
        <f t="array" ref="AF4">INDEX('msci-indices'!C:C,MATCH($L4,'msci-indices'!$B:$B)+1)</f>
        <v>802.64573099999996</v>
      </c>
      <c r="AG4" s="22" cm="1">
        <f t="array" ref="AG4">INDEX('msci-indices'!D:D,MATCH($L4,'msci-indices'!$B:$B)+1)</f>
        <v>780.02674300000001</v>
      </c>
      <c r="AH4" s="22">
        <f t="shared" si="4"/>
        <v>69.35414284162772</v>
      </c>
      <c r="AI4" s="22">
        <f t="shared" si="5"/>
        <v>110247.4355318102</v>
      </c>
      <c r="AJ4" s="22">
        <f t="shared" ref="AJ4:AJ35" si="29">AJ3+AA4</f>
        <v>103150.72821396621</v>
      </c>
      <c r="AK4" s="22">
        <f t="shared" si="6"/>
        <v>7096.7073178439896</v>
      </c>
      <c r="AL4" s="22">
        <f>AJ4*(_xlfn.XLOOKUP(Q_end,cpi!A:A,cpi!B:B)/BH4)</f>
        <v>173759.1428703249</v>
      </c>
      <c r="AM4" s="22" cm="1">
        <f t="array" ref="AM4">SUMPRODUCT($AA$3:AA4,_xlfn.SORTBY($BH$3:BH4,_xlfn.SEQUENCE(ROWS($BH$3:BH4)),-1)/$BH$3)</f>
        <v>104687.13494309773</v>
      </c>
      <c r="AN4" s="22">
        <f t="shared" ref="AN4:AN67" si="30">AI4-AM4</f>
        <v>5560.3005887124746</v>
      </c>
      <c r="AO4" s="22">
        <f t="shared" si="7"/>
        <v>0</v>
      </c>
      <c r="AP4" s="22">
        <f t="shared" ref="AP4:AP67" si="31">AI4-AO4</f>
        <v>110247.4355318102</v>
      </c>
      <c r="AQ4" s="22"/>
      <c r="AR4" s="10">
        <f>IF($B$10="3BR_H",
INDEX('ns-combined'!$C:$C,MATCH($L4,'ns-combined'!$B:$B,0),MATCH(Council_Area,'ns-combined'!$C$1:$C$1,0))*1000,
INDEX('s-combined'!$C:$C,MATCH($L4,'s-combined'!$B:$B,0),MATCH(Council_Area,'s-combined'!$C$1:$C$1,0))*1000)</f>
        <v>399500</v>
      </c>
      <c r="AS4" s="22">
        <f>AS3+$AS$3</f>
        <v>1925</v>
      </c>
      <c r="AT4" s="10">
        <v>0</v>
      </c>
      <c r="AU4" s="22">
        <f t="shared" si="8"/>
        <v>7990</v>
      </c>
      <c r="AV4" s="22">
        <f t="shared" si="9"/>
        <v>1148.5625</v>
      </c>
      <c r="AW4" s="22">
        <f>SUM($AV$3:AV4)</f>
        <v>2255.4375</v>
      </c>
      <c r="AX4" s="22">
        <f t="shared" ref="AX4:AX34" si="32">AR4-AS4-AU4-AW4</f>
        <v>387329.5625</v>
      </c>
      <c r="AY4" s="22">
        <f t="shared" si="10"/>
        <v>1732.4388174807202</v>
      </c>
      <c r="AZ4" s="24">
        <f t="shared" si="11"/>
        <v>1.7346070763261279E-2</v>
      </c>
      <c r="BA4" s="24">
        <f t="shared" si="12"/>
        <v>0.35000000000000003</v>
      </c>
      <c r="BB4" s="25">
        <f>IF(MortgageRate="Discounted",_xlfn.XLOOKUP(L4,'mortgage-rates'!$A:$A,'mortgage-rates'!$E:$E)/100,_xlfn.XLOOKUP(L4,'mortgage-rates'!$A:$A,'mortgage-rates'!$D:$D)/100)</f>
        <v>6.93E-2</v>
      </c>
      <c r="BC4" s="10">
        <f>BC3-BF3</f>
        <v>306779.21540977008</v>
      </c>
      <c r="BD4" s="10">
        <f t="shared" si="13"/>
        <v>6502.2204663229713</v>
      </c>
      <c r="BE4" s="10">
        <f t="shared" si="14"/>
        <v>5314.9499069742669</v>
      </c>
      <c r="BF4" s="10">
        <f>BD4-BE4</f>
        <v>1187.2705593487044</v>
      </c>
      <c r="BG4" s="12">
        <f t="shared" si="15"/>
        <v>8234.6592838036922</v>
      </c>
      <c r="BH4" s="22">
        <f>INDEX(cpi!B:B,MATCH($L4,cpi!A:A))</f>
        <v>85.9</v>
      </c>
      <c r="BI4" s="22">
        <f t="shared" si="16"/>
        <v>101.53664302600474</v>
      </c>
      <c r="BJ4" s="22">
        <f t="shared" si="17"/>
        <v>107.21181327548136</v>
      </c>
      <c r="BK4" s="22">
        <f t="shared" si="18"/>
        <v>109.43777704215839</v>
      </c>
      <c r="BL4" s="22">
        <f t="shared" si="19"/>
        <v>107.87960240548446</v>
      </c>
      <c r="BM4" s="22">
        <f t="shared" si="20"/>
        <v>110.98369503483303</v>
      </c>
      <c r="BN4" s="22">
        <f t="shared" si="21"/>
        <v>103.76623376623377</v>
      </c>
      <c r="BO4">
        <f t="shared" si="22"/>
        <v>103.22440032713214</v>
      </c>
    </row>
    <row r="5" spans="1:67" x14ac:dyDescent="0.25">
      <c r="A5" t="s">
        <v>495</v>
      </c>
      <c r="B5" s="4">
        <f>((_xlfn.XLOOKUP(Q_end,L:L,AX:AX)/_xlfn.XLOOKUP(Q_start,L:L,AX:AX))^(1/YEARFRAC(EOMONTH(Q_start,-3)+1,EOMONTH(Q_end,0))))-1</f>
        <v>3.7977277267540854E-2</v>
      </c>
      <c r="L5" s="1">
        <f t="shared" ref="L5:L68" si="33">DATE(YEAR(L4),MONTH(L4)+3,1)</f>
        <v>38961</v>
      </c>
      <c r="M5" s="10">
        <f t="shared" si="0"/>
        <v>117619.31038207728</v>
      </c>
      <c r="N5" s="10">
        <f t="shared" si="23"/>
        <v>92817.742649578606</v>
      </c>
      <c r="O5" s="7">
        <f t="shared" si="24"/>
        <v>1.267207185011316</v>
      </c>
      <c r="P5" s="7">
        <f t="shared" si="1"/>
        <v>0.60831279778900338</v>
      </c>
      <c r="Q5">
        <v>3</v>
      </c>
      <c r="R5">
        <f t="shared" si="2"/>
        <v>92</v>
      </c>
      <c r="S5" s="22"/>
      <c r="T5" s="22">
        <f>IF($B$10="3BR_H",
INDEX('3BR_H-processed'!$E:$E,MATCH($L5,'3BR_H-processed'!$B:$B,0),MATCH(Council_Area,'3BR_H-processed'!$E$1:$E$1,0)),
INDEX('2BR_F-processed'!$E:$E,MATCH($L5,'2BR_F-processed'!$B:$B,0),MATCH(Council_Area,'2BR_F-processed'!$E$1:$E$1,0)))</f>
        <v>388.16966580976867</v>
      </c>
      <c r="U5" s="22">
        <f t="shared" si="25"/>
        <v>380.75578406169672</v>
      </c>
      <c r="V5" s="22">
        <f t="shared" ref="V5:V67" si="34">U5*(R5)/7</f>
        <v>5004.2188762394426</v>
      </c>
      <c r="W5" s="22">
        <f>$B$53/4*BH5/_xlfn.XLOOKUP(Q_end,cpi!A:A,cpi!B:B)</f>
        <v>119.69592259847963</v>
      </c>
      <c r="X5" s="22">
        <f t="shared" si="26"/>
        <v>5123.9147988379218</v>
      </c>
      <c r="Y5" s="22">
        <f t="shared" si="3"/>
        <v>3299.2431841298794</v>
      </c>
      <c r="Z5" s="22">
        <f t="shared" si="27"/>
        <v>0</v>
      </c>
      <c r="AA5" s="22" cm="1">
        <f t="array" ref="AA5">(Y5+Z5)*eff_invest</f>
        <v>3299.2431841298794</v>
      </c>
      <c r="AB5" s="22">
        <f>AA5*(_xlfn.XLOOKUP(Q_end,cpi!A:A,cpi!B:B)/BH5)</f>
        <v>5512.7077222123971</v>
      </c>
      <c r="AC5" s="22" cm="1">
        <f t="array" ref="AC5">INDEX('msci-indices'!C:C,MATCH($L5,'msci-indices'!$B:$B)-2)</f>
        <v>802.64573099999996</v>
      </c>
      <c r="AD5" s="22" cm="1">
        <f t="array" ref="AD5">INDEX('msci-indices'!D:D,MATCH($L5,'msci-indices'!$B:$B)-2)</f>
        <v>780.02674300000001</v>
      </c>
      <c r="AE5" s="22">
        <f t="shared" si="28"/>
        <v>113546.67871594008</v>
      </c>
      <c r="AF5" s="22" cm="1">
        <f t="array" ref="AF5">INDEX('msci-indices'!C:C,MATCH($L5,'msci-indices'!$B:$B)+1)</f>
        <v>835.13401499999998</v>
      </c>
      <c r="AG5" s="22" cm="1">
        <f t="array" ref="AG5">INDEX('msci-indices'!D:D,MATCH($L5,'msci-indices'!$B:$B)+1)</f>
        <v>801.24066600000003</v>
      </c>
      <c r="AH5" s="22">
        <f t="shared" si="4"/>
        <v>70.966674197462552</v>
      </c>
      <c r="AI5" s="22">
        <f t="shared" si="5"/>
        <v>117619.31038207728</v>
      </c>
      <c r="AJ5" s="22">
        <f t="shared" si="29"/>
        <v>106449.9713980961</v>
      </c>
      <c r="AK5" s="22">
        <f t="shared" si="6"/>
        <v>11169.338983981186</v>
      </c>
      <c r="AL5" s="22">
        <f>AJ5*(_xlfn.XLOOKUP(Q_end,cpi!A:A,cpi!B:B)/BH5)</f>
        <v>177867.33096194579</v>
      </c>
      <c r="AM5" s="22" cm="1">
        <f t="array" ref="AM5">SUMPRODUCT($AA$3:AA5,_xlfn.SORTBY($BH$3:BH5,_xlfn.SEQUENCE(ROWS($BH$3:BH5)),-1)/$BH$3)</f>
        <v>108862.32580053991</v>
      </c>
      <c r="AN5" s="22">
        <f t="shared" si="30"/>
        <v>8756.9845815373701</v>
      </c>
      <c r="AO5" s="22">
        <f t="shared" si="7"/>
        <v>0</v>
      </c>
      <c r="AP5" s="22">
        <f t="shared" si="31"/>
        <v>117619.31038207728</v>
      </c>
      <c r="AQ5" s="22"/>
      <c r="AR5" s="10">
        <f>IF($B$10="3BR_H",
INDEX('ns-combined'!$C:$C,MATCH($L5,'ns-combined'!$B:$B,0),MATCH(Council_Area,'ns-combined'!$C$1:$C$1,0))*1000,
INDEX('s-combined'!$C:$C,MATCH($L5,'s-combined'!$B:$B,0),MATCH(Council_Area,'s-combined'!$C$1:$C$1,0))*1000)</f>
        <v>413000</v>
      </c>
      <c r="AS5" s="22">
        <f t="shared" ref="AS5:AS68" si="35">AS4+$AS$3</f>
        <v>2887.5</v>
      </c>
      <c r="AT5" s="10">
        <v>0</v>
      </c>
      <c r="AU5" s="22">
        <f t="shared" si="8"/>
        <v>8260</v>
      </c>
      <c r="AV5" s="22">
        <f t="shared" si="9"/>
        <v>1187.375</v>
      </c>
      <c r="AW5" s="22">
        <f>SUM($AV$3:AV5)</f>
        <v>3442.8125</v>
      </c>
      <c r="AX5" s="22">
        <f t="shared" si="32"/>
        <v>398409.6875</v>
      </c>
      <c r="AY5" s="22">
        <f t="shared" si="10"/>
        <v>1751.4766066838051</v>
      </c>
      <c r="AZ5" s="24">
        <f t="shared" si="11"/>
        <v>1.6963453817760824E-2</v>
      </c>
      <c r="BA5" s="24">
        <f t="shared" si="12"/>
        <v>0.35000000000000003</v>
      </c>
      <c r="BB5" s="25">
        <f>IF(MortgageRate="Discounted",_xlfn.XLOOKUP(L5,'mortgage-rates'!$A:$A,'mortgage-rates'!$E:$E)/100,_xlfn.XLOOKUP(L5,'mortgage-rates'!$A:$A,'mortgage-rates'!$D:$D)/100)</f>
        <v>7.22E-2</v>
      </c>
      <c r="BC5" s="10">
        <f>BC4-BF4</f>
        <v>305591.94485042139</v>
      </c>
      <c r="BD5" s="10">
        <f t="shared" si="13"/>
        <v>6671.6813762839965</v>
      </c>
      <c r="BE5" s="10">
        <f t="shared" si="14"/>
        <v>5515.9346045501061</v>
      </c>
      <c r="BF5" s="10">
        <f t="shared" ref="BF5:BF68" si="36">BD5-BE5</f>
        <v>1155.7467717338905</v>
      </c>
      <c r="BG5" s="12">
        <f t="shared" si="15"/>
        <v>8423.1579829678012</v>
      </c>
      <c r="BH5" s="22">
        <f>INDEX(cpi!B:B,MATCH($L5,cpi!A:A))</f>
        <v>86.6</v>
      </c>
      <c r="BI5" s="22">
        <f t="shared" si="16"/>
        <v>102.36406619385343</v>
      </c>
      <c r="BJ5" s="22">
        <f t="shared" si="17"/>
        <v>106.3276473895915</v>
      </c>
      <c r="BK5" s="22">
        <f t="shared" si="18"/>
        <v>109.40737896360702</v>
      </c>
      <c r="BL5" s="22">
        <f t="shared" si="19"/>
        <v>107.25156686179616</v>
      </c>
      <c r="BM5" s="22">
        <f t="shared" si="20"/>
        <v>113.56414201171732</v>
      </c>
      <c r="BN5" s="22">
        <f t="shared" si="21"/>
        <v>107.27272727272727</v>
      </c>
      <c r="BO5">
        <f t="shared" si="22"/>
        <v>106.17728430348669</v>
      </c>
    </row>
    <row r="6" spans="1:67" x14ac:dyDescent="0.25">
      <c r="A6" t="s">
        <v>462</v>
      </c>
      <c r="B6" s="4">
        <f>((_xlfn.XLOOKUP(Q_end,L:L,U:U)/_xlfn.XLOOKUP(Q_start,L:L,U:U))^(1/YEARFRAC(EOMONTH(Q_start,-3)+1,EOMONTH(Q_end,0))))-1</f>
        <v>3.0914330112016053E-2</v>
      </c>
      <c r="L6" s="1">
        <f t="shared" si="33"/>
        <v>39052</v>
      </c>
      <c r="M6" s="10">
        <f t="shared" si="0"/>
        <v>132050.72548103193</v>
      </c>
      <c r="N6" s="10">
        <f t="shared" si="23"/>
        <v>99445.189421312534</v>
      </c>
      <c r="O6" s="7">
        <f t="shared" si="24"/>
        <v>1.3278744426900508</v>
      </c>
      <c r="P6" s="7">
        <f t="shared" si="1"/>
        <v>0.59792011778343634</v>
      </c>
      <c r="Q6">
        <v>4</v>
      </c>
      <c r="R6">
        <f t="shared" si="2"/>
        <v>92</v>
      </c>
      <c r="S6" s="22"/>
      <c r="T6" s="22">
        <f>IF($B$10="3BR_H",
INDEX('3BR_H-processed'!$E:$E,MATCH($L6,'3BR_H-processed'!$B:$B,0),MATCH(Council_Area,'3BR_H-processed'!$E$1:$E$1,0)),
INDEX('2BR_F-processed'!$E:$E,MATCH($L6,'2BR_F-processed'!$B:$B,0),MATCH(Council_Area,'2BR_F-processed'!$E$1:$E$1,0)))</f>
        <v>392.40616966580973</v>
      </c>
      <c r="U6" s="22">
        <f t="shared" si="25"/>
        <v>380.75578406169672</v>
      </c>
      <c r="V6" s="22">
        <f t="shared" si="34"/>
        <v>5004.2188762394426</v>
      </c>
      <c r="W6" s="22">
        <f>$B$53/4*BH6/_xlfn.XLOOKUP(Q_end,cpi!A:A,cpi!B:B)</f>
        <v>119.83413959917071</v>
      </c>
      <c r="X6" s="22">
        <f t="shared" si="26"/>
        <v>5124.0530158386136</v>
      </c>
      <c r="Y6" s="22">
        <f t="shared" si="3"/>
        <v>3445.7422853031348</v>
      </c>
      <c r="Z6" s="22">
        <f t="shared" si="27"/>
        <v>0</v>
      </c>
      <c r="AA6" s="22" cm="1">
        <f t="array" ref="AA6">(Y6+Z6)*eff_invest</f>
        <v>3445.7422853031348</v>
      </c>
      <c r="AB6" s="22">
        <f>AA6*(_xlfn.XLOOKUP(Q_end,cpi!A:A,cpi!B:B)/BH6)</f>
        <v>5750.8524646293372</v>
      </c>
      <c r="AC6" s="22" cm="1">
        <f t="array" ref="AC6">INDEX('msci-indices'!C:C,MATCH($L6,'msci-indices'!$B:$B)-2)</f>
        <v>835.13401499999998</v>
      </c>
      <c r="AD6" s="22" cm="1">
        <f t="array" ref="AD6">INDEX('msci-indices'!D:D,MATCH($L6,'msci-indices'!$B:$B)-2)</f>
        <v>801.24066600000003</v>
      </c>
      <c r="AE6" s="22">
        <f t="shared" si="28"/>
        <v>121065.05266738041</v>
      </c>
      <c r="AF6" s="22" cm="1">
        <f t="array" ref="AF6">INDEX('msci-indices'!C:C,MATCH($L6,'msci-indices'!$B:$B)+1)</f>
        <v>906.58022200000005</v>
      </c>
      <c r="AG6" s="22" cm="1">
        <f t="array" ref="AG6">INDEX('msci-indices'!D:D,MATCH($L6,'msci-indices'!$B:$B)+1)</f>
        <v>885.32149100000004</v>
      </c>
      <c r="AH6" s="22">
        <f t="shared" si="4"/>
        <v>75.665657917112753</v>
      </c>
      <c r="AI6" s="22">
        <f t="shared" si="5"/>
        <v>132050.72548103193</v>
      </c>
      <c r="AJ6" s="22">
        <f t="shared" si="29"/>
        <v>109895.71368339923</v>
      </c>
      <c r="AK6" s="22">
        <f t="shared" si="6"/>
        <v>22155.011797632702</v>
      </c>
      <c r="AL6" s="22">
        <f>AJ6*(_xlfn.XLOOKUP(Q_end,cpi!A:A,cpi!B:B)/BH6)</f>
        <v>183413.0307957078</v>
      </c>
      <c r="AM6" s="22" cm="1">
        <f t="array" ref="AM6">SUMPRODUCT($AA$3:AA6,_xlfn.SORTBY($BH$3:BH6,_xlfn.SEQUENCE(ROWS($BH$3:BH6)),-1)/$BH$3)</f>
        <v>112503.14790112922</v>
      </c>
      <c r="AN6" s="22">
        <f t="shared" si="30"/>
        <v>19547.577579902703</v>
      </c>
      <c r="AO6" s="22">
        <f t="shared" si="7"/>
        <v>0</v>
      </c>
      <c r="AP6" s="22">
        <f t="shared" si="31"/>
        <v>132050.72548103193</v>
      </c>
      <c r="AQ6" s="22"/>
      <c r="AR6" s="10">
        <f>IF($B$10="3BR_H",
INDEX('ns-combined'!$C:$C,MATCH($L6,'ns-combined'!$B:$B,0),MATCH(Council_Area,'ns-combined'!$C$1:$C$1,0))*1000,
INDEX('s-combined'!$C:$C,MATCH($L6,'s-combined'!$B:$B,0),MATCH(Council_Area,'s-combined'!$C$1:$C$1,0))*1000)</f>
        <v>420800</v>
      </c>
      <c r="AS6" s="22">
        <f t="shared" si="35"/>
        <v>3850</v>
      </c>
      <c r="AT6" s="10">
        <v>0</v>
      </c>
      <c r="AU6" s="22">
        <f t="shared" si="8"/>
        <v>8416</v>
      </c>
      <c r="AV6" s="22">
        <f t="shared" si="9"/>
        <v>1209.8</v>
      </c>
      <c r="AW6" s="22">
        <f>SUM($AV$3:AV6)</f>
        <v>4652.6125000000002</v>
      </c>
      <c r="AX6" s="22">
        <f t="shared" si="32"/>
        <v>403881.38750000001</v>
      </c>
      <c r="AY6" s="22">
        <f t="shared" si="10"/>
        <v>1751.4766066838051</v>
      </c>
      <c r="AZ6" s="24">
        <f t="shared" si="11"/>
        <v>1.6649017173800428E-2</v>
      </c>
      <c r="BA6" s="24">
        <f t="shared" si="12"/>
        <v>0.35000000000000003</v>
      </c>
      <c r="BB6" s="25">
        <f>IF(MortgageRate="Discounted",_xlfn.XLOOKUP(L6,'mortgage-rates'!$A:$A,'mortgage-rates'!$E:$E)/100,_xlfn.XLOOKUP(L6,'mortgage-rates'!$A:$A,'mortgage-rates'!$D:$D)/100)</f>
        <v>7.4700000000000003E-2</v>
      </c>
      <c r="BC6" s="10">
        <f t="shared" ref="BC6:BC35" si="37">BC5-BF5</f>
        <v>304436.19807868748</v>
      </c>
      <c r="BD6" s="10">
        <f t="shared" si="13"/>
        <v>6818.3186944579438</v>
      </c>
      <c r="BE6" s="10">
        <f t="shared" si="14"/>
        <v>5685.3459991194886</v>
      </c>
      <c r="BF6" s="10">
        <f t="shared" si="36"/>
        <v>1132.9726953384552</v>
      </c>
      <c r="BG6" s="12">
        <f t="shared" si="15"/>
        <v>8569.7953011417485</v>
      </c>
      <c r="BH6" s="22">
        <f>INDEX(cpi!B:B,MATCH($L6,cpi!A:A))</f>
        <v>86.7</v>
      </c>
      <c r="BI6" s="22">
        <f t="shared" si="16"/>
        <v>102.48226950354611</v>
      </c>
      <c r="BJ6" s="22">
        <f t="shared" si="17"/>
        <v>110.63141762349176</v>
      </c>
      <c r="BK6" s="22">
        <f t="shared" si="18"/>
        <v>112.38286632194978</v>
      </c>
      <c r="BL6" s="22">
        <f t="shared" si="19"/>
        <v>111.15685223302917</v>
      </c>
      <c r="BM6" s="22">
        <f t="shared" si="20"/>
        <v>121.08367227692712</v>
      </c>
      <c r="BN6" s="22">
        <f t="shared" si="21"/>
        <v>109.2987012987013</v>
      </c>
      <c r="BO6">
        <f t="shared" si="22"/>
        <v>107.63550749622316</v>
      </c>
    </row>
    <row r="7" spans="1:67" x14ac:dyDescent="0.25">
      <c r="A7" t="s">
        <v>486</v>
      </c>
      <c r="B7" s="4">
        <f>((_xlfn.XLOOKUP(Q_end,L:L,BL:BL)/_xlfn.XLOOKUP(Q_start,L:L,BL:BL))^(1/YEARFRAC(EOMONTH(Q_start,-3)+1,EOMONTH(Q_end,0))))-1</f>
        <v>8.0631421747286103E-2</v>
      </c>
      <c r="L7" s="1">
        <f t="shared" si="33"/>
        <v>39142</v>
      </c>
      <c r="M7" s="10">
        <f t="shared" si="0"/>
        <v>140783.9392440689</v>
      </c>
      <c r="N7" s="10">
        <f t="shared" si="23"/>
        <v>107395.41211665102</v>
      </c>
      <c r="O7" s="7">
        <f t="shared" si="24"/>
        <v>1.3108934215099604</v>
      </c>
      <c r="P7" s="7">
        <f t="shared" si="1"/>
        <v>0.60980757060089485</v>
      </c>
      <c r="Q7">
        <v>5</v>
      </c>
      <c r="R7">
        <f t="shared" si="2"/>
        <v>90</v>
      </c>
      <c r="S7" s="22"/>
      <c r="T7" s="22">
        <f>IF($B$10="3BR_H",
INDEX('3BR_H-processed'!$E:$E,MATCH($L7,'3BR_H-processed'!$B:$B,0),MATCH(Council_Area,'3BR_H-processed'!$E$1:$E$1,0)),
INDEX('2BR_F-processed'!$E:$E,MATCH($L7,'2BR_F-processed'!$B:$B,0),MATCH(Council_Area,'2BR_F-processed'!$E$1:$E$1,0)))</f>
        <v>399.29048843187667</v>
      </c>
      <c r="U7" s="22">
        <f>IF(MOD(Q7,4)=1,T7,U6)</f>
        <v>399.29048843187667</v>
      </c>
      <c r="V7" s="22">
        <f t="shared" si="34"/>
        <v>5133.734851266986</v>
      </c>
      <c r="W7" s="22">
        <f>$B$53/4*BH7/_xlfn.XLOOKUP(Q_end,cpi!A:A,cpi!B:B)</f>
        <v>119.83413959917071</v>
      </c>
      <c r="X7" s="22">
        <f t="shared" si="26"/>
        <v>5253.568990866157</v>
      </c>
      <c r="Y7" s="22">
        <f t="shared" si="3"/>
        <v>3361.5569015352321</v>
      </c>
      <c r="Z7" s="22">
        <f t="shared" si="27"/>
        <v>0</v>
      </c>
      <c r="AA7" s="22" cm="1">
        <f t="array" ref="AA7">(Y7+Z7)*eff_invest</f>
        <v>3361.5569015352321</v>
      </c>
      <c r="AB7" s="22">
        <f>AA7*(_xlfn.XLOOKUP(Q_end,cpi!A:A,cpi!B:B)/BH7)</f>
        <v>5610.3492924123184</v>
      </c>
      <c r="AC7" s="22" cm="1">
        <f t="array" ref="AC7">INDEX('msci-indices'!C:C,MATCH($L7,'msci-indices'!$B:$B)-2)</f>
        <v>906.58022200000005</v>
      </c>
      <c r="AD7" s="22" cm="1">
        <f t="array" ref="AD7">INDEX('msci-indices'!D:D,MATCH($L7,'msci-indices'!$B:$B)-2)</f>
        <v>885.32149100000004</v>
      </c>
      <c r="AE7" s="22">
        <f t="shared" si="28"/>
        <v>135412.28238256715</v>
      </c>
      <c r="AF7" s="22" cm="1">
        <f t="array" ref="AF7">INDEX('msci-indices'!C:C,MATCH($L7,'msci-indices'!$B:$B)+1)</f>
        <v>932.09759399999996</v>
      </c>
      <c r="AG7" s="22" cm="1">
        <f t="array" ref="AG7">INDEX('msci-indices'!D:D,MATCH($L7,'msci-indices'!$B:$B)+1)</f>
        <v>946.08734200000004</v>
      </c>
      <c r="AH7" s="22">
        <f t="shared" si="4"/>
        <v>84.632676489104469</v>
      </c>
      <c r="AI7" s="22">
        <f t="shared" si="5"/>
        <v>140783.9392440689</v>
      </c>
      <c r="AJ7" s="22">
        <f t="shared" si="29"/>
        <v>113257.27058493446</v>
      </c>
      <c r="AK7" s="22">
        <f t="shared" si="6"/>
        <v>27526.668659134433</v>
      </c>
      <c r="AL7" s="22">
        <f>AJ7*(_xlfn.XLOOKUP(Q_end,cpi!A:A,cpi!B:B)/BH7)</f>
        <v>189023.38008812012</v>
      </c>
      <c r="AM7" s="22" cm="1">
        <f t="array" ref="AM7">SUMPRODUCT($AA$3:AA7,_xlfn.SORTBY($BH$3:BH7,_xlfn.SEQUENCE(ROWS($BH$3:BH7)),-1)/$BH$3)</f>
        <v>115948.69470536571</v>
      </c>
      <c r="AN7" s="22">
        <f t="shared" si="30"/>
        <v>24835.244538703191</v>
      </c>
      <c r="AO7" s="22">
        <f t="shared" si="7"/>
        <v>0</v>
      </c>
      <c r="AP7" s="22">
        <f t="shared" si="31"/>
        <v>140783.9392440689</v>
      </c>
      <c r="AQ7" s="22"/>
      <c r="AR7" s="10">
        <f>IF($B$10="3BR_H",
INDEX('ns-combined'!$C:$C,MATCH($L7,'ns-combined'!$B:$B,0),MATCH(Council_Area,'ns-combined'!$C$1:$C$1,0))*1000,
INDEX('s-combined'!$C:$C,MATCH($L7,'s-combined'!$B:$B,0),MATCH(Council_Area,'s-combined'!$C$1:$C$1,0))*1000)</f>
        <v>430000</v>
      </c>
      <c r="AS7" s="22">
        <f t="shared" si="35"/>
        <v>4812.5</v>
      </c>
      <c r="AT7" s="10">
        <v>0</v>
      </c>
      <c r="AU7" s="22">
        <f t="shared" si="8"/>
        <v>8600</v>
      </c>
      <c r="AV7" s="22">
        <f t="shared" si="9"/>
        <v>1236.25</v>
      </c>
      <c r="AW7" s="22">
        <f>SUM($AV$3:AV7)</f>
        <v>5888.8625000000002</v>
      </c>
      <c r="AX7" s="22">
        <f t="shared" si="32"/>
        <v>410698.63750000001</v>
      </c>
      <c r="AY7" s="22">
        <f t="shared" si="10"/>
        <v>1796.8071979434453</v>
      </c>
      <c r="AZ7" s="24">
        <f t="shared" si="11"/>
        <v>1.6714485562264608E-2</v>
      </c>
      <c r="BA7" s="24">
        <f t="shared" si="12"/>
        <v>0.35000000000000003</v>
      </c>
      <c r="BB7" s="25">
        <f>IF(MortgageRate="Discounted",_xlfn.XLOOKUP(L7,'mortgage-rates'!$A:$A,'mortgage-rates'!$E:$E)/100,_xlfn.XLOOKUP(L7,'mortgage-rates'!$A:$A,'mortgage-rates'!$D:$D)/100)</f>
        <v>7.4700000000000003E-2</v>
      </c>
      <c r="BC7" s="10">
        <f t="shared" si="37"/>
        <v>303303.225383349</v>
      </c>
      <c r="BD7" s="10">
        <f t="shared" si="13"/>
        <v>6818.3186944579438</v>
      </c>
      <c r="BE7" s="10">
        <f t="shared" si="14"/>
        <v>5664.1877340340425</v>
      </c>
      <c r="BF7" s="10">
        <f t="shared" si="36"/>
        <v>1154.1309604239013</v>
      </c>
      <c r="BG7" s="12">
        <f t="shared" si="15"/>
        <v>8615.1258924013891</v>
      </c>
      <c r="BH7" s="22">
        <f>INDEX(cpi!B:B,MATCH($L7,cpi!A:A))</f>
        <v>86.7</v>
      </c>
      <c r="BI7" s="22">
        <f t="shared" si="16"/>
        <v>102.48226950354611</v>
      </c>
      <c r="BJ7" s="22">
        <f t="shared" si="17"/>
        <v>120.09600057935597</v>
      </c>
      <c r="BK7" s="22">
        <f t="shared" si="18"/>
        <v>124.17613208738743</v>
      </c>
      <c r="BL7" s="22">
        <f t="shared" si="19"/>
        <v>121.32004003176542</v>
      </c>
      <c r="BM7" s="22">
        <f t="shared" si="20"/>
        <v>135.43310857286932</v>
      </c>
      <c r="BN7" s="22">
        <f t="shared" si="21"/>
        <v>111.68831168831169</v>
      </c>
      <c r="BO7">
        <f t="shared" si="22"/>
        <v>109.45232348772171</v>
      </c>
    </row>
    <row r="8" spans="1:67" x14ac:dyDescent="0.25">
      <c r="A8" t="s">
        <v>487</v>
      </c>
      <c r="B8" s="4">
        <f>((_xlfn.XLOOKUP(Q_end,L:L,BI:BI)/_xlfn.XLOOKUP(Q_start,L:L,BI:BI))^(1/YEARFRAC(EOMONTH(Q_start,-3)+1,EOMONTH(Q_end,0))))-1</f>
        <v>2.7199757989349482E-2</v>
      </c>
      <c r="L8" s="1">
        <f t="shared" si="33"/>
        <v>39234</v>
      </c>
      <c r="M8" s="10">
        <f t="shared" si="0"/>
        <v>152976.48520752898</v>
      </c>
      <c r="N8" s="10">
        <f t="shared" si="23"/>
        <v>121007.66807707492</v>
      </c>
      <c r="O8" s="7">
        <f t="shared" si="24"/>
        <v>1.2641883579649826</v>
      </c>
      <c r="P8" s="7">
        <f t="shared" si="1"/>
        <v>0.61516352496687143</v>
      </c>
      <c r="Q8">
        <v>6</v>
      </c>
      <c r="R8">
        <f t="shared" si="2"/>
        <v>91</v>
      </c>
      <c r="S8" s="22"/>
      <c r="T8" s="22">
        <f>IF($B$10="3BR_H",
INDEX('3BR_H-processed'!$E:$E,MATCH($L8,'3BR_H-processed'!$B:$B,0),MATCH(Council_Area,'3BR_H-processed'!$E$1:$E$1,0)),
INDEX('2BR_F-processed'!$E:$E,MATCH($L8,'2BR_F-processed'!$B:$B,0),MATCH(Council_Area,'2BR_F-processed'!$E$1:$E$1,0)))</f>
        <v>407.23393316195381</v>
      </c>
      <c r="U8" s="22">
        <f t="shared" si="25"/>
        <v>399.29048843187667</v>
      </c>
      <c r="V8" s="22">
        <f t="shared" si="34"/>
        <v>5190.7763496143962</v>
      </c>
      <c r="W8" s="22">
        <f>$B$53/4*BH8/_xlfn.XLOOKUP(Q_end,cpi!A:A,cpi!B:B)</f>
        <v>121.21630960608155</v>
      </c>
      <c r="X8" s="22">
        <f t="shared" si="26"/>
        <v>5311.9926592204774</v>
      </c>
      <c r="Y8" s="22">
        <f t="shared" si="3"/>
        <v>3323.0977576025052</v>
      </c>
      <c r="Z8" s="22">
        <f t="shared" si="27"/>
        <v>0</v>
      </c>
      <c r="AA8" s="22" cm="1">
        <f t="array" ref="AA8">(Y8+Z8)*eff_invest</f>
        <v>3323.0977576025052</v>
      </c>
      <c r="AB8" s="22">
        <f>AA8*(_xlfn.XLOOKUP(Q_end,cpi!A:A,cpi!B:B)/BH8)</f>
        <v>5482.9218417911343</v>
      </c>
      <c r="AC8" s="22" cm="1">
        <f t="array" ref="AC8">INDEX('msci-indices'!C:C,MATCH($L8,'msci-indices'!$B:$B)-2)</f>
        <v>932.09759399999996</v>
      </c>
      <c r="AD8" s="22" cm="1">
        <f t="array" ref="AD8">INDEX('msci-indices'!D:D,MATCH($L8,'msci-indices'!$B:$B)-2)</f>
        <v>946.08734200000004</v>
      </c>
      <c r="AE8" s="22">
        <f t="shared" si="28"/>
        <v>144107.03700167142</v>
      </c>
      <c r="AF8" s="22" cm="1">
        <f t="array" ref="AF8">INDEX('msci-indices'!C:C,MATCH($L8,'msci-indices'!$B:$B)+1)</f>
        <v>991.70582300000001</v>
      </c>
      <c r="AG8" s="22" cm="1">
        <f t="array" ref="AG8">INDEX('msci-indices'!D:D,MATCH($L8,'msci-indices'!$B:$B)+1)</f>
        <v>1000.983113</v>
      </c>
      <c r="AH8" s="22">
        <f t="shared" si="4"/>
        <v>90.066898126044634</v>
      </c>
      <c r="AI8" s="22">
        <f t="shared" si="5"/>
        <v>152976.48520752898</v>
      </c>
      <c r="AJ8" s="22">
        <f t="shared" si="29"/>
        <v>116580.36834253697</v>
      </c>
      <c r="AK8" s="22">
        <f t="shared" si="6"/>
        <v>36396.116864992015</v>
      </c>
      <c r="AL8" s="22">
        <f>AJ8*(_xlfn.XLOOKUP(Q_end,cpi!A:A,cpi!B:B)/BH8)</f>
        <v>192350.96122195094</v>
      </c>
      <c r="AM8" s="22" cm="1">
        <f t="array" ref="AM8">SUMPRODUCT($AA$3:AA8,_xlfn.SORTBY($BH$3:BH8,_xlfn.SEQUENCE(ROWS($BH$3:BH8)),-1)/$BH$3)</f>
        <v>120537.7096073734</v>
      </c>
      <c r="AN8" s="22">
        <f t="shared" si="30"/>
        <v>32438.775600155583</v>
      </c>
      <c r="AO8" s="22">
        <f t="shared" si="7"/>
        <v>0</v>
      </c>
      <c r="AP8" s="22">
        <f t="shared" si="31"/>
        <v>152976.48520752898</v>
      </c>
      <c r="AQ8" s="22"/>
      <c r="AR8" s="10">
        <f>IF($B$10="3BR_H",
INDEX('ns-combined'!$C:$C,MATCH($L8,'ns-combined'!$B:$B,0),MATCH(Council_Area,'ns-combined'!$C$1:$C$1,0))*1000,
INDEX('s-combined'!$C:$C,MATCH($L8,'s-combined'!$B:$B,0),MATCH(Council_Area,'s-combined'!$C$1:$C$1,0))*1000)</f>
        <v>445000</v>
      </c>
      <c r="AS8" s="22">
        <f t="shared" si="35"/>
        <v>5775</v>
      </c>
      <c r="AT8" s="10">
        <v>0</v>
      </c>
      <c r="AU8" s="22">
        <f t="shared" si="8"/>
        <v>8900</v>
      </c>
      <c r="AV8" s="22">
        <f t="shared" si="9"/>
        <v>1279.375</v>
      </c>
      <c r="AW8" s="22">
        <f>SUM($AV$3:AV8)</f>
        <v>7168.2375000000002</v>
      </c>
      <c r="AX8" s="22">
        <f t="shared" si="32"/>
        <v>423156.76250000001</v>
      </c>
      <c r="AY8" s="22">
        <f t="shared" si="10"/>
        <v>1816.7717223650388</v>
      </c>
      <c r="AZ8" s="24">
        <f t="shared" si="11"/>
        <v>1.6330532335865518E-2</v>
      </c>
      <c r="BA8" s="24">
        <f t="shared" si="12"/>
        <v>0.35000000000000003</v>
      </c>
      <c r="BB8" s="25">
        <f>IF(MortgageRate="Discounted",_xlfn.XLOOKUP(L8,'mortgage-rates'!$A:$A,'mortgage-rates'!$E:$E)/100,_xlfn.XLOOKUP(L8,'mortgage-rates'!$A:$A,'mortgage-rates'!$D:$D)/100)</f>
        <v>7.4700000000000003E-2</v>
      </c>
      <c r="BC8" s="10">
        <f t="shared" si="37"/>
        <v>302149.09442292509</v>
      </c>
      <c r="BD8" s="10">
        <f t="shared" si="13"/>
        <v>6818.3186944579429</v>
      </c>
      <c r="BE8" s="10">
        <f t="shared" si="14"/>
        <v>5642.6343383481262</v>
      </c>
      <c r="BF8" s="10">
        <f t="shared" si="36"/>
        <v>1175.6843561098167</v>
      </c>
      <c r="BG8" s="12">
        <f t="shared" si="15"/>
        <v>8635.0904168229827</v>
      </c>
      <c r="BH8" s="22">
        <f>INDEX(cpi!B:B,MATCH($L8,cpi!A:A))</f>
        <v>87.7</v>
      </c>
      <c r="BI8" s="22">
        <f t="shared" si="16"/>
        <v>103.66430260047282</v>
      </c>
      <c r="BJ8" s="22">
        <f t="shared" si="17"/>
        <v>123.47632396180853</v>
      </c>
      <c r="BK8" s="22">
        <f t="shared" si="18"/>
        <v>132.69921485097811</v>
      </c>
      <c r="BL8" s="22">
        <f t="shared" si="19"/>
        <v>126.2431912285594</v>
      </c>
      <c r="BM8" s="22">
        <f t="shared" si="20"/>
        <v>144.12920043118959</v>
      </c>
      <c r="BN8" s="22">
        <f t="shared" si="21"/>
        <v>115.58441558441558</v>
      </c>
      <c r="BO8">
        <f t="shared" si="22"/>
        <v>112.77244827764258</v>
      </c>
    </row>
    <row r="9" spans="1:67" x14ac:dyDescent="0.25">
      <c r="L9" s="1">
        <f t="shared" si="33"/>
        <v>39326</v>
      </c>
      <c r="M9" s="10">
        <f t="shared" si="0"/>
        <v>161130.96506359454</v>
      </c>
      <c r="N9" s="10">
        <f t="shared" si="23"/>
        <v>134598.35243318474</v>
      </c>
      <c r="O9" s="7">
        <f t="shared" si="24"/>
        <v>1.1971243492269397</v>
      </c>
      <c r="P9" s="7">
        <f t="shared" si="1"/>
        <v>0.61018780641055237</v>
      </c>
      <c r="Q9">
        <v>7</v>
      </c>
      <c r="R9">
        <f t="shared" si="2"/>
        <v>92</v>
      </c>
      <c r="S9" s="22"/>
      <c r="T9" s="22">
        <f>IF($B$10="3BR_H",
INDEX('3BR_H-processed'!$E:$E,MATCH($L9,'3BR_H-processed'!$B:$B,0),MATCH(Council_Area,'3BR_H-processed'!$E$1:$E$1,0)),
INDEX('2BR_F-processed'!$E:$E,MATCH($L9,'2BR_F-processed'!$B:$B,0),MATCH(Council_Area,'2BR_F-processed'!$E$1:$E$1,0)))</f>
        <v>412</v>
      </c>
      <c r="U9" s="22">
        <f t="shared" si="25"/>
        <v>399.29048843187667</v>
      </c>
      <c r="V9" s="22">
        <f t="shared" si="34"/>
        <v>5247.8178479618073</v>
      </c>
      <c r="W9" s="22">
        <f>$B$53/4*BH9/_xlfn.XLOOKUP(Q_end,cpi!A:A,cpi!B:B)</f>
        <v>121.90739460953698</v>
      </c>
      <c r="X9" s="22">
        <f t="shared" si="26"/>
        <v>5369.7252425713441</v>
      </c>
      <c r="Y9" s="22">
        <f t="shared" si="3"/>
        <v>3430.3936489530706</v>
      </c>
      <c r="Z9" s="22">
        <f t="shared" si="27"/>
        <v>0</v>
      </c>
      <c r="AA9" s="22" cm="1">
        <f t="array" ref="AA9">(Y9+Z9)*eff_invest</f>
        <v>3430.3936489530706</v>
      </c>
      <c r="AB9" s="22">
        <f>AA9*(_xlfn.XLOOKUP(Q_end,cpi!A:A,cpi!B:B)/BH9)</f>
        <v>5627.86803858854</v>
      </c>
      <c r="AC9" s="22" cm="1">
        <f t="array" ref="AC9">INDEX('msci-indices'!C:C,MATCH($L9,'msci-indices'!$B:$B)-2)</f>
        <v>991.70582300000001</v>
      </c>
      <c r="AD9" s="22" cm="1">
        <f t="array" ref="AD9">INDEX('msci-indices'!D:D,MATCH($L9,'msci-indices'!$B:$B)-2)</f>
        <v>1000.983113</v>
      </c>
      <c r="AE9" s="22">
        <f t="shared" si="28"/>
        <v>156406.87885648204</v>
      </c>
      <c r="AF9" s="22" cm="1">
        <f t="array" ref="AF9">INDEX('msci-indices'!C:C,MATCH($L9,'msci-indices'!$B:$B)+1)</f>
        <v>1009.870131</v>
      </c>
      <c r="AG9" s="22" cm="1">
        <f t="array" ref="AG9">INDEX('msci-indices'!D:D,MATCH($L9,'msci-indices'!$B:$B)+1)</f>
        <v>1061.067018</v>
      </c>
      <c r="AH9" s="22">
        <f t="shared" si="4"/>
        <v>97.754299285301272</v>
      </c>
      <c r="AI9" s="22">
        <f t="shared" si="5"/>
        <v>161130.96506359454</v>
      </c>
      <c r="AJ9" s="22">
        <f t="shared" si="29"/>
        <v>120010.76199149004</v>
      </c>
      <c r="AK9" s="22">
        <f t="shared" si="6"/>
        <v>41120.203072104501</v>
      </c>
      <c r="AL9" s="22">
        <f>AJ9*(_xlfn.XLOOKUP(Q_end,cpi!A:A,cpi!B:B)/BH9)</f>
        <v>196888.40431030167</v>
      </c>
      <c r="AM9" s="22" cm="1">
        <f t="array" ref="AM9">SUMPRODUCT($AA$3:AA9,_xlfn.SORTBY($BH$3:BH9,_xlfn.SEQUENCE(ROWS($BH$3:BH9)),-1)/$BH$3)</f>
        <v>124679.40477045385</v>
      </c>
      <c r="AN9" s="22">
        <f t="shared" si="30"/>
        <v>36451.56029314069</v>
      </c>
      <c r="AO9" s="22">
        <f t="shared" si="7"/>
        <v>0</v>
      </c>
      <c r="AP9" s="22">
        <f t="shared" si="31"/>
        <v>161130.96506359454</v>
      </c>
      <c r="AQ9" s="22"/>
      <c r="AR9" s="10">
        <f>IF($B$10="3BR_H",
INDEX('ns-combined'!$C:$C,MATCH($L9,'ns-combined'!$B:$B,0),MATCH(Council_Area,'ns-combined'!$C$1:$C$1,0))*1000,
INDEX('s-combined'!$C:$C,MATCH($L9,'s-combined'!$B:$B,0),MATCH(Council_Area,'s-combined'!$C$1:$C$1,0))*1000)</f>
        <v>460000</v>
      </c>
      <c r="AS9" s="22">
        <f t="shared" si="35"/>
        <v>6737.5</v>
      </c>
      <c r="AT9" s="10">
        <v>0</v>
      </c>
      <c r="AU9" s="22">
        <f t="shared" si="8"/>
        <v>9200</v>
      </c>
      <c r="AV9" s="22">
        <f t="shared" si="9"/>
        <v>1322.5</v>
      </c>
      <c r="AW9" s="22">
        <f>SUM($AV$3:AV9)</f>
        <v>8490.7374999999993</v>
      </c>
      <c r="AX9" s="22">
        <f t="shared" si="32"/>
        <v>435571.76250000001</v>
      </c>
      <c r="AY9" s="22">
        <f t="shared" si="10"/>
        <v>1836.7362467866328</v>
      </c>
      <c r="AZ9" s="24">
        <f t="shared" si="11"/>
        <v>1.5971619537275068E-2</v>
      </c>
      <c r="BA9" s="24">
        <f t="shared" si="12"/>
        <v>0.35000000000000003</v>
      </c>
      <c r="BB9" s="25">
        <f>IF(MortgageRate="Discounted",_xlfn.XLOOKUP(L9,'mortgage-rates'!$A:$A,'mortgage-rates'!$E:$E)/100,_xlfn.XLOOKUP(L9,'mortgage-rates'!$A:$A,'mortgage-rates'!$D:$D)/100)</f>
        <v>7.7199999999999991E-2</v>
      </c>
      <c r="BC9" s="10">
        <f t="shared" si="37"/>
        <v>300973.41006681527</v>
      </c>
      <c r="BD9" s="10">
        <f t="shared" si="13"/>
        <v>6963.3826447377814</v>
      </c>
      <c r="BE9" s="10">
        <f t="shared" si="14"/>
        <v>5808.786814289534</v>
      </c>
      <c r="BF9" s="10">
        <f t="shared" si="36"/>
        <v>1154.5958304482474</v>
      </c>
      <c r="BG9" s="12">
        <f t="shared" si="15"/>
        <v>8800.1188915244147</v>
      </c>
      <c r="BH9" s="22">
        <f>INDEX(cpi!B:B,MATCH($L9,cpi!A:A))</f>
        <v>88.2</v>
      </c>
      <c r="BI9" s="22">
        <f t="shared" si="16"/>
        <v>104.25531914893618</v>
      </c>
      <c r="BJ9" s="22">
        <f t="shared" si="17"/>
        <v>131.37271275432553</v>
      </c>
      <c r="BK9" s="22">
        <f t="shared" si="18"/>
        <v>140.39895396273877</v>
      </c>
      <c r="BL9" s="22">
        <f t="shared" si="19"/>
        <v>134.08058511684951</v>
      </c>
      <c r="BM9" s="22">
        <f t="shared" si="20"/>
        <v>156.43093398180983</v>
      </c>
      <c r="BN9" s="22">
        <f t="shared" si="21"/>
        <v>119.48051948051948</v>
      </c>
      <c r="BO9">
        <f t="shared" si="22"/>
        <v>116.08108013571653</v>
      </c>
    </row>
    <row r="10" spans="1:67" x14ac:dyDescent="0.25">
      <c r="A10" t="s">
        <v>327</v>
      </c>
      <c r="B10" t="s">
        <v>464</v>
      </c>
      <c r="C10" t="s">
        <v>464</v>
      </c>
      <c r="L10" s="1">
        <f t="shared" si="33"/>
        <v>39417</v>
      </c>
      <c r="M10" s="10">
        <f t="shared" si="0"/>
        <v>160150.97262646889</v>
      </c>
      <c r="N10" s="10">
        <f t="shared" si="23"/>
        <v>141284.94826363301</v>
      </c>
      <c r="O10" s="7">
        <f t="shared" si="24"/>
        <v>1.1335317356498056</v>
      </c>
      <c r="P10" s="7">
        <f t="shared" si="1"/>
        <v>0.60044098566830395</v>
      </c>
      <c r="Q10">
        <v>8</v>
      </c>
      <c r="R10">
        <f t="shared" si="2"/>
        <v>92</v>
      </c>
      <c r="S10" s="22"/>
      <c r="T10" s="22">
        <f>IF($B$10="3BR_H",
INDEX('3BR_H-processed'!$E:$E,MATCH($L10,'3BR_H-processed'!$B:$B,0),MATCH(Council_Area,'3BR_H-processed'!$E$1:$E$1,0)),
INDEX('2BR_F-processed'!$E:$E,MATCH($L10,'2BR_F-processed'!$B:$B,0),MATCH(Council_Area,'2BR_F-processed'!$E$1:$E$1,0)))</f>
        <v>412</v>
      </c>
      <c r="U10" s="22">
        <f t="shared" si="25"/>
        <v>399.29048843187667</v>
      </c>
      <c r="V10" s="22">
        <f t="shared" si="34"/>
        <v>5247.8178479618073</v>
      </c>
      <c r="W10" s="22">
        <f>$B$53/4*BH10/_xlfn.XLOOKUP(Q_end,cpi!A:A,cpi!B:B)</f>
        <v>123.42778161713892</v>
      </c>
      <c r="X10" s="22">
        <f t="shared" si="26"/>
        <v>5371.2456295789461</v>
      </c>
      <c r="Y10" s="22">
        <f t="shared" si="3"/>
        <v>3574.2556899231395</v>
      </c>
      <c r="Z10" s="22">
        <f t="shared" si="27"/>
        <v>0</v>
      </c>
      <c r="AA10" s="22" cm="1">
        <f t="array" ref="AA10">(Y10+Z10)*eff_invest</f>
        <v>3574.2556899231395</v>
      </c>
      <c r="AB10" s="22">
        <f>AA10*(_xlfn.XLOOKUP(Q_end,cpi!A:A,cpi!B:B)/BH10)</f>
        <v>5791.6550765047959</v>
      </c>
      <c r="AC10" s="22" cm="1">
        <f t="array" ref="AC10">INDEX('msci-indices'!C:C,MATCH($L10,'msci-indices'!$B:$B)-2)</f>
        <v>1009.870131</v>
      </c>
      <c r="AD10" s="22" cm="1">
        <f t="array" ref="AD10">INDEX('msci-indices'!D:D,MATCH($L10,'msci-indices'!$B:$B)-2)</f>
        <v>1061.067018</v>
      </c>
      <c r="AE10" s="22">
        <f t="shared" si="28"/>
        <v>164705.22075351767</v>
      </c>
      <c r="AF10" s="22" cm="1">
        <f t="array" ref="AF10">INDEX('msci-indices'!C:C,MATCH($L10,'msci-indices'!$B:$B)+1)</f>
        <v>983.50383399999998</v>
      </c>
      <c r="AG10" s="22" cm="1">
        <f t="array" ref="AG10">INDEX('msci-indices'!D:D,MATCH($L10,'msci-indices'!$B:$B)+1)</f>
        <v>1030.119647</v>
      </c>
      <c r="AH10" s="22">
        <f t="shared" si="4"/>
        <v>102.94076297094854</v>
      </c>
      <c r="AI10" s="22">
        <f t="shared" si="5"/>
        <v>160150.97262646889</v>
      </c>
      <c r="AJ10" s="22">
        <f t="shared" si="29"/>
        <v>123585.01768141318</v>
      </c>
      <c r="AK10" s="22">
        <f t="shared" si="6"/>
        <v>36565.95494505571</v>
      </c>
      <c r="AL10" s="22">
        <f>AJ10*(_xlfn.XLOOKUP(Q_end,cpi!A:A,cpi!B:B)/BH10)</f>
        <v>200254.78229003906</v>
      </c>
      <c r="AM10" s="22" cm="1">
        <f t="array" ref="AM10">SUMPRODUCT($AA$3:AA10,_xlfn.SORTBY($BH$3:BH10,_xlfn.SEQUENCE(ROWS($BH$3:BH10)),-1)/$BH$3)</f>
        <v>129695.58973544983</v>
      </c>
      <c r="AN10" s="22">
        <f t="shared" si="30"/>
        <v>30455.382891019064</v>
      </c>
      <c r="AO10" s="22">
        <f t="shared" si="7"/>
        <v>0</v>
      </c>
      <c r="AP10" s="22">
        <f t="shared" si="31"/>
        <v>160150.97262646889</v>
      </c>
      <c r="AQ10" s="22"/>
      <c r="AR10" s="10">
        <f>IF($B$10="3BR_H",
INDEX('ns-combined'!$C:$C,MATCH($L10,'ns-combined'!$B:$B,0),MATCH(Council_Area,'ns-combined'!$C$1:$C$1,0))*1000,
INDEX('s-combined'!$C:$C,MATCH($L10,'s-combined'!$B:$B,0),MATCH(Council_Area,'s-combined'!$C$1:$C$1,0))*1000)</f>
        <v>468000</v>
      </c>
      <c r="AS10" s="22">
        <f t="shared" si="35"/>
        <v>7700</v>
      </c>
      <c r="AT10" s="10">
        <v>0</v>
      </c>
      <c r="AU10" s="22">
        <f t="shared" si="8"/>
        <v>9360</v>
      </c>
      <c r="AV10" s="22">
        <f t="shared" si="9"/>
        <v>1345.5</v>
      </c>
      <c r="AW10" s="22">
        <f>SUM($AV$3:AV10)</f>
        <v>9836.2374999999993</v>
      </c>
      <c r="AX10" s="22">
        <f t="shared" si="32"/>
        <v>441103.76250000001</v>
      </c>
      <c r="AY10" s="22">
        <f t="shared" si="10"/>
        <v>1836.7362467866328</v>
      </c>
      <c r="AZ10" s="24">
        <f t="shared" si="11"/>
        <v>1.569860039988575E-2</v>
      </c>
      <c r="BA10" s="24">
        <f t="shared" si="12"/>
        <v>0.35000000000000003</v>
      </c>
      <c r="BB10" s="25">
        <f>IF(MortgageRate="Discounted",_xlfn.XLOOKUP(L10,'mortgage-rates'!$A:$A,'mortgage-rates'!$E:$E)/100,_xlfn.XLOOKUP(L10,'mortgage-rates'!$A:$A,'mortgage-rates'!$D:$D)/100)</f>
        <v>7.9699999999999993E-2</v>
      </c>
      <c r="BC10" s="10">
        <f t="shared" si="37"/>
        <v>299818.814236367</v>
      </c>
      <c r="BD10" s="10">
        <f t="shared" si="13"/>
        <v>7108.7650727154532</v>
      </c>
      <c r="BE10" s="10">
        <f t="shared" si="14"/>
        <v>5973.889873659612</v>
      </c>
      <c r="BF10" s="10">
        <f t="shared" si="36"/>
        <v>1134.8751990558412</v>
      </c>
      <c r="BG10" s="12">
        <f t="shared" si="15"/>
        <v>8945.5013195020856</v>
      </c>
      <c r="BH10" s="22">
        <f>INDEX(cpi!B:B,MATCH($L10,cpi!A:A))</f>
        <v>89.3</v>
      </c>
      <c r="BI10" s="22">
        <f t="shared" si="16"/>
        <v>105.55555555555556</v>
      </c>
      <c r="BJ10" s="22">
        <f t="shared" si="17"/>
        <v>133.77896505407139</v>
      </c>
      <c r="BK10" s="22">
        <f t="shared" si="18"/>
        <v>148.82638625649071</v>
      </c>
      <c r="BL10" s="22">
        <f t="shared" si="19"/>
        <v>138.29319141479718</v>
      </c>
      <c r="BM10" s="22">
        <f t="shared" si="20"/>
        <v>164.7305521504251</v>
      </c>
      <c r="BN10" s="22">
        <f t="shared" si="21"/>
        <v>121.55844155844156</v>
      </c>
      <c r="BO10">
        <f t="shared" si="22"/>
        <v>117.55537344533113</v>
      </c>
    </row>
    <row r="11" spans="1:67" x14ac:dyDescent="0.25">
      <c r="A11" t="s">
        <v>7</v>
      </c>
      <c r="B11" s="1">
        <v>38777</v>
      </c>
      <c r="C11" s="1">
        <v>38777</v>
      </c>
      <c r="L11" s="1">
        <f t="shared" si="33"/>
        <v>39508</v>
      </c>
      <c r="M11" s="10">
        <f t="shared" si="0"/>
        <v>146528.07231515829</v>
      </c>
      <c r="N11" s="10">
        <f t="shared" si="23"/>
        <v>142066.07346268883</v>
      </c>
      <c r="O11" s="7">
        <f t="shared" si="24"/>
        <v>1.0314079128374118</v>
      </c>
      <c r="P11" s="7">
        <f t="shared" si="1"/>
        <v>0.5823270263860485</v>
      </c>
      <c r="Q11">
        <v>9</v>
      </c>
      <c r="R11">
        <f t="shared" si="2"/>
        <v>91</v>
      </c>
      <c r="S11" s="22"/>
      <c r="T11" s="22">
        <f>IF($B$10="3BR_H",
INDEX('3BR_H-processed'!$E:$E,MATCH($L11,'3BR_H-processed'!$B:$B,0),MATCH(Council_Area,'3BR_H-processed'!$E$1:$E$1,0)),
INDEX('2BR_F-processed'!$E:$E,MATCH($L11,'2BR_F-processed'!$B:$B,0),MATCH(Council_Area,'2BR_F-processed'!$E$1:$E$1,0)))</f>
        <v>412</v>
      </c>
      <c r="U11" s="22">
        <f t="shared" si="25"/>
        <v>412</v>
      </c>
      <c r="V11" s="22">
        <f t="shared" si="34"/>
        <v>5356</v>
      </c>
      <c r="W11" s="22">
        <f>$B$53/4*BH11/_xlfn.XLOOKUP(Q_end,cpi!A:A,cpi!B:B)</f>
        <v>124.94816862474086</v>
      </c>
      <c r="X11" s="22">
        <f t="shared" si="26"/>
        <v>5480.9481686247409</v>
      </c>
      <c r="Y11" s="22">
        <f t="shared" si="3"/>
        <v>3931.1998517750462</v>
      </c>
      <c r="Z11" s="22">
        <f t="shared" si="27"/>
        <v>0</v>
      </c>
      <c r="AA11" s="22" cm="1">
        <f t="array" ref="AA11">(Y11+Z11)*eff_invest</f>
        <v>3931.1998517750462</v>
      </c>
      <c r="AB11" s="22">
        <f>AA11*(_xlfn.XLOOKUP(Q_end,cpi!A:A,cpi!B:B)/BH11)</f>
        <v>6292.5289662815167</v>
      </c>
      <c r="AC11" s="22" cm="1">
        <f t="array" ref="AC11">INDEX('msci-indices'!C:C,MATCH($L11,'msci-indices'!$B:$B)-2)</f>
        <v>983.50383399999998</v>
      </c>
      <c r="AD11" s="22" cm="1">
        <f t="array" ref="AD11">INDEX('msci-indices'!D:D,MATCH($L11,'msci-indices'!$B:$B)-2)</f>
        <v>1030.119647</v>
      </c>
      <c r="AE11" s="22">
        <f t="shared" si="28"/>
        <v>164082.17247824394</v>
      </c>
      <c r="AF11" s="22" cm="1">
        <f t="array" ref="AF11">INDEX('msci-indices'!C:C,MATCH($L11,'msci-indices'!$B:$B)+1)</f>
        <v>894.99836200000004</v>
      </c>
      <c r="AG11" s="22" cm="1">
        <f t="array" ref="AG11">INDEX('msci-indices'!D:D,MATCH($L11,'msci-indices'!$B:$B)+1)</f>
        <v>881.21372699999995</v>
      </c>
      <c r="AH11" s="22">
        <f t="shared" si="4"/>
        <v>102.55135779890247</v>
      </c>
      <c r="AI11" s="22">
        <f t="shared" si="5"/>
        <v>146528.07231515829</v>
      </c>
      <c r="AJ11" s="22">
        <f t="shared" si="29"/>
        <v>127516.21753318823</v>
      </c>
      <c r="AK11" s="22">
        <f t="shared" si="6"/>
        <v>19011.854781970062</v>
      </c>
      <c r="AL11" s="22">
        <f>AJ11*(_xlfn.XLOOKUP(Q_end,cpi!A:A,cpi!B:B)/BH11)</f>
        <v>204110.5827107559</v>
      </c>
      <c r="AM11" s="22" cm="1">
        <f t="array" ref="AM11">SUMPRODUCT($AA$3:AA11,_xlfn.SORTBY($BH$3:BH11,_xlfn.SEQUENCE(ROWS($BH$3:BH11)),-1)/$BH$3)</f>
        <v>135115.45723071968</v>
      </c>
      <c r="AN11" s="22">
        <f t="shared" si="30"/>
        <v>11412.615084438614</v>
      </c>
      <c r="AO11" s="22">
        <f t="shared" si="7"/>
        <v>0</v>
      </c>
      <c r="AP11" s="22">
        <f t="shared" si="31"/>
        <v>146528.07231515829</v>
      </c>
      <c r="AQ11" s="22"/>
      <c r="AR11" s="10">
        <f>IF($B$10="3BR_H",
INDEX('ns-combined'!$C:$C,MATCH($L11,'ns-combined'!$B:$B,0),MATCH(Council_Area,'ns-combined'!$C$1:$C$1,0))*1000,
INDEX('s-combined'!$C:$C,MATCH($L11,'s-combined'!$B:$B,0),MATCH(Council_Area,'s-combined'!$C$1:$C$1,0))*1000)</f>
        <v>470000</v>
      </c>
      <c r="AS11" s="22">
        <f t="shared" si="35"/>
        <v>8662.5</v>
      </c>
      <c r="AT11" s="10">
        <v>0</v>
      </c>
      <c r="AU11" s="22">
        <f t="shared" si="8"/>
        <v>9400</v>
      </c>
      <c r="AV11" s="22">
        <f t="shared" si="9"/>
        <v>1351.25</v>
      </c>
      <c r="AW11" s="22">
        <f>SUM($AV$3:AV11)</f>
        <v>11187.487499999999</v>
      </c>
      <c r="AX11" s="22">
        <f t="shared" si="32"/>
        <v>440750.01250000001</v>
      </c>
      <c r="AY11" s="22">
        <f t="shared" si="10"/>
        <v>1874.6000000000001</v>
      </c>
      <c r="AZ11" s="24">
        <f t="shared" si="11"/>
        <v>1.5954042553191491E-2</v>
      </c>
      <c r="BA11" s="24">
        <f t="shared" si="12"/>
        <v>0.35000000000000003</v>
      </c>
      <c r="BB11" s="25">
        <f>IF(MortgageRate="Discounted",_xlfn.XLOOKUP(L11,'mortgage-rates'!$A:$A,'mortgage-rates'!$E:$E)/100,_xlfn.XLOOKUP(L11,'mortgage-rates'!$A:$A,'mortgage-rates'!$D:$D)/100)</f>
        <v>8.6999999999999994E-2</v>
      </c>
      <c r="BC11" s="10">
        <f t="shared" si="37"/>
        <v>298683.93903731118</v>
      </c>
      <c r="BD11" s="10">
        <f t="shared" si="13"/>
        <v>7537.5480203997868</v>
      </c>
      <c r="BE11" s="10">
        <f t="shared" si="14"/>
        <v>6496.3756740615181</v>
      </c>
      <c r="BF11" s="10">
        <f t="shared" si="36"/>
        <v>1041.1723463382687</v>
      </c>
      <c r="BG11" s="12">
        <f t="shared" si="15"/>
        <v>9412.1480203997871</v>
      </c>
      <c r="BH11" s="22">
        <f>INDEX(cpi!B:B,MATCH($L11,cpi!A:A))</f>
        <v>90.4</v>
      </c>
      <c r="BI11" s="22">
        <f t="shared" si="16"/>
        <v>106.85579196217495</v>
      </c>
      <c r="BJ11" s="22">
        <f t="shared" si="17"/>
        <v>130.28618334215415</v>
      </c>
      <c r="BK11" s="22">
        <f t="shared" si="18"/>
        <v>144.48567514971225</v>
      </c>
      <c r="BL11" s="22">
        <f t="shared" si="19"/>
        <v>134.54603088442158</v>
      </c>
      <c r="BM11" s="22">
        <f t="shared" si="20"/>
        <v>164.10740805133301</v>
      </c>
      <c r="BN11" s="22">
        <f t="shared" si="21"/>
        <v>122.07792207792208</v>
      </c>
      <c r="BO11">
        <f t="shared" si="22"/>
        <v>117.46109809134049</v>
      </c>
    </row>
    <row r="12" spans="1:67" x14ac:dyDescent="0.25">
      <c r="A12" t="s">
        <v>8</v>
      </c>
      <c r="B12" s="1">
        <v>45992</v>
      </c>
      <c r="C12" s="1">
        <v>45992</v>
      </c>
      <c r="L12" s="1">
        <f t="shared" si="33"/>
        <v>39600</v>
      </c>
      <c r="M12" s="10">
        <f t="shared" si="0"/>
        <v>148184.0619050556</v>
      </c>
      <c r="N12" s="10">
        <f t="shared" si="23"/>
        <v>144701.99580902711</v>
      </c>
      <c r="O12" s="7">
        <f t="shared" si="24"/>
        <v>1.0240637046957113</v>
      </c>
      <c r="P12" s="7">
        <f t="shared" si="1"/>
        <v>0.57741947546185857</v>
      </c>
      <c r="Q12">
        <v>10</v>
      </c>
      <c r="R12">
        <f t="shared" si="2"/>
        <v>91</v>
      </c>
      <c r="S12" s="22"/>
      <c r="T12" s="22">
        <f>IF($B$10="3BR_H",
INDEX('3BR_H-processed'!$E:$E,MATCH($L12,'3BR_H-processed'!$B:$B,0),MATCH(Council_Area,'3BR_H-processed'!$E$1:$E$1,0)),
INDEX('2BR_F-processed'!$E:$E,MATCH($L12,'2BR_F-processed'!$B:$B,0),MATCH(Council_Area,'2BR_F-processed'!$E$1:$E$1,0)))</f>
        <v>412</v>
      </c>
      <c r="U12" s="22">
        <f t="shared" si="25"/>
        <v>412</v>
      </c>
      <c r="V12" s="22">
        <f t="shared" si="34"/>
        <v>5356</v>
      </c>
      <c r="W12" s="22">
        <f>$B$53/4*BH12/_xlfn.XLOOKUP(Q_end,cpi!A:A,cpi!B:B)</f>
        <v>126.60677263303387</v>
      </c>
      <c r="X12" s="22">
        <f t="shared" si="26"/>
        <v>5482.6067726330339</v>
      </c>
      <c r="Y12" s="22">
        <f t="shared" si="3"/>
        <v>4012.4085595874103</v>
      </c>
      <c r="Z12" s="22">
        <f t="shared" si="27"/>
        <v>0</v>
      </c>
      <c r="AA12" s="22" cm="1">
        <f t="array" ref="AA12">(Y12+Z12)*eff_invest</f>
        <v>4012.4085595874103</v>
      </c>
      <c r="AB12" s="22">
        <f>AA12*(_xlfn.XLOOKUP(Q_end,cpi!A:A,cpi!B:B)/BH12)</f>
        <v>6338.3790237150461</v>
      </c>
      <c r="AC12" s="22" cm="1">
        <f t="array" ref="AC12">INDEX('msci-indices'!C:C,MATCH($L12,'msci-indices'!$B:$B)-2)</f>
        <v>894.99836200000004</v>
      </c>
      <c r="AD12" s="22" cm="1">
        <f t="array" ref="AD12">INDEX('msci-indices'!D:D,MATCH($L12,'msci-indices'!$B:$B)-2)</f>
        <v>881.21372699999995</v>
      </c>
      <c r="AE12" s="22">
        <f t="shared" si="28"/>
        <v>150540.4808747457</v>
      </c>
      <c r="AF12" s="22" cm="1">
        <f t="array" ref="AF12">INDEX('msci-indices'!C:C,MATCH($L12,'msci-indices'!$B:$B)+1)</f>
        <v>881.79173700000001</v>
      </c>
      <c r="AG12" s="22" cm="1">
        <f t="array" ref="AG12">INDEX('msci-indices'!D:D,MATCH($L12,'msci-indices'!$B:$B)+1)</f>
        <v>867.41146500000002</v>
      </c>
      <c r="AH12" s="22">
        <f t="shared" si="4"/>
        <v>94.087800546716068</v>
      </c>
      <c r="AI12" s="22">
        <f t="shared" si="5"/>
        <v>148184.0619050556</v>
      </c>
      <c r="AJ12" s="22">
        <f t="shared" si="29"/>
        <v>131528.62609277564</v>
      </c>
      <c r="AK12" s="22">
        <f t="shared" si="6"/>
        <v>16655.43581227996</v>
      </c>
      <c r="AL12" s="22">
        <f>AJ12*(_xlfn.XLOOKUP(Q_end,cpi!A:A,cpi!B:B)/BH12)</f>
        <v>207775.02396970126</v>
      </c>
      <c r="AM12" s="22" cm="1">
        <f t="array" ref="AM12">SUMPRODUCT($AA$3:AA12,_xlfn.SORTBY($BH$3:BH12,_xlfn.SEQUENCE(ROWS($BH$3:BH12)),-1)/$BH$3)</f>
        <v>140784.28939538859</v>
      </c>
      <c r="AN12" s="22">
        <f t="shared" si="30"/>
        <v>7399.7725096670038</v>
      </c>
      <c r="AO12" s="22">
        <f t="shared" si="7"/>
        <v>0</v>
      </c>
      <c r="AP12" s="22">
        <f t="shared" si="31"/>
        <v>148184.0619050556</v>
      </c>
      <c r="AQ12" s="22"/>
      <c r="AR12" s="10">
        <f>IF($B$10="3BR_H",
INDEX('ns-combined'!$C:$C,MATCH($L12,'ns-combined'!$B:$B,0),MATCH(Council_Area,'ns-combined'!$C$1:$C$1,0))*1000,
INDEX('s-combined'!$C:$C,MATCH($L12,'s-combined'!$B:$B,0),MATCH(Council_Area,'s-combined'!$C$1:$C$1,0))*1000)</f>
        <v>474000</v>
      </c>
      <c r="AS12" s="22">
        <f t="shared" si="35"/>
        <v>9625</v>
      </c>
      <c r="AT12" s="10">
        <v>0</v>
      </c>
      <c r="AU12" s="22">
        <f t="shared" si="8"/>
        <v>9480</v>
      </c>
      <c r="AV12" s="22">
        <f t="shared" si="9"/>
        <v>1362.75</v>
      </c>
      <c r="AW12" s="22">
        <f>SUM($AV$3:AV12)</f>
        <v>12550.237499999999</v>
      </c>
      <c r="AX12" s="22">
        <f t="shared" si="32"/>
        <v>442344.76250000001</v>
      </c>
      <c r="AY12" s="22">
        <f t="shared" si="10"/>
        <v>1874.6000000000001</v>
      </c>
      <c r="AZ12" s="24">
        <f t="shared" si="11"/>
        <v>1.5819409282700422E-2</v>
      </c>
      <c r="BA12" s="24">
        <f t="shared" si="12"/>
        <v>0.35000000000000003</v>
      </c>
      <c r="BB12" s="25">
        <f>IF(MortgageRate="Discounted",_xlfn.XLOOKUP(L12,'mortgage-rates'!$A:$A,'mortgage-rates'!$E:$E)/100,_xlfn.XLOOKUP(L12,'mortgage-rates'!$A:$A,'mortgage-rates'!$D:$D)/100)</f>
        <v>8.8399999999999992E-2</v>
      </c>
      <c r="BC12" s="10">
        <f t="shared" si="37"/>
        <v>297642.7666909729</v>
      </c>
      <c r="BD12" s="10">
        <f t="shared" si="13"/>
        <v>7620.4153322204447</v>
      </c>
      <c r="BE12" s="10">
        <f t="shared" si="14"/>
        <v>6577.905143870501</v>
      </c>
      <c r="BF12" s="10">
        <f t="shared" si="36"/>
        <v>1042.5101883499437</v>
      </c>
      <c r="BG12" s="12">
        <f t="shared" si="15"/>
        <v>9495.0153322204442</v>
      </c>
      <c r="BH12" s="22">
        <f>INDEX(cpi!B:B,MATCH($L12,cpi!A:A))</f>
        <v>91.6</v>
      </c>
      <c r="BI12" s="22">
        <f t="shared" si="16"/>
        <v>108.274231678487</v>
      </c>
      <c r="BJ12" s="22">
        <f t="shared" si="17"/>
        <v>118.56173473997831</v>
      </c>
      <c r="BK12" s="22">
        <f t="shared" si="18"/>
        <v>123.59997274839783</v>
      </c>
      <c r="BL12" s="22">
        <f t="shared" si="19"/>
        <v>120.07320614250416</v>
      </c>
      <c r="BM12" s="22">
        <f t="shared" si="20"/>
        <v>150.56363375753975</v>
      </c>
      <c r="BN12" s="22">
        <f t="shared" si="21"/>
        <v>123.11688311688312</v>
      </c>
      <c r="BO12">
        <f t="shared" si="22"/>
        <v>117.88610337975479</v>
      </c>
    </row>
    <row r="13" spans="1:67" x14ac:dyDescent="0.25">
      <c r="A13" t="s">
        <v>9</v>
      </c>
      <c r="B13" s="1" t="s">
        <v>658</v>
      </c>
      <c r="C13" s="1" t="s">
        <v>658</v>
      </c>
      <c r="L13" s="1">
        <f t="shared" si="33"/>
        <v>39692</v>
      </c>
      <c r="M13" s="10">
        <f t="shared" si="0"/>
        <v>130995.73517038641</v>
      </c>
      <c r="N13" s="10">
        <f t="shared" si="23"/>
        <v>117036.88099737704</v>
      </c>
      <c r="O13" s="7">
        <f t="shared" si="24"/>
        <v>1.1192688497339758</v>
      </c>
      <c r="P13" s="7">
        <f t="shared" si="1"/>
        <v>0.58539685237743488</v>
      </c>
      <c r="Q13">
        <v>11</v>
      </c>
      <c r="R13">
        <f t="shared" si="2"/>
        <v>92</v>
      </c>
      <c r="S13" s="22"/>
      <c r="T13" s="22">
        <f>IF($B$10="3BR_H",
INDEX('3BR_H-processed'!$E:$E,MATCH($L13,'3BR_H-processed'!$B:$B,0),MATCH(Council_Area,'3BR_H-processed'!$E$1:$E$1,0)),
INDEX('2BR_F-processed'!$E:$E,MATCH($L13,'2BR_F-processed'!$B:$B,0),MATCH(Council_Area,'2BR_F-processed'!$E$1:$E$1,0)))</f>
        <v>427.05855855855862</v>
      </c>
      <c r="U13" s="22">
        <f t="shared" si="25"/>
        <v>412</v>
      </c>
      <c r="V13" s="22">
        <f t="shared" si="34"/>
        <v>5414.8571428571431</v>
      </c>
      <c r="W13" s="22">
        <f>$B$53/4*BH13/_xlfn.XLOOKUP(Q_end,cpi!A:A,cpi!B:B)</f>
        <v>127.98894263994472</v>
      </c>
      <c r="X13" s="22">
        <f t="shared" si="26"/>
        <v>5542.8460854970881</v>
      </c>
      <c r="Y13" s="22">
        <f t="shared" si="3"/>
        <v>3925.6812271905028</v>
      </c>
      <c r="Z13" s="22">
        <f t="shared" si="27"/>
        <v>0</v>
      </c>
      <c r="AA13" s="22" cm="1">
        <f t="array" ref="AA13">(Y13+Z13)*eff_invest</f>
        <v>3925.6812271905028</v>
      </c>
      <c r="AB13" s="22">
        <f>AA13*(_xlfn.XLOOKUP(Q_end,cpi!A:A,cpi!B:B)/BH13)</f>
        <v>6134.4068420568656</v>
      </c>
      <c r="AC13" s="22" cm="1">
        <f t="array" ref="AC13">INDEX('msci-indices'!C:C,MATCH($L13,'msci-indices'!$B:$B)-2)</f>
        <v>881.79173700000001</v>
      </c>
      <c r="AD13" s="22" cm="1">
        <f t="array" ref="AD13">INDEX('msci-indices'!D:D,MATCH($L13,'msci-indices'!$B:$B)-2)</f>
        <v>867.41146500000002</v>
      </c>
      <c r="AE13" s="22">
        <f t="shared" si="28"/>
        <v>152109.74313224611</v>
      </c>
      <c r="AF13" s="22" cm="1">
        <f t="array" ref="AF13">INDEX('msci-indices'!C:C,MATCH($L13,'msci-indices'!$B:$B)+1)</f>
        <v>747.65997700000003</v>
      </c>
      <c r="AG13" s="22" cm="1">
        <f t="array" ref="AG13">INDEX('msci-indices'!D:D,MATCH($L13,'msci-indices'!$B:$B)+1)</f>
        <v>775.74397499999998</v>
      </c>
      <c r="AH13" s="22">
        <f t="shared" si="4"/>
        <v>95.068589457653815</v>
      </c>
      <c r="AI13" s="22">
        <f t="shared" si="5"/>
        <v>130995.73517038641</v>
      </c>
      <c r="AJ13" s="22">
        <f t="shared" si="29"/>
        <v>135454.30731996614</v>
      </c>
      <c r="AK13" s="22">
        <f t="shared" si="6"/>
        <v>-4458.5721495797334</v>
      </c>
      <c r="AL13" s="22">
        <f>AJ13*(_xlfn.XLOOKUP(Q_end,cpi!A:A,cpi!B:B)/BH13)</f>
        <v>211665.64005614581</v>
      </c>
      <c r="AM13" s="22" cm="1">
        <f t="array" ref="AM13">SUMPRODUCT($AA$3:AA13,_xlfn.SORTBY($BH$3:BH13,_xlfn.SEQUENCE(ROWS($BH$3:BH13)),-1)/$BH$3)</f>
        <v>146181.98842599386</v>
      </c>
      <c r="AN13" s="22">
        <f t="shared" si="30"/>
        <v>-15186.253255607444</v>
      </c>
      <c r="AO13" s="22">
        <f t="shared" si="7"/>
        <v>0</v>
      </c>
      <c r="AP13" s="22">
        <f t="shared" si="31"/>
        <v>130995.73517038641</v>
      </c>
      <c r="AQ13" s="22"/>
      <c r="AR13" s="10">
        <f>IF($B$10="3BR_H",
INDEX('ns-combined'!$C:$C,MATCH($L13,'ns-combined'!$B:$B,0),MATCH(Council_Area,'ns-combined'!$C$1:$C$1,0))*1000,
INDEX('s-combined'!$C:$C,MATCH($L13,'s-combined'!$B:$B,0),MATCH(Council_Area,'s-combined'!$C$1:$C$1,0))*1000)</f>
        <v>447000</v>
      </c>
      <c r="AS13" s="22">
        <f t="shared" si="35"/>
        <v>10587.5</v>
      </c>
      <c r="AT13" s="10">
        <v>0</v>
      </c>
      <c r="AU13" s="22">
        <f t="shared" si="8"/>
        <v>8940</v>
      </c>
      <c r="AV13" s="22">
        <f t="shared" si="9"/>
        <v>1285.125</v>
      </c>
      <c r="AW13" s="22">
        <f>SUM($AV$3:AV13)</f>
        <v>13835.362499999999</v>
      </c>
      <c r="AX13" s="22">
        <f t="shared" si="32"/>
        <v>413637.13750000001</v>
      </c>
      <c r="AY13" s="22">
        <f t="shared" si="10"/>
        <v>1895.2000000000003</v>
      </c>
      <c r="AZ13" s="24">
        <f t="shared" si="11"/>
        <v>1.6959284116331099E-2</v>
      </c>
      <c r="BA13" s="24">
        <f t="shared" si="12"/>
        <v>0.35000000000000003</v>
      </c>
      <c r="BB13" s="25">
        <f>IF(MortgageRate="Discounted",_xlfn.XLOOKUP(L13,'mortgage-rates'!$A:$A,'mortgage-rates'!$E:$E)/100,_xlfn.XLOOKUP(L13,'mortgage-rates'!$A:$A,'mortgage-rates'!$D:$D)/100)</f>
        <v>8.7599999999999997E-2</v>
      </c>
      <c r="BC13" s="10">
        <f t="shared" si="37"/>
        <v>296600.25650262297</v>
      </c>
      <c r="BD13" s="10">
        <f t="shared" si="13"/>
        <v>7573.3273126875902</v>
      </c>
      <c r="BE13" s="10">
        <f t="shared" si="14"/>
        <v>6495.5456174074425</v>
      </c>
      <c r="BF13" s="10">
        <f t="shared" si="36"/>
        <v>1077.7816952801477</v>
      </c>
      <c r="BG13" s="12">
        <f t="shared" si="15"/>
        <v>9468.5273126875909</v>
      </c>
      <c r="BH13" s="22">
        <f>INDEX(cpi!B:B,MATCH($L13,cpi!A:A))</f>
        <v>92.6</v>
      </c>
      <c r="BI13" s="22">
        <f t="shared" si="16"/>
        <v>109.45626477541371</v>
      </c>
      <c r="BJ13" s="22">
        <f t="shared" si="17"/>
        <v>116.8122339179194</v>
      </c>
      <c r="BK13" s="22">
        <f t="shared" si="18"/>
        <v>121.6640528293176</v>
      </c>
      <c r="BL13" s="22">
        <f t="shared" si="19"/>
        <v>118.26777959133886</v>
      </c>
      <c r="BM13" s="22">
        <f t="shared" si="20"/>
        <v>152.13313736504057</v>
      </c>
      <c r="BN13" s="22">
        <f t="shared" si="21"/>
        <v>116.1038961038961</v>
      </c>
      <c r="BO13">
        <f t="shared" si="22"/>
        <v>110.23544186991667</v>
      </c>
    </row>
    <row r="14" spans="1:67" x14ac:dyDescent="0.25">
      <c r="A14" t="s">
        <v>333</v>
      </c>
      <c r="B14" s="4">
        <v>0.01</v>
      </c>
      <c r="C14" s="4">
        <v>0.01</v>
      </c>
      <c r="L14" s="1">
        <f t="shared" si="33"/>
        <v>39783</v>
      </c>
      <c r="M14" s="10">
        <f t="shared" si="0"/>
        <v>105215.02962032722</v>
      </c>
      <c r="N14" s="10">
        <f t="shared" si="23"/>
        <v>118798.41269265721</v>
      </c>
      <c r="O14" s="7">
        <f t="shared" si="24"/>
        <v>0.88566023093699497</v>
      </c>
      <c r="P14" s="7">
        <f t="shared" si="1"/>
        <v>0.68953235854932504</v>
      </c>
      <c r="Q14">
        <v>12</v>
      </c>
      <c r="R14">
        <f t="shared" si="2"/>
        <v>92</v>
      </c>
      <c r="S14" s="22"/>
      <c r="T14" s="22">
        <f>IF($B$10="3BR_H",
INDEX('3BR_H-processed'!$E:$E,MATCH($L14,'3BR_H-processed'!$B:$B,0),MATCH(Council_Area,'3BR_H-processed'!$E$1:$E$1,0)),
INDEX('2BR_F-processed'!$E:$E,MATCH($L14,'2BR_F-processed'!$B:$B,0),MATCH(Council_Area,'2BR_F-processed'!$E$1:$E$1,0)))</f>
        <v>437.74774774774772</v>
      </c>
      <c r="U14" s="22">
        <f t="shared" si="25"/>
        <v>412</v>
      </c>
      <c r="V14" s="22">
        <f t="shared" si="34"/>
        <v>5414.8571428571431</v>
      </c>
      <c r="W14" s="22">
        <f>$B$53/4*BH14/_xlfn.XLOOKUP(Q_end,cpi!A:A,cpi!B:B)</f>
        <v>127.98894263994472</v>
      </c>
      <c r="X14" s="22">
        <f t="shared" si="26"/>
        <v>5542.8460854970881</v>
      </c>
      <c r="Y14" s="22">
        <f t="shared" si="3"/>
        <v>2495.7122457731411</v>
      </c>
      <c r="Z14" s="22">
        <f t="shared" si="27"/>
        <v>0</v>
      </c>
      <c r="AA14" s="22" cm="1">
        <f t="array" ref="AA14">(Y14+Z14)*eff_invest</f>
        <v>2495.7122457731411</v>
      </c>
      <c r="AB14" s="22">
        <f>AA14*(_xlfn.XLOOKUP(Q_end,cpi!A:A,cpi!B:B)/BH14)</f>
        <v>3899.8872782221765</v>
      </c>
      <c r="AC14" s="22" cm="1">
        <f t="array" ref="AC14">INDEX('msci-indices'!C:C,MATCH($L14,'msci-indices'!$B:$B)-2)</f>
        <v>747.65997700000003</v>
      </c>
      <c r="AD14" s="22" cm="1">
        <f t="array" ref="AD14">INDEX('msci-indices'!D:D,MATCH($L14,'msci-indices'!$B:$B)-2)</f>
        <v>775.74397499999998</v>
      </c>
      <c r="AE14" s="22">
        <f t="shared" si="28"/>
        <v>133491.44741615956</v>
      </c>
      <c r="AF14" s="22" cm="1">
        <f t="array" ref="AF14">INDEX('msci-indices'!C:C,MATCH($L14,'msci-indices'!$B:$B)+1)</f>
        <v>582.01081599999998</v>
      </c>
      <c r="AG14" s="22" cm="1">
        <f t="array" ref="AG14">INDEX('msci-indices'!D:D,MATCH($L14,'msci-indices'!$B:$B)+1)</f>
        <v>630.66129899999999</v>
      </c>
      <c r="AH14" s="22">
        <f t="shared" si="4"/>
        <v>83.432154635099721</v>
      </c>
      <c r="AI14" s="22">
        <f t="shared" si="5"/>
        <v>105215.02962032722</v>
      </c>
      <c r="AJ14" s="22">
        <f t="shared" si="29"/>
        <v>137950.01956573929</v>
      </c>
      <c r="AK14" s="22">
        <f t="shared" si="6"/>
        <v>-32734.989945412075</v>
      </c>
      <c r="AL14" s="22">
        <f>AJ14*(_xlfn.XLOOKUP(Q_end,cpi!A:A,cpi!B:B)/BH14)</f>
        <v>215565.527334368</v>
      </c>
      <c r="AM14" s="22" cm="1">
        <f t="array" ref="AM14">SUMPRODUCT($AA$3:AA14,_xlfn.SORTBY($BH$3:BH14,_xlfn.SEQUENCE(ROWS($BH$3:BH14)),-1)/$BH$3)</f>
        <v>149008.7924059736</v>
      </c>
      <c r="AN14" s="22">
        <f t="shared" si="30"/>
        <v>-43793.762785646381</v>
      </c>
      <c r="AO14" s="22">
        <f t="shared" si="7"/>
        <v>0</v>
      </c>
      <c r="AP14" s="22">
        <f t="shared" si="31"/>
        <v>105215.02962032722</v>
      </c>
      <c r="AQ14" s="22"/>
      <c r="AR14" s="10">
        <f>IF($B$10="3BR_H",
INDEX('ns-combined'!$C:$C,MATCH($L14,'ns-combined'!$B:$B,0),MATCH(Council_Area,'ns-combined'!$C$1:$C$1,0))*1000,
INDEX('s-combined'!$C:$C,MATCH($L14,'s-combined'!$B:$B,0),MATCH(Council_Area,'s-combined'!$C$1:$C$1,0))*1000)</f>
        <v>450000</v>
      </c>
      <c r="AS14" s="22">
        <f t="shared" si="35"/>
        <v>11550</v>
      </c>
      <c r="AT14" s="10">
        <v>0</v>
      </c>
      <c r="AU14" s="22">
        <f t="shared" si="8"/>
        <v>9000</v>
      </c>
      <c r="AV14" s="22">
        <f t="shared" si="9"/>
        <v>1293.75</v>
      </c>
      <c r="AW14" s="22">
        <f>SUM($AV$3:AV14)</f>
        <v>15129.112499999999</v>
      </c>
      <c r="AX14" s="22">
        <f t="shared" si="32"/>
        <v>414320.88750000001</v>
      </c>
      <c r="AY14" s="22">
        <f t="shared" si="10"/>
        <v>1895.2000000000003</v>
      </c>
      <c r="AZ14" s="24">
        <f t="shared" si="11"/>
        <v>1.6846222222222224E-2</v>
      </c>
      <c r="BA14" s="24">
        <f t="shared" si="12"/>
        <v>0.35000000000000003</v>
      </c>
      <c r="BB14" s="25">
        <f>IF(MortgageRate="Discounted",_xlfn.XLOOKUP(L14,'mortgage-rates'!$A:$A,'mortgage-rates'!$E:$E)/100,_xlfn.XLOOKUP(L14,'mortgage-rates'!$A:$A,'mortgage-rates'!$D:$D)/100)</f>
        <v>6.2E-2</v>
      </c>
      <c r="BC14" s="10">
        <f t="shared" si="37"/>
        <v>295522.47480734281</v>
      </c>
      <c r="BD14" s="10">
        <f t="shared" si="13"/>
        <v>6143.3583312702294</v>
      </c>
      <c r="BE14" s="10">
        <f t="shared" si="14"/>
        <v>4580.5983595138132</v>
      </c>
      <c r="BF14" s="10">
        <f t="shared" si="36"/>
        <v>1562.7599717564162</v>
      </c>
      <c r="BG14" s="12">
        <f t="shared" si="15"/>
        <v>8038.5583312702292</v>
      </c>
      <c r="BH14" s="22">
        <f>INDEX(cpi!B:B,MATCH($L14,cpi!A:A))</f>
        <v>92.6</v>
      </c>
      <c r="BI14" s="22">
        <f t="shared" si="16"/>
        <v>109.45626477541371</v>
      </c>
      <c r="BJ14" s="22">
        <f t="shared" si="17"/>
        <v>99.043604583459881</v>
      </c>
      <c r="BK14" s="22">
        <f t="shared" si="18"/>
        <v>108.80667337781247</v>
      </c>
      <c r="BL14" s="22">
        <f t="shared" si="19"/>
        <v>101.97252522176566</v>
      </c>
      <c r="BM14" s="22">
        <f t="shared" si="20"/>
        <v>133.51197818514657</v>
      </c>
      <c r="BN14" s="22">
        <f t="shared" si="21"/>
        <v>116.88311688311688</v>
      </c>
      <c r="BO14">
        <f t="shared" si="22"/>
        <v>110.41766313717063</v>
      </c>
    </row>
    <row r="15" spans="1:67" x14ac:dyDescent="0.25">
      <c r="A15" t="s">
        <v>489</v>
      </c>
      <c r="B15" s="4">
        <v>1.15E-2</v>
      </c>
      <c r="C15" s="4">
        <v>1.15E-2</v>
      </c>
      <c r="L15" s="1">
        <f t="shared" si="33"/>
        <v>39873</v>
      </c>
      <c r="M15" s="10">
        <f t="shared" si="0"/>
        <v>97652.262980672604</v>
      </c>
      <c r="N15" s="10">
        <f t="shared" si="23"/>
        <v>127387.61016441364</v>
      </c>
      <c r="O15" s="7">
        <f t="shared" si="24"/>
        <v>0.76657582989928996</v>
      </c>
      <c r="P15" s="7">
        <f t="shared" si="1"/>
        <v>0.76749939509387466</v>
      </c>
      <c r="Q15">
        <v>13</v>
      </c>
      <c r="R15">
        <f t="shared" si="2"/>
        <v>90</v>
      </c>
      <c r="S15" s="22"/>
      <c r="T15" s="22">
        <f>IF($B$10="3BR_H",
INDEX('3BR_H-processed'!$E:$E,MATCH($L15,'3BR_H-processed'!$B:$B,0),MATCH(Council_Area,'3BR_H-processed'!$E$1:$E$1,0)),
INDEX('2BR_F-processed'!$E:$E,MATCH($L15,'2BR_F-processed'!$B:$B,0),MATCH(Council_Area,'2BR_F-processed'!$E$1:$E$1,0)))</f>
        <v>444.87387387387389</v>
      </c>
      <c r="U15" s="22">
        <f t="shared" si="25"/>
        <v>444.87387387387389</v>
      </c>
      <c r="V15" s="22">
        <f t="shared" si="34"/>
        <v>5719.8069498069508</v>
      </c>
      <c r="W15" s="22">
        <f>$B$53/4*BH15/_xlfn.XLOOKUP(Q_end,cpi!A:A,cpi!B:B)</f>
        <v>127.85072563925364</v>
      </c>
      <c r="X15" s="22">
        <f t="shared" si="26"/>
        <v>5847.6576754462048</v>
      </c>
      <c r="Y15" s="22">
        <f t="shared" si="3"/>
        <v>1771.4462780246167</v>
      </c>
      <c r="Z15" s="22">
        <f t="shared" si="27"/>
        <v>0</v>
      </c>
      <c r="AA15" s="22" cm="1">
        <f t="array" ref="AA15">(Y15+Z15)*eff_invest</f>
        <v>1771.4462780246167</v>
      </c>
      <c r="AB15" s="22">
        <f>AA15*(_xlfn.XLOOKUP(Q_end,cpi!A:A,cpi!B:B)/BH15)</f>
        <v>2771.1165019476975</v>
      </c>
      <c r="AC15" s="22" cm="1">
        <f t="array" ref="AC15">INDEX('msci-indices'!C:C,MATCH($L15,'msci-indices'!$B:$B)-2)</f>
        <v>582.01081599999998</v>
      </c>
      <c r="AD15" s="22" cm="1">
        <f t="array" ref="AD15">INDEX('msci-indices'!D:D,MATCH($L15,'msci-indices'!$B:$B)-2)</f>
        <v>630.66129899999999</v>
      </c>
      <c r="AE15" s="22">
        <f t="shared" si="28"/>
        <v>106986.47589835183</v>
      </c>
      <c r="AF15" s="22" cm="1">
        <f t="array" ref="AF15">INDEX('msci-indices'!C:C,MATCH($L15,'msci-indices'!$B:$B)+1)</f>
        <v>513.55423199999996</v>
      </c>
      <c r="AG15" s="22" cm="1">
        <f t="array" ref="AG15">INDEX('msci-indices'!D:D,MATCH($L15,'msci-indices'!$B:$B)+1)</f>
        <v>621.64895000000001</v>
      </c>
      <c r="AH15" s="22">
        <f t="shared" si="4"/>
        <v>66.866547436469887</v>
      </c>
      <c r="AI15" s="22">
        <f t="shared" si="5"/>
        <v>97652.262980672604</v>
      </c>
      <c r="AJ15" s="22">
        <f t="shared" si="29"/>
        <v>139721.4658437639</v>
      </c>
      <c r="AK15" s="22">
        <f t="shared" si="6"/>
        <v>-42069.202863091297</v>
      </c>
      <c r="AL15" s="22">
        <f>AJ15*(_xlfn.XLOOKUP(Q_end,cpi!A:A,cpi!B:B)/BH15)</f>
        <v>218569.68764965009</v>
      </c>
      <c r="AM15" s="22" cm="1">
        <f t="array" ref="AM15">SUMPRODUCT($AA$3:AA15,_xlfn.SORTBY($BH$3:BH15,_xlfn.SEQUENCE(ROWS($BH$3:BH15)),-1)/$BH$3)</f>
        <v>150974.94185122976</v>
      </c>
      <c r="AN15" s="22">
        <f t="shared" si="30"/>
        <v>-53322.678870557153</v>
      </c>
      <c r="AO15" s="22">
        <f t="shared" si="7"/>
        <v>0</v>
      </c>
      <c r="AP15" s="22">
        <f t="shared" si="31"/>
        <v>97652.262980672604</v>
      </c>
      <c r="AQ15" s="22"/>
      <c r="AR15" s="10">
        <f>IF($B$10="3BR_H",
INDEX('ns-combined'!$C:$C,MATCH($L15,'ns-combined'!$B:$B,0),MATCH(Council_Area,'ns-combined'!$C$1:$C$1,0))*1000,
INDEX('s-combined'!$C:$C,MATCH($L15,'s-combined'!$B:$B,0),MATCH(Council_Area,'s-combined'!$C$1:$C$1,0))*1000)</f>
        <v>459500</v>
      </c>
      <c r="AS15" s="22">
        <f t="shared" si="35"/>
        <v>12512.5</v>
      </c>
      <c r="AT15" s="10">
        <v>0</v>
      </c>
      <c r="AU15" s="22">
        <f t="shared" si="8"/>
        <v>9190</v>
      </c>
      <c r="AV15" s="22">
        <f t="shared" si="9"/>
        <v>1321.0625</v>
      </c>
      <c r="AW15" s="22">
        <f>SUM($AV$3:AV15)</f>
        <v>16450.174999999999</v>
      </c>
      <c r="AX15" s="22">
        <f t="shared" si="32"/>
        <v>421347.32500000001</v>
      </c>
      <c r="AY15" s="22">
        <f t="shared" si="10"/>
        <v>2001.932432432433</v>
      </c>
      <c r="AZ15" s="24">
        <f t="shared" si="11"/>
        <v>1.7427050554362854E-2</v>
      </c>
      <c r="BA15" s="24">
        <f t="shared" si="12"/>
        <v>0.35000000000000003</v>
      </c>
      <c r="BB15" s="25">
        <f>IF(MortgageRate="Discounted",_xlfn.XLOOKUP(L15,'mortgage-rates'!$A:$A,'mortgage-rates'!$E:$E)/100,_xlfn.XLOOKUP(L15,'mortgage-rates'!$A:$A,'mortgage-rates'!$D:$D)/100)</f>
        <v>5.1799999999999999E-2</v>
      </c>
      <c r="BC15" s="10">
        <f t="shared" si="37"/>
        <v>293959.71483558638</v>
      </c>
      <c r="BD15" s="10">
        <f t="shared" si="13"/>
        <v>5617.1715210383882</v>
      </c>
      <c r="BE15" s="10">
        <f t="shared" si="14"/>
        <v>3806.7783071208437</v>
      </c>
      <c r="BF15" s="10">
        <f t="shared" si="36"/>
        <v>1810.3932139175445</v>
      </c>
      <c r="BG15" s="12">
        <f t="shared" si="15"/>
        <v>7619.1039534708216</v>
      </c>
      <c r="BH15" s="22">
        <f>INDEX(cpi!B:B,MATCH($L15,cpi!A:A))</f>
        <v>92.5</v>
      </c>
      <c r="BI15" s="22">
        <f t="shared" si="16"/>
        <v>109.33806146572105</v>
      </c>
      <c r="BJ15" s="22">
        <f t="shared" si="17"/>
        <v>77.099819298205958</v>
      </c>
      <c r="BK15" s="22">
        <f t="shared" si="18"/>
        <v>88.457223238272576</v>
      </c>
      <c r="BL15" s="22">
        <f t="shared" si="19"/>
        <v>80.507040480225939</v>
      </c>
      <c r="BM15" s="22">
        <f t="shared" si="20"/>
        <v>107.00293024553226</v>
      </c>
      <c r="BN15" s="22">
        <f t="shared" si="21"/>
        <v>119.35064935064935</v>
      </c>
      <c r="BO15">
        <f t="shared" si="22"/>
        <v>112.29022817633822</v>
      </c>
    </row>
    <row r="16" spans="1:67" x14ac:dyDescent="0.25">
      <c r="A16" t="s">
        <v>55</v>
      </c>
      <c r="B16" s="23">
        <v>25</v>
      </c>
      <c r="C16" s="23">
        <v>25</v>
      </c>
      <c r="L16" s="1">
        <f t="shared" si="33"/>
        <v>39965</v>
      </c>
      <c r="M16" s="10">
        <f t="shared" si="0"/>
        <v>117796.57027953971</v>
      </c>
      <c r="N16" s="10">
        <f t="shared" si="23"/>
        <v>122517.3783783312</v>
      </c>
      <c r="O16" s="7">
        <f t="shared" si="24"/>
        <v>0.96146825730947549</v>
      </c>
      <c r="P16" s="7">
        <f t="shared" si="1"/>
        <v>0.77570020225584746</v>
      </c>
      <c r="Q16">
        <v>14</v>
      </c>
      <c r="R16">
        <f t="shared" si="2"/>
        <v>91</v>
      </c>
      <c r="S16" s="22"/>
      <c r="T16" s="22">
        <f>IF($B$10="3BR_H",
INDEX('3BR_H-processed'!$E:$E,MATCH($L16,'3BR_H-processed'!$B:$B,0),MATCH(Council_Area,'3BR_H-processed'!$E$1:$E$1,0)),
INDEX('2BR_F-processed'!$E:$E,MATCH($L16,'2BR_F-processed'!$B:$B,0),MATCH(Council_Area,'2BR_F-processed'!$E$1:$E$1,0)))</f>
        <v>448.43693693693689</v>
      </c>
      <c r="U16" s="22">
        <f t="shared" si="25"/>
        <v>444.87387387387389</v>
      </c>
      <c r="V16" s="22">
        <f t="shared" si="34"/>
        <v>5783.3603603603606</v>
      </c>
      <c r="W16" s="22">
        <f>$B$53/4*BH16/_xlfn.XLOOKUP(Q_end,cpi!A:A,cpi!B:B)</f>
        <v>128.54181064270907</v>
      </c>
      <c r="X16" s="22">
        <f t="shared" si="26"/>
        <v>5911.9021710030693</v>
      </c>
      <c r="Y16" s="22">
        <f t="shared" si="3"/>
        <v>1709.4728831872089</v>
      </c>
      <c r="Z16" s="22">
        <f t="shared" si="27"/>
        <v>0</v>
      </c>
      <c r="AA16" s="22" cm="1">
        <f t="array" ref="AA16">(Y16+Z16)*eff_invest</f>
        <v>1709.4728831872089</v>
      </c>
      <c r="AB16" s="22">
        <f>AA16*(_xlfn.XLOOKUP(Q_end,cpi!A:A,cpi!B:B)/BH16)</f>
        <v>2659.7927548084849</v>
      </c>
      <c r="AC16" s="22" cm="1">
        <f t="array" ref="AC16">INDEX('msci-indices'!C:C,MATCH($L16,'msci-indices'!$B:$B)-2)</f>
        <v>513.55423199999996</v>
      </c>
      <c r="AD16" s="22" cm="1">
        <f t="array" ref="AD16">INDEX('msci-indices'!D:D,MATCH($L16,'msci-indices'!$B:$B)-2)</f>
        <v>621.64895000000001</v>
      </c>
      <c r="AE16" s="22">
        <f t="shared" si="28"/>
        <v>99361.735863859809</v>
      </c>
      <c r="AF16" s="22" cm="1">
        <f t="array" ref="AF16">INDEX('msci-indices'!C:C,MATCH($L16,'msci-indices'!$B:$B)+1)</f>
        <v>624.35597900000005</v>
      </c>
      <c r="AG16" s="22" cm="1">
        <f t="array" ref="AG16">INDEX('msci-indices'!D:D,MATCH($L16,'msci-indices'!$B:$B)+1)</f>
        <v>694.44244900000001</v>
      </c>
      <c r="AH16" s="22">
        <f t="shared" si="4"/>
        <v>62.101084914912384</v>
      </c>
      <c r="AI16" s="22">
        <f t="shared" si="5"/>
        <v>117796.57027953971</v>
      </c>
      <c r="AJ16" s="22">
        <f t="shared" si="29"/>
        <v>141430.93872695111</v>
      </c>
      <c r="AK16" s="22">
        <f t="shared" si="6"/>
        <v>-23634.368447411398</v>
      </c>
      <c r="AL16" s="22">
        <f>AJ16*(_xlfn.XLOOKUP(Q_end,cpi!A:A,cpi!B:B)/BH16)</f>
        <v>220054.3745568798</v>
      </c>
      <c r="AM16" s="22" cm="1">
        <f t="array" ref="AM16">SUMPRODUCT($AA$3:AA16,_xlfn.SORTBY($BH$3:BH16,_xlfn.SEQUENCE(ROWS($BH$3:BH16)),-1)/$BH$3)</f>
        <v>153567.92450228726</v>
      </c>
      <c r="AN16" s="22">
        <f t="shared" si="30"/>
        <v>-35771.354222747555</v>
      </c>
      <c r="AO16" s="22">
        <f t="shared" si="7"/>
        <v>0</v>
      </c>
      <c r="AP16" s="22">
        <f t="shared" si="31"/>
        <v>117796.57027953971</v>
      </c>
      <c r="AQ16" s="22"/>
      <c r="AR16" s="10">
        <f>IF($B$10="3BR_H",
INDEX('ns-combined'!$C:$C,MATCH($L16,'ns-combined'!$B:$B,0),MATCH(Council_Area,'ns-combined'!$C$1:$C$1,0))*1000,
INDEX('s-combined'!$C:$C,MATCH($L16,'s-combined'!$B:$B,0),MATCH(Council_Area,'s-combined'!$C$1:$C$1,0))*1000)</f>
        <v>455000</v>
      </c>
      <c r="AS16" s="22">
        <f t="shared" si="35"/>
        <v>13475</v>
      </c>
      <c r="AT16" s="10">
        <v>0</v>
      </c>
      <c r="AU16" s="22">
        <f t="shared" si="8"/>
        <v>9100</v>
      </c>
      <c r="AV16" s="22">
        <f t="shared" si="9"/>
        <v>1308.125</v>
      </c>
      <c r="AW16" s="22">
        <f>SUM($AV$3:AV16)</f>
        <v>17758.3</v>
      </c>
      <c r="AX16" s="22">
        <f t="shared" si="32"/>
        <v>414666.7</v>
      </c>
      <c r="AY16" s="22">
        <f t="shared" si="10"/>
        <v>2024.1761261261263</v>
      </c>
      <c r="AZ16" s="24">
        <f t="shared" si="11"/>
        <v>1.7794954954954957E-2</v>
      </c>
      <c r="BA16" s="24">
        <f t="shared" si="12"/>
        <v>0.35000000000000003</v>
      </c>
      <c r="BB16" s="25">
        <f>IF(MortgageRate="Discounted",_xlfn.XLOOKUP(L16,'mortgage-rates'!$A:$A,'mortgage-rates'!$E:$E)/100,_xlfn.XLOOKUP(L16,'mortgage-rates'!$A:$A,'mortgage-rates'!$D:$D)/100)</f>
        <v>5.1399999999999994E-2</v>
      </c>
      <c r="BC16" s="10">
        <f t="shared" si="37"/>
        <v>292149.32162166882</v>
      </c>
      <c r="BD16" s="10">
        <f t="shared" si="13"/>
        <v>5597.1989280641519</v>
      </c>
      <c r="BE16" s="10">
        <f t="shared" si="14"/>
        <v>3754.1187828384441</v>
      </c>
      <c r="BF16" s="10">
        <f t="shared" si="36"/>
        <v>1843.0801452257078</v>
      </c>
      <c r="BG16" s="12">
        <f t="shared" si="15"/>
        <v>7621.3750541902782</v>
      </c>
      <c r="BH16" s="22">
        <f>INDEX(cpi!B:B,MATCH($L16,cpi!A:A))</f>
        <v>93</v>
      </c>
      <c r="BI16" s="22">
        <f t="shared" si="16"/>
        <v>109.9290780141844</v>
      </c>
      <c r="BJ16" s="22">
        <f t="shared" si="17"/>
        <v>68.031276049393796</v>
      </c>
      <c r="BK16" s="22">
        <f t="shared" si="18"/>
        <v>87.193141601016094</v>
      </c>
      <c r="BL16" s="22">
        <f t="shared" si="19"/>
        <v>73.779835714880477</v>
      </c>
      <c r="BM16" s="22">
        <f t="shared" si="20"/>
        <v>99.37701753833899</v>
      </c>
      <c r="BN16" s="22">
        <f t="shared" si="21"/>
        <v>118.18181818181819</v>
      </c>
      <c r="BO16">
        <f t="shared" si="22"/>
        <v>110.50982312544451</v>
      </c>
    </row>
    <row r="17" spans="1:67" x14ac:dyDescent="0.25">
      <c r="L17" s="1">
        <f t="shared" si="33"/>
        <v>40057</v>
      </c>
      <c r="M17" s="10">
        <f t="shared" si="0"/>
        <v>142454.29308532435</v>
      </c>
      <c r="N17" s="10">
        <f t="shared" si="23"/>
        <v>123066.95852355688</v>
      </c>
      <c r="O17" s="7">
        <f t="shared" si="24"/>
        <v>1.1575348476500817</v>
      </c>
      <c r="P17" s="7">
        <f t="shared" si="1"/>
        <v>0.78188398685057481</v>
      </c>
      <c r="Q17">
        <v>15</v>
      </c>
      <c r="R17">
        <f t="shared" si="2"/>
        <v>92</v>
      </c>
      <c r="S17" s="22"/>
      <c r="T17" s="22">
        <f>IF($B$10="3BR_H",
INDEX('3BR_H-processed'!$E:$E,MATCH($L17,'3BR_H-processed'!$B:$B,0),MATCH(Council_Area,'3BR_H-processed'!$E$1:$E$1,0)),
INDEX('2BR_F-processed'!$E:$E,MATCH($L17,'2BR_F-processed'!$B:$B,0),MATCH(Council_Area,'2BR_F-processed'!$E$1:$E$1,0)))</f>
        <v>452</v>
      </c>
      <c r="U17" s="22">
        <f t="shared" si="25"/>
        <v>444.87387387387389</v>
      </c>
      <c r="V17" s="22">
        <f t="shared" si="34"/>
        <v>5846.9137709137713</v>
      </c>
      <c r="W17" s="22">
        <f>$B$53/4*BH17/_xlfn.XLOOKUP(Q_end,cpi!A:A,cpi!B:B)</f>
        <v>129.50932964754665</v>
      </c>
      <c r="X17" s="22">
        <f t="shared" si="26"/>
        <v>5976.4231005613183</v>
      </c>
      <c r="Y17" s="22">
        <f t="shared" si="3"/>
        <v>1667.1956473226537</v>
      </c>
      <c r="Z17" s="22">
        <f t="shared" si="27"/>
        <v>0</v>
      </c>
      <c r="AA17" s="22" cm="1">
        <f t="array" ref="AA17">(Y17+Z17)*eff_invest</f>
        <v>1667.1956473226537</v>
      </c>
      <c r="AB17" s="22">
        <f>AA17*(_xlfn.XLOOKUP(Q_end,cpi!A:A,cpi!B:B)/BH17)</f>
        <v>2574.6340466124648</v>
      </c>
      <c r="AC17" s="22" cm="1">
        <f t="array" ref="AC17">INDEX('msci-indices'!C:C,MATCH($L17,'msci-indices'!$B:$B)-2)</f>
        <v>624.35597900000005</v>
      </c>
      <c r="AD17" s="22" cm="1">
        <f t="array" ref="AD17">INDEX('msci-indices'!D:D,MATCH($L17,'msci-indices'!$B:$B)-2)</f>
        <v>694.44244900000001</v>
      </c>
      <c r="AE17" s="22">
        <f t="shared" si="28"/>
        <v>119463.76592686237</v>
      </c>
      <c r="AF17" s="22" cm="1">
        <f t="array" ref="AF17">INDEX('msci-indices'!C:C,MATCH($L17,'msci-indices'!$B:$B)+1)</f>
        <v>736.86332800000002</v>
      </c>
      <c r="AG17" s="22" cm="1">
        <f t="array" ref="AG17">INDEX('msci-indices'!D:D,MATCH($L17,'msci-indices'!$B:$B)+1)</f>
        <v>849.38296100000002</v>
      </c>
      <c r="AH17" s="22">
        <f t="shared" si="4"/>
        <v>74.664853704288987</v>
      </c>
      <c r="AI17" s="22">
        <f t="shared" si="5"/>
        <v>142454.29308532435</v>
      </c>
      <c r="AJ17" s="22">
        <f t="shared" si="29"/>
        <v>143098.13437427377</v>
      </c>
      <c r="AK17" s="22">
        <f t="shared" si="6"/>
        <v>-643.84128894942114</v>
      </c>
      <c r="AL17" s="22">
        <f>AJ17*(_xlfn.XLOOKUP(Q_end,cpi!A:A,cpi!B:B)/BH17)</f>
        <v>220985.05916710151</v>
      </c>
      <c r="AM17" s="22" cm="1">
        <f t="array" ref="AM17">SUMPRODUCT($AA$3:AA17,_xlfn.SORTBY($BH$3:BH17,_xlfn.SEQUENCE(ROWS($BH$3:BH17)),-1)/$BH$3)</f>
        <v>156369.71423507226</v>
      </c>
      <c r="AN17" s="22">
        <f t="shared" si="30"/>
        <v>-13915.421149747912</v>
      </c>
      <c r="AO17" s="22">
        <f t="shared" si="7"/>
        <v>0</v>
      </c>
      <c r="AP17" s="22">
        <f t="shared" si="31"/>
        <v>142454.29308532435</v>
      </c>
      <c r="AQ17" s="22"/>
      <c r="AR17" s="10">
        <f>IF($B$10="3BR_H",
INDEX('ns-combined'!$C:$C,MATCH($L17,'ns-combined'!$B:$B,0),MATCH(Council_Area,'ns-combined'!$C$1:$C$1,0))*1000,
INDEX('s-combined'!$C:$C,MATCH($L17,'s-combined'!$B:$B,0),MATCH(Council_Area,'s-combined'!$C$1:$C$1,0))*1000)</f>
        <v>456000</v>
      </c>
      <c r="AS17" s="22">
        <f t="shared" si="35"/>
        <v>14437.5</v>
      </c>
      <c r="AT17" s="10">
        <v>0</v>
      </c>
      <c r="AU17" s="22">
        <f t="shared" si="8"/>
        <v>9120</v>
      </c>
      <c r="AV17" s="22">
        <f t="shared" si="9"/>
        <v>1311</v>
      </c>
      <c r="AW17" s="22">
        <f>SUM($AV$3:AV17)</f>
        <v>19069.3</v>
      </c>
      <c r="AX17" s="22">
        <f t="shared" si="32"/>
        <v>413373.2</v>
      </c>
      <c r="AY17" s="22">
        <f t="shared" si="10"/>
        <v>2046.4198198198201</v>
      </c>
      <c r="AZ17" s="24">
        <f t="shared" si="11"/>
        <v>1.7951051051051055E-2</v>
      </c>
      <c r="BA17" s="24">
        <f t="shared" si="12"/>
        <v>0.35000000000000003</v>
      </c>
      <c r="BB17" s="25">
        <f>IF(MortgageRate="Discounted",_xlfn.XLOOKUP(L17,'mortgage-rates'!$A:$A,'mortgage-rates'!$E:$E)/100,_xlfn.XLOOKUP(L17,'mortgage-rates'!$A:$A,'mortgage-rates'!$D:$D)/100)</f>
        <v>5.1399999999999994E-2</v>
      </c>
      <c r="BC17" s="10">
        <f t="shared" si="37"/>
        <v>290306.24147644313</v>
      </c>
      <c r="BD17" s="10">
        <f t="shared" si="13"/>
        <v>5597.1989280641519</v>
      </c>
      <c r="BE17" s="10">
        <f t="shared" si="14"/>
        <v>3730.4352029722936</v>
      </c>
      <c r="BF17" s="10">
        <f t="shared" si="36"/>
        <v>1866.7637250918583</v>
      </c>
      <c r="BG17" s="12">
        <f t="shared" si="15"/>
        <v>7643.618747883972</v>
      </c>
      <c r="BH17" s="22">
        <f>INDEX(cpi!B:B,MATCH($L17,cpi!A:A))</f>
        <v>93.7</v>
      </c>
      <c r="BI17" s="22">
        <f t="shared" si="16"/>
        <v>110.75650118203311</v>
      </c>
      <c r="BJ17" s="22">
        <f t="shared" si="17"/>
        <v>82.709344629523997</v>
      </c>
      <c r="BK17" s="22">
        <f t="shared" si="18"/>
        <v>97.403235040312381</v>
      </c>
      <c r="BL17" s="22">
        <f t="shared" si="19"/>
        <v>87.117511752760507</v>
      </c>
      <c r="BM17" s="22">
        <f t="shared" si="20"/>
        <v>119.4821392610949</v>
      </c>
      <c r="BN17" s="22">
        <f t="shared" si="21"/>
        <v>118.44155844155844</v>
      </c>
      <c r="BO17">
        <f t="shared" si="22"/>
        <v>110.16510179572896</v>
      </c>
    </row>
    <row r="18" spans="1:67" x14ac:dyDescent="0.25">
      <c r="A18" s="5" t="s">
        <v>323</v>
      </c>
      <c r="L18" s="1">
        <f t="shared" si="33"/>
        <v>40148</v>
      </c>
      <c r="M18" s="10">
        <f t="shared" si="0"/>
        <v>149903.50045483702</v>
      </c>
      <c r="N18" s="10">
        <f t="shared" si="23"/>
        <v>174447.84724864876</v>
      </c>
      <c r="O18" s="7">
        <f t="shared" si="24"/>
        <v>0.85930266735348404</v>
      </c>
      <c r="P18" s="7">
        <f t="shared" si="1"/>
        <v>0.74042889326190187</v>
      </c>
      <c r="Q18">
        <v>16</v>
      </c>
      <c r="R18">
        <f t="shared" si="2"/>
        <v>92</v>
      </c>
      <c r="S18" s="22"/>
      <c r="T18" s="22">
        <f>IF($B$10="3BR_H",
INDEX('3BR_H-processed'!$E:$E,MATCH($L18,'3BR_H-processed'!$B:$B,0),MATCH(Council_Area,'3BR_H-processed'!$E$1:$E$1,0)),
INDEX('2BR_F-processed'!$E:$E,MATCH($L18,'2BR_F-processed'!$B:$B,0),MATCH(Council_Area,'2BR_F-processed'!$E$1:$E$1,0)))</f>
        <v>452</v>
      </c>
      <c r="U18" s="22">
        <f t="shared" si="25"/>
        <v>444.87387387387389</v>
      </c>
      <c r="V18" s="22">
        <f t="shared" si="34"/>
        <v>5846.9137709137713</v>
      </c>
      <c r="W18" s="22">
        <f>$B$53/4*BH18/_xlfn.XLOOKUP(Q_end,cpi!A:A,cpi!B:B)</f>
        <v>130.61506565307533</v>
      </c>
      <c r="X18" s="22">
        <f t="shared" si="26"/>
        <v>5977.5288365668466</v>
      </c>
      <c r="Y18" s="22">
        <f t="shared" si="3"/>
        <v>2095.533804510419</v>
      </c>
      <c r="Z18" s="22">
        <f t="shared" si="27"/>
        <v>0</v>
      </c>
      <c r="AA18" s="22" cm="1">
        <f t="array" ref="AA18">(Y18+Z18)*eff_invest</f>
        <v>2095.533804510419</v>
      </c>
      <c r="AB18" s="22">
        <f>AA18*(_xlfn.XLOOKUP(Q_end,cpi!A:A,cpi!B:B)/BH18)</f>
        <v>3208.7168414037842</v>
      </c>
      <c r="AC18" s="22" cm="1">
        <f t="array" ref="AC18">INDEX('msci-indices'!C:C,MATCH($L18,'msci-indices'!$B:$B)-2)</f>
        <v>736.86332800000002</v>
      </c>
      <c r="AD18" s="22" cm="1">
        <f t="array" ref="AD18">INDEX('msci-indices'!D:D,MATCH($L18,'msci-indices'!$B:$B)-2)</f>
        <v>849.38296100000002</v>
      </c>
      <c r="AE18" s="22">
        <f t="shared" si="28"/>
        <v>144549.82688983477</v>
      </c>
      <c r="AF18" s="22" cm="1">
        <f t="array" ref="AF18">INDEX('msci-indices'!C:C,MATCH($L18,'msci-indices'!$B:$B)+1)</f>
        <v>765.74116200000003</v>
      </c>
      <c r="AG18" s="22" cm="1">
        <f t="array" ref="AG18">INDEX('msci-indices'!D:D,MATCH($L18,'msci-indices'!$B:$B)+1)</f>
        <v>878.343298</v>
      </c>
      <c r="AH18" s="22">
        <f t="shared" si="4"/>
        <v>90.343641806146735</v>
      </c>
      <c r="AI18" s="22">
        <f t="shared" si="5"/>
        <v>149903.50045483702</v>
      </c>
      <c r="AJ18" s="22">
        <f t="shared" si="29"/>
        <v>145193.6681787842</v>
      </c>
      <c r="AK18" s="22">
        <f t="shared" si="6"/>
        <v>4709.8322760528245</v>
      </c>
      <c r="AL18" s="22">
        <f>AJ18*(_xlfn.XLOOKUP(Q_end,cpi!A:A,cpi!B:B)/BH18)</f>
        <v>222323.0030208473</v>
      </c>
      <c r="AM18" s="22" cm="1">
        <f t="array" ref="AM18">SUMPRODUCT($AA$3:AA18,_xlfn.SORTBY($BH$3:BH18,_xlfn.SEQUENCE(ROWS($BH$3:BH18)),-1)/$BH$3)</f>
        <v>159749.85331254624</v>
      </c>
      <c r="AN18" s="22">
        <f t="shared" si="30"/>
        <v>-9846.352857709222</v>
      </c>
      <c r="AO18" s="22">
        <f t="shared" si="7"/>
        <v>0</v>
      </c>
      <c r="AP18" s="22">
        <f t="shared" si="31"/>
        <v>149903.50045483702</v>
      </c>
      <c r="AQ18" s="22"/>
      <c r="AR18" s="10">
        <f>IF($B$10="3BR_H",
INDEX('ns-combined'!$C:$C,MATCH($L18,'ns-combined'!$B:$B,0),MATCH(Council_Area,'ns-combined'!$C$1:$C$1,0))*1000,
INDEX('s-combined'!$C:$C,MATCH($L18,'s-combined'!$B:$B,0),MATCH(Council_Area,'s-combined'!$C$1:$C$1,0))*1000)</f>
        <v>509000</v>
      </c>
      <c r="AS18" s="22">
        <f t="shared" si="35"/>
        <v>15400</v>
      </c>
      <c r="AT18" s="10">
        <v>0</v>
      </c>
      <c r="AU18" s="22">
        <f t="shared" si="8"/>
        <v>10180</v>
      </c>
      <c r="AV18" s="22">
        <f t="shared" si="9"/>
        <v>1463.375</v>
      </c>
      <c r="AW18" s="22">
        <f>SUM($AV$3:AV18)</f>
        <v>20532.674999999999</v>
      </c>
      <c r="AX18" s="22">
        <f t="shared" si="32"/>
        <v>462887.32500000001</v>
      </c>
      <c r="AY18" s="22">
        <f>$B$36*V18</f>
        <v>2046.4198198198201</v>
      </c>
      <c r="AZ18" s="24">
        <f t="shared" si="11"/>
        <v>1.6081884635126286E-2</v>
      </c>
      <c r="BA18" s="24">
        <f t="shared" si="12"/>
        <v>0.35000000000000003</v>
      </c>
      <c r="BB18" s="25">
        <f>IF(MortgageRate="Discounted",_xlfn.XLOOKUP(L18,'mortgage-rates'!$A:$A,'mortgage-rates'!$E:$E)/100,_xlfn.XLOOKUP(L18,'mortgage-rates'!$A:$A,'mortgage-rates'!$D:$D)/100)</f>
        <v>0.06</v>
      </c>
      <c r="BC18" s="10">
        <f t="shared" si="37"/>
        <v>288439.47775135125</v>
      </c>
      <c r="BD18" s="10">
        <f t="shared" si="13"/>
        <v>6026.6428212574456</v>
      </c>
      <c r="BE18" s="10">
        <f t="shared" si="14"/>
        <v>4326.5921662702685</v>
      </c>
      <c r="BF18" s="10">
        <f t="shared" si="36"/>
        <v>1700.050654987177</v>
      </c>
      <c r="BG18" s="12">
        <f t="shared" si="15"/>
        <v>8073.0626410772657</v>
      </c>
      <c r="BH18" s="22">
        <f>INDEX(cpi!B:B,MATCH($L18,cpi!A:A))</f>
        <v>94.5</v>
      </c>
      <c r="BI18" s="22">
        <f t="shared" si="16"/>
        <v>111.70212765957447</v>
      </c>
      <c r="BJ18" s="22">
        <f t="shared" si="17"/>
        <v>97.613356787298372</v>
      </c>
      <c r="BK18" s="22">
        <f t="shared" si="18"/>
        <v>119.1353557212046</v>
      </c>
      <c r="BL18" s="22">
        <f t="shared" si="19"/>
        <v>104.06995646747023</v>
      </c>
      <c r="BM18" s="22">
        <f t="shared" si="20"/>
        <v>144.57205841972251</v>
      </c>
      <c r="BN18" s="22">
        <f t="shared" si="21"/>
        <v>132.20779220779221</v>
      </c>
      <c r="BO18">
        <f t="shared" si="22"/>
        <v>123.36075313682086</v>
      </c>
    </row>
    <row r="19" spans="1:67" x14ac:dyDescent="0.25">
      <c r="A19" t="s">
        <v>324</v>
      </c>
      <c r="B19" t="s">
        <v>329</v>
      </c>
      <c r="C19" t="s">
        <v>329</v>
      </c>
      <c r="L19" s="1">
        <f>DATE(YEAR(L18),MONTH(L18)+3,1)</f>
        <v>40238</v>
      </c>
      <c r="M19" s="10">
        <f t="shared" si="0"/>
        <v>156864.67347097065</v>
      </c>
      <c r="N19" s="10">
        <f t="shared" si="23"/>
        <v>194241.64790363592</v>
      </c>
      <c r="O19" s="7">
        <f t="shared" si="24"/>
        <v>0.80757486957066926</v>
      </c>
      <c r="P19" s="7">
        <f t="shared" si="1"/>
        <v>0.72587750242760363</v>
      </c>
      <c r="Q19">
        <v>17</v>
      </c>
      <c r="R19">
        <f t="shared" si="2"/>
        <v>90</v>
      </c>
      <c r="S19" s="22"/>
      <c r="T19" s="22">
        <f>IF($B$10="3BR_H",
INDEX('3BR_H-processed'!$E:$E,MATCH($L19,'3BR_H-processed'!$B:$B,0),MATCH(Council_Area,'3BR_H-processed'!$E$1:$E$1,0)),
INDEX('2BR_F-processed'!$E:$E,MATCH($L19,'2BR_F-processed'!$B:$B,0),MATCH(Council_Area,'2BR_F-processed'!$E$1:$E$1,0)))</f>
        <v>452</v>
      </c>
      <c r="U19" s="22">
        <f t="shared" si="25"/>
        <v>452</v>
      </c>
      <c r="V19" s="22">
        <f t="shared" si="34"/>
        <v>5811.4285714285716</v>
      </c>
      <c r="W19" s="22">
        <f>$B$53/4*BH19/_xlfn.XLOOKUP(Q_end,cpi!A:A,cpi!B:B)</f>
        <v>131.58258465791295</v>
      </c>
      <c r="X19" s="22">
        <f t="shared" si="26"/>
        <v>5943.0111560864843</v>
      </c>
      <c r="Y19" s="22">
        <f t="shared" si="3"/>
        <v>2244.3360701477641</v>
      </c>
      <c r="Z19" s="22">
        <f t="shared" si="27"/>
        <v>0</v>
      </c>
      <c r="AA19" s="22" cm="1">
        <f t="array" ref="AA19">(Y19+Z19)*eff_invest</f>
        <v>2244.3360701477641</v>
      </c>
      <c r="AB19" s="22">
        <f>AA19*(_xlfn.XLOOKUP(Q_end,cpi!A:A,cpi!B:B)/BH19)</f>
        <v>3411.2965267897212</v>
      </c>
      <c r="AC19" s="22" cm="1">
        <f t="array" ref="AC19">INDEX('msci-indices'!C:C,MATCH($L19,'msci-indices'!$B:$B)-2)</f>
        <v>765.74116200000003</v>
      </c>
      <c r="AD19" s="22" cm="1">
        <f t="array" ref="AD19">INDEX('msci-indices'!D:D,MATCH($L19,'msci-indices'!$B:$B)-2)</f>
        <v>878.343298</v>
      </c>
      <c r="AE19" s="22">
        <f t="shared" si="28"/>
        <v>152147.83652498477</v>
      </c>
      <c r="AF19" s="22" cm="1">
        <f t="array" ref="AF19">INDEX('msci-indices'!C:C,MATCH($L19,'msci-indices'!$B:$B)+1)</f>
        <v>794.63717599999995</v>
      </c>
      <c r="AG19" s="22" cm="1">
        <f t="array" ref="AG19">INDEX('msci-indices'!D:D,MATCH($L19,'msci-indices'!$B:$B)+1)</f>
        <v>893.60148100000004</v>
      </c>
      <c r="AH19" s="22">
        <f t="shared" si="4"/>
        <v>95.09239782811548</v>
      </c>
      <c r="AI19" s="22">
        <f t="shared" si="5"/>
        <v>156864.67347097065</v>
      </c>
      <c r="AJ19" s="22">
        <f t="shared" si="29"/>
        <v>147438.00424893195</v>
      </c>
      <c r="AK19" s="22">
        <f t="shared" si="6"/>
        <v>9426.6692220387049</v>
      </c>
      <c r="AL19" s="22">
        <f>AJ19*(_xlfn.XLOOKUP(Q_end,cpi!A:A,cpi!B:B)/BH19)</f>
        <v>224099.57158424845</v>
      </c>
      <c r="AM19" s="22" cm="1">
        <f t="array" ref="AM19">SUMPRODUCT($AA$3:AA19,_xlfn.SORTBY($BH$3:BH19,_xlfn.SEQUENCE(ROWS($BH$3:BH19)),-1)/$BH$3)</f>
        <v>163190.36558571929</v>
      </c>
      <c r="AN19" s="22">
        <f t="shared" si="30"/>
        <v>-6325.6921147486428</v>
      </c>
      <c r="AO19" s="22">
        <f t="shared" si="7"/>
        <v>0</v>
      </c>
      <c r="AP19" s="22">
        <f t="shared" si="31"/>
        <v>156864.67347097065</v>
      </c>
      <c r="AQ19" s="22"/>
      <c r="AR19" s="10">
        <f>IF($B$10="3BR_H",
INDEX('ns-combined'!$C:$C,MATCH($L19,'ns-combined'!$B:$B,0),MATCH(Council_Area,'ns-combined'!$C$1:$C$1,0))*1000,
INDEX('s-combined'!$C:$C,MATCH($L19,'s-combined'!$B:$B,0),MATCH(Council_Area,'s-combined'!$C$1:$C$1,0))*1000)</f>
        <v>530000</v>
      </c>
      <c r="AS19" s="22">
        <f t="shared" si="35"/>
        <v>16362.5</v>
      </c>
      <c r="AT19" s="10">
        <v>0</v>
      </c>
      <c r="AU19" s="22">
        <f t="shared" si="8"/>
        <v>10600</v>
      </c>
      <c r="AV19" s="22">
        <f t="shared" si="9"/>
        <v>1523.75</v>
      </c>
      <c r="AW19" s="22">
        <f>SUM($AV$3:AV19)</f>
        <v>22056.424999999999</v>
      </c>
      <c r="AX19" s="22">
        <f t="shared" si="32"/>
        <v>480981.07500000001</v>
      </c>
      <c r="AY19" s="22">
        <f t="shared" si="10"/>
        <v>2034.0000000000002</v>
      </c>
      <c r="AZ19" s="24">
        <f t="shared" si="11"/>
        <v>1.5350943396226417E-2</v>
      </c>
      <c r="BA19" s="24">
        <f t="shared" si="12"/>
        <v>0.35000000000000003</v>
      </c>
      <c r="BB19" s="25">
        <f>IF(MortgageRate="Discounted",_xlfn.XLOOKUP(L19,'mortgage-rates'!$A:$A,'mortgage-rates'!$E:$E)/100,_xlfn.XLOOKUP(L19,'mortgage-rates'!$A:$A,'mortgage-rates'!$D:$D)/100)</f>
        <v>6.25E-2</v>
      </c>
      <c r="BC19" s="10">
        <f t="shared" si="37"/>
        <v>286739.42709636409</v>
      </c>
      <c r="BD19" s="10">
        <f t="shared" si="13"/>
        <v>6153.3472262342484</v>
      </c>
      <c r="BE19" s="10">
        <f t="shared" si="14"/>
        <v>4480.3035483806889</v>
      </c>
      <c r="BF19" s="10">
        <f t="shared" si="36"/>
        <v>1673.0436778535595</v>
      </c>
      <c r="BG19" s="12">
        <f t="shared" si="15"/>
        <v>8187.3472262342484</v>
      </c>
      <c r="BH19" s="22">
        <f>INDEX(cpi!B:B,MATCH($L19,cpi!A:A))</f>
        <v>95.2</v>
      </c>
      <c r="BI19" s="22">
        <f t="shared" si="16"/>
        <v>112.52955082742318</v>
      </c>
      <c r="BJ19" s="22">
        <f t="shared" si="17"/>
        <v>101.43884545849789</v>
      </c>
      <c r="BK19" s="22">
        <f t="shared" si="18"/>
        <v>123.19736332992677</v>
      </c>
      <c r="BL19" s="22">
        <f t="shared" si="19"/>
        <v>107.96640081992655</v>
      </c>
      <c r="BM19" s="22">
        <f t="shared" si="20"/>
        <v>152.17123661648148</v>
      </c>
      <c r="BN19" s="22">
        <f t="shared" si="21"/>
        <v>137.66233766233765</v>
      </c>
      <c r="BO19">
        <f t="shared" si="22"/>
        <v>128.18278758563483</v>
      </c>
    </row>
    <row r="20" spans="1:67" x14ac:dyDescent="0.25">
      <c r="A20" t="s">
        <v>335</v>
      </c>
      <c r="B20" s="8">
        <v>0.2</v>
      </c>
      <c r="C20" s="8">
        <v>0.2</v>
      </c>
      <c r="L20" s="1">
        <f t="shared" si="33"/>
        <v>40330</v>
      </c>
      <c r="M20" s="10">
        <f t="shared" si="0"/>
        <v>139689.39454081294</v>
      </c>
      <c r="N20" s="10">
        <f t="shared" si="23"/>
        <v>179944.11658148951</v>
      </c>
      <c r="O20" s="7">
        <f t="shared" si="24"/>
        <v>0.77629320254854339</v>
      </c>
      <c r="P20" s="7">
        <f t="shared" si="1"/>
        <v>0.70979862322781706</v>
      </c>
      <c r="Q20">
        <v>18</v>
      </c>
      <c r="R20">
        <f t="shared" si="2"/>
        <v>91</v>
      </c>
      <c r="S20" s="22"/>
      <c r="T20" s="22">
        <f>IF($B$10="3BR_H",
INDEX('3BR_H-processed'!$E:$E,MATCH($L20,'3BR_H-processed'!$B:$B,0),MATCH(Council_Area,'3BR_H-processed'!$E$1:$E$1,0)),
INDEX('2BR_F-processed'!$E:$E,MATCH($L20,'2BR_F-processed'!$B:$B,0),MATCH(Council_Area,'2BR_F-processed'!$E$1:$E$1,0)))</f>
        <v>452</v>
      </c>
      <c r="U20" s="22">
        <f t="shared" si="25"/>
        <v>452</v>
      </c>
      <c r="V20" s="22">
        <f t="shared" si="34"/>
        <v>5876</v>
      </c>
      <c r="W20" s="22">
        <f>$B$53/4*BH20/_xlfn.XLOOKUP(Q_end,cpi!A:A,cpi!B:B)</f>
        <v>132.41188666205943</v>
      </c>
      <c r="X20" s="22">
        <f t="shared" si="26"/>
        <v>6008.4118866620593</v>
      </c>
      <c r="Y20" s="22">
        <f t="shared" si="3"/>
        <v>2456.5409746702717</v>
      </c>
      <c r="Z20" s="22">
        <f t="shared" si="27"/>
        <v>0</v>
      </c>
      <c r="AA20" s="22" cm="1">
        <f t="array" ref="AA20">(Y20+Z20)*eff_invest</f>
        <v>2456.5409746702717</v>
      </c>
      <c r="AB20" s="22">
        <f>AA20*(_xlfn.XLOOKUP(Q_end,cpi!A:A,cpi!B:B)/BH20)</f>
        <v>3710.4538521376649</v>
      </c>
      <c r="AC20" s="22" cm="1">
        <f t="array" ref="AC20">INDEX('msci-indices'!C:C,MATCH($L20,'msci-indices'!$B:$B)-2)</f>
        <v>794.63717599999995</v>
      </c>
      <c r="AD20" s="22" cm="1">
        <f t="array" ref="AD20">INDEX('msci-indices'!D:D,MATCH($L20,'msci-indices'!$B:$B)-2)</f>
        <v>893.60148100000004</v>
      </c>
      <c r="AE20" s="22">
        <f t="shared" si="28"/>
        <v>159321.21444564092</v>
      </c>
      <c r="AF20" s="22" cm="1">
        <f t="array" ref="AF20">INDEX('msci-indices'!C:C,MATCH($L20,'msci-indices'!$B:$B)+1)</f>
        <v>696.18017999999995</v>
      </c>
      <c r="AG20" s="22" cm="1">
        <f t="array" ref="AG20">INDEX('msci-indices'!D:D,MATCH($L20,'msci-indices'!$B:$B)+1)</f>
        <v>786.77036999999996</v>
      </c>
      <c r="AH20" s="22">
        <f t="shared" si="4"/>
        <v>99.575759028525567</v>
      </c>
      <c r="AI20" s="22">
        <f t="shared" si="5"/>
        <v>139689.39454081294</v>
      </c>
      <c r="AJ20" s="22">
        <f t="shared" si="29"/>
        <v>149894.54522360221</v>
      </c>
      <c r="AK20" s="22">
        <f t="shared" si="6"/>
        <v>-10205.150682789274</v>
      </c>
      <c r="AL20" s="22">
        <f>AJ20*(_xlfn.XLOOKUP(Q_end,cpi!A:A,cpi!B:B)/BH20)</f>
        <v>226406.47905903173</v>
      </c>
      <c r="AM20" s="22" cm="1">
        <f t="array" ref="AM20">SUMPRODUCT($AA$3:AA20,_xlfn.SORTBY($BH$3:BH20,_xlfn.SEQUENCE(ROWS($BH$3:BH20)),-1)/$BH$3)</f>
        <v>166748.57390219392</v>
      </c>
      <c r="AN20" s="22">
        <f t="shared" si="30"/>
        <v>-27059.179361380986</v>
      </c>
      <c r="AO20" s="22">
        <f t="shared" si="7"/>
        <v>0</v>
      </c>
      <c r="AP20" s="22">
        <f t="shared" si="31"/>
        <v>139689.39454081294</v>
      </c>
      <c r="AQ20" s="22"/>
      <c r="AR20" s="10">
        <f>IF($B$10="3BR_H",
INDEX('ns-combined'!$C:$C,MATCH($L20,'ns-combined'!$B:$B,0),MATCH(Council_Area,'ns-combined'!$C$1:$C$1,0))*1000,
INDEX('s-combined'!$C:$C,MATCH($L20,'s-combined'!$B:$B,0),MATCH(Council_Area,'s-combined'!$C$1:$C$1,0))*1000)</f>
        <v>516200.00000000006</v>
      </c>
      <c r="AS20" s="22">
        <f t="shared" si="35"/>
        <v>17325</v>
      </c>
      <c r="AT20" s="10">
        <v>0</v>
      </c>
      <c r="AU20" s="22">
        <f t="shared" si="8"/>
        <v>10324.000000000002</v>
      </c>
      <c r="AV20" s="22">
        <f t="shared" si="9"/>
        <v>1484.075</v>
      </c>
      <c r="AW20" s="22">
        <f>SUM($AV$3:AV20)</f>
        <v>23540.5</v>
      </c>
      <c r="AX20" s="22">
        <f t="shared" si="32"/>
        <v>465010.50000000006</v>
      </c>
      <c r="AY20" s="22">
        <f t="shared" si="10"/>
        <v>2056.6000000000004</v>
      </c>
      <c r="AZ20" s="24">
        <f t="shared" si="11"/>
        <v>1.5936458736923675E-2</v>
      </c>
      <c r="BA20" s="24">
        <f t="shared" si="12"/>
        <v>0.35000000000000009</v>
      </c>
      <c r="BB20" s="25">
        <f>IF(MortgageRate="Discounted",_xlfn.XLOOKUP(L20,'mortgage-rates'!$A:$A,'mortgage-rates'!$E:$E)/100,_xlfn.XLOOKUP(L20,'mortgage-rates'!$A:$A,'mortgage-rates'!$D:$D)/100)</f>
        <v>6.7500000000000004E-2</v>
      </c>
      <c r="BC20" s="10">
        <f t="shared" si="37"/>
        <v>285066.38341851055</v>
      </c>
      <c r="BD20" s="10">
        <f t="shared" si="13"/>
        <v>6408.3528613323306</v>
      </c>
      <c r="BE20" s="10">
        <f t="shared" si="14"/>
        <v>4810.4952201873657</v>
      </c>
      <c r="BF20" s="10">
        <f t="shared" si="36"/>
        <v>1597.8576411449649</v>
      </c>
      <c r="BG20" s="12">
        <f t="shared" si="15"/>
        <v>8464.9528613323309</v>
      </c>
      <c r="BH20" s="22">
        <f>INDEX(cpi!B:B,MATCH($L20,cpi!A:A))</f>
        <v>95.8</v>
      </c>
      <c r="BI20" s="22">
        <f t="shared" si="16"/>
        <v>113.2387706855792</v>
      </c>
      <c r="BJ20" s="22">
        <f t="shared" si="17"/>
        <v>105.26674246073921</v>
      </c>
      <c r="BK20" s="22">
        <f t="shared" si="18"/>
        <v>125.3374922739123</v>
      </c>
      <c r="BL20" s="22">
        <f t="shared" si="19"/>
        <v>111.28796740469113</v>
      </c>
      <c r="BM20" s="22">
        <f t="shared" si="20"/>
        <v>159.34571779107486</v>
      </c>
      <c r="BN20" s="22">
        <f t="shared" si="21"/>
        <v>134.0779220779221</v>
      </c>
      <c r="BO20">
        <f t="shared" si="22"/>
        <v>123.92658515013269</v>
      </c>
    </row>
    <row r="21" spans="1:67" x14ac:dyDescent="0.25">
      <c r="A21" t="s">
        <v>334</v>
      </c>
      <c r="B21" s="4">
        <v>0</v>
      </c>
      <c r="C21" s="4">
        <v>0</v>
      </c>
      <c r="L21" s="1">
        <f t="shared" si="33"/>
        <v>40422</v>
      </c>
      <c r="M21" s="10">
        <f t="shared" si="0"/>
        <v>159577.00566754246</v>
      </c>
      <c r="N21" s="10">
        <f t="shared" si="23"/>
        <v>192579.7242226344</v>
      </c>
      <c r="O21" s="7">
        <f t="shared" si="24"/>
        <v>0.82862828011458411</v>
      </c>
      <c r="P21" s="7">
        <f t="shared" si="1"/>
        <v>0.71561411356962068</v>
      </c>
      <c r="Q21">
        <v>19</v>
      </c>
      <c r="R21">
        <f t="shared" si="2"/>
        <v>92</v>
      </c>
      <c r="S21" s="22"/>
      <c r="T21" s="22">
        <f>IF($B$10="3BR_H",
INDEX('3BR_H-processed'!$E:$E,MATCH($L21,'3BR_H-processed'!$B:$B,0),MATCH(Council_Area,'3BR_H-processed'!$E$1:$E$1,0)),
INDEX('2BR_F-processed'!$E:$E,MATCH($L21,'2BR_F-processed'!$B:$B,0),MATCH(Council_Area,'2BR_F-processed'!$E$1:$E$1,0)))</f>
        <v>432.61923000414686</v>
      </c>
      <c r="U21" s="22">
        <f t="shared" si="25"/>
        <v>452</v>
      </c>
      <c r="V21" s="22">
        <f t="shared" si="34"/>
        <v>5940.5714285714284</v>
      </c>
      <c r="W21" s="22">
        <f>$B$53/4*BH21/_xlfn.XLOOKUP(Q_end,cpi!A:A,cpi!B:B)</f>
        <v>133.24118866620594</v>
      </c>
      <c r="X21" s="22">
        <f t="shared" si="26"/>
        <v>6073.8126172376342</v>
      </c>
      <c r="Y21" s="22">
        <f t="shared" si="3"/>
        <v>2413.7402440946971</v>
      </c>
      <c r="Z21" s="22">
        <f t="shared" si="27"/>
        <v>0</v>
      </c>
      <c r="AA21" s="22" cm="1">
        <f t="array" ref="AA21">(Y21+Z21)*eff_invest</f>
        <v>2413.7402440946971</v>
      </c>
      <c r="AB21" s="22">
        <f>AA21*(_xlfn.XLOOKUP(Q_end,cpi!A:A,cpi!B:B)/BH21)</f>
        <v>3623.114246063305</v>
      </c>
      <c r="AC21" s="22" cm="1">
        <f t="array" ref="AC21">INDEX('msci-indices'!C:C,MATCH($L21,'msci-indices'!$B:$B)-2)</f>
        <v>696.18017999999995</v>
      </c>
      <c r="AD21" s="22" cm="1">
        <f t="array" ref="AD21">INDEX('msci-indices'!D:D,MATCH($L21,'msci-indices'!$B:$B)-2)</f>
        <v>786.77036999999996</v>
      </c>
      <c r="AE21" s="22">
        <f t="shared" si="28"/>
        <v>142103.13478490763</v>
      </c>
      <c r="AF21" s="22" cm="1">
        <f t="array" ref="AF21">INDEX('msci-indices'!C:C,MATCH($L21,'msci-indices'!$B:$B)+1)</f>
        <v>792.86985700000002</v>
      </c>
      <c r="AG21" s="22" cm="1">
        <f t="array" ref="AG21">INDEX('msci-indices'!D:D,MATCH($L21,'msci-indices'!$B:$B)+1)</f>
        <v>855.92990299999997</v>
      </c>
      <c r="AH21" s="22">
        <f t="shared" si="4"/>
        <v>88.814459240567274</v>
      </c>
      <c r="AI21" s="22">
        <f t="shared" si="5"/>
        <v>159577.00566754246</v>
      </c>
      <c r="AJ21" s="22">
        <f t="shared" si="29"/>
        <v>152308.2854676969</v>
      </c>
      <c r="AK21" s="22">
        <f t="shared" si="6"/>
        <v>7268.7201998455566</v>
      </c>
      <c r="AL21" s="22">
        <f>AJ21*(_xlfn.XLOOKUP(Q_end,cpi!A:A,cpi!B:B)/BH21)</f>
        <v>228620.42434829604</v>
      </c>
      <c r="AM21" s="22" cm="1">
        <f t="array" ref="AM21">SUMPRODUCT($AA$3:AA21,_xlfn.SORTBY($BH$3:BH21,_xlfn.SEQUENCE(ROWS($BH$3:BH21)),-1)/$BH$3)</f>
        <v>170273.50813201981</v>
      </c>
      <c r="AN21" s="22">
        <f t="shared" si="30"/>
        <v>-10696.502464477351</v>
      </c>
      <c r="AO21" s="22">
        <f t="shared" si="7"/>
        <v>0</v>
      </c>
      <c r="AP21" s="22">
        <f t="shared" si="31"/>
        <v>159577.00566754246</v>
      </c>
      <c r="AQ21" s="22"/>
      <c r="AR21" s="10">
        <f>IF($B$10="3BR_H",
INDEX('ns-combined'!$C:$C,MATCH($L21,'ns-combined'!$B:$B,0),MATCH(Council_Area,'ns-combined'!$C$1:$C$1,0))*1000,
INDEX('s-combined'!$C:$C,MATCH($L21,'s-combined'!$B:$B,0),MATCH(Council_Area,'s-combined'!$C$1:$C$1,0))*1000)</f>
        <v>530000</v>
      </c>
      <c r="AS21" s="22">
        <f t="shared" si="35"/>
        <v>18287.5</v>
      </c>
      <c r="AT21" s="10">
        <v>0</v>
      </c>
      <c r="AU21" s="22">
        <f t="shared" si="8"/>
        <v>10600</v>
      </c>
      <c r="AV21" s="22">
        <f t="shared" si="9"/>
        <v>1523.75</v>
      </c>
      <c r="AW21" s="22">
        <f>SUM($AV$3:AV21)</f>
        <v>25064.25</v>
      </c>
      <c r="AX21" s="22">
        <f t="shared" si="32"/>
        <v>476048.25</v>
      </c>
      <c r="AY21" s="22">
        <f t="shared" si="10"/>
        <v>2079.2000000000003</v>
      </c>
      <c r="AZ21" s="24">
        <f t="shared" si="11"/>
        <v>1.5692075471698114E-2</v>
      </c>
      <c r="BA21" s="24">
        <f t="shared" si="12"/>
        <v>0.35000000000000003</v>
      </c>
      <c r="BB21" s="25">
        <f>IF(MortgageRate="Discounted",_xlfn.XLOOKUP(L21,'mortgage-rates'!$A:$A,'mortgage-rates'!$E:$E)/100,_xlfn.XLOOKUP(L21,'mortgage-rates'!$A:$A,'mortgage-rates'!$D:$D)/100)</f>
        <v>6.7500000000000004E-2</v>
      </c>
      <c r="BC21" s="10">
        <f t="shared" si="37"/>
        <v>283468.5257773656</v>
      </c>
      <c r="BD21" s="10">
        <f t="shared" si="13"/>
        <v>6408.3528613323306</v>
      </c>
      <c r="BE21" s="10">
        <f t="shared" si="14"/>
        <v>4783.5313724930447</v>
      </c>
      <c r="BF21" s="10">
        <f t="shared" si="36"/>
        <v>1624.8214888392858</v>
      </c>
      <c r="BG21" s="12">
        <f t="shared" si="15"/>
        <v>8487.5528613323313</v>
      </c>
      <c r="BH21" s="22">
        <f>INDEX(cpi!B:B,MATCH($L21,cpi!A:A))</f>
        <v>96.4</v>
      </c>
      <c r="BI21" s="22">
        <f t="shared" si="16"/>
        <v>113.94799054373523</v>
      </c>
      <c r="BJ21" s="22">
        <f t="shared" si="17"/>
        <v>92.224001000339641</v>
      </c>
      <c r="BK21" s="22">
        <f t="shared" si="18"/>
        <v>110.35324724491825</v>
      </c>
      <c r="BL21" s="22">
        <f t="shared" si="19"/>
        <v>97.662774873713232</v>
      </c>
      <c r="BM21" s="22">
        <f t="shared" si="20"/>
        <v>142.12499001750169</v>
      </c>
      <c r="BN21" s="22">
        <f t="shared" si="21"/>
        <v>137.66233766233765</v>
      </c>
      <c r="BO21">
        <f t="shared" si="22"/>
        <v>126.86817607171589</v>
      </c>
    </row>
    <row r="22" spans="1:67" x14ac:dyDescent="0.25">
      <c r="L22" s="1">
        <f t="shared" si="33"/>
        <v>40513</v>
      </c>
      <c r="M22" s="10">
        <f t="shared" si="0"/>
        <v>175261.38115080816</v>
      </c>
      <c r="N22" s="10">
        <f t="shared" si="23"/>
        <v>196115.35821147368</v>
      </c>
      <c r="O22" s="7">
        <f t="shared" si="24"/>
        <v>0.89366474277767471</v>
      </c>
      <c r="P22" s="7">
        <f t="shared" si="1"/>
        <v>0.69891651961970613</v>
      </c>
      <c r="Q22">
        <v>20</v>
      </c>
      <c r="R22">
        <f t="shared" si="2"/>
        <v>92</v>
      </c>
      <c r="S22" s="22"/>
      <c r="T22" s="22">
        <f>IF($B$10="3BR_H",
INDEX('3BR_H-processed'!$E:$E,MATCH($L22,'3BR_H-processed'!$B:$B,0),MATCH(Council_Area,'3BR_H-processed'!$E$1:$E$1,0)),
INDEX('2BR_F-processed'!$E:$E,MATCH($L22,'2BR_F-processed'!$B:$B,0),MATCH(Council_Area,'2BR_F-processed'!$E$1:$E$1,0)))</f>
        <v>438.6927181143563</v>
      </c>
      <c r="U22" s="22">
        <f t="shared" si="25"/>
        <v>452</v>
      </c>
      <c r="V22" s="22">
        <f t="shared" si="34"/>
        <v>5940.5714285714284</v>
      </c>
      <c r="W22" s="22">
        <f>$B$53/4*BH22/_xlfn.XLOOKUP(Q_end,cpi!A:A,cpi!B:B)</f>
        <v>134.07049067035246</v>
      </c>
      <c r="X22" s="22">
        <f t="shared" si="26"/>
        <v>6074.6419192417807</v>
      </c>
      <c r="Y22" s="22">
        <f t="shared" si="3"/>
        <v>2616.870942046874</v>
      </c>
      <c r="Z22" s="22">
        <f t="shared" si="27"/>
        <v>0</v>
      </c>
      <c r="AA22" s="22" cm="1">
        <f t="array" ref="AA22">(Y22+Z22)*eff_invest</f>
        <v>2616.870942046874</v>
      </c>
      <c r="AB22" s="22">
        <f>AA22*(_xlfn.XLOOKUP(Q_end,cpi!A:A,cpi!B:B)/BH22)</f>
        <v>3903.7239723111611</v>
      </c>
      <c r="AC22" s="22" cm="1">
        <f t="array" ref="AC22">INDEX('msci-indices'!C:C,MATCH($L22,'msci-indices'!$B:$B)-2)</f>
        <v>792.86985700000002</v>
      </c>
      <c r="AD22" s="22" cm="1">
        <f t="array" ref="AD22">INDEX('msci-indices'!D:D,MATCH($L22,'msci-indices'!$B:$B)-2)</f>
        <v>855.92990299999997</v>
      </c>
      <c r="AE22" s="22">
        <f t="shared" si="28"/>
        <v>162193.87660958932</v>
      </c>
      <c r="AF22" s="22" cm="1">
        <f t="array" ref="AF22">INDEX('msci-indices'!C:C,MATCH($L22,'msci-indices'!$B:$B)+1)</f>
        <v>869.423677</v>
      </c>
      <c r="AG22" s="22" cm="1">
        <f t="array" ref="AG22">INDEX('msci-indices'!D:D,MATCH($L22,'msci-indices'!$B:$B)+1)</f>
        <v>894.74693600000001</v>
      </c>
      <c r="AH22" s="22">
        <f t="shared" si="4"/>
        <v>101.37117288099333</v>
      </c>
      <c r="AI22" s="22">
        <f t="shared" si="5"/>
        <v>175261.38115080816</v>
      </c>
      <c r="AJ22" s="22">
        <f t="shared" si="29"/>
        <v>154925.15640974377</v>
      </c>
      <c r="AK22" s="22">
        <f t="shared" si="6"/>
        <v>20336.22474106439</v>
      </c>
      <c r="AL22" s="22">
        <f>AJ22*(_xlfn.XLOOKUP(Q_end,cpi!A:A,cpi!B:B)/BH22)</f>
        <v>231110.00136587548</v>
      </c>
      <c r="AM22" s="22" cm="1">
        <f t="array" ref="AM22">SUMPRODUCT($AA$3:AA22,_xlfn.SORTBY($BH$3:BH22,_xlfn.SEQUENCE(ROWS($BH$3:BH22)),-1)/$BH$3)</f>
        <v>173997.66151791444</v>
      </c>
      <c r="AN22" s="22">
        <f t="shared" si="30"/>
        <v>1263.7196328937134</v>
      </c>
      <c r="AO22" s="22">
        <f t="shared" si="7"/>
        <v>0</v>
      </c>
      <c r="AP22" s="22">
        <f t="shared" si="31"/>
        <v>175261.38115080816</v>
      </c>
      <c r="AQ22" s="22"/>
      <c r="AR22" s="10">
        <f>IF($B$10="3BR_H",
INDEX('ns-combined'!$C:$C,MATCH($L22,'ns-combined'!$B:$B,0),MATCH(Council_Area,'ns-combined'!$C$1:$C$1,0))*1000,
INDEX('s-combined'!$C:$C,MATCH($L22,'s-combined'!$B:$B,0),MATCH(Council_Area,'s-combined'!$C$1:$C$1,0))*1000)</f>
        <v>534500</v>
      </c>
      <c r="AS22" s="22">
        <f t="shared" si="35"/>
        <v>19250</v>
      </c>
      <c r="AT22" s="10">
        <v>0</v>
      </c>
      <c r="AU22" s="22">
        <f t="shared" si="8"/>
        <v>10690</v>
      </c>
      <c r="AV22" s="22">
        <f t="shared" si="9"/>
        <v>1536.6875</v>
      </c>
      <c r="AW22" s="22">
        <f>SUM($AV$3:AV22)</f>
        <v>26600.9375</v>
      </c>
      <c r="AX22" s="22">
        <f t="shared" si="32"/>
        <v>477959.0625</v>
      </c>
      <c r="AY22" s="22">
        <f t="shared" si="10"/>
        <v>2079.2000000000003</v>
      </c>
      <c r="AZ22" s="24">
        <f t="shared" si="11"/>
        <v>1.55599625818522E-2</v>
      </c>
      <c r="BA22" s="24">
        <f t="shared" si="12"/>
        <v>0.35000000000000003</v>
      </c>
      <c r="BB22" s="25">
        <f>IF(MortgageRate="Discounted",_xlfn.XLOOKUP(L22,'mortgage-rates'!$A:$A,'mortgage-rates'!$E:$E)/100,_xlfn.XLOOKUP(L22,'mortgage-rates'!$A:$A,'mortgage-rates'!$D:$D)/100)</f>
        <v>7.1500000000000008E-2</v>
      </c>
      <c r="BC22" s="10">
        <f t="shared" si="37"/>
        <v>281843.70428852632</v>
      </c>
      <c r="BD22" s="10">
        <f t="shared" si="13"/>
        <v>6612.3128612886549</v>
      </c>
      <c r="BE22" s="10">
        <f t="shared" si="14"/>
        <v>5037.9562141574088</v>
      </c>
      <c r="BF22" s="10">
        <f t="shared" si="36"/>
        <v>1574.3566471312461</v>
      </c>
      <c r="BG22" s="12">
        <f>AT22+AY22+BD22</f>
        <v>8691.5128612886547</v>
      </c>
      <c r="BH22" s="22">
        <f>INDEX(cpi!B:B,MATCH($L22,cpi!A:A))</f>
        <v>97</v>
      </c>
      <c r="BI22" s="22">
        <f t="shared" si="16"/>
        <v>114.65721040189126</v>
      </c>
      <c r="BJ22" s="22">
        <f t="shared" si="17"/>
        <v>105.03262314234105</v>
      </c>
      <c r="BK22" s="22">
        <f t="shared" si="18"/>
        <v>120.0536367556367</v>
      </c>
      <c r="BL22" s="22">
        <f t="shared" si="19"/>
        <v>109.53892722632975</v>
      </c>
      <c r="BM22" s="22">
        <f t="shared" si="20"/>
        <v>162.21882176582395</v>
      </c>
      <c r="BN22" s="22">
        <f t="shared" si="21"/>
        <v>138.83116883116884</v>
      </c>
      <c r="BO22">
        <f t="shared" si="22"/>
        <v>127.37741289107198</v>
      </c>
    </row>
    <row r="23" spans="1:67" x14ac:dyDescent="0.25">
      <c r="A23" s="5" t="s">
        <v>339</v>
      </c>
      <c r="L23" s="1">
        <f t="shared" si="33"/>
        <v>40603</v>
      </c>
      <c r="M23" s="10">
        <f t="shared" si="0"/>
        <v>185875.53555906922</v>
      </c>
      <c r="N23" s="10">
        <f t="shared" si="23"/>
        <v>190793.46485860494</v>
      </c>
      <c r="O23" s="7">
        <f t="shared" si="24"/>
        <v>0.97422380633854333</v>
      </c>
      <c r="P23" s="7">
        <f t="shared" si="1"/>
        <v>0.68339692574639765</v>
      </c>
      <c r="Q23">
        <v>21</v>
      </c>
      <c r="R23">
        <f t="shared" si="2"/>
        <v>90</v>
      </c>
      <c r="S23" s="22"/>
      <c r="T23" s="22">
        <f>IF($B$10="3BR_H",
INDEX('3BR_H-processed'!$E:$E,MATCH($L23,'3BR_H-processed'!$B:$B,0),MATCH(Council_Area,'3BR_H-processed'!$E$1:$E$1,0)),
INDEX('2BR_F-processed'!$E:$E,MATCH($L23,'2BR_F-processed'!$B:$B,0),MATCH(Council_Area,'2BR_F-processed'!$E$1:$E$1,0)))</f>
        <v>446.6349717969378</v>
      </c>
      <c r="U23" s="22">
        <f t="shared" si="25"/>
        <v>446.6349717969378</v>
      </c>
      <c r="V23" s="22">
        <f t="shared" si="34"/>
        <v>5742.4496373892007</v>
      </c>
      <c r="W23" s="22">
        <f>$B$53/4*BH23/_xlfn.XLOOKUP(Q_end,cpi!A:A,cpi!B:B)</f>
        <v>136.00552868002765</v>
      </c>
      <c r="X23" s="22">
        <f t="shared" si="26"/>
        <v>5878.4551660692287</v>
      </c>
      <c r="Y23" s="22">
        <f t="shared" si="3"/>
        <v>2723.3616472693047</v>
      </c>
      <c r="Z23" s="22">
        <f t="shared" si="27"/>
        <v>0</v>
      </c>
      <c r="AA23" s="22" cm="1">
        <f t="array" ref="AA23">(Y23+Z23)*eff_invest</f>
        <v>2723.3616472693047</v>
      </c>
      <c r="AB23" s="22">
        <f>AA23*(_xlfn.XLOOKUP(Q_end,cpi!A:A,cpi!B:B)/BH23)</f>
        <v>4004.7807963401251</v>
      </c>
      <c r="AC23" s="22" cm="1">
        <f t="array" ref="AC23">INDEX('msci-indices'!C:C,MATCH($L23,'msci-indices'!$B:$B)-2)</f>
        <v>869.423677</v>
      </c>
      <c r="AD23" s="22" cm="1">
        <f t="array" ref="AD23">INDEX('msci-indices'!D:D,MATCH($L23,'msci-indices'!$B:$B)-2)</f>
        <v>894.74693600000001</v>
      </c>
      <c r="AE23" s="22">
        <f t="shared" si="28"/>
        <v>177984.74279807747</v>
      </c>
      <c r="AF23" s="22" cm="1">
        <f t="array" ref="AF23">INDEX('msci-indices'!C:C,MATCH($L23,'msci-indices'!$B:$B)+1)</f>
        <v>912.83803799999998</v>
      </c>
      <c r="AG23" s="22" cm="1">
        <f t="array" ref="AG23">INDEX('msci-indices'!D:D,MATCH($L23,'msci-indices'!$B:$B)+1)</f>
        <v>924.58628799999997</v>
      </c>
      <c r="AH23" s="22">
        <f t="shared" si="4"/>
        <v>111.24046424879842</v>
      </c>
      <c r="AI23" s="22">
        <f t="shared" si="5"/>
        <v>185875.53555906922</v>
      </c>
      <c r="AJ23" s="22">
        <f t="shared" si="29"/>
        <v>157648.51805701308</v>
      </c>
      <c r="AK23" s="22">
        <f t="shared" si="6"/>
        <v>28227.017502056144</v>
      </c>
      <c r="AL23" s="22">
        <f>AJ23*(_xlfn.XLOOKUP(Q_end,cpi!A:A,cpi!B:B)/BH23)</f>
        <v>231826.63173627833</v>
      </c>
      <c r="AM23" s="22" cm="1">
        <f t="array" ref="AM23">SUMPRODUCT($AA$3:AA23,_xlfn.SORTBY($BH$3:BH23,_xlfn.SEQUENCE(ROWS($BH$3:BH23)),-1)/$BH$3)</f>
        <v>178774.78038507869</v>
      </c>
      <c r="AN23" s="22">
        <f t="shared" si="30"/>
        <v>7100.7551739905321</v>
      </c>
      <c r="AO23" s="22">
        <f t="shared" si="7"/>
        <v>0</v>
      </c>
      <c r="AP23" s="22">
        <f t="shared" si="31"/>
        <v>185875.53555906922</v>
      </c>
      <c r="AQ23" s="22"/>
      <c r="AR23" s="10">
        <f>IF($B$10="3BR_H",
INDEX('ns-combined'!$C:$C,MATCH($L23,'ns-combined'!$B:$B,0),MATCH(Council_Area,'ns-combined'!$C$1:$C$1,0))*1000,
INDEX('s-combined'!$C:$C,MATCH($L23,'s-combined'!$B:$B,0),MATCH(Council_Area,'s-combined'!$C$1:$C$1,0))*1000)</f>
        <v>530000</v>
      </c>
      <c r="AS23" s="22">
        <f t="shared" si="35"/>
        <v>20212.5</v>
      </c>
      <c r="AT23" s="10">
        <v>0</v>
      </c>
      <c r="AU23" s="22">
        <f t="shared" si="8"/>
        <v>10600</v>
      </c>
      <c r="AV23" s="22">
        <f t="shared" si="9"/>
        <v>1523.75</v>
      </c>
      <c r="AW23" s="22">
        <f>SUM($AV$3:AV23)</f>
        <v>28124.6875</v>
      </c>
      <c r="AX23" s="22">
        <f t="shared" si="32"/>
        <v>471062.8125</v>
      </c>
      <c r="AY23" s="22">
        <f t="shared" si="10"/>
        <v>2009.8573730862204</v>
      </c>
      <c r="AZ23" s="24">
        <f t="shared" si="11"/>
        <v>1.5168734891216758E-2</v>
      </c>
      <c r="BA23" s="24">
        <f t="shared" si="12"/>
        <v>0.35000000000000003</v>
      </c>
      <c r="BB23" s="25">
        <f>IF(MortgageRate="Discounted",_xlfn.XLOOKUP(L23,'mortgage-rates'!$A:$A,'mortgage-rates'!$E:$E)/100,_xlfn.XLOOKUP(L23,'mortgage-rates'!$A:$A,'mortgage-rates'!$D:$D)/100)</f>
        <v>7.1099999999999997E-2</v>
      </c>
      <c r="BC23" s="10">
        <f t="shared" si="37"/>
        <v>280269.34764139506</v>
      </c>
      <c r="BD23" s="10">
        <f t="shared" si="13"/>
        <v>6591.9594402523126</v>
      </c>
      <c r="BE23" s="10">
        <f t="shared" si="14"/>
        <v>4981.7876543257971</v>
      </c>
      <c r="BF23" s="10">
        <f t="shared" si="36"/>
        <v>1610.1717859265154</v>
      </c>
      <c r="BG23" s="12">
        <f t="shared" si="15"/>
        <v>8601.8168133385334</v>
      </c>
      <c r="BH23" s="22">
        <f>INDEX(cpi!B:B,MATCH($L23,cpi!A:A))</f>
        <v>98.4</v>
      </c>
      <c r="BI23" s="22">
        <f t="shared" si="16"/>
        <v>116.31205673758866</v>
      </c>
      <c r="BJ23" s="22">
        <f t="shared" si="17"/>
        <v>115.17381902105713</v>
      </c>
      <c r="BK23" s="22">
        <f t="shared" si="18"/>
        <v>125.49815500810108</v>
      </c>
      <c r="BL23" s="22">
        <f t="shared" si="19"/>
        <v>118.2711198171703</v>
      </c>
      <c r="BM23" s="22">
        <f t="shared" si="20"/>
        <v>178.01211656402526</v>
      </c>
      <c r="BN23" s="22">
        <f t="shared" si="21"/>
        <v>137.66233766233765</v>
      </c>
      <c r="BO23">
        <f t="shared" si="22"/>
        <v>125.53954318094372</v>
      </c>
    </row>
    <row r="24" spans="1:67" x14ac:dyDescent="0.25">
      <c r="A24" s="6" t="s">
        <v>493</v>
      </c>
      <c r="L24" s="1">
        <f t="shared" si="33"/>
        <v>40695</v>
      </c>
      <c r="M24" s="10">
        <f t="shared" si="0"/>
        <v>186357.24625285092</v>
      </c>
      <c r="N24" s="10">
        <f t="shared" si="23"/>
        <v>192848.76164453145</v>
      </c>
      <c r="O24" s="7">
        <f t="shared" si="24"/>
        <v>0.96633882770973656</v>
      </c>
      <c r="P24" s="7">
        <f t="shared" si="1"/>
        <v>0.69199669264847452</v>
      </c>
      <c r="Q24">
        <v>22</v>
      </c>
      <c r="R24">
        <f t="shared" si="2"/>
        <v>91</v>
      </c>
      <c r="S24" s="22"/>
      <c r="T24" s="22">
        <f>IF($B$10="3BR_H",
INDEX('3BR_H-processed'!$E:$E,MATCH($L24,'3BR_H-processed'!$B:$B,0),MATCH(Council_Area,'3BR_H-processed'!$E$1:$E$1,0)),
INDEX('2BR_F-processed'!$E:$E,MATCH($L24,'2BR_F-processed'!$B:$B,0),MATCH(Council_Area,'2BR_F-processed'!$E$1:$E$1,0)))</f>
        <v>446.6349717969378</v>
      </c>
      <c r="U24" s="22">
        <f t="shared" si="25"/>
        <v>446.6349717969378</v>
      </c>
      <c r="V24" s="22">
        <f t="shared" si="34"/>
        <v>5806.2546333601913</v>
      </c>
      <c r="W24" s="22">
        <f>$B$53/4*BH24/_xlfn.XLOOKUP(Q_end,cpi!A:A,cpi!B:B)</f>
        <v>137.24948168624741</v>
      </c>
      <c r="X24" s="22">
        <f t="shared" si="26"/>
        <v>5943.5041150464385</v>
      </c>
      <c r="Y24" s="22">
        <f t="shared" si="3"/>
        <v>2645.4157138893079</v>
      </c>
      <c r="Z24" s="22">
        <f t="shared" si="27"/>
        <v>0</v>
      </c>
      <c r="AA24" s="22" cm="1">
        <f t="array" ref="AA24">(Y24+Z24)*eff_invest</f>
        <v>2645.4157138893079</v>
      </c>
      <c r="AB24" s="22">
        <f>AA24*(_xlfn.XLOOKUP(Q_end,cpi!A:A,cpi!B:B)/BH24)</f>
        <v>3854.9008439051645</v>
      </c>
      <c r="AC24" s="22" cm="1">
        <f t="array" ref="AC24">INDEX('msci-indices'!C:C,MATCH($L24,'msci-indices'!$B:$B)-2)</f>
        <v>912.83803799999998</v>
      </c>
      <c r="AD24" s="22" cm="1">
        <f t="array" ref="AD24">INDEX('msci-indices'!D:D,MATCH($L24,'msci-indices'!$B:$B)-2)</f>
        <v>924.58628799999997</v>
      </c>
      <c r="AE24" s="22">
        <f t="shared" si="28"/>
        <v>188520.95127295854</v>
      </c>
      <c r="AF24" s="22" cm="1">
        <f t="array" ref="AF24">INDEX('msci-indices'!C:C,MATCH($L24,'msci-indices'!$B:$B)+1)</f>
        <v>915.80493999999999</v>
      </c>
      <c r="AG24" s="22" cm="1">
        <f t="array" ref="AG24">INDEX('msci-indices'!D:D,MATCH($L24,'msci-indices'!$B:$B)+1)</f>
        <v>884.12823400000002</v>
      </c>
      <c r="AH24" s="22">
        <f t="shared" si="4"/>
        <v>117.82559454559909</v>
      </c>
      <c r="AI24" s="22">
        <f t="shared" si="5"/>
        <v>186357.24625285092</v>
      </c>
      <c r="AJ24" s="22">
        <f t="shared" si="29"/>
        <v>160293.9337709024</v>
      </c>
      <c r="AK24" s="22">
        <f t="shared" si="6"/>
        <v>26063.312481948524</v>
      </c>
      <c r="AL24" s="22">
        <f>AJ24*(_xlfn.XLOOKUP(Q_end,cpi!A:A,cpi!B:B)/BH24)</f>
        <v>233580.38486051938</v>
      </c>
      <c r="AM24" s="22" cm="1">
        <f t="array" ref="AM24">SUMPRODUCT($AA$3:AA24,_xlfn.SORTBY($BH$3:BH24,_xlfn.SEQUENCE(ROWS($BH$3:BH24)),-1)/$BH$3)</f>
        <v>182919.73386518398</v>
      </c>
      <c r="AN24" s="22">
        <f t="shared" si="30"/>
        <v>3437.5123876669386</v>
      </c>
      <c r="AO24" s="22">
        <f t="shared" si="7"/>
        <v>0</v>
      </c>
      <c r="AP24" s="22">
        <f t="shared" si="31"/>
        <v>186357.24625285092</v>
      </c>
      <c r="AQ24" s="22"/>
      <c r="AR24" s="10">
        <f>IF($B$10="3BR_H",
INDEX('ns-combined'!$C:$C,MATCH($L24,'ns-combined'!$B:$B,0),MATCH(Council_Area,'ns-combined'!$C$1:$C$1,0))*1000,
INDEX('s-combined'!$C:$C,MATCH($L24,'s-combined'!$B:$B,0),MATCH(Council_Area,'s-combined'!$C$1:$C$1,0))*1000)</f>
        <v>533000</v>
      </c>
      <c r="AS24" s="22">
        <f t="shared" si="35"/>
        <v>21175</v>
      </c>
      <c r="AT24" s="10">
        <v>0</v>
      </c>
      <c r="AU24" s="22">
        <f t="shared" si="8"/>
        <v>10660</v>
      </c>
      <c r="AV24" s="22">
        <f t="shared" si="9"/>
        <v>1532.375</v>
      </c>
      <c r="AW24" s="22">
        <f>SUM($AV$3:AV24)</f>
        <v>29657.0625</v>
      </c>
      <c r="AX24" s="22">
        <f t="shared" si="32"/>
        <v>471507.9375</v>
      </c>
      <c r="AY24" s="22">
        <f t="shared" si="10"/>
        <v>2032.1891216760671</v>
      </c>
      <c r="AZ24" s="24">
        <f t="shared" si="11"/>
        <v>1.5250950256480803E-2</v>
      </c>
      <c r="BA24" s="24">
        <f t="shared" si="12"/>
        <v>0.35000000000000003</v>
      </c>
      <c r="BB24" s="25">
        <f>IF(MortgageRate="Discounted",_xlfn.XLOOKUP(L24,'mortgage-rates'!$A:$A,'mortgage-rates'!$E:$E)/100,_xlfn.XLOOKUP(L24,'mortgage-rates'!$A:$A,'mortgage-rates'!$D:$D)/100)</f>
        <v>7.0400000000000004E-2</v>
      </c>
      <c r="BC24" s="10">
        <f t="shared" si="37"/>
        <v>278659.17585546855</v>
      </c>
      <c r="BD24" s="10">
        <f t="shared" si="13"/>
        <v>6556.7307072596795</v>
      </c>
      <c r="BE24" s="10">
        <f t="shared" si="14"/>
        <v>4904.4014950562469</v>
      </c>
      <c r="BF24" s="10">
        <f t="shared" si="36"/>
        <v>1652.3292122034327</v>
      </c>
      <c r="BG24" s="12">
        <f>AT24+AY24+BD24</f>
        <v>8588.9198289357464</v>
      </c>
      <c r="BH24" s="22">
        <f>INDEX(cpi!B:B,MATCH($L24,cpi!A:A))</f>
        <v>99.3</v>
      </c>
      <c r="BI24" s="22">
        <f t="shared" si="16"/>
        <v>117.3758865248227</v>
      </c>
      <c r="BJ24" s="22">
        <f t="shared" si="17"/>
        <v>120.92498256652478</v>
      </c>
      <c r="BK24" s="22">
        <f t="shared" si="18"/>
        <v>129.68345419378869</v>
      </c>
      <c r="BL24" s="22">
        <f t="shared" si="19"/>
        <v>123.55252405470395</v>
      </c>
      <c r="BM24" s="22">
        <f t="shared" si="20"/>
        <v>188.5499454907509</v>
      </c>
      <c r="BN24" s="22">
        <f t="shared" si="21"/>
        <v>138.44155844155844</v>
      </c>
      <c r="BO24">
        <f t="shared" si="22"/>
        <v>125.65817022531144</v>
      </c>
    </row>
    <row r="25" spans="1:67" x14ac:dyDescent="0.25">
      <c r="A25" t="s">
        <v>336</v>
      </c>
      <c r="B25" s="4">
        <v>1.4999999999999999E-2</v>
      </c>
      <c r="C25" s="4">
        <v>1.4999999999999999E-2</v>
      </c>
      <c r="L25" s="1">
        <f t="shared" si="33"/>
        <v>40787</v>
      </c>
      <c r="M25" s="10">
        <f t="shared" si="0"/>
        <v>159238.39004052724</v>
      </c>
      <c r="N25" s="10">
        <f t="shared" si="23"/>
        <v>149989.8408567349</v>
      </c>
      <c r="O25" s="7">
        <f t="shared" si="24"/>
        <v>1.0616611707230641</v>
      </c>
      <c r="P25" s="7">
        <f t="shared" si="1"/>
        <v>0.69807947340044973</v>
      </c>
      <c r="Q25">
        <v>23</v>
      </c>
      <c r="R25">
        <f t="shared" si="2"/>
        <v>92</v>
      </c>
      <c r="S25" s="22"/>
      <c r="T25" s="22">
        <f>IF($B$10="3BR_H",
INDEX('3BR_H-processed'!$E:$E,MATCH($L25,'3BR_H-processed'!$B:$B,0),MATCH(Council_Area,'3BR_H-processed'!$E$1:$E$1,0)),
INDEX('2BR_F-processed'!$E:$E,MATCH($L25,'2BR_F-processed'!$B:$B,0),MATCH(Council_Area,'2BR_F-processed'!$E$1:$E$1,0)))</f>
        <v>464.88799355358572</v>
      </c>
      <c r="U25" s="22">
        <f t="shared" si="25"/>
        <v>446.6349717969378</v>
      </c>
      <c r="V25" s="22">
        <f t="shared" si="34"/>
        <v>5870.0596293311828</v>
      </c>
      <c r="W25" s="22">
        <f>$B$53/4*BH25/_xlfn.XLOOKUP(Q_end,cpi!A:A,cpi!B:B)</f>
        <v>137.80234968901175</v>
      </c>
      <c r="X25" s="22">
        <f t="shared" si="26"/>
        <v>6007.8619790201947</v>
      </c>
      <c r="Y25" s="22">
        <f t="shared" si="3"/>
        <v>2598.4102406097545</v>
      </c>
      <c r="Z25" s="22">
        <f t="shared" si="27"/>
        <v>0</v>
      </c>
      <c r="AA25" s="22" cm="1">
        <f t="array" ref="AA25">(Y25+Z25)*eff_invest</f>
        <v>2598.4102406097545</v>
      </c>
      <c r="AB25" s="22">
        <f>AA25*(_xlfn.XLOOKUP(Q_end,cpi!A:A,cpi!B:B)/BH25)</f>
        <v>3771.2132579361228</v>
      </c>
      <c r="AC25" s="22" cm="1">
        <f t="array" ref="AC25">INDEX('msci-indices'!C:C,MATCH($L25,'msci-indices'!$B:$B)-2)</f>
        <v>915.80493999999999</v>
      </c>
      <c r="AD25" s="22" cm="1">
        <f t="array" ref="AD25">INDEX('msci-indices'!D:D,MATCH($L25,'msci-indices'!$B:$B)-2)</f>
        <v>884.12823400000002</v>
      </c>
      <c r="AE25" s="22">
        <f t="shared" si="28"/>
        <v>188955.65649346067</v>
      </c>
      <c r="AF25" s="22" cm="1">
        <f t="array" ref="AF25">INDEX('msci-indices'!C:C,MATCH($L25,'msci-indices'!$B:$B)+1)</f>
        <v>758.748516</v>
      </c>
      <c r="AG25" s="22" cm="1">
        <f t="array" ref="AG25">INDEX('msci-indices'!D:D,MATCH($L25,'msci-indices'!$B:$B)+1)</f>
        <v>776.26675599999999</v>
      </c>
      <c r="AH25" s="22">
        <f t="shared" si="4"/>
        <v>118.09728530841292</v>
      </c>
      <c r="AI25" s="22">
        <f t="shared" si="5"/>
        <v>159238.39004052724</v>
      </c>
      <c r="AJ25" s="22">
        <f t="shared" si="29"/>
        <v>162892.34401151215</v>
      </c>
      <c r="AK25" s="22">
        <f t="shared" si="6"/>
        <v>-3653.953970984905</v>
      </c>
      <c r="AL25" s="22">
        <f>AJ25*(_xlfn.XLOOKUP(Q_end,cpi!A:A,cpi!B:B)/BH25)</f>
        <v>236414.46518019863</v>
      </c>
      <c r="AM25" s="22" cm="1">
        <f t="array" ref="AM25">SUMPRODUCT($AA$3:AA25,_xlfn.SORTBY($BH$3:BH25,_xlfn.SEQUENCE(ROWS($BH$3:BH25)),-1)/$BH$3)</f>
        <v>186467.48553290032</v>
      </c>
      <c r="AN25" s="22">
        <f t="shared" si="30"/>
        <v>-27229.095492373075</v>
      </c>
      <c r="AO25" s="22">
        <f t="shared" si="7"/>
        <v>0</v>
      </c>
      <c r="AP25" s="22">
        <f t="shared" si="31"/>
        <v>159238.39004052724</v>
      </c>
      <c r="AQ25" s="22"/>
      <c r="AR25" s="10">
        <f>IF($B$10="3BR_H",
INDEX('ns-combined'!$C:$C,MATCH($L25,'ns-combined'!$B:$B,0),MATCH(Council_Area,'ns-combined'!$C$1:$C$1,0))*1000,
INDEX('s-combined'!$C:$C,MATCH($L25,'s-combined'!$B:$B,0),MATCH(Council_Area,'s-combined'!$C$1:$C$1,0))*1000)</f>
        <v>490000</v>
      </c>
      <c r="AS25" s="22">
        <f t="shared" si="35"/>
        <v>22137.5</v>
      </c>
      <c r="AT25" s="10">
        <v>0</v>
      </c>
      <c r="AU25" s="22">
        <f t="shared" si="8"/>
        <v>9800</v>
      </c>
      <c r="AV25" s="22">
        <f t="shared" si="9"/>
        <v>1408.75</v>
      </c>
      <c r="AW25" s="22">
        <f>SUM($AV$3:AV25)</f>
        <v>31065.8125</v>
      </c>
      <c r="AX25" s="22">
        <f t="shared" si="32"/>
        <v>426996.6875</v>
      </c>
      <c r="AY25" s="22">
        <f t="shared" si="10"/>
        <v>2054.5208702659143</v>
      </c>
      <c r="AZ25" s="24">
        <f t="shared" si="11"/>
        <v>1.677159894094624E-2</v>
      </c>
      <c r="BA25" s="24">
        <f t="shared" si="12"/>
        <v>0.35000000000000003</v>
      </c>
      <c r="BB25" s="25">
        <f>IF(MortgageRate="Discounted",_xlfn.XLOOKUP(L25,'mortgage-rates'!$A:$A,'mortgage-rates'!$E:$E)/100,_xlfn.XLOOKUP(L25,'mortgage-rates'!$A:$A,'mortgage-rates'!$D:$D)/100)</f>
        <v>7.0300000000000001E-2</v>
      </c>
      <c r="BC25" s="10">
        <f t="shared" si="37"/>
        <v>277006.8466432651</v>
      </c>
      <c r="BD25" s="10">
        <f t="shared" si="13"/>
        <v>6551.7513493640345</v>
      </c>
      <c r="BE25" s="10">
        <f t="shared" si="14"/>
        <v>4868.3953297553844</v>
      </c>
      <c r="BF25" s="10">
        <f t="shared" si="36"/>
        <v>1683.3560196086501</v>
      </c>
      <c r="BG25" s="12">
        <f t="shared" si="15"/>
        <v>8606.2722196299492</v>
      </c>
      <c r="BH25" s="22">
        <f>INDEX(cpi!B:B,MATCH($L25,cpi!A:A))</f>
        <v>99.7</v>
      </c>
      <c r="BI25" s="22">
        <f t="shared" si="16"/>
        <v>117.84869976359339</v>
      </c>
      <c r="BJ25" s="22">
        <f t="shared" si="17"/>
        <v>121.31801238966038</v>
      </c>
      <c r="BK25" s="22">
        <f t="shared" si="18"/>
        <v>124.0087645939373</v>
      </c>
      <c r="BL25" s="22">
        <f t="shared" si="19"/>
        <v>122.12523805094347</v>
      </c>
      <c r="BM25" s="22">
        <f t="shared" si="20"/>
        <v>188.98471756821377</v>
      </c>
      <c r="BN25" s="22">
        <f t="shared" si="21"/>
        <v>127.27272727272727</v>
      </c>
      <c r="BO25">
        <f t="shared" si="22"/>
        <v>113.79579891699937</v>
      </c>
    </row>
    <row r="26" spans="1:67" x14ac:dyDescent="0.25">
      <c r="A26" t="s">
        <v>337</v>
      </c>
      <c r="B26" s="4">
        <f>(9500+(5.5/100)*(AR3-300000))/AR3</f>
        <v>3.6818181818181819E-2</v>
      </c>
      <c r="C26" s="4"/>
      <c r="L26" s="1">
        <f t="shared" si="33"/>
        <v>40878</v>
      </c>
      <c r="M26" s="10">
        <f t="shared" si="0"/>
        <v>171065.44282395992</v>
      </c>
      <c r="N26" s="10">
        <f t="shared" si="23"/>
        <v>159073.19687634357</v>
      </c>
      <c r="O26" s="7">
        <f t="shared" si="24"/>
        <v>1.075388224937345</v>
      </c>
      <c r="P26" s="7">
        <f t="shared" si="1"/>
        <v>0.71809443507124382</v>
      </c>
      <c r="Q26">
        <v>24</v>
      </c>
      <c r="R26">
        <f t="shared" si="2"/>
        <v>92</v>
      </c>
      <c r="S26" s="22"/>
      <c r="T26" s="22">
        <f>IF($B$10="3BR_H",
INDEX('3BR_H-processed'!$E:$E,MATCH($L26,'3BR_H-processed'!$B:$B,0),MATCH(Council_Area,'3BR_H-processed'!$E$1:$E$1,0)),
INDEX('2BR_F-processed'!$E:$E,MATCH($L26,'2BR_F-processed'!$B:$B,0),MATCH(Council_Area,'2BR_F-processed'!$E$1:$E$1,0)))</f>
        <v>478.97550850975506</v>
      </c>
      <c r="U26" s="22">
        <f t="shared" si="25"/>
        <v>446.6349717969378</v>
      </c>
      <c r="V26" s="22">
        <f t="shared" si="34"/>
        <v>5870.0596293311828</v>
      </c>
      <c r="W26" s="22">
        <f>$B$53/4*BH26/_xlfn.XLOOKUP(Q_end,cpi!A:A,cpi!B:B)</f>
        <v>138.07878369039392</v>
      </c>
      <c r="X26" s="22">
        <f t="shared" si="26"/>
        <v>6008.1384130215765</v>
      </c>
      <c r="Y26" s="22">
        <f t="shared" si="3"/>
        <v>2358.6419428594645</v>
      </c>
      <c r="Z26" s="22">
        <f t="shared" si="27"/>
        <v>0</v>
      </c>
      <c r="AA26" s="22" cm="1">
        <f t="array" ref="AA26">(Y26+Z26)*eff_invest</f>
        <v>2358.6419428594645</v>
      </c>
      <c r="AB26" s="22">
        <f>AA26*(_xlfn.XLOOKUP(Q_end,cpi!A:A,cpi!B:B)/BH26)</f>
        <v>3416.371262580225</v>
      </c>
      <c r="AC26" s="22" cm="1">
        <f t="array" ref="AC26">INDEX('msci-indices'!C:C,MATCH($L26,'msci-indices'!$B:$B)-2)</f>
        <v>758.748516</v>
      </c>
      <c r="AD26" s="22" cm="1">
        <f t="array" ref="AD26">INDEX('msci-indices'!D:D,MATCH($L26,'msci-indices'!$B:$B)-2)</f>
        <v>776.26675599999999</v>
      </c>
      <c r="AE26" s="22">
        <f t="shared" si="28"/>
        <v>161597.0319833867</v>
      </c>
      <c r="AF26" s="22" cm="1">
        <f t="array" ref="AF26">INDEX('msci-indices'!C:C,MATCH($L26,'msci-indices'!$B:$B)+1)</f>
        <v>816.97540400000003</v>
      </c>
      <c r="AG26" s="22" cm="1">
        <f t="array" ref="AG26">INDEX('msci-indices'!D:D,MATCH($L26,'msci-indices'!$B:$B)+1)</f>
        <v>790.49635000000001</v>
      </c>
      <c r="AH26" s="22">
        <f t="shared" si="4"/>
        <v>100.99814498961669</v>
      </c>
      <c r="AI26" s="22">
        <f t="shared" si="5"/>
        <v>171065.44282395992</v>
      </c>
      <c r="AJ26" s="22">
        <f t="shared" si="29"/>
        <v>165250.9859543716</v>
      </c>
      <c r="AK26" s="22">
        <f t="shared" si="6"/>
        <v>5814.4568695883208</v>
      </c>
      <c r="AL26" s="22">
        <f>AJ26*(_xlfn.XLOOKUP(Q_end,cpi!A:A,cpi!B:B)/BH26)</f>
        <v>239357.53421018587</v>
      </c>
      <c r="AM26" s="22" cm="1">
        <f t="array" ref="AM26">SUMPRODUCT($AA$3:AA26,_xlfn.SORTBY($BH$3:BH26,_xlfn.SEQUENCE(ROWS($BH$3:BH26)),-1)/$BH$3)</f>
        <v>189569.89442382284</v>
      </c>
      <c r="AN26" s="22">
        <f t="shared" si="30"/>
        <v>-18504.451599862921</v>
      </c>
      <c r="AO26" s="22">
        <f t="shared" si="7"/>
        <v>0</v>
      </c>
      <c r="AP26" s="22">
        <f t="shared" si="31"/>
        <v>171065.44282395992</v>
      </c>
      <c r="AQ26" s="22"/>
      <c r="AR26" s="10">
        <f>IF($B$10="3BR_H",
INDEX('ns-combined'!$C:$C,MATCH($L26,'ns-combined'!$B:$B,0),MATCH(Council_Area,'ns-combined'!$C$1:$C$1,0))*1000,
INDEX('s-combined'!$C:$C,MATCH($L26,'s-combined'!$B:$B,0),MATCH(Council_Area,'s-combined'!$C$1:$C$1,0))*1000)</f>
        <v>500000</v>
      </c>
      <c r="AS26" s="22">
        <f t="shared" si="35"/>
        <v>23100</v>
      </c>
      <c r="AT26" s="10">
        <v>0</v>
      </c>
      <c r="AU26" s="22">
        <f t="shared" si="8"/>
        <v>10000</v>
      </c>
      <c r="AV26" s="22">
        <f t="shared" si="9"/>
        <v>1437.5</v>
      </c>
      <c r="AW26" s="22">
        <f>SUM($AV$3:AV26)</f>
        <v>32503.3125</v>
      </c>
      <c r="AX26" s="22">
        <f t="shared" si="32"/>
        <v>434396.6875</v>
      </c>
      <c r="AY26" s="22">
        <f t="shared" si="10"/>
        <v>2054.5208702659143</v>
      </c>
      <c r="AZ26" s="24">
        <f t="shared" si="11"/>
        <v>1.6436166962127314E-2</v>
      </c>
      <c r="BA26" s="24">
        <f t="shared" si="12"/>
        <v>0.35000000000000003</v>
      </c>
      <c r="BB26" s="25">
        <f>IF(MortgageRate="Discounted",_xlfn.XLOOKUP(L26,'mortgage-rates'!$A:$A,'mortgage-rates'!$E:$E)/100,_xlfn.XLOOKUP(L26,'mortgage-rates'!$A:$A,'mortgage-rates'!$D:$D)/100)</f>
        <v>6.54E-2</v>
      </c>
      <c r="BC26" s="10">
        <f t="shared" si="37"/>
        <v>275323.49062365643</v>
      </c>
      <c r="BD26" s="10">
        <f t="shared" si="13"/>
        <v>6312.2594856151263</v>
      </c>
      <c r="BE26" s="10">
        <f t="shared" si="14"/>
        <v>4501.5390716967822</v>
      </c>
      <c r="BF26" s="10">
        <f t="shared" si="36"/>
        <v>1810.7204139183441</v>
      </c>
      <c r="BG26" s="12">
        <f t="shared" si="15"/>
        <v>8366.780355881041</v>
      </c>
      <c r="BH26" s="22">
        <f>INDEX(cpi!B:B,MATCH($L26,cpi!A:A))</f>
        <v>99.9</v>
      </c>
      <c r="BI26" s="22">
        <f t="shared" si="16"/>
        <v>118.08510638297874</v>
      </c>
      <c r="BJ26" s="22">
        <f t="shared" si="17"/>
        <v>100.5125194724593</v>
      </c>
      <c r="BK26" s="22">
        <f t="shared" si="18"/>
        <v>108.87999919579919</v>
      </c>
      <c r="BL26" s="22">
        <f t="shared" si="19"/>
        <v>103.02276338946128</v>
      </c>
      <c r="BM26" s="22">
        <f t="shared" si="20"/>
        <v>161.62188534588185</v>
      </c>
      <c r="BN26" s="22">
        <f t="shared" si="21"/>
        <v>129.87012987012986</v>
      </c>
      <c r="BO26">
        <f t="shared" si="22"/>
        <v>115.76791939623799</v>
      </c>
    </row>
    <row r="27" spans="1:67" x14ac:dyDescent="0.25">
      <c r="A27" s="6" t="s">
        <v>494</v>
      </c>
      <c r="L27" s="1">
        <f t="shared" si="33"/>
        <v>40969</v>
      </c>
      <c r="M27" s="10">
        <f t="shared" si="0"/>
        <v>192027.97633871724</v>
      </c>
      <c r="N27" s="10">
        <f t="shared" si="23"/>
        <v>170697.97979026189</v>
      </c>
      <c r="O27" s="7">
        <f t="shared" si="24"/>
        <v>1.1249575219030929</v>
      </c>
      <c r="P27" s="7">
        <f t="shared" si="1"/>
        <v>0.73699653056599257</v>
      </c>
      <c r="Q27">
        <v>25</v>
      </c>
      <c r="R27">
        <f t="shared" si="2"/>
        <v>91</v>
      </c>
      <c r="S27" s="22"/>
      <c r="T27" s="22">
        <f>IF($B$10="3BR_H",
INDEX('3BR_H-processed'!$E:$E,MATCH($L27,'3BR_H-processed'!$B:$B,0),MATCH(Council_Area,'3BR_H-processed'!$E$1:$E$1,0)),
INDEX('2BR_F-processed'!$E:$E,MATCH($L27,'2BR_F-processed'!$B:$B,0),MATCH(Council_Area,'2BR_F-processed'!$E$1:$E$1,0)))</f>
        <v>474.18575342465749</v>
      </c>
      <c r="U27" s="22">
        <f t="shared" si="25"/>
        <v>474.18575342465749</v>
      </c>
      <c r="V27" s="22">
        <f t="shared" si="34"/>
        <v>6164.4147945205477</v>
      </c>
      <c r="W27" s="22">
        <f>$B$53/4*BH27/_xlfn.XLOOKUP(Q_end,cpi!A:A,cpi!B:B)</f>
        <v>138.07878369039392</v>
      </c>
      <c r="X27" s="22">
        <f t="shared" si="26"/>
        <v>6302.4935782109415</v>
      </c>
      <c r="Y27" s="22">
        <f t="shared" si="3"/>
        <v>2249.0983449841433</v>
      </c>
      <c r="Z27" s="22">
        <f t="shared" si="27"/>
        <v>0</v>
      </c>
      <c r="AA27" s="22" cm="1">
        <f t="array" ref="AA27">(Y27+Z27)*eff_invest</f>
        <v>2249.0983449841433</v>
      </c>
      <c r="AB27" s="22">
        <f>AA27*(_xlfn.XLOOKUP(Q_end,cpi!A:A,cpi!B:B)/BH27)</f>
        <v>3257.7030082002552</v>
      </c>
      <c r="AC27" s="22" cm="1">
        <f t="array" ref="AC27">INDEX('msci-indices'!C:C,MATCH($L27,'msci-indices'!$B:$B)-2)</f>
        <v>816.97540400000003</v>
      </c>
      <c r="AD27" s="22" cm="1">
        <f t="array" ref="AD27">INDEX('msci-indices'!D:D,MATCH($L27,'msci-indices'!$B:$B)-2)</f>
        <v>790.49635000000001</v>
      </c>
      <c r="AE27" s="22">
        <f t="shared" si="28"/>
        <v>173314.54116894407</v>
      </c>
      <c r="AF27" s="22" cm="1">
        <f t="array" ref="AF27">INDEX('msci-indices'!C:C,MATCH($L27,'msci-indices'!$B:$B)+1)</f>
        <v>913.58723299999997</v>
      </c>
      <c r="AG27" s="22" cm="1">
        <f t="array" ref="AG27">INDEX('msci-indices'!D:D,MATCH($L27,'msci-indices'!$B:$B)+1)</f>
        <v>858.531702</v>
      </c>
      <c r="AH27" s="22">
        <f t="shared" si="4"/>
        <v>108.32158823059004</v>
      </c>
      <c r="AI27" s="22">
        <f t="shared" si="5"/>
        <v>192027.97633871724</v>
      </c>
      <c r="AJ27" s="22">
        <f t="shared" si="29"/>
        <v>167500.08429935575</v>
      </c>
      <c r="AK27" s="22">
        <f t="shared" si="6"/>
        <v>24527.892039361497</v>
      </c>
      <c r="AL27" s="22">
        <f>AJ27*(_xlfn.XLOOKUP(Q_end,cpi!A:A,cpi!B:B)/BH27)</f>
        <v>242615.23721838614</v>
      </c>
      <c r="AM27" s="22" cm="1">
        <f t="array" ref="AM27">SUMPRODUCT($AA$3:AA27,_xlfn.SORTBY($BH$3:BH27,_xlfn.SEQUENCE(ROWS($BH$3:BH27)),-1)/$BH$3)</f>
        <v>192339.83880636777</v>
      </c>
      <c r="AN27" s="22">
        <f t="shared" si="30"/>
        <v>-311.86246765052783</v>
      </c>
      <c r="AO27" s="22">
        <f t="shared" si="7"/>
        <v>0</v>
      </c>
      <c r="AP27" s="22">
        <f t="shared" si="31"/>
        <v>192027.97633871724</v>
      </c>
      <c r="AQ27" s="22"/>
      <c r="AR27" s="10">
        <f>IF($B$10="3BR_H",
INDEX('ns-combined'!$C:$C,MATCH($L27,'ns-combined'!$B:$B,0),MATCH(Council_Area,'ns-combined'!$C$1:$C$1,0))*1000,
INDEX('s-combined'!$C:$C,MATCH($L27,'s-combined'!$B:$B,0),MATCH(Council_Area,'s-combined'!$C$1:$C$1,0))*1000)</f>
        <v>512500</v>
      </c>
      <c r="AS27" s="22">
        <f t="shared" si="35"/>
        <v>24062.5</v>
      </c>
      <c r="AT27" s="10">
        <v>0</v>
      </c>
      <c r="AU27" s="22">
        <f t="shared" si="8"/>
        <v>10250</v>
      </c>
      <c r="AV27" s="22">
        <f t="shared" si="9"/>
        <v>1473.4375</v>
      </c>
      <c r="AW27" s="22">
        <f>SUM($AV$3:AV27)</f>
        <v>33976.75</v>
      </c>
      <c r="AX27" s="22">
        <f t="shared" si="32"/>
        <v>444210.75</v>
      </c>
      <c r="AY27" s="22">
        <f t="shared" si="10"/>
        <v>2157.5451780821918</v>
      </c>
      <c r="AZ27" s="24">
        <f t="shared" si="11"/>
        <v>1.6839376999665888E-2</v>
      </c>
      <c r="BA27" s="24">
        <f t="shared" si="12"/>
        <v>0.35000000000000003</v>
      </c>
      <c r="BB27" s="25">
        <f>IF(MortgageRate="Discounted",_xlfn.XLOOKUP(L27,'mortgage-rates'!$A:$A,'mortgage-rates'!$E:$E)/100,_xlfn.XLOOKUP(L27,'mortgage-rates'!$A:$A,'mortgage-rates'!$D:$D)/100)</f>
        <v>6.7099999999999993E-2</v>
      </c>
      <c r="BC27" s="10">
        <f t="shared" si="37"/>
        <v>273512.77020973811</v>
      </c>
      <c r="BD27" s="10">
        <f t="shared" si="13"/>
        <v>6394.0467451128934</v>
      </c>
      <c r="BE27" s="10">
        <f t="shared" si="14"/>
        <v>4588.1767202683559</v>
      </c>
      <c r="BF27" s="10">
        <f t="shared" si="36"/>
        <v>1805.8700248445375</v>
      </c>
      <c r="BG27" s="12">
        <f t="shared" si="15"/>
        <v>8551.5919231950847</v>
      </c>
      <c r="BH27" s="22">
        <f>INDEX(cpi!B:B,MATCH($L27,cpi!A:A))</f>
        <v>99.9</v>
      </c>
      <c r="BI27" s="22">
        <f t="shared" si="16"/>
        <v>118.08510638297874</v>
      </c>
      <c r="BJ27" s="22">
        <f t="shared" si="17"/>
        <v>108.22592001362189</v>
      </c>
      <c r="BK27" s="22">
        <f t="shared" si="18"/>
        <v>110.87585715480799</v>
      </c>
      <c r="BL27" s="22">
        <f t="shared" si="19"/>
        <v>109.02090115597773</v>
      </c>
      <c r="BM27" s="22">
        <f t="shared" si="20"/>
        <v>173.34119666542495</v>
      </c>
      <c r="BN27" s="22">
        <f t="shared" si="21"/>
        <v>133.11688311688312</v>
      </c>
      <c r="BO27">
        <f t="shared" si="22"/>
        <v>118.38339421255928</v>
      </c>
    </row>
    <row r="28" spans="1:67" x14ac:dyDescent="0.25">
      <c r="A28" t="s">
        <v>338</v>
      </c>
      <c r="B28" s="4">
        <v>1.4999999999999999E-2</v>
      </c>
      <c r="C28" s="4">
        <v>1.4999999999999999E-2</v>
      </c>
      <c r="L28" s="1">
        <f t="shared" si="33"/>
        <v>41061</v>
      </c>
      <c r="M28" s="10">
        <f t="shared" si="0"/>
        <v>183698.10876143866</v>
      </c>
      <c r="N28" s="10">
        <f t="shared" si="23"/>
        <v>140754.16231510643</v>
      </c>
      <c r="O28" s="7">
        <f t="shared" si="24"/>
        <v>1.305098945139495</v>
      </c>
      <c r="P28" s="7">
        <f t="shared" si="1"/>
        <v>0.76150808485024535</v>
      </c>
      <c r="Q28">
        <v>26</v>
      </c>
      <c r="R28">
        <f t="shared" si="2"/>
        <v>91</v>
      </c>
      <c r="S28" s="22"/>
      <c r="T28" s="22">
        <f>IF($B$10="3BR_H",
INDEX('3BR_H-processed'!$E:$E,MATCH($L28,'3BR_H-processed'!$B:$B,0),MATCH(Council_Area,'3BR_H-processed'!$E$1:$E$1,0)),
INDEX('2BR_F-processed'!$E:$E,MATCH($L28,'2BR_F-processed'!$B:$B,0),MATCH(Council_Area,'2BR_F-processed'!$E$1:$E$1,0)))</f>
        <v>469.49084497490838</v>
      </c>
      <c r="U28" s="22">
        <f t="shared" si="25"/>
        <v>474.18575342465749</v>
      </c>
      <c r="V28" s="22">
        <f t="shared" si="34"/>
        <v>6164.4147945205477</v>
      </c>
      <c r="W28" s="22">
        <f>$B$53/4*BH28/_xlfn.XLOOKUP(Q_end,cpi!A:A,cpi!B:B)</f>
        <v>138.90808569454043</v>
      </c>
      <c r="X28" s="22">
        <f t="shared" si="26"/>
        <v>6303.3228802150879</v>
      </c>
      <c r="Y28" s="22">
        <f t="shared" si="3"/>
        <v>1974.0979451392086</v>
      </c>
      <c r="Z28" s="22">
        <f t="shared" si="27"/>
        <v>0</v>
      </c>
      <c r="AA28" s="22" cm="1">
        <f t="array" ref="AA28">(Y28+Z28)*eff_invest</f>
        <v>1974.0979451392086</v>
      </c>
      <c r="AB28" s="22">
        <f>AA28*(_xlfn.XLOOKUP(Q_end,cpi!A:A,cpi!B:B)/BH28)</f>
        <v>2842.3081856879949</v>
      </c>
      <c r="AC28" s="22" cm="1">
        <f t="array" ref="AC28">INDEX('msci-indices'!C:C,MATCH($L28,'msci-indices'!$B:$B)-2)</f>
        <v>913.58723299999997</v>
      </c>
      <c r="AD28" s="22" cm="1">
        <f t="array" ref="AD28">INDEX('msci-indices'!D:D,MATCH($L28,'msci-indices'!$B:$B)-2)</f>
        <v>858.531702</v>
      </c>
      <c r="AE28" s="22">
        <f t="shared" si="28"/>
        <v>194002.07428385646</v>
      </c>
      <c r="AF28" s="22" cm="1">
        <f t="array" ref="AF28">INDEX('msci-indices'!C:C,MATCH($L28,'msci-indices'!$B:$B)+1)</f>
        <v>865.80589099999997</v>
      </c>
      <c r="AG28" s="22" cm="1">
        <f t="array" ref="AG28">INDEX('msci-indices'!D:D,MATCH($L28,'msci-indices'!$B:$B)+1)</f>
        <v>813.09506399999998</v>
      </c>
      <c r="AH28" s="22">
        <f t="shared" si="4"/>
        <v>121.2512964274103</v>
      </c>
      <c r="AI28" s="22">
        <f t="shared" si="5"/>
        <v>183698.10876143866</v>
      </c>
      <c r="AJ28" s="22">
        <f t="shared" si="29"/>
        <v>169474.18224449496</v>
      </c>
      <c r="AK28" s="22">
        <f t="shared" si="6"/>
        <v>14223.926516943699</v>
      </c>
      <c r="AL28" s="22">
        <f>AJ28*(_xlfn.XLOOKUP(Q_end,cpi!A:A,cpi!B:B)/BH28)</f>
        <v>244009.09622665096</v>
      </c>
      <c r="AM28" s="22" cm="1">
        <f t="array" ref="AM28">SUMPRODUCT($AA$3:AA28,_xlfn.SORTBY($BH$3:BH28,_xlfn.SEQUENCE(ROWS($BH$3:BH28)),-1)/$BH$3)</f>
        <v>195539.6073641507</v>
      </c>
      <c r="AN28" s="22">
        <f t="shared" si="30"/>
        <v>-11841.498602712032</v>
      </c>
      <c r="AO28" s="22">
        <f t="shared" si="7"/>
        <v>0</v>
      </c>
      <c r="AP28" s="22">
        <f t="shared" si="31"/>
        <v>183698.10876143866</v>
      </c>
      <c r="AQ28" s="22"/>
      <c r="AR28" s="10">
        <f>IF($B$10="3BR_H",
INDEX('ns-combined'!$C:$C,MATCH($L28,'ns-combined'!$B:$B,0),MATCH(Council_Area,'ns-combined'!$C$1:$C$1,0))*1000,
INDEX('s-combined'!$C:$C,MATCH($L28,'s-combined'!$B:$B,0),MATCH(Council_Area,'s-combined'!$C$1:$C$1,0))*1000)</f>
        <v>482500</v>
      </c>
      <c r="AS28" s="22">
        <f t="shared" si="35"/>
        <v>25025</v>
      </c>
      <c r="AT28" s="10">
        <v>0</v>
      </c>
      <c r="AU28" s="22">
        <f t="shared" si="8"/>
        <v>9650</v>
      </c>
      <c r="AV28" s="22">
        <f t="shared" si="9"/>
        <v>1387.1875</v>
      </c>
      <c r="AW28" s="22">
        <f>SUM($AV$3:AV28)</f>
        <v>35363.9375</v>
      </c>
      <c r="AX28" s="22">
        <f t="shared" si="32"/>
        <v>412461.0625</v>
      </c>
      <c r="AY28" s="22">
        <f t="shared" si="10"/>
        <v>2157.5451780821918</v>
      </c>
      <c r="AZ28" s="24">
        <f t="shared" si="11"/>
        <v>1.7886384896018171E-2</v>
      </c>
      <c r="BA28" s="24">
        <f t="shared" si="12"/>
        <v>0.35000000000000003</v>
      </c>
      <c r="BB28" s="25">
        <f>IF(MortgageRate="Discounted",_xlfn.XLOOKUP(L28,'mortgage-rates'!$A:$A,'mortgage-rates'!$E:$E)/100,_xlfn.XLOOKUP(L28,'mortgage-rates'!$A:$A,'mortgage-rates'!$D:$D)/100)</f>
        <v>6.13E-2</v>
      </c>
      <c r="BC28" s="10">
        <f t="shared" si="37"/>
        <v>271706.90018489357</v>
      </c>
      <c r="BD28" s="10">
        <f t="shared" si="13"/>
        <v>6119.8756472721043</v>
      </c>
      <c r="BE28" s="10">
        <f t="shared" si="14"/>
        <v>4163.9082453334941</v>
      </c>
      <c r="BF28" s="10">
        <f t="shared" si="36"/>
        <v>1955.9674019386102</v>
      </c>
      <c r="BG28" s="12">
        <f t="shared" si="15"/>
        <v>8277.4208253542965</v>
      </c>
      <c r="BH28" s="22">
        <f>INDEX(cpi!B:B,MATCH($L28,cpi!A:A))</f>
        <v>100.5</v>
      </c>
      <c r="BI28" s="22">
        <f t="shared" si="16"/>
        <v>118.79432624113475</v>
      </c>
      <c r="BJ28" s="22">
        <f t="shared" si="17"/>
        <v>121.02422951783765</v>
      </c>
      <c r="BK28" s="22">
        <f t="shared" si="18"/>
        <v>120.41856784515979</v>
      </c>
      <c r="BL28" s="22">
        <f t="shared" si="19"/>
        <v>120.8425310160343</v>
      </c>
      <c r="BM28" s="22">
        <f t="shared" si="20"/>
        <v>194.03191148951433</v>
      </c>
      <c r="BN28" s="22">
        <f t="shared" si="21"/>
        <v>125.32467532467533</v>
      </c>
      <c r="BO28">
        <f t="shared" si="22"/>
        <v>109.92201462767065</v>
      </c>
    </row>
    <row r="29" spans="1:67" x14ac:dyDescent="0.25">
      <c r="A29" t="s">
        <v>345</v>
      </c>
      <c r="B29" s="4">
        <v>5.0000000000000001E-3</v>
      </c>
      <c r="C29" s="4">
        <v>5.0000000000000001E-3</v>
      </c>
      <c r="L29" s="1">
        <f t="shared" si="33"/>
        <v>41153</v>
      </c>
      <c r="M29" s="10">
        <f t="shared" si="0"/>
        <v>199015.20476721699</v>
      </c>
      <c r="N29" s="10">
        <f t="shared" si="23"/>
        <v>147688.87971704506</v>
      </c>
      <c r="O29" s="7">
        <f t="shared" si="24"/>
        <v>1.3475300587864658</v>
      </c>
      <c r="P29" s="7">
        <f t="shared" si="1"/>
        <v>0.76981988800696977</v>
      </c>
      <c r="Q29">
        <v>27</v>
      </c>
      <c r="R29">
        <f t="shared" si="2"/>
        <v>92</v>
      </c>
      <c r="S29" s="22"/>
      <c r="T29" s="22">
        <f>IF($B$10="3BR_H",
INDEX('3BR_H-processed'!$E:$E,MATCH($L29,'3BR_H-processed'!$B:$B,0),MATCH(Council_Area,'3BR_H-processed'!$E$1:$E$1,0)),
INDEX('2BR_F-processed'!$E:$E,MATCH($L29,'2BR_F-processed'!$B:$B,0),MATCH(Council_Area,'2BR_F-processed'!$E$1:$E$1,0)))</f>
        <v>472.28354834419463</v>
      </c>
      <c r="U29" s="22">
        <f t="shared" si="25"/>
        <v>474.18575342465749</v>
      </c>
      <c r="V29" s="22">
        <f t="shared" si="34"/>
        <v>6232.1556164383555</v>
      </c>
      <c r="W29" s="22">
        <f>$B$53/4*BH29/_xlfn.XLOOKUP(Q_end,cpi!A:A,cpi!B:B)</f>
        <v>140.42847270214239</v>
      </c>
      <c r="X29" s="22">
        <f t="shared" si="26"/>
        <v>6372.5840891404978</v>
      </c>
      <c r="Y29" s="22">
        <f t="shared" si="3"/>
        <v>1905.4354689652837</v>
      </c>
      <c r="Z29" s="22">
        <f t="shared" si="27"/>
        <v>0</v>
      </c>
      <c r="AA29" s="22" cm="1">
        <f t="array" ref="AA29">(Y29+Z29)*eff_invest</f>
        <v>1905.4354689652837</v>
      </c>
      <c r="AB29" s="22">
        <f>AA29*(_xlfn.XLOOKUP(Q_end,cpi!A:A,cpi!B:B)/BH29)</f>
        <v>2713.7452003865801</v>
      </c>
      <c r="AC29" s="22" cm="1">
        <f t="array" ref="AC29">INDEX('msci-indices'!C:C,MATCH($L29,'msci-indices'!$B:$B)-2)</f>
        <v>865.80589099999997</v>
      </c>
      <c r="AD29" s="22" cm="1">
        <f t="array" ref="AD29">INDEX('msci-indices'!D:D,MATCH($L29,'msci-indices'!$B:$B)-2)</f>
        <v>813.09506399999998</v>
      </c>
      <c r="AE29" s="22">
        <f t="shared" si="28"/>
        <v>185603.54423040396</v>
      </c>
      <c r="AF29" s="22" cm="1">
        <f t="array" ref="AF29">INDEX('msci-indices'!C:C,MATCH($L29,'msci-indices'!$B:$B)+1)</f>
        <v>923.89950299999998</v>
      </c>
      <c r="AG29" s="22" cm="1">
        <f t="array" ref="AG29">INDEX('msci-indices'!D:D,MATCH($L29,'msci-indices'!$B:$B)+1)</f>
        <v>883.33647499999995</v>
      </c>
      <c r="AH29" s="22">
        <f t="shared" si="4"/>
        <v>116.00221514400248</v>
      </c>
      <c r="AI29" s="22">
        <f t="shared" si="5"/>
        <v>199015.20476721699</v>
      </c>
      <c r="AJ29" s="22">
        <f t="shared" si="29"/>
        <v>171379.61771346026</v>
      </c>
      <c r="AK29" s="22">
        <f t="shared" si="6"/>
        <v>27635.587053756724</v>
      </c>
      <c r="AL29" s="22">
        <f>AJ29*(_xlfn.XLOOKUP(Q_end,cpi!A:A,cpi!B:B)/BH29)</f>
        <v>244081.01066080411</v>
      </c>
      <c r="AM29" s="22" cm="1">
        <f t="array" ref="AM29">SUMPRODUCT($AA$3:AA29,_xlfn.SORTBY($BH$3:BH29,_xlfn.SEQUENCE(ROWS($BH$3:BH29)),-1)/$BH$3)</f>
        <v>199270.13346354262</v>
      </c>
      <c r="AN29" s="22">
        <f t="shared" si="30"/>
        <v>-254.92869632563088</v>
      </c>
      <c r="AO29" s="22">
        <f t="shared" si="7"/>
        <v>0</v>
      </c>
      <c r="AP29" s="22">
        <f t="shared" si="31"/>
        <v>199015.20476721699</v>
      </c>
      <c r="AQ29" s="22"/>
      <c r="AR29" s="10">
        <f>IF($B$10="3BR_H",
INDEX('ns-combined'!$C:$C,MATCH($L29,'ns-combined'!$B:$B,0),MATCH(Council_Area,'ns-combined'!$C$1:$C$1,0))*1000,
INDEX('s-combined'!$C:$C,MATCH($L29,'s-combined'!$B:$B,0),MATCH(Council_Area,'s-combined'!$C$1:$C$1,0))*1000)</f>
        <v>490000</v>
      </c>
      <c r="AS29" s="22">
        <f t="shared" si="35"/>
        <v>25987.5</v>
      </c>
      <c r="AT29" s="10">
        <v>0</v>
      </c>
      <c r="AU29" s="22">
        <f t="shared" si="8"/>
        <v>9800</v>
      </c>
      <c r="AV29" s="22">
        <f t="shared" si="9"/>
        <v>1408.75</v>
      </c>
      <c r="AW29" s="22">
        <f>SUM($AV$3:AV29)</f>
        <v>36772.6875</v>
      </c>
      <c r="AX29" s="22">
        <f t="shared" si="32"/>
        <v>417439.8125</v>
      </c>
      <c r="AY29" s="22">
        <f t="shared" si="10"/>
        <v>2181.2544657534245</v>
      </c>
      <c r="AZ29" s="24">
        <f t="shared" si="11"/>
        <v>1.7806158904109588E-2</v>
      </c>
      <c r="BA29" s="24">
        <f t="shared" si="12"/>
        <v>0.35000000000000003</v>
      </c>
      <c r="BB29" s="25">
        <f>IF(MortgageRate="Discounted",_xlfn.XLOOKUP(L29,'mortgage-rates'!$A:$A,'mortgage-rates'!$E:$E)/100,_xlfn.XLOOKUP(L29,'mortgage-rates'!$A:$A,'mortgage-rates'!$D:$D)/100)</f>
        <v>6.08E-2</v>
      </c>
      <c r="BC29" s="10">
        <f t="shared" si="37"/>
        <v>269750.93278295494</v>
      </c>
      <c r="BD29" s="10">
        <f t="shared" si="13"/>
        <v>6096.765092352357</v>
      </c>
      <c r="BE29" s="10">
        <f t="shared" si="14"/>
        <v>4100.2141783009156</v>
      </c>
      <c r="BF29" s="10">
        <f t="shared" si="36"/>
        <v>1996.5509140514414</v>
      </c>
      <c r="BG29" s="12">
        <f t="shared" si="15"/>
        <v>8278.0195581057815</v>
      </c>
      <c r="BH29" s="22">
        <f>INDEX(cpi!B:B,MATCH($L29,cpi!A:A))</f>
        <v>101.6</v>
      </c>
      <c r="BI29" s="22">
        <f t="shared" si="16"/>
        <v>120.09456264775415</v>
      </c>
      <c r="BJ29" s="22">
        <f t="shared" si="17"/>
        <v>114.69456564776658</v>
      </c>
      <c r="BK29" s="22">
        <f t="shared" si="18"/>
        <v>114.04557676875227</v>
      </c>
      <c r="BL29" s="22">
        <f t="shared" si="19"/>
        <v>114.49986898406229</v>
      </c>
      <c r="BM29" s="22">
        <f t="shared" si="20"/>
        <v>185.63208975570558</v>
      </c>
      <c r="BN29" s="22">
        <f t="shared" si="21"/>
        <v>127.27272727272727</v>
      </c>
      <c r="BO29">
        <f t="shared" si="22"/>
        <v>111.2488652811854</v>
      </c>
    </row>
    <row r="30" spans="1:67" x14ac:dyDescent="0.25">
      <c r="L30" s="1">
        <f t="shared" si="33"/>
        <v>41244</v>
      </c>
      <c r="M30" s="10">
        <f t="shared" si="0"/>
        <v>208416.84563289603</v>
      </c>
      <c r="N30" s="10">
        <f t="shared" si="23"/>
        <v>175650.80563109647</v>
      </c>
      <c r="O30" s="7">
        <f t="shared" si="24"/>
        <v>1.186540789745167</v>
      </c>
      <c r="P30" s="7">
        <f t="shared" si="1"/>
        <v>0.78713050447401245</v>
      </c>
      <c r="Q30">
        <v>28</v>
      </c>
      <c r="R30">
        <f t="shared" si="2"/>
        <v>92</v>
      </c>
      <c r="S30" s="22"/>
      <c r="T30" s="22">
        <f>IF($B$10="3BR_H",
INDEX('3BR_H-processed'!$E:$E,MATCH($L30,'3BR_H-processed'!$B:$B,0),MATCH(Council_Area,'3BR_H-processed'!$E$1:$E$1,0)),
INDEX('2BR_F-processed'!$E:$E,MATCH($L30,'2BR_F-processed'!$B:$B,0),MATCH(Council_Area,'2BR_F-processed'!$E$1:$E$1,0)))</f>
        <v>472.28354834419463</v>
      </c>
      <c r="U30" s="22">
        <f t="shared" si="25"/>
        <v>474.18575342465749</v>
      </c>
      <c r="V30" s="22">
        <f t="shared" si="34"/>
        <v>6232.1556164383555</v>
      </c>
      <c r="W30" s="22">
        <f>$B$53/4*BH30/_xlfn.XLOOKUP(Q_end,cpi!A:A,cpi!B:B)</f>
        <v>140.98134070490673</v>
      </c>
      <c r="X30" s="22">
        <f t="shared" si="26"/>
        <v>6373.1369571432624</v>
      </c>
      <c r="Y30" s="22">
        <f t="shared" si="3"/>
        <v>1723.5343329651178</v>
      </c>
      <c r="Z30" s="22">
        <f t="shared" si="27"/>
        <v>0</v>
      </c>
      <c r="AA30" s="22" cm="1">
        <f t="array" ref="AA30">(Y30+Z30)*eff_invest</f>
        <v>1723.5343329651178</v>
      </c>
      <c r="AB30" s="22">
        <f>AA30*(_xlfn.XLOOKUP(Q_end,cpi!A:A,cpi!B:B)/BH30)</f>
        <v>2445.0531174514954</v>
      </c>
      <c r="AC30" s="22" cm="1">
        <f t="array" ref="AC30">INDEX('msci-indices'!C:C,MATCH($L30,'msci-indices'!$B:$B)-2)</f>
        <v>923.89950299999998</v>
      </c>
      <c r="AD30" s="22" cm="1">
        <f t="array" ref="AD30">INDEX('msci-indices'!D:D,MATCH($L30,'msci-indices'!$B:$B)-2)</f>
        <v>883.33647499999995</v>
      </c>
      <c r="AE30" s="22">
        <f t="shared" si="28"/>
        <v>200738.73910018211</v>
      </c>
      <c r="AF30" s="22" cm="1">
        <f t="array" ref="AF30">INDEX('msci-indices'!C:C,MATCH($L30,'msci-indices'!$B:$B)+1)</f>
        <v>948.15110700000002</v>
      </c>
      <c r="AG30" s="22" cm="1">
        <f t="array" ref="AG30">INDEX('msci-indices'!D:D,MATCH($L30,'msci-indices'!$B:$B)+1)</f>
        <v>943.69728799999996</v>
      </c>
      <c r="AH30" s="22">
        <f t="shared" si="4"/>
        <v>125.46171193761383</v>
      </c>
      <c r="AI30" s="22">
        <f t="shared" si="5"/>
        <v>208416.84563289603</v>
      </c>
      <c r="AJ30" s="22">
        <f t="shared" si="29"/>
        <v>173103.15204642538</v>
      </c>
      <c r="AK30" s="22">
        <f t="shared" si="6"/>
        <v>35313.693586470647</v>
      </c>
      <c r="AL30" s="22">
        <f>AJ30*(_xlfn.XLOOKUP(Q_end,cpi!A:A,cpi!B:B)/BH30)</f>
        <v>245568.88334429168</v>
      </c>
      <c r="AM30" s="22" cm="1">
        <f t="array" ref="AM30">SUMPRODUCT($AA$3:AA30,_xlfn.SORTBY($BH$3:BH30,_xlfn.SEQUENCE(ROWS($BH$3:BH30)),-1)/$BH$3)</f>
        <v>202020.70829850214</v>
      </c>
      <c r="AN30" s="22">
        <f t="shared" si="30"/>
        <v>6396.1373343938903</v>
      </c>
      <c r="AO30" s="22">
        <f t="shared" si="7"/>
        <v>0</v>
      </c>
      <c r="AP30" s="22">
        <f t="shared" si="31"/>
        <v>208416.84563289603</v>
      </c>
      <c r="AQ30" s="22"/>
      <c r="AR30" s="10">
        <f>IF($B$10="3BR_H",
INDEX('ns-combined'!$C:$C,MATCH($L30,'ns-combined'!$B:$B,0),MATCH(Council_Area,'ns-combined'!$C$1:$C$1,0))*1000,
INDEX('s-combined'!$C:$C,MATCH($L30,'s-combined'!$B:$B,0),MATCH(Council_Area,'s-combined'!$C$1:$C$1,0))*1000)</f>
        <v>519000</v>
      </c>
      <c r="AS30" s="22">
        <f t="shared" si="35"/>
        <v>26950</v>
      </c>
      <c r="AT30" s="10">
        <v>0</v>
      </c>
      <c r="AU30" s="22">
        <f t="shared" si="8"/>
        <v>10380</v>
      </c>
      <c r="AV30" s="22">
        <f t="shared" si="9"/>
        <v>1492.125</v>
      </c>
      <c r="AW30" s="22">
        <f>SUM($AV$3:AV30)</f>
        <v>38264.8125</v>
      </c>
      <c r="AX30" s="22">
        <f t="shared" si="32"/>
        <v>443405.1875</v>
      </c>
      <c r="AY30" s="22">
        <f t="shared" si="10"/>
        <v>2181.2544657534245</v>
      </c>
      <c r="AZ30" s="24">
        <f t="shared" si="11"/>
        <v>1.6811209755325043E-2</v>
      </c>
      <c r="BA30" s="24">
        <f t="shared" si="12"/>
        <v>0.35000000000000003</v>
      </c>
      <c r="BB30" s="25">
        <f>IF(MortgageRate="Discounted",_xlfn.XLOOKUP(L30,'mortgage-rates'!$A:$A,'mortgage-rates'!$E:$E)/100,_xlfn.XLOOKUP(L30,'mortgage-rates'!$A:$A,'mortgage-rates'!$D:$D)/100)</f>
        <v>5.6799999999999996E-2</v>
      </c>
      <c r="BC30" s="10">
        <f t="shared" si="37"/>
        <v>267754.38186890353</v>
      </c>
      <c r="BD30" s="10">
        <f t="shared" si="13"/>
        <v>5915.4168243549557</v>
      </c>
      <c r="BE30" s="10">
        <f t="shared" si="14"/>
        <v>3802.1122225384297</v>
      </c>
      <c r="BF30" s="10">
        <f t="shared" si="36"/>
        <v>2113.304601816526</v>
      </c>
      <c r="BG30" s="12">
        <f t="shared" si="15"/>
        <v>8096.6712901083802</v>
      </c>
      <c r="BH30" s="22">
        <f>INDEX(cpi!B:B,MATCH($L30,cpi!A:A))</f>
        <v>102</v>
      </c>
      <c r="BI30" s="22">
        <f t="shared" si="16"/>
        <v>120.56737588652483</v>
      </c>
      <c r="BJ30" s="22">
        <f t="shared" si="17"/>
        <v>122.39031092336657</v>
      </c>
      <c r="BK30" s="22">
        <f t="shared" si="18"/>
        <v>123.89771163615318</v>
      </c>
      <c r="BL30" s="22">
        <f t="shared" si="19"/>
        <v>122.84253113720254</v>
      </c>
      <c r="BM30" s="22">
        <f t="shared" si="20"/>
        <v>200.76961239400714</v>
      </c>
      <c r="BN30" s="22">
        <f t="shared" si="21"/>
        <v>134.80519480519482</v>
      </c>
      <c r="BO30">
        <f t="shared" si="22"/>
        <v>118.16870957694351</v>
      </c>
    </row>
    <row r="31" spans="1:67" x14ac:dyDescent="0.25">
      <c r="A31" s="5" t="s">
        <v>20</v>
      </c>
      <c r="L31" s="1">
        <f t="shared" si="33"/>
        <v>41334</v>
      </c>
      <c r="M31" s="10">
        <f t="shared" si="0"/>
        <v>227211.7466679457</v>
      </c>
      <c r="N31" s="10">
        <f t="shared" si="23"/>
        <v>161629.73523291299</v>
      </c>
      <c r="O31" s="7">
        <f t="shared" si="24"/>
        <v>1.4057546177411426</v>
      </c>
      <c r="P31" s="7">
        <f t="shared" si="1"/>
        <v>0.77003712784395173</v>
      </c>
      <c r="Q31">
        <v>29</v>
      </c>
      <c r="R31">
        <f t="shared" si="2"/>
        <v>90</v>
      </c>
      <c r="S31" s="22"/>
      <c r="T31" s="22">
        <f>IF($B$10="3BR_H",
INDEX('3BR_H-processed'!$E:$E,MATCH($L31,'3BR_H-processed'!$B:$B,0),MATCH(Council_Area,'3BR_H-processed'!$E$1:$E$1,0)),
INDEX('2BR_F-processed'!$E:$E,MATCH($L31,'2BR_F-processed'!$B:$B,0),MATCH(Council_Area,'2BR_F-processed'!$E$1:$E$1,0)))</f>
        <v>467.74236037934662</v>
      </c>
      <c r="U31" s="22">
        <f t="shared" si="25"/>
        <v>467.74236037934662</v>
      </c>
      <c r="V31" s="22">
        <f t="shared" si="34"/>
        <v>6013.8303477344571</v>
      </c>
      <c r="W31" s="22">
        <f>$B$53/4*BH31/_xlfn.XLOOKUP(Q_end,cpi!A:A,cpi!B:B)</f>
        <v>141.53420870767104</v>
      </c>
      <c r="X31" s="22">
        <f t="shared" si="26"/>
        <v>6155.3645564421277</v>
      </c>
      <c r="Y31" s="22">
        <f t="shared" si="3"/>
        <v>1838.2299520157994</v>
      </c>
      <c r="Z31" s="22">
        <f t="shared" si="27"/>
        <v>0</v>
      </c>
      <c r="AA31" s="22" cm="1">
        <f t="array" ref="AA31">(Y31+Z31)*eff_invest</f>
        <v>1838.2299520157994</v>
      </c>
      <c r="AB31" s="22">
        <f>AA31*(_xlfn.XLOOKUP(Q_end,cpi!A:A,cpi!B:B)/BH31)</f>
        <v>2597.5768950848255</v>
      </c>
      <c r="AC31" s="22" cm="1">
        <f t="array" ref="AC31">INDEX('msci-indices'!C:C,MATCH($L31,'msci-indices'!$B:$B)-2)</f>
        <v>948.15110700000002</v>
      </c>
      <c r="AD31" s="22" cm="1">
        <f t="array" ref="AD31">INDEX('msci-indices'!D:D,MATCH($L31,'msci-indices'!$B:$B)-2)</f>
        <v>943.69728799999996</v>
      </c>
      <c r="AE31" s="22">
        <f t="shared" si="28"/>
        <v>210255.07558491183</v>
      </c>
      <c r="AF31" s="22" cm="1">
        <f t="array" ref="AF31">INDEX('msci-indices'!C:C,MATCH($L31,'msci-indices'!$B:$B)+1)</f>
        <v>1024.705295</v>
      </c>
      <c r="AG31" s="22" cm="1">
        <f t="array" ref="AG31">INDEX('msci-indices'!D:D,MATCH($L31,'msci-indices'!$B:$B)+1)</f>
        <v>1021.5672520000001</v>
      </c>
      <c r="AH31" s="22">
        <f t="shared" si="4"/>
        <v>131.40942224056988</v>
      </c>
      <c r="AI31" s="22">
        <f t="shared" si="5"/>
        <v>227211.7466679457</v>
      </c>
      <c r="AJ31" s="22">
        <f t="shared" si="29"/>
        <v>174941.38199844118</v>
      </c>
      <c r="AK31" s="22">
        <f t="shared" si="6"/>
        <v>52270.364669504517</v>
      </c>
      <c r="AL31" s="22">
        <f>AJ31*(_xlfn.XLOOKUP(Q_end,cpi!A:A,cpi!B:B)/BH31)</f>
        <v>247207.20678881285</v>
      </c>
      <c r="AM31" s="22" cm="1">
        <f t="array" ref="AM31">SUMPRODUCT($AA$3:AA31,_xlfn.SORTBY($BH$3:BH31,_xlfn.SEQUENCE(ROWS($BH$3:BH31)),-1)/$BH$3)</f>
        <v>204892.76484677708</v>
      </c>
      <c r="AN31" s="22">
        <f t="shared" si="30"/>
        <v>22318.981821168622</v>
      </c>
      <c r="AO31" s="22">
        <f t="shared" si="7"/>
        <v>0</v>
      </c>
      <c r="AP31" s="22">
        <f t="shared" si="31"/>
        <v>227211.7466679457</v>
      </c>
      <c r="AQ31" s="22"/>
      <c r="AR31" s="10">
        <f>IF($B$10="3BR_H",
INDEX('ns-combined'!$C:$C,MATCH($L31,'ns-combined'!$B:$B,0),MATCH(Council_Area,'ns-combined'!$C$1:$C$1,0))*1000,
INDEX('s-combined'!$C:$C,MATCH($L31,'s-combined'!$B:$B,0),MATCH(Council_Area,'s-combined'!$C$1:$C$1,0))*1000)</f>
        <v>505000</v>
      </c>
      <c r="AS31" s="22">
        <f t="shared" si="35"/>
        <v>27912.5</v>
      </c>
      <c r="AT31" s="10">
        <v>0</v>
      </c>
      <c r="AU31" s="22">
        <f t="shared" si="8"/>
        <v>10100</v>
      </c>
      <c r="AV31" s="22">
        <f t="shared" si="9"/>
        <v>1451.875</v>
      </c>
      <c r="AW31" s="22">
        <f>SUM($AV$3:AV31)</f>
        <v>39716.6875</v>
      </c>
      <c r="AX31" s="22">
        <f t="shared" si="32"/>
        <v>427270.8125</v>
      </c>
      <c r="AY31" s="22">
        <f t="shared" si="10"/>
        <v>2104.8406217070601</v>
      </c>
      <c r="AZ31" s="24">
        <f t="shared" si="11"/>
        <v>1.6672004924412356E-2</v>
      </c>
      <c r="BA31" s="24">
        <f t="shared" si="12"/>
        <v>0.35000000000000003</v>
      </c>
      <c r="BB31" s="25">
        <f>IF(MortgageRate="Discounted",_xlfn.XLOOKUP(L31,'mortgage-rates'!$A:$A,'mortgage-rates'!$E:$E)/100,_xlfn.XLOOKUP(L31,'mortgage-rates'!$A:$A,'mortgage-rates'!$D:$D)/100)</f>
        <v>5.62E-2</v>
      </c>
      <c r="BC31" s="10">
        <f t="shared" si="37"/>
        <v>265641.07726708701</v>
      </c>
      <c r="BD31" s="10">
        <f t="shared" si="13"/>
        <v>5888.7538867508665</v>
      </c>
      <c r="BE31" s="10">
        <f t="shared" si="14"/>
        <v>3732.2571356025724</v>
      </c>
      <c r="BF31" s="10">
        <f t="shared" si="36"/>
        <v>2156.4967511482942</v>
      </c>
      <c r="BG31" s="12">
        <f t="shared" si="15"/>
        <v>7993.5945084579271</v>
      </c>
      <c r="BH31" s="22">
        <f>INDEX(cpi!B:B,MATCH($L31,cpi!A:A))</f>
        <v>102.4</v>
      </c>
      <c r="BI31" s="22">
        <f t="shared" si="16"/>
        <v>121.04018912529551</v>
      </c>
      <c r="BJ31" s="22">
        <f t="shared" si="17"/>
        <v>125.60295617786929</v>
      </c>
      <c r="BK31" s="22">
        <f t="shared" si="18"/>
        <v>132.36398333992017</v>
      </c>
      <c r="BL31" s="22">
        <f t="shared" si="19"/>
        <v>127.63126432648455</v>
      </c>
      <c r="BM31" s="22">
        <f t="shared" si="20"/>
        <v>210.28741247591671</v>
      </c>
      <c r="BN31" s="22">
        <f t="shared" si="21"/>
        <v>131.16883116883116</v>
      </c>
      <c r="BO31">
        <f t="shared" si="22"/>
        <v>113.86885398813064</v>
      </c>
    </row>
    <row r="32" spans="1:67" x14ac:dyDescent="0.25">
      <c r="A32" t="s">
        <v>15</v>
      </c>
      <c r="B32" s="8">
        <v>7.0000000000000007E-2</v>
      </c>
      <c r="C32" s="8">
        <v>7.0000000000000007E-2</v>
      </c>
      <c r="L32" s="1">
        <f t="shared" si="33"/>
        <v>41426</v>
      </c>
      <c r="M32" s="10">
        <f t="shared" si="0"/>
        <v>227425.50167880516</v>
      </c>
      <c r="N32" s="10">
        <f t="shared" si="23"/>
        <v>166257.48198406131</v>
      </c>
      <c r="O32" s="7">
        <f t="shared" si="24"/>
        <v>1.3679113803769016</v>
      </c>
      <c r="P32" s="7">
        <f t="shared" si="1"/>
        <v>0.78736230230423898</v>
      </c>
      <c r="Q32">
        <v>30</v>
      </c>
      <c r="R32">
        <f t="shared" si="2"/>
        <v>91</v>
      </c>
      <c r="S32" s="22"/>
      <c r="T32" s="22">
        <f>IF($B$10="3BR_H",
INDEX('3BR_H-processed'!$E:$E,MATCH($L32,'3BR_H-processed'!$B:$B,0),MATCH(Council_Area,'3BR_H-processed'!$E$1:$E$1,0)),
INDEX('2BR_F-processed'!$E:$E,MATCH($L32,'2BR_F-processed'!$B:$B,0),MATCH(Council_Area,'2BR_F-processed'!$E$1:$E$1,0)))</f>
        <v>450.41856925418568</v>
      </c>
      <c r="U32" s="22">
        <f t="shared" si="25"/>
        <v>467.74236037934662</v>
      </c>
      <c r="V32" s="22">
        <f t="shared" si="34"/>
        <v>6080.6506849315056</v>
      </c>
      <c r="W32" s="22">
        <f>$B$53/4*BH32/_xlfn.XLOOKUP(Q_end,cpi!A:A,cpi!B:B)</f>
        <v>142.22529371112648</v>
      </c>
      <c r="X32" s="22">
        <f t="shared" si="26"/>
        <v>6222.8759786426317</v>
      </c>
      <c r="Y32" s="22">
        <f>BG32-X32</f>
        <v>1680.5707071222341</v>
      </c>
      <c r="Z32" s="22">
        <f t="shared" si="27"/>
        <v>0</v>
      </c>
      <c r="AA32" s="22" cm="1">
        <f t="array" ref="AA32">(Y32+Z32)*eff_invest</f>
        <v>1680.5707071222341</v>
      </c>
      <c r="AB32" s="22">
        <f>AA32*(_xlfn.XLOOKUP(Q_end,cpi!A:A,cpi!B:B)/BH32)</f>
        <v>2363.2515191505076</v>
      </c>
      <c r="AC32" s="22" cm="1">
        <f t="array" ref="AC32">INDEX('msci-indices'!C:C,MATCH($L32,'msci-indices'!$B:$B)-2)</f>
        <v>1024.705295</v>
      </c>
      <c r="AD32" s="22" cm="1">
        <f t="array" ref="AD32">INDEX('msci-indices'!D:D,MATCH($L32,'msci-indices'!$B:$B)-2)</f>
        <v>1021.5672520000001</v>
      </c>
      <c r="AE32" s="22">
        <f t="shared" si="28"/>
        <v>228892.31737506794</v>
      </c>
      <c r="AF32" s="22" cm="1">
        <f t="array" ref="AF32">INDEX('msci-indices'!C:C,MATCH($L32,'msci-indices'!$B:$B)+1)</f>
        <v>1030.5183939999999</v>
      </c>
      <c r="AG32" s="22" cm="1">
        <f t="array" ref="AG32">INDEX('msci-indices'!D:D,MATCH($L32,'msci-indices'!$B:$B)+1)</f>
        <v>988.35138400000005</v>
      </c>
      <c r="AH32" s="22">
        <f t="shared" si="4"/>
        <v>143.05769835941746</v>
      </c>
      <c r="AI32" s="22">
        <f t="shared" si="5"/>
        <v>227425.50167880516</v>
      </c>
      <c r="AJ32" s="22">
        <f t="shared" si="29"/>
        <v>176621.95270556342</v>
      </c>
      <c r="AK32" s="22">
        <f t="shared" si="6"/>
        <v>50803.548973241734</v>
      </c>
      <c r="AL32" s="22">
        <f>AJ32*(_xlfn.XLOOKUP(Q_end,cpi!A:A,cpi!B:B)/BH32)</f>
        <v>248369.25710879517</v>
      </c>
      <c r="AM32" s="22" cm="1">
        <f t="array" ref="AM32">SUMPRODUCT($AA$3:AA32,_xlfn.SORTBY($BH$3:BH32,_xlfn.SEQUENCE(ROWS($BH$3:BH32)),-1)/$BH$3)</f>
        <v>207735.44740511209</v>
      </c>
      <c r="AN32" s="22">
        <f t="shared" si="30"/>
        <v>19690.054273693066</v>
      </c>
      <c r="AO32" s="22">
        <f t="shared" si="7"/>
        <v>0</v>
      </c>
      <c r="AP32" s="22">
        <f t="shared" si="31"/>
        <v>227425.50167880516</v>
      </c>
      <c r="AQ32" s="22"/>
      <c r="AR32" s="10">
        <f>IF($B$10="3BR_H",
INDEX('ns-combined'!$C:$C,MATCH($L32,'ns-combined'!$B:$B,0),MATCH(Council_Area,'ns-combined'!$C$1:$C$1,0))*1000,
INDEX('s-combined'!$C:$C,MATCH($L32,'s-combined'!$B:$B,0),MATCH(Council_Area,'s-combined'!$C$1:$C$1,0))*1000)</f>
        <v>510000</v>
      </c>
      <c r="AS32" s="22">
        <f t="shared" si="35"/>
        <v>28875</v>
      </c>
      <c r="AT32" s="10">
        <v>0</v>
      </c>
      <c r="AU32" s="22">
        <f t="shared" si="8"/>
        <v>10200</v>
      </c>
      <c r="AV32" s="22">
        <f t="shared" si="9"/>
        <v>1466.25</v>
      </c>
      <c r="AW32" s="22">
        <f>SUM($AV$3:AV32)</f>
        <v>41182.9375</v>
      </c>
      <c r="AX32" s="22">
        <f t="shared" si="32"/>
        <v>429742.0625</v>
      </c>
      <c r="AY32" s="22">
        <f t="shared" si="10"/>
        <v>2128.2277397260273</v>
      </c>
      <c r="AZ32" s="24">
        <f t="shared" si="11"/>
        <v>1.6691982272360999E-2</v>
      </c>
      <c r="BA32" s="24">
        <f t="shared" si="12"/>
        <v>0.35000000000000003</v>
      </c>
      <c r="BB32" s="25">
        <f>IF(MortgageRate="Discounted",_xlfn.XLOOKUP(L32,'mortgage-rates'!$A:$A,'mortgage-rates'!$E:$E)/100,_xlfn.XLOOKUP(L32,'mortgage-rates'!$A:$A,'mortgage-rates'!$D:$D)/100)</f>
        <v>5.3600000000000002E-2</v>
      </c>
      <c r="BC32" s="10">
        <f t="shared" si="37"/>
        <v>263484.58051593869</v>
      </c>
      <c r="BD32" s="10">
        <f t="shared" si="13"/>
        <v>5775.218946038839</v>
      </c>
      <c r="BE32" s="10">
        <f t="shared" si="14"/>
        <v>3530.6933789135787</v>
      </c>
      <c r="BF32" s="10">
        <f t="shared" si="36"/>
        <v>2244.5255671252603</v>
      </c>
      <c r="BG32" s="12">
        <f t="shared" si="15"/>
        <v>7903.4466857648658</v>
      </c>
      <c r="BH32" s="22">
        <f>INDEX(cpi!B:B,MATCH($L32,cpi!A:A))</f>
        <v>102.9</v>
      </c>
      <c r="BI32" s="22">
        <f t="shared" si="16"/>
        <v>121.63120567375887</v>
      </c>
      <c r="BJ32" s="22">
        <f t="shared" si="17"/>
        <v>135.74420080608061</v>
      </c>
      <c r="BK32" s="22">
        <f t="shared" si="18"/>
        <v>143.28610714873224</v>
      </c>
      <c r="BL32" s="22">
        <f t="shared" si="19"/>
        <v>138.0067727088761</v>
      </c>
      <c r="BM32" s="22">
        <f t="shared" si="20"/>
        <v>228.92752064375588</v>
      </c>
      <c r="BN32" s="22">
        <f t="shared" si="21"/>
        <v>132.46753246753246</v>
      </c>
      <c r="BO32">
        <f t="shared" si="22"/>
        <v>114.52744895222772</v>
      </c>
    </row>
    <row r="33" spans="1:67" x14ac:dyDescent="0.25">
      <c r="A33" t="s">
        <v>17</v>
      </c>
      <c r="B33" s="8">
        <v>0.16</v>
      </c>
      <c r="C33" s="8">
        <v>0.16</v>
      </c>
      <c r="L33" s="1">
        <f t="shared" si="33"/>
        <v>41518</v>
      </c>
      <c r="M33" s="10">
        <f t="shared" si="0"/>
        <v>249583.2437092484</v>
      </c>
      <c r="N33" s="10">
        <f t="shared" si="23"/>
        <v>161187.63255118657</v>
      </c>
      <c r="O33" s="7">
        <f t="shared" si="24"/>
        <v>1.5484019447335142</v>
      </c>
      <c r="P33" s="7">
        <f t="shared" si="1"/>
        <v>0.80579833780029964</v>
      </c>
      <c r="Q33">
        <v>31</v>
      </c>
      <c r="R33">
        <f t="shared" si="2"/>
        <v>92</v>
      </c>
      <c r="S33" s="22"/>
      <c r="T33" s="22">
        <f>IF($B$10="3BR_H",
INDEX('3BR_H-processed'!$E:$E,MATCH($L33,'3BR_H-processed'!$B:$B,0),MATCH(Council_Area,'3BR_H-processed'!$E$1:$E$1,0)),
INDEX('2BR_F-processed'!$E:$E,MATCH($L33,'2BR_F-processed'!$B:$B,0),MATCH(Council_Area,'2BR_F-processed'!$E$1:$E$1,0)))</f>
        <v>486.48934550989344</v>
      </c>
      <c r="U33" s="22">
        <f t="shared" si="25"/>
        <v>467.74236037934662</v>
      </c>
      <c r="V33" s="22">
        <f t="shared" si="34"/>
        <v>6147.4710221285559</v>
      </c>
      <c r="W33" s="22">
        <f>$B$53/4*BH33/_xlfn.XLOOKUP(Q_end,cpi!A:A,cpi!B:B)</f>
        <v>143.60746371803734</v>
      </c>
      <c r="X33" s="22">
        <f t="shared" si="26"/>
        <v>6291.0784858465931</v>
      </c>
      <c r="Y33" s="22">
        <f t="shared" si="3"/>
        <v>1516.1831958047114</v>
      </c>
      <c r="Z33" s="22">
        <f t="shared" si="27"/>
        <v>0</v>
      </c>
      <c r="AA33" s="22" cm="1">
        <f t="array" ref="AA33">(Y33+Z33)*eff_invest</f>
        <v>1516.1831958047114</v>
      </c>
      <c r="AB33" s="22">
        <f>AA33*(_xlfn.XLOOKUP(Q_end,cpi!A:A,cpi!B:B)/BH33)</f>
        <v>2111.5660099416914</v>
      </c>
      <c r="AC33" s="22" cm="1">
        <f t="array" ref="AC33">INDEX('msci-indices'!C:C,MATCH($L33,'msci-indices'!$B:$B)-2)</f>
        <v>1030.5183939999999</v>
      </c>
      <c r="AD33" s="22" cm="1">
        <f t="array" ref="AD33">INDEX('msci-indices'!D:D,MATCH($L33,'msci-indices'!$B:$B)-2)</f>
        <v>988.35138400000005</v>
      </c>
      <c r="AE33" s="22">
        <f t="shared" si="28"/>
        <v>228941.68487460987</v>
      </c>
      <c r="AF33" s="22" cm="1">
        <f t="array" ref="AF33">INDEX('msci-indices'!C:C,MATCH($L33,'msci-indices'!$B:$B)+1)</f>
        <v>1119.437079</v>
      </c>
      <c r="AG33" s="22" cm="1">
        <f t="array" ref="AG33">INDEX('msci-indices'!D:D,MATCH($L33,'msci-indices'!$B:$B)+1)</f>
        <v>1088.458187</v>
      </c>
      <c r="AH33" s="22">
        <f t="shared" si="4"/>
        <v>143.08855304663118</v>
      </c>
      <c r="AI33" s="22">
        <f t="shared" si="5"/>
        <v>249583.2437092484</v>
      </c>
      <c r="AJ33" s="22">
        <f t="shared" si="29"/>
        <v>178138.13590136814</v>
      </c>
      <c r="AK33" s="22">
        <f t="shared" si="6"/>
        <v>71445.107807880268</v>
      </c>
      <c r="AL33" s="22">
        <f>AJ33*(_xlfn.XLOOKUP(Q_end,cpi!A:A,cpi!B:B)/BH33)</f>
        <v>248090.35866148188</v>
      </c>
      <c r="AM33" s="22" cm="1">
        <f t="array" ref="AM33">SUMPRODUCT($AA$3:AA33,_xlfn.SORTBY($BH$3:BH33,_xlfn.SEQUENCE(ROWS($BH$3:BH33)),-1)/$BH$3)</f>
        <v>211006.14820375346</v>
      </c>
      <c r="AN33" s="22">
        <f t="shared" si="30"/>
        <v>38577.095505494945</v>
      </c>
      <c r="AO33" s="22">
        <f t="shared" si="7"/>
        <v>0</v>
      </c>
      <c r="AP33" s="22">
        <f t="shared" si="31"/>
        <v>249583.2437092484</v>
      </c>
      <c r="AQ33" s="22"/>
      <c r="AR33" s="10">
        <f>IF($B$10="3BR_H",
INDEX('ns-combined'!$C:$C,MATCH($L33,'ns-combined'!$B:$B,0),MATCH(Council_Area,'ns-combined'!$C$1:$C$1,0))*1000,
INDEX('s-combined'!$C:$C,MATCH($L33,'s-combined'!$B:$B,0),MATCH(Council_Area,'s-combined'!$C$1:$C$1,0))*1000)</f>
        <v>505000</v>
      </c>
      <c r="AS33" s="22">
        <f t="shared" si="35"/>
        <v>29837.5</v>
      </c>
      <c r="AT33" s="10">
        <v>0</v>
      </c>
      <c r="AU33" s="22">
        <f t="shared" si="8"/>
        <v>10100</v>
      </c>
      <c r="AV33" s="22">
        <f t="shared" si="9"/>
        <v>1451.875</v>
      </c>
      <c r="AW33" s="22">
        <f>SUM($AV$3:AV33)</f>
        <v>42634.8125</v>
      </c>
      <c r="AX33" s="22">
        <f t="shared" si="32"/>
        <v>422427.6875</v>
      </c>
      <c r="AY33" s="22">
        <f t="shared" si="10"/>
        <v>2151.6148577449949</v>
      </c>
      <c r="AZ33" s="24">
        <f t="shared" si="11"/>
        <v>1.7042493922732632E-2</v>
      </c>
      <c r="BA33" s="24">
        <f t="shared" si="12"/>
        <v>0.35000000000000003</v>
      </c>
      <c r="BB33" s="25">
        <f>IF(MortgageRate="Discounted",_xlfn.XLOOKUP(L33,'mortgage-rates'!$A:$A,'mortgage-rates'!$E:$E)/100,_xlfn.XLOOKUP(L33,'mortgage-rates'!$A:$A,'mortgage-rates'!$D:$D)/100)</f>
        <v>5.0799999999999998E-2</v>
      </c>
      <c r="BC33" s="10">
        <f t="shared" si="37"/>
        <v>261240.05494881343</v>
      </c>
      <c r="BD33" s="10">
        <f t="shared" si="13"/>
        <v>5655.6468239063097</v>
      </c>
      <c r="BE33" s="10">
        <f t="shared" si="14"/>
        <v>3317.7486978499305</v>
      </c>
      <c r="BF33" s="10">
        <f t="shared" si="36"/>
        <v>2337.8981260563792</v>
      </c>
      <c r="BG33" s="12">
        <f t="shared" si="15"/>
        <v>7807.2616816513046</v>
      </c>
      <c r="BH33" s="22">
        <f>INDEX(cpi!B:B,MATCH($L33,cpi!A:A))</f>
        <v>103.9</v>
      </c>
      <c r="BI33" s="22">
        <f t="shared" si="16"/>
        <v>122.81323877068559</v>
      </c>
      <c r="BJ33" s="22">
        <f t="shared" si="17"/>
        <v>136.51427048544301</v>
      </c>
      <c r="BK33" s="22">
        <f t="shared" si="18"/>
        <v>138.62721424474736</v>
      </c>
      <c r="BL33" s="22">
        <f t="shared" si="19"/>
        <v>137.14815361323431</v>
      </c>
      <c r="BM33" s="22">
        <f t="shared" si="20"/>
        <v>228.97689573593948</v>
      </c>
      <c r="BN33" s="22">
        <f t="shared" si="21"/>
        <v>131.16883116883116</v>
      </c>
      <c r="BO33">
        <f t="shared" si="22"/>
        <v>112.57814777245328</v>
      </c>
    </row>
    <row r="34" spans="1:67" x14ac:dyDescent="0.25">
      <c r="A34" t="s">
        <v>16</v>
      </c>
      <c r="B34" s="8">
        <v>7.0000000000000007E-2</v>
      </c>
      <c r="C34" s="8">
        <v>7.0000000000000007E-2</v>
      </c>
      <c r="L34" s="1">
        <f t="shared" si="33"/>
        <v>41609</v>
      </c>
      <c r="M34" s="10">
        <f t="shared" si="0"/>
        <v>267385.78775625548</v>
      </c>
      <c r="N34" s="10">
        <f t="shared" si="23"/>
        <v>159450.04317724297</v>
      </c>
      <c r="O34" s="7">
        <f t="shared" si="24"/>
        <v>1.6769251511524037</v>
      </c>
      <c r="P34" s="7">
        <f t="shared" si="1"/>
        <v>0.80507416612657257</v>
      </c>
      <c r="Q34">
        <v>32</v>
      </c>
      <c r="R34">
        <f t="shared" si="2"/>
        <v>92</v>
      </c>
      <c r="S34" s="22"/>
      <c r="T34" s="22">
        <f>IF($B$10="3BR_H",
INDEX('3BR_H-processed'!$E:$E,MATCH($L34,'3BR_H-processed'!$B:$B,0),MATCH(Council_Area,'3BR_H-processed'!$E$1:$E$1,0)),
INDEX('2BR_F-processed'!$E:$E,MATCH($L34,'2BR_F-processed'!$B:$B,0),MATCH(Council_Area,'2BR_F-processed'!$E$1:$E$1,0)))</f>
        <v>486.48934550989344</v>
      </c>
      <c r="U34" s="22">
        <f t="shared" si="25"/>
        <v>467.74236037934662</v>
      </c>
      <c r="V34" s="22">
        <f t="shared" si="34"/>
        <v>6147.4710221285559</v>
      </c>
      <c r="W34" s="22">
        <f>$B$53/4*BH34/_xlfn.XLOOKUP(Q_end,cpi!A:A,cpi!B:B)</f>
        <v>144.71319972356602</v>
      </c>
      <c r="X34" s="22">
        <f t="shared" si="26"/>
        <v>6292.1842218521215</v>
      </c>
      <c r="Y34" s="22">
        <f t="shared" si="3"/>
        <v>1523.4736225990364</v>
      </c>
      <c r="Z34" s="22">
        <f t="shared" si="27"/>
        <v>0</v>
      </c>
      <c r="AA34" s="22" cm="1">
        <f t="array" ref="AA34">(Y34+Z34)*eff_invest</f>
        <v>1523.4736225990364</v>
      </c>
      <c r="AB34" s="22">
        <f>AA34*(_xlfn.XLOOKUP(Q_end,cpi!A:A,cpi!B:B)/BH34)</f>
        <v>2105.5074803255065</v>
      </c>
      <c r="AC34" s="22" cm="1">
        <f t="array" ref="AC34">INDEX('msci-indices'!C:C,MATCH($L34,'msci-indices'!$B:$B)-2)</f>
        <v>1119.437079</v>
      </c>
      <c r="AD34" s="22" cm="1">
        <f t="array" ref="AD34">INDEX('msci-indices'!D:D,MATCH($L34,'msci-indices'!$B:$B)-2)</f>
        <v>1088.458187</v>
      </c>
      <c r="AE34" s="22">
        <f t="shared" si="28"/>
        <v>251106.71733184744</v>
      </c>
      <c r="AF34" s="22" cm="1">
        <f t="array" ref="AF34">INDEX('msci-indices'!C:C,MATCH($L34,'msci-indices'!$B:$B)+1)</f>
        <v>1208.107446</v>
      </c>
      <c r="AG34" s="22" cm="1">
        <f t="array" ref="AG34">INDEX('msci-indices'!D:D,MATCH($L34,'msci-indices'!$B:$B)+1)</f>
        <v>1124.7671330000001</v>
      </c>
      <c r="AH34" s="22">
        <f t="shared" si="4"/>
        <v>156.94169833240466</v>
      </c>
      <c r="AI34" s="22">
        <f t="shared" si="5"/>
        <v>267385.78775625548</v>
      </c>
      <c r="AJ34" s="22">
        <f t="shared" si="29"/>
        <v>179661.60952396717</v>
      </c>
      <c r="AK34" s="22">
        <f t="shared" si="6"/>
        <v>87724.178232288308</v>
      </c>
      <c r="AL34" s="22">
        <f>AJ34*(_xlfn.XLOOKUP(Q_end,cpi!A:A,cpi!B:B)/BH34)</f>
        <v>248300.23780437483</v>
      </c>
      <c r="AM34" s="22" cm="1">
        <f t="array" ref="AM34">SUMPRODUCT($AA$3:AA34,_xlfn.SORTBY($BH$3:BH34,_xlfn.SEQUENCE(ROWS($BH$3:BH34)),-1)/$BH$3)</f>
        <v>214051.25353865689</v>
      </c>
      <c r="AN34" s="22">
        <f t="shared" si="30"/>
        <v>53334.534217598586</v>
      </c>
      <c r="AO34" s="22">
        <f t="shared" si="7"/>
        <v>0</v>
      </c>
      <c r="AP34" s="22">
        <f t="shared" si="31"/>
        <v>267385.78775625548</v>
      </c>
      <c r="AQ34" s="22"/>
      <c r="AR34" s="10">
        <f>IF($B$10="3BR_H",
INDEX('ns-combined'!$C:$C,MATCH($L34,'ns-combined'!$B:$B,0),MATCH(Council_Area,'ns-combined'!$C$1:$C$1,0))*1000,
INDEX('s-combined'!$C:$C,MATCH($L34,'s-combined'!$B:$B,0),MATCH(Council_Area,'s-combined'!$C$1:$C$1,0))*1000)</f>
        <v>503300</v>
      </c>
      <c r="AS34" s="22">
        <f t="shared" si="35"/>
        <v>30800</v>
      </c>
      <c r="AT34" s="10">
        <v>0</v>
      </c>
      <c r="AU34" s="22">
        <f t="shared" si="8"/>
        <v>10066</v>
      </c>
      <c r="AV34" s="22">
        <f t="shared" si="9"/>
        <v>1446.9875</v>
      </c>
      <c r="AW34" s="22">
        <f>SUM($AV$3:AV34)</f>
        <v>44081.8</v>
      </c>
      <c r="AX34" s="22">
        <f t="shared" si="32"/>
        <v>418352.2</v>
      </c>
      <c r="AY34" s="22">
        <f t="shared" si="10"/>
        <v>2151.6148577449949</v>
      </c>
      <c r="AZ34" s="24">
        <f t="shared" si="11"/>
        <v>1.710005847601824E-2</v>
      </c>
      <c r="BA34" s="24">
        <f t="shared" si="12"/>
        <v>0.35000000000000003</v>
      </c>
      <c r="BB34" s="25">
        <f>IF(MortgageRate="Discounted",_xlfn.XLOOKUP(L34,'mortgage-rates'!$A:$A,'mortgage-rates'!$E:$E)/100,_xlfn.XLOOKUP(L34,'mortgage-rates'!$A:$A,'mortgage-rates'!$D:$D)/100)</f>
        <v>5.0999999999999997E-2</v>
      </c>
      <c r="BC34" s="10">
        <f t="shared" si="37"/>
        <v>258902.15682275704</v>
      </c>
      <c r="BD34" s="10">
        <f t="shared" si="13"/>
        <v>5664.042986706163</v>
      </c>
      <c r="BE34" s="10">
        <f t="shared" si="14"/>
        <v>3301.0024994901519</v>
      </c>
      <c r="BF34" s="10">
        <f t="shared" si="36"/>
        <v>2363.0404872160111</v>
      </c>
      <c r="BG34" s="12">
        <f t="shared" si="15"/>
        <v>7815.6578444511579</v>
      </c>
      <c r="BH34" s="22">
        <f>INDEX(cpi!B:B,MATCH($L34,cpi!A:A))</f>
        <v>104.7</v>
      </c>
      <c r="BI34" s="22">
        <f t="shared" si="16"/>
        <v>123.75886524822695</v>
      </c>
      <c r="BJ34" s="22">
        <f t="shared" si="17"/>
        <v>148.29345801472445</v>
      </c>
      <c r="BK34" s="22">
        <f t="shared" si="18"/>
        <v>152.66830069587706</v>
      </c>
      <c r="BL34" s="22">
        <f t="shared" si="19"/>
        <v>149.60591081907023</v>
      </c>
      <c r="BM34" s="22">
        <f t="shared" si="20"/>
        <v>251.14533713936632</v>
      </c>
      <c r="BN34" s="22">
        <f t="shared" si="21"/>
        <v>130.72727272727272</v>
      </c>
      <c r="BO34">
        <f t="shared" si="22"/>
        <v>111.49201907493558</v>
      </c>
    </row>
    <row r="35" spans="1:67" x14ac:dyDescent="0.25">
      <c r="A35" t="s">
        <v>18</v>
      </c>
      <c r="B35" s="8">
        <v>0.05</v>
      </c>
      <c r="C35" s="8">
        <v>0.05</v>
      </c>
      <c r="L35" s="1">
        <f t="shared" si="33"/>
        <v>41699</v>
      </c>
      <c r="M35" s="10">
        <f t="shared" ref="M35:M66" si="38">AP35</f>
        <v>273530.77050381457</v>
      </c>
      <c r="N35" s="10">
        <f t="shared" ref="N35:N66" si="39">AX35-BC35</f>
        <v>208650.69616445896</v>
      </c>
      <c r="O35" s="7">
        <f t="shared" si="24"/>
        <v>1.310950672736874</v>
      </c>
      <c r="P35" s="7">
        <f t="shared" ref="P35:P66" si="40">X35/BG35</f>
        <v>0.77110175644757817</v>
      </c>
      <c r="Q35">
        <v>33</v>
      </c>
      <c r="R35">
        <f t="shared" ref="R35:R66" si="41">EOMONTH(L35,0)-EOMONTH(L35,-3)</f>
        <v>90</v>
      </c>
      <c r="S35" s="22"/>
      <c r="T35" s="22">
        <f>IF($B$10="3BR_H",
INDEX('3BR_H-processed'!$E:$E,MATCH($L35,'3BR_H-processed'!$B:$B,0),MATCH(Council_Area,'3BR_H-processed'!$E$1:$E$1,0)),
INDEX('2BR_F-processed'!$E:$E,MATCH($L35,'2BR_F-processed'!$B:$B,0),MATCH(Council_Area,'2BR_F-processed'!$E$1:$E$1,0)))</f>
        <v>449.06708816297851</v>
      </c>
      <c r="U35" s="22">
        <f t="shared" si="25"/>
        <v>449.06708816297851</v>
      </c>
      <c r="V35" s="22">
        <f t="shared" si="34"/>
        <v>5773.7197049525803</v>
      </c>
      <c r="W35" s="22">
        <f>$B$53/4*BH35/_xlfn.XLOOKUP(Q_end,cpi!A:A,cpi!B:B)</f>
        <v>145.6807187284036</v>
      </c>
      <c r="X35" s="22">
        <f t="shared" ref="X35:X66" si="42">V35+W35</f>
        <v>5919.4004236809842</v>
      </c>
      <c r="Y35" s="22">
        <f t="shared" ref="Y35:Y66" si="43">BG35-X35</f>
        <v>1757.1485845216748</v>
      </c>
      <c r="Z35" s="22">
        <f t="shared" si="27"/>
        <v>0</v>
      </c>
      <c r="AA35" s="22" cm="1">
        <f t="array" ref="AA35">(Y35+Z35)*eff_invest</f>
        <v>1757.1485845216748</v>
      </c>
      <c r="AB35" s="22">
        <f>AA35*(_xlfn.XLOOKUP(Q_end,cpi!A:A,cpi!B:B)/BH35)</f>
        <v>2412.3282749552777</v>
      </c>
      <c r="AC35" s="22" cm="1">
        <f t="array" ref="AC35">INDEX('msci-indices'!C:C,MATCH($L35,'msci-indices'!$B:$B)-2)</f>
        <v>1208.107446</v>
      </c>
      <c r="AD35" s="22" cm="1">
        <f t="array" ref="AD35">INDEX('msci-indices'!D:D,MATCH($L35,'msci-indices'!$B:$B)-2)</f>
        <v>1124.7671330000001</v>
      </c>
      <c r="AE35" s="22">
        <f t="shared" si="28"/>
        <v>269142.93634077715</v>
      </c>
      <c r="AF35" s="22" cm="1">
        <f t="array" ref="AF35">INDEX('msci-indices'!C:C,MATCH($L35,'msci-indices'!$B:$B)+1)</f>
        <v>1225.920044</v>
      </c>
      <c r="AG35" s="22" cm="1">
        <f t="array" ref="AG35">INDEX('msci-indices'!D:D,MATCH($L35,'msci-indices'!$B:$B)+1)</f>
        <v>1149.5383919999999</v>
      </c>
      <c r="AH35" s="22">
        <f t="shared" ref="AH35:AH66" si="44">(InvestFees/4)*AE35</f>
        <v>168.21433521298573</v>
      </c>
      <c r="AI35" s="22">
        <f t="shared" ref="AI35:AI66" si="45">((AF35/AC35)*GlobalPortfolio+(AG35/AD35)*AusPortfolio)*AE35-AH35</f>
        <v>273530.77050381457</v>
      </c>
      <c r="AJ35" s="22">
        <f t="shared" si="29"/>
        <v>181418.75810848884</v>
      </c>
      <c r="AK35" s="22">
        <f t="shared" ref="AK35:AK66" si="46">AI35-AJ35</f>
        <v>92112.012395325728</v>
      </c>
      <c r="AL35" s="22">
        <f>AJ35*(_xlfn.XLOOKUP(Q_end,cpi!A:A,cpi!B:B)/BH35)</f>
        <v>249063.51326658757</v>
      </c>
      <c r="AM35" s="22" cm="1">
        <f t="array" ref="AM35">SUMPRODUCT($AA$3:AA35,_xlfn.SORTBY($BH$3:BH35,_xlfn.SEQUENCE(ROWS($BH$3:BH35)),-1)/$BH$3)</f>
        <v>217211.95719921609</v>
      </c>
      <c r="AN35" s="22">
        <f t="shared" si="30"/>
        <v>56318.813304598472</v>
      </c>
      <c r="AO35" s="22">
        <f t="shared" ref="AO35:AO66" si="47">IF($B$49="Real gains",MAX($B$50*AN35,0),IF($B$49="Discounted nominal gains",MAX($B$50*AK35/2,0),0))</f>
        <v>0</v>
      </c>
      <c r="AP35" s="22">
        <f t="shared" si="31"/>
        <v>273530.77050381457</v>
      </c>
      <c r="AQ35" s="22"/>
      <c r="AR35" s="10">
        <f>IF($B$10="3BR_H",
INDEX('ns-combined'!$C:$C,MATCH($L35,'ns-combined'!$B:$B,0),MATCH(Council_Area,'ns-combined'!$C$1:$C$1,0))*1000,
INDEX('s-combined'!$C:$C,MATCH($L35,'s-combined'!$B:$B,0),MATCH(Council_Area,'s-combined'!$C$1:$C$1,0))*1000)</f>
        <v>553700</v>
      </c>
      <c r="AS35" s="22">
        <f t="shared" si="35"/>
        <v>31762.5</v>
      </c>
      <c r="AT35" s="10">
        <v>0</v>
      </c>
      <c r="AU35" s="22">
        <f t="shared" ref="AU35:AU66" si="48">SUM($B$28:$B$29)*AR35</f>
        <v>11074</v>
      </c>
      <c r="AV35" s="22">
        <f t="shared" ref="AV35:AV66" si="49">AR35*$B$15/4</f>
        <v>1591.8875</v>
      </c>
      <c r="AW35" s="22">
        <f>SUM($AV$3:AV35)</f>
        <v>45673.6875</v>
      </c>
      <c r="AX35" s="22">
        <f t="shared" ref="AX35:AX66" si="50">AR35-AS35-AU35-AW35</f>
        <v>465189.8125</v>
      </c>
      <c r="AY35" s="22">
        <f t="shared" ref="AY35:AY66" si="51">$B$36*V35</f>
        <v>2020.8018967334033</v>
      </c>
      <c r="AZ35" s="24">
        <f t="shared" ref="AZ35:AZ66" si="52">SUM(AY35:AY35)*4/AR35</f>
        <v>1.4598532755885161E-2</v>
      </c>
      <c r="BA35" s="24">
        <f t="shared" ref="BA35:BA66" si="53">SUM(AY35:AY35)/V35</f>
        <v>0.35000000000000003</v>
      </c>
      <c r="BB35" s="25">
        <f>IF(MortgageRate="Discounted",_xlfn.XLOOKUP(L35,'mortgage-rates'!$A:$A,'mortgage-rates'!$E:$E)/100,_xlfn.XLOOKUP(L35,'mortgage-rates'!$A:$A,'mortgage-rates'!$D:$D)/100)</f>
        <v>5.0799999999999998E-2</v>
      </c>
      <c r="BC35" s="10">
        <f t="shared" si="37"/>
        <v>256539.11633554104</v>
      </c>
      <c r="BD35" s="10">
        <f t="shared" ref="BD35:BD66" si="54">IF($B$16*12/3-Q35+1&gt;0,-PMT($BB35/4,$B$16*12/3-Q35+1,BC35),0)</f>
        <v>5655.7471114692553</v>
      </c>
      <c r="BE35" s="10">
        <f t="shared" ref="BE35:BE67" si="55">BC35*($BB35/4)</f>
        <v>3258.0467774613712</v>
      </c>
      <c r="BF35" s="10">
        <f t="shared" si="36"/>
        <v>2397.7003340078841</v>
      </c>
      <c r="BG35" s="12">
        <f t="shared" ref="BG35:BG66" si="56">AT35+AY35+BD35</f>
        <v>7676.549008202659</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269.1843300896461</v>
      </c>
      <c r="BN35" s="22">
        <f t="shared" ref="BN35:BN66" si="62">100*AR35/AR$3</f>
        <v>143.81818181818181</v>
      </c>
      <c r="BO35">
        <f t="shared" ref="BO35:BO66" si="63">100*AX35/AX$3</f>
        <v>123.97437242762368</v>
      </c>
    </row>
    <row r="36" spans="1:67" x14ac:dyDescent="0.25">
      <c r="A36" t="s">
        <v>19</v>
      </c>
      <c r="B36" s="8">
        <f>SUM(B32:B35)</f>
        <v>0.35000000000000003</v>
      </c>
      <c r="C36" s="8">
        <v>0.35000000000000003</v>
      </c>
      <c r="L36" s="1">
        <f t="shared" si="33"/>
        <v>41791</v>
      </c>
      <c r="M36" s="10">
        <f t="shared" si="38"/>
        <v>284664.9923031177</v>
      </c>
      <c r="N36" s="10">
        <f t="shared" si="39"/>
        <v>204878.64649846684</v>
      </c>
      <c r="O36" s="7">
        <f t="shared" si="24"/>
        <v>1.3894322183802983</v>
      </c>
      <c r="P36" s="7">
        <f t="shared" si="40"/>
        <v>0.7773111504569733</v>
      </c>
      <c r="Q36">
        <v>34</v>
      </c>
      <c r="R36">
        <f t="shared" si="41"/>
        <v>91</v>
      </c>
      <c r="S36" s="22"/>
      <c r="T36" s="22">
        <f>IF($B$10="3BR_H",
INDEX('3BR_H-processed'!$E:$E,MATCH($L36,'3BR_H-processed'!$B:$B,0),MATCH(Council_Area,'3BR_H-processed'!$E$1:$E$1,0)),
INDEX('2BR_F-processed'!$E:$E,MATCH($L36,'2BR_F-processed'!$B:$B,0),MATCH(Council_Area,'2BR_F-processed'!$E$1:$E$1,0)))</f>
        <v>427.16137654527228</v>
      </c>
      <c r="U36" s="22">
        <f t="shared" si="25"/>
        <v>449.06708816297851</v>
      </c>
      <c r="V36" s="22">
        <f t="shared" si="34"/>
        <v>5837.8721461187206</v>
      </c>
      <c r="W36" s="22">
        <f>$B$53/4*BH36/_xlfn.XLOOKUP(Q_end,cpi!A:A,cpi!B:B)</f>
        <v>146.64823773324119</v>
      </c>
      <c r="X36" s="22">
        <f t="shared" si="42"/>
        <v>5984.5203838519619</v>
      </c>
      <c r="Y36" s="22">
        <f t="shared" si="43"/>
        <v>1714.4819787588449</v>
      </c>
      <c r="Z36" s="22">
        <f t="shared" ref="Z36:Z67" si="64">Y36*$B$47</f>
        <v>0</v>
      </c>
      <c r="AA36" s="22" cm="1">
        <f t="array" ref="AA36">(Y36+Z36)*eff_invest</f>
        <v>1714.4819787588449</v>
      </c>
      <c r="AB36" s="22">
        <f>AA36*(_xlfn.XLOOKUP(Q_end,cpi!A:A,cpi!B:B)/BH36)</f>
        <v>2338.2237731046639</v>
      </c>
      <c r="AC36" s="22" cm="1">
        <f t="array" ref="AC36">INDEX('msci-indices'!C:C,MATCH($L36,'msci-indices'!$B:$B)-2)</f>
        <v>1225.920044</v>
      </c>
      <c r="AD36" s="22" cm="1">
        <f t="array" ref="AD36">INDEX('msci-indices'!D:D,MATCH($L36,'msci-indices'!$B:$B)-2)</f>
        <v>1149.5383919999999</v>
      </c>
      <c r="AE36" s="22">
        <f t="shared" ref="AE36:AE67" si="65">AI35+AA36</f>
        <v>275245.25248257339</v>
      </c>
      <c r="AF36" s="22" cm="1">
        <f t="array" ref="AF36">INDEX('msci-indices'!C:C,MATCH($L36,'msci-indices'!$B:$B)+1)</f>
        <v>1282.9430809999999</v>
      </c>
      <c r="AG36" s="22" cm="1">
        <f t="array" ref="AG36">INDEX('msci-indices'!D:D,MATCH($L36,'msci-indices'!$B:$B)+1)</f>
        <v>1158.3053090000001</v>
      </c>
      <c r="AH36" s="22">
        <f t="shared" si="44"/>
        <v>172.02828280160836</v>
      </c>
      <c r="AI36" s="22">
        <f t="shared" si="45"/>
        <v>284664.9923031177</v>
      </c>
      <c r="AJ36" s="22">
        <f t="shared" ref="AJ36:AJ67" si="66">AJ35+AA36</f>
        <v>183133.24008724769</v>
      </c>
      <c r="AK36" s="22">
        <f t="shared" si="46"/>
        <v>101531.75221587002</v>
      </c>
      <c r="AL36" s="22">
        <f>AJ36*(_xlfn.XLOOKUP(Q_end,cpi!A:A,cpi!B:B)/BH36)</f>
        <v>249758.52818684958</v>
      </c>
      <c r="AM36" s="22" cm="1">
        <f t="array" ref="AM36">SUMPRODUCT($AA$3:AA36,_xlfn.SORTBY($BH$3:BH36,_xlfn.SEQUENCE(ROWS($BH$3:BH36)),-1)/$BH$3)</f>
        <v>220350.14312058402</v>
      </c>
      <c r="AN36" s="22">
        <f t="shared" si="30"/>
        <v>64314.849182533682</v>
      </c>
      <c r="AO36" s="22">
        <f t="shared" si="47"/>
        <v>0</v>
      </c>
      <c r="AP36" s="22">
        <f t="shared" si="31"/>
        <v>284664.9923031177</v>
      </c>
      <c r="AQ36" s="22"/>
      <c r="AR36" s="10">
        <f>IF($B$10="3BR_H",
INDEX('ns-combined'!$C:$C,MATCH($L36,'ns-combined'!$B:$B,0),MATCH(Council_Area,'ns-combined'!$C$1:$C$1,0))*1000,
INDEX('s-combined'!$C:$C,MATCH($L36,'s-combined'!$B:$B,0),MATCH(Council_Area,'s-combined'!$C$1:$C$1,0))*1000)</f>
        <v>550000</v>
      </c>
      <c r="AS36" s="22">
        <f t="shared" si="35"/>
        <v>32725</v>
      </c>
      <c r="AT36" s="10">
        <v>0</v>
      </c>
      <c r="AU36" s="22">
        <f t="shared" si="48"/>
        <v>11000</v>
      </c>
      <c r="AV36" s="22">
        <f t="shared" si="49"/>
        <v>1581.25</v>
      </c>
      <c r="AW36" s="22">
        <f>SUM($AV$3:AV36)</f>
        <v>47254.9375</v>
      </c>
      <c r="AX36" s="22">
        <f t="shared" si="50"/>
        <v>459020.0625</v>
      </c>
      <c r="AY36" s="22">
        <f t="shared" si="51"/>
        <v>2043.2552511415524</v>
      </c>
      <c r="AZ36" s="24">
        <f t="shared" si="52"/>
        <v>1.4860038190120382E-2</v>
      </c>
      <c r="BA36" s="24">
        <f t="shared" si="53"/>
        <v>0.35000000000000003</v>
      </c>
      <c r="BB36" s="25">
        <f>IF(MortgageRate="Discounted",_xlfn.XLOOKUP(L36,'mortgage-rates'!$A:$A,'mortgage-rates'!$E:$E)/100,_xlfn.XLOOKUP(L36,'mortgage-rates'!$A:$A,'mortgage-rates'!$D:$D)/100)</f>
        <v>5.0799999999999998E-2</v>
      </c>
      <c r="BC36" s="10">
        <f t="shared" ref="BC36:BC67" si="67">BC35-BF35</f>
        <v>254141.41600153316</v>
      </c>
      <c r="BD36" s="10">
        <f t="shared" si="54"/>
        <v>5655.7471114692544</v>
      </c>
      <c r="BE36" s="10">
        <f t="shared" si="55"/>
        <v>3227.5959832194708</v>
      </c>
      <c r="BF36" s="10">
        <f t="shared" si="36"/>
        <v>2428.1511282497836</v>
      </c>
      <c r="BG36" s="12">
        <f t="shared" si="56"/>
        <v>7699.0023626108068</v>
      </c>
      <c r="BH36" s="22">
        <f>INDEX(cpi!B:B,MATCH($L36,cpi!A:A))</f>
        <v>106.1</v>
      </c>
      <c r="BI36" s="22">
        <f t="shared" si="57"/>
        <v>125.41371158392435</v>
      </c>
      <c r="BJ36" s="22">
        <f t="shared" si="58"/>
        <v>162.39941126188398</v>
      </c>
      <c r="BK36" s="22">
        <f t="shared" si="59"/>
        <v>161.2354750851913</v>
      </c>
      <c r="BL36" s="22">
        <f t="shared" si="60"/>
        <v>162.05023040887616</v>
      </c>
      <c r="BM36" s="22">
        <f t="shared" si="61"/>
        <v>275.28758475780802</v>
      </c>
      <c r="BN36" s="22">
        <f t="shared" si="62"/>
        <v>142.85714285714286</v>
      </c>
      <c r="BO36">
        <f t="shared" si="63"/>
        <v>122.3301169780585</v>
      </c>
    </row>
    <row r="37" spans="1:67" x14ac:dyDescent="0.25">
      <c r="A37" s="6" t="s">
        <v>331</v>
      </c>
      <c r="B37" s="4" cm="1">
        <f t="array" ref="B37">AVERAGE(_xlfn._xlws.FILTER($AZ$3:$AZ$82,ISNUMBER($AZ$3:$AZ$82)))</f>
        <v>1.4586471237058366E-2</v>
      </c>
      <c r="C37" s="4">
        <v>1.1405453029375102E-2</v>
      </c>
      <c r="L37" s="1">
        <f t="shared" si="33"/>
        <v>41883</v>
      </c>
      <c r="M37" s="10">
        <f t="shared" si="38"/>
        <v>280019.14031741605</v>
      </c>
      <c r="N37" s="10">
        <f t="shared" si="39"/>
        <v>208671.54762671664</v>
      </c>
      <c r="O37" s="7">
        <f t="shared" si="24"/>
        <v>1.3419133729641475</v>
      </c>
      <c r="P37" s="7">
        <f t="shared" si="40"/>
        <v>0.78339492975229008</v>
      </c>
      <c r="Q37">
        <v>35</v>
      </c>
      <c r="R37">
        <f t="shared" si="41"/>
        <v>92</v>
      </c>
      <c r="S37" s="22"/>
      <c r="T37" s="22">
        <f>IF($B$10="3BR_H",
INDEX('3BR_H-processed'!$E:$E,MATCH($L37,'3BR_H-processed'!$B:$B,0),MATCH(Council_Area,'3BR_H-processed'!$E$1:$E$1,0)),
INDEX('2BR_F-processed'!$E:$E,MATCH($L37,'2BR_F-processed'!$B:$B,0),MATCH(Council_Area,'2BR_F-processed'!$E$1:$E$1,0)))</f>
        <v>450</v>
      </c>
      <c r="U37" s="22">
        <f t="shared" si="25"/>
        <v>449.06708816297851</v>
      </c>
      <c r="V37" s="22">
        <f t="shared" si="34"/>
        <v>5902.0245872848609</v>
      </c>
      <c r="W37" s="22">
        <f>$B$53/4*BH37/_xlfn.XLOOKUP(Q_end,cpi!A:A,cpi!B:B)</f>
        <v>146.92467173462336</v>
      </c>
      <c r="X37" s="22">
        <f t="shared" si="42"/>
        <v>6048.9492590194841</v>
      </c>
      <c r="Y37" s="22">
        <f t="shared" si="43"/>
        <v>1672.5064579994723</v>
      </c>
      <c r="Z37" s="22">
        <f t="shared" si="64"/>
        <v>0</v>
      </c>
      <c r="AA37" s="22" cm="1">
        <f t="array" ref="AA37">(Y37+Z37)*eff_invest</f>
        <v>1672.5064579994723</v>
      </c>
      <c r="AB37" s="22">
        <f>AA37*(_xlfn.XLOOKUP(Q_end,cpi!A:A,cpi!B:B)/BH37)</f>
        <v>2276.6856488478234</v>
      </c>
      <c r="AC37" s="22" cm="1">
        <f t="array" ref="AC37">INDEX('msci-indices'!C:C,MATCH($L37,'msci-indices'!$B:$B)-2)</f>
        <v>1282.9430809999999</v>
      </c>
      <c r="AD37" s="22" cm="1">
        <f t="array" ref="AD37">INDEX('msci-indices'!D:D,MATCH($L37,'msci-indices'!$B:$B)-2)</f>
        <v>1158.3053090000001</v>
      </c>
      <c r="AE37" s="22">
        <f t="shared" si="65"/>
        <v>286337.49876111717</v>
      </c>
      <c r="AF37" s="22" cm="1">
        <f t="array" ref="AF37">INDEX('msci-indices'!C:C,MATCH($L37,'msci-indices'!$B:$B)+1)</f>
        <v>1247.292238</v>
      </c>
      <c r="AG37" s="22" cm="1">
        <f t="array" ref="AG37">INDEX('msci-indices'!D:D,MATCH($L37,'msci-indices'!$B:$B)+1)</f>
        <v>1150.6246120000001</v>
      </c>
      <c r="AH37" s="22">
        <f t="shared" si="44"/>
        <v>178.96093672569825</v>
      </c>
      <c r="AI37" s="22">
        <f t="shared" si="45"/>
        <v>280019.14031741605</v>
      </c>
      <c r="AJ37" s="22">
        <f t="shared" si="66"/>
        <v>184805.74654524715</v>
      </c>
      <c r="AK37" s="22">
        <f t="shared" si="46"/>
        <v>95213.3937721689</v>
      </c>
      <c r="AL37" s="22">
        <f>AJ37*(_xlfn.XLOOKUP(Q_end,cpi!A:A,cpi!B:B)/BH37)</f>
        <v>251565.30127090556</v>
      </c>
      <c r="AM37" s="22" cm="1">
        <f t="array" ref="AM37">SUMPRODUCT($AA$3:AA37,_xlfn.SORTBY($BH$3:BH37,_xlfn.SEQUENCE(ROWS($BH$3:BH37)),-1)/$BH$3)</f>
        <v>222880.41838711777</v>
      </c>
      <c r="AN37" s="22">
        <f t="shared" si="30"/>
        <v>57138.721930298285</v>
      </c>
      <c r="AO37" s="22">
        <f t="shared" si="47"/>
        <v>0</v>
      </c>
      <c r="AP37" s="22">
        <f t="shared" si="31"/>
        <v>280019.14031741605</v>
      </c>
      <c r="AQ37" s="22"/>
      <c r="AR37" s="10">
        <f>IF($B$10="3BR_H",
INDEX('ns-combined'!$C:$C,MATCH($L37,'ns-combined'!$B:$B,0),MATCH(Council_Area,'ns-combined'!$C$1:$C$1,0))*1000,
INDEX('s-combined'!$C:$C,MATCH($L37,'s-combined'!$B:$B,0),MATCH(Council_Area,'s-combined'!$C$1:$C$1,0))*1000)</f>
        <v>554000</v>
      </c>
      <c r="AS37" s="22">
        <f t="shared" si="35"/>
        <v>33687.5</v>
      </c>
      <c r="AT37" s="10">
        <v>0</v>
      </c>
      <c r="AU37" s="22">
        <f t="shared" si="48"/>
        <v>11080</v>
      </c>
      <c r="AV37" s="22">
        <f t="shared" si="49"/>
        <v>1592.75</v>
      </c>
      <c r="AW37" s="22">
        <f>SUM($AV$3:AV37)</f>
        <v>48847.6875</v>
      </c>
      <c r="AX37" s="22">
        <f t="shared" si="50"/>
        <v>460384.8125</v>
      </c>
      <c r="AY37" s="22">
        <f t="shared" si="51"/>
        <v>2065.7086055497016</v>
      </c>
      <c r="AZ37" s="24">
        <f t="shared" si="52"/>
        <v>1.4914863577976185E-2</v>
      </c>
      <c r="BA37" s="24">
        <f t="shared" si="53"/>
        <v>0.35000000000000003</v>
      </c>
      <c r="BB37" s="25">
        <f>IF(MortgageRate="Discounted",_xlfn.XLOOKUP(L37,'mortgage-rates'!$A:$A,'mortgage-rates'!$E:$E)/100,_xlfn.XLOOKUP(L37,'mortgage-rates'!$A:$A,'mortgage-rates'!$D:$D)/100)</f>
        <v>5.0799999999999998E-2</v>
      </c>
      <c r="BC37" s="10">
        <f t="shared" si="67"/>
        <v>251713.26487328336</v>
      </c>
      <c r="BD37" s="10">
        <f t="shared" si="54"/>
        <v>5655.7471114692544</v>
      </c>
      <c r="BE37" s="10">
        <f t="shared" si="55"/>
        <v>3196.7584638906987</v>
      </c>
      <c r="BF37" s="10">
        <f t="shared" si="36"/>
        <v>2458.9886475785556</v>
      </c>
      <c r="BG37" s="12">
        <f t="shared" si="56"/>
        <v>7721.4557170189564</v>
      </c>
      <c r="BH37" s="22">
        <f>INDEX(cpi!B:B,MATCH($L37,cpi!A:A))</f>
        <v>106.3</v>
      </c>
      <c r="BI37" s="22">
        <f t="shared" si="57"/>
        <v>125.6501182033097</v>
      </c>
      <c r="BJ37" s="22">
        <f t="shared" si="58"/>
        <v>169.95333591014156</v>
      </c>
      <c r="BK37" s="22">
        <f t="shared" si="59"/>
        <v>162.46513216960426</v>
      </c>
      <c r="BL37" s="22">
        <f t="shared" si="60"/>
        <v>167.70687478798038</v>
      </c>
      <c r="BM37" s="22">
        <f t="shared" si="61"/>
        <v>286.38153700591243</v>
      </c>
      <c r="BN37" s="22">
        <f t="shared" si="62"/>
        <v>143.89610389610391</v>
      </c>
      <c r="BO37">
        <f t="shared" si="63"/>
        <v>122.69382662995591</v>
      </c>
    </row>
    <row r="38" spans="1:67" x14ac:dyDescent="0.25">
      <c r="A38" s="6" t="s">
        <v>332</v>
      </c>
      <c r="B38" s="31" cm="1">
        <f t="array" ref="B38">AVERAGE(_xlfn._xlws.FILTER($BA$3:$BA$82,ISNUMBER($BA$3:$BA$82)))</f>
        <v>0.35000000000000048</v>
      </c>
      <c r="C38" s="31">
        <v>0.35000000000000048</v>
      </c>
      <c r="L38" s="1">
        <f t="shared" si="33"/>
        <v>41974</v>
      </c>
      <c r="M38" s="10">
        <f t="shared" si="38"/>
        <v>286205.08290692588</v>
      </c>
      <c r="N38" s="10">
        <f t="shared" si="39"/>
        <v>224209.28627429518</v>
      </c>
      <c r="O38" s="7">
        <f t="shared" si="24"/>
        <v>1.2765086034696427</v>
      </c>
      <c r="P38" s="7">
        <f t="shared" si="40"/>
        <v>0.78343073051467393</v>
      </c>
      <c r="Q38">
        <v>36</v>
      </c>
      <c r="R38">
        <f t="shared" si="41"/>
        <v>92</v>
      </c>
      <c r="S38" s="22"/>
      <c r="T38" s="22">
        <f>IF($B$10="3BR_H",
INDEX('3BR_H-processed'!$E:$E,MATCH($L38,'3BR_H-processed'!$B:$B,0),MATCH(Council_Area,'3BR_H-processed'!$E$1:$E$1,0)),
INDEX('2BR_F-processed'!$E:$E,MATCH($L38,'2BR_F-processed'!$B:$B,0),MATCH(Council_Area,'2BR_F-processed'!$E$1:$E$1,0)))</f>
        <v>450</v>
      </c>
      <c r="U38" s="22">
        <f t="shared" si="25"/>
        <v>449.06708816297851</v>
      </c>
      <c r="V38" s="22">
        <f t="shared" si="34"/>
        <v>5902.0245872848609</v>
      </c>
      <c r="W38" s="22">
        <f>$B$53/4*BH38/_xlfn.XLOOKUP(Q_end,cpi!A:A,cpi!B:B)</f>
        <v>147.20110573600553</v>
      </c>
      <c r="X38" s="22">
        <f t="shared" si="42"/>
        <v>6049.2256930208669</v>
      </c>
      <c r="Y38" s="22">
        <f t="shared" si="43"/>
        <v>1672.2300239980896</v>
      </c>
      <c r="Z38" s="22">
        <f t="shared" si="64"/>
        <v>0</v>
      </c>
      <c r="AA38" s="22" cm="1">
        <f t="array" ref="AA38">(Y38+Z38)*eff_invest</f>
        <v>1672.2300239980896</v>
      </c>
      <c r="AB38" s="22">
        <f>AA38*(_xlfn.XLOOKUP(Q_end,cpi!A:A,cpi!B:B)/BH38)</f>
        <v>2272.0345959861365</v>
      </c>
      <c r="AC38" s="22" cm="1">
        <f t="array" ref="AC38">INDEX('msci-indices'!C:C,MATCH($L38,'msci-indices'!$B:$B)-2)</f>
        <v>1247.292238</v>
      </c>
      <c r="AD38" s="22" cm="1">
        <f t="array" ref="AD38">INDEX('msci-indices'!D:D,MATCH($L38,'msci-indices'!$B:$B)-2)</f>
        <v>1150.6246120000001</v>
      </c>
      <c r="AE38" s="22">
        <f t="shared" si="65"/>
        <v>281691.37034141412</v>
      </c>
      <c r="AF38" s="22" cm="1">
        <f t="array" ref="AF38">INDEX('msci-indices'!C:C,MATCH($L38,'msci-indices'!$B:$B)+1)</f>
        <v>1262.6926370000001</v>
      </c>
      <c r="AG38" s="22" cm="1">
        <f t="array" ref="AG38">INDEX('msci-indices'!D:D,MATCH($L38,'msci-indices'!$B:$B)+1)</f>
        <v>1181.3296580000001</v>
      </c>
      <c r="AH38" s="22">
        <f t="shared" si="44"/>
        <v>176.05710646338383</v>
      </c>
      <c r="AI38" s="22">
        <f t="shared" si="45"/>
        <v>286205.08290692588</v>
      </c>
      <c r="AJ38" s="22">
        <f t="shared" si="66"/>
        <v>186477.97656924525</v>
      </c>
      <c r="AK38" s="22">
        <f t="shared" si="46"/>
        <v>99727.106337680627</v>
      </c>
      <c r="AL38" s="22">
        <f>AJ38*(_xlfn.XLOOKUP(Q_end,cpi!A:A,cpi!B:B)/BH38)</f>
        <v>253364.91276591347</v>
      </c>
      <c r="AM38" s="22" cm="1">
        <f t="array" ref="AM38">SUMPRODUCT($AA$3:AA38,_xlfn.SORTBY($BH$3:BH38,_xlfn.SEQUENCE(ROWS($BH$3:BH38)),-1)/$BH$3)</f>
        <v>225422.65147786637</v>
      </c>
      <c r="AN38" s="22">
        <f t="shared" si="30"/>
        <v>60782.431429059507</v>
      </c>
      <c r="AO38" s="22">
        <f t="shared" si="47"/>
        <v>0</v>
      </c>
      <c r="AP38" s="22">
        <f t="shared" si="31"/>
        <v>286205.08290692588</v>
      </c>
      <c r="AQ38" s="22"/>
      <c r="AR38" s="10">
        <f>IF($B$10="3BR_H",
INDEX('ns-combined'!$C:$C,MATCH($L38,'ns-combined'!$B:$B,0),MATCH(Council_Area,'ns-combined'!$C$1:$C$1,0))*1000,
INDEX('s-combined'!$C:$C,MATCH($L38,'s-combined'!$B:$B,0),MATCH(Council_Area,'s-combined'!$C$1:$C$1,0))*1000)</f>
        <v>570000</v>
      </c>
      <c r="AS38" s="22">
        <f t="shared" si="35"/>
        <v>34650</v>
      </c>
      <c r="AT38" s="10">
        <v>0</v>
      </c>
      <c r="AU38" s="22">
        <f t="shared" si="48"/>
        <v>11400</v>
      </c>
      <c r="AV38" s="22">
        <f t="shared" si="49"/>
        <v>1638.75</v>
      </c>
      <c r="AW38" s="22">
        <f>SUM($AV$3:AV38)</f>
        <v>50486.4375</v>
      </c>
      <c r="AX38" s="22">
        <f t="shared" si="50"/>
        <v>473463.5625</v>
      </c>
      <c r="AY38" s="22">
        <f t="shared" si="51"/>
        <v>2065.7086055497016</v>
      </c>
      <c r="AZ38" s="24">
        <f t="shared" si="52"/>
        <v>1.449620074069966E-2</v>
      </c>
      <c r="BA38" s="24">
        <f t="shared" si="53"/>
        <v>0.35000000000000003</v>
      </c>
      <c r="BB38" s="25">
        <f>IF(MortgageRate="Discounted",_xlfn.XLOOKUP(L38,'mortgage-rates'!$A:$A,'mortgage-rates'!$E:$E)/100,_xlfn.XLOOKUP(L38,'mortgage-rates'!$A:$A,'mortgage-rates'!$D:$D)/100)</f>
        <v>5.0799999999999998E-2</v>
      </c>
      <c r="BC38" s="10">
        <f t="shared" si="67"/>
        <v>249254.27622570482</v>
      </c>
      <c r="BD38" s="10">
        <f t="shared" si="54"/>
        <v>5655.7471114692553</v>
      </c>
      <c r="BE38" s="10">
        <f t="shared" si="55"/>
        <v>3165.529308066451</v>
      </c>
      <c r="BF38" s="10">
        <f t="shared" si="36"/>
        <v>2490.2178034028043</v>
      </c>
      <c r="BG38" s="12">
        <f t="shared" si="56"/>
        <v>7721.4557170189564</v>
      </c>
      <c r="BH38" s="22">
        <f>INDEX(cpi!B:B,MATCH($L38,cpi!A:A))</f>
        <v>106.5</v>
      </c>
      <c r="BI38" s="22">
        <f t="shared" si="57"/>
        <v>125.88652482269504</v>
      </c>
      <c r="BJ38" s="22">
        <f t="shared" si="58"/>
        <v>165.23061688574342</v>
      </c>
      <c r="BK38" s="22">
        <f t="shared" si="59"/>
        <v>161.38782945540277</v>
      </c>
      <c r="BL38" s="22">
        <f t="shared" si="60"/>
        <v>164.07778065664121</v>
      </c>
      <c r="BM38" s="22">
        <f t="shared" si="61"/>
        <v>281.73469401916321</v>
      </c>
      <c r="BN38" s="22">
        <f t="shared" si="62"/>
        <v>148.05194805194805</v>
      </c>
      <c r="BO38">
        <f t="shared" si="63"/>
        <v>126.17934969993453</v>
      </c>
    </row>
    <row r="39" spans="1:67" x14ac:dyDescent="0.25">
      <c r="A39" s="6"/>
      <c r="B39" s="31"/>
      <c r="C39" s="31"/>
      <c r="L39" s="1">
        <f t="shared" si="33"/>
        <v>42064</v>
      </c>
      <c r="M39" s="10">
        <f t="shared" si="38"/>
        <v>301722.88274458156</v>
      </c>
      <c r="N39" s="10">
        <f t="shared" si="39"/>
        <v>238755.12907769799</v>
      </c>
      <c r="O39" s="7">
        <f t="shared" si="24"/>
        <v>1.2637336165724506</v>
      </c>
      <c r="P39" s="7">
        <f t="shared" si="40"/>
        <v>0.78289069983177251</v>
      </c>
      <c r="Q39">
        <v>37</v>
      </c>
      <c r="R39">
        <f t="shared" si="41"/>
        <v>90</v>
      </c>
      <c r="S39" s="22"/>
      <c r="T39" s="22">
        <f>IF($B$10="3BR_H",
INDEX('3BR_H-processed'!$E:$E,MATCH($L39,'3BR_H-processed'!$B:$B,0),MATCH(Council_Area,'3BR_H-processed'!$E$1:$E$1,0)),
INDEX('2BR_F-processed'!$E:$E,MATCH($L39,'2BR_F-processed'!$B:$B,0),MATCH(Council_Area,'2BR_F-processed'!$E$1:$E$1,0)))</f>
        <v>450</v>
      </c>
      <c r="U39" s="22">
        <f t="shared" si="25"/>
        <v>450</v>
      </c>
      <c r="V39" s="22">
        <f t="shared" si="34"/>
        <v>5785.7142857142853</v>
      </c>
      <c r="W39" s="22">
        <f>$B$53/4*BH39/_xlfn.XLOOKUP(Q_end,cpi!A:A,cpi!B:B)</f>
        <v>147.6157567380788</v>
      </c>
      <c r="X39" s="22">
        <f t="shared" si="42"/>
        <v>5933.3300424523641</v>
      </c>
      <c r="Y39" s="22">
        <f t="shared" si="43"/>
        <v>1645.4163186007399</v>
      </c>
      <c r="Z39" s="22">
        <f t="shared" si="64"/>
        <v>0</v>
      </c>
      <c r="AA39" s="22" cm="1">
        <f t="array" ref="AA39">(Y39+Z39)*eff_invest</f>
        <v>1645.4163186007399</v>
      </c>
      <c r="AB39" s="22">
        <f>AA39*(_xlfn.XLOOKUP(Q_end,cpi!A:A,cpi!B:B)/BH39)</f>
        <v>2229.3234204262835</v>
      </c>
      <c r="AC39" s="22" cm="1">
        <f t="array" ref="AC39">INDEX('msci-indices'!C:C,MATCH($L39,'msci-indices'!$B:$B)-2)</f>
        <v>1262.6926370000001</v>
      </c>
      <c r="AD39" s="22" cm="1">
        <f t="array" ref="AD39">INDEX('msci-indices'!D:D,MATCH($L39,'msci-indices'!$B:$B)-2)</f>
        <v>1181.3296580000001</v>
      </c>
      <c r="AE39" s="22">
        <f t="shared" si="65"/>
        <v>287850.49922552664</v>
      </c>
      <c r="AF39" s="22" cm="1">
        <f t="array" ref="AF39">INDEX('msci-indices'!C:C,MATCH($L39,'msci-indices'!$B:$B)+1)</f>
        <v>1295.5072580000001</v>
      </c>
      <c r="AG39" s="22" cm="1">
        <f t="array" ref="AG39">INDEX('msci-indices'!D:D,MATCH($L39,'msci-indices'!$B:$B)+1)</f>
        <v>1301.9298140000001</v>
      </c>
      <c r="AH39" s="22">
        <f t="shared" si="44"/>
        <v>179.90656201595417</v>
      </c>
      <c r="AI39" s="22">
        <f t="shared" si="45"/>
        <v>301722.88274458156</v>
      </c>
      <c r="AJ39" s="22">
        <f t="shared" si="66"/>
        <v>188123.39288784598</v>
      </c>
      <c r="AK39" s="22">
        <f t="shared" si="46"/>
        <v>113599.48985673557</v>
      </c>
      <c r="AL39" s="22">
        <f>AJ39*(_xlfn.XLOOKUP(Q_end,cpi!A:A,cpi!B:B)/BH39)</f>
        <v>254882.53699317711</v>
      </c>
      <c r="AM39" s="22" cm="1">
        <f t="array" ref="AM39">SUMPRODUCT($AA$3:AA39,_xlfn.SORTBY($BH$3:BH39,_xlfn.SEQUENCE(ROWS($BH$3:BH39)),-1)/$BH$3)</f>
        <v>228059.67310583586</v>
      </c>
      <c r="AN39" s="22">
        <f t="shared" si="30"/>
        <v>73663.209638745699</v>
      </c>
      <c r="AO39" s="22">
        <f t="shared" si="47"/>
        <v>0</v>
      </c>
      <c r="AP39" s="22">
        <f t="shared" si="31"/>
        <v>301722.88274458156</v>
      </c>
      <c r="AQ39" s="22"/>
      <c r="AR39" s="10">
        <f>IF($B$10="3BR_H",
INDEX('ns-combined'!$C:$C,MATCH($L39,'ns-combined'!$B:$B,0),MATCH(Council_Area,'ns-combined'!$C$1:$C$1,0))*1000,
INDEX('s-combined'!$C:$C,MATCH($L39,'s-combined'!$B:$B,0),MATCH(Council_Area,'s-combined'!$C$1:$C$1,0))*1000)</f>
        <v>585000</v>
      </c>
      <c r="AS39" s="22">
        <f t="shared" si="35"/>
        <v>35612.5</v>
      </c>
      <c r="AT39" s="10">
        <v>0</v>
      </c>
      <c r="AU39" s="22">
        <f t="shared" si="48"/>
        <v>11700</v>
      </c>
      <c r="AV39" s="22">
        <f t="shared" si="49"/>
        <v>1681.875</v>
      </c>
      <c r="AW39" s="22">
        <f>SUM($AV$3:AV39)</f>
        <v>52168.3125</v>
      </c>
      <c r="AX39" s="22">
        <f t="shared" si="50"/>
        <v>485519.1875</v>
      </c>
      <c r="AY39" s="22">
        <f t="shared" si="51"/>
        <v>2025</v>
      </c>
      <c r="AZ39" s="24">
        <f t="shared" si="52"/>
        <v>1.3846153846153847E-2</v>
      </c>
      <c r="BA39" s="24">
        <f t="shared" si="53"/>
        <v>0.35000000000000003</v>
      </c>
      <c r="BB39" s="25">
        <f>IF(MortgageRate="Discounted",_xlfn.XLOOKUP(L39,'mortgage-rates'!$A:$A,'mortgage-rates'!$E:$E)/100,_xlfn.XLOOKUP(L39,'mortgage-rates'!$A:$A,'mortgage-rates'!$D:$D)/100)</f>
        <v>4.82E-2</v>
      </c>
      <c r="BC39" s="10">
        <f t="shared" si="67"/>
        <v>246764.05842230201</v>
      </c>
      <c r="BD39" s="10">
        <f t="shared" si="54"/>
        <v>5553.746361053104</v>
      </c>
      <c r="BE39" s="10">
        <f t="shared" si="55"/>
        <v>2973.5069039887394</v>
      </c>
      <c r="BF39" s="10">
        <f t="shared" si="36"/>
        <v>2580.2394570643646</v>
      </c>
      <c r="BG39" s="12">
        <f t="shared" si="56"/>
        <v>7578.746361053104</v>
      </c>
      <c r="BH39" s="22">
        <f>INDEX(cpi!B:B,MATCH($L39,cpi!A:A))</f>
        <v>106.8</v>
      </c>
      <c r="BI39" s="22">
        <f t="shared" si="57"/>
        <v>126.24113475177306</v>
      </c>
      <c r="BJ39" s="22">
        <f t="shared" si="58"/>
        <v>167.2707301403058</v>
      </c>
      <c r="BK39" s="22">
        <f t="shared" si="59"/>
        <v>165.69455180045574</v>
      </c>
      <c r="BL39" s="22">
        <f t="shared" si="60"/>
        <v>166.79787663835077</v>
      </c>
      <c r="BM39" s="22">
        <f t="shared" si="61"/>
        <v>287.89477016734941</v>
      </c>
      <c r="BN39" s="22">
        <f t="shared" si="62"/>
        <v>151.94805194805195</v>
      </c>
      <c r="BO39">
        <f t="shared" si="63"/>
        <v>129.39220712595088</v>
      </c>
    </row>
    <row r="40" spans="1:67" x14ac:dyDescent="0.25">
      <c r="A40" s="5" t="s">
        <v>347</v>
      </c>
      <c r="L40" s="1">
        <f t="shared" si="33"/>
        <v>42156</v>
      </c>
      <c r="M40" s="10">
        <f t="shared" si="38"/>
        <v>297998.09835923411</v>
      </c>
      <c r="N40" s="10">
        <f t="shared" si="39"/>
        <v>233805.36853476235</v>
      </c>
      <c r="O40" s="7">
        <f t="shared" si="24"/>
        <v>1.2745562697159691</v>
      </c>
      <c r="P40" s="7">
        <f t="shared" si="40"/>
        <v>0.79522118767603545</v>
      </c>
      <c r="Q40">
        <v>38</v>
      </c>
      <c r="R40">
        <f t="shared" si="41"/>
        <v>91</v>
      </c>
      <c r="S40" s="22"/>
      <c r="T40" s="22">
        <f>IF($B$10="3BR_H",
INDEX('3BR_H-processed'!$E:$E,MATCH($L40,'3BR_H-processed'!$B:$B,0),MATCH(Council_Area,'3BR_H-processed'!$E$1:$E$1,0)),
INDEX('2BR_F-processed'!$E:$E,MATCH($L40,'2BR_F-processed'!$B:$B,0),MATCH(Council_Area,'2BR_F-processed'!$E$1:$E$1,0)))</f>
        <v>450</v>
      </c>
      <c r="U40" s="22">
        <f t="shared" si="25"/>
        <v>450</v>
      </c>
      <c r="V40" s="22">
        <f t="shared" si="34"/>
        <v>5850</v>
      </c>
      <c r="W40" s="22">
        <f>$B$53/4*BH40/_xlfn.XLOOKUP(Q_end,cpi!A:A,cpi!B:B)</f>
        <v>148.85970974429856</v>
      </c>
      <c r="X40" s="22">
        <f t="shared" si="42"/>
        <v>5998.8597097442989</v>
      </c>
      <c r="Y40" s="22">
        <f t="shared" si="43"/>
        <v>1544.7769572759089</v>
      </c>
      <c r="Z40" s="22">
        <f t="shared" si="64"/>
        <v>0</v>
      </c>
      <c r="AA40" s="22" cm="1">
        <f t="array" ref="AA40">(Y40+Z40)*eff_invest</f>
        <v>1544.7769572759089</v>
      </c>
      <c r="AB40" s="22">
        <f>AA40*(_xlfn.XLOOKUP(Q_end,cpi!A:A,cpi!B:B)/BH40)</f>
        <v>2075.4802759315135</v>
      </c>
      <c r="AC40" s="22" cm="1">
        <f t="array" ref="AC40">INDEX('msci-indices'!C:C,MATCH($L40,'msci-indices'!$B:$B)-2)</f>
        <v>1295.5072580000001</v>
      </c>
      <c r="AD40" s="22" cm="1">
        <f t="array" ref="AD40">INDEX('msci-indices'!D:D,MATCH($L40,'msci-indices'!$B:$B)-2)</f>
        <v>1301.9298140000001</v>
      </c>
      <c r="AE40" s="22">
        <f t="shared" si="65"/>
        <v>303267.65970185748</v>
      </c>
      <c r="AF40" s="22" cm="1">
        <f t="array" ref="AF40">INDEX('msci-indices'!C:C,MATCH($L40,'msci-indices'!$B:$B)+1)</f>
        <v>1301.506973</v>
      </c>
      <c r="AG40" s="22" cm="1">
        <f t="array" ref="AG40">INDEX('msci-indices'!D:D,MATCH($L40,'msci-indices'!$B:$B)+1)</f>
        <v>1215.1659059999999</v>
      </c>
      <c r="AH40" s="22">
        <f t="shared" si="44"/>
        <v>189.54228731366092</v>
      </c>
      <c r="AI40" s="22">
        <f t="shared" si="45"/>
        <v>297998.09835923411</v>
      </c>
      <c r="AJ40" s="22">
        <f t="shared" si="66"/>
        <v>189668.16984512188</v>
      </c>
      <c r="AK40" s="22">
        <f t="shared" si="46"/>
        <v>108329.92851411222</v>
      </c>
      <c r="AL40" s="22">
        <f>AJ40*(_xlfn.XLOOKUP(Q_end,cpi!A:A,cpi!B:B)/BH40)</f>
        <v>254828.0796340681</v>
      </c>
      <c r="AM40" s="22" cm="1">
        <f t="array" ref="AM40">SUMPRODUCT($AA$3:AA40,_xlfn.SORTBY($BH$3:BH40,_xlfn.SEQUENCE(ROWS($BH$3:BH40)),-1)/$BH$3)</f>
        <v>231300.2560556962</v>
      </c>
      <c r="AN40" s="22">
        <f t="shared" si="30"/>
        <v>66697.842303537909</v>
      </c>
      <c r="AO40" s="22">
        <f t="shared" si="47"/>
        <v>0</v>
      </c>
      <c r="AP40" s="22">
        <f t="shared" si="31"/>
        <v>297998.09835923411</v>
      </c>
      <c r="AQ40" s="22"/>
      <c r="AR40" s="10">
        <f>IF($B$10="3BR_H",
INDEX('ns-combined'!$C:$C,MATCH($L40,'ns-combined'!$B:$B,0),MATCH(Council_Area,'ns-combined'!$C$1:$C$1,0))*1000,
INDEX('s-combined'!$C:$C,MATCH($L40,'s-combined'!$B:$B,0),MATCH(Council_Area,'s-combined'!$C$1:$C$1,0))*1000)</f>
        <v>580000</v>
      </c>
      <c r="AS40" s="22">
        <f t="shared" si="35"/>
        <v>36575</v>
      </c>
      <c r="AT40" s="10">
        <v>0</v>
      </c>
      <c r="AU40" s="22">
        <f t="shared" si="48"/>
        <v>11600</v>
      </c>
      <c r="AV40" s="22">
        <f t="shared" si="49"/>
        <v>1667.5</v>
      </c>
      <c r="AW40" s="22">
        <f>SUM($AV$3:AV40)</f>
        <v>53835.8125</v>
      </c>
      <c r="AX40" s="22">
        <f t="shared" si="50"/>
        <v>477989.1875</v>
      </c>
      <c r="AY40" s="22">
        <f t="shared" si="51"/>
        <v>2047.5000000000002</v>
      </c>
      <c r="AZ40" s="24">
        <f t="shared" si="52"/>
        <v>1.4120689655172415E-2</v>
      </c>
      <c r="BA40" s="24">
        <f t="shared" si="53"/>
        <v>0.35000000000000003</v>
      </c>
      <c r="BB40" s="25">
        <f>IF(MortgageRate="Discounted",_xlfn.XLOOKUP(L40,'mortgage-rates'!$A:$A,'mortgage-rates'!$E:$E)/100,_xlfn.XLOOKUP(L40,'mortgage-rates'!$A:$A,'mortgage-rates'!$D:$D)/100)</f>
        <v>4.6699999999999998E-2</v>
      </c>
      <c r="BC40" s="10">
        <f t="shared" si="67"/>
        <v>244183.81896523765</v>
      </c>
      <c r="BD40" s="10">
        <f t="shared" si="54"/>
        <v>5496.1366670202078</v>
      </c>
      <c r="BE40" s="10">
        <f t="shared" si="55"/>
        <v>2850.8460864191493</v>
      </c>
      <c r="BF40" s="10">
        <f t="shared" si="36"/>
        <v>2645.2905806010585</v>
      </c>
      <c r="BG40" s="12">
        <f t="shared" si="56"/>
        <v>7543.6366670202078</v>
      </c>
      <c r="BH40" s="22">
        <f>INDEX(cpi!B:B,MATCH($L40,cpi!A:A))</f>
        <v>107.7</v>
      </c>
      <c r="BI40" s="22">
        <f t="shared" si="57"/>
        <v>127.3049645390071</v>
      </c>
      <c r="BJ40" s="22">
        <f t="shared" si="58"/>
        <v>171.61773071123525</v>
      </c>
      <c r="BK40" s="22">
        <f t="shared" si="59"/>
        <v>182.61005769685053</v>
      </c>
      <c r="BL40" s="22">
        <f t="shared" si="60"/>
        <v>174.91542880691983</v>
      </c>
      <c r="BM40" s="22">
        <f t="shared" si="61"/>
        <v>303.31430177805856</v>
      </c>
      <c r="BN40" s="22">
        <f t="shared" si="62"/>
        <v>150.64935064935065</v>
      </c>
      <c r="BO40">
        <f t="shared" si="63"/>
        <v>127.38544128694187</v>
      </c>
    </row>
    <row r="41" spans="1:67" x14ac:dyDescent="0.25">
      <c r="A41" t="s">
        <v>310</v>
      </c>
      <c r="B41" s="8">
        <v>0.7</v>
      </c>
      <c r="C41" s="8">
        <v>0.7</v>
      </c>
      <c r="L41" s="1">
        <f t="shared" si="33"/>
        <v>42248</v>
      </c>
      <c r="M41" s="10">
        <f t="shared" si="38"/>
        <v>275027.10273158847</v>
      </c>
      <c r="N41" s="10">
        <f t="shared" si="39"/>
        <v>241149.09661536341</v>
      </c>
      <c r="O41" s="7">
        <f t="shared" si="24"/>
        <v>1.1404857268458319</v>
      </c>
      <c r="P41" s="7">
        <f t="shared" si="40"/>
        <v>0.80177138903356882</v>
      </c>
      <c r="Q41">
        <v>39</v>
      </c>
      <c r="R41">
        <f t="shared" si="41"/>
        <v>92</v>
      </c>
      <c r="S41" s="22"/>
      <c r="T41" s="22">
        <f>IF($B$10="3BR_H",
INDEX('3BR_H-processed'!$E:$E,MATCH($L41,'3BR_H-processed'!$B:$B,0),MATCH(Council_Area,'3BR_H-processed'!$E$1:$E$1,0)),
INDEX('2BR_F-processed'!$E:$E,MATCH($L41,'2BR_F-processed'!$B:$B,0),MATCH(Council_Area,'2BR_F-processed'!$E$1:$E$1,0)))</f>
        <v>457</v>
      </c>
      <c r="U41" s="22">
        <f t="shared" si="25"/>
        <v>450</v>
      </c>
      <c r="V41" s="22">
        <f t="shared" si="34"/>
        <v>5914.2857142857147</v>
      </c>
      <c r="W41" s="22">
        <f>$B$53/4*BH41/_xlfn.XLOOKUP(Q_end,cpi!A:A,cpi!B:B)</f>
        <v>148.99792674498966</v>
      </c>
      <c r="X41" s="22">
        <f t="shared" si="42"/>
        <v>6063.2836410307045</v>
      </c>
      <c r="Y41" s="22">
        <f t="shared" si="43"/>
        <v>1499.0760589571</v>
      </c>
      <c r="Z41" s="22">
        <f t="shared" si="64"/>
        <v>0</v>
      </c>
      <c r="AA41" s="22" cm="1">
        <f t="array" ref="AA41">(Y41+Z41)*eff_invest</f>
        <v>1499.0760589571</v>
      </c>
      <c r="AB41" s="22">
        <f>AA41*(_xlfn.XLOOKUP(Q_end,cpi!A:A,cpi!B:B)/BH41)</f>
        <v>2012.2106283032688</v>
      </c>
      <c r="AC41" s="22" cm="1">
        <f t="array" ref="AC41">INDEX('msci-indices'!C:C,MATCH($L41,'msci-indices'!$B:$B)-2)</f>
        <v>1301.506973</v>
      </c>
      <c r="AD41" s="22" cm="1">
        <f t="array" ref="AD41">INDEX('msci-indices'!D:D,MATCH($L41,'msci-indices'!$B:$B)-2)</f>
        <v>1215.1659059999999</v>
      </c>
      <c r="AE41" s="22">
        <f t="shared" si="65"/>
        <v>299497.17441819119</v>
      </c>
      <c r="AF41" s="22" cm="1">
        <f t="array" ref="AF41">INDEX('msci-indices'!C:C,MATCH($L41,'msci-indices'!$B:$B)+1)</f>
        <v>1189.2854910000001</v>
      </c>
      <c r="AG41" s="22" cm="1">
        <f t="array" ref="AG41">INDEX('msci-indices'!D:D,MATCH($L41,'msci-indices'!$B:$B)+1)</f>
        <v>1131.230902</v>
      </c>
      <c r="AH41" s="22">
        <f t="shared" si="44"/>
        <v>187.1857340113695</v>
      </c>
      <c r="AI41" s="22">
        <f t="shared" si="45"/>
        <v>275027.10273158847</v>
      </c>
      <c r="AJ41" s="22">
        <f t="shared" si="66"/>
        <v>191167.245904079</v>
      </c>
      <c r="AK41" s="22">
        <f t="shared" si="46"/>
        <v>83859.856827509473</v>
      </c>
      <c r="AL41" s="22">
        <f>AJ41*(_xlfn.XLOOKUP(Q_end,cpi!A:A,cpi!B:B)/BH41)</f>
        <v>256603.90057810975</v>
      </c>
      <c r="AM41" s="22" cm="1">
        <f t="array" ref="AM41">SUMPRODUCT($AA$3:AA41,_xlfn.SORTBY($BH$3:BH41,_xlfn.SEQUENCE(ROWS($BH$3:BH41)),-1)/$BH$3)</f>
        <v>233569.54631416098</v>
      </c>
      <c r="AN41" s="22">
        <f t="shared" si="30"/>
        <v>41457.556417427491</v>
      </c>
      <c r="AO41" s="22">
        <f t="shared" si="47"/>
        <v>0</v>
      </c>
      <c r="AP41" s="22">
        <f t="shared" si="31"/>
        <v>275027.10273158847</v>
      </c>
      <c r="AQ41" s="22"/>
      <c r="AR41" s="10">
        <f>IF($B$10="3BR_H",
INDEX('ns-combined'!$C:$C,MATCH($L41,'ns-combined'!$B:$B,0),MATCH(Council_Area,'ns-combined'!$C$1:$C$1,0))*1000,
INDEX('s-combined'!$C:$C,MATCH($L41,'s-combined'!$B:$B,0),MATCH(Council_Area,'s-combined'!$C$1:$C$1,0))*1000)</f>
        <v>587500</v>
      </c>
      <c r="AS41" s="22">
        <f t="shared" si="35"/>
        <v>37537.5</v>
      </c>
      <c r="AT41" s="10">
        <v>0</v>
      </c>
      <c r="AU41" s="22">
        <f t="shared" si="48"/>
        <v>11750</v>
      </c>
      <c r="AV41" s="22">
        <f t="shared" si="49"/>
        <v>1689.0625</v>
      </c>
      <c r="AW41" s="22">
        <f>SUM($AV$3:AV41)</f>
        <v>55524.875</v>
      </c>
      <c r="AX41" s="22">
        <f t="shared" si="50"/>
        <v>482687.625</v>
      </c>
      <c r="AY41" s="22">
        <f t="shared" si="51"/>
        <v>2070.0000000000005</v>
      </c>
      <c r="AZ41" s="24">
        <f t="shared" si="52"/>
        <v>1.40936170212766E-2</v>
      </c>
      <c r="BA41" s="24">
        <f t="shared" si="53"/>
        <v>0.35000000000000003</v>
      </c>
      <c r="BB41" s="25">
        <f>IF(MortgageRate="Discounted",_xlfn.XLOOKUP(L41,'mortgage-rates'!$A:$A,'mortgage-rates'!$E:$E)/100,_xlfn.XLOOKUP(L41,'mortgage-rates'!$A:$A,'mortgage-rates'!$D:$D)/100)</f>
        <v>4.6600000000000003E-2</v>
      </c>
      <c r="BC41" s="10">
        <f t="shared" si="67"/>
        <v>241538.52838463659</v>
      </c>
      <c r="BD41" s="10">
        <f t="shared" si="54"/>
        <v>5492.3596999878046</v>
      </c>
      <c r="BE41" s="10">
        <f t="shared" si="55"/>
        <v>2813.9238556810164</v>
      </c>
      <c r="BF41" s="10">
        <f t="shared" si="36"/>
        <v>2678.4358443067881</v>
      </c>
      <c r="BG41" s="12">
        <f t="shared" si="56"/>
        <v>7562.3596999878046</v>
      </c>
      <c r="BH41" s="22">
        <f>INDEX(cpi!B:B,MATCH($L41,cpi!A:A))</f>
        <v>107.8</v>
      </c>
      <c r="BI41" s="22">
        <f t="shared" si="57"/>
        <v>127.42316784869978</v>
      </c>
      <c r="BJ41" s="22">
        <f t="shared" si="58"/>
        <v>172.41252168354035</v>
      </c>
      <c r="BK41" s="22">
        <f t="shared" si="59"/>
        <v>170.44045986176764</v>
      </c>
      <c r="BL41" s="22">
        <f t="shared" si="60"/>
        <v>171.82090313700854</v>
      </c>
      <c r="BM41" s="22">
        <f t="shared" si="61"/>
        <v>299.54323659984601</v>
      </c>
      <c r="BN41" s="22">
        <f t="shared" si="62"/>
        <v>152.59740259740261</v>
      </c>
      <c r="BO41">
        <f t="shared" si="63"/>
        <v>128.63758788345169</v>
      </c>
    </row>
    <row r="42" spans="1:67" x14ac:dyDescent="0.25">
      <c r="A42" t="s">
        <v>311</v>
      </c>
      <c r="B42" s="8">
        <f>1-GlobalPortfolio</f>
        <v>0.30000000000000004</v>
      </c>
      <c r="C42" s="8">
        <v>0.30000000000000004</v>
      </c>
      <c r="L42" s="1">
        <f t="shared" si="33"/>
        <v>42339</v>
      </c>
      <c r="M42" s="10">
        <f t="shared" si="38"/>
        <v>292080.85248429887</v>
      </c>
      <c r="N42" s="10">
        <f t="shared" si="39"/>
        <v>268046.90745967021</v>
      </c>
      <c r="O42" s="7">
        <f t="shared" si="24"/>
        <v>1.0896632057888778</v>
      </c>
      <c r="P42" s="7">
        <f t="shared" si="40"/>
        <v>0.79518399704030696</v>
      </c>
      <c r="Q42">
        <v>40</v>
      </c>
      <c r="R42">
        <f t="shared" si="41"/>
        <v>92</v>
      </c>
      <c r="S42" s="22"/>
      <c r="T42" s="22">
        <f>IF($B$10="3BR_H",
INDEX('3BR_H-processed'!$E:$E,MATCH($L42,'3BR_H-processed'!$B:$B,0),MATCH(Council_Area,'3BR_H-processed'!$E$1:$E$1,0)),
INDEX('2BR_F-processed'!$E:$E,MATCH($L42,'2BR_F-processed'!$B:$B,0),MATCH(Council_Area,'2BR_F-processed'!$E$1:$E$1,0)))</f>
        <v>457</v>
      </c>
      <c r="U42" s="22">
        <f t="shared" si="25"/>
        <v>450</v>
      </c>
      <c r="V42" s="22">
        <f t="shared" si="34"/>
        <v>5914.2857142857147</v>
      </c>
      <c r="W42" s="22">
        <f>$B$53/4*BH42/_xlfn.XLOOKUP(Q_end,cpi!A:A,cpi!B:B)</f>
        <v>149.68901174844507</v>
      </c>
      <c r="X42" s="22">
        <f t="shared" si="42"/>
        <v>6063.9747260341601</v>
      </c>
      <c r="Y42" s="22">
        <f t="shared" si="43"/>
        <v>1561.901484508825</v>
      </c>
      <c r="Z42" s="22">
        <f t="shared" si="64"/>
        <v>0</v>
      </c>
      <c r="AA42" s="22" cm="1">
        <f t="array" ref="AA42">(Y42+Z42)*eff_invest</f>
        <v>1561.901484508825</v>
      </c>
      <c r="AB42" s="22">
        <f>AA42*(_xlfn.XLOOKUP(Q_end,cpi!A:A,cpi!B:B)/BH42)</f>
        <v>2086.8619095884301</v>
      </c>
      <c r="AC42" s="22" cm="1">
        <f t="array" ref="AC42">INDEX('msci-indices'!C:C,MATCH($L42,'msci-indices'!$B:$B)-2)</f>
        <v>1189.2854910000001</v>
      </c>
      <c r="AD42" s="22" cm="1">
        <f t="array" ref="AD42">INDEX('msci-indices'!D:D,MATCH($L42,'msci-indices'!$B:$B)-2)</f>
        <v>1131.230902</v>
      </c>
      <c r="AE42" s="22">
        <f t="shared" si="65"/>
        <v>276589.0042160973</v>
      </c>
      <c r="AF42" s="22" cm="1">
        <f t="array" ref="AF42">INDEX('msci-indices'!C:C,MATCH($L42,'msci-indices'!$B:$B)+1)</f>
        <v>1252.64913</v>
      </c>
      <c r="AG42" s="22" cm="1">
        <f t="array" ref="AG42">INDEX('msci-indices'!D:D,MATCH($L42,'msci-indices'!$B:$B)+1)</f>
        <v>1204.1584660000001</v>
      </c>
      <c r="AH42" s="22">
        <f t="shared" si="44"/>
        <v>172.8681276350608</v>
      </c>
      <c r="AI42" s="22">
        <f t="shared" si="45"/>
        <v>292080.85248429887</v>
      </c>
      <c r="AJ42" s="22">
        <f t="shared" si="66"/>
        <v>192729.14738858782</v>
      </c>
      <c r="AK42" s="22">
        <f t="shared" si="46"/>
        <v>99351.705095711048</v>
      </c>
      <c r="AL42" s="22">
        <f>AJ42*(_xlfn.XLOOKUP(Q_end,cpi!A:A,cpi!B:B)/BH42)</f>
        <v>257506.07227265611</v>
      </c>
      <c r="AM42" s="22" cm="1">
        <f t="array" ref="AM42">SUMPRODUCT($AA$3:AA42,_xlfn.SORTBY($BH$3:BH42,_xlfn.SEQUENCE(ROWS($BH$3:BH42)),-1)/$BH$3)</f>
        <v>236369.66775463399</v>
      </c>
      <c r="AN42" s="22">
        <f t="shared" si="30"/>
        <v>55711.184729664878</v>
      </c>
      <c r="AO42" s="22">
        <f t="shared" si="47"/>
        <v>0</v>
      </c>
      <c r="AP42" s="22">
        <f t="shared" si="31"/>
        <v>292080.85248429887</v>
      </c>
      <c r="AQ42" s="22"/>
      <c r="AR42" s="10">
        <f>IF($B$10="3BR_H",
INDEX('ns-combined'!$C:$C,MATCH($L42,'ns-combined'!$B:$B,0),MATCH(Council_Area,'ns-combined'!$C$1:$C$1,0))*1000,
INDEX('s-combined'!$C:$C,MATCH($L42,'s-combined'!$B:$B,0),MATCH(Council_Area,'s-combined'!$C$1:$C$1,0))*1000)</f>
        <v>615000</v>
      </c>
      <c r="AS42" s="22">
        <f t="shared" si="35"/>
        <v>38500</v>
      </c>
      <c r="AT42" s="10">
        <v>0</v>
      </c>
      <c r="AU42" s="22">
        <f t="shared" si="48"/>
        <v>12300</v>
      </c>
      <c r="AV42" s="22">
        <f t="shared" si="49"/>
        <v>1768.125</v>
      </c>
      <c r="AW42" s="22">
        <f>SUM($AV$3:AV42)</f>
        <v>57293</v>
      </c>
      <c r="AX42" s="22">
        <f t="shared" si="50"/>
        <v>506907</v>
      </c>
      <c r="AY42" s="22">
        <f t="shared" si="51"/>
        <v>2070.0000000000005</v>
      </c>
      <c r="AZ42" s="24">
        <f t="shared" si="52"/>
        <v>1.3463414634146345E-2</v>
      </c>
      <c r="BA42" s="24">
        <f t="shared" si="53"/>
        <v>0.35000000000000003</v>
      </c>
      <c r="BB42" s="25">
        <f>IF(MortgageRate="Discounted",_xlfn.XLOOKUP(L42,'mortgage-rates'!$A:$A,'mortgage-rates'!$E:$E)/100,_xlfn.XLOOKUP(L42,'mortgage-rates'!$A:$A,'mortgage-rates'!$D:$D)/100)</f>
        <v>4.8300000000000003E-2</v>
      </c>
      <c r="BC42" s="10">
        <f t="shared" si="67"/>
        <v>238860.09254032982</v>
      </c>
      <c r="BD42" s="10">
        <f t="shared" si="54"/>
        <v>5555.8762105429851</v>
      </c>
      <c r="BE42" s="10">
        <f t="shared" si="55"/>
        <v>2884.2356174244828</v>
      </c>
      <c r="BF42" s="10">
        <f t="shared" si="36"/>
        <v>2671.6405931185022</v>
      </c>
      <c r="BG42" s="12">
        <f t="shared" si="56"/>
        <v>7625.8762105429851</v>
      </c>
      <c r="BH42" s="22">
        <f>INDEX(cpi!B:B,MATCH($L42,cpi!A:A))</f>
        <v>108.3</v>
      </c>
      <c r="BI42" s="22">
        <f t="shared" si="57"/>
        <v>128.01418439716312</v>
      </c>
      <c r="BJ42" s="22">
        <f t="shared" si="58"/>
        <v>157.54637874303378</v>
      </c>
      <c r="BK42" s="22">
        <f t="shared" si="59"/>
        <v>158.66764710457753</v>
      </c>
      <c r="BL42" s="22">
        <f t="shared" si="60"/>
        <v>157.88275925149691</v>
      </c>
      <c r="BM42" s="22">
        <f t="shared" si="61"/>
        <v>276.63154315817803</v>
      </c>
      <c r="BN42" s="22">
        <f t="shared" si="62"/>
        <v>159.74025974025975</v>
      </c>
      <c r="BO42">
        <f t="shared" si="63"/>
        <v>135.09211834721646</v>
      </c>
    </row>
    <row r="43" spans="1:67" x14ac:dyDescent="0.25">
      <c r="A43" t="s">
        <v>330</v>
      </c>
      <c r="B43" s="4">
        <v>2.5000000000000001E-3</v>
      </c>
      <c r="C43" s="4">
        <v>2.5000000000000001E-3</v>
      </c>
      <c r="L43" s="1">
        <f t="shared" si="33"/>
        <v>42430</v>
      </c>
      <c r="M43" s="10">
        <f t="shared" si="38"/>
        <v>290582.06612612325</v>
      </c>
      <c r="N43" s="10">
        <f t="shared" si="39"/>
        <v>243559.79805278868</v>
      </c>
      <c r="O43" s="7">
        <f t="shared" si="24"/>
        <v>1.1930625187295607</v>
      </c>
      <c r="P43" s="7">
        <f t="shared" si="40"/>
        <v>0.79769094284825637</v>
      </c>
      <c r="Q43">
        <v>41</v>
      </c>
      <c r="R43">
        <f t="shared" si="41"/>
        <v>91</v>
      </c>
      <c r="S43" s="22"/>
      <c r="T43" s="22">
        <f>IF($B$10="3BR_H",
INDEX('3BR_H-processed'!$E:$E,MATCH($L43,'3BR_H-processed'!$B:$B,0),MATCH(Council_Area,'3BR_H-processed'!$E$1:$E$1,0)),
INDEX('2BR_F-processed'!$E:$E,MATCH($L43,'2BR_F-processed'!$B:$B,0),MATCH(Council_Area,'2BR_F-processed'!$E$1:$E$1,0)))</f>
        <v>457</v>
      </c>
      <c r="U43" s="22">
        <f t="shared" si="25"/>
        <v>457</v>
      </c>
      <c r="V43" s="22">
        <f t="shared" si="34"/>
        <v>5941</v>
      </c>
      <c r="W43" s="22">
        <f>$B$53/4*BH43/_xlfn.XLOOKUP(Q_end,cpi!A:A,cpi!B:B)</f>
        <v>149.550794747754</v>
      </c>
      <c r="X43" s="22">
        <f t="shared" si="42"/>
        <v>6090.5507947477536</v>
      </c>
      <c r="Y43" s="22">
        <f t="shared" si="43"/>
        <v>1544.6754157952319</v>
      </c>
      <c r="Z43" s="22">
        <f t="shared" si="64"/>
        <v>0</v>
      </c>
      <c r="AA43" s="22" cm="1">
        <f t="array" ref="AA43">(Y43+Z43)*eff_invest</f>
        <v>1544.6754157952319</v>
      </c>
      <c r="AB43" s="22">
        <f>AA43*(_xlfn.XLOOKUP(Q_end,cpi!A:A,cpi!B:B)/BH43)</f>
        <v>2065.7535366503698</v>
      </c>
      <c r="AC43" s="22" cm="1">
        <f t="array" ref="AC43">INDEX('msci-indices'!C:C,MATCH($L43,'msci-indices'!$B:$B)-2)</f>
        <v>1252.64913</v>
      </c>
      <c r="AD43" s="22" cm="1">
        <f t="array" ref="AD43">INDEX('msci-indices'!D:D,MATCH($L43,'msci-indices'!$B:$B)-2)</f>
        <v>1204.1584660000001</v>
      </c>
      <c r="AE43" s="22">
        <f t="shared" si="65"/>
        <v>293625.52790009411</v>
      </c>
      <c r="AF43" s="22" cm="1">
        <f t="array" ref="AF43">INDEX('msci-indices'!C:C,MATCH($L43,'msci-indices'!$B:$B)+1)</f>
        <v>1249.9268750000001</v>
      </c>
      <c r="AG43" s="22" cm="1">
        <f t="array" ref="AG43">INDEX('msci-indices'!D:D,MATCH($L43,'msci-indices'!$B:$B)+1)</f>
        <v>1171.1690430000001</v>
      </c>
      <c r="AH43" s="22">
        <f t="shared" si="44"/>
        <v>183.51595493755883</v>
      </c>
      <c r="AI43" s="22">
        <f t="shared" si="45"/>
        <v>290582.06612612325</v>
      </c>
      <c r="AJ43" s="22">
        <f t="shared" si="66"/>
        <v>194273.82280438306</v>
      </c>
      <c r="AK43" s="22">
        <f t="shared" si="46"/>
        <v>96308.243321740185</v>
      </c>
      <c r="AL43" s="22">
        <f>AJ43*(_xlfn.XLOOKUP(Q_end,cpi!A:A,cpi!B:B)/BH43)</f>
        <v>259809.81663395773</v>
      </c>
      <c r="AM43" s="22" cm="1">
        <f t="array" ref="AM43">SUMPRODUCT($AA$3:AA43,_xlfn.SORTBY($BH$3:BH43,_xlfn.SEQUENCE(ROWS($BH$3:BH43)),-1)/$BH$3)</f>
        <v>238455.16157727019</v>
      </c>
      <c r="AN43" s="22">
        <f t="shared" si="30"/>
        <v>52126.904548853054</v>
      </c>
      <c r="AO43" s="22">
        <f t="shared" si="47"/>
        <v>0</v>
      </c>
      <c r="AP43" s="22">
        <f t="shared" si="31"/>
        <v>290582.06612612325</v>
      </c>
      <c r="AQ43" s="22"/>
      <c r="AR43" s="10">
        <f>IF($B$10="3BR_H",
INDEX('ns-combined'!$C:$C,MATCH($L43,'ns-combined'!$B:$B,0),MATCH(Council_Area,'ns-combined'!$C$1:$C$1,0))*1000,
INDEX('s-combined'!$C:$C,MATCH($L43,'s-combined'!$B:$B,0),MATCH(Council_Area,'s-combined'!$C$1:$C$1,0))*1000)</f>
        <v>590000</v>
      </c>
      <c r="AS43" s="22">
        <f t="shared" si="35"/>
        <v>39462.5</v>
      </c>
      <c r="AT43" s="10">
        <v>0</v>
      </c>
      <c r="AU43" s="22">
        <f t="shared" si="48"/>
        <v>11800</v>
      </c>
      <c r="AV43" s="22">
        <f t="shared" si="49"/>
        <v>1696.25</v>
      </c>
      <c r="AW43" s="22">
        <f>SUM($AV$3:AV43)</f>
        <v>58989.25</v>
      </c>
      <c r="AX43" s="22">
        <f t="shared" si="50"/>
        <v>479748.25</v>
      </c>
      <c r="AY43" s="22">
        <f t="shared" si="51"/>
        <v>2079.3500000000004</v>
      </c>
      <c r="AZ43" s="24">
        <f t="shared" si="52"/>
        <v>1.4097288135593224E-2</v>
      </c>
      <c r="BA43" s="24">
        <f t="shared" si="53"/>
        <v>0.35000000000000009</v>
      </c>
      <c r="BB43" s="25">
        <f>IF(MortgageRate="Discounted",_xlfn.XLOOKUP(L43,'mortgage-rates'!$A:$A,'mortgage-rates'!$E:$E)/100,_xlfn.XLOOKUP(L43,'mortgage-rates'!$A:$A,'mortgage-rates'!$D:$D)/100)</f>
        <v>4.8300000000000003E-2</v>
      </c>
      <c r="BC43" s="10">
        <f t="shared" si="67"/>
        <v>236188.45194721132</v>
      </c>
      <c r="BD43" s="10">
        <f t="shared" si="54"/>
        <v>5555.8762105429851</v>
      </c>
      <c r="BE43" s="10">
        <f t="shared" si="55"/>
        <v>2851.9755572625768</v>
      </c>
      <c r="BF43" s="10">
        <f t="shared" si="36"/>
        <v>2703.9006532804083</v>
      </c>
      <c r="BG43" s="12">
        <f t="shared" si="56"/>
        <v>7635.2262105429854</v>
      </c>
      <c r="BH43" s="22">
        <f>INDEX(cpi!B:B,MATCH($L43,cpi!A:A))</f>
        <v>108.2</v>
      </c>
      <c r="BI43" s="22">
        <f t="shared" si="57"/>
        <v>127.89598108747046</v>
      </c>
      <c r="BJ43" s="22">
        <f t="shared" si="58"/>
        <v>165.94025216028786</v>
      </c>
      <c r="BK43" s="22">
        <f t="shared" si="59"/>
        <v>168.89654464308245</v>
      </c>
      <c r="BL43" s="22">
        <f t="shared" si="60"/>
        <v>166.82713990512624</v>
      </c>
      <c r="BM43" s="22">
        <f t="shared" si="61"/>
        <v>293.67068703199874</v>
      </c>
      <c r="BN43" s="22">
        <f t="shared" si="62"/>
        <v>153.24675324675326</v>
      </c>
      <c r="BO43">
        <f t="shared" si="63"/>
        <v>127.8542363113352</v>
      </c>
    </row>
    <row r="44" spans="1:67" x14ac:dyDescent="0.25">
      <c r="A44" s="6" t="s">
        <v>463</v>
      </c>
      <c r="B44" t="s">
        <v>341</v>
      </c>
      <c r="C44" t="s">
        <v>341</v>
      </c>
      <c r="L44" s="1">
        <f t="shared" si="33"/>
        <v>42522</v>
      </c>
      <c r="M44" s="10">
        <f t="shared" si="38"/>
        <v>297618.59849171567</v>
      </c>
      <c r="N44" s="10">
        <f t="shared" si="39"/>
        <v>275850.07370606909</v>
      </c>
      <c r="O44" s="7">
        <f t="shared" si="24"/>
        <v>1.0789143337653844</v>
      </c>
      <c r="P44" s="7">
        <f t="shared" si="40"/>
        <v>0.80700086552987826</v>
      </c>
      <c r="Q44">
        <v>42</v>
      </c>
      <c r="R44">
        <f t="shared" si="41"/>
        <v>91</v>
      </c>
      <c r="S44" s="22"/>
      <c r="T44" s="22">
        <f>IF($B$10="3BR_H",
INDEX('3BR_H-processed'!$E:$E,MATCH($L44,'3BR_H-processed'!$B:$B,0),MATCH(Council_Area,'3BR_H-processed'!$E$1:$E$1,0)),
INDEX('2BR_F-processed'!$E:$E,MATCH($L44,'2BR_F-processed'!$B:$B,0),MATCH(Council_Area,'2BR_F-processed'!$E$1:$E$1,0)))</f>
        <v>457</v>
      </c>
      <c r="U44" s="22">
        <f t="shared" si="25"/>
        <v>457</v>
      </c>
      <c r="V44" s="22">
        <f t="shared" si="34"/>
        <v>5941</v>
      </c>
      <c r="W44" s="22">
        <f>$B$53/4*BH44/_xlfn.XLOOKUP(Q_end,cpi!A:A,cpi!B:B)</f>
        <v>150.38009675190048</v>
      </c>
      <c r="X44" s="22">
        <f t="shared" si="42"/>
        <v>6091.3800967519001</v>
      </c>
      <c r="Y44" s="22">
        <f t="shared" si="43"/>
        <v>1456.7903661785067</v>
      </c>
      <c r="Z44" s="22">
        <f t="shared" si="64"/>
        <v>0</v>
      </c>
      <c r="AA44" s="22" cm="1">
        <f t="array" ref="AA44">(Y44+Z44)*eff_invest</f>
        <v>1456.7903661785067</v>
      </c>
      <c r="AB44" s="22">
        <f>AA44*(_xlfn.XLOOKUP(Q_end,cpi!A:A,cpi!B:B)/BH44)</f>
        <v>1937.4776285480689</v>
      </c>
      <c r="AC44" s="22" cm="1">
        <f t="array" ref="AC44">INDEX('msci-indices'!C:C,MATCH($L44,'msci-indices'!$B:$B)-2)</f>
        <v>1249.9268750000001</v>
      </c>
      <c r="AD44" s="22" cm="1">
        <f t="array" ref="AD44">INDEX('msci-indices'!D:D,MATCH($L44,'msci-indices'!$B:$B)-2)</f>
        <v>1171.1690430000001</v>
      </c>
      <c r="AE44" s="22">
        <f t="shared" si="65"/>
        <v>292038.85649230174</v>
      </c>
      <c r="AF44" s="22" cm="1">
        <f t="array" ref="AF44">INDEX('msci-indices'!C:C,MATCH($L44,'msci-indices'!$B:$B)+1)</f>
        <v>1263.5195100000001</v>
      </c>
      <c r="AG44" s="22" cm="1">
        <f t="array" ref="AG44">INDEX('msci-indices'!D:D,MATCH($L44,'msci-indices'!$B:$B)+1)</f>
        <v>1218.479752</v>
      </c>
      <c r="AH44" s="22">
        <f t="shared" si="44"/>
        <v>182.52428530768859</v>
      </c>
      <c r="AI44" s="22">
        <f t="shared" si="45"/>
        <v>297618.59849171567</v>
      </c>
      <c r="AJ44" s="22">
        <f t="shared" si="66"/>
        <v>195730.61317056156</v>
      </c>
      <c r="AK44" s="22">
        <f t="shared" si="46"/>
        <v>101887.98532115412</v>
      </c>
      <c r="AL44" s="22">
        <f>AJ44*(_xlfn.XLOOKUP(Q_end,cpi!A:A,cpi!B:B)/BH44)</f>
        <v>260314.51953842145</v>
      </c>
      <c r="AM44" s="22" cm="1">
        <f t="array" ref="AM44">SUMPRODUCT($AA$3:AA44,_xlfn.SORTBY($BH$3:BH44,_xlfn.SEQUENCE(ROWS($BH$3:BH44)),-1)/$BH$3)</f>
        <v>241261.10811352509</v>
      </c>
      <c r="AN44" s="22">
        <f t="shared" si="30"/>
        <v>56357.490378190589</v>
      </c>
      <c r="AO44" s="22">
        <f t="shared" si="47"/>
        <v>0</v>
      </c>
      <c r="AP44" s="22">
        <f t="shared" si="31"/>
        <v>297618.59849171567</v>
      </c>
      <c r="AQ44" s="22"/>
      <c r="AR44" s="10">
        <f>IF($B$10="3BR_H",
INDEX('ns-combined'!$C:$C,MATCH($L44,'ns-combined'!$B:$B,0),MATCH(Council_Area,'ns-combined'!$C$1:$C$1,0))*1000,
INDEX('s-combined'!$C:$C,MATCH($L44,'s-combined'!$B:$B,0),MATCH(Council_Area,'s-combined'!$C$1:$C$1,0))*1000)</f>
        <v>623000</v>
      </c>
      <c r="AS44" s="22">
        <f t="shared" si="35"/>
        <v>40425</v>
      </c>
      <c r="AT44" s="10">
        <v>0</v>
      </c>
      <c r="AU44" s="22">
        <f t="shared" si="48"/>
        <v>12460</v>
      </c>
      <c r="AV44" s="22">
        <f t="shared" si="49"/>
        <v>1791.125</v>
      </c>
      <c r="AW44" s="22">
        <f>SUM($AV$3:AV44)</f>
        <v>60780.375</v>
      </c>
      <c r="AX44" s="22">
        <f t="shared" si="50"/>
        <v>509334.625</v>
      </c>
      <c r="AY44" s="22">
        <f t="shared" si="51"/>
        <v>2079.3500000000004</v>
      </c>
      <c r="AZ44" s="24">
        <f t="shared" si="52"/>
        <v>1.3350561797752812E-2</v>
      </c>
      <c r="BA44" s="24">
        <f t="shared" si="53"/>
        <v>0.35000000000000009</v>
      </c>
      <c r="BB44" s="25">
        <f>IF(MortgageRate="Discounted",_xlfn.XLOOKUP(L44,'mortgage-rates'!$A:$A,'mortgage-rates'!$E:$E)/100,_xlfn.XLOOKUP(L44,'mortgage-rates'!$A:$A,'mortgage-rates'!$D:$D)/100)</f>
        <v>4.5899999999999996E-2</v>
      </c>
      <c r="BC44" s="10">
        <f t="shared" si="67"/>
        <v>233484.55129393091</v>
      </c>
      <c r="BD44" s="10">
        <f t="shared" si="54"/>
        <v>5468.8204629304064</v>
      </c>
      <c r="BE44" s="10">
        <f t="shared" si="55"/>
        <v>2679.2352260978569</v>
      </c>
      <c r="BF44" s="10">
        <f t="shared" si="36"/>
        <v>2789.5852368325495</v>
      </c>
      <c r="BG44" s="12">
        <f t="shared" si="56"/>
        <v>7548.1704629304068</v>
      </c>
      <c r="BH44" s="22">
        <f>INDEX(cpi!B:B,MATCH($L44,cpi!A:A))</f>
        <v>108.8</v>
      </c>
      <c r="BI44" s="22">
        <f t="shared" si="57"/>
        <v>128.60520094562648</v>
      </c>
      <c r="BJ44" s="22">
        <f t="shared" si="58"/>
        <v>165.57963108106787</v>
      </c>
      <c r="BK44" s="22">
        <f t="shared" si="59"/>
        <v>164.2694131551666</v>
      </c>
      <c r="BL44" s="22">
        <f t="shared" si="60"/>
        <v>165.1865657032975</v>
      </c>
      <c r="BM44" s="22">
        <f t="shared" si="61"/>
        <v>292.08377159670681</v>
      </c>
      <c r="BN44" s="22">
        <f t="shared" si="62"/>
        <v>161.81818181818181</v>
      </c>
      <c r="BO44">
        <f t="shared" si="63"/>
        <v>135.7390871280829</v>
      </c>
    </row>
    <row r="45" spans="1:67" x14ac:dyDescent="0.25">
      <c r="A45" t="s">
        <v>344</v>
      </c>
      <c r="B45" s="8">
        <v>0.32</v>
      </c>
      <c r="C45" s="8">
        <v>0.32</v>
      </c>
      <c r="L45" s="1">
        <f t="shared" si="33"/>
        <v>42614</v>
      </c>
      <c r="M45" s="10">
        <f t="shared" si="38"/>
        <v>314526.73259234725</v>
      </c>
      <c r="N45" s="10">
        <f t="shared" si="39"/>
        <v>268850.73394290166</v>
      </c>
      <c r="O45" s="7">
        <f t="shared" si="24"/>
        <v>1.1698935241112127</v>
      </c>
      <c r="P45" s="7">
        <f t="shared" si="40"/>
        <v>0.81634460748890769</v>
      </c>
      <c r="Q45">
        <v>43</v>
      </c>
      <c r="R45">
        <f t="shared" si="41"/>
        <v>92</v>
      </c>
      <c r="S45" s="22"/>
      <c r="T45" s="22">
        <f>IF($B$10="3BR_H",
INDEX('3BR_H-processed'!$E:$E,MATCH($L45,'3BR_H-processed'!$B:$B,0),MATCH(Council_Area,'3BR_H-processed'!$E$1:$E$1,0)),
INDEX('2BR_F-processed'!$E:$E,MATCH($L45,'2BR_F-processed'!$B:$B,0),MATCH(Council_Area,'2BR_F-processed'!$E$1:$E$1,0)))</f>
        <v>492</v>
      </c>
      <c r="U45" s="22">
        <f t="shared" si="25"/>
        <v>457</v>
      </c>
      <c r="V45" s="22">
        <f t="shared" si="34"/>
        <v>6006.2857142857147</v>
      </c>
      <c r="W45" s="22">
        <f>$B$53/4*BH45/_xlfn.XLOOKUP(Q_end,cpi!A:A,cpi!B:B)</f>
        <v>151.07118175535592</v>
      </c>
      <c r="X45" s="22">
        <f t="shared" si="42"/>
        <v>6157.3568960410703</v>
      </c>
      <c r="Y45" s="22">
        <f t="shared" si="43"/>
        <v>1385.2382770699805</v>
      </c>
      <c r="Z45" s="22">
        <f t="shared" si="64"/>
        <v>0</v>
      </c>
      <c r="AA45" s="22" cm="1">
        <f t="array" ref="AA45">(Y45+Z45)*eff_invest</f>
        <v>1385.2382770699805</v>
      </c>
      <c r="AB45" s="22">
        <f>AA45*(_xlfn.XLOOKUP(Q_end,cpi!A:A,cpi!B:B)/BH45)</f>
        <v>1833.8881856544022</v>
      </c>
      <c r="AC45" s="22" cm="1">
        <f t="array" ref="AC45">INDEX('msci-indices'!C:C,MATCH($L45,'msci-indices'!$B:$B)-2)</f>
        <v>1263.5195100000001</v>
      </c>
      <c r="AD45" s="22" cm="1">
        <f t="array" ref="AD45">INDEX('msci-indices'!D:D,MATCH($L45,'msci-indices'!$B:$B)-2)</f>
        <v>1218.479752</v>
      </c>
      <c r="AE45" s="22">
        <f t="shared" si="65"/>
        <v>299003.83676878567</v>
      </c>
      <c r="AF45" s="22" cm="1">
        <f t="array" ref="AF45">INDEX('msci-indices'!C:C,MATCH($L45,'msci-indices'!$B:$B)+1)</f>
        <v>1329.025858</v>
      </c>
      <c r="AG45" s="22" cm="1">
        <f t="array" ref="AG45">INDEX('msci-indices'!D:D,MATCH($L45,'msci-indices'!$B:$B)+1)</f>
        <v>1284.47801</v>
      </c>
      <c r="AH45" s="22">
        <f t="shared" si="44"/>
        <v>186.87739798049105</v>
      </c>
      <c r="AI45" s="22">
        <f t="shared" si="45"/>
        <v>314526.73259234725</v>
      </c>
      <c r="AJ45" s="22">
        <f t="shared" si="66"/>
        <v>197115.85144763155</v>
      </c>
      <c r="AK45" s="22">
        <f t="shared" si="46"/>
        <v>117410.88114471571</v>
      </c>
      <c r="AL45" s="22">
        <f>AJ45*(_xlfn.XLOOKUP(Q_end,cpi!A:A,cpi!B:B)/BH45)</f>
        <v>260957.58192563843</v>
      </c>
      <c r="AM45" s="22" cm="1">
        <f t="array" ref="AM45">SUMPRODUCT($AA$3:AA45,_xlfn.SORTBY($BH$3:BH45,_xlfn.SEQUENCE(ROWS($BH$3:BH45)),-1)/$BH$3)</f>
        <v>243876.0191916294</v>
      </c>
      <c r="AN45" s="22">
        <f t="shared" si="30"/>
        <v>70650.713400717854</v>
      </c>
      <c r="AO45" s="22">
        <f t="shared" si="47"/>
        <v>0</v>
      </c>
      <c r="AP45" s="22">
        <f t="shared" si="31"/>
        <v>314526.73259234725</v>
      </c>
      <c r="AQ45" s="22"/>
      <c r="AR45" s="10">
        <f>IF($B$10="3BR_H",
INDEX('ns-combined'!$C:$C,MATCH($L45,'ns-combined'!$B:$B,0),MATCH(Council_Area,'ns-combined'!$C$1:$C$1,0))*1000,
INDEX('s-combined'!$C:$C,MATCH($L45,'s-combined'!$B:$B,0),MATCH(Council_Area,'s-combined'!$C$1:$C$1,0))*1000)</f>
        <v>615800</v>
      </c>
      <c r="AS45" s="22">
        <f t="shared" si="35"/>
        <v>41387.5</v>
      </c>
      <c r="AT45" s="10">
        <v>0</v>
      </c>
      <c r="AU45" s="22">
        <f t="shared" si="48"/>
        <v>12316</v>
      </c>
      <c r="AV45" s="22">
        <f t="shared" si="49"/>
        <v>1770.425</v>
      </c>
      <c r="AW45" s="22">
        <f>SUM($AV$3:AV45)</f>
        <v>62550.8</v>
      </c>
      <c r="AX45" s="22">
        <f t="shared" si="50"/>
        <v>499545.7</v>
      </c>
      <c r="AY45" s="22">
        <f t="shared" si="51"/>
        <v>2102.2000000000003</v>
      </c>
      <c r="AZ45" s="24">
        <f t="shared" si="52"/>
        <v>1.3655082819097112E-2</v>
      </c>
      <c r="BA45" s="24">
        <f t="shared" si="53"/>
        <v>0.35000000000000003</v>
      </c>
      <c r="BB45" s="25">
        <f>IF(MortgageRate="Discounted",_xlfn.XLOOKUP(L45,'mortgage-rates'!$A:$A,'mortgage-rates'!$E:$E)/100,_xlfn.XLOOKUP(L45,'mortgage-rates'!$A:$A,'mortgage-rates'!$D:$D)/100)</f>
        <v>4.5100000000000001E-2</v>
      </c>
      <c r="BC45" s="10">
        <f t="shared" si="67"/>
        <v>230694.96605709835</v>
      </c>
      <c r="BD45" s="10">
        <f t="shared" si="54"/>
        <v>5440.395173111051</v>
      </c>
      <c r="BE45" s="10">
        <f t="shared" si="55"/>
        <v>2601.0857422937838</v>
      </c>
      <c r="BF45" s="10">
        <f t="shared" si="36"/>
        <v>2839.3094308172672</v>
      </c>
      <c r="BG45" s="12">
        <f t="shared" si="56"/>
        <v>7542.5951731110508</v>
      </c>
      <c r="BH45" s="22">
        <f>INDEX(cpi!B:B,MATCH($L45,cpi!A:A))</f>
        <v>109.3</v>
      </c>
      <c r="BI45" s="22">
        <f t="shared" si="57"/>
        <v>129.19621749408984</v>
      </c>
      <c r="BJ45" s="22">
        <f t="shared" si="58"/>
        <v>167.38026720925703</v>
      </c>
      <c r="BK45" s="22">
        <f t="shared" si="59"/>
        <v>170.90526341934137</v>
      </c>
      <c r="BL45" s="22">
        <f t="shared" si="60"/>
        <v>168.43776607228233</v>
      </c>
      <c r="BM45" s="22">
        <f t="shared" si="61"/>
        <v>299.04982307590689</v>
      </c>
      <c r="BN45" s="22">
        <f t="shared" si="62"/>
        <v>159.94805194805195</v>
      </c>
      <c r="BO45">
        <f t="shared" si="63"/>
        <v>133.13031152507875</v>
      </c>
    </row>
    <row r="46" spans="1:67" x14ac:dyDescent="0.25">
      <c r="A46" t="s">
        <v>343</v>
      </c>
      <c r="B46" s="8">
        <v>0.15</v>
      </c>
      <c r="C46" s="8">
        <v>0.15</v>
      </c>
      <c r="L46" s="1">
        <f t="shared" si="33"/>
        <v>42705</v>
      </c>
      <c r="M46" s="10">
        <f t="shared" si="38"/>
        <v>325389.36443079822</v>
      </c>
      <c r="N46" s="10">
        <f t="shared" si="39"/>
        <v>288695.04337371892</v>
      </c>
      <c r="O46" s="7">
        <f t="shared" si="24"/>
        <v>1.1271040909752583</v>
      </c>
      <c r="P46" s="7">
        <f t="shared" si="40"/>
        <v>0.81643623178897873</v>
      </c>
      <c r="Q46">
        <v>44</v>
      </c>
      <c r="R46">
        <f t="shared" si="41"/>
        <v>92</v>
      </c>
      <c r="S46" s="22"/>
      <c r="T46" s="22">
        <f>IF($B$10="3BR_H",
INDEX('3BR_H-processed'!$E:$E,MATCH($L46,'3BR_H-processed'!$B:$B,0),MATCH(Council_Area,'3BR_H-processed'!$E$1:$E$1,0)),
INDEX('2BR_F-processed'!$E:$E,MATCH($L46,'2BR_F-processed'!$B:$B,0),MATCH(Council_Area,'2BR_F-processed'!$E$1:$E$1,0)))</f>
        <v>492</v>
      </c>
      <c r="U46" s="22">
        <f t="shared" si="25"/>
        <v>457</v>
      </c>
      <c r="V46" s="22">
        <f t="shared" si="34"/>
        <v>6006.2857142857147</v>
      </c>
      <c r="W46" s="22">
        <f>$B$53/4*BH46/_xlfn.XLOOKUP(Q_end,cpi!A:A,cpi!B:B)</f>
        <v>151.76226675881134</v>
      </c>
      <c r="X46" s="22">
        <f t="shared" si="42"/>
        <v>6158.0479810445258</v>
      </c>
      <c r="Y46" s="22">
        <f t="shared" si="43"/>
        <v>1384.547192066525</v>
      </c>
      <c r="Z46" s="22">
        <f t="shared" si="64"/>
        <v>0</v>
      </c>
      <c r="AA46" s="22" cm="1">
        <f t="array" ref="AA46">(Y46+Z46)*eff_invest</f>
        <v>1384.547192066525</v>
      </c>
      <c r="AB46" s="22">
        <f>AA46*(_xlfn.XLOOKUP(Q_end,cpi!A:A,cpi!B:B)/BH46)</f>
        <v>1824.626399745229</v>
      </c>
      <c r="AC46" s="22" cm="1">
        <f t="array" ref="AC46">INDEX('msci-indices'!C:C,MATCH($L46,'msci-indices'!$B:$B)-2)</f>
        <v>1329.025858</v>
      </c>
      <c r="AD46" s="22" cm="1">
        <f t="array" ref="AD46">INDEX('msci-indices'!D:D,MATCH($L46,'msci-indices'!$B:$B)-2)</f>
        <v>1284.47801</v>
      </c>
      <c r="AE46" s="22">
        <f t="shared" si="65"/>
        <v>315911.27978441375</v>
      </c>
      <c r="AF46" s="22" cm="1">
        <f t="array" ref="AF46">INDEX('msci-indices'!C:C,MATCH($L46,'msci-indices'!$B:$B)+1)</f>
        <v>1355.3009059999999</v>
      </c>
      <c r="AG46" s="22" cm="1">
        <f t="array" ref="AG46">INDEX('msci-indices'!D:D,MATCH($L46,'msci-indices'!$B:$B)+1)</f>
        <v>1356.3584840000001</v>
      </c>
      <c r="AH46" s="22">
        <f t="shared" si="44"/>
        <v>197.44454986525861</v>
      </c>
      <c r="AI46" s="22">
        <f t="shared" si="45"/>
        <v>325389.36443079822</v>
      </c>
      <c r="AJ46" s="22">
        <f t="shared" si="66"/>
        <v>198500.39863969808</v>
      </c>
      <c r="AK46" s="22">
        <f t="shared" si="46"/>
        <v>126888.96579110014</v>
      </c>
      <c r="AL46" s="22">
        <f>AJ46*(_xlfn.XLOOKUP(Q_end,cpi!A:A,cpi!B:B)/BH46)</f>
        <v>261593.8768958498</v>
      </c>
      <c r="AM46" s="22" cm="1">
        <f t="array" ref="AM46">SUMPRODUCT($AA$3:AA46,_xlfn.SORTBY($BH$3:BH46,_xlfn.SEQUENCE(ROWS($BH$3:BH46)),-1)/$BH$3)</f>
        <v>246481.73246112856</v>
      </c>
      <c r="AN46" s="22">
        <f t="shared" si="30"/>
        <v>78907.631969669659</v>
      </c>
      <c r="AO46" s="22">
        <f t="shared" si="47"/>
        <v>0</v>
      </c>
      <c r="AP46" s="22">
        <f t="shared" si="31"/>
        <v>325389.36443079822</v>
      </c>
      <c r="AQ46" s="22"/>
      <c r="AR46" s="10">
        <f>IF($B$10="3BR_H",
INDEX('ns-combined'!$C:$C,MATCH($L46,'ns-combined'!$B:$B,0),MATCH(Council_Area,'ns-combined'!$C$1:$C$1,0))*1000,
INDEX('s-combined'!$C:$C,MATCH($L46,'s-combined'!$B:$B,0),MATCH(Council_Area,'s-combined'!$C$1:$C$1,0))*1000)</f>
        <v>636000</v>
      </c>
      <c r="AS46" s="22">
        <f t="shared" si="35"/>
        <v>42350</v>
      </c>
      <c r="AT46" s="10">
        <v>0</v>
      </c>
      <c r="AU46" s="22">
        <f t="shared" si="48"/>
        <v>12720</v>
      </c>
      <c r="AV46" s="22">
        <f t="shared" si="49"/>
        <v>1828.5</v>
      </c>
      <c r="AW46" s="22">
        <f>SUM($AV$3:AV46)</f>
        <v>64379.3</v>
      </c>
      <c r="AX46" s="22">
        <f t="shared" si="50"/>
        <v>516550.7</v>
      </c>
      <c r="AY46" s="22">
        <f t="shared" si="51"/>
        <v>2102.2000000000003</v>
      </c>
      <c r="AZ46" s="24">
        <f t="shared" si="52"/>
        <v>1.3221383647798743E-2</v>
      </c>
      <c r="BA46" s="24">
        <f t="shared" si="53"/>
        <v>0.35000000000000003</v>
      </c>
      <c r="BB46" s="25">
        <f>IF(MortgageRate="Discounted",_xlfn.XLOOKUP(L46,'mortgage-rates'!$A:$A,'mortgage-rates'!$E:$E)/100,_xlfn.XLOOKUP(L46,'mortgage-rates'!$A:$A,'mortgage-rates'!$D:$D)/100)</f>
        <v>4.5100000000000001E-2</v>
      </c>
      <c r="BC46" s="10">
        <f t="shared" si="67"/>
        <v>227855.6566262811</v>
      </c>
      <c r="BD46" s="10">
        <f t="shared" si="54"/>
        <v>5440.395173111051</v>
      </c>
      <c r="BE46" s="10">
        <f t="shared" si="55"/>
        <v>2569.0725284613195</v>
      </c>
      <c r="BF46" s="10">
        <f t="shared" si="36"/>
        <v>2871.3226446497315</v>
      </c>
      <c r="BG46" s="12">
        <f t="shared" si="56"/>
        <v>7542.5951731110508</v>
      </c>
      <c r="BH46" s="22">
        <f>INDEX(cpi!B:B,MATCH($L46,cpi!A:A))</f>
        <v>109.8</v>
      </c>
      <c r="BI46" s="22">
        <f t="shared" si="57"/>
        <v>129.78723404255319</v>
      </c>
      <c r="BJ46" s="22">
        <f t="shared" si="58"/>
        <v>176.05798840419337</v>
      </c>
      <c r="BK46" s="22">
        <f t="shared" si="59"/>
        <v>180.16224914289867</v>
      </c>
      <c r="BL46" s="22">
        <f t="shared" si="60"/>
        <v>177.28926662580494</v>
      </c>
      <c r="BM46" s="22">
        <f t="shared" si="61"/>
        <v>315.95986642896054</v>
      </c>
      <c r="BN46" s="22">
        <f t="shared" si="62"/>
        <v>165.19480519480518</v>
      </c>
      <c r="BO46">
        <f t="shared" si="63"/>
        <v>137.66219108581555</v>
      </c>
    </row>
    <row r="47" spans="1:67" x14ac:dyDescent="0.25">
      <c r="A47" t="s">
        <v>471</v>
      </c>
      <c r="B47" s="8">
        <f>IF(B44="Yes",B45-B46,0)</f>
        <v>0</v>
      </c>
      <c r="C47" s="8">
        <v>0</v>
      </c>
      <c r="L47" s="1">
        <f t="shared" si="33"/>
        <v>42795</v>
      </c>
      <c r="M47" s="10">
        <f t="shared" si="38"/>
        <v>345480.76811438543</v>
      </c>
      <c r="N47" s="10">
        <f t="shared" si="39"/>
        <v>306852.17851836863</v>
      </c>
      <c r="O47" s="7">
        <f t="shared" si="24"/>
        <v>1.1258866395621969</v>
      </c>
      <c r="P47" s="7">
        <f t="shared" si="40"/>
        <v>0.84560846362006781</v>
      </c>
      <c r="Q47">
        <v>45</v>
      </c>
      <c r="R47">
        <f t="shared" si="41"/>
        <v>90</v>
      </c>
      <c r="S47" s="22"/>
      <c r="T47" s="22">
        <f>IF($B$10="3BR_H",
INDEX('3BR_H-processed'!$E:$E,MATCH($L47,'3BR_H-processed'!$B:$B,0),MATCH(Council_Area,'3BR_H-processed'!$E$1:$E$1,0)),
INDEX('2BR_F-processed'!$E:$E,MATCH($L47,'2BR_F-processed'!$B:$B,0),MATCH(Council_Area,'2BR_F-processed'!$E$1:$E$1,0)))</f>
        <v>492</v>
      </c>
      <c r="U47" s="22">
        <f t="shared" si="25"/>
        <v>492</v>
      </c>
      <c r="V47" s="22">
        <f t="shared" si="34"/>
        <v>6325.7142857142853</v>
      </c>
      <c r="W47" s="22">
        <f>$B$53/4*BH47/_xlfn.XLOOKUP(Q_end,cpi!A:A,cpi!B:B)</f>
        <v>152.72978576364895</v>
      </c>
      <c r="X47" s="22">
        <f t="shared" si="42"/>
        <v>6478.4440714779339</v>
      </c>
      <c r="Y47" s="22">
        <f t="shared" si="43"/>
        <v>1182.8369470960488</v>
      </c>
      <c r="Z47" s="22">
        <f t="shared" si="64"/>
        <v>0</v>
      </c>
      <c r="AA47" s="22" cm="1">
        <f t="array" ref="AA47">(Y47+Z47)*eff_invest</f>
        <v>1182.8369470960488</v>
      </c>
      <c r="AB47" s="22">
        <f>AA47*(_xlfn.XLOOKUP(Q_end,cpi!A:A,cpi!B:B)/BH47)</f>
        <v>1548.9276583239659</v>
      </c>
      <c r="AC47" s="22" cm="1">
        <f t="array" ref="AC47">INDEX('msci-indices'!C:C,MATCH($L47,'msci-indices'!$B:$B)-2)</f>
        <v>1355.3009059999999</v>
      </c>
      <c r="AD47" s="22" cm="1">
        <f t="array" ref="AD47">INDEX('msci-indices'!D:D,MATCH($L47,'msci-indices'!$B:$B)-2)</f>
        <v>1356.3584840000001</v>
      </c>
      <c r="AE47" s="22">
        <f t="shared" si="65"/>
        <v>326572.20137789426</v>
      </c>
      <c r="AF47" s="22" cm="1">
        <f t="array" ref="AF47">INDEX('msci-indices'!C:C,MATCH($L47,'msci-indices'!$B:$B)+1)</f>
        <v>1439.6180119999999</v>
      </c>
      <c r="AG47" s="22" cm="1">
        <f t="array" ref="AG47">INDEX('msci-indices'!D:D,MATCH($L47,'msci-indices'!$B:$B)+1)</f>
        <v>1424.068485</v>
      </c>
      <c r="AH47" s="22">
        <f t="shared" si="44"/>
        <v>204.10762586118392</v>
      </c>
      <c r="AI47" s="22">
        <f t="shared" si="45"/>
        <v>345480.76811438543</v>
      </c>
      <c r="AJ47" s="22">
        <f t="shared" si="66"/>
        <v>199683.23558679412</v>
      </c>
      <c r="AK47" s="22">
        <f t="shared" si="46"/>
        <v>145797.53252759131</v>
      </c>
      <c r="AL47" s="22">
        <f>AJ47*(_xlfn.XLOOKUP(Q_end,cpi!A:A,cpi!B:B)/BH47)</f>
        <v>261485.64877293308</v>
      </c>
      <c r="AM47" s="22" cm="1">
        <f t="array" ref="AM47">SUMPRODUCT($AA$3:AA47,_xlfn.SORTBY($BH$3:BH47,_xlfn.SEQUENCE(ROWS($BH$3:BH47)),-1)/$BH$3)</f>
        <v>249118.61430731072</v>
      </c>
      <c r="AN47" s="22">
        <f t="shared" si="30"/>
        <v>96362.153807074705</v>
      </c>
      <c r="AO47" s="22">
        <f t="shared" si="47"/>
        <v>0</v>
      </c>
      <c r="AP47" s="22">
        <f t="shared" si="31"/>
        <v>345480.76811438543</v>
      </c>
      <c r="AQ47" s="22"/>
      <c r="AR47" s="10">
        <f>IF($B$10="3BR_H",
INDEX('ns-combined'!$C:$C,MATCH($L47,'ns-combined'!$B:$B,0),MATCH(Council_Area,'ns-combined'!$C$1:$C$1,0))*1000,
INDEX('s-combined'!$C:$C,MATCH($L47,'s-combined'!$B:$B,0),MATCH(Council_Area,'s-combined'!$C$1:$C$1,0))*1000)</f>
        <v>654500</v>
      </c>
      <c r="AS47" s="22">
        <f t="shared" si="35"/>
        <v>43312.5</v>
      </c>
      <c r="AT47" s="10">
        <v>0</v>
      </c>
      <c r="AU47" s="22">
        <f t="shared" si="48"/>
        <v>13090</v>
      </c>
      <c r="AV47" s="22">
        <f t="shared" si="49"/>
        <v>1881.6875</v>
      </c>
      <c r="AW47" s="22">
        <f>SUM($AV$3:AV47)</f>
        <v>66260.987500000003</v>
      </c>
      <c r="AX47" s="22">
        <f t="shared" si="50"/>
        <v>531836.51249999995</v>
      </c>
      <c r="AY47" s="22">
        <f t="shared" si="51"/>
        <v>2214</v>
      </c>
      <c r="AZ47" s="24">
        <f t="shared" si="52"/>
        <v>1.3530939648586707E-2</v>
      </c>
      <c r="BA47" s="24">
        <f t="shared" si="53"/>
        <v>0.35000000000000003</v>
      </c>
      <c r="BB47" s="25">
        <f>IF(MortgageRate="Discounted",_xlfn.XLOOKUP(L47,'mortgage-rates'!$A:$A,'mortgage-rates'!$E:$E)/100,_xlfn.XLOOKUP(L47,'mortgage-rates'!$A:$A,'mortgage-rates'!$D:$D)/100)</f>
        <v>4.53E-2</v>
      </c>
      <c r="BC47" s="10">
        <f t="shared" si="67"/>
        <v>224984.33398163135</v>
      </c>
      <c r="BD47" s="10">
        <f t="shared" si="54"/>
        <v>5447.2810185739827</v>
      </c>
      <c r="BE47" s="10">
        <f t="shared" si="55"/>
        <v>2547.9475823419752</v>
      </c>
      <c r="BF47" s="10">
        <f t="shared" si="36"/>
        <v>2899.3334362320074</v>
      </c>
      <c r="BG47" s="12">
        <f t="shared" si="56"/>
        <v>7661.2810185739827</v>
      </c>
      <c r="BH47" s="22">
        <f>INDEX(cpi!B:B,MATCH($L47,cpi!A:A))</f>
        <v>110.5</v>
      </c>
      <c r="BI47" s="22">
        <f t="shared" si="57"/>
        <v>130.6146572104019</v>
      </c>
      <c r="BJ47" s="22">
        <f t="shared" si="58"/>
        <v>179.53868222836397</v>
      </c>
      <c r="BK47" s="22">
        <f t="shared" si="59"/>
        <v>190.24428072652827</v>
      </c>
      <c r="BL47" s="22">
        <f t="shared" si="60"/>
        <v>182.75036177781325</v>
      </c>
      <c r="BM47" s="22">
        <f t="shared" si="61"/>
        <v>326.62242765496183</v>
      </c>
      <c r="BN47" s="22">
        <f t="shared" si="62"/>
        <v>170</v>
      </c>
      <c r="BO47">
        <f t="shared" si="63"/>
        <v>141.73590242001168</v>
      </c>
    </row>
    <row r="48" spans="1:67" x14ac:dyDescent="0.25">
      <c r="A48" t="s">
        <v>478</v>
      </c>
      <c r="B48" s="8">
        <v>0.32</v>
      </c>
      <c r="C48" s="8">
        <v>0.32</v>
      </c>
      <c r="L48" s="1">
        <f t="shared" si="33"/>
        <v>42887</v>
      </c>
      <c r="M48" s="10">
        <f t="shared" si="38"/>
        <v>354235.10098019562</v>
      </c>
      <c r="N48" s="10">
        <f t="shared" si="39"/>
        <v>322052.76195460057</v>
      </c>
      <c r="O48" s="7">
        <f t="shared" si="24"/>
        <v>1.0999287782234011</v>
      </c>
      <c r="P48" s="7">
        <f t="shared" si="40"/>
        <v>0.8540007325209682</v>
      </c>
      <c r="Q48">
        <v>46</v>
      </c>
      <c r="R48">
        <f t="shared" si="41"/>
        <v>91</v>
      </c>
      <c r="S48" s="22"/>
      <c r="T48" s="22">
        <f>IF($B$10="3BR_H",
INDEX('3BR_H-processed'!$E:$E,MATCH($L48,'3BR_H-processed'!$B:$B,0),MATCH(Council_Area,'3BR_H-processed'!$E$1:$E$1,0)),
INDEX('2BR_F-processed'!$E:$E,MATCH($L48,'2BR_F-processed'!$B:$B,0),MATCH(Council_Area,'2BR_F-processed'!$E$1:$E$1,0)))</f>
        <v>492</v>
      </c>
      <c r="U48" s="22">
        <f t="shared" si="25"/>
        <v>492</v>
      </c>
      <c r="V48" s="22">
        <f t="shared" si="34"/>
        <v>6396</v>
      </c>
      <c r="W48" s="22">
        <f>$B$53/4*BH48/_xlfn.XLOOKUP(Q_end,cpi!A:A,cpi!B:B)</f>
        <v>153.28265376641329</v>
      </c>
      <c r="X48" s="22">
        <f t="shared" si="42"/>
        <v>6549.2826537664132</v>
      </c>
      <c r="Y48" s="22">
        <f t="shared" si="43"/>
        <v>1119.6600114620496</v>
      </c>
      <c r="Z48" s="22">
        <f t="shared" si="64"/>
        <v>0</v>
      </c>
      <c r="AA48" s="22" cm="1">
        <f t="array" ref="AA48">(Y48+Z48)*eff_invest</f>
        <v>1119.6600114620496</v>
      </c>
      <c r="AB48" s="22">
        <f>AA48*(_xlfn.XLOOKUP(Q_end,cpi!A:A,cpi!B:B)/BH48)</f>
        <v>1460.9089599509336</v>
      </c>
      <c r="AC48" s="22" cm="1">
        <f t="array" ref="AC48">INDEX('msci-indices'!C:C,MATCH($L48,'msci-indices'!$B:$B)-2)</f>
        <v>1439.6180119999999</v>
      </c>
      <c r="AD48" s="22" cm="1">
        <f t="array" ref="AD48">INDEX('msci-indices'!D:D,MATCH($L48,'msci-indices'!$B:$B)-2)</f>
        <v>1424.068485</v>
      </c>
      <c r="AE48" s="22">
        <f t="shared" si="65"/>
        <v>346600.42812584748</v>
      </c>
      <c r="AF48" s="22" cm="1">
        <f t="array" ref="AF48">INDEX('msci-indices'!C:C,MATCH($L48,'msci-indices'!$B:$B)+1)</f>
        <v>1498.0163219999999</v>
      </c>
      <c r="AG48" s="22" cm="1">
        <f t="array" ref="AG48">INDEX('msci-indices'!D:D,MATCH($L48,'msci-indices'!$B:$B)+1)</f>
        <v>1396.8056610000001</v>
      </c>
      <c r="AH48" s="22">
        <f t="shared" si="44"/>
        <v>216.62526757865467</v>
      </c>
      <c r="AI48" s="22">
        <f t="shared" si="45"/>
        <v>354235.10098019562</v>
      </c>
      <c r="AJ48" s="22">
        <f t="shared" si="66"/>
        <v>200802.89559825617</v>
      </c>
      <c r="AK48" s="22">
        <f t="shared" si="46"/>
        <v>153432.20538193945</v>
      </c>
      <c r="AL48" s="22">
        <f>AJ48*(_xlfn.XLOOKUP(Q_end,cpi!A:A,cpi!B:B)/BH48)</f>
        <v>262003.41743072734</v>
      </c>
      <c r="AM48" s="22" cm="1">
        <f t="array" ref="AM48">SUMPRODUCT($AA$3:AA48,_xlfn.SORTBY($BH$3:BH48,_xlfn.SEQUENCE(ROWS($BH$3:BH48)),-1)/$BH$3)</f>
        <v>251355.00020370629</v>
      </c>
      <c r="AN48" s="22">
        <f t="shared" si="30"/>
        <v>102880.10077648933</v>
      </c>
      <c r="AO48" s="22">
        <f t="shared" si="47"/>
        <v>0</v>
      </c>
      <c r="AP48" s="22">
        <f t="shared" si="31"/>
        <v>354235.10098019562</v>
      </c>
      <c r="AQ48" s="22"/>
      <c r="AR48" s="10">
        <f>IF($B$10="3BR_H",
INDEX('ns-combined'!$C:$C,MATCH($L48,'ns-combined'!$B:$B,0),MATCH(Council_Area,'ns-combined'!$C$1:$C$1,0))*1000,
INDEX('s-combined'!$C:$C,MATCH($L48,'s-combined'!$B:$B,0),MATCH(Council_Area,'s-combined'!$C$1:$C$1,0))*1000)</f>
        <v>670000</v>
      </c>
      <c r="AS48" s="22">
        <f t="shared" si="35"/>
        <v>44275</v>
      </c>
      <c r="AT48" s="10">
        <v>0</v>
      </c>
      <c r="AU48" s="22">
        <f t="shared" si="48"/>
        <v>13400</v>
      </c>
      <c r="AV48" s="22">
        <f t="shared" si="49"/>
        <v>1926.25</v>
      </c>
      <c r="AW48" s="22">
        <f>SUM($AV$3:AV48)</f>
        <v>68187.237500000003</v>
      </c>
      <c r="AX48" s="22">
        <f t="shared" si="50"/>
        <v>544137.76249999995</v>
      </c>
      <c r="AY48" s="22">
        <f t="shared" si="51"/>
        <v>2238.6000000000004</v>
      </c>
      <c r="AZ48" s="24">
        <f t="shared" si="52"/>
        <v>1.3364776119402988E-2</v>
      </c>
      <c r="BA48" s="24">
        <f t="shared" si="53"/>
        <v>0.35000000000000003</v>
      </c>
      <c r="BB48" s="25">
        <f>IF(MortgageRate="Discounted",_xlfn.XLOOKUP(L48,'mortgage-rates'!$A:$A,'mortgage-rates'!$E:$E)/100,_xlfn.XLOOKUP(L48,'mortgage-rates'!$A:$A,'mortgage-rates'!$D:$D)/100)</f>
        <v>4.4800000000000006E-2</v>
      </c>
      <c r="BC48" s="10">
        <f t="shared" si="67"/>
        <v>222085.00054539935</v>
      </c>
      <c r="BD48" s="10">
        <f t="shared" si="54"/>
        <v>5430.3426652284625</v>
      </c>
      <c r="BE48" s="10">
        <f t="shared" si="55"/>
        <v>2487.3520061084732</v>
      </c>
      <c r="BF48" s="10">
        <f t="shared" si="36"/>
        <v>2942.9906591199892</v>
      </c>
      <c r="BG48" s="12">
        <f t="shared" si="56"/>
        <v>7668.9426652284628</v>
      </c>
      <c r="BH48" s="22">
        <f>INDEX(cpi!B:B,MATCH($L48,cpi!A:A))</f>
        <v>110.9</v>
      </c>
      <c r="BI48" s="22">
        <f t="shared" si="57"/>
        <v>131.0874704491726</v>
      </c>
      <c r="BJ48" s="22">
        <f t="shared" si="58"/>
        <v>190.70829189477206</v>
      </c>
      <c r="BK48" s="22">
        <f t="shared" si="59"/>
        <v>199.74135734026328</v>
      </c>
      <c r="BL48" s="22">
        <f t="shared" si="60"/>
        <v>193.41821152841945</v>
      </c>
      <c r="BM48" s="22">
        <f t="shared" si="61"/>
        <v>346.65373471183779</v>
      </c>
      <c r="BN48" s="22">
        <f t="shared" si="62"/>
        <v>174.02597402597402</v>
      </c>
      <c r="BO48">
        <f t="shared" si="63"/>
        <v>145.01421958828652</v>
      </c>
    </row>
    <row r="49" spans="1:67" x14ac:dyDescent="0.25">
      <c r="A49" s="6" t="s">
        <v>657</v>
      </c>
      <c r="B49" t="s">
        <v>341</v>
      </c>
      <c r="C49" t="s">
        <v>341</v>
      </c>
      <c r="L49" s="1">
        <f t="shared" si="33"/>
        <v>42979</v>
      </c>
      <c r="M49" s="10">
        <f t="shared" si="38"/>
        <v>368671.68742546876</v>
      </c>
      <c r="N49" s="10">
        <f t="shared" si="39"/>
        <v>319664.1901137206</v>
      </c>
      <c r="O49" s="7">
        <f t="shared" si="24"/>
        <v>1.1533093127957614</v>
      </c>
      <c r="P49" s="7">
        <f t="shared" si="40"/>
        <v>0.86085025712551611</v>
      </c>
      <c r="Q49">
        <v>47</v>
      </c>
      <c r="R49">
        <f t="shared" si="41"/>
        <v>92</v>
      </c>
      <c r="S49" s="22"/>
      <c r="T49" s="22">
        <f>IF($B$10="3BR_H",
INDEX('3BR_H-processed'!$E:$E,MATCH($L49,'3BR_H-processed'!$B:$B,0),MATCH(Council_Area,'3BR_H-processed'!$E$1:$E$1,0)),
INDEX('2BR_F-processed'!$E:$E,MATCH($L49,'2BR_F-processed'!$B:$B,0),MATCH(Council_Area,'2BR_F-processed'!$E$1:$E$1,0)))</f>
        <v>531</v>
      </c>
      <c r="U49" s="22">
        <f t="shared" si="25"/>
        <v>492</v>
      </c>
      <c r="V49" s="22">
        <f t="shared" si="34"/>
        <v>6466.2857142857147</v>
      </c>
      <c r="W49" s="22">
        <f>$B$53/4*BH49/_xlfn.XLOOKUP(Q_end,cpi!A:A,cpi!B:B)</f>
        <v>153.83552176917763</v>
      </c>
      <c r="X49" s="22">
        <f t="shared" si="42"/>
        <v>6620.1212360548925</v>
      </c>
      <c r="Y49" s="22">
        <f t="shared" si="43"/>
        <v>1070.0910642356175</v>
      </c>
      <c r="Z49" s="22">
        <f t="shared" si="64"/>
        <v>0</v>
      </c>
      <c r="AA49" s="22" cm="1">
        <f t="array" ref="AA49">(Y49+Z49)*eff_invest</f>
        <v>1070.0910642356175</v>
      </c>
      <c r="AB49" s="22">
        <f>AA49*(_xlfn.XLOOKUP(Q_end,cpi!A:A,cpi!B:B)/BH49)</f>
        <v>1391.2145282560093</v>
      </c>
      <c r="AC49" s="22" cm="1">
        <f t="array" ref="AC49">INDEX('msci-indices'!C:C,MATCH($L49,'msci-indices'!$B:$B)-2)</f>
        <v>1498.0163219999999</v>
      </c>
      <c r="AD49" s="22" cm="1">
        <f t="array" ref="AD49">INDEX('msci-indices'!D:D,MATCH($L49,'msci-indices'!$B:$B)-2)</f>
        <v>1396.8056610000001</v>
      </c>
      <c r="AE49" s="22">
        <f t="shared" si="65"/>
        <v>355305.19204443123</v>
      </c>
      <c r="AF49" s="22" cm="1">
        <f t="array" ref="AF49">INDEX('msci-indices'!C:C,MATCH($L49,'msci-indices'!$B:$B)+1)</f>
        <v>1573.3488809999999</v>
      </c>
      <c r="AG49" s="22" cm="1">
        <f t="array" ref="AG49">INDEX('msci-indices'!D:D,MATCH($L49,'msci-indices'!$B:$B)+1)</f>
        <v>1410.9739790000001</v>
      </c>
      <c r="AH49" s="22">
        <f t="shared" si="44"/>
        <v>222.06574502776951</v>
      </c>
      <c r="AI49" s="22">
        <f t="shared" si="45"/>
        <v>368671.68742546876</v>
      </c>
      <c r="AJ49" s="22">
        <f t="shared" si="66"/>
        <v>201872.98666249181</v>
      </c>
      <c r="AK49" s="22">
        <f t="shared" si="46"/>
        <v>166798.70076297695</v>
      </c>
      <c r="AL49" s="22">
        <f>AJ49*(_xlfn.XLOOKUP(Q_end,cpi!A:A,cpi!B:B)/BH49)</f>
        <v>262453.02039589005</v>
      </c>
      <c r="AM49" s="22" cm="1">
        <f t="array" ref="AM49">SUMPRODUCT($AA$3:AA49,_xlfn.SORTBY($BH$3:BH49,_xlfn.SEQUENCE(ROWS($BH$3:BH49)),-1)/$BH$3)</f>
        <v>253550.77913962834</v>
      </c>
      <c r="AN49" s="22">
        <f t="shared" si="30"/>
        <v>115120.90828584041</v>
      </c>
      <c r="AO49" s="22">
        <f t="shared" si="47"/>
        <v>0</v>
      </c>
      <c r="AP49" s="22">
        <f t="shared" si="31"/>
        <v>368671.68742546876</v>
      </c>
      <c r="AQ49" s="22"/>
      <c r="AR49" s="10">
        <f>IF($B$10="3BR_H",
INDEX('ns-combined'!$C:$C,MATCH($L49,'ns-combined'!$B:$B,0),MATCH(Council_Area,'ns-combined'!$C$1:$C$1,0))*1000,
INDEX('s-combined'!$C:$C,MATCH($L49,'s-combined'!$B:$B,0),MATCH(Council_Area,'s-combined'!$C$1:$C$1,0))*1000)</f>
        <v>667500</v>
      </c>
      <c r="AS49" s="22">
        <f t="shared" si="35"/>
        <v>45237.5</v>
      </c>
      <c r="AT49" s="10">
        <v>0</v>
      </c>
      <c r="AU49" s="22">
        <f t="shared" si="48"/>
        <v>13350</v>
      </c>
      <c r="AV49" s="22">
        <f t="shared" si="49"/>
        <v>1919.0625</v>
      </c>
      <c r="AW49" s="22">
        <f>SUM($AV$3:AV49)</f>
        <v>70106.3</v>
      </c>
      <c r="AX49" s="22">
        <f t="shared" si="50"/>
        <v>538806.19999999995</v>
      </c>
      <c r="AY49" s="22">
        <f t="shared" si="51"/>
        <v>2263.2000000000003</v>
      </c>
      <c r="AZ49" s="24">
        <f t="shared" si="52"/>
        <v>1.3562247191011238E-2</v>
      </c>
      <c r="BA49" s="24">
        <f t="shared" si="53"/>
        <v>0.35000000000000003</v>
      </c>
      <c r="BB49" s="25">
        <f>IF(MortgageRate="Discounted",_xlfn.XLOOKUP(L49,'mortgage-rates'!$A:$A,'mortgage-rates'!$E:$E)/100,_xlfn.XLOOKUP(L49,'mortgage-rates'!$A:$A,'mortgage-rates'!$D:$D)/100)</f>
        <v>4.4699999999999997E-2</v>
      </c>
      <c r="BC49" s="10">
        <f t="shared" si="67"/>
        <v>219142.00988627935</v>
      </c>
      <c r="BD49" s="10">
        <f t="shared" si="54"/>
        <v>5427.0123002905093</v>
      </c>
      <c r="BE49" s="10">
        <f t="shared" si="55"/>
        <v>2448.9119604791717</v>
      </c>
      <c r="BF49" s="10">
        <f t="shared" si="36"/>
        <v>2978.1003398113376</v>
      </c>
      <c r="BG49" s="12">
        <f t="shared" si="56"/>
        <v>7690.21230029051</v>
      </c>
      <c r="BH49" s="22">
        <f>INDEX(cpi!B:B,MATCH($L49,cpi!A:A))</f>
        <v>111.3</v>
      </c>
      <c r="BI49" s="22">
        <f t="shared" si="57"/>
        <v>131.56028368794327</v>
      </c>
      <c r="BJ49" s="22">
        <f t="shared" si="58"/>
        <v>198.44440095759853</v>
      </c>
      <c r="BK49" s="22">
        <f t="shared" si="59"/>
        <v>195.91744470681382</v>
      </c>
      <c r="BL49" s="22">
        <f t="shared" si="60"/>
        <v>197.68631408236314</v>
      </c>
      <c r="BM49" s="22">
        <f t="shared" si="61"/>
        <v>355.35983740905152</v>
      </c>
      <c r="BN49" s="22">
        <f t="shared" si="62"/>
        <v>173.37662337662337</v>
      </c>
      <c r="BO49">
        <f t="shared" si="63"/>
        <v>143.59334342712563</v>
      </c>
    </row>
    <row r="50" spans="1:67" x14ac:dyDescent="0.25">
      <c r="A50" t="s">
        <v>488</v>
      </c>
      <c r="B50" s="8">
        <f>IF(OR(B44="Yes",B49="No"),0,MAX(0.3,B48))</f>
        <v>0</v>
      </c>
      <c r="C50" s="8">
        <v>0</v>
      </c>
      <c r="L50" s="1">
        <f t="shared" si="33"/>
        <v>43070</v>
      </c>
      <c r="M50" s="10">
        <f>AP50</f>
        <v>392362.61278672301</v>
      </c>
      <c r="N50" s="10">
        <f t="shared" si="39"/>
        <v>341746.0404535319</v>
      </c>
      <c r="O50" s="7">
        <f t="shared" si="24"/>
        <v>1.1481116570246659</v>
      </c>
      <c r="P50" s="7">
        <f t="shared" si="40"/>
        <v>0.85952848038465457</v>
      </c>
      <c r="Q50">
        <v>48</v>
      </c>
      <c r="R50">
        <f t="shared" si="41"/>
        <v>92</v>
      </c>
      <c r="S50" s="22"/>
      <c r="T50" s="22">
        <f>IF($B$10="3BR_H",
INDEX('3BR_H-processed'!$E:$E,MATCH($L50,'3BR_H-processed'!$B:$B,0),MATCH(Council_Area,'3BR_H-processed'!$E$1:$E$1,0)),
INDEX('2BR_F-processed'!$E:$E,MATCH($L50,'2BR_F-processed'!$B:$B,0),MATCH(Council_Area,'2BR_F-processed'!$E$1:$E$1,0)))</f>
        <v>531</v>
      </c>
      <c r="U50" s="22">
        <f t="shared" si="25"/>
        <v>492</v>
      </c>
      <c r="V50" s="22">
        <f t="shared" si="34"/>
        <v>6466.2857142857147</v>
      </c>
      <c r="W50" s="22">
        <f>$B$53/4*BH50/_xlfn.XLOOKUP(Q_end,cpi!A:A,cpi!B:B)</f>
        <v>154.94125777470629</v>
      </c>
      <c r="X50" s="22">
        <f t="shared" si="42"/>
        <v>6621.2269720604208</v>
      </c>
      <c r="Y50" s="22">
        <f t="shared" si="43"/>
        <v>1082.0977264967487</v>
      </c>
      <c r="Z50" s="22">
        <f t="shared" si="64"/>
        <v>0</v>
      </c>
      <c r="AA50" s="22" cm="1">
        <f t="array" ref="AA50">(Y50+Z50)*eff_invest</f>
        <v>1082.0977264967487</v>
      </c>
      <c r="AB50" s="22">
        <f>AA50*(_xlfn.XLOOKUP(Q_end,cpi!A:A,cpi!B:B)/BH50)</f>
        <v>1396.7844872799244</v>
      </c>
      <c r="AC50" s="22" cm="1">
        <f t="array" ref="AC50">INDEX('msci-indices'!C:C,MATCH($L50,'msci-indices'!$B:$B)-2)</f>
        <v>1573.3488809999999</v>
      </c>
      <c r="AD50" s="22" cm="1">
        <f t="array" ref="AD50">INDEX('msci-indices'!D:D,MATCH($L50,'msci-indices'!$B:$B)-2)</f>
        <v>1410.9739790000001</v>
      </c>
      <c r="AE50" s="22">
        <f t="shared" si="65"/>
        <v>369753.78515196551</v>
      </c>
      <c r="AF50" s="22" cm="1">
        <f t="array" ref="AF50">INDEX('msci-indices'!C:C,MATCH($L50,'msci-indices'!$B:$B)+1)</f>
        <v>1659.3666479999999</v>
      </c>
      <c r="AG50" s="22" cm="1">
        <f t="array" ref="AG50">INDEX('msci-indices'!D:D,MATCH($L50,'msci-indices'!$B:$B)+1)</f>
        <v>1521.502109</v>
      </c>
      <c r="AH50" s="22">
        <f t="shared" si="44"/>
        <v>231.09611571997846</v>
      </c>
      <c r="AI50" s="22">
        <f t="shared" si="45"/>
        <v>392362.61278672301</v>
      </c>
      <c r="AJ50" s="22">
        <f t="shared" si="66"/>
        <v>202955.08438898856</v>
      </c>
      <c r="AK50" s="22">
        <f t="shared" si="46"/>
        <v>189407.52839773445</v>
      </c>
      <c r="AL50" s="22">
        <f>AJ50*(_xlfn.XLOOKUP(Q_end,cpi!A:A,cpi!B:B)/BH50)</f>
        <v>261976.81276616096</v>
      </c>
      <c r="AM50" s="22" cm="1">
        <f t="array" ref="AM50">SUMPRODUCT($AA$3:AA50,_xlfn.SORTBY($BH$3:BH50,_xlfn.SEQUENCE(ROWS($BH$3:BH50)),-1)/$BH$3)</f>
        <v>256240.07593319914</v>
      </c>
      <c r="AN50" s="22">
        <f t="shared" si="30"/>
        <v>136122.53685352387</v>
      </c>
      <c r="AO50" s="22">
        <f t="shared" si="47"/>
        <v>0</v>
      </c>
      <c r="AP50" s="22">
        <f t="shared" si="31"/>
        <v>392362.61278672301</v>
      </c>
      <c r="AQ50" s="22"/>
      <c r="AR50" s="10">
        <f>IF($B$10="3BR_H",
INDEX('ns-combined'!$C:$C,MATCH($L50,'ns-combined'!$B:$B,0),MATCH(Council_Area,'ns-combined'!$C$1:$C$1,0))*1000,
INDEX('s-combined'!$C:$C,MATCH($L50,'s-combined'!$B:$B,0),MATCH(Council_Area,'s-combined'!$C$1:$C$1,0))*1000)</f>
        <v>690000</v>
      </c>
      <c r="AS50" s="22">
        <f t="shared" si="35"/>
        <v>46200</v>
      </c>
      <c r="AT50" s="10">
        <v>0</v>
      </c>
      <c r="AU50" s="22">
        <f t="shared" si="48"/>
        <v>13800</v>
      </c>
      <c r="AV50" s="22">
        <f t="shared" si="49"/>
        <v>1983.75</v>
      </c>
      <c r="AW50" s="22">
        <f>SUM($AV$3:AV50)</f>
        <v>72090.05</v>
      </c>
      <c r="AX50" s="22">
        <f t="shared" si="50"/>
        <v>557909.94999999995</v>
      </c>
      <c r="AY50" s="22">
        <f t="shared" si="51"/>
        <v>2263.2000000000003</v>
      </c>
      <c r="AZ50" s="24">
        <f t="shared" si="52"/>
        <v>1.3120000000000001E-2</v>
      </c>
      <c r="BA50" s="24">
        <f t="shared" si="53"/>
        <v>0.35000000000000003</v>
      </c>
      <c r="BB50" s="25">
        <f>IF(MortgageRate="Discounted",_xlfn.XLOOKUP(L50,'mortgage-rates'!$A:$A,'mortgage-rates'!$E:$E)/100,_xlfn.XLOOKUP(L50,'mortgage-rates'!$A:$A,'mortgage-rates'!$D:$D)/100)</f>
        <v>4.5100000000000001E-2</v>
      </c>
      <c r="BC50" s="10">
        <f t="shared" si="67"/>
        <v>216163.90954646803</v>
      </c>
      <c r="BD50" s="10">
        <f t="shared" si="54"/>
        <v>5440.1246985571697</v>
      </c>
      <c r="BE50" s="10">
        <f t="shared" si="55"/>
        <v>2437.2480801364272</v>
      </c>
      <c r="BF50" s="10">
        <f t="shared" si="36"/>
        <v>3002.8766184207425</v>
      </c>
      <c r="BG50" s="12">
        <f t="shared" si="56"/>
        <v>7703.3246985571695</v>
      </c>
      <c r="BH50" s="22">
        <f>INDEX(cpi!B:B,MATCH($L50,cpi!A:A))</f>
        <v>112.1</v>
      </c>
      <c r="BI50" s="22">
        <f t="shared" si="57"/>
        <v>132.50591016548464</v>
      </c>
      <c r="BJ50" s="22">
        <f t="shared" si="58"/>
        <v>208.42381461538773</v>
      </c>
      <c r="BK50" s="22">
        <f t="shared" si="59"/>
        <v>197.90470802901882</v>
      </c>
      <c r="BL50" s="22">
        <f t="shared" si="60"/>
        <v>205.26808263947706</v>
      </c>
      <c r="BM50" s="22">
        <f t="shared" si="61"/>
        <v>369.81065268686734</v>
      </c>
      <c r="BN50" s="22">
        <f t="shared" si="62"/>
        <v>179.22077922077921</v>
      </c>
      <c r="BO50">
        <f t="shared" si="63"/>
        <v>148.68454567107892</v>
      </c>
    </row>
    <row r="51" spans="1:67" x14ac:dyDescent="0.25">
      <c r="L51" s="1">
        <f t="shared" si="33"/>
        <v>43160</v>
      </c>
      <c r="M51" s="10">
        <f>AP51</f>
        <v>385015.10640904855</v>
      </c>
      <c r="N51" s="10">
        <f t="shared" si="39"/>
        <v>350108.22957195266</v>
      </c>
      <c r="O51" s="7">
        <f t="shared" si="24"/>
        <v>1.0997031028941351</v>
      </c>
      <c r="P51" s="7">
        <f t="shared" si="40"/>
        <v>0.89185799904413166</v>
      </c>
      <c r="Q51">
        <v>49</v>
      </c>
      <c r="R51">
        <f t="shared" si="41"/>
        <v>90</v>
      </c>
      <c r="S51" s="22"/>
      <c r="T51" s="22">
        <f>IF($B$10="3BR_H",
INDEX('3BR_H-processed'!$E:$E,MATCH($L51,'3BR_H-processed'!$B:$B,0),MATCH(Council_Area,'3BR_H-processed'!$E$1:$E$1,0)),
INDEX('2BR_F-processed'!$E:$E,MATCH($L51,'2BR_F-processed'!$B:$B,0),MATCH(Council_Area,'2BR_F-processed'!$E$1:$E$1,0)))</f>
        <v>531</v>
      </c>
      <c r="U51" s="22">
        <f t="shared" si="25"/>
        <v>531</v>
      </c>
      <c r="V51" s="22">
        <f t="shared" si="34"/>
        <v>6827.1428571428569</v>
      </c>
      <c r="W51" s="22">
        <f>$B$53/4*BH51/_xlfn.XLOOKUP(Q_end,cpi!A:A,cpi!B:B)</f>
        <v>155.7705597788528</v>
      </c>
      <c r="X51" s="22">
        <f t="shared" si="42"/>
        <v>6982.9134169217095</v>
      </c>
      <c r="Y51" s="22">
        <f t="shared" si="43"/>
        <v>846.71128163546018</v>
      </c>
      <c r="Z51" s="22">
        <f t="shared" si="64"/>
        <v>0</v>
      </c>
      <c r="AA51" s="22" cm="1">
        <f t="array" ref="AA51">(Y51+Z51)*eff_invest</f>
        <v>846.71128163546018</v>
      </c>
      <c r="AB51" s="22">
        <f>AA51*(_xlfn.XLOOKUP(Q_end,cpi!A:A,cpi!B:B)/BH51)</f>
        <v>1087.12619745032</v>
      </c>
      <c r="AC51" s="22" cm="1">
        <f t="array" ref="AC51">INDEX('msci-indices'!C:C,MATCH($L51,'msci-indices'!$B:$B)-2)</f>
        <v>1659.3666479999999</v>
      </c>
      <c r="AD51" s="22" cm="1">
        <f t="array" ref="AD51">INDEX('msci-indices'!D:D,MATCH($L51,'msci-indices'!$B:$B)-2)</f>
        <v>1521.502109</v>
      </c>
      <c r="AE51" s="22">
        <f>AI50+AA51</f>
        <v>393209.32406835846</v>
      </c>
      <c r="AF51" s="22" cm="1">
        <f t="array" ref="AF51">INDEX('msci-indices'!C:C,MATCH($L51,'msci-indices'!$B:$B)+1)</f>
        <v>1639.7568659999999</v>
      </c>
      <c r="AG51" s="22" cm="1">
        <f t="array" ref="AG51">INDEX('msci-indices'!D:D,MATCH($L51,'msci-indices'!$B:$B)+1)</f>
        <v>1460.9362550000001</v>
      </c>
      <c r="AH51" s="22">
        <f t="shared" si="44"/>
        <v>245.75582754272403</v>
      </c>
      <c r="AI51" s="22">
        <f>((AF51/AC51)*GlobalPortfolio+(AG51/AD51)*AusPortfolio)*AE51-AH51</f>
        <v>385015.10640904855</v>
      </c>
      <c r="AJ51" s="22">
        <f t="shared" si="66"/>
        <v>203801.79567062401</v>
      </c>
      <c r="AK51" s="22">
        <f t="shared" si="46"/>
        <v>181213.31073842454</v>
      </c>
      <c r="AL51" s="22">
        <f>AJ51*(_xlfn.XLOOKUP(Q_end,cpi!A:A,cpi!B:B)/BH51)</f>
        <v>261669.20881578783</v>
      </c>
      <c r="AM51" s="22" cm="1">
        <f t="array" ref="AM51">SUMPRODUCT($AA$3:AA51,_xlfn.SORTBY($BH$3:BH51,_xlfn.SEQUENCE(ROWS($BH$3:BH51)),-1)/$BH$3)</f>
        <v>258473.0580298581</v>
      </c>
      <c r="AN51" s="22">
        <f t="shared" si="30"/>
        <v>126542.04837919044</v>
      </c>
      <c r="AO51" s="22">
        <f t="shared" si="47"/>
        <v>0</v>
      </c>
      <c r="AP51" s="22">
        <f>AI51-AO51</f>
        <v>385015.10640904855</v>
      </c>
      <c r="AQ51" s="22"/>
      <c r="AR51" s="10">
        <f>IF($B$10="3BR_H",
INDEX('ns-combined'!$C:$C,MATCH($L51,'ns-combined'!$B:$B,0),MATCH(Council_Area,'ns-combined'!$C$1:$C$1,0))*1000,
INDEX('s-combined'!$C:$C,MATCH($L51,'s-combined'!$B:$B,0),MATCH(Council_Area,'s-combined'!$C$1:$C$1,0))*1000)</f>
        <v>698500</v>
      </c>
      <c r="AS51" s="22">
        <f t="shared" si="35"/>
        <v>47162.5</v>
      </c>
      <c r="AT51" s="10">
        <v>0</v>
      </c>
      <c r="AU51" s="22">
        <f t="shared" si="48"/>
        <v>13970</v>
      </c>
      <c r="AV51" s="22">
        <f t="shared" si="49"/>
        <v>2008.1875</v>
      </c>
      <c r="AW51" s="22">
        <f>SUM($AV$3:AV51)</f>
        <v>74098.237500000003</v>
      </c>
      <c r="AX51" s="22">
        <f t="shared" si="50"/>
        <v>563269.26249999995</v>
      </c>
      <c r="AY51" s="22">
        <f t="shared" si="51"/>
        <v>2389.5</v>
      </c>
      <c r="AZ51" s="24">
        <f t="shared" si="52"/>
        <v>1.3683607730851826E-2</v>
      </c>
      <c r="BA51" s="24">
        <f t="shared" si="53"/>
        <v>0.35000000000000003</v>
      </c>
      <c r="BB51" s="25">
        <f>IF(MortgageRate="Discounted",_xlfn.XLOOKUP(L51,'mortgage-rates'!$A:$A,'mortgage-rates'!$E:$E)/100,_xlfn.XLOOKUP(L51,'mortgage-rates'!$A:$A,'mortgage-rates'!$D:$D)/100)</f>
        <v>4.5100000000000001E-2</v>
      </c>
      <c r="BC51" s="10">
        <f t="shared" si="67"/>
        <v>213161.03292804729</v>
      </c>
      <c r="BD51" s="10">
        <f t="shared" si="54"/>
        <v>5440.1246985571697</v>
      </c>
      <c r="BE51" s="10">
        <f t="shared" si="55"/>
        <v>2403.3906462637333</v>
      </c>
      <c r="BF51" s="10">
        <f t="shared" si="36"/>
        <v>3036.7340522934364</v>
      </c>
      <c r="BG51" s="12">
        <f t="shared" si="56"/>
        <v>7829.6246985571697</v>
      </c>
      <c r="BH51" s="22">
        <f>INDEX(cpi!B:B,MATCH($L51,cpi!A:A))</f>
        <v>112.7</v>
      </c>
      <c r="BI51" s="22">
        <f t="shared" si="57"/>
        <v>133.21513002364068</v>
      </c>
      <c r="BJ51" s="22">
        <f t="shared" si="58"/>
        <v>219.81871331798365</v>
      </c>
      <c r="BK51" s="22">
        <f t="shared" si="59"/>
        <v>213.4075008673008</v>
      </c>
      <c r="BL51" s="22">
        <f t="shared" si="60"/>
        <v>217.89534958277881</v>
      </c>
      <c r="BM51" s="22">
        <f t="shared" si="61"/>
        <v>393.26979902725844</v>
      </c>
      <c r="BN51" s="22">
        <f t="shared" si="62"/>
        <v>181.42857142857142</v>
      </c>
      <c r="BO51">
        <f t="shared" si="63"/>
        <v>150.11281728403696</v>
      </c>
    </row>
    <row r="52" spans="1:67" x14ac:dyDescent="0.25">
      <c r="A52" s="6" t="s">
        <v>348</v>
      </c>
      <c r="B52" s="8"/>
      <c r="C52" s="8"/>
      <c r="L52" s="1">
        <f t="shared" si="33"/>
        <v>43252</v>
      </c>
      <c r="M52" s="10">
        <f t="shared" si="38"/>
        <v>401102.44170403451</v>
      </c>
      <c r="N52" s="10">
        <f t="shared" si="39"/>
        <v>341868.71362424607</v>
      </c>
      <c r="O52" s="7">
        <f t="shared" si="24"/>
        <v>1.1732645478196442</v>
      </c>
      <c r="P52" s="7">
        <f t="shared" si="40"/>
        <v>0.89858766074522478</v>
      </c>
      <c r="Q52">
        <v>50</v>
      </c>
      <c r="R52">
        <f t="shared" si="41"/>
        <v>91</v>
      </c>
      <c r="S52" s="22"/>
      <c r="T52" s="22">
        <f>IF($B$10="3BR_H",
INDEX('3BR_H-processed'!$E:$E,MATCH($L52,'3BR_H-processed'!$B:$B,0),MATCH(Council_Area,'3BR_H-processed'!$E$1:$E$1,0)),
INDEX('2BR_F-processed'!$E:$E,MATCH($L52,'2BR_F-processed'!$B:$B,0),MATCH(Council_Area,'2BR_F-processed'!$E$1:$E$1,0)))</f>
        <v>531</v>
      </c>
      <c r="U52" s="22">
        <f t="shared" si="25"/>
        <v>531</v>
      </c>
      <c r="V52" s="22">
        <f t="shared" si="34"/>
        <v>6903</v>
      </c>
      <c r="W52" s="22">
        <f>$B$53/4*BH52/_xlfn.XLOOKUP(Q_end,cpi!A:A,cpi!B:B)</f>
        <v>156.46164478230824</v>
      </c>
      <c r="X52" s="22">
        <f t="shared" si="42"/>
        <v>7059.4616447823082</v>
      </c>
      <c r="Y52" s="22">
        <f t="shared" si="43"/>
        <v>796.71305377486078</v>
      </c>
      <c r="Z52" s="22">
        <f t="shared" si="64"/>
        <v>0</v>
      </c>
      <c r="AA52" s="22" cm="1">
        <f t="array" ref="AA52">(Y52+Z52)*eff_invest</f>
        <v>796.71305377486078</v>
      </c>
      <c r="AB52" s="22">
        <f>AA52*(_xlfn.XLOOKUP(Q_end,cpi!A:A,cpi!B:B)/BH52)</f>
        <v>1018.4132410001973</v>
      </c>
      <c r="AC52" s="22" cm="1">
        <f t="array" ref="AC52">INDEX('msci-indices'!C:C,MATCH($L52,'msci-indices'!$B:$B)-2)</f>
        <v>1639.7568659999999</v>
      </c>
      <c r="AD52" s="22" cm="1">
        <f t="array" ref="AD52">INDEX('msci-indices'!D:D,MATCH($L52,'msci-indices'!$B:$B)-2)</f>
        <v>1460.9362550000001</v>
      </c>
      <c r="AE52" s="22">
        <f t="shared" si="65"/>
        <v>385811.81946282339</v>
      </c>
      <c r="AF52" s="22" cm="1">
        <f t="array" ref="AF52">INDEX('msci-indices'!C:C,MATCH($L52,'msci-indices'!$B:$B)+1)</f>
        <v>1671.6050210000001</v>
      </c>
      <c r="AG52" s="22" cm="1">
        <f t="array" ref="AG52">INDEX('msci-indices'!D:D,MATCH($L52,'msci-indices'!$B:$B)+1)</f>
        <v>1590.772543</v>
      </c>
      <c r="AH52" s="22">
        <f t="shared" si="44"/>
        <v>241.13238716426463</v>
      </c>
      <c r="AI52" s="22">
        <f t="shared" si="45"/>
        <v>401102.44170403451</v>
      </c>
      <c r="AJ52" s="22">
        <f t="shared" si="66"/>
        <v>204598.50872439888</v>
      </c>
      <c r="AK52" s="22">
        <f t="shared" si="46"/>
        <v>196503.93297963563</v>
      </c>
      <c r="AL52" s="22">
        <f>AJ52*(_xlfn.XLOOKUP(Q_end,cpi!A:A,cpi!B:B)/BH52)</f>
        <v>261531.83933233668</v>
      </c>
      <c r="AM52" s="22" cm="1">
        <f t="array" ref="AM52">SUMPRODUCT($AA$3:AA52,_xlfn.SORTBY($BH$3:BH52,_xlfn.SEQUENCE(ROWS($BH$3:BH52)),-1)/$BH$3)</f>
        <v>260547.18001953483</v>
      </c>
      <c r="AN52" s="22">
        <f t="shared" si="30"/>
        <v>140555.26168449968</v>
      </c>
      <c r="AO52" s="22">
        <f t="shared" si="47"/>
        <v>0</v>
      </c>
      <c r="AP52" s="22">
        <f t="shared" si="31"/>
        <v>401102.44170403451</v>
      </c>
      <c r="AQ52" s="22"/>
      <c r="AR52" s="10">
        <f>IF($B$10="3BR_H",
INDEX('ns-combined'!$C:$C,MATCH($L52,'ns-combined'!$B:$B,0),MATCH(Council_Area,'ns-combined'!$C$1:$C$1,0))*1000,
INDEX('s-combined'!$C:$C,MATCH($L52,'s-combined'!$B:$B,0),MATCH(Council_Area,'s-combined'!$C$1:$C$1,0))*1000)</f>
        <v>690000</v>
      </c>
      <c r="AS52" s="22">
        <f t="shared" si="35"/>
        <v>48125</v>
      </c>
      <c r="AT52" s="10">
        <v>0</v>
      </c>
      <c r="AU52" s="22">
        <f t="shared" si="48"/>
        <v>13800</v>
      </c>
      <c r="AV52" s="22">
        <f t="shared" si="49"/>
        <v>1983.75</v>
      </c>
      <c r="AW52" s="22">
        <f>SUM($AV$3:AV52)</f>
        <v>76081.987500000003</v>
      </c>
      <c r="AX52" s="22">
        <f t="shared" si="50"/>
        <v>551993.01249999995</v>
      </c>
      <c r="AY52" s="22">
        <f t="shared" si="51"/>
        <v>2416.0500000000002</v>
      </c>
      <c r="AZ52" s="24">
        <f t="shared" si="52"/>
        <v>1.4006086956521739E-2</v>
      </c>
      <c r="BA52" s="24">
        <f t="shared" si="53"/>
        <v>0.35000000000000003</v>
      </c>
      <c r="BB52" s="25">
        <f>IF(MortgageRate="Discounted",_xlfn.XLOOKUP(L52,'mortgage-rates'!$A:$A,'mortgage-rates'!$E:$E)/100,_xlfn.XLOOKUP(L52,'mortgage-rates'!$A:$A,'mortgage-rates'!$D:$D)/100)</f>
        <v>4.5100000000000001E-2</v>
      </c>
      <c r="BC52" s="10">
        <f t="shared" si="67"/>
        <v>210124.29887575386</v>
      </c>
      <c r="BD52" s="10">
        <f t="shared" si="54"/>
        <v>5440.1246985571688</v>
      </c>
      <c r="BE52" s="10">
        <f t="shared" si="55"/>
        <v>2369.1514698241249</v>
      </c>
      <c r="BF52" s="10">
        <f t="shared" si="36"/>
        <v>3070.9732287330439</v>
      </c>
      <c r="BG52" s="12">
        <f t="shared" si="56"/>
        <v>7856.174698557169</v>
      </c>
      <c r="BH52" s="22">
        <f>INDEX(cpi!B:B,MATCH($L52,cpi!A:A))</f>
        <v>113.2</v>
      </c>
      <c r="BI52" s="22">
        <f t="shared" si="57"/>
        <v>133.80614657210404</v>
      </c>
      <c r="BJ52" s="22">
        <f t="shared" si="58"/>
        <v>217.22097697509543</v>
      </c>
      <c r="BK52" s="22">
        <f t="shared" si="59"/>
        <v>204.91246989522486</v>
      </c>
      <c r="BL52" s="22">
        <f t="shared" si="60"/>
        <v>213.52842485113428</v>
      </c>
      <c r="BM52" s="22">
        <f t="shared" si="61"/>
        <v>385.87115669746407</v>
      </c>
      <c r="BN52" s="22">
        <f t="shared" si="62"/>
        <v>179.22077922077921</v>
      </c>
      <c r="BO52">
        <f t="shared" si="63"/>
        <v>147.10766545241341</v>
      </c>
    </row>
    <row r="53" spans="1:67" x14ac:dyDescent="0.25">
      <c r="A53" t="s">
        <v>628</v>
      </c>
      <c r="B53" s="23">
        <v>800</v>
      </c>
      <c r="C53" s="23">
        <v>800</v>
      </c>
      <c r="L53" s="1">
        <f t="shared" si="33"/>
        <v>43344</v>
      </c>
      <c r="M53" s="10">
        <f t="shared" si="38"/>
        <v>415938.53895451216</v>
      </c>
      <c r="N53" s="10">
        <f t="shared" si="39"/>
        <v>351764.68685297912</v>
      </c>
      <c r="O53" s="7">
        <f t="shared" si="24"/>
        <v>1.1824340375825009</v>
      </c>
      <c r="P53" s="7">
        <f t="shared" si="40"/>
        <v>0.90130940522187886</v>
      </c>
      <c r="Q53">
        <v>51</v>
      </c>
      <c r="R53">
        <f t="shared" si="41"/>
        <v>92</v>
      </c>
      <c r="S53" s="22"/>
      <c r="T53" s="22">
        <f>IF($B$10="3BR_H",
INDEX('3BR_H-processed'!$E:$E,MATCH($L53,'3BR_H-processed'!$B:$B,0),MATCH(Council_Area,'3BR_H-processed'!$E$1:$E$1,0)),
INDEX('2BR_F-processed'!$E:$E,MATCH($L53,'2BR_F-processed'!$B:$B,0),MATCH(Council_Area,'2BR_F-processed'!$E$1:$E$1,0)))</f>
        <v>551</v>
      </c>
      <c r="U53" s="22">
        <f t="shared" si="25"/>
        <v>531</v>
      </c>
      <c r="V53" s="22">
        <f t="shared" si="34"/>
        <v>6978.8571428571431</v>
      </c>
      <c r="W53" s="22">
        <f>$B$53/4*BH53/_xlfn.XLOOKUP(Q_end,cpi!A:A,cpi!B:B)</f>
        <v>156.87629578438148</v>
      </c>
      <c r="X53" s="22">
        <f t="shared" si="42"/>
        <v>7135.733438641525</v>
      </c>
      <c r="Y53" s="22">
        <f t="shared" si="43"/>
        <v>781.34076173796984</v>
      </c>
      <c r="Z53" s="22">
        <f t="shared" si="64"/>
        <v>0</v>
      </c>
      <c r="AA53" s="22" cm="1">
        <f t="array" ref="AA53">(Y53+Z53)*eff_invest</f>
        <v>781.34076173796984</v>
      </c>
      <c r="AB53" s="22">
        <f>AA53*(_xlfn.XLOOKUP(Q_end,cpi!A:A,cpi!B:B)/BH53)</f>
        <v>996.12342047122661</v>
      </c>
      <c r="AC53" s="22" cm="1">
        <f t="array" ref="AC53">INDEX('msci-indices'!C:C,MATCH($L53,'msci-indices'!$B:$B)-2)</f>
        <v>1671.6050210000001</v>
      </c>
      <c r="AD53" s="22" cm="1">
        <f t="array" ref="AD53">INDEX('msci-indices'!D:D,MATCH($L53,'msci-indices'!$B:$B)-2)</f>
        <v>1590.772543</v>
      </c>
      <c r="AE53" s="22">
        <f t="shared" si="65"/>
        <v>401883.78246577247</v>
      </c>
      <c r="AF53" s="22" cm="1">
        <f t="array" ref="AF53">INDEX('msci-indices'!C:C,MATCH($L53,'msci-indices'!$B:$B)+1)</f>
        <v>1747.837315</v>
      </c>
      <c r="AG53" s="22" cm="1">
        <f t="array" ref="AG53">INDEX('msci-indices'!D:D,MATCH($L53,'msci-indices'!$B:$B)+1)</f>
        <v>1610.255349</v>
      </c>
      <c r="AH53" s="22">
        <f t="shared" si="44"/>
        <v>251.17736404110781</v>
      </c>
      <c r="AI53" s="22">
        <f t="shared" si="45"/>
        <v>415938.53895451216</v>
      </c>
      <c r="AJ53" s="22">
        <f t="shared" si="66"/>
        <v>205379.84948613684</v>
      </c>
      <c r="AK53" s="22">
        <f t="shared" si="46"/>
        <v>210558.68946837532</v>
      </c>
      <c r="AL53" s="22">
        <f>AJ53*(_xlfn.XLOOKUP(Q_end,cpi!A:A,cpi!B:B)/BH53)</f>
        <v>261836.68916866957</v>
      </c>
      <c r="AM53" s="22" cm="1">
        <f t="array" ref="AM53">SUMPRODUCT($AA$3:AA53,_xlfn.SORTBY($BH$3:BH53,_xlfn.SEQUENCE(ROWS($BH$3:BH53)),-1)/$BH$3)</f>
        <v>262374.16350927297</v>
      </c>
      <c r="AN53" s="22">
        <f t="shared" si="30"/>
        <v>153564.37544523919</v>
      </c>
      <c r="AO53" s="22">
        <f t="shared" si="47"/>
        <v>0</v>
      </c>
      <c r="AP53" s="22">
        <f t="shared" si="31"/>
        <v>415938.53895451216</v>
      </c>
      <c r="AQ53" s="22"/>
      <c r="AR53" s="10">
        <f>IF($B$10="3BR_H",
INDEX('ns-combined'!$C:$C,MATCH($L53,'ns-combined'!$B:$B,0),MATCH(Council_Area,'ns-combined'!$C$1:$C$1,0))*1000,
INDEX('s-combined'!$C:$C,MATCH($L53,'s-combined'!$B:$B,0),MATCH(Council_Area,'s-combined'!$C$1:$C$1,0))*1000)</f>
        <v>700000</v>
      </c>
      <c r="AS53" s="22">
        <f t="shared" si="35"/>
        <v>49087.5</v>
      </c>
      <c r="AT53" s="10">
        <v>0</v>
      </c>
      <c r="AU53" s="22">
        <f t="shared" si="48"/>
        <v>14000</v>
      </c>
      <c r="AV53" s="22">
        <f t="shared" si="49"/>
        <v>2012.5</v>
      </c>
      <c r="AW53" s="22">
        <f>SUM($AV$3:AV53)</f>
        <v>78094.487500000003</v>
      </c>
      <c r="AX53" s="22">
        <f t="shared" si="50"/>
        <v>558818.01249999995</v>
      </c>
      <c r="AY53" s="22">
        <f t="shared" si="51"/>
        <v>2442.6000000000004</v>
      </c>
      <c r="AZ53" s="24">
        <f t="shared" si="52"/>
        <v>1.3957714285714289E-2</v>
      </c>
      <c r="BA53" s="24">
        <f t="shared" si="53"/>
        <v>0.35000000000000003</v>
      </c>
      <c r="BB53" s="25">
        <f>IF(MortgageRate="Discounted",_xlfn.XLOOKUP(L53,'mortgage-rates'!$A:$A,'mortgage-rates'!$E:$E)/100,_xlfn.XLOOKUP(L53,'mortgage-rates'!$A:$A,'mortgage-rates'!$D:$D)/100)</f>
        <v>4.6199999999999998E-2</v>
      </c>
      <c r="BC53" s="10">
        <f t="shared" si="67"/>
        <v>207053.3256470208</v>
      </c>
      <c r="BD53" s="10">
        <f t="shared" si="54"/>
        <v>5474.4742003794945</v>
      </c>
      <c r="BE53" s="10">
        <f t="shared" si="55"/>
        <v>2391.4659112230902</v>
      </c>
      <c r="BF53" s="10">
        <f t="shared" si="36"/>
        <v>3083.0082891564043</v>
      </c>
      <c r="BG53" s="12">
        <f t="shared" si="56"/>
        <v>7917.0742003794949</v>
      </c>
      <c r="BH53" s="22">
        <f>INDEX(cpi!B:B,MATCH($L53,cpi!A:A))</f>
        <v>113.5</v>
      </c>
      <c r="BI53" s="22">
        <f t="shared" si="57"/>
        <v>134.16075650118205</v>
      </c>
      <c r="BJ53" s="22">
        <f t="shared" si="58"/>
        <v>221.43994838933332</v>
      </c>
      <c r="BK53" s="22">
        <f t="shared" si="59"/>
        <v>223.12344546999952</v>
      </c>
      <c r="BL53" s="22">
        <f t="shared" si="60"/>
        <v>221.94499751353317</v>
      </c>
      <c r="BM53" s="22">
        <f t="shared" si="61"/>
        <v>401.94559154236231</v>
      </c>
      <c r="BN53" s="22">
        <f t="shared" si="62"/>
        <v>181.81818181818181</v>
      </c>
      <c r="BO53">
        <f t="shared" si="63"/>
        <v>148.92654684035983</v>
      </c>
    </row>
    <row r="54" spans="1:67" x14ac:dyDescent="0.25">
      <c r="A54" t="s">
        <v>629</v>
      </c>
      <c r="B54" s="8">
        <v>1</v>
      </c>
      <c r="C54" s="8">
        <v>1</v>
      </c>
      <c r="L54" s="1">
        <f t="shared" si="33"/>
        <v>43435</v>
      </c>
      <c r="M54" s="10">
        <f t="shared" si="38"/>
        <v>365370.04068898031</v>
      </c>
      <c r="N54" s="10">
        <f t="shared" si="39"/>
        <v>371415.19514213555</v>
      </c>
      <c r="O54" s="7">
        <f t="shared" si="24"/>
        <v>0.98372399801563892</v>
      </c>
      <c r="P54" s="7">
        <f t="shared" si="40"/>
        <v>0.90034766108187791</v>
      </c>
      <c r="Q54">
        <v>52</v>
      </c>
      <c r="R54">
        <f t="shared" si="41"/>
        <v>92</v>
      </c>
      <c r="S54" s="22"/>
      <c r="T54" s="22">
        <f>IF($B$10="3BR_H",
INDEX('3BR_H-processed'!$E:$E,MATCH($L54,'3BR_H-processed'!$B:$B,0),MATCH(Council_Area,'3BR_H-processed'!$E$1:$E$1,0)),
INDEX('2BR_F-processed'!$E:$E,MATCH($L54,'2BR_F-processed'!$B:$B,0),MATCH(Council_Area,'2BR_F-processed'!$E$1:$E$1,0)))</f>
        <v>551</v>
      </c>
      <c r="U54" s="22">
        <f t="shared" si="25"/>
        <v>531</v>
      </c>
      <c r="V54" s="22">
        <f t="shared" si="34"/>
        <v>6978.8571428571431</v>
      </c>
      <c r="W54" s="22">
        <f>$B$53/4*BH54/_xlfn.XLOOKUP(Q_end,cpi!A:A,cpi!B:B)</f>
        <v>157.56738078783692</v>
      </c>
      <c r="X54" s="22">
        <f t="shared" si="42"/>
        <v>7136.4245236449797</v>
      </c>
      <c r="Y54" s="22">
        <f t="shared" si="43"/>
        <v>789.87420752481285</v>
      </c>
      <c r="Z54" s="22">
        <f t="shared" si="64"/>
        <v>0</v>
      </c>
      <c r="AA54" s="22" cm="1">
        <f t="array" ref="AA54">(Y54+Z54)*eff_invest</f>
        <v>789.87420752481285</v>
      </c>
      <c r="AB54" s="22">
        <f>AA54*(_xlfn.XLOOKUP(Q_end,cpi!A:A,cpi!B:B)/BH54)</f>
        <v>1002.5859458670211</v>
      </c>
      <c r="AC54" s="22" cm="1">
        <f t="array" ref="AC54">INDEX('msci-indices'!C:C,MATCH($L54,'msci-indices'!$B:$B)-2)</f>
        <v>1747.837315</v>
      </c>
      <c r="AD54" s="22" cm="1">
        <f t="array" ref="AD54">INDEX('msci-indices'!D:D,MATCH($L54,'msci-indices'!$B:$B)-2)</f>
        <v>1610.255349</v>
      </c>
      <c r="AE54" s="22">
        <f t="shared" si="65"/>
        <v>416728.41316203697</v>
      </c>
      <c r="AF54" s="22" cm="1">
        <f t="array" ref="AF54">INDEX('msci-indices'!C:C,MATCH($L54,'msci-indices'!$B:$B)+1)</f>
        <v>1503.1567950000001</v>
      </c>
      <c r="AG54" s="22" cm="1">
        <f t="array" ref="AG54">INDEX('msci-indices'!D:D,MATCH($L54,'msci-indices'!$B:$B)+1)</f>
        <v>1478.088164</v>
      </c>
      <c r="AH54" s="22">
        <f t="shared" si="44"/>
        <v>260.45525822627309</v>
      </c>
      <c r="AI54" s="22">
        <f t="shared" si="45"/>
        <v>365370.04068898031</v>
      </c>
      <c r="AJ54" s="22">
        <f t="shared" si="66"/>
        <v>206169.72369366165</v>
      </c>
      <c r="AK54" s="22">
        <f t="shared" si="46"/>
        <v>159200.31699531866</v>
      </c>
      <c r="AL54" s="22">
        <f>AJ54*(_xlfn.XLOOKUP(Q_end,cpi!A:A,cpi!B:B)/BH54)</f>
        <v>261690.86858309506</v>
      </c>
      <c r="AM54" s="22" cm="1">
        <f t="array" ref="AM54">SUMPRODUCT($AA$3:AA54,_xlfn.SORTBY($BH$3:BH54,_xlfn.SEQUENCE(ROWS($BH$3:BH54)),-1)/$BH$3)</f>
        <v>264447.4261485961</v>
      </c>
      <c r="AN54" s="22">
        <f t="shared" si="30"/>
        <v>100922.61454038421</v>
      </c>
      <c r="AO54" s="22">
        <f t="shared" si="47"/>
        <v>0</v>
      </c>
      <c r="AP54" s="22">
        <f t="shared" si="31"/>
        <v>365370.04068898031</v>
      </c>
      <c r="AQ54" s="22"/>
      <c r="AR54" s="10">
        <f>IF($B$10="3BR_H",
INDEX('ns-combined'!$C:$C,MATCH($L54,'ns-combined'!$B:$B,0),MATCH(Council_Area,'ns-combined'!$C$1:$C$1,0))*1000,
INDEX('s-combined'!$C:$C,MATCH($L54,'s-combined'!$B:$B,0),MATCH(Council_Area,'s-combined'!$C$1:$C$1,0))*1000)</f>
        <v>720000</v>
      </c>
      <c r="AS54" s="22">
        <f t="shared" si="35"/>
        <v>50050</v>
      </c>
      <c r="AT54" s="10">
        <v>0</v>
      </c>
      <c r="AU54" s="22">
        <f t="shared" si="48"/>
        <v>14400</v>
      </c>
      <c r="AV54" s="22">
        <f t="shared" si="49"/>
        <v>2070</v>
      </c>
      <c r="AW54" s="22">
        <f>SUM($AV$3:AV54)</f>
        <v>80164.487500000003</v>
      </c>
      <c r="AX54" s="22">
        <f t="shared" si="50"/>
        <v>575385.51249999995</v>
      </c>
      <c r="AY54" s="22">
        <f t="shared" si="51"/>
        <v>2442.6000000000004</v>
      </c>
      <c r="AZ54" s="24">
        <f t="shared" si="52"/>
        <v>1.3570000000000002E-2</v>
      </c>
      <c r="BA54" s="24">
        <f t="shared" si="53"/>
        <v>0.35000000000000003</v>
      </c>
      <c r="BB54" s="25">
        <f>IF(MortgageRate="Discounted",_xlfn.XLOOKUP(L54,'mortgage-rates'!$A:$A,'mortgage-rates'!$E:$E)/100,_xlfn.XLOOKUP(L54,'mortgage-rates'!$A:$A,'mortgage-rates'!$D:$D)/100)</f>
        <v>4.6500000000000007E-2</v>
      </c>
      <c r="BC54" s="10">
        <f t="shared" si="67"/>
        <v>203970.31735786441</v>
      </c>
      <c r="BD54" s="10">
        <f t="shared" si="54"/>
        <v>5483.6987311697922</v>
      </c>
      <c r="BE54" s="10">
        <f t="shared" si="55"/>
        <v>2371.1549392851739</v>
      </c>
      <c r="BF54" s="10">
        <f t="shared" si="36"/>
        <v>3112.5437918846183</v>
      </c>
      <c r="BG54" s="12">
        <f t="shared" si="56"/>
        <v>7926.2987311697925</v>
      </c>
      <c r="BH54" s="22">
        <f>INDEX(cpi!B:B,MATCH($L54,cpi!A:A))</f>
        <v>114</v>
      </c>
      <c r="BI54" s="22">
        <f t="shared" si="57"/>
        <v>134.75177304964541</v>
      </c>
      <c r="BJ54" s="22">
        <f t="shared" si="58"/>
        <v>231.53855125118753</v>
      </c>
      <c r="BK54" s="22">
        <f t="shared" si="59"/>
        <v>225.85612452035926</v>
      </c>
      <c r="BL54" s="22">
        <f t="shared" si="60"/>
        <v>229.83382323193905</v>
      </c>
      <c r="BM54" s="22">
        <f t="shared" si="61"/>
        <v>416.79250531884975</v>
      </c>
      <c r="BN54" s="22">
        <f t="shared" si="62"/>
        <v>187.01298701298703</v>
      </c>
      <c r="BO54">
        <f t="shared" si="63"/>
        <v>153.34183144033085</v>
      </c>
    </row>
    <row r="55" spans="1:67" x14ac:dyDescent="0.25">
      <c r="L55" s="1">
        <f t="shared" si="33"/>
        <v>43525</v>
      </c>
      <c r="M55" s="10">
        <f t="shared" si="38"/>
        <v>410105.16510706698</v>
      </c>
      <c r="N55" s="10">
        <f t="shared" si="39"/>
        <v>342181.48893402016</v>
      </c>
      <c r="O55" s="7">
        <f t="shared" si="24"/>
        <v>1.198501901387611</v>
      </c>
      <c r="P55" s="7">
        <f t="shared" si="40"/>
        <v>0.9083980645185028</v>
      </c>
      <c r="Q55">
        <v>53</v>
      </c>
      <c r="R55">
        <f t="shared" si="41"/>
        <v>90</v>
      </c>
      <c r="S55" s="22"/>
      <c r="T55" s="22">
        <f>IF($B$10="3BR_H",
INDEX('3BR_H-processed'!$E:$E,MATCH($L55,'3BR_H-processed'!$B:$B,0),MATCH(Council_Area,'3BR_H-processed'!$E$1:$E$1,0)),
INDEX('2BR_F-processed'!$E:$E,MATCH($L55,'2BR_F-processed'!$B:$B,0),MATCH(Council_Area,'2BR_F-processed'!$E$1:$E$1,0)))</f>
        <v>551</v>
      </c>
      <c r="U55" s="22">
        <f t="shared" si="25"/>
        <v>551</v>
      </c>
      <c r="V55" s="22">
        <f t="shared" si="34"/>
        <v>7084.2857142857147</v>
      </c>
      <c r="W55" s="22">
        <f>$B$53/4*BH55/_xlfn.XLOOKUP(Q_end,cpi!A:A,cpi!B:B)</f>
        <v>157.705597788528</v>
      </c>
      <c r="X55" s="22">
        <f t="shared" si="42"/>
        <v>7241.9913120742431</v>
      </c>
      <c r="Y55" s="22">
        <f t="shared" si="43"/>
        <v>730.27502681636997</v>
      </c>
      <c r="Z55" s="22">
        <f t="shared" si="64"/>
        <v>0</v>
      </c>
      <c r="AA55" s="22" cm="1">
        <f t="array" ref="AA55">(Y55+Z55)*eff_invest</f>
        <v>730.27502681636997</v>
      </c>
      <c r="AB55" s="22">
        <f>AA55*(_xlfn.XLOOKUP(Q_end,cpi!A:A,cpi!B:B)/BH55)</f>
        <v>926.12442051120706</v>
      </c>
      <c r="AC55" s="22" cm="1">
        <f t="array" ref="AC55">INDEX('msci-indices'!C:C,MATCH($L55,'msci-indices'!$B:$B)-2)</f>
        <v>1503.1567950000001</v>
      </c>
      <c r="AD55" s="22" cm="1">
        <f t="array" ref="AD55">INDEX('msci-indices'!D:D,MATCH($L55,'msci-indices'!$B:$B)-2)</f>
        <v>1478.088164</v>
      </c>
      <c r="AE55" s="22">
        <f t="shared" si="65"/>
        <v>366100.31571579666</v>
      </c>
      <c r="AF55" s="22" cm="1">
        <f t="array" ref="AF55">INDEX('msci-indices'!C:C,MATCH($L55,'msci-indices'!$B:$B)+1)</f>
        <v>1693.1497079999999</v>
      </c>
      <c r="AG55" s="22" cm="1">
        <f t="array" ref="AG55">INDEX('msci-indices'!D:D,MATCH($L55,'msci-indices'!$B:$B)+1)</f>
        <v>1637.459214</v>
      </c>
      <c r="AH55" s="22">
        <f t="shared" si="44"/>
        <v>228.81269732237291</v>
      </c>
      <c r="AI55" s="22">
        <f t="shared" si="45"/>
        <v>410105.16510706698</v>
      </c>
      <c r="AJ55" s="22">
        <f t="shared" si="66"/>
        <v>206899.99872047803</v>
      </c>
      <c r="AK55" s="22">
        <f t="shared" si="46"/>
        <v>203205.16638658894</v>
      </c>
      <c r="AL55" s="22">
        <f>AJ55*(_xlfn.XLOOKUP(Q_end,cpi!A:A,cpi!B:B)/BH55)</f>
        <v>262387.64079625916</v>
      </c>
      <c r="AM55" s="22" cm="1">
        <f t="array" ref="AM55">SUMPRODUCT($AA$3:AA55,_xlfn.SORTBY($BH$3:BH55,_xlfn.SEQUENCE(ROWS($BH$3:BH55)),-1)/$BH$3)</f>
        <v>265999.70744424511</v>
      </c>
      <c r="AN55" s="22">
        <f t="shared" si="30"/>
        <v>144105.45766282186</v>
      </c>
      <c r="AO55" s="22">
        <f t="shared" si="47"/>
        <v>0</v>
      </c>
      <c r="AP55" s="22">
        <f t="shared" si="31"/>
        <v>410105.16510706698</v>
      </c>
      <c r="AQ55" s="22"/>
      <c r="AR55" s="10">
        <f>IF($B$10="3BR_H",
INDEX('ns-combined'!$C:$C,MATCH($L55,'ns-combined'!$B:$B,0),MATCH(Council_Area,'ns-combined'!$C$1:$C$1,0))*1000,
INDEX('s-combined'!$C:$C,MATCH($L55,'s-combined'!$B:$B,0),MATCH(Council_Area,'s-combined'!$C$1:$C$1,0))*1000)</f>
        <v>690000</v>
      </c>
      <c r="AS55" s="22">
        <f t="shared" si="35"/>
        <v>51012.5</v>
      </c>
      <c r="AT55" s="10">
        <v>0</v>
      </c>
      <c r="AU55" s="22">
        <f t="shared" si="48"/>
        <v>13800</v>
      </c>
      <c r="AV55" s="22">
        <f t="shared" si="49"/>
        <v>1983.75</v>
      </c>
      <c r="AW55" s="22">
        <f>SUM($AV$3:AV55)</f>
        <v>82148.237500000003</v>
      </c>
      <c r="AX55" s="22">
        <f t="shared" si="50"/>
        <v>543039.26249999995</v>
      </c>
      <c r="AY55" s="22">
        <f t="shared" si="51"/>
        <v>2479.5000000000005</v>
      </c>
      <c r="AZ55" s="24">
        <f t="shared" si="52"/>
        <v>1.4373913043478263E-2</v>
      </c>
      <c r="BA55" s="24">
        <f t="shared" si="53"/>
        <v>0.35000000000000003</v>
      </c>
      <c r="BB55" s="25">
        <f>IF(MortgageRate="Discounted",_xlfn.XLOOKUP(L55,'mortgage-rates'!$A:$A,'mortgage-rates'!$E:$E)/100,_xlfn.XLOOKUP(L55,'mortgage-rates'!$A:$A,'mortgage-rates'!$D:$D)/100)</f>
        <v>4.6799999999999994E-2</v>
      </c>
      <c r="BC55" s="10">
        <f t="shared" si="67"/>
        <v>200857.77356597979</v>
      </c>
      <c r="BD55" s="10">
        <f t="shared" si="54"/>
        <v>5492.7663388906121</v>
      </c>
      <c r="BE55" s="10">
        <f t="shared" si="55"/>
        <v>2350.0359507219632</v>
      </c>
      <c r="BF55" s="10">
        <f t="shared" si="36"/>
        <v>3142.7303881686489</v>
      </c>
      <c r="BG55" s="12">
        <f t="shared" si="56"/>
        <v>7972.266338890613</v>
      </c>
      <c r="BH55" s="22">
        <f>INDEX(cpi!B:B,MATCH($L55,cpi!A:A))</f>
        <v>114.1</v>
      </c>
      <c r="BI55" s="22">
        <f t="shared" si="57"/>
        <v>134.86997635933807</v>
      </c>
      <c r="BJ55" s="22">
        <f t="shared" si="58"/>
        <v>199.12536689244348</v>
      </c>
      <c r="BK55" s="22">
        <f t="shared" si="59"/>
        <v>207.31821485814123</v>
      </c>
      <c r="BL55" s="22">
        <f t="shared" si="60"/>
        <v>201.58322128215281</v>
      </c>
      <c r="BM55" s="22">
        <f t="shared" si="61"/>
        <v>366.15662135300056</v>
      </c>
      <c r="BN55" s="22">
        <f t="shared" si="62"/>
        <v>179.22077922077921</v>
      </c>
      <c r="BO55">
        <f t="shared" si="63"/>
        <v>144.72146629822657</v>
      </c>
    </row>
    <row r="56" spans="1:67" x14ac:dyDescent="0.25">
      <c r="L56" s="1">
        <f t="shared" si="33"/>
        <v>43617</v>
      </c>
      <c r="M56" s="10">
        <f t="shared" si="38"/>
        <v>431109.32386466052</v>
      </c>
      <c r="N56" s="10">
        <f t="shared" si="39"/>
        <v>366806.09432218882</v>
      </c>
      <c r="O56" s="7">
        <f t="shared" si="24"/>
        <v>1.1753057829131655</v>
      </c>
      <c r="P56" s="7">
        <f t="shared" si="40"/>
        <v>0.92275454587273853</v>
      </c>
      <c r="Q56">
        <v>54</v>
      </c>
      <c r="R56">
        <f t="shared" si="41"/>
        <v>91</v>
      </c>
      <c r="S56" s="22"/>
      <c r="T56" s="22">
        <f>IF($B$10="3BR_H",
INDEX('3BR_H-processed'!$E:$E,MATCH($L56,'3BR_H-processed'!$B:$B,0),MATCH(Council_Area,'3BR_H-processed'!$E$1:$E$1,0)),
INDEX('2BR_F-processed'!$E:$E,MATCH($L56,'2BR_F-processed'!$B:$B,0),MATCH(Council_Area,'2BR_F-processed'!$E$1:$E$1,0)))</f>
        <v>551</v>
      </c>
      <c r="U56" s="22">
        <f t="shared" si="25"/>
        <v>551</v>
      </c>
      <c r="V56" s="22">
        <f t="shared" si="34"/>
        <v>7163</v>
      </c>
      <c r="W56" s="22">
        <f>$B$53/4*BH56/_xlfn.XLOOKUP(Q_end,cpi!A:A,cpi!B:B)</f>
        <v>158.81133379405668</v>
      </c>
      <c r="X56" s="22">
        <f t="shared" si="42"/>
        <v>7321.8113337940567</v>
      </c>
      <c r="Y56" s="22">
        <f t="shared" si="43"/>
        <v>612.92208642346031</v>
      </c>
      <c r="Z56" s="22">
        <f t="shared" si="64"/>
        <v>0</v>
      </c>
      <c r="AA56" s="22" cm="1">
        <f t="array" ref="AA56">(Y56+Z56)*eff_invest</f>
        <v>612.92208642346031</v>
      </c>
      <c r="AB56" s="22">
        <f>AA56*(_xlfn.XLOOKUP(Q_end,cpi!A:A,cpi!B:B)/BH56)</f>
        <v>771.88708359856128</v>
      </c>
      <c r="AC56" s="22" cm="1">
        <f t="array" ref="AC56">INDEX('msci-indices'!C:C,MATCH($L56,'msci-indices'!$B:$B)-2)</f>
        <v>1693.1497079999999</v>
      </c>
      <c r="AD56" s="22" cm="1">
        <f t="array" ref="AD56">INDEX('msci-indices'!D:D,MATCH($L56,'msci-indices'!$B:$B)-2)</f>
        <v>1637.459214</v>
      </c>
      <c r="AE56" s="22">
        <f t="shared" si="65"/>
        <v>410718.08719349041</v>
      </c>
      <c r="AF56" s="22" cm="1">
        <f t="array" ref="AF56">INDEX('msci-indices'!C:C,MATCH($L56,'msci-indices'!$B:$B)+1)</f>
        <v>1756.4484090000001</v>
      </c>
      <c r="AG56" s="22" cm="1">
        <f t="array" ref="AG56">INDEX('msci-indices'!D:D,MATCH($L56,'msci-indices'!$B:$B)+1)</f>
        <v>1769.0189379999999</v>
      </c>
      <c r="AH56" s="22">
        <f t="shared" si="44"/>
        <v>256.69880449593154</v>
      </c>
      <c r="AI56" s="22">
        <f t="shared" si="45"/>
        <v>431109.32386466052</v>
      </c>
      <c r="AJ56" s="22">
        <f t="shared" si="66"/>
        <v>207512.9208069015</v>
      </c>
      <c r="AK56" s="22">
        <f t="shared" si="46"/>
        <v>223596.40305775902</v>
      </c>
      <c r="AL56" s="22">
        <f>AJ56*(_xlfn.XLOOKUP(Q_end,cpi!A:A,cpi!B:B)/BH56)</f>
        <v>261332.63394916139</v>
      </c>
      <c r="AM56" s="22" cm="1">
        <f t="array" ref="AM56">SUMPRODUCT($AA$3:AA56,_xlfn.SORTBY($BH$3:BH56,_xlfn.SEQUENCE(ROWS($BH$3:BH56)),-1)/$BH$3)</f>
        <v>268244.62472194247</v>
      </c>
      <c r="AN56" s="22">
        <f t="shared" si="30"/>
        <v>162864.69914271805</v>
      </c>
      <c r="AO56" s="22">
        <f t="shared" si="47"/>
        <v>0</v>
      </c>
      <c r="AP56" s="22">
        <f t="shared" si="31"/>
        <v>431109.32386466052</v>
      </c>
      <c r="AQ56" s="22"/>
      <c r="AR56" s="10">
        <f>IF($B$10="3BR_H",
INDEX('ns-combined'!$C:$C,MATCH($L56,'ns-combined'!$B:$B,0),MATCH(Council_Area,'ns-combined'!$C$1:$C$1,0))*1000,
INDEX('s-combined'!$C:$C,MATCH($L56,'s-combined'!$B:$B,0),MATCH(Council_Area,'s-combined'!$C$1:$C$1,0))*1000)</f>
        <v>715000</v>
      </c>
      <c r="AS56" s="22">
        <f t="shared" si="35"/>
        <v>51975</v>
      </c>
      <c r="AT56" s="10">
        <v>0</v>
      </c>
      <c r="AU56" s="22">
        <f t="shared" si="48"/>
        <v>14300</v>
      </c>
      <c r="AV56" s="22">
        <f t="shared" si="49"/>
        <v>2055.625</v>
      </c>
      <c r="AW56" s="22">
        <f>SUM($AV$3:AV56)</f>
        <v>84203.862500000003</v>
      </c>
      <c r="AX56" s="22">
        <f t="shared" si="50"/>
        <v>564521.13749999995</v>
      </c>
      <c r="AY56" s="22">
        <f t="shared" si="51"/>
        <v>2507.0500000000002</v>
      </c>
      <c r="AZ56" s="24">
        <f t="shared" si="52"/>
        <v>1.4025454545454546E-2</v>
      </c>
      <c r="BA56" s="24">
        <f t="shared" si="53"/>
        <v>0.35000000000000003</v>
      </c>
      <c r="BB56" s="25">
        <f>IF(MortgageRate="Discounted",_xlfn.XLOOKUP(L56,'mortgage-rates'!$A:$A,'mortgage-rates'!$E:$E)/100,_xlfn.XLOOKUP(L56,'mortgage-rates'!$A:$A,'mortgage-rates'!$D:$D)/100)</f>
        <v>4.4600000000000001E-2</v>
      </c>
      <c r="BC56" s="10">
        <f t="shared" si="67"/>
        <v>197715.04317781114</v>
      </c>
      <c r="BD56" s="10">
        <f t="shared" si="54"/>
        <v>5427.6834202175169</v>
      </c>
      <c r="BE56" s="10">
        <f t="shared" si="55"/>
        <v>2204.5227314325944</v>
      </c>
      <c r="BF56" s="10">
        <f t="shared" si="36"/>
        <v>3223.1606887849225</v>
      </c>
      <c r="BG56" s="12">
        <f t="shared" si="56"/>
        <v>7934.7334202175171</v>
      </c>
      <c r="BH56" s="22">
        <f>INDEX(cpi!B:B,MATCH($L56,cpi!A:A))</f>
        <v>114.9</v>
      </c>
      <c r="BI56" s="22">
        <f t="shared" si="57"/>
        <v>135.81560283687944</v>
      </c>
      <c r="BJ56" s="22">
        <f t="shared" si="58"/>
        <v>224.29400441178427</v>
      </c>
      <c r="BK56" s="22">
        <f t="shared" si="59"/>
        <v>229.67176750188432</v>
      </c>
      <c r="BL56" s="22">
        <f t="shared" si="60"/>
        <v>225.90733333881428</v>
      </c>
      <c r="BM56" s="22">
        <f t="shared" si="61"/>
        <v>410.78125497187756</v>
      </c>
      <c r="BN56" s="22">
        <f t="shared" si="62"/>
        <v>185.71428571428572</v>
      </c>
      <c r="BO56">
        <f t="shared" si="63"/>
        <v>150.44644543605679</v>
      </c>
    </row>
    <row r="57" spans="1:67" x14ac:dyDescent="0.25">
      <c r="L57" s="1">
        <f t="shared" si="33"/>
        <v>43709</v>
      </c>
      <c r="M57" s="10">
        <f t="shared" si="38"/>
        <v>435992.44394712395</v>
      </c>
      <c r="N57" s="10">
        <f t="shared" si="39"/>
        <v>328903.25501097378</v>
      </c>
      <c r="O57" s="7">
        <f t="shared" si="24"/>
        <v>1.3255947981803256</v>
      </c>
      <c r="P57" s="7">
        <f t="shared" si="40"/>
        <v>0.93665674318072334</v>
      </c>
      <c r="Q57">
        <v>55</v>
      </c>
      <c r="R57">
        <f t="shared" si="41"/>
        <v>92</v>
      </c>
      <c r="S57" s="22"/>
      <c r="T57" s="22">
        <f>IF($B$10="3BR_H",
INDEX('3BR_H-processed'!$E:$E,MATCH($L57,'3BR_H-processed'!$B:$B,0),MATCH(Council_Area,'3BR_H-processed'!$E$1:$E$1,0)),
INDEX('2BR_F-processed'!$E:$E,MATCH($L57,'2BR_F-processed'!$B:$B,0),MATCH(Council_Area,'2BR_F-processed'!$E$1:$E$1,0)))</f>
        <v>569</v>
      </c>
      <c r="U57" s="22">
        <f t="shared" si="25"/>
        <v>551</v>
      </c>
      <c r="V57" s="22">
        <f t="shared" si="34"/>
        <v>7241.7142857142853</v>
      </c>
      <c r="W57" s="22">
        <f>$B$53/4*BH57/_xlfn.XLOOKUP(Q_end,cpi!A:A,cpi!B:B)</f>
        <v>159.50241879751209</v>
      </c>
      <c r="X57" s="22">
        <f t="shared" si="42"/>
        <v>7401.2167045117976</v>
      </c>
      <c r="Y57" s="22">
        <f t="shared" si="43"/>
        <v>500.52185488676423</v>
      </c>
      <c r="Z57" s="22">
        <f t="shared" si="64"/>
        <v>0</v>
      </c>
      <c r="AA57" s="22" cm="1">
        <f t="array" ref="AA57">(Y57+Z57)*eff_invest</f>
        <v>500.52185488676423</v>
      </c>
      <c r="AB57" s="22">
        <f>AA57*(_xlfn.XLOOKUP(Q_end,cpi!A:A,cpi!B:B)/BH57)</f>
        <v>627.60409360584731</v>
      </c>
      <c r="AC57" s="22" cm="1">
        <f t="array" ref="AC57">INDEX('msci-indices'!C:C,MATCH($L57,'msci-indices'!$B:$B)-2)</f>
        <v>1756.4484090000001</v>
      </c>
      <c r="AD57" s="22" cm="1">
        <f t="array" ref="AD57">INDEX('msci-indices'!D:D,MATCH($L57,'msci-indices'!$B:$B)-2)</f>
        <v>1769.0189379999999</v>
      </c>
      <c r="AE57" s="22">
        <f t="shared" si="65"/>
        <v>431609.8457195473</v>
      </c>
      <c r="AF57" s="22" cm="1">
        <f t="array" ref="AF57">INDEX('msci-indices'!C:C,MATCH($L57,'msci-indices'!$B:$B)+1)</f>
        <v>1762.7547079999999</v>
      </c>
      <c r="AG57" s="22" cm="1">
        <f t="array" ref="AG57">INDEX('msci-indices'!D:D,MATCH($L57,'msci-indices'!$B:$B)+1)</f>
        <v>1817.7602159999999</v>
      </c>
      <c r="AH57" s="22">
        <f t="shared" si="44"/>
        <v>269.75615357471708</v>
      </c>
      <c r="AI57" s="22">
        <f t="shared" si="45"/>
        <v>435992.44394712395</v>
      </c>
      <c r="AJ57" s="22">
        <f t="shared" si="66"/>
        <v>208013.44266178826</v>
      </c>
      <c r="AK57" s="22">
        <f t="shared" si="46"/>
        <v>227979.00128533569</v>
      </c>
      <c r="AL57" s="22">
        <f>AJ57*(_xlfn.XLOOKUP(Q_end,cpi!A:A,cpi!B:B)/BH57)</f>
        <v>260827.94760104641</v>
      </c>
      <c r="AM57" s="22" cm="1">
        <f t="array" ref="AM57">SUMPRODUCT($AA$3:AA57,_xlfn.SORTBY($BH$3:BH57,_xlfn.SEQUENCE(ROWS($BH$3:BH57)),-1)/$BH$3)</f>
        <v>270032.55843779957</v>
      </c>
      <c r="AN57" s="22">
        <f t="shared" si="30"/>
        <v>165959.88550932438</v>
      </c>
      <c r="AO57" s="22">
        <f t="shared" si="47"/>
        <v>0</v>
      </c>
      <c r="AP57" s="22">
        <f t="shared" si="31"/>
        <v>435992.44394712395</v>
      </c>
      <c r="AQ57" s="22"/>
      <c r="AR57" s="10">
        <f>IF($B$10="3BR_H",
INDEX('ns-combined'!$C:$C,MATCH($L57,'ns-combined'!$B:$B,0),MATCH(Council_Area,'ns-combined'!$C$1:$C$1,0))*1000,
INDEX('s-combined'!$C:$C,MATCH($L57,'s-combined'!$B:$B,0),MATCH(Council_Area,'s-combined'!$C$1:$C$1,0))*1000)</f>
        <v>676000</v>
      </c>
      <c r="AS57" s="22">
        <f t="shared" si="35"/>
        <v>52937.5</v>
      </c>
      <c r="AT57" s="10">
        <v>0</v>
      </c>
      <c r="AU57" s="22">
        <f t="shared" si="48"/>
        <v>13520</v>
      </c>
      <c r="AV57" s="22">
        <f t="shared" si="49"/>
        <v>1943.5</v>
      </c>
      <c r="AW57" s="22">
        <f>SUM($AV$3:AV57)</f>
        <v>86147.362500000003</v>
      </c>
      <c r="AX57" s="22">
        <f t="shared" si="50"/>
        <v>523395.13750000001</v>
      </c>
      <c r="AY57" s="22">
        <f t="shared" si="51"/>
        <v>2534.6</v>
      </c>
      <c r="AZ57" s="24">
        <f t="shared" si="52"/>
        <v>1.4997633136094674E-2</v>
      </c>
      <c r="BA57" s="24">
        <f t="shared" si="53"/>
        <v>0.35000000000000003</v>
      </c>
      <c r="BB57" s="25">
        <f>IF(MortgageRate="Discounted",_xlfn.XLOOKUP(L57,'mortgage-rates'!$A:$A,'mortgage-rates'!$E:$E)/100,_xlfn.XLOOKUP(L57,'mortgage-rates'!$A:$A,'mortgage-rates'!$D:$D)/100)</f>
        <v>4.2500000000000003E-2</v>
      </c>
      <c r="BC57" s="10">
        <f t="shared" si="67"/>
        <v>194491.8824890262</v>
      </c>
      <c r="BD57" s="10">
        <f t="shared" si="54"/>
        <v>5367.1385593985615</v>
      </c>
      <c r="BE57" s="10">
        <f t="shared" si="55"/>
        <v>2066.4762514459035</v>
      </c>
      <c r="BF57" s="10">
        <f t="shared" si="36"/>
        <v>3300.662307952658</v>
      </c>
      <c r="BG57" s="12">
        <f t="shared" si="56"/>
        <v>7901.7385593985618</v>
      </c>
      <c r="BH57" s="22">
        <f>INDEX(cpi!B:B,MATCH($L57,cpi!A:A))</f>
        <v>115.4</v>
      </c>
      <c r="BI57" s="22">
        <f t="shared" si="57"/>
        <v>136.40661938534279</v>
      </c>
      <c r="BJ57" s="22">
        <f t="shared" si="58"/>
        <v>232.67927539772964</v>
      </c>
      <c r="BK57" s="22">
        <f t="shared" si="59"/>
        <v>248.12447403942869</v>
      </c>
      <c r="BL57" s="22">
        <f t="shared" si="60"/>
        <v>237.31283499023937</v>
      </c>
      <c r="BM57" s="22">
        <f t="shared" si="61"/>
        <v>431.67622661664973</v>
      </c>
      <c r="BN57" s="22">
        <f t="shared" si="62"/>
        <v>175.58441558441558</v>
      </c>
      <c r="BO57">
        <f t="shared" si="63"/>
        <v>139.48625262130457</v>
      </c>
    </row>
    <row r="58" spans="1:67" x14ac:dyDescent="0.25">
      <c r="L58" s="1">
        <f t="shared" si="33"/>
        <v>43800</v>
      </c>
      <c r="M58" s="10">
        <f t="shared" si="38"/>
        <v>462921.18129598512</v>
      </c>
      <c r="N58" s="10">
        <f t="shared" si="39"/>
        <v>396719.54231892643</v>
      </c>
      <c r="O58" s="7">
        <f t="shared" si="24"/>
        <v>1.1668726440600665</v>
      </c>
      <c r="P58" s="7">
        <f t="shared" si="40"/>
        <v>0.94012668121238241</v>
      </c>
      <c r="Q58">
        <v>56</v>
      </c>
      <c r="R58">
        <f t="shared" si="41"/>
        <v>92</v>
      </c>
      <c r="S58" s="22"/>
      <c r="T58" s="22">
        <f>IF($B$10="3BR_H",
INDEX('3BR_H-processed'!$E:$E,MATCH($L58,'3BR_H-processed'!$B:$B,0),MATCH(Council_Area,'3BR_H-processed'!$E$1:$E$1,0)),
INDEX('2BR_F-processed'!$E:$E,MATCH($L58,'2BR_F-processed'!$B:$B,0),MATCH(Council_Area,'2BR_F-processed'!$E$1:$E$1,0)))</f>
        <v>569</v>
      </c>
      <c r="U58" s="22">
        <f t="shared" si="25"/>
        <v>551</v>
      </c>
      <c r="V58" s="22">
        <f t="shared" si="34"/>
        <v>7241.7142857142853</v>
      </c>
      <c r="W58" s="22">
        <f>$B$53/4*BH58/_xlfn.XLOOKUP(Q_end,cpi!A:A,cpi!B:B)</f>
        <v>160.4699378023497</v>
      </c>
      <c r="X58" s="22">
        <f t="shared" si="42"/>
        <v>7402.184223516635</v>
      </c>
      <c r="Y58" s="22">
        <f t="shared" si="43"/>
        <v>471.41874025715879</v>
      </c>
      <c r="Z58" s="22">
        <f t="shared" si="64"/>
        <v>0</v>
      </c>
      <c r="AA58" s="22" cm="1">
        <f t="array" ref="AA58">(Y58+Z58)*eff_invest</f>
        <v>471.41874025715879</v>
      </c>
      <c r="AB58" s="22">
        <f>AA58*(_xlfn.XLOOKUP(Q_end,cpi!A:A,cpi!B:B)/BH58)</f>
        <v>587.54773225849158</v>
      </c>
      <c r="AC58" s="22" cm="1">
        <f t="array" ref="AC58">INDEX('msci-indices'!C:C,MATCH($L58,'msci-indices'!$B:$B)-2)</f>
        <v>1762.7547079999999</v>
      </c>
      <c r="AD58" s="22" cm="1">
        <f t="array" ref="AD58">INDEX('msci-indices'!D:D,MATCH($L58,'msci-indices'!$B:$B)-2)</f>
        <v>1817.7602159999999</v>
      </c>
      <c r="AE58" s="22">
        <f t="shared" si="65"/>
        <v>436463.8626873811</v>
      </c>
      <c r="AF58" s="22" cm="1">
        <f t="array" ref="AF58">INDEX('msci-indices'!C:C,MATCH($L58,'msci-indices'!$B:$B)+1)</f>
        <v>1916.2448380000001</v>
      </c>
      <c r="AG58" s="22" cm="1">
        <f t="array" ref="AG58">INDEX('msci-indices'!D:D,MATCH($L58,'msci-indices'!$B:$B)+1)</f>
        <v>1819.5211509999999</v>
      </c>
      <c r="AH58" s="22">
        <f t="shared" si="44"/>
        <v>272.78991417961322</v>
      </c>
      <c r="AI58" s="22">
        <f t="shared" si="45"/>
        <v>462921.18129598512</v>
      </c>
      <c r="AJ58" s="22">
        <f t="shared" si="66"/>
        <v>208484.86140204541</v>
      </c>
      <c r="AK58" s="22">
        <f t="shared" si="46"/>
        <v>254436.31989393971</v>
      </c>
      <c r="AL58" s="22">
        <f>AJ58*(_xlfn.XLOOKUP(Q_end,cpi!A:A,cpi!B:B)/BH58)</f>
        <v>259842.88927541746</v>
      </c>
      <c r="AM58" s="22" cm="1">
        <f t="array" ref="AM58">SUMPRODUCT($AA$3:AA58,_xlfn.SORTBY($BH$3:BH58,_xlfn.SEQUENCE(ROWS($BH$3:BH58)),-1)/$BH$3)</f>
        <v>272016.13168898987</v>
      </c>
      <c r="AN58" s="22">
        <f t="shared" si="30"/>
        <v>190905.04960699525</v>
      </c>
      <c r="AO58" s="22">
        <f t="shared" si="47"/>
        <v>0</v>
      </c>
      <c r="AP58" s="22">
        <f t="shared" si="31"/>
        <v>462921.18129598512</v>
      </c>
      <c r="AQ58" s="22"/>
      <c r="AR58" s="10">
        <f>IF($B$10="3BR_H",
INDEX('ns-combined'!$C:$C,MATCH($L58,'ns-combined'!$B:$B,0),MATCH(Council_Area,'ns-combined'!$C$1:$C$1,0))*1000,
INDEX('s-combined'!$C:$C,MATCH($L58,'s-combined'!$B:$B,0),MATCH(Council_Area,'s-combined'!$C$1:$C$1,0))*1000)</f>
        <v>745000</v>
      </c>
      <c r="AS58" s="22">
        <f t="shared" si="35"/>
        <v>53900</v>
      </c>
      <c r="AT58" s="10">
        <v>0</v>
      </c>
      <c r="AU58" s="22">
        <f t="shared" si="48"/>
        <v>14900</v>
      </c>
      <c r="AV58" s="22">
        <f t="shared" si="49"/>
        <v>2141.875</v>
      </c>
      <c r="AW58" s="22">
        <f>SUM($AV$3:AV58)</f>
        <v>88289.237500000003</v>
      </c>
      <c r="AX58" s="22">
        <f t="shared" si="50"/>
        <v>587910.76249999995</v>
      </c>
      <c r="AY58" s="22">
        <f t="shared" si="51"/>
        <v>2534.6</v>
      </c>
      <c r="AZ58" s="24">
        <f t="shared" si="52"/>
        <v>1.3608590604026844E-2</v>
      </c>
      <c r="BA58" s="24">
        <f t="shared" si="53"/>
        <v>0.35000000000000003</v>
      </c>
      <c r="BB58" s="25">
        <f>IF(MortgageRate="Discounted",_xlfn.XLOOKUP(L58,'mortgage-rates'!$A:$A,'mortgage-rates'!$E:$E)/100,_xlfn.XLOOKUP(L58,'mortgage-rates'!$A:$A,'mortgage-rates'!$D:$D)/100)</f>
        <v>4.1500000000000002E-2</v>
      </c>
      <c r="BC58" s="10">
        <f t="shared" si="67"/>
        <v>191191.22018107356</v>
      </c>
      <c r="BD58" s="10">
        <f t="shared" si="54"/>
        <v>5339.0029637737935</v>
      </c>
      <c r="BE58" s="10">
        <f t="shared" si="55"/>
        <v>1983.6089093786381</v>
      </c>
      <c r="BF58" s="10">
        <f t="shared" si="36"/>
        <v>3355.3940543951553</v>
      </c>
      <c r="BG58" s="12">
        <f t="shared" si="56"/>
        <v>7873.6029637737938</v>
      </c>
      <c r="BH58" s="22">
        <f>INDEX(cpi!B:B,MATCH($L58,cpi!A:A))</f>
        <v>116.1</v>
      </c>
      <c r="BI58" s="22">
        <f t="shared" si="57"/>
        <v>137.2340425531915</v>
      </c>
      <c r="BJ58" s="22">
        <f t="shared" si="58"/>
        <v>233.51467999842427</v>
      </c>
      <c r="BK58" s="22">
        <f t="shared" si="59"/>
        <v>254.96097743007783</v>
      </c>
      <c r="BL58" s="22">
        <f t="shared" si="60"/>
        <v>239.94856922792033</v>
      </c>
      <c r="BM58" s="22">
        <f t="shared" si="61"/>
        <v>436.53099012445267</v>
      </c>
      <c r="BN58" s="22">
        <f t="shared" si="62"/>
        <v>193.50649350649351</v>
      </c>
      <c r="BO58">
        <f t="shared" si="63"/>
        <v>156.67984522851776</v>
      </c>
    </row>
    <row r="59" spans="1:67" x14ac:dyDescent="0.25">
      <c r="L59" s="1">
        <f t="shared" si="33"/>
        <v>43891</v>
      </c>
      <c r="M59" s="10">
        <f t="shared" si="38"/>
        <v>357829.31991010113</v>
      </c>
      <c r="N59" s="10">
        <f t="shared" si="39"/>
        <v>373030.99887332157</v>
      </c>
      <c r="O59" s="7">
        <f t="shared" si="24"/>
        <v>0.95924821527129223</v>
      </c>
      <c r="P59" s="7">
        <f t="shared" si="40"/>
        <v>0.96135704163293156</v>
      </c>
      <c r="Q59">
        <v>57</v>
      </c>
      <c r="R59">
        <f t="shared" si="41"/>
        <v>91</v>
      </c>
      <c r="S59" s="22"/>
      <c r="T59" s="22">
        <f>IF($B$10="3BR_H",
INDEX('3BR_H-processed'!$E:$E,MATCH($L59,'3BR_H-processed'!$B:$B,0),MATCH(Council_Area,'3BR_H-processed'!$E$1:$E$1,0)),
INDEX('2BR_F-processed'!$E:$E,MATCH($L59,'2BR_F-processed'!$B:$B,0),MATCH(Council_Area,'2BR_F-processed'!$E$1:$E$1,0)))</f>
        <v>569</v>
      </c>
      <c r="U59" s="22">
        <f t="shared" si="25"/>
        <v>569</v>
      </c>
      <c r="V59" s="22">
        <f t="shared" si="34"/>
        <v>7397</v>
      </c>
      <c r="W59" s="22">
        <f>$B$53/4*BH59/_xlfn.XLOOKUP(Q_end,cpi!A:A,cpi!B:B)</f>
        <v>161.29923980649622</v>
      </c>
      <c r="X59" s="22">
        <f t="shared" si="42"/>
        <v>7558.2992398064962</v>
      </c>
      <c r="Y59" s="22">
        <f t="shared" si="43"/>
        <v>303.81536744514597</v>
      </c>
      <c r="Z59" s="22">
        <f t="shared" si="64"/>
        <v>0</v>
      </c>
      <c r="AA59" s="22" cm="1">
        <f t="array" ref="AA59">(Y59+Z59)*eff_invest</f>
        <v>303.81536744514597</v>
      </c>
      <c r="AB59" s="22">
        <f>AA59*(_xlfn.XLOOKUP(Q_end,cpi!A:A,cpi!B:B)/BH59)</f>
        <v>376.71022852881418</v>
      </c>
      <c r="AC59" s="22" cm="1">
        <f t="array" ref="AC59">INDEX('msci-indices'!C:C,MATCH($L59,'msci-indices'!$B:$B)-2)</f>
        <v>1916.2448380000001</v>
      </c>
      <c r="AD59" s="22" cm="1">
        <f t="array" ref="AD59">INDEX('msci-indices'!D:D,MATCH($L59,'msci-indices'!$B:$B)-2)</f>
        <v>1819.5211509999999</v>
      </c>
      <c r="AE59" s="22">
        <f t="shared" si="65"/>
        <v>463224.99666343024</v>
      </c>
      <c r="AF59" s="22" cm="1">
        <f t="array" ref="AF59">INDEX('msci-indices'!C:C,MATCH($L59,'msci-indices'!$B:$B)+1)</f>
        <v>1491.44822</v>
      </c>
      <c r="AG59" s="22" cm="1">
        <f t="array" ref="AG59">INDEX('msci-indices'!D:D,MATCH($L59,'msci-indices'!$B:$B)+1)</f>
        <v>1384.5123450000001</v>
      </c>
      <c r="AH59" s="22">
        <f t="shared" si="44"/>
        <v>289.51562291464393</v>
      </c>
      <c r="AI59" s="22">
        <f t="shared" si="45"/>
        <v>357829.31991010113</v>
      </c>
      <c r="AJ59" s="22">
        <f t="shared" si="66"/>
        <v>208788.67676949056</v>
      </c>
      <c r="AK59" s="22">
        <f t="shared" si="46"/>
        <v>149040.64314061057</v>
      </c>
      <c r="AL59" s="22">
        <f>AJ59*(_xlfn.XLOOKUP(Q_end,cpi!A:A,cpi!B:B)/BH59)</f>
        <v>258883.64634571792</v>
      </c>
      <c r="AM59" s="22" cm="1">
        <f t="array" ref="AM59">SUMPRODUCT($AA$3:AA59,_xlfn.SORTBY($BH$3:BH59,_xlfn.SEQUENCE(ROWS($BH$3:BH59)),-1)/$BH$3)</f>
        <v>273721.04969223775</v>
      </c>
      <c r="AN59" s="22">
        <f t="shared" si="30"/>
        <v>84108.270217863377</v>
      </c>
      <c r="AO59" s="22">
        <f t="shared" si="47"/>
        <v>0</v>
      </c>
      <c r="AP59" s="22">
        <f t="shared" si="31"/>
        <v>357829.31991010113</v>
      </c>
      <c r="AQ59" s="22"/>
      <c r="AR59" s="10">
        <f>IF($B$10="3BR_H",
INDEX('ns-combined'!$C:$C,MATCH($L59,'ns-combined'!$B:$B,0),MATCH(Council_Area,'ns-combined'!$C$1:$C$1,0))*1000,
INDEX('s-combined'!$C:$C,MATCH($L59,'s-combined'!$B:$B,0),MATCH(Council_Area,'s-combined'!$C$1:$C$1,0))*1000)</f>
        <v>720500</v>
      </c>
      <c r="AS59" s="22">
        <f t="shared" si="35"/>
        <v>54862.5</v>
      </c>
      <c r="AT59" s="10">
        <v>0</v>
      </c>
      <c r="AU59" s="22">
        <f t="shared" si="48"/>
        <v>14410</v>
      </c>
      <c r="AV59" s="22">
        <f t="shared" si="49"/>
        <v>2071.4375</v>
      </c>
      <c r="AW59" s="22">
        <f>SUM($AV$3:AV59)</f>
        <v>90360.675000000003</v>
      </c>
      <c r="AX59" s="22">
        <f t="shared" si="50"/>
        <v>560866.82499999995</v>
      </c>
      <c r="AY59" s="22">
        <f t="shared" si="51"/>
        <v>2588.9500000000003</v>
      </c>
      <c r="AZ59" s="24">
        <f t="shared" si="52"/>
        <v>1.4373074253990287E-2</v>
      </c>
      <c r="BA59" s="24">
        <f t="shared" si="53"/>
        <v>0.35000000000000003</v>
      </c>
      <c r="BB59" s="25">
        <f>IF(MortgageRate="Discounted",_xlfn.XLOOKUP(L59,'mortgage-rates'!$A:$A,'mortgage-rates'!$E:$E)/100,_xlfn.XLOOKUP(L59,'mortgage-rates'!$A:$A,'mortgage-rates'!$D:$D)/100)</f>
        <v>3.9100000000000003E-2</v>
      </c>
      <c r="BC59" s="10">
        <f t="shared" si="67"/>
        <v>187835.82612667841</v>
      </c>
      <c r="BD59" s="10">
        <f t="shared" si="54"/>
        <v>5273.1646072516414</v>
      </c>
      <c r="BE59" s="10">
        <f t="shared" si="55"/>
        <v>1836.0952003882817</v>
      </c>
      <c r="BF59" s="10">
        <f t="shared" si="36"/>
        <v>3437.0694068633597</v>
      </c>
      <c r="BG59" s="12">
        <f t="shared" si="56"/>
        <v>7862.1146072516422</v>
      </c>
      <c r="BH59" s="22">
        <f>INDEX(cpi!B:B,MATCH($L59,cpi!A:A))</f>
        <v>116.7</v>
      </c>
      <c r="BI59" s="22">
        <f t="shared" si="57"/>
        <v>137.94326241134752</v>
      </c>
      <c r="BJ59" s="22">
        <f t="shared" si="58"/>
        <v>253.84774076246714</v>
      </c>
      <c r="BK59" s="22">
        <f t="shared" si="59"/>
        <v>255.20796804239237</v>
      </c>
      <c r="BL59" s="22">
        <f t="shared" si="60"/>
        <v>254.25580894644472</v>
      </c>
      <c r="BM59" s="22">
        <f t="shared" si="61"/>
        <v>463.29623991968066</v>
      </c>
      <c r="BN59" s="22">
        <f t="shared" si="62"/>
        <v>187.14285714285714</v>
      </c>
      <c r="BO59">
        <f t="shared" si="63"/>
        <v>149.47256104162605</v>
      </c>
    </row>
    <row r="60" spans="1:67" x14ac:dyDescent="0.25">
      <c r="L60" s="1">
        <f t="shared" si="33"/>
        <v>43983</v>
      </c>
      <c r="M60" s="10">
        <f t="shared" si="38"/>
        <v>426210.05830574699</v>
      </c>
      <c r="N60" s="10">
        <f t="shared" si="39"/>
        <v>372945.56828018487</v>
      </c>
      <c r="O60" s="7">
        <f t="shared" si="24"/>
        <v>1.142821083170898</v>
      </c>
      <c r="P60" s="7">
        <f t="shared" si="40"/>
        <v>0.96952043697754053</v>
      </c>
      <c r="Q60">
        <v>58</v>
      </c>
      <c r="R60">
        <f t="shared" si="41"/>
        <v>91</v>
      </c>
      <c r="S60" s="22"/>
      <c r="T60" s="22">
        <f>IF($B$10="3BR_H",
INDEX('3BR_H-processed'!$E:$E,MATCH($L60,'3BR_H-processed'!$B:$B,0),MATCH(Council_Area,'3BR_H-processed'!$E$1:$E$1,0)),
INDEX('2BR_F-processed'!$E:$E,MATCH($L60,'2BR_F-processed'!$B:$B,0),MATCH(Council_Area,'2BR_F-processed'!$E$1:$E$1,0)))</f>
        <v>569</v>
      </c>
      <c r="U60" s="22">
        <f t="shared" si="25"/>
        <v>569</v>
      </c>
      <c r="V60" s="22">
        <f t="shared" si="34"/>
        <v>7397</v>
      </c>
      <c r="W60" s="22">
        <f>$B$53/4*BH60/_xlfn.XLOOKUP(Q_end,cpi!A:A,cpi!B:B)</f>
        <v>158.25846579129234</v>
      </c>
      <c r="X60" s="22">
        <f t="shared" si="42"/>
        <v>7555.2584657912921</v>
      </c>
      <c r="Y60" s="22">
        <f t="shared" si="43"/>
        <v>237.52049753273059</v>
      </c>
      <c r="Z60" s="22">
        <f t="shared" si="64"/>
        <v>0</v>
      </c>
      <c r="AA60" s="22" cm="1">
        <f t="array" ref="AA60">(Y60+Z60)*eff_invest</f>
        <v>237.52049753273059</v>
      </c>
      <c r="AB60" s="22">
        <f>AA60*(_xlfn.XLOOKUP(Q_end,cpi!A:A,cpi!B:B)/BH60)</f>
        <v>300.16782526625428</v>
      </c>
      <c r="AC60" s="22" cm="1">
        <f t="array" ref="AC60">INDEX('msci-indices'!C:C,MATCH($L60,'msci-indices'!$B:$B)-2)</f>
        <v>1491.44822</v>
      </c>
      <c r="AD60" s="22" cm="1">
        <f t="array" ref="AD60">INDEX('msci-indices'!D:D,MATCH($L60,'msci-indices'!$B:$B)-2)</f>
        <v>1384.5123450000001</v>
      </c>
      <c r="AE60" s="22">
        <f t="shared" si="65"/>
        <v>358066.84040763386</v>
      </c>
      <c r="AF60" s="22" cm="1">
        <f t="array" ref="AF60">INDEX('msci-indices'!C:C,MATCH($L60,'msci-indices'!$B:$B)+1)</f>
        <v>1788.7914370000001</v>
      </c>
      <c r="AG60" s="22" cm="1">
        <f t="array" ref="AG60">INDEX('msci-indices'!D:D,MATCH($L60,'msci-indices'!$B:$B)+1)</f>
        <v>1621.623241</v>
      </c>
      <c r="AH60" s="22">
        <f t="shared" si="44"/>
        <v>223.79177525477118</v>
      </c>
      <c r="AI60" s="22">
        <f t="shared" si="45"/>
        <v>426210.05830574699</v>
      </c>
      <c r="AJ60" s="22">
        <f t="shared" si="66"/>
        <v>209026.19726702329</v>
      </c>
      <c r="AK60" s="22">
        <f t="shared" si="46"/>
        <v>217183.8610387237</v>
      </c>
      <c r="AL60" s="22">
        <f>AJ60*(_xlfn.XLOOKUP(Q_end,cpi!A:A,cpi!B:B)/BH60)</f>
        <v>264157.99776889314</v>
      </c>
      <c r="AM60" s="22" cm="1">
        <f t="array" ref="AM60">SUMPRODUCT($AA$3:AA60,_xlfn.SORTBY($BH$3:BH60,_xlfn.SEQUENCE(ROWS($BH$3:BH60)),-1)/$BH$3)</f>
        <v>272052.33000290598</v>
      </c>
      <c r="AN60" s="22">
        <f t="shared" si="30"/>
        <v>154157.72830284102</v>
      </c>
      <c r="AO60" s="22">
        <f t="shared" si="47"/>
        <v>0</v>
      </c>
      <c r="AP60" s="22">
        <f t="shared" si="31"/>
        <v>426210.05830574699</v>
      </c>
      <c r="AQ60" s="22"/>
      <c r="AR60" s="10">
        <f>IF($B$10="3BR_H",
INDEX('ns-combined'!$C:$C,MATCH($L60,'ns-combined'!$B:$B,0),MATCH(Council_Area,'ns-combined'!$C$1:$C$1,0))*1000,
INDEX('s-combined'!$C:$C,MATCH($L60,'s-combined'!$B:$B,0),MATCH(Council_Area,'s-combined'!$C$1:$C$1,0))*1000)</f>
        <v>720000</v>
      </c>
      <c r="AS60" s="22">
        <f t="shared" si="35"/>
        <v>55825</v>
      </c>
      <c r="AT60" s="10">
        <v>0</v>
      </c>
      <c r="AU60" s="22">
        <f t="shared" si="48"/>
        <v>14400</v>
      </c>
      <c r="AV60" s="22">
        <f t="shared" si="49"/>
        <v>2070</v>
      </c>
      <c r="AW60" s="22">
        <f>SUM($AV$3:AV60)</f>
        <v>92430.675000000003</v>
      </c>
      <c r="AX60" s="22">
        <f t="shared" si="50"/>
        <v>557344.32499999995</v>
      </c>
      <c r="AY60" s="22">
        <f t="shared" si="51"/>
        <v>2588.9500000000003</v>
      </c>
      <c r="AZ60" s="24">
        <f t="shared" si="52"/>
        <v>1.4383055555555557E-2</v>
      </c>
      <c r="BA60" s="24">
        <f t="shared" si="53"/>
        <v>0.35000000000000003</v>
      </c>
      <c r="BB60" s="25">
        <f>IF(MortgageRate="Discounted",_xlfn.XLOOKUP(L60,'mortgage-rates'!$A:$A,'mortgage-rates'!$E:$E)/100,_xlfn.XLOOKUP(L60,'mortgage-rates'!$A:$A,'mortgage-rates'!$D:$D)/100)</f>
        <v>3.6499999999999998E-2</v>
      </c>
      <c r="BC60" s="10">
        <f t="shared" si="67"/>
        <v>184398.75671981505</v>
      </c>
      <c r="BD60" s="10">
        <f t="shared" si="54"/>
        <v>5203.828963324022</v>
      </c>
      <c r="BE60" s="10">
        <f t="shared" si="55"/>
        <v>1682.6386550683121</v>
      </c>
      <c r="BF60" s="10">
        <f t="shared" si="36"/>
        <v>3521.1903082557101</v>
      </c>
      <c r="BG60" s="12">
        <f t="shared" si="56"/>
        <v>7792.7789633240227</v>
      </c>
      <c r="BH60" s="22">
        <f>INDEX(cpi!B:B,MATCH($L60,cpi!A:A))</f>
        <v>114.5</v>
      </c>
      <c r="BI60" s="22">
        <f t="shared" si="57"/>
        <v>135.34278959810877</v>
      </c>
      <c r="BJ60" s="22">
        <f t="shared" si="58"/>
        <v>197.57431493271579</v>
      </c>
      <c r="BK60" s="22">
        <f t="shared" si="59"/>
        <v>194.19317115542438</v>
      </c>
      <c r="BL60" s="22">
        <f t="shared" si="60"/>
        <v>196.55997179952837</v>
      </c>
      <c r="BM60" s="22">
        <f t="shared" si="61"/>
        <v>358.12191050931165</v>
      </c>
      <c r="BN60" s="22">
        <f t="shared" si="62"/>
        <v>187.01298701298703</v>
      </c>
      <c r="BO60">
        <f t="shared" si="63"/>
        <v>148.53380504323172</v>
      </c>
    </row>
    <row r="61" spans="1:67" x14ac:dyDescent="0.25">
      <c r="L61" s="1">
        <f t="shared" si="33"/>
        <v>44075</v>
      </c>
      <c r="M61" s="10">
        <f t="shared" si="38"/>
        <v>449576.93536281516</v>
      </c>
      <c r="N61" s="10">
        <f t="shared" si="39"/>
        <v>407633.6335884406</v>
      </c>
      <c r="O61" s="7">
        <f t="shared" si="24"/>
        <v>1.1028946051510602</v>
      </c>
      <c r="P61" s="7">
        <f t="shared" si="40"/>
        <v>0.97668715554930197</v>
      </c>
      <c r="Q61">
        <v>59</v>
      </c>
      <c r="R61">
        <f t="shared" si="41"/>
        <v>92</v>
      </c>
      <c r="S61" s="22"/>
      <c r="T61" s="22">
        <f>IF($B$10="3BR_H",
INDEX('3BR_H-processed'!$E:$E,MATCH($L61,'3BR_H-processed'!$B:$B,0),MATCH(Council_Area,'3BR_H-processed'!$E$1:$E$1,0)),
INDEX('2BR_F-processed'!$E:$E,MATCH($L61,'2BR_F-processed'!$B:$B,0),MATCH(Council_Area,'2BR_F-processed'!$E$1:$E$1,0)))</f>
        <v>606</v>
      </c>
      <c r="U61" s="22">
        <f t="shared" si="25"/>
        <v>569</v>
      </c>
      <c r="V61" s="22">
        <f t="shared" si="34"/>
        <v>7478.2857142857147</v>
      </c>
      <c r="W61" s="22">
        <f>$B$53/4*BH61/_xlfn.XLOOKUP(Q_end,cpi!A:A,cpi!B:B)</f>
        <v>160.60815480304078</v>
      </c>
      <c r="X61" s="22">
        <f t="shared" si="42"/>
        <v>7638.8938690887553</v>
      </c>
      <c r="Y61" s="22">
        <f t="shared" si="43"/>
        <v>182.33509423526721</v>
      </c>
      <c r="Z61" s="22">
        <f t="shared" si="64"/>
        <v>0</v>
      </c>
      <c r="AA61" s="22" cm="1">
        <f t="array" ref="AA61">(Y61+Z61)*eff_invest</f>
        <v>182.33509423526721</v>
      </c>
      <c r="AB61" s="22">
        <f>AA61*(_xlfn.XLOOKUP(Q_end,cpi!A:A,cpi!B:B)/BH61)</f>
        <v>227.05583593668814</v>
      </c>
      <c r="AC61" s="22" cm="1">
        <f t="array" ref="AC61">INDEX('msci-indices'!C:C,MATCH($L61,'msci-indices'!$B:$B)-2)</f>
        <v>1788.7914370000001</v>
      </c>
      <c r="AD61" s="22" cm="1">
        <f t="array" ref="AD61">INDEX('msci-indices'!D:D,MATCH($L61,'msci-indices'!$B:$B)-2)</f>
        <v>1621.623241</v>
      </c>
      <c r="AE61" s="22">
        <f t="shared" si="65"/>
        <v>426392.39339998225</v>
      </c>
      <c r="AF61" s="22" cm="1">
        <f t="array" ref="AF61">INDEX('msci-indices'!C:C,MATCH($L61,'msci-indices'!$B:$B)+1)</f>
        <v>1929.6383699999999</v>
      </c>
      <c r="AG61" s="22" cm="1">
        <f t="array" ref="AG61">INDEX('msci-indices'!D:D,MATCH($L61,'msci-indices'!$B:$B)+1)</f>
        <v>1620.9837990000001</v>
      </c>
      <c r="AH61" s="22">
        <f t="shared" si="44"/>
        <v>266.49524587498888</v>
      </c>
      <c r="AI61" s="22">
        <f t="shared" si="45"/>
        <v>449576.93536281516</v>
      </c>
      <c r="AJ61" s="22">
        <f t="shared" si="66"/>
        <v>209208.53236125855</v>
      </c>
      <c r="AK61" s="22">
        <f t="shared" si="46"/>
        <v>240368.40300155661</v>
      </c>
      <c r="AL61" s="22">
        <f>AJ61*(_xlfn.XLOOKUP(Q_end,cpi!A:A,cpi!B:B)/BH61)</f>
        <v>260520.43573729871</v>
      </c>
      <c r="AM61" s="22" cm="1">
        <f t="array" ref="AM61">SUMPRODUCT($AA$3:AA61,_xlfn.SORTBY($BH$3:BH61,_xlfn.SEQUENCE(ROWS($BH$3:BH61)),-1)/$BH$3)</f>
        <v>274830.8530251208</v>
      </c>
      <c r="AN61" s="22">
        <f t="shared" si="30"/>
        <v>174746.08233769436</v>
      </c>
      <c r="AO61" s="22">
        <f t="shared" si="47"/>
        <v>0</v>
      </c>
      <c r="AP61" s="22">
        <f t="shared" si="31"/>
        <v>449576.93536281516</v>
      </c>
      <c r="AQ61" s="22"/>
      <c r="AR61" s="10">
        <f>IF($B$10="3BR_H",
INDEX('ns-combined'!$C:$C,MATCH($L61,'ns-combined'!$B:$B,0),MATCH(Council_Area,'ns-combined'!$C$1:$C$1,0))*1000,
INDEX('s-combined'!$C:$C,MATCH($L61,'s-combined'!$B:$B,0),MATCH(Council_Area,'s-combined'!$C$1:$C$1,0))*1000)</f>
        <v>755000</v>
      </c>
      <c r="AS61" s="22">
        <f t="shared" si="35"/>
        <v>56787.5</v>
      </c>
      <c r="AT61" s="10">
        <v>0</v>
      </c>
      <c r="AU61" s="22">
        <f t="shared" si="48"/>
        <v>15100</v>
      </c>
      <c r="AV61" s="22">
        <f t="shared" si="49"/>
        <v>2170.625</v>
      </c>
      <c r="AW61" s="22">
        <f>SUM($AV$3:AV61)</f>
        <v>94601.3</v>
      </c>
      <c r="AX61" s="22">
        <f t="shared" si="50"/>
        <v>588511.19999999995</v>
      </c>
      <c r="AY61" s="22">
        <f t="shared" si="51"/>
        <v>2617.4000000000005</v>
      </c>
      <c r="AZ61" s="24">
        <f t="shared" si="52"/>
        <v>1.3867019867549672E-2</v>
      </c>
      <c r="BA61" s="24">
        <f t="shared" si="53"/>
        <v>0.35000000000000003</v>
      </c>
      <c r="BB61" s="25">
        <f>IF(MortgageRate="Discounted",_xlfn.XLOOKUP(L61,'mortgage-rates'!$A:$A,'mortgage-rates'!$E:$E)/100,_xlfn.XLOOKUP(L61,'mortgage-rates'!$A:$A,'mortgage-rates'!$D:$D)/100)</f>
        <v>3.6499999999999998E-2</v>
      </c>
      <c r="BC61" s="10">
        <f t="shared" si="67"/>
        <v>180877.56641155935</v>
      </c>
      <c r="BD61" s="10">
        <f t="shared" si="54"/>
        <v>5203.828963324022</v>
      </c>
      <c r="BE61" s="10">
        <f t="shared" si="55"/>
        <v>1650.507793505479</v>
      </c>
      <c r="BF61" s="10">
        <f t="shared" si="36"/>
        <v>3553.3211698185432</v>
      </c>
      <c r="BG61" s="12">
        <f t="shared" si="56"/>
        <v>7821.2289633240225</v>
      </c>
      <c r="BH61" s="22">
        <f>INDEX(cpi!B:B,MATCH($L61,cpi!A:A))</f>
        <v>116.2</v>
      </c>
      <c r="BI61" s="22">
        <f t="shared" si="57"/>
        <v>137.35224586288416</v>
      </c>
      <c r="BJ61" s="22">
        <f t="shared" si="58"/>
        <v>236.96380335804304</v>
      </c>
      <c r="BK61" s="22">
        <f t="shared" si="59"/>
        <v>227.4505971191806</v>
      </c>
      <c r="BL61" s="22">
        <f t="shared" si="60"/>
        <v>234.10984148638431</v>
      </c>
      <c r="BM61" s="22">
        <f t="shared" si="61"/>
        <v>426.45797186134558</v>
      </c>
      <c r="BN61" s="22">
        <f t="shared" si="62"/>
        <v>196.10389610389609</v>
      </c>
      <c r="BO61">
        <f t="shared" si="63"/>
        <v>156.83986348395734</v>
      </c>
    </row>
    <row r="62" spans="1:67" x14ac:dyDescent="0.25">
      <c r="L62" s="1">
        <f t="shared" si="33"/>
        <v>44166</v>
      </c>
      <c r="M62" s="10">
        <f t="shared" si="38"/>
        <v>516028.71845598344</v>
      </c>
      <c r="N62" s="10">
        <f t="shared" si="39"/>
        <v>437367.57975825912</v>
      </c>
      <c r="O62" s="7">
        <f t="shared" si="24"/>
        <v>1.1798513249226239</v>
      </c>
      <c r="P62" s="7">
        <f t="shared" si="40"/>
        <v>0.97686387585929324</v>
      </c>
      <c r="Q62">
        <v>60</v>
      </c>
      <c r="R62">
        <f t="shared" si="41"/>
        <v>92</v>
      </c>
      <c r="S62" s="22"/>
      <c r="T62" s="22">
        <f>IF($B$10="3BR_H",
INDEX('3BR_H-processed'!$E:$E,MATCH($L62,'3BR_H-processed'!$B:$B,0),MATCH(Council_Area,'3BR_H-processed'!$E$1:$E$1,0)),
INDEX('2BR_F-processed'!$E:$E,MATCH($L62,'2BR_F-processed'!$B:$B,0),MATCH(Council_Area,'2BR_F-processed'!$E$1:$E$1,0)))</f>
        <v>606</v>
      </c>
      <c r="U62" s="22">
        <f t="shared" si="25"/>
        <v>569</v>
      </c>
      <c r="V62" s="22">
        <f t="shared" si="34"/>
        <v>7478.2857142857147</v>
      </c>
      <c r="W62" s="22">
        <f>$B$53/4*BH62/_xlfn.XLOOKUP(Q_end,cpi!A:A,cpi!B:B)</f>
        <v>161.99032480995163</v>
      </c>
      <c r="X62" s="22">
        <f t="shared" si="42"/>
        <v>7640.2760390956664</v>
      </c>
      <c r="Y62" s="22">
        <f t="shared" si="43"/>
        <v>180.9529242283561</v>
      </c>
      <c r="Z62" s="22">
        <f t="shared" si="64"/>
        <v>0</v>
      </c>
      <c r="AA62" s="22" cm="1">
        <f t="array" ref="AA62">(Y62+Z62)*eff_invest</f>
        <v>180.9529242283561</v>
      </c>
      <c r="AB62" s="22">
        <f>AA62*(_xlfn.XLOOKUP(Q_end,cpi!A:A,cpi!B:B)/BH62)</f>
        <v>223.41201481094816</v>
      </c>
      <c r="AC62" s="22" cm="1">
        <f t="array" ref="AC62">INDEX('msci-indices'!C:C,MATCH($L62,'msci-indices'!$B:$B)-2)</f>
        <v>1929.6383699999999</v>
      </c>
      <c r="AD62" s="22" cm="1">
        <f t="array" ref="AD62">INDEX('msci-indices'!D:D,MATCH($L62,'msci-indices'!$B:$B)-2)</f>
        <v>1620.9837990000001</v>
      </c>
      <c r="AE62" s="22">
        <f t="shared" si="65"/>
        <v>449757.88828704349</v>
      </c>
      <c r="AF62" s="22" cm="1">
        <f t="array" ref="AF62">INDEX('msci-indices'!C:C,MATCH($L62,'msci-indices'!$B:$B)+1)</f>
        <v>2220.940302</v>
      </c>
      <c r="AG62" s="22" cm="1">
        <f t="array" ref="AG62">INDEX('msci-indices'!D:D,MATCH($L62,'msci-indices'!$B:$B)+1)</f>
        <v>1849.5394759999999</v>
      </c>
      <c r="AH62" s="22">
        <f t="shared" si="44"/>
        <v>281.09868017940221</v>
      </c>
      <c r="AI62" s="22">
        <f t="shared" si="45"/>
        <v>516028.71845598344</v>
      </c>
      <c r="AJ62" s="22">
        <f t="shared" si="66"/>
        <v>209389.48528548691</v>
      </c>
      <c r="AK62" s="22">
        <f t="shared" si="46"/>
        <v>306639.23317049653</v>
      </c>
      <c r="AL62" s="22">
        <f>AJ62*(_xlfn.XLOOKUP(Q_end,cpi!A:A,cpi!B:B)/BH62)</f>
        <v>258520.97714001665</v>
      </c>
      <c r="AM62" s="22" cm="1">
        <f t="array" ref="AM62">SUMPRODUCT($AA$3:AA62,_xlfn.SORTBY($BH$3:BH62,_xlfn.SEQUENCE(ROWS($BH$3:BH62)),-1)/$BH$3)</f>
        <v>276817.36215863487</v>
      </c>
      <c r="AN62" s="22">
        <f t="shared" si="30"/>
        <v>239211.35629734857</v>
      </c>
      <c r="AO62" s="22">
        <f t="shared" si="47"/>
        <v>0</v>
      </c>
      <c r="AP62" s="22">
        <f t="shared" si="31"/>
        <v>516028.71845598344</v>
      </c>
      <c r="AQ62" s="22"/>
      <c r="AR62" s="10">
        <f>IF($B$10="3BR_H",
INDEX('ns-combined'!$C:$C,MATCH($L62,'ns-combined'!$B:$B,0),MATCH(Council_Area,'ns-combined'!$C$1:$C$1,0))*1000,
INDEX('s-combined'!$C:$C,MATCH($L62,'s-combined'!$B:$B,0),MATCH(Council_Area,'s-combined'!$C$1:$C$1,0))*1000)</f>
        <v>785000</v>
      </c>
      <c r="AS62" s="22">
        <f t="shared" si="35"/>
        <v>57750</v>
      </c>
      <c r="AT62" s="10">
        <v>0</v>
      </c>
      <c r="AU62" s="22">
        <f t="shared" si="48"/>
        <v>15700</v>
      </c>
      <c r="AV62" s="22">
        <f t="shared" si="49"/>
        <v>2256.875</v>
      </c>
      <c r="AW62" s="22">
        <f>SUM($AV$3:AV62)</f>
        <v>96858.175000000003</v>
      </c>
      <c r="AX62" s="22">
        <f t="shared" si="50"/>
        <v>614691.82499999995</v>
      </c>
      <c r="AY62" s="22">
        <f t="shared" si="51"/>
        <v>2617.4000000000005</v>
      </c>
      <c r="AZ62" s="24">
        <f t="shared" si="52"/>
        <v>1.333707006369427E-2</v>
      </c>
      <c r="BA62" s="24">
        <f t="shared" si="53"/>
        <v>0.35000000000000003</v>
      </c>
      <c r="BB62" s="25">
        <f>IF(MortgageRate="Discounted",_xlfn.XLOOKUP(L62,'mortgage-rates'!$A:$A,'mortgage-rates'!$E:$E)/100,_xlfn.XLOOKUP(L62,'mortgage-rates'!$A:$A,'mortgage-rates'!$D:$D)/100)</f>
        <v>3.6499999999999998E-2</v>
      </c>
      <c r="BC62" s="10">
        <f t="shared" si="67"/>
        <v>177324.24524174081</v>
      </c>
      <c r="BD62" s="10">
        <f t="shared" si="54"/>
        <v>5203.828963324022</v>
      </c>
      <c r="BE62" s="10">
        <f t="shared" si="55"/>
        <v>1618.0837378308847</v>
      </c>
      <c r="BF62" s="10">
        <f t="shared" si="36"/>
        <v>3585.7452254931372</v>
      </c>
      <c r="BG62" s="12">
        <f t="shared" si="56"/>
        <v>7821.2289633240225</v>
      </c>
      <c r="BH62" s="22">
        <f>INDEX(cpi!B:B,MATCH($L62,cpi!A:A))</f>
        <v>117.2</v>
      </c>
      <c r="BI62" s="22">
        <f t="shared" si="57"/>
        <v>138.53427895981088</v>
      </c>
      <c r="BJ62" s="22">
        <f t="shared" si="58"/>
        <v>255.62200142666194</v>
      </c>
      <c r="BK62" s="22">
        <f t="shared" si="59"/>
        <v>227.36090830549944</v>
      </c>
      <c r="BL62" s="22">
        <f t="shared" si="60"/>
        <v>247.14367349031318</v>
      </c>
      <c r="BM62" s="22">
        <f t="shared" si="61"/>
        <v>449.82706032377871</v>
      </c>
      <c r="BN62" s="22">
        <f t="shared" si="62"/>
        <v>203.89610389610391</v>
      </c>
      <c r="BO62">
        <f t="shared" si="63"/>
        <v>163.81707250041222</v>
      </c>
    </row>
    <row r="63" spans="1:67" x14ac:dyDescent="0.25">
      <c r="L63" s="1">
        <f t="shared" si="33"/>
        <v>44256</v>
      </c>
      <c r="M63" s="10">
        <f t="shared" si="38"/>
        <v>542273.4242396031</v>
      </c>
      <c r="N63" s="10">
        <f t="shared" si="39"/>
        <v>486590.19998375227</v>
      </c>
      <c r="O63" s="7">
        <f t="shared" si="24"/>
        <v>1.114435564583319</v>
      </c>
      <c r="P63" s="7">
        <f t="shared" si="40"/>
        <v>1.0029529365753505</v>
      </c>
      <c r="Q63">
        <v>61</v>
      </c>
      <c r="R63">
        <f t="shared" si="41"/>
        <v>90</v>
      </c>
      <c r="S63" s="22"/>
      <c r="T63" s="22">
        <f>IF($B$10="3BR_H",
INDEX('3BR_H-processed'!$E:$E,MATCH($L63,'3BR_H-processed'!$B:$B,0),MATCH(Council_Area,'3BR_H-processed'!$E$1:$E$1,0)),
INDEX('2BR_F-processed'!$E:$E,MATCH($L63,'2BR_F-processed'!$B:$B,0),MATCH(Council_Area,'2BR_F-processed'!$E$1:$E$1,0)))</f>
        <v>606</v>
      </c>
      <c r="U63" s="22">
        <f t="shared" si="25"/>
        <v>606</v>
      </c>
      <c r="V63" s="22">
        <f t="shared" si="34"/>
        <v>7791.4285714285716</v>
      </c>
      <c r="W63" s="22">
        <f>$B$53/4*BH63/_xlfn.XLOOKUP(Q_end,cpi!A:A,cpi!B:B)</f>
        <v>162.81962681409814</v>
      </c>
      <c r="X63" s="22">
        <f t="shared" si="42"/>
        <v>7954.2481982426698</v>
      </c>
      <c r="Y63" s="22">
        <f t="shared" si="43"/>
        <v>-23.419234918647817</v>
      </c>
      <c r="Z63" s="22">
        <f t="shared" si="64"/>
        <v>0</v>
      </c>
      <c r="AA63" s="22" cm="1">
        <f t="array" ref="AA63">(Y63+Z63)*eff_invest</f>
        <v>-23.419234918647817</v>
      </c>
      <c r="AB63" s="22">
        <f>AA63*(_xlfn.XLOOKUP(Q_end,cpi!A:A,cpi!B:B)/BH63)</f>
        <v>-28.767090770189633</v>
      </c>
      <c r="AC63" s="22" cm="1">
        <f t="array" ref="AC63">INDEX('msci-indices'!C:C,MATCH($L63,'msci-indices'!$B:$B)-2)</f>
        <v>2220.940302</v>
      </c>
      <c r="AD63" s="22" cm="1">
        <f t="array" ref="AD63">INDEX('msci-indices'!D:D,MATCH($L63,'msci-indices'!$B:$B)-2)</f>
        <v>1849.5394759999999</v>
      </c>
      <c r="AE63" s="22">
        <f t="shared" si="65"/>
        <v>516005.29922106478</v>
      </c>
      <c r="AF63" s="22" cm="1">
        <f t="array" ref="AF63">INDEX('msci-indices'!C:C,MATCH($L63,'msci-indices'!$B:$B)+1)</f>
        <v>2342.5854599999998</v>
      </c>
      <c r="AG63" s="22" cm="1">
        <f t="array" ref="AG63">INDEX('msci-indices'!D:D,MATCH($L63,'msci-indices'!$B:$B)+1)</f>
        <v>1930.8659110000001</v>
      </c>
      <c r="AH63" s="22">
        <f t="shared" si="44"/>
        <v>322.5033120131655</v>
      </c>
      <c r="AI63" s="22">
        <f t="shared" si="45"/>
        <v>542273.4242396031</v>
      </c>
      <c r="AJ63" s="22">
        <f t="shared" si="66"/>
        <v>209366.06605056828</v>
      </c>
      <c r="AK63" s="22">
        <f t="shared" si="46"/>
        <v>332907.35818903486</v>
      </c>
      <c r="AL63" s="22">
        <f>AJ63*(_xlfn.XLOOKUP(Q_end,cpi!A:A,cpi!B:B)/BH63)</f>
        <v>257175.46483461143</v>
      </c>
      <c r="AM63" s="22" cm="1">
        <f t="array" ref="AM63">SUMPRODUCT($AA$3:AA63,_xlfn.SORTBY($BH$3:BH63,_xlfn.SEQUENCE(ROWS($BH$3:BH63)),-1)/$BH$3)</f>
        <v>278140.60161690757</v>
      </c>
      <c r="AN63" s="22">
        <f t="shared" si="30"/>
        <v>264132.82262269553</v>
      </c>
      <c r="AO63" s="22">
        <f t="shared" si="47"/>
        <v>0</v>
      </c>
      <c r="AP63" s="22">
        <f t="shared" si="31"/>
        <v>542273.4242396031</v>
      </c>
      <c r="AQ63" s="22"/>
      <c r="AR63" s="10">
        <f>IF($B$10="3BR_H",
INDEX('ns-combined'!$C:$C,MATCH($L63,'ns-combined'!$B:$B,0),MATCH(Council_Area,'ns-combined'!$C$1:$C$1,0))*1000,
INDEX('s-combined'!$C:$C,MATCH($L63,'s-combined'!$B:$B,0),MATCH(Council_Area,'s-combined'!$C$1:$C$1,0))*1000)</f>
        <v>835000</v>
      </c>
      <c r="AS63" s="22">
        <f t="shared" si="35"/>
        <v>58712.5</v>
      </c>
      <c r="AT63" s="10">
        <v>0</v>
      </c>
      <c r="AU63" s="22">
        <f t="shared" si="48"/>
        <v>16700</v>
      </c>
      <c r="AV63" s="22">
        <f t="shared" si="49"/>
        <v>2400.625</v>
      </c>
      <c r="AW63" s="22">
        <f>SUM($AV$3:AV63)</f>
        <v>99258.8</v>
      </c>
      <c r="AX63" s="22">
        <f t="shared" si="50"/>
        <v>660328.69999999995</v>
      </c>
      <c r="AY63" s="22">
        <f t="shared" si="51"/>
        <v>2727.0000000000005</v>
      </c>
      <c r="AZ63" s="24">
        <f t="shared" si="52"/>
        <v>1.3063473053892218E-2</v>
      </c>
      <c r="BA63" s="24">
        <f t="shared" si="53"/>
        <v>0.35000000000000003</v>
      </c>
      <c r="BB63" s="25">
        <f>IF(MortgageRate="Discounted",_xlfn.XLOOKUP(L63,'mortgage-rates'!$A:$A,'mortgage-rates'!$E:$E)/100,_xlfn.XLOOKUP(L63,'mortgage-rates'!$A:$A,'mortgage-rates'!$D:$D)/100)</f>
        <v>3.6499999999999998E-2</v>
      </c>
      <c r="BC63" s="10">
        <f t="shared" si="67"/>
        <v>173738.50001624768</v>
      </c>
      <c r="BD63" s="10">
        <f t="shared" si="54"/>
        <v>5203.828963324022</v>
      </c>
      <c r="BE63" s="10">
        <f t="shared" si="55"/>
        <v>1585.3638126482599</v>
      </c>
      <c r="BF63" s="10">
        <f t="shared" si="36"/>
        <v>3618.4651506757618</v>
      </c>
      <c r="BG63" s="12">
        <f t="shared" si="56"/>
        <v>7930.828963324022</v>
      </c>
      <c r="BH63" s="22">
        <f>INDEX(cpi!B:B,MATCH($L63,cpi!A:A))</f>
        <v>117.8</v>
      </c>
      <c r="BI63" s="22">
        <f t="shared" si="57"/>
        <v>139.24349881796692</v>
      </c>
      <c r="BJ63" s="22">
        <f t="shared" si="58"/>
        <v>294.21119204132276</v>
      </c>
      <c r="BK63" s="22">
        <f t="shared" si="59"/>
        <v>259.41837017103796</v>
      </c>
      <c r="BL63" s="22">
        <f t="shared" si="60"/>
        <v>283.77334548023731</v>
      </c>
      <c r="BM63" s="22">
        <f t="shared" si="61"/>
        <v>516.08466000259375</v>
      </c>
      <c r="BN63" s="22">
        <f t="shared" si="62"/>
        <v>216.88311688311688</v>
      </c>
      <c r="BO63">
        <f t="shared" si="63"/>
        <v>175.97942598635171</v>
      </c>
    </row>
    <row r="64" spans="1:67" x14ac:dyDescent="0.25">
      <c r="L64" s="1">
        <f t="shared" si="33"/>
        <v>44348</v>
      </c>
      <c r="M64" s="10">
        <f t="shared" si="38"/>
        <v>583704.12300447805</v>
      </c>
      <c r="N64" s="10">
        <f t="shared" si="39"/>
        <v>555244.29013442807</v>
      </c>
      <c r="O64" s="7">
        <f t="shared" si="24"/>
        <v>1.0512564169964893</v>
      </c>
      <c r="P64" s="7">
        <f t="shared" si="40"/>
        <v>1.0120357626071481</v>
      </c>
      <c r="Q64">
        <v>62</v>
      </c>
      <c r="R64">
        <f t="shared" si="41"/>
        <v>91</v>
      </c>
      <c r="S64" s="22"/>
      <c r="T64" s="22">
        <f>IF($B$10="3BR_H",
INDEX('3BR_H-processed'!$E:$E,MATCH($L64,'3BR_H-processed'!$B:$B,0),MATCH(Council_Area,'3BR_H-processed'!$E$1:$E$1,0)),
INDEX('2BR_F-processed'!$E:$E,MATCH($L64,'2BR_F-processed'!$B:$B,0),MATCH(Council_Area,'2BR_F-processed'!$E$1:$E$1,0)))</f>
        <v>606</v>
      </c>
      <c r="U64" s="22">
        <f t="shared" si="25"/>
        <v>606</v>
      </c>
      <c r="V64" s="22">
        <f t="shared" si="34"/>
        <v>7878</v>
      </c>
      <c r="W64" s="22">
        <f>$B$53/4*BH64/_xlfn.XLOOKUP(Q_end,cpi!A:A,cpi!B:B)</f>
        <v>164.201796821009</v>
      </c>
      <c r="X64" s="22">
        <f t="shared" si="42"/>
        <v>8042.2017968210093</v>
      </c>
      <c r="Y64" s="22">
        <f t="shared" si="43"/>
        <v>-95.642896468363688</v>
      </c>
      <c r="Z64" s="22">
        <f t="shared" si="64"/>
        <v>0</v>
      </c>
      <c r="AA64" s="22" cm="1">
        <f t="array" ref="AA64">(Y64+Z64)*eff_invest</f>
        <v>-95.642896468363688</v>
      </c>
      <c r="AB64" s="22">
        <f>AA64*(_xlfn.XLOOKUP(Q_end,cpi!A:A,cpi!B:B)/BH64)</f>
        <v>-116.49433601828473</v>
      </c>
      <c r="AC64" s="22" cm="1">
        <f t="array" ref="AC64">INDEX('msci-indices'!C:C,MATCH($L64,'msci-indices'!$B:$B)-2)</f>
        <v>2342.5854599999998</v>
      </c>
      <c r="AD64" s="22" cm="1">
        <f t="array" ref="AD64">INDEX('msci-indices'!D:D,MATCH($L64,'msci-indices'!$B:$B)-2)</f>
        <v>1930.8659110000001</v>
      </c>
      <c r="AE64" s="22">
        <f t="shared" si="65"/>
        <v>542177.7813431347</v>
      </c>
      <c r="AF64" s="22" cm="1">
        <f t="array" ref="AF64">INDEX('msci-indices'!C:C,MATCH($L64,'msci-indices'!$B:$B)+1)</f>
        <v>2515.6062010000001</v>
      </c>
      <c r="AG64" s="22" cm="1">
        <f t="array" ref="AG64">INDEX('msci-indices'!D:D,MATCH($L64,'msci-indices'!$B:$B)+1)</f>
        <v>2095.0894480000002</v>
      </c>
      <c r="AH64" s="22">
        <f t="shared" si="44"/>
        <v>338.86111333945922</v>
      </c>
      <c r="AI64" s="22">
        <f t="shared" si="45"/>
        <v>583704.12300447805</v>
      </c>
      <c r="AJ64" s="22">
        <f t="shared" si="66"/>
        <v>209270.4231540999</v>
      </c>
      <c r="AK64" s="22">
        <f t="shared" si="46"/>
        <v>374433.69985037815</v>
      </c>
      <c r="AL64" s="22">
        <f>AJ64*(_xlfn.XLOOKUP(Q_end,cpi!A:A,cpi!B:B)/BH64)</f>
        <v>254894.19385857118</v>
      </c>
      <c r="AM64" s="22" cm="1">
        <f t="array" ref="AM64">SUMPRODUCT($AA$3:AA64,_xlfn.SORTBY($BH$3:BH64,_xlfn.SEQUENCE(ROWS($BH$3:BH64)),-1)/$BH$3)</f>
        <v>279874.98368894635</v>
      </c>
      <c r="AN64" s="22">
        <f t="shared" si="30"/>
        <v>303829.13931553171</v>
      </c>
      <c r="AO64" s="22">
        <f t="shared" si="47"/>
        <v>0</v>
      </c>
      <c r="AP64" s="22">
        <f t="shared" si="31"/>
        <v>583704.12300447805</v>
      </c>
      <c r="AQ64" s="22"/>
      <c r="AR64" s="10">
        <f>IF($B$10="3BR_H",
INDEX('ns-combined'!$C:$C,MATCH($L64,'ns-combined'!$B:$B,0),MATCH(Council_Area,'ns-combined'!$C$1:$C$1,0))*1000,
INDEX('s-combined'!$C:$C,MATCH($L64,'s-combined'!$B:$B,0),MATCH(Council_Area,'s-combined'!$C$1:$C$1,0))*1000)</f>
        <v>905000</v>
      </c>
      <c r="AS64" s="22">
        <f t="shared" si="35"/>
        <v>59675</v>
      </c>
      <c r="AT64" s="10">
        <v>0</v>
      </c>
      <c r="AU64" s="22">
        <f t="shared" si="48"/>
        <v>18100</v>
      </c>
      <c r="AV64" s="22">
        <f t="shared" si="49"/>
        <v>2601.875</v>
      </c>
      <c r="AW64" s="22">
        <f>SUM($AV$3:AV64)</f>
        <v>101860.675</v>
      </c>
      <c r="AX64" s="22">
        <f t="shared" si="50"/>
        <v>725364.32499999995</v>
      </c>
      <c r="AY64" s="22">
        <f t="shared" si="51"/>
        <v>2757.3</v>
      </c>
      <c r="AZ64" s="24">
        <f t="shared" si="52"/>
        <v>1.2186961325966852E-2</v>
      </c>
      <c r="BA64" s="24">
        <f t="shared" si="53"/>
        <v>0.35000000000000003</v>
      </c>
      <c r="BB64" s="25">
        <f>IF(MortgageRate="Discounted",_xlfn.XLOOKUP(L64,'mortgage-rates'!$A:$A,'mortgage-rates'!$E:$E)/100,_xlfn.XLOOKUP(L64,'mortgage-rates'!$A:$A,'mortgage-rates'!$D:$D)/100)</f>
        <v>3.5900000000000001E-2</v>
      </c>
      <c r="BC64" s="10">
        <f t="shared" si="67"/>
        <v>170120.03486557191</v>
      </c>
      <c r="BD64" s="10">
        <f t="shared" si="54"/>
        <v>5189.2589003526455</v>
      </c>
      <c r="BE64" s="10">
        <f t="shared" si="55"/>
        <v>1526.8273129185079</v>
      </c>
      <c r="BF64" s="10">
        <f t="shared" si="36"/>
        <v>3662.4315874341373</v>
      </c>
      <c r="BG64" s="12">
        <f t="shared" si="56"/>
        <v>7946.5589003526457</v>
      </c>
      <c r="BH64" s="22">
        <f>INDEX(cpi!B:B,MATCH($L64,cpi!A:A))</f>
        <v>118.8</v>
      </c>
      <c r="BI64" s="22">
        <f t="shared" si="57"/>
        <v>140.42553191489364</v>
      </c>
      <c r="BJ64" s="22">
        <f t="shared" si="58"/>
        <v>310.32570304776715</v>
      </c>
      <c r="BK64" s="22">
        <f t="shared" si="59"/>
        <v>270.82530227131878</v>
      </c>
      <c r="BL64" s="22">
        <f t="shared" si="60"/>
        <v>298.47558281483265</v>
      </c>
      <c r="BM64" s="22">
        <f t="shared" si="61"/>
        <v>542.26116741013834</v>
      </c>
      <c r="BN64" s="22">
        <f t="shared" si="62"/>
        <v>235.06493506493507</v>
      </c>
      <c r="BO64">
        <f t="shared" si="63"/>
        <v>193.3116000326466</v>
      </c>
    </row>
    <row r="65" spans="2:67" x14ac:dyDescent="0.25">
      <c r="L65" s="1">
        <f t="shared" si="33"/>
        <v>44440</v>
      </c>
      <c r="M65" s="10">
        <f t="shared" si="38"/>
        <v>584884.14490712387</v>
      </c>
      <c r="N65" s="10">
        <f t="shared" si="39"/>
        <v>589541.72172186221</v>
      </c>
      <c r="O65" s="7">
        <f t="shared" si="24"/>
        <v>0.99209966548061257</v>
      </c>
      <c r="P65" s="7">
        <f t="shared" si="40"/>
        <v>1.0234655939544115</v>
      </c>
      <c r="Q65">
        <v>63</v>
      </c>
      <c r="R65">
        <f t="shared" si="41"/>
        <v>92</v>
      </c>
      <c r="S65" s="22"/>
      <c r="T65" s="22">
        <f>IF($B$10="3BR_H",
INDEX('3BR_H-processed'!$E:$E,MATCH($L65,'3BR_H-processed'!$B:$B,0),MATCH(Council_Area,'3BR_H-processed'!$E$1:$E$1,0)),
INDEX('2BR_F-processed'!$E:$E,MATCH($L65,'2BR_F-processed'!$B:$B,0),MATCH(Council_Area,'2BR_F-processed'!$E$1:$E$1,0)))</f>
        <v>622.55890410958898</v>
      </c>
      <c r="U65" s="22">
        <f t="shared" si="25"/>
        <v>606</v>
      </c>
      <c r="V65" s="22">
        <f t="shared" si="34"/>
        <v>7964.5714285714284</v>
      </c>
      <c r="W65" s="22">
        <f>$B$53/4*BH65/_xlfn.XLOOKUP(Q_end,cpi!A:A,cpi!B:B)</f>
        <v>165.58396682791985</v>
      </c>
      <c r="X65" s="22">
        <f t="shared" si="42"/>
        <v>8130.155395399348</v>
      </c>
      <c r="Y65" s="22">
        <f t="shared" si="43"/>
        <v>-186.40482535185947</v>
      </c>
      <c r="Z65" s="22">
        <f t="shared" si="64"/>
        <v>0</v>
      </c>
      <c r="AA65" s="22" cm="1">
        <f t="array" ref="AA65">(Y65+Z65)*eff_invest</f>
        <v>-186.40482535185947</v>
      </c>
      <c r="AB65" s="22">
        <f>AA65*(_xlfn.XLOOKUP(Q_end,cpi!A:A,cpi!B:B)/BH65)</f>
        <v>-225.14839923550969</v>
      </c>
      <c r="AC65" s="22" cm="1">
        <f t="array" ref="AC65">INDEX('msci-indices'!C:C,MATCH($L65,'msci-indices'!$B:$B)-2)</f>
        <v>2515.6062010000001</v>
      </c>
      <c r="AD65" s="22" cm="1">
        <f t="array" ref="AD65">INDEX('msci-indices'!D:D,MATCH($L65,'msci-indices'!$B:$B)-2)</f>
        <v>2095.0894480000002</v>
      </c>
      <c r="AE65" s="22">
        <f t="shared" si="65"/>
        <v>583517.71817912615</v>
      </c>
      <c r="AF65" s="22" cm="1">
        <f t="array" ref="AF65">INDEX('msci-indices'!C:C,MATCH($L65,'msci-indices'!$B:$B)+1)</f>
        <v>2510.8156309999999</v>
      </c>
      <c r="AG65" s="22" cm="1">
        <f t="array" ref="AG65">INDEX('msci-indices'!D:D,MATCH($L65,'msci-indices'!$B:$B)+1)</f>
        <v>2125.1172740000002</v>
      </c>
      <c r="AH65" s="22">
        <f t="shared" si="44"/>
        <v>364.69857386195383</v>
      </c>
      <c r="AI65" s="22">
        <f t="shared" si="45"/>
        <v>584884.14490712387</v>
      </c>
      <c r="AJ65" s="22">
        <f t="shared" si="66"/>
        <v>209084.01832874803</v>
      </c>
      <c r="AK65" s="22">
        <f t="shared" si="46"/>
        <v>375800.12657837581</v>
      </c>
      <c r="AL65" s="22">
        <f>AJ65*(_xlfn.XLOOKUP(Q_end,cpi!A:A,cpi!B:B)/BH65)</f>
        <v>252541.38106986508</v>
      </c>
      <c r="AM65" s="22" cm="1">
        <f t="array" ref="AM65">SUMPRODUCT($AA$3:AA65,_xlfn.SORTBY($BH$3:BH65,_xlfn.SEQUENCE(ROWS($BH$3:BH65)),-1)/$BH$3)</f>
        <v>281536.32395415986</v>
      </c>
      <c r="AN65" s="22">
        <f t="shared" si="30"/>
        <v>303347.82095296402</v>
      </c>
      <c r="AO65" s="22">
        <f t="shared" si="47"/>
        <v>0</v>
      </c>
      <c r="AP65" s="22">
        <f t="shared" si="31"/>
        <v>584884.14490712387</v>
      </c>
      <c r="AQ65" s="22"/>
      <c r="AR65" s="10">
        <f>IF($B$10="3BR_H",
INDEX('ns-combined'!$C:$C,MATCH($L65,'ns-combined'!$B:$B,0),MATCH(Council_Area,'ns-combined'!$C$1:$C$1,0))*1000,
INDEX('s-combined'!$C:$C,MATCH($L65,'s-combined'!$B:$B,0),MATCH(Council_Area,'s-combined'!$C$1:$C$1,0))*1000)</f>
        <v>940000</v>
      </c>
      <c r="AS65" s="22">
        <f t="shared" si="35"/>
        <v>60637.5</v>
      </c>
      <c r="AT65" s="10">
        <v>0</v>
      </c>
      <c r="AU65" s="22">
        <f t="shared" si="48"/>
        <v>18800</v>
      </c>
      <c r="AV65" s="22">
        <f t="shared" si="49"/>
        <v>2702.5</v>
      </c>
      <c r="AW65" s="22">
        <f>SUM($AV$3:AV65)</f>
        <v>104563.175</v>
      </c>
      <c r="AX65" s="22">
        <f t="shared" si="50"/>
        <v>755999.32499999995</v>
      </c>
      <c r="AY65" s="22">
        <f t="shared" si="51"/>
        <v>2787.6000000000004</v>
      </c>
      <c r="AZ65" s="24">
        <f t="shared" si="52"/>
        <v>1.186212765957447E-2</v>
      </c>
      <c r="BA65" s="24">
        <f t="shared" si="53"/>
        <v>0.35000000000000003</v>
      </c>
      <c r="BB65" s="25">
        <f>IF(MortgageRate="Discounted",_xlfn.XLOOKUP(L65,'mortgage-rates'!$A:$A,'mortgage-rates'!$E:$E)/100,_xlfn.XLOOKUP(L65,'mortgage-rates'!$A:$A,'mortgage-rates'!$D:$D)/100)</f>
        <v>3.4500000000000003E-2</v>
      </c>
      <c r="BC65" s="10">
        <f t="shared" si="67"/>
        <v>166457.60327813777</v>
      </c>
      <c r="BD65" s="10">
        <f t="shared" si="54"/>
        <v>5156.1505700474881</v>
      </c>
      <c r="BE65" s="10">
        <f t="shared" si="55"/>
        <v>1435.6968282739383</v>
      </c>
      <c r="BF65" s="10">
        <f t="shared" si="36"/>
        <v>3720.4537417735501</v>
      </c>
      <c r="BG65" s="12">
        <f t="shared" si="56"/>
        <v>7943.7505700474885</v>
      </c>
      <c r="BH65" s="22">
        <f>INDEX(cpi!B:B,MATCH($L65,cpi!A:A))</f>
        <v>119.8</v>
      </c>
      <c r="BI65" s="22">
        <f t="shared" si="57"/>
        <v>141.60756501182033</v>
      </c>
      <c r="BJ65" s="22">
        <f t="shared" si="58"/>
        <v>333.24601225717834</v>
      </c>
      <c r="BK65" s="22">
        <f t="shared" si="59"/>
        <v>293.85946989254734</v>
      </c>
      <c r="BL65" s="22">
        <f t="shared" si="60"/>
        <v>321.43004954778905</v>
      </c>
      <c r="BM65" s="22">
        <f t="shared" si="61"/>
        <v>583.60746226163974</v>
      </c>
      <c r="BN65" s="22">
        <f t="shared" si="62"/>
        <v>244.15584415584416</v>
      </c>
      <c r="BO65">
        <f t="shared" si="63"/>
        <v>201.47591231392693</v>
      </c>
    </row>
    <row r="66" spans="2:67" x14ac:dyDescent="0.25">
      <c r="L66" s="1">
        <f t="shared" si="33"/>
        <v>44531</v>
      </c>
      <c r="M66" s="10">
        <f t="shared" si="38"/>
        <v>617199.14539021335</v>
      </c>
      <c r="N66" s="10">
        <f t="shared" si="39"/>
        <v>687309.67546363571</v>
      </c>
      <c r="O66" s="7">
        <f t="shared" si="24"/>
        <v>0.89799280793460656</v>
      </c>
      <c r="P66" s="7">
        <f t="shared" si="40"/>
        <v>1.0237439853756372</v>
      </c>
      <c r="Q66">
        <v>64</v>
      </c>
      <c r="R66">
        <f t="shared" si="41"/>
        <v>92</v>
      </c>
      <c r="S66" s="22"/>
      <c r="T66" s="22">
        <f>IF($B$10="3BR_H",
INDEX('3BR_H-processed'!$E:$E,MATCH($L66,'3BR_H-processed'!$B:$B,0),MATCH(Council_Area,'3BR_H-processed'!$E$1:$E$1,0)),
INDEX('2BR_F-processed'!$E:$E,MATCH($L66,'2BR_F-processed'!$B:$B,0),MATCH(Council_Area,'2BR_F-processed'!$E$1:$E$1,0)))</f>
        <v>640.86946011281202</v>
      </c>
      <c r="U66" s="22">
        <f t="shared" si="25"/>
        <v>606</v>
      </c>
      <c r="V66" s="22">
        <f t="shared" si="34"/>
        <v>7964.5714285714284</v>
      </c>
      <c r="W66" s="22">
        <f>$B$53/4*BH66/_xlfn.XLOOKUP(Q_end,cpi!A:A,cpi!B:B)</f>
        <v>167.79543883897722</v>
      </c>
      <c r="X66" s="22">
        <f t="shared" si="42"/>
        <v>8132.3668674104056</v>
      </c>
      <c r="Y66" s="22">
        <f t="shared" si="43"/>
        <v>-188.61629736291616</v>
      </c>
      <c r="Z66" s="22">
        <f t="shared" si="64"/>
        <v>0</v>
      </c>
      <c r="AA66" s="22" cm="1">
        <f t="array" ref="AA66">(Y66+Z66)*eff_invest</f>
        <v>-188.61629736291616</v>
      </c>
      <c r="AB66" s="22">
        <f>AA66*(_xlfn.XLOOKUP(Q_end,cpi!A:A,cpi!B:B)/BH66)</f>
        <v>-224.81695410555162</v>
      </c>
      <c r="AC66" s="22" cm="1">
        <f t="array" ref="AC66">INDEX('msci-indices'!C:C,MATCH($L66,'msci-indices'!$B:$B)-2)</f>
        <v>2510.8156309999999</v>
      </c>
      <c r="AD66" s="22" cm="1">
        <f t="array" ref="AD66">INDEX('msci-indices'!D:D,MATCH($L66,'msci-indices'!$B:$B)-2)</f>
        <v>2125.1172740000002</v>
      </c>
      <c r="AE66" s="22">
        <f t="shared" si="65"/>
        <v>584695.52860976092</v>
      </c>
      <c r="AF66" s="22" cm="1">
        <f t="array" ref="AF66">INDEX('msci-indices'!C:C,MATCH($L66,'msci-indices'!$B:$B)+1)</f>
        <v>2688.1915319999998</v>
      </c>
      <c r="AG66" s="22" cm="1">
        <f t="array" ref="AG66">INDEX('msci-indices'!D:D,MATCH($L66,'msci-indices'!$B:$B)+1)</f>
        <v>2173.034118</v>
      </c>
      <c r="AH66" s="22">
        <f t="shared" si="44"/>
        <v>365.43470538110057</v>
      </c>
      <c r="AI66" s="22">
        <f t="shared" si="45"/>
        <v>617199.14539021335</v>
      </c>
      <c r="AJ66" s="22">
        <f t="shared" si="66"/>
        <v>208895.40203138511</v>
      </c>
      <c r="AK66" s="22">
        <f t="shared" si="46"/>
        <v>408303.74335882824</v>
      </c>
      <c r="AL66" s="22">
        <f>AJ66*(_xlfn.XLOOKUP(Q_end,cpi!A:A,cpi!B:B)/BH66)</f>
        <v>248988.17688584368</v>
      </c>
      <c r="AM66" s="22" cm="1">
        <f t="array" ref="AM66">SUMPRODUCT($AA$3:AA66,_xlfn.SORTBY($BH$3:BH66,_xlfn.SEQUENCE(ROWS($BH$3:BH66)),-1)/$BH$3)</f>
        <v>283925.31093013939</v>
      </c>
      <c r="AN66" s="22">
        <f t="shared" si="30"/>
        <v>333273.83446007397</v>
      </c>
      <c r="AO66" s="22">
        <f t="shared" si="47"/>
        <v>0</v>
      </c>
      <c r="AP66" s="22">
        <f t="shared" si="31"/>
        <v>617199.14539021335</v>
      </c>
      <c r="AQ66" s="22"/>
      <c r="AR66" s="10">
        <f>IF($B$10="3BR_H",
INDEX('ns-combined'!$C:$C,MATCH($L66,'ns-combined'!$B:$B,0),MATCH(Council_Area,'ns-combined'!$C$1:$C$1,0))*1000,
INDEX('s-combined'!$C:$C,MATCH($L66,'s-combined'!$B:$B,0),MATCH(Council_Area,'s-combined'!$C$1:$C$1,0))*1000)</f>
        <v>1040000</v>
      </c>
      <c r="AS66" s="22">
        <f t="shared" si="35"/>
        <v>61600</v>
      </c>
      <c r="AT66" s="10">
        <v>0</v>
      </c>
      <c r="AU66" s="22">
        <f t="shared" si="48"/>
        <v>20800</v>
      </c>
      <c r="AV66" s="22">
        <f t="shared" si="49"/>
        <v>2990</v>
      </c>
      <c r="AW66" s="22">
        <f>SUM($AV$3:AV66)</f>
        <v>107553.175</v>
      </c>
      <c r="AX66" s="22">
        <f t="shared" si="50"/>
        <v>850046.82499999995</v>
      </c>
      <c r="AY66" s="22">
        <f t="shared" si="51"/>
        <v>2787.6000000000004</v>
      </c>
      <c r="AZ66" s="24">
        <f t="shared" si="52"/>
        <v>1.0721538461538463E-2</v>
      </c>
      <c r="BA66" s="24">
        <f t="shared" si="53"/>
        <v>0.35000000000000003</v>
      </c>
      <c r="BB66" s="25">
        <f>IF(MortgageRate="Discounted",_xlfn.XLOOKUP(L66,'mortgage-rates'!$A:$A,'mortgage-rates'!$E:$E)/100,_xlfn.XLOOKUP(L66,'mortgage-rates'!$A:$A,'mortgage-rates'!$D:$D)/100)</f>
        <v>3.4500000000000003E-2</v>
      </c>
      <c r="BC66" s="10">
        <f t="shared" si="67"/>
        <v>162737.14953636422</v>
      </c>
      <c r="BD66" s="10">
        <f t="shared" si="54"/>
        <v>5156.1505700474891</v>
      </c>
      <c r="BE66" s="10">
        <f t="shared" si="55"/>
        <v>1403.6079147511414</v>
      </c>
      <c r="BF66" s="10">
        <f t="shared" si="36"/>
        <v>3752.5426552963477</v>
      </c>
      <c r="BG66" s="12">
        <f t="shared" si="56"/>
        <v>7943.7505700474894</v>
      </c>
      <c r="BH66" s="22">
        <f>INDEX(cpi!B:B,MATCH($L66,cpi!A:A))</f>
        <v>121.4</v>
      </c>
      <c r="BI66" s="22">
        <f t="shared" si="57"/>
        <v>143.49881796690309</v>
      </c>
      <c r="BJ66" s="22">
        <f t="shared" si="58"/>
        <v>332.61139848165806</v>
      </c>
      <c r="BK66" s="22">
        <f t="shared" si="59"/>
        <v>298.0712046415382</v>
      </c>
      <c r="BL66" s="22">
        <f t="shared" si="60"/>
        <v>322.2493403296221</v>
      </c>
      <c r="BM66" s="22">
        <f t="shared" si="61"/>
        <v>584.78545383761616</v>
      </c>
      <c r="BN66" s="22">
        <f t="shared" si="62"/>
        <v>270.12987012987014</v>
      </c>
      <c r="BO66">
        <f t="shared" si="63"/>
        <v>226.53983133706103</v>
      </c>
    </row>
    <row r="67" spans="2:67" x14ac:dyDescent="0.25">
      <c r="L67" s="1">
        <f t="shared" si="33"/>
        <v>44621</v>
      </c>
      <c r="M67" s="10">
        <f t="shared" ref="M67:M80" si="68">AP67</f>
        <v>598222.19924213598</v>
      </c>
      <c r="N67" s="10">
        <f t="shared" ref="N67:N82" si="69">AX67-BC67</f>
        <v>726194.7181189321</v>
      </c>
      <c r="O67" s="7">
        <f t="shared" si="24"/>
        <v>0.82377657715786701</v>
      </c>
      <c r="P67" s="7">
        <f t="shared" ref="P67:P82" si="70">X67/BG67</f>
        <v>1.0461361954834025</v>
      </c>
      <c r="Q67">
        <v>65</v>
      </c>
      <c r="R67">
        <f t="shared" ref="R67:R82" si="71">EOMONTH(L67,0)-EOMONTH(L67,-3)</f>
        <v>90</v>
      </c>
      <c r="S67" s="22"/>
      <c r="T67" s="22">
        <f>IF($B$10="3BR_H",
INDEX('3BR_H-processed'!$E:$E,MATCH($L67,'3BR_H-processed'!$B:$B,0),MATCH(Council_Area,'3BR_H-processed'!$E$1:$E$1,0)),
INDEX('2BR_F-processed'!$E:$E,MATCH($L67,'2BR_F-processed'!$B:$B,0),MATCH(Council_Area,'2BR_F-processed'!$E$1:$E$1,0)))</f>
        <v>640.86946011281202</v>
      </c>
      <c r="U67" s="22">
        <f t="shared" si="25"/>
        <v>640.86946011281202</v>
      </c>
      <c r="V67" s="22">
        <f t="shared" si="34"/>
        <v>8239.7502014504407</v>
      </c>
      <c r="W67" s="22">
        <f>$B$53/4*BH67/_xlfn.XLOOKUP(Q_end,cpi!A:A,cpi!B:B)</f>
        <v>171.25086385625434</v>
      </c>
      <c r="X67" s="22">
        <f t="shared" ref="X67:X81" si="72">V67+W67</f>
        <v>8411.0010653066947</v>
      </c>
      <c r="Y67" s="22">
        <f t="shared" ref="Y67:Y81" si="73">BG67-X67</f>
        <v>-370.93792475155169</v>
      </c>
      <c r="Z67" s="22">
        <f t="shared" si="64"/>
        <v>0</v>
      </c>
      <c r="AA67" s="22" cm="1">
        <f t="array" ref="AA67">(Y67+Z67)*eff_invest</f>
        <v>-370.93792475155169</v>
      </c>
      <c r="AB67" s="22">
        <f>AA67*(_xlfn.XLOOKUP(Q_end,cpi!A:A,cpi!B:B)/BH67)</f>
        <v>-433.20998960088394</v>
      </c>
      <c r="AC67" s="22" cm="1">
        <f t="array" ref="AC67">INDEX('msci-indices'!C:C,MATCH($L67,'msci-indices'!$B:$B)-2)</f>
        <v>2688.1915319999998</v>
      </c>
      <c r="AD67" s="22" cm="1">
        <f t="array" ref="AD67">INDEX('msci-indices'!D:D,MATCH($L67,'msci-indices'!$B:$B)-2)</f>
        <v>2173.034118</v>
      </c>
      <c r="AE67" s="22">
        <f t="shared" si="65"/>
        <v>616828.2074654618</v>
      </c>
      <c r="AF67" s="22" cm="1">
        <f t="array" ref="AF67">INDEX('msci-indices'!C:C,MATCH($L67,'msci-indices'!$B:$B)+1)</f>
        <v>2545.291346</v>
      </c>
      <c r="AG67" s="22" cm="1">
        <f t="array" ref="AG67">INDEX('msci-indices'!D:D,MATCH($L67,'msci-indices'!$B:$B)+1)</f>
        <v>2228.6053740000002</v>
      </c>
      <c r="AH67" s="22">
        <f t="shared" ref="AH67:AH82" si="74">(InvestFees/4)*AE67</f>
        <v>385.51762966591366</v>
      </c>
      <c r="AI67" s="22">
        <f t="shared" ref="AI67:AI82" si="75">((AF67/AC67)*GlobalPortfolio+(AG67/AD67)*AusPortfolio)*AE67-AH67</f>
        <v>598222.19924213598</v>
      </c>
      <c r="AJ67" s="22">
        <f t="shared" si="66"/>
        <v>208524.46410663356</v>
      </c>
      <c r="AK67" s="22">
        <f t="shared" ref="AK67:AK82" si="76">AI67-AJ67</f>
        <v>389697.73513550241</v>
      </c>
      <c r="AL67" s="22">
        <f>AJ67*(_xlfn.XLOOKUP(Q_end,cpi!A:A,cpi!B:B)/BH67)</f>
        <v>243530.99238280766</v>
      </c>
      <c r="AM67" s="22" cm="1">
        <f t="array" ref="AM67">SUMPRODUCT($AA$3:AA67,_xlfn.SORTBY($BH$3:BH67,_xlfn.SEQUENCE(ROWS($BH$3:BH67)),-1)/$BH$3)</f>
        <v>287232.2268967136</v>
      </c>
      <c r="AN67" s="22">
        <f t="shared" si="30"/>
        <v>310989.97234542237</v>
      </c>
      <c r="AO67" s="22">
        <f t="shared" ref="AO67:AO82" si="77">IF($B$49="Real gains",MAX($B$50*AN67,0),IF($B$49="Discounted nominal gains",MAX($B$50*AK67/2,0),0))</f>
        <v>0</v>
      </c>
      <c r="AP67" s="22">
        <f t="shared" si="31"/>
        <v>598222.19924213598</v>
      </c>
      <c r="AQ67" s="22"/>
      <c r="AR67" s="10">
        <f>IF($B$10="3BR_H",
INDEX('ns-combined'!$C:$C,MATCH($L67,'ns-combined'!$B:$B,0),MATCH(Council_Area,'ns-combined'!$C$1:$C$1,0))*1000,
INDEX('s-combined'!$C:$C,MATCH($L67,'s-combined'!$B:$B,0),MATCH(Council_Area,'s-combined'!$C$1:$C$1,0))*1000)</f>
        <v>1080000</v>
      </c>
      <c r="AS67" s="22">
        <f t="shared" si="35"/>
        <v>62562.5</v>
      </c>
      <c r="AT67" s="10">
        <v>0</v>
      </c>
      <c r="AU67" s="22">
        <f t="shared" ref="AU67:AU82" si="78">SUM($B$28:$B$29)*AR67</f>
        <v>21600</v>
      </c>
      <c r="AV67" s="22">
        <f t="shared" ref="AV67:AV82" si="79">AR67*$B$15/4</f>
        <v>3105</v>
      </c>
      <c r="AW67" s="22">
        <f>SUM($AV$3:AV67)</f>
        <v>110658.175</v>
      </c>
      <c r="AX67" s="22">
        <f t="shared" ref="AX67:AX82" si="80">AR67-AS67-AU67-AW67</f>
        <v>885179.32499999995</v>
      </c>
      <c r="AY67" s="22">
        <f t="shared" ref="AY67:AY82" si="81">$B$36*V67</f>
        <v>2883.9125705076544</v>
      </c>
      <c r="AZ67" s="24">
        <f t="shared" ref="AZ67:AZ82" si="82">SUM(AY67:AY67)*4/AR67</f>
        <v>1.0681157668546869E-2</v>
      </c>
      <c r="BA67" s="24">
        <f t="shared" ref="BA67:BA82" si="83">SUM(AY67:AY67)/V67</f>
        <v>0.35000000000000003</v>
      </c>
      <c r="BB67" s="25">
        <f>IF(MortgageRate="Discounted",_xlfn.XLOOKUP(L67,'mortgage-rates'!$A:$A,'mortgage-rates'!$E:$E)/100,_xlfn.XLOOKUP(L67,'mortgage-rates'!$A:$A,'mortgage-rates'!$D:$D)/100)</f>
        <v>3.4500000000000003E-2</v>
      </c>
      <c r="BC67" s="10">
        <f t="shared" si="67"/>
        <v>158984.60688106786</v>
      </c>
      <c r="BD67" s="10">
        <f t="shared" ref="BD67:BD82" si="84">IF($B$16*12/3-Q67+1&gt;0,-PMT($BB67/4,$B$16*12/3-Q67+1,BC67),0)</f>
        <v>5156.1505700474891</v>
      </c>
      <c r="BE67" s="10">
        <f t="shared" si="55"/>
        <v>1371.2422343492103</v>
      </c>
      <c r="BF67" s="10">
        <f t="shared" si="36"/>
        <v>3784.9083356982787</v>
      </c>
      <c r="BG67" s="12">
        <f t="shared" ref="BG67:BG82" si="85">AT67+AY67+BD67</f>
        <v>8040.063140555143</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616.92307464742191</v>
      </c>
      <c r="BN67" s="22">
        <f t="shared" ref="BN67:BN82" si="91">100*AR67/AR$3</f>
        <v>280.51948051948051</v>
      </c>
      <c r="BO67">
        <f t="shared" ref="BO67:BO82" si="92">100*AX67/AX$3</f>
        <v>235.90273981501377</v>
      </c>
    </row>
    <row r="68" spans="2:67" x14ac:dyDescent="0.25">
      <c r="L68" s="1">
        <f t="shared" si="33"/>
        <v>44713</v>
      </c>
      <c r="M68" s="10">
        <f t="shared" si="68"/>
        <v>507655.99196290027</v>
      </c>
      <c r="N68" s="10">
        <f t="shared" si="69"/>
        <v>705392.5014546304</v>
      </c>
      <c r="O68" s="7">
        <f t="shared" ref="O68:O82" si="93">M68/N68</f>
        <v>0.71967874752855143</v>
      </c>
      <c r="P68" s="7">
        <f t="shared" si="70"/>
        <v>1.0325071532193082</v>
      </c>
      <c r="Q68">
        <v>66</v>
      </c>
      <c r="R68">
        <f t="shared" si="71"/>
        <v>91</v>
      </c>
      <c r="S68" s="22"/>
      <c r="T68" s="22">
        <f>IF($B$10="3BR_H",
INDEX('3BR_H-processed'!$E:$E,MATCH($L68,'3BR_H-processed'!$B:$B,0),MATCH(Council_Area,'3BR_H-processed'!$E$1:$E$1,0)),
INDEX('2BR_F-processed'!$E:$E,MATCH($L68,'2BR_F-processed'!$B:$B,0),MATCH(Council_Area,'2BR_F-processed'!$E$1:$E$1,0)))</f>
        <v>673</v>
      </c>
      <c r="U68" s="22">
        <f t="shared" ref="U68:U82" si="94">IF(MOD(Q68,4)=1,T68,U67)</f>
        <v>640.86946011281202</v>
      </c>
      <c r="V68" s="22">
        <f t="shared" ref="V68:V82" si="95">U68*(R68)/7</f>
        <v>8331.3029814665551</v>
      </c>
      <c r="W68" s="22">
        <f>$B$53/4*BH68/_xlfn.XLOOKUP(Q_end,cpi!A:A,cpi!B:B)</f>
        <v>174.29163787145819</v>
      </c>
      <c r="X68" s="22">
        <f t="shared" si="72"/>
        <v>8505.5946193380132</v>
      </c>
      <c r="Y68" s="22">
        <f t="shared" si="73"/>
        <v>-267.78765323809421</v>
      </c>
      <c r="Z68" s="22">
        <f t="shared" ref="Z68:Z82" si="96">Y68*$B$47</f>
        <v>0</v>
      </c>
      <c r="AA68" s="22" cm="1">
        <f t="array" ref="AA68">(Y68+Z68)*eff_invest</f>
        <v>-267.78765323809421</v>
      </c>
      <c r="AB68" s="22">
        <f>AA68*(_xlfn.XLOOKUP(Q_end,cpi!A:A,cpi!B:B)/BH68)</f>
        <v>-307.28686299407002</v>
      </c>
      <c r="AC68" s="22" cm="1">
        <f t="array" ref="AC68">INDEX('msci-indices'!C:C,MATCH($L68,'msci-indices'!$B:$B)-2)</f>
        <v>2545.291346</v>
      </c>
      <c r="AD68" s="22" cm="1">
        <f t="array" ref="AD68">INDEX('msci-indices'!D:D,MATCH($L68,'msci-indices'!$B:$B)-2)</f>
        <v>2228.6053740000002</v>
      </c>
      <c r="AE68" s="22">
        <f t="shared" ref="AE68:AE82" si="97">AI67+AA68</f>
        <v>597954.41158889793</v>
      </c>
      <c r="AF68" s="22" cm="1">
        <f t="array" ref="AF68">INDEX('msci-indices'!C:C,MATCH($L68,'msci-indices'!$B:$B)+1)</f>
        <v>2130.2472859999998</v>
      </c>
      <c r="AG68" s="22" cm="1">
        <f t="array" ref="AG68">INDEX('msci-indices'!D:D,MATCH($L68,'msci-indices'!$B:$B)+1)</f>
        <v>1959.3691980000001</v>
      </c>
      <c r="AH68" s="22">
        <f t="shared" si="74"/>
        <v>373.72150724306124</v>
      </c>
      <c r="AI68" s="22">
        <f t="shared" si="75"/>
        <v>507655.99196290027</v>
      </c>
      <c r="AJ68" s="22">
        <f t="shared" ref="AJ68:AJ82" si="98">AJ67+AA68</f>
        <v>208256.67645339546</v>
      </c>
      <c r="AK68" s="22">
        <f t="shared" si="76"/>
        <v>299399.31550950481</v>
      </c>
      <c r="AL68" s="22">
        <f>AJ68*(_xlfn.XLOOKUP(Q_end,cpi!A:A,cpi!B:B)/BH68)</f>
        <v>238974.94911028011</v>
      </c>
      <c r="AM68" s="22" cm="1">
        <f t="array" ref="AM68">SUMPRODUCT($AA$3:AA68,_xlfn.SORTBY($BH$3:BH68,_xlfn.SEQUENCE(ROWS($BH$3:BH68)),-1)/$BH$3)</f>
        <v>290350.60324643174</v>
      </c>
      <c r="AN68" s="22">
        <f t="shared" ref="AN68:AN81" si="99">AI68-AM68</f>
        <v>217305.38871646853</v>
      </c>
      <c r="AO68" s="22">
        <f t="shared" si="77"/>
        <v>0</v>
      </c>
      <c r="AP68" s="22">
        <f t="shared" ref="AP68:AP81" si="100">AI68-AO68</f>
        <v>507655.99196290027</v>
      </c>
      <c r="AQ68" s="22"/>
      <c r="AR68" s="10">
        <f>IF($B$10="3BR_H",
INDEX('ns-combined'!$C:$C,MATCH($L68,'ns-combined'!$B:$B,0),MATCH(Council_Area,'ns-combined'!$C$1:$C$1,0))*1000,
INDEX('s-combined'!$C:$C,MATCH($L68,'s-combined'!$B:$B,0),MATCH(Council_Area,'s-combined'!$C$1:$C$1,0))*1000)</f>
        <v>1059000</v>
      </c>
      <c r="AS68" s="22">
        <f t="shared" si="35"/>
        <v>63525</v>
      </c>
      <c r="AT68" s="10">
        <v>0</v>
      </c>
      <c r="AU68" s="22">
        <f t="shared" si="78"/>
        <v>21180</v>
      </c>
      <c r="AV68" s="22">
        <f t="shared" si="79"/>
        <v>3044.625</v>
      </c>
      <c r="AW68" s="22">
        <f>SUM($AV$3:AV68)</f>
        <v>113702.8</v>
      </c>
      <c r="AX68" s="22">
        <f t="shared" si="80"/>
        <v>860592.2</v>
      </c>
      <c r="AY68" s="22">
        <f t="shared" si="81"/>
        <v>2915.9560435132944</v>
      </c>
      <c r="AZ68" s="24">
        <f t="shared" si="82"/>
        <v>1.1013998275782037E-2</v>
      </c>
      <c r="BA68" s="24">
        <f t="shared" si="83"/>
        <v>0.35000000000000003</v>
      </c>
      <c r="BB68" s="25">
        <f>IF(MortgageRate="Discounted",_xlfn.XLOOKUP(L68,'mortgage-rates'!$A:$A,'mortgage-rates'!$E:$E)/100,_xlfn.XLOOKUP(L68,'mortgage-rates'!$A:$A,'mortgage-rates'!$D:$D)/100)</f>
        <v>4.2000000000000003E-2</v>
      </c>
      <c r="BC68" s="10">
        <f t="shared" ref="BC68:BC82" si="101">BC67-BF67</f>
        <v>155199.69854536958</v>
      </c>
      <c r="BD68" s="10">
        <f t="shared" si="84"/>
        <v>5321.8509225866246</v>
      </c>
      <c r="BE68" s="10">
        <f t="shared" ref="BE68:BE82" si="102">BC68*($BB68/4)</f>
        <v>1629.5968347263806</v>
      </c>
      <c r="BF68" s="10">
        <f t="shared" si="36"/>
        <v>3692.254087860244</v>
      </c>
      <c r="BG68" s="12">
        <f t="shared" si="85"/>
        <v>8237.806966099919</v>
      </c>
      <c r="BH68" s="22">
        <f>INDEX(cpi!B:B,MATCH($L68,cpi!A:A))</f>
        <v>126.1</v>
      </c>
      <c r="BI68" s="22">
        <f t="shared" si="86"/>
        <v>149.05437352245863</v>
      </c>
      <c r="BJ68" s="22">
        <f t="shared" si="87"/>
        <v>337.17844659073722</v>
      </c>
      <c r="BK68" s="22">
        <f t="shared" si="88"/>
        <v>312.58655539910018</v>
      </c>
      <c r="BL68" s="22">
        <f t="shared" si="89"/>
        <v>329.80087923324612</v>
      </c>
      <c r="BM68" s="22">
        <f t="shared" si="90"/>
        <v>598.04637601153865</v>
      </c>
      <c r="BN68" s="22">
        <f t="shared" si="91"/>
        <v>275.06493506493507</v>
      </c>
      <c r="BO68">
        <f t="shared" si="92"/>
        <v>229.35020295851385</v>
      </c>
    </row>
    <row r="69" spans="2:67" x14ac:dyDescent="0.25">
      <c r="L69" s="1">
        <f t="shared" ref="L69:L81" si="103">DATE(YEAR(L68),MONTH(L68)+3,1)</f>
        <v>44805</v>
      </c>
      <c r="M69" s="10">
        <f t="shared" si="68"/>
        <v>486420.83824311616</v>
      </c>
      <c r="N69" s="10">
        <f t="shared" si="69"/>
        <v>647427.25554249063</v>
      </c>
      <c r="O69" s="7">
        <f t="shared" si="93"/>
        <v>0.75131350136863739</v>
      </c>
      <c r="P69" s="7">
        <f t="shared" si="70"/>
        <v>0.9998649756194431</v>
      </c>
      <c r="Q69">
        <v>67</v>
      </c>
      <c r="R69">
        <f t="shared" si="71"/>
        <v>92</v>
      </c>
      <c r="S69" s="22"/>
      <c r="T69" s="22">
        <f>IF($B$10="3BR_H",
INDEX('3BR_H-processed'!$E:$E,MATCH($L69,'3BR_H-processed'!$B:$B,0),MATCH(Council_Area,'3BR_H-processed'!$E$1:$E$1,0)),
INDEX('2BR_F-processed'!$E:$E,MATCH($L69,'2BR_F-processed'!$B:$B,0),MATCH(Council_Area,'2BR_F-processed'!$E$1:$E$1,0)))</f>
        <v>662.87427098874264</v>
      </c>
      <c r="U69" s="22">
        <f t="shared" si="94"/>
        <v>640.86946011281202</v>
      </c>
      <c r="V69" s="22">
        <f t="shared" si="95"/>
        <v>8422.8557614826732</v>
      </c>
      <c r="W69" s="22">
        <f>$B$53/4*BH69/_xlfn.XLOOKUP(Q_end,cpi!A:A,cpi!B:B)</f>
        <v>177.47062888735317</v>
      </c>
      <c r="X69" s="22">
        <f t="shared" si="72"/>
        <v>8600.3263903700263</v>
      </c>
      <c r="Y69" s="22">
        <f t="shared" si="73"/>
        <v>1.1614105621883937</v>
      </c>
      <c r="Z69" s="22">
        <f t="shared" si="96"/>
        <v>0</v>
      </c>
      <c r="AA69" s="22" cm="1">
        <f t="array" ref="AA69">(Y69+Z69)*eff_invest</f>
        <v>1.1614105621883937</v>
      </c>
      <c r="AB69" s="22">
        <f>AA69*(_xlfn.XLOOKUP(Q_end,cpi!A:A,cpi!B:B)/BH69)</f>
        <v>1.3088481958618423</v>
      </c>
      <c r="AC69" s="22" cm="1">
        <f t="array" ref="AC69">INDEX('msci-indices'!C:C,MATCH($L69,'msci-indices'!$B:$B)-2)</f>
        <v>2130.2472859999998</v>
      </c>
      <c r="AD69" s="22" cm="1">
        <f t="array" ref="AD69">INDEX('msci-indices'!D:D,MATCH($L69,'msci-indices'!$B:$B)-2)</f>
        <v>1959.3691980000001</v>
      </c>
      <c r="AE69" s="22">
        <f t="shared" si="97"/>
        <v>507657.15337346244</v>
      </c>
      <c r="AF69" s="22" cm="1">
        <f t="array" ref="AF69">INDEX('msci-indices'!C:C,MATCH($L69,'msci-indices'!$B:$B)+1)</f>
        <v>2000.7468469999999</v>
      </c>
      <c r="AG69" s="22" cm="1">
        <f t="array" ref="AG69">INDEX('msci-indices'!D:D,MATCH($L69,'msci-indices'!$B:$B)+1)</f>
        <v>1968.166029</v>
      </c>
      <c r="AH69" s="22">
        <f t="shared" si="74"/>
        <v>317.28572085841404</v>
      </c>
      <c r="AI69" s="22">
        <f t="shared" si="75"/>
        <v>486420.83824311616</v>
      </c>
      <c r="AJ69" s="22">
        <f t="shared" si="98"/>
        <v>208257.83786395765</v>
      </c>
      <c r="AK69" s="22">
        <f t="shared" si="76"/>
        <v>278163.00037915853</v>
      </c>
      <c r="AL69" s="22">
        <f>AJ69*(_xlfn.XLOOKUP(Q_end,cpi!A:A,cpi!B:B)/BH69)</f>
        <v>234695.55404139153</v>
      </c>
      <c r="AM69" s="22" cm="1">
        <f t="array" ref="AM69">SUMPRODUCT($AA$3:AA69,_xlfn.SORTBY($BH$3:BH69,_xlfn.SEQUENCE(ROWS($BH$3:BH69)),-1)/$BH$3)</f>
        <v>293919.4619476769</v>
      </c>
      <c r="AN69" s="22">
        <f t="shared" si="99"/>
        <v>192501.37629543926</v>
      </c>
      <c r="AO69" s="22">
        <f t="shared" si="77"/>
        <v>0</v>
      </c>
      <c r="AP69" s="22">
        <f t="shared" si="100"/>
        <v>486420.83824311616</v>
      </c>
      <c r="AQ69" s="22"/>
      <c r="AR69" s="10">
        <f>IF($B$10="3BR_H",
INDEX('ns-combined'!$C:$C,MATCH($L69,'ns-combined'!$B:$B,0),MATCH(Council_Area,'ns-combined'!$C$1:$C$1,0))*1000,
INDEX('s-combined'!$C:$C,MATCH($L69,'s-combined'!$B:$B,0),MATCH(Council_Area,'s-combined'!$C$1:$C$1,0))*1000)</f>
        <v>1000000</v>
      </c>
      <c r="AS69" s="22">
        <f t="shared" ref="AS69:AS81" si="104">AS68+$AS$3</f>
        <v>64487.5</v>
      </c>
      <c r="AT69" s="10">
        <v>0</v>
      </c>
      <c r="AU69" s="22">
        <f t="shared" si="78"/>
        <v>20000</v>
      </c>
      <c r="AV69" s="22">
        <f t="shared" si="79"/>
        <v>2875</v>
      </c>
      <c r="AW69" s="22">
        <f>SUM($AV$3:AV69)</f>
        <v>116577.8</v>
      </c>
      <c r="AX69" s="22">
        <f t="shared" si="80"/>
        <v>798934.7</v>
      </c>
      <c r="AY69" s="22">
        <f t="shared" si="81"/>
        <v>2947.9995165189357</v>
      </c>
      <c r="AZ69" s="24">
        <f t="shared" si="82"/>
        <v>1.1791998066075744E-2</v>
      </c>
      <c r="BA69" s="24">
        <f t="shared" si="83"/>
        <v>0.35000000000000003</v>
      </c>
      <c r="BB69" s="25">
        <f>IF(MortgageRate="Discounted",_xlfn.XLOOKUP(L69,'mortgage-rates'!$A:$A,'mortgage-rates'!$E:$E)/100,_xlfn.XLOOKUP(L69,'mortgage-rates'!$A:$A,'mortgage-rates'!$D:$D)/100)</f>
        <v>5.7000000000000002E-2</v>
      </c>
      <c r="BC69" s="10">
        <f t="shared" si="101"/>
        <v>151507.44445750935</v>
      </c>
      <c r="BD69" s="10">
        <f t="shared" si="84"/>
        <v>5653.488284413279</v>
      </c>
      <c r="BE69" s="10">
        <f t="shared" si="102"/>
        <v>2158.9810835195085</v>
      </c>
      <c r="BF69" s="10">
        <f t="shared" ref="BF69:BF82" si="105">BD69-BE69</f>
        <v>3494.5072008937705</v>
      </c>
      <c r="BG69" s="12">
        <f t="shared" si="85"/>
        <v>8601.4878009322147</v>
      </c>
      <c r="BH69" s="22">
        <f>INDEX(cpi!B:B,MATCH($L69,cpi!A:A))</f>
        <v>128.4</v>
      </c>
      <c r="BI69" s="22">
        <f t="shared" si="86"/>
        <v>151.77304964539007</v>
      </c>
      <c r="BJ69" s="22">
        <f t="shared" si="87"/>
        <v>282.19695630380454</v>
      </c>
      <c r="BK69" s="22">
        <f t="shared" si="88"/>
        <v>274.82320356188706</v>
      </c>
      <c r="BL69" s="22">
        <f t="shared" si="89"/>
        <v>279.98483048122927</v>
      </c>
      <c r="BM69" s="22">
        <f t="shared" si="90"/>
        <v>507.73523022364463</v>
      </c>
      <c r="BN69" s="22">
        <f t="shared" si="91"/>
        <v>259.74025974025972</v>
      </c>
      <c r="BO69">
        <f t="shared" si="92"/>
        <v>212.91830857356058</v>
      </c>
    </row>
    <row r="70" spans="2:67" x14ac:dyDescent="0.25">
      <c r="L70" s="1">
        <f t="shared" si="103"/>
        <v>44896</v>
      </c>
      <c r="M70" s="10">
        <f t="shared" si="68"/>
        <v>533301.53736867616</v>
      </c>
      <c r="N70" s="10">
        <f t="shared" si="69"/>
        <v>647084.26274338434</v>
      </c>
      <c r="O70" s="7">
        <f t="shared" si="93"/>
        <v>0.8241608830165118</v>
      </c>
      <c r="P70" s="7">
        <f t="shared" si="70"/>
        <v>0.99343040898265955</v>
      </c>
      <c r="Q70">
        <v>68</v>
      </c>
      <c r="R70">
        <f t="shared" si="71"/>
        <v>92</v>
      </c>
      <c r="S70" s="22"/>
      <c r="T70" s="22">
        <f>IF($B$10="3BR_H",
INDEX('3BR_H-processed'!$E:$E,MATCH($L70,'3BR_H-processed'!$B:$B,0),MATCH(Council_Area,'3BR_H-processed'!$E$1:$E$1,0)),
INDEX('2BR_F-processed'!$E:$E,MATCH($L70,'2BR_F-processed'!$B:$B,0),MATCH(Council_Area,'2BR_F-processed'!$E$1:$E$1,0)))</f>
        <v>690</v>
      </c>
      <c r="U70" s="22">
        <f t="shared" si="94"/>
        <v>640.86946011281202</v>
      </c>
      <c r="V70" s="22">
        <f t="shared" si="95"/>
        <v>8422.8557614826732</v>
      </c>
      <c r="W70" s="22">
        <f>$B$53/4*BH70/_xlfn.XLOOKUP(Q_end,cpi!A:A,cpi!B:B)</f>
        <v>181.06427090532137</v>
      </c>
      <c r="X70" s="22">
        <f t="shared" si="72"/>
        <v>8603.9200323879941</v>
      </c>
      <c r="Y70" s="22">
        <f t="shared" si="73"/>
        <v>56.898032562317894</v>
      </c>
      <c r="Z70" s="22">
        <f t="shared" si="96"/>
        <v>0</v>
      </c>
      <c r="AA70" s="22" cm="1">
        <f t="array" ref="AA70">(Y70+Z70)*eff_invest</f>
        <v>56.898032562317894</v>
      </c>
      <c r="AB70" s="22">
        <f>AA70*(_xlfn.XLOOKUP(Q_end,cpi!A:A,cpi!B:B)/BH70)</f>
        <v>62.848437494407619</v>
      </c>
      <c r="AC70" s="22" cm="1">
        <f t="array" ref="AC70">INDEX('msci-indices'!C:C,MATCH($L70,'msci-indices'!$B:$B)-2)</f>
        <v>2000.7468469999999</v>
      </c>
      <c r="AD70" s="22" cm="1">
        <f t="array" ref="AD70">INDEX('msci-indices'!D:D,MATCH($L70,'msci-indices'!$B:$B)-2)</f>
        <v>1968.166029</v>
      </c>
      <c r="AE70" s="22">
        <f t="shared" si="97"/>
        <v>486477.7362756785</v>
      </c>
      <c r="AF70" s="22" cm="1">
        <f t="array" ref="AF70">INDEX('msci-indices'!C:C,MATCH($L70,'msci-indices'!$B:$B)+1)</f>
        <v>2198.4432400000001</v>
      </c>
      <c r="AG70" s="22" cm="1">
        <f t="array" ref="AG70">INDEX('msci-indices'!D:D,MATCH($L70,'msci-indices'!$B:$B)+1)</f>
        <v>2149.944184</v>
      </c>
      <c r="AH70" s="22">
        <f t="shared" si="74"/>
        <v>304.04858517229906</v>
      </c>
      <c r="AI70" s="22">
        <f t="shared" si="75"/>
        <v>533301.53736867616</v>
      </c>
      <c r="AJ70" s="22">
        <f t="shared" si="98"/>
        <v>208314.73589651997</v>
      </c>
      <c r="AK70" s="22">
        <f t="shared" si="76"/>
        <v>324986.80147215619</v>
      </c>
      <c r="AL70" s="22">
        <f>AJ70*(_xlfn.XLOOKUP(Q_end,cpi!A:A,cpi!B:B)/BH70)</f>
        <v>230100.32278035447</v>
      </c>
      <c r="AM70" s="22" cm="1">
        <f t="array" ref="AM70">SUMPRODUCT($AA$3:AA70,_xlfn.SORTBY($BH$3:BH70,_xlfn.SEQUENCE(ROWS($BH$3:BH70)),-1)/$BH$3)</f>
        <v>297972.56250626536</v>
      </c>
      <c r="AN70" s="22">
        <f t="shared" si="99"/>
        <v>235328.9748624108</v>
      </c>
      <c r="AO70" s="22">
        <f t="shared" si="77"/>
        <v>0</v>
      </c>
      <c r="AP70" s="22">
        <f t="shared" si="100"/>
        <v>533301.53736867616</v>
      </c>
      <c r="AQ70" s="22"/>
      <c r="AR70" s="10">
        <f>IF($B$10="3BR_H",
INDEX('ns-combined'!$C:$C,MATCH($L70,'ns-combined'!$B:$B,0),MATCH(Council_Area,'ns-combined'!$C$1:$C$1,0))*1000,
INDEX('s-combined'!$C:$C,MATCH($L70,'s-combined'!$B:$B,0),MATCH(Council_Area,'s-combined'!$C$1:$C$1,0))*1000)</f>
        <v>1000000</v>
      </c>
      <c r="AS70" s="22">
        <f t="shared" si="104"/>
        <v>65450</v>
      </c>
      <c r="AT70" s="10">
        <v>0</v>
      </c>
      <c r="AU70" s="22">
        <f t="shared" si="78"/>
        <v>20000</v>
      </c>
      <c r="AV70" s="22">
        <f t="shared" si="79"/>
        <v>2875</v>
      </c>
      <c r="AW70" s="22">
        <f>SUM($AV$3:AV70)</f>
        <v>119452.8</v>
      </c>
      <c r="AX70" s="22">
        <f t="shared" si="80"/>
        <v>795097.2</v>
      </c>
      <c r="AY70" s="22">
        <f t="shared" si="81"/>
        <v>2947.9995165189357</v>
      </c>
      <c r="AZ70" s="24">
        <f t="shared" si="82"/>
        <v>1.1791998066075744E-2</v>
      </c>
      <c r="BA70" s="24">
        <f t="shared" si="83"/>
        <v>0.35000000000000003</v>
      </c>
      <c r="BB70" s="25">
        <f>IF(MortgageRate="Discounted",_xlfn.XLOOKUP(L70,'mortgage-rates'!$A:$A,'mortgage-rates'!$E:$E)/100,_xlfn.XLOOKUP(L70,'mortgage-rates'!$A:$A,'mortgage-rates'!$D:$D)/100)</f>
        <v>5.9699999999999996E-2</v>
      </c>
      <c r="BC70" s="10">
        <f t="shared" si="101"/>
        <v>148012.93725661558</v>
      </c>
      <c r="BD70" s="10">
        <f t="shared" si="84"/>
        <v>5712.8185484313753</v>
      </c>
      <c r="BE70" s="10">
        <f t="shared" si="102"/>
        <v>2209.0930885549874</v>
      </c>
      <c r="BF70" s="10">
        <f t="shared" si="105"/>
        <v>3503.725459876388</v>
      </c>
      <c r="BG70" s="12">
        <f t="shared" si="85"/>
        <v>8660.818064950312</v>
      </c>
      <c r="BH70" s="22">
        <f>INDEX(cpi!B:B,MATCH($L70,cpi!A:A))</f>
        <v>131</v>
      </c>
      <c r="BI70" s="22">
        <f t="shared" si="86"/>
        <v>154.84633569739952</v>
      </c>
      <c r="BJ70" s="22">
        <f t="shared" si="87"/>
        <v>265.04184479821646</v>
      </c>
      <c r="BK70" s="22">
        <f t="shared" si="88"/>
        <v>276.05705641569335</v>
      </c>
      <c r="BL70" s="22">
        <f t="shared" si="89"/>
        <v>268.34640828345954</v>
      </c>
      <c r="BM70" s="22">
        <f t="shared" si="90"/>
        <v>486.55255576572171</v>
      </c>
      <c r="BN70" s="22">
        <f t="shared" si="91"/>
        <v>259.74025974025972</v>
      </c>
      <c r="BO70">
        <f t="shared" si="92"/>
        <v>211.8956042034149</v>
      </c>
    </row>
    <row r="71" spans="2:67" x14ac:dyDescent="0.25">
      <c r="L71" s="1">
        <f t="shared" si="103"/>
        <v>44986</v>
      </c>
      <c r="M71" s="10">
        <f t="shared" si="68"/>
        <v>565556.10335457581</v>
      </c>
      <c r="N71" s="10">
        <f t="shared" si="69"/>
        <v>631116.48820326081</v>
      </c>
      <c r="O71" s="7">
        <f t="shared" si="93"/>
        <v>0.89611999357625671</v>
      </c>
      <c r="P71" s="7">
        <f t="shared" si="70"/>
        <v>1.0154622150047108</v>
      </c>
      <c r="Q71">
        <v>69</v>
      </c>
      <c r="R71">
        <f t="shared" si="71"/>
        <v>90</v>
      </c>
      <c r="S71" s="22"/>
      <c r="T71" s="22">
        <f>IF($B$10="3BR_H",
INDEX('3BR_H-processed'!$E:$E,MATCH($L71,'3BR_H-processed'!$B:$B,0),MATCH(Council_Area,'3BR_H-processed'!$E$1:$E$1,0)),
INDEX('2BR_F-processed'!$E:$E,MATCH($L71,'2BR_F-processed'!$B:$B,0),MATCH(Council_Area,'2BR_F-processed'!$E$1:$E$1,0)))</f>
        <v>690</v>
      </c>
      <c r="U71" s="22">
        <f t="shared" si="94"/>
        <v>690</v>
      </c>
      <c r="V71" s="22">
        <f t="shared" si="95"/>
        <v>8871.4285714285706</v>
      </c>
      <c r="W71" s="22">
        <f>$B$53/4*BH71/_xlfn.XLOOKUP(Q_end,cpi!A:A,cpi!B:B)</f>
        <v>183.41395991706977</v>
      </c>
      <c r="X71" s="22">
        <f t="shared" si="72"/>
        <v>9054.842531345641</v>
      </c>
      <c r="Y71" s="22">
        <f t="shared" si="73"/>
        <v>-137.87605287983752</v>
      </c>
      <c r="Z71" s="22">
        <f t="shared" si="96"/>
        <v>0</v>
      </c>
      <c r="AA71" s="22" cm="1">
        <f t="array" ref="AA71">(Y71+Z71)*eff_invest</f>
        <v>-137.87605287983752</v>
      </c>
      <c r="AB71" s="22">
        <f>AA71*(_xlfn.XLOOKUP(Q_end,cpi!A:A,cpi!B:B)/BH71)</f>
        <v>-150.34412096241513</v>
      </c>
      <c r="AC71" s="22" cm="1">
        <f t="array" ref="AC71">INDEX('msci-indices'!C:C,MATCH($L71,'msci-indices'!$B:$B)-2)</f>
        <v>2198.4432400000001</v>
      </c>
      <c r="AD71" s="22" cm="1">
        <f t="array" ref="AD71">INDEX('msci-indices'!D:D,MATCH($L71,'msci-indices'!$B:$B)-2)</f>
        <v>2149.944184</v>
      </c>
      <c r="AE71" s="22">
        <f t="shared" si="97"/>
        <v>533163.66131579631</v>
      </c>
      <c r="AF71" s="22" cm="1">
        <f t="array" ref="AF71">INDEX('msci-indices'!C:C,MATCH($L71,'msci-indices'!$B:$B)+1)</f>
        <v>2359.7519419999999</v>
      </c>
      <c r="AG71" s="22" cm="1">
        <f t="array" ref="AG71">INDEX('msci-indices'!D:D,MATCH($L71,'msci-indices'!$B:$B)+1)</f>
        <v>2221.7402550000002</v>
      </c>
      <c r="AH71" s="22">
        <f t="shared" si="74"/>
        <v>333.22728832237271</v>
      </c>
      <c r="AI71" s="22">
        <f t="shared" si="75"/>
        <v>565556.10335457581</v>
      </c>
      <c r="AJ71" s="22">
        <f t="shared" si="98"/>
        <v>208176.85984364012</v>
      </c>
      <c r="AK71" s="22">
        <f t="shared" si="76"/>
        <v>357379.24351093569</v>
      </c>
      <c r="AL71" s="22">
        <f>AJ71*(_xlfn.XLOOKUP(Q_end,cpi!A:A,cpi!B:B)/BH71)</f>
        <v>227002.19758383365</v>
      </c>
      <c r="AM71" s="22" cm="1">
        <f t="array" ref="AM71">SUMPRODUCT($AA$3:AA71,_xlfn.SORTBY($BH$3:BH71,_xlfn.SEQUENCE(ROWS($BH$3:BH71)),-1)/$BH$3)</f>
        <v>300893.68772040884</v>
      </c>
      <c r="AN71" s="22">
        <f t="shared" si="99"/>
        <v>264662.41563416697</v>
      </c>
      <c r="AO71" s="22">
        <f t="shared" si="77"/>
        <v>0</v>
      </c>
      <c r="AP71" s="22">
        <f t="shared" si="100"/>
        <v>565556.10335457581</v>
      </c>
      <c r="AQ71" s="22"/>
      <c r="AR71" s="10">
        <f>IF($B$10="3BR_H",
INDEX('ns-combined'!$C:$C,MATCH($L71,'ns-combined'!$B:$B,0),MATCH(Council_Area,'ns-combined'!$C$1:$C$1,0))*1000,
INDEX('s-combined'!$C:$C,MATCH($L71,'s-combined'!$B:$B,0),MATCH(Council_Area,'s-combined'!$C$1:$C$1,0))*1000)</f>
        <v>984000</v>
      </c>
      <c r="AS71" s="22">
        <f t="shared" si="104"/>
        <v>66412.5</v>
      </c>
      <c r="AT71" s="10">
        <v>0</v>
      </c>
      <c r="AU71" s="22">
        <f t="shared" si="78"/>
        <v>19680</v>
      </c>
      <c r="AV71" s="22">
        <f t="shared" si="79"/>
        <v>2829</v>
      </c>
      <c r="AW71" s="22">
        <f>SUM($AV$3:AV71)</f>
        <v>122281.8</v>
      </c>
      <c r="AX71" s="22">
        <f t="shared" si="80"/>
        <v>775625.7</v>
      </c>
      <c r="AY71" s="22">
        <f t="shared" si="81"/>
        <v>3105</v>
      </c>
      <c r="AZ71" s="24">
        <f t="shared" si="82"/>
        <v>1.2621951219512196E-2</v>
      </c>
      <c r="BA71" s="24">
        <f t="shared" si="83"/>
        <v>0.35000000000000003</v>
      </c>
      <c r="BB71" s="25">
        <f>IF(MortgageRate="Discounted",_xlfn.XLOOKUP(L71,'mortgage-rates'!$A:$A,'mortgage-rates'!$E:$E)/100,_xlfn.XLOOKUP(L71,'mortgage-rates'!$A:$A,'mortgage-rates'!$D:$D)/100)</f>
        <v>6.4299999999999996E-2</v>
      </c>
      <c r="BC71" s="10">
        <f t="shared" si="101"/>
        <v>144509.2117967392</v>
      </c>
      <c r="BD71" s="10">
        <f t="shared" si="84"/>
        <v>5811.9664784658034</v>
      </c>
      <c r="BE71" s="10">
        <f t="shared" si="102"/>
        <v>2322.9855796325824</v>
      </c>
      <c r="BF71" s="10">
        <f t="shared" si="105"/>
        <v>3488.9808988332211</v>
      </c>
      <c r="BG71" s="12">
        <f t="shared" si="85"/>
        <v>8916.9664784658034</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533.24566102569997</v>
      </c>
      <c r="BN71" s="22">
        <f t="shared" si="91"/>
        <v>255.58441558441558</v>
      </c>
      <c r="BO71">
        <f t="shared" si="92"/>
        <v>206.70639556672646</v>
      </c>
    </row>
    <row r="72" spans="2:67" x14ac:dyDescent="0.25">
      <c r="L72" s="1">
        <f t="shared" si="103"/>
        <v>45078</v>
      </c>
      <c r="M72" s="10">
        <f t="shared" si="68"/>
        <v>592379.50328505202</v>
      </c>
      <c r="N72" s="10">
        <f t="shared" si="69"/>
        <v>629836.84410209395</v>
      </c>
      <c r="O72" s="7">
        <f t="shared" si="93"/>
        <v>0.94052850167817392</v>
      </c>
      <c r="P72" s="7">
        <f t="shared" si="70"/>
        <v>1.0076953224602501</v>
      </c>
      <c r="Q72">
        <v>70</v>
      </c>
      <c r="R72">
        <f t="shared" si="71"/>
        <v>91</v>
      </c>
      <c r="S72" s="22"/>
      <c r="T72" s="22">
        <f>IF($B$10="3BR_H",
INDEX('3BR_H-processed'!$E:$E,MATCH($L72,'3BR_H-processed'!$B:$B,0),MATCH(Council_Area,'3BR_H-processed'!$E$1:$E$1,0)),
INDEX('2BR_F-processed'!$E:$E,MATCH($L72,'2BR_F-processed'!$B:$B,0),MATCH(Council_Area,'2BR_F-processed'!$E$1:$E$1,0)))</f>
        <v>675</v>
      </c>
      <c r="U72" s="22">
        <f t="shared" si="94"/>
        <v>690</v>
      </c>
      <c r="V72" s="22">
        <f t="shared" si="95"/>
        <v>8970</v>
      </c>
      <c r="W72" s="22">
        <f>$B$53/4*BH72/_xlfn.XLOOKUP(Q_end,cpi!A:A,cpi!B:B)</f>
        <v>184.93434692467179</v>
      </c>
      <c r="X72" s="22">
        <f t="shared" si="72"/>
        <v>9154.9343469246724</v>
      </c>
      <c r="Y72" s="22">
        <f t="shared" si="73"/>
        <v>-69.912175170173214</v>
      </c>
      <c r="Z72" s="22">
        <f t="shared" si="96"/>
        <v>0</v>
      </c>
      <c r="AA72" s="22" cm="1">
        <f t="array" ref="AA72">(Y72+Z72)*eff_invest</f>
        <v>-69.912175170173214</v>
      </c>
      <c r="AB72" s="22">
        <f>AA72*(_xlfn.XLOOKUP(Q_end,cpi!A:A,cpi!B:B)/BH72)</f>
        <v>-75.607561637698524</v>
      </c>
      <c r="AC72" s="22" cm="1">
        <f t="array" ref="AC72">INDEX('msci-indices'!C:C,MATCH($L72,'msci-indices'!$B:$B)-2)</f>
        <v>2359.7519419999999</v>
      </c>
      <c r="AD72" s="22" cm="1">
        <f t="array" ref="AD72">INDEX('msci-indices'!D:D,MATCH($L72,'msci-indices'!$B:$B)-2)</f>
        <v>2221.7402550000002</v>
      </c>
      <c r="AE72" s="22">
        <f t="shared" si="97"/>
        <v>565486.19117940567</v>
      </c>
      <c r="AF72" s="22" cm="1">
        <f t="array" ref="AF72">INDEX('msci-indices'!C:C,MATCH($L72,'msci-indices'!$B:$B)+1)</f>
        <v>2511.4075790000002</v>
      </c>
      <c r="AG72" s="22" cm="1">
        <f t="array" ref="AG72">INDEX('msci-indices'!D:D,MATCH($L72,'msci-indices'!$B:$B)+1)</f>
        <v>2245.4056799999998</v>
      </c>
      <c r="AH72" s="22">
        <f t="shared" si="74"/>
        <v>353.42886948712857</v>
      </c>
      <c r="AI72" s="22">
        <f t="shared" si="75"/>
        <v>592379.50328505202</v>
      </c>
      <c r="AJ72" s="22">
        <f t="shared" si="98"/>
        <v>208106.94766846995</v>
      </c>
      <c r="AK72" s="22">
        <f t="shared" si="76"/>
        <v>384272.55561658205</v>
      </c>
      <c r="AL72" s="22">
        <f>AJ72*(_xlfn.XLOOKUP(Q_end,cpi!A:A,cpi!B:B)/BH72)</f>
        <v>225060.35371918982</v>
      </c>
      <c r="AM72" s="22" cm="1">
        <f t="array" ref="AM72">SUMPRODUCT($AA$3:AA72,_xlfn.SORTBY($BH$3:BH72,_xlfn.SEQUENCE(ROWS($BH$3:BH72)),-1)/$BH$3)</f>
        <v>303220.49326648726</v>
      </c>
      <c r="AN72" s="22">
        <f t="shared" si="99"/>
        <v>289159.01001856476</v>
      </c>
      <c r="AO72" s="22">
        <f t="shared" si="77"/>
        <v>0</v>
      </c>
      <c r="AP72" s="22">
        <f t="shared" si="100"/>
        <v>592379.50328505202</v>
      </c>
      <c r="AQ72" s="22"/>
      <c r="AR72" s="10">
        <f>IF($B$10="3BR_H",
INDEX('ns-combined'!$C:$C,MATCH($L72,'ns-combined'!$B:$B,0),MATCH(Council_Area,'ns-combined'!$C$1:$C$1,0))*1000,
INDEX('s-combined'!$C:$C,MATCH($L72,'s-combined'!$B:$B,0),MATCH(Council_Area,'s-combined'!$C$1:$C$1,0))*1000)</f>
        <v>983000</v>
      </c>
      <c r="AS72" s="22">
        <f t="shared" si="104"/>
        <v>67375</v>
      </c>
      <c r="AT72" s="10">
        <v>0</v>
      </c>
      <c r="AU72" s="22">
        <f t="shared" si="78"/>
        <v>19660</v>
      </c>
      <c r="AV72" s="22">
        <f t="shared" si="79"/>
        <v>2826.125</v>
      </c>
      <c r="AW72" s="22">
        <f>SUM($AV$3:AV72)</f>
        <v>125107.925</v>
      </c>
      <c r="AX72" s="22">
        <f t="shared" si="80"/>
        <v>770857.07499999995</v>
      </c>
      <c r="AY72" s="22">
        <f t="shared" si="81"/>
        <v>3139.5000000000005</v>
      </c>
      <c r="AZ72" s="24">
        <f t="shared" si="82"/>
        <v>1.2775178026449646E-2</v>
      </c>
      <c r="BA72" s="24">
        <f t="shared" si="83"/>
        <v>0.35000000000000003</v>
      </c>
      <c r="BB72" s="25">
        <f>IF(MortgageRate="Discounted",_xlfn.XLOOKUP(L72,'mortgage-rates'!$A:$A,'mortgage-rates'!$E:$E)/100,_xlfn.XLOOKUP(L72,'mortgage-rates'!$A:$A,'mortgage-rates'!$D:$D)/100)</f>
        <v>7.0599999999999996E-2</v>
      </c>
      <c r="BC72" s="10">
        <f t="shared" si="101"/>
        <v>141020.23089790597</v>
      </c>
      <c r="BD72" s="10">
        <f t="shared" si="84"/>
        <v>5945.5221717544991</v>
      </c>
      <c r="BE72" s="10">
        <f t="shared" si="102"/>
        <v>2489.0070753480404</v>
      </c>
      <c r="BF72" s="10">
        <f t="shared" si="105"/>
        <v>3456.5150964064587</v>
      </c>
      <c r="BG72" s="12">
        <f t="shared" si="85"/>
        <v>9085.0221717544991</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565.57316204219251</v>
      </c>
      <c r="BN72" s="22">
        <f t="shared" si="91"/>
        <v>255.32467532467533</v>
      </c>
      <c r="BO72">
        <f t="shared" si="92"/>
        <v>205.43554380722523</v>
      </c>
    </row>
    <row r="73" spans="2:67" x14ac:dyDescent="0.25">
      <c r="L73" s="1">
        <f t="shared" si="103"/>
        <v>45170</v>
      </c>
      <c r="M73" s="10">
        <f t="shared" si="68"/>
        <v>576313.46326573775</v>
      </c>
      <c r="N73" s="10">
        <f t="shared" si="69"/>
        <v>631458.9841985004</v>
      </c>
      <c r="O73" s="7">
        <f t="shared" si="93"/>
        <v>0.91266967085319428</v>
      </c>
      <c r="P73" s="7">
        <f t="shared" si="70"/>
        <v>1.0149041407204697</v>
      </c>
      <c r="Q73">
        <v>71</v>
      </c>
      <c r="R73">
        <f t="shared" si="71"/>
        <v>92</v>
      </c>
      <c r="S73" s="22"/>
      <c r="T73" s="22">
        <f>IF($B$10="3BR_H",
INDEX('3BR_H-processed'!$E:$E,MATCH($L73,'3BR_H-processed'!$B:$B,0),MATCH(Council_Area,'3BR_H-processed'!$E$1:$E$1,0)),
INDEX('2BR_F-processed'!$E:$E,MATCH($L73,'2BR_F-processed'!$B:$B,0),MATCH(Council_Area,'2BR_F-processed'!$E$1:$E$1,0)))</f>
        <v>660</v>
      </c>
      <c r="U73" s="22">
        <f t="shared" si="94"/>
        <v>690</v>
      </c>
      <c r="V73" s="22">
        <f t="shared" si="95"/>
        <v>9068.5714285714294</v>
      </c>
      <c r="W73" s="22">
        <f>$B$53/4*BH73/_xlfn.XLOOKUP(Q_end,cpi!A:A,cpi!B:B)</f>
        <v>186.86938493434693</v>
      </c>
      <c r="X73" s="22">
        <f t="shared" si="72"/>
        <v>9255.4408135057765</v>
      </c>
      <c r="Y73" s="22">
        <f t="shared" si="73"/>
        <v>-135.91864175127375</v>
      </c>
      <c r="Z73" s="22">
        <f t="shared" si="96"/>
        <v>0</v>
      </c>
      <c r="AA73" s="22" cm="1">
        <f t="array" ref="AA73">(Y73+Z73)*eff_invest</f>
        <v>-135.91864175127375</v>
      </c>
      <c r="AB73" s="22">
        <f>AA73*(_xlfn.XLOOKUP(Q_end,cpi!A:A,cpi!B:B)/BH73)</f>
        <v>-145.46913802817539</v>
      </c>
      <c r="AC73" s="22" cm="1">
        <f t="array" ref="AC73">INDEX('msci-indices'!C:C,MATCH($L73,'msci-indices'!$B:$B)-2)</f>
        <v>2511.4075790000002</v>
      </c>
      <c r="AD73" s="22" cm="1">
        <f t="array" ref="AD73">INDEX('msci-indices'!D:D,MATCH($L73,'msci-indices'!$B:$B)-2)</f>
        <v>2245.4056799999998</v>
      </c>
      <c r="AE73" s="22">
        <f t="shared" si="97"/>
        <v>592243.58464330074</v>
      </c>
      <c r="AF73" s="22" cm="1">
        <f t="array" ref="AF73">INDEX('msci-indices'!C:C,MATCH($L73,'msci-indices'!$B:$B)+1)</f>
        <v>2421.9848459999998</v>
      </c>
      <c r="AG73" s="22" cm="1">
        <f t="array" ref="AG73">INDEX('msci-indices'!D:D,MATCH($L73,'msci-indices'!$B:$B)+1)</f>
        <v>2235.3141679999999</v>
      </c>
      <c r="AH73" s="22">
        <f t="shared" si="74"/>
        <v>370.15224040206294</v>
      </c>
      <c r="AI73" s="22">
        <f t="shared" si="75"/>
        <v>576313.46326573775</v>
      </c>
      <c r="AJ73" s="22">
        <f t="shared" si="98"/>
        <v>207971.02902671866</v>
      </c>
      <c r="AK73" s="22">
        <f t="shared" si="76"/>
        <v>368342.43423901906</v>
      </c>
      <c r="AL73" s="22">
        <f>AJ73*(_xlfn.XLOOKUP(Q_end,cpi!A:A,cpi!B:B)/BH73)</f>
        <v>222584.37795980912</v>
      </c>
      <c r="AM73" s="22" cm="1">
        <f t="array" ref="AM73">SUMPRODUCT($AA$3:AA73,_xlfn.SORTBY($BH$3:BH73,_xlfn.SEQUENCE(ROWS($BH$3:BH73)),-1)/$BH$3)</f>
        <v>305846.3110911806</v>
      </c>
      <c r="AN73" s="22">
        <f t="shared" si="99"/>
        <v>270467.15217455715</v>
      </c>
      <c r="AO73" s="22">
        <f t="shared" si="77"/>
        <v>0</v>
      </c>
      <c r="AP73" s="22">
        <f t="shared" si="100"/>
        <v>576313.46326573775</v>
      </c>
      <c r="AQ73" s="22"/>
      <c r="AR73" s="10">
        <f>IF($B$10="3BR_H",
INDEX('ns-combined'!$C:$C,MATCH($L73,'ns-combined'!$B:$B,0),MATCH(Council_Area,'ns-combined'!$C$1:$C$1,0))*1000,
INDEX('s-combined'!$C:$C,MATCH($L73,'s-combined'!$B:$B,0),MATCH(Council_Area,'s-combined'!$C$1:$C$1,0))*1000)</f>
        <v>985000</v>
      </c>
      <c r="AS73" s="22">
        <f t="shared" si="104"/>
        <v>68337.5</v>
      </c>
      <c r="AT73" s="10">
        <v>0</v>
      </c>
      <c r="AU73" s="22">
        <f t="shared" si="78"/>
        <v>19700</v>
      </c>
      <c r="AV73" s="22">
        <f t="shared" si="79"/>
        <v>2831.875</v>
      </c>
      <c r="AW73" s="22">
        <f>SUM($AV$3:AV73)</f>
        <v>127939.8</v>
      </c>
      <c r="AX73" s="22">
        <f t="shared" si="80"/>
        <v>769022.7</v>
      </c>
      <c r="AY73" s="22">
        <f t="shared" si="81"/>
        <v>3174.0000000000005</v>
      </c>
      <c r="AZ73" s="24">
        <f t="shared" si="82"/>
        <v>1.2889340101522845E-2</v>
      </c>
      <c r="BA73" s="24">
        <f t="shared" si="83"/>
        <v>0.35000000000000003</v>
      </c>
      <c r="BB73" s="25">
        <f>IF(MortgageRate="Discounted",_xlfn.XLOOKUP(L73,'mortgage-rates'!$A:$A,'mortgage-rates'!$E:$E)/100,_xlfn.XLOOKUP(L73,'mortgage-rates'!$A:$A,'mortgage-rates'!$D:$D)/100)</f>
        <v>7.0599999999999996E-2</v>
      </c>
      <c r="BC73" s="10">
        <f t="shared" si="101"/>
        <v>137563.71580149952</v>
      </c>
      <c r="BD73" s="10">
        <f t="shared" si="84"/>
        <v>5945.5221717545019</v>
      </c>
      <c r="BE73" s="10">
        <f t="shared" si="102"/>
        <v>2427.9995838964664</v>
      </c>
      <c r="BF73" s="10">
        <f t="shared" si="105"/>
        <v>3517.5225878580354</v>
      </c>
      <c r="BG73" s="12">
        <f t="shared" si="85"/>
        <v>9119.5221717545028</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592.3346707499818</v>
      </c>
      <c r="BN73" s="22">
        <f t="shared" si="91"/>
        <v>255.84415584415584</v>
      </c>
      <c r="BO73">
        <f t="shared" si="92"/>
        <v>204.94667779315722</v>
      </c>
    </row>
    <row r="74" spans="2:67" x14ac:dyDescent="0.25">
      <c r="L74" s="1">
        <f t="shared" si="103"/>
        <v>45261</v>
      </c>
      <c r="M74" s="10">
        <f t="shared" si="68"/>
        <v>637193.192232106</v>
      </c>
      <c r="N74" s="10">
        <f t="shared" si="69"/>
        <v>645839.00678635843</v>
      </c>
      <c r="O74" s="7">
        <f t="shared" si="93"/>
        <v>0.986613049903453</v>
      </c>
      <c r="P74" s="7">
        <f t="shared" si="70"/>
        <v>1.0094874544400851</v>
      </c>
      <c r="Q74">
        <v>72</v>
      </c>
      <c r="R74">
        <f t="shared" si="71"/>
        <v>92</v>
      </c>
      <c r="S74" s="22"/>
      <c r="T74" s="22">
        <f>IF($B$10="3BR_H",
INDEX('3BR_H-processed'!$E:$E,MATCH($L74,'3BR_H-processed'!$B:$B,0),MATCH(Council_Area,'3BR_H-processed'!$E$1:$E$1,0)),
INDEX('2BR_F-processed'!$E:$E,MATCH($L74,'2BR_F-processed'!$B:$B,0),MATCH(Council_Area,'2BR_F-processed'!$E$1:$E$1,0)))</f>
        <v>680</v>
      </c>
      <c r="U74" s="22">
        <f t="shared" si="94"/>
        <v>690</v>
      </c>
      <c r="V74" s="22">
        <f t="shared" si="95"/>
        <v>9068.5714285714294</v>
      </c>
      <c r="W74" s="22">
        <f>$B$53/4*BH74/_xlfn.XLOOKUP(Q_end,cpi!A:A,cpi!B:B)</f>
        <v>188.38977194194891</v>
      </c>
      <c r="X74" s="22">
        <f t="shared" si="72"/>
        <v>9256.9612005133786</v>
      </c>
      <c r="Y74" s="22">
        <f t="shared" si="73"/>
        <v>-86.999592968908473</v>
      </c>
      <c r="Z74" s="22">
        <f t="shared" si="96"/>
        <v>0</v>
      </c>
      <c r="AA74" s="22" cm="1">
        <f t="array" ref="AA74">(Y74+Z74)*eff_invest</f>
        <v>-86.999592968908473</v>
      </c>
      <c r="AB74" s="22">
        <f>AA74*(_xlfn.XLOOKUP(Q_end,cpi!A:A,cpi!B:B)/BH74)</f>
        <v>-92.361270011746555</v>
      </c>
      <c r="AC74" s="22" cm="1">
        <f t="array" ref="AC74">INDEX('msci-indices'!C:C,MATCH($L74,'msci-indices'!$B:$B)-2)</f>
        <v>2421.9848459999998</v>
      </c>
      <c r="AD74" s="22" cm="1">
        <f t="array" ref="AD74">INDEX('msci-indices'!D:D,MATCH($L74,'msci-indices'!$B:$B)-2)</f>
        <v>2235.3141679999999</v>
      </c>
      <c r="AE74" s="22">
        <f t="shared" si="97"/>
        <v>576226.46367276879</v>
      </c>
      <c r="AF74" s="22" cm="1">
        <f t="array" ref="AF74">INDEX('msci-indices'!C:C,MATCH($L74,'msci-indices'!$B:$B)+1)</f>
        <v>2701.360248</v>
      </c>
      <c r="AG74" s="22" cm="1">
        <f t="array" ref="AG74">INDEX('msci-indices'!D:D,MATCH($L74,'msci-indices'!$B:$B)+1)</f>
        <v>2426.6837019999998</v>
      </c>
      <c r="AH74" s="22">
        <f t="shared" si="74"/>
        <v>360.14153979548053</v>
      </c>
      <c r="AI74" s="22">
        <f t="shared" si="75"/>
        <v>637193.192232106</v>
      </c>
      <c r="AJ74" s="22">
        <f t="shared" si="98"/>
        <v>207884.02943374976</v>
      </c>
      <c r="AK74" s="22">
        <f t="shared" si="76"/>
        <v>429309.16279835626</v>
      </c>
      <c r="AL74" s="22">
        <f>AJ74*(_xlfn.XLOOKUP(Q_end,cpi!A:A,cpi!B:B)/BH74)</f>
        <v>220695.66440985756</v>
      </c>
      <c r="AM74" s="22" cm="1">
        <f t="array" ref="AM74">SUMPRODUCT($AA$3:AA74,_xlfn.SORTBY($BH$3:BH74,_xlfn.SEQUENCE(ROWS($BH$3:BH74)),-1)/$BH$3)</f>
        <v>308202.91506372287</v>
      </c>
      <c r="AN74" s="22">
        <f t="shared" si="99"/>
        <v>328990.27716838312</v>
      </c>
      <c r="AO74" s="22">
        <f t="shared" si="77"/>
        <v>0</v>
      </c>
      <c r="AP74" s="22">
        <f t="shared" si="100"/>
        <v>637193.192232106</v>
      </c>
      <c r="AQ74" s="22"/>
      <c r="AR74" s="10">
        <f>IF($B$10="3BR_H",
INDEX('ns-combined'!$C:$C,MATCH($L74,'ns-combined'!$B:$B,0),MATCH(Council_Area,'ns-combined'!$C$1:$C$1,0))*1000,
INDEX('s-combined'!$C:$C,MATCH($L74,'s-combined'!$B:$B,0),MATCH(Council_Area,'s-combined'!$C$1:$C$1,0))*1000)</f>
        <v>1000000</v>
      </c>
      <c r="AS74" s="22">
        <f t="shared" si="104"/>
        <v>69300</v>
      </c>
      <c r="AT74" s="10">
        <v>0</v>
      </c>
      <c r="AU74" s="22">
        <f t="shared" si="78"/>
        <v>20000</v>
      </c>
      <c r="AV74" s="22">
        <f t="shared" si="79"/>
        <v>2875</v>
      </c>
      <c r="AW74" s="22">
        <f>SUM($AV$3:AV74)</f>
        <v>130814.8</v>
      </c>
      <c r="AX74" s="22">
        <f t="shared" si="80"/>
        <v>779885.2</v>
      </c>
      <c r="AY74" s="22">
        <f t="shared" si="81"/>
        <v>3174.0000000000005</v>
      </c>
      <c r="AZ74" s="24">
        <f t="shared" si="82"/>
        <v>1.2696000000000002E-2</v>
      </c>
      <c r="BA74" s="24">
        <f t="shared" si="83"/>
        <v>0.35000000000000003</v>
      </c>
      <c r="BB74" s="25">
        <f>IF(MortgageRate="Discounted",_xlfn.XLOOKUP(L74,'mortgage-rates'!$A:$A,'mortgage-rates'!$E:$E)/100,_xlfn.XLOOKUP(L74,'mortgage-rates'!$A:$A,'mortgage-rates'!$D:$D)/100)</f>
        <v>7.3099999999999998E-2</v>
      </c>
      <c r="BC74" s="10">
        <f t="shared" si="101"/>
        <v>134046.1932136415</v>
      </c>
      <c r="BD74" s="10">
        <f t="shared" si="84"/>
        <v>5995.9616075444692</v>
      </c>
      <c r="BE74" s="10">
        <f t="shared" si="102"/>
        <v>2449.6941809792984</v>
      </c>
      <c r="BF74" s="10">
        <f t="shared" si="105"/>
        <v>3546.2674265651708</v>
      </c>
      <c r="BG74" s="12">
        <f t="shared" si="85"/>
        <v>9169.9616075444701</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576.31508637211664</v>
      </c>
      <c r="BN74" s="22">
        <f t="shared" si="91"/>
        <v>259.74025974025972</v>
      </c>
      <c r="BO74">
        <f t="shared" si="92"/>
        <v>207.84156410474225</v>
      </c>
    </row>
    <row r="75" spans="2:67" x14ac:dyDescent="0.25">
      <c r="L75" s="1">
        <f t="shared" si="103"/>
        <v>45352</v>
      </c>
      <c r="M75" s="10">
        <f t="shared" si="68"/>
        <v>685021.716692216</v>
      </c>
      <c r="N75" s="10">
        <f t="shared" si="69"/>
        <v>630890.8992129236</v>
      </c>
      <c r="O75" s="7">
        <f t="shared" si="93"/>
        <v>1.0858005996707576</v>
      </c>
      <c r="P75" s="7">
        <f t="shared" si="70"/>
        <v>0.99806169312111159</v>
      </c>
      <c r="Q75">
        <v>73</v>
      </c>
      <c r="R75">
        <f t="shared" si="71"/>
        <v>91</v>
      </c>
      <c r="S75" s="22"/>
      <c r="T75" s="22">
        <f>IF($B$10="3BR_H",
INDEX('3BR_H-processed'!$E:$E,MATCH($L75,'3BR_H-processed'!$B:$B,0),MATCH(Council_Area,'3BR_H-processed'!$E$1:$E$1,0)),
INDEX('2BR_F-processed'!$E:$E,MATCH($L75,'2BR_F-processed'!$B:$B,0),MATCH(Council_Area,'2BR_F-processed'!$E$1:$E$1,0)))</f>
        <v>685</v>
      </c>
      <c r="U75" s="22">
        <f t="shared" si="94"/>
        <v>685</v>
      </c>
      <c r="V75" s="22">
        <f t="shared" si="95"/>
        <v>8905</v>
      </c>
      <c r="W75" s="22">
        <f>$B$53/4*BH75/_xlfn.XLOOKUP(Q_end,cpi!A:A,cpi!B:B)</f>
        <v>190.0483759502419</v>
      </c>
      <c r="X75" s="22">
        <f t="shared" si="72"/>
        <v>9095.0483759502422</v>
      </c>
      <c r="Y75" s="22">
        <f t="shared" si="73"/>
        <v>17.663231594229728</v>
      </c>
      <c r="Z75" s="22">
        <f t="shared" si="96"/>
        <v>0</v>
      </c>
      <c r="AA75" s="22" cm="1">
        <f t="array" ref="AA75">(Y75+Z75)*eff_invest</f>
        <v>17.663231594229728</v>
      </c>
      <c r="AB75" s="22">
        <f>AA75*(_xlfn.XLOOKUP(Q_end,cpi!A:A,cpi!B:B)/BH75)</f>
        <v>18.588142630436668</v>
      </c>
      <c r="AC75" s="22" cm="1">
        <f t="array" ref="AC75">INDEX('msci-indices'!C:C,MATCH($L75,'msci-indices'!$B:$B)-2)</f>
        <v>2701.360248</v>
      </c>
      <c r="AD75" s="22" cm="1">
        <f t="array" ref="AD75">INDEX('msci-indices'!D:D,MATCH($L75,'msci-indices'!$B:$B)-2)</f>
        <v>2426.6837019999998</v>
      </c>
      <c r="AE75" s="22">
        <f t="shared" si="97"/>
        <v>637210.85546370025</v>
      </c>
      <c r="AF75" s="22" cm="1">
        <f t="array" ref="AF75">INDEX('msci-indices'!C:C,MATCH($L75,'msci-indices'!$B:$B)+1)</f>
        <v>2928.0916900000002</v>
      </c>
      <c r="AG75" s="22" cm="1">
        <f t="array" ref="AG75">INDEX('msci-indices'!D:D,MATCH($L75,'msci-indices'!$B:$B)+1)</f>
        <v>2563.417899</v>
      </c>
      <c r="AH75" s="22">
        <f t="shared" si="74"/>
        <v>398.25678466481264</v>
      </c>
      <c r="AI75" s="22">
        <f t="shared" si="75"/>
        <v>685021.716692216</v>
      </c>
      <c r="AJ75" s="22">
        <f t="shared" si="98"/>
        <v>207901.69266534399</v>
      </c>
      <c r="AK75" s="22">
        <f t="shared" si="76"/>
        <v>477120.02402687201</v>
      </c>
      <c r="AL75" s="22">
        <f>AJ75*(_xlfn.XLOOKUP(Q_end,cpi!A:A,cpi!B:B)/BH75)</f>
        <v>218788.18129945654</v>
      </c>
      <c r="AM75" s="22" cm="1">
        <f t="array" ref="AM75">SUMPRODUCT($AA$3:AA75,_xlfn.SORTBY($BH$3:BH75,_xlfn.SEQUENCE(ROWS($BH$3:BH75)),-1)/$BH$3)</f>
        <v>310795.9247871908</v>
      </c>
      <c r="AN75" s="22">
        <f t="shared" si="99"/>
        <v>374225.79190502519</v>
      </c>
      <c r="AO75" s="22">
        <f t="shared" si="77"/>
        <v>0</v>
      </c>
      <c r="AP75" s="22">
        <f t="shared" si="100"/>
        <v>685021.716692216</v>
      </c>
      <c r="AQ75" s="22"/>
      <c r="AR75" s="10">
        <f>IF($B$10="3BR_H",
INDEX('ns-combined'!$C:$C,MATCH($L75,'ns-combined'!$B:$B,0),MATCH(Council_Area,'ns-combined'!$C$1:$C$1,0))*1000,
INDEX('s-combined'!$C:$C,MATCH($L75,'s-combined'!$B:$B,0),MATCH(Council_Area,'s-combined'!$C$1:$C$1,0))*1000)</f>
        <v>985000</v>
      </c>
      <c r="AS75" s="22">
        <f t="shared" si="104"/>
        <v>70262.5</v>
      </c>
      <c r="AT75" s="10">
        <v>0</v>
      </c>
      <c r="AU75" s="22">
        <f t="shared" si="78"/>
        <v>19700</v>
      </c>
      <c r="AV75" s="22">
        <f t="shared" si="79"/>
        <v>2831.875</v>
      </c>
      <c r="AW75" s="22">
        <f>SUM($AV$3:AV75)</f>
        <v>133646.67499999999</v>
      </c>
      <c r="AX75" s="22">
        <f t="shared" si="80"/>
        <v>761390.82499999995</v>
      </c>
      <c r="AY75" s="22">
        <f t="shared" si="81"/>
        <v>3116.7500000000005</v>
      </c>
      <c r="AZ75" s="24">
        <f t="shared" si="82"/>
        <v>1.2656852791878174E-2</v>
      </c>
      <c r="BA75" s="24">
        <f t="shared" si="83"/>
        <v>0.35000000000000003</v>
      </c>
      <c r="BB75" s="25">
        <f>IF(MortgageRate="Discounted",_xlfn.XLOOKUP(L75,'mortgage-rates'!$A:$A,'mortgage-rates'!$E:$E)/100,_xlfn.XLOOKUP(L75,'mortgage-rates'!$A:$A,'mortgage-rates'!$D:$D)/100)</f>
        <v>7.3099999999999998E-2</v>
      </c>
      <c r="BC75" s="10">
        <f t="shared" si="101"/>
        <v>130499.92578707632</v>
      </c>
      <c r="BD75" s="10">
        <f t="shared" si="84"/>
        <v>5995.961607544471</v>
      </c>
      <c r="BE75" s="10">
        <f t="shared" si="102"/>
        <v>2384.8861437588198</v>
      </c>
      <c r="BF75" s="10">
        <f t="shared" si="105"/>
        <v>3611.0754637856512</v>
      </c>
      <c r="BG75" s="12">
        <f t="shared" si="85"/>
        <v>9112.7116075444719</v>
      </c>
      <c r="BH75" s="22">
        <f>INDEX(cpi!B:B,MATCH($L75,cpi!A:A))</f>
        <v>137.5</v>
      </c>
      <c r="BI75" s="22">
        <f t="shared" si="86"/>
        <v>162.52955082742318</v>
      </c>
      <c r="BJ75" s="22">
        <f t="shared" si="87"/>
        <v>357.853121032302</v>
      </c>
      <c r="BK75" s="22">
        <f t="shared" si="88"/>
        <v>340.36923194250375</v>
      </c>
      <c r="BL75" s="22">
        <f t="shared" si="89"/>
        <v>352.60795430536251</v>
      </c>
      <c r="BM75" s="22">
        <f t="shared" si="90"/>
        <v>637.30885746399883</v>
      </c>
      <c r="BN75" s="22">
        <f t="shared" si="91"/>
        <v>255.84415584415584</v>
      </c>
      <c r="BO75">
        <f t="shared" si="92"/>
        <v>202.91276198471274</v>
      </c>
    </row>
    <row r="76" spans="2:67" x14ac:dyDescent="0.25">
      <c r="B76" s="7"/>
      <c r="L76" s="1">
        <f t="shared" si="103"/>
        <v>45444</v>
      </c>
      <c r="M76" s="10">
        <f t="shared" si="68"/>
        <v>692120.03637850471</v>
      </c>
      <c r="N76" s="10">
        <f t="shared" si="69"/>
        <v>635593.22467670927</v>
      </c>
      <c r="O76" s="7">
        <f t="shared" si="93"/>
        <v>1.0889355164705343</v>
      </c>
      <c r="P76" s="7">
        <f t="shared" si="70"/>
        <v>1.002237318573137</v>
      </c>
      <c r="Q76">
        <v>74</v>
      </c>
      <c r="R76">
        <f t="shared" si="71"/>
        <v>91</v>
      </c>
      <c r="S76" s="22"/>
      <c r="T76" s="22">
        <f>IF($B$10="3BR_H",
INDEX('3BR_H-processed'!$E:$E,MATCH($L76,'3BR_H-processed'!$B:$B,0),MATCH(Council_Area,'3BR_H-processed'!$E$1:$E$1,0)),
INDEX('2BR_F-processed'!$E:$E,MATCH($L76,'2BR_F-processed'!$B:$B,0),MATCH(Council_Area,'2BR_F-processed'!$E$1:$E$1,0)))</f>
        <v>690</v>
      </c>
      <c r="U76" s="22">
        <f t="shared" si="94"/>
        <v>685</v>
      </c>
      <c r="V76" s="22">
        <f t="shared" si="95"/>
        <v>8905</v>
      </c>
      <c r="W76" s="22">
        <f>$B$53/4*BH76/_xlfn.XLOOKUP(Q_end,cpi!A:A,cpi!B:B)</f>
        <v>191.98341395991707</v>
      </c>
      <c r="X76" s="22">
        <f t="shared" si="72"/>
        <v>9096.983413959917</v>
      </c>
      <c r="Y76" s="22">
        <f t="shared" si="73"/>
        <v>-20.307415793045948</v>
      </c>
      <c r="Z76" s="22">
        <f t="shared" si="96"/>
        <v>0</v>
      </c>
      <c r="AA76" s="22" cm="1">
        <f t="array" ref="AA76">(Y76+Z76)*eff_invest</f>
        <v>-20.307415793045948</v>
      </c>
      <c r="AB76" s="22">
        <f>AA76*(_xlfn.XLOOKUP(Q_end,cpi!A:A,cpi!B:B)/BH76)</f>
        <v>-21.155385638975869</v>
      </c>
      <c r="AC76" s="22" cm="1">
        <f t="array" ref="AC76">INDEX('msci-indices'!C:C,MATCH($L76,'msci-indices'!$B:$B)-2)</f>
        <v>2928.0916900000002</v>
      </c>
      <c r="AD76" s="22" cm="1">
        <f t="array" ref="AD76">INDEX('msci-indices'!D:D,MATCH($L76,'msci-indices'!$B:$B)-2)</f>
        <v>2563.417899</v>
      </c>
      <c r="AE76" s="22">
        <f t="shared" si="97"/>
        <v>685001.40927642293</v>
      </c>
      <c r="AF76" s="22" cm="1">
        <f t="array" ref="AF76">INDEX('msci-indices'!C:C,MATCH($L76,'msci-indices'!$B:$B)+1)</f>
        <v>2988.3970690000001</v>
      </c>
      <c r="AG76" s="22" cm="1">
        <f t="array" ref="AG76">INDEX('msci-indices'!D:D,MATCH($L76,'msci-indices'!$B:$B)+1)</f>
        <v>2534.3685369999998</v>
      </c>
      <c r="AH76" s="22">
        <f t="shared" si="74"/>
        <v>428.12588079776435</v>
      </c>
      <c r="AI76" s="22">
        <f t="shared" si="75"/>
        <v>692120.03637850471</v>
      </c>
      <c r="AJ76" s="22">
        <f t="shared" si="98"/>
        <v>207881.38524955095</v>
      </c>
      <c r="AK76" s="22">
        <f t="shared" si="76"/>
        <v>484238.65112895379</v>
      </c>
      <c r="AL76" s="22">
        <f>AJ76*(_xlfn.XLOOKUP(Q_end,cpi!A:A,cpi!B:B)/BH76)</f>
        <v>216561.8174629951</v>
      </c>
      <c r="AM76" s="22" cm="1">
        <f t="array" ref="AM76">SUMPRODUCT($AA$3:AA76,_xlfn.SORTBY($BH$3:BH76,_xlfn.SEQUENCE(ROWS($BH$3:BH76)),-1)/$BH$3)</f>
        <v>313617.7410549965</v>
      </c>
      <c r="AN76" s="22">
        <f t="shared" si="99"/>
        <v>378502.29532350821</v>
      </c>
      <c r="AO76" s="22">
        <f t="shared" si="77"/>
        <v>0</v>
      </c>
      <c r="AP76" s="22">
        <f t="shared" si="100"/>
        <v>692120.03637850471</v>
      </c>
      <c r="AQ76" s="22"/>
      <c r="AR76" s="10">
        <f>IF($B$10="3BR_H",
INDEX('ns-combined'!$C:$C,MATCH($L76,'ns-combined'!$B:$B,0),MATCH(Council_Area,'ns-combined'!$C$1:$C$1,0))*1000,
INDEX('s-combined'!$C:$C,MATCH($L76,'s-combined'!$B:$B,0),MATCH(Council_Area,'s-combined'!$C$1:$C$1,0))*1000)</f>
        <v>990000</v>
      </c>
      <c r="AS76" s="22">
        <f t="shared" si="104"/>
        <v>71225</v>
      </c>
      <c r="AT76" s="10">
        <v>0</v>
      </c>
      <c r="AU76" s="22">
        <f t="shared" si="78"/>
        <v>19800</v>
      </c>
      <c r="AV76" s="22">
        <f t="shared" si="79"/>
        <v>2846.25</v>
      </c>
      <c r="AW76" s="22">
        <f>SUM($AV$3:AV76)</f>
        <v>136492.92499999999</v>
      </c>
      <c r="AX76" s="22">
        <f t="shared" si="80"/>
        <v>762482.07499999995</v>
      </c>
      <c r="AY76" s="22">
        <f t="shared" si="81"/>
        <v>3116.7500000000005</v>
      </c>
      <c r="AZ76" s="24">
        <f t="shared" si="82"/>
        <v>1.2592929292929295E-2</v>
      </c>
      <c r="BA76" s="24">
        <f t="shared" si="83"/>
        <v>0.35000000000000003</v>
      </c>
      <c r="BB76" s="25">
        <f>IF(MortgageRate="Discounted",_xlfn.XLOOKUP(L76,'mortgage-rates'!$A:$A,'mortgage-rates'!$E:$E)/100,_xlfn.XLOOKUP(L76,'mortgage-rates'!$A:$A,'mortgage-rates'!$D:$D)/100)</f>
        <v>7.1199999999999999E-2</v>
      </c>
      <c r="BC76" s="10">
        <f t="shared" si="101"/>
        <v>126888.85032329068</v>
      </c>
      <c r="BD76" s="10">
        <f t="shared" si="84"/>
        <v>5959.9259981668711</v>
      </c>
      <c r="BE76" s="10">
        <f t="shared" si="102"/>
        <v>2258.6215357545739</v>
      </c>
      <c r="BF76" s="10">
        <f t="shared" si="105"/>
        <v>3701.3044624122972</v>
      </c>
      <c r="BG76" s="12">
        <f t="shared" si="85"/>
        <v>9076.6759981668711</v>
      </c>
      <c r="BH76" s="22">
        <f>INDEX(cpi!B:B,MATCH($L76,cpi!A:A))</f>
        <v>138.9</v>
      </c>
      <c r="BI76" s="22">
        <f t="shared" si="86"/>
        <v>164.18439716312056</v>
      </c>
      <c r="BJ76" s="22">
        <f t="shared" si="87"/>
        <v>387.88856492244037</v>
      </c>
      <c r="BK76" s="22">
        <f t="shared" si="88"/>
        <v>359.54771555567845</v>
      </c>
      <c r="BL76" s="22">
        <f t="shared" si="89"/>
        <v>379.38631011241176</v>
      </c>
      <c r="BM76" s="22">
        <f t="shared" si="90"/>
        <v>685.10676138670294</v>
      </c>
      <c r="BN76" s="22">
        <f t="shared" si="91"/>
        <v>257.14285714285717</v>
      </c>
      <c r="BO76">
        <f t="shared" si="92"/>
        <v>203.20358312970856</v>
      </c>
    </row>
    <row r="77" spans="2:67" x14ac:dyDescent="0.25">
      <c r="B77" s="7"/>
      <c r="L77" s="1">
        <f t="shared" si="103"/>
        <v>45536</v>
      </c>
      <c r="M77" s="10">
        <f t="shared" si="68"/>
        <v>739756.32151608716</v>
      </c>
      <c r="N77" s="10">
        <f t="shared" si="69"/>
        <v>645257.02913912153</v>
      </c>
      <c r="O77" s="7">
        <f t="shared" si="93"/>
        <v>1.1464521703902135</v>
      </c>
      <c r="P77" s="7">
        <f t="shared" si="70"/>
        <v>1.0102556523998647</v>
      </c>
      <c r="Q77">
        <v>75</v>
      </c>
      <c r="R77">
        <f t="shared" si="71"/>
        <v>92</v>
      </c>
      <c r="S77" s="22"/>
      <c r="T77" s="22">
        <f>IF($B$10="3BR_H",
INDEX('3BR_H-processed'!$E:$E,MATCH($L77,'3BR_H-processed'!$B:$B,0),MATCH(Council_Area,'3BR_H-processed'!$E$1:$E$1,0)),
INDEX('2BR_F-processed'!$E:$E,MATCH($L77,'2BR_F-processed'!$B:$B,0),MATCH(Council_Area,'2BR_F-processed'!$E$1:$E$1,0)))</f>
        <v>680</v>
      </c>
      <c r="U77" s="22">
        <f t="shared" si="94"/>
        <v>685</v>
      </c>
      <c r="V77" s="22">
        <f t="shared" si="95"/>
        <v>9002.8571428571431</v>
      </c>
      <c r="W77" s="22">
        <f>$B$53/4*BH77/_xlfn.XLOOKUP(Q_end,cpi!A:A,cpi!B:B)</f>
        <v>192.25984796129924</v>
      </c>
      <c r="X77" s="22">
        <f t="shared" si="72"/>
        <v>9195.116990818442</v>
      </c>
      <c r="Y77" s="22">
        <f t="shared" si="73"/>
        <v>-93.344613722189024</v>
      </c>
      <c r="Z77" s="22">
        <f t="shared" si="96"/>
        <v>0</v>
      </c>
      <c r="AA77" s="22" cm="1">
        <f t="array" ref="AA77">(Y77+Z77)*eff_invest</f>
        <v>-93.344613722189024</v>
      </c>
      <c r="AB77" s="22">
        <f>AA77*(_xlfn.XLOOKUP(Q_end,cpi!A:A,cpi!B:B)/BH77)</f>
        <v>-97.102556474484189</v>
      </c>
      <c r="AC77" s="22" cm="1">
        <f t="array" ref="AC77">INDEX('msci-indices'!C:C,MATCH($L77,'msci-indices'!$B:$B)-2)</f>
        <v>2988.3970690000001</v>
      </c>
      <c r="AD77" s="22" cm="1">
        <f t="array" ref="AD77">INDEX('msci-indices'!D:D,MATCH($L77,'msci-indices'!$B:$B)-2)</f>
        <v>2534.3685369999998</v>
      </c>
      <c r="AE77" s="22">
        <f t="shared" si="97"/>
        <v>692026.69176478253</v>
      </c>
      <c r="AF77" s="22" cm="1">
        <f t="array" ref="AF77">INDEX('msci-indices'!C:C,MATCH($L77,'msci-indices'!$B:$B)+1)</f>
        <v>3187.708345</v>
      </c>
      <c r="AG77" s="22" cm="1">
        <f t="array" ref="AG77">INDEX('msci-indices'!D:D,MATCH($L77,'msci-indices'!$B:$B)+1)</f>
        <v>2727.9035779999999</v>
      </c>
      <c r="AH77" s="22">
        <f t="shared" si="74"/>
        <v>432.51668235298911</v>
      </c>
      <c r="AI77" s="22">
        <f t="shared" si="75"/>
        <v>739756.32151608716</v>
      </c>
      <c r="AJ77" s="22">
        <f t="shared" si="98"/>
        <v>207788.04063582877</v>
      </c>
      <c r="AK77" s="22">
        <f t="shared" si="76"/>
        <v>531968.28088025842</v>
      </c>
      <c r="AL77" s="22">
        <f>AJ77*(_xlfn.XLOOKUP(Q_end,cpi!A:A,cpi!B:B)/BH77)</f>
        <v>216153.33918047749</v>
      </c>
      <c r="AM77" s="22" cm="1">
        <f t="array" ref="AM77">SUMPRODUCT($AA$3:AA77,_xlfn.SORTBY($BH$3:BH77,_xlfn.SEQUENCE(ROWS($BH$3:BH77)),-1)/$BH$3)</f>
        <v>314966.47647867544</v>
      </c>
      <c r="AN77" s="22">
        <f t="shared" si="99"/>
        <v>424789.84503741172</v>
      </c>
      <c r="AO77" s="22">
        <f t="shared" si="77"/>
        <v>0</v>
      </c>
      <c r="AP77" s="22">
        <f t="shared" si="100"/>
        <v>739756.32151608716</v>
      </c>
      <c r="AQ77" s="22"/>
      <c r="AR77" s="10">
        <f>IF($B$10="3BR_H",
INDEX('ns-combined'!$C:$C,MATCH($L77,'ns-combined'!$B:$B,0),MATCH(Council_Area,'ns-combined'!$C$1:$C$1,0))*1000,
INDEX('s-combined'!$C:$C,MATCH($L77,'s-combined'!$B:$B,0),MATCH(Council_Area,'s-combined'!$C$1:$C$1,0))*1000)</f>
        <v>1000000</v>
      </c>
      <c r="AS77" s="22">
        <f t="shared" si="104"/>
        <v>72187.5</v>
      </c>
      <c r="AT77" s="10">
        <v>0</v>
      </c>
      <c r="AU77" s="22">
        <f t="shared" si="78"/>
        <v>20000</v>
      </c>
      <c r="AV77" s="22">
        <f t="shared" si="79"/>
        <v>2875</v>
      </c>
      <c r="AW77" s="22">
        <f>SUM($AV$3:AV77)</f>
        <v>139367.92499999999</v>
      </c>
      <c r="AX77" s="22">
        <f t="shared" si="80"/>
        <v>768444.57499999995</v>
      </c>
      <c r="AY77" s="22">
        <f t="shared" si="81"/>
        <v>3151.0000000000005</v>
      </c>
      <c r="AZ77" s="24">
        <f t="shared" si="82"/>
        <v>1.2604000000000002E-2</v>
      </c>
      <c r="BA77" s="24">
        <f t="shared" si="83"/>
        <v>0.35000000000000003</v>
      </c>
      <c r="BB77" s="25">
        <f>IF(MortgageRate="Discounted",_xlfn.XLOOKUP(L77,'mortgage-rates'!$A:$A,'mortgage-rates'!$E:$E)/100,_xlfn.XLOOKUP(L77,'mortgage-rates'!$A:$A,'mortgage-rates'!$D:$D)/100)</f>
        <v>7.0699999999999999E-2</v>
      </c>
      <c r="BC77" s="10">
        <f t="shared" si="101"/>
        <v>123187.54586087838</v>
      </c>
      <c r="BD77" s="10">
        <f t="shared" si="84"/>
        <v>5950.772377096253</v>
      </c>
      <c r="BE77" s="10">
        <f t="shared" si="102"/>
        <v>2177.3398730910253</v>
      </c>
      <c r="BF77" s="10">
        <f t="shared" si="105"/>
        <v>3773.4325040052277</v>
      </c>
      <c r="BG77" s="12">
        <f t="shared" si="85"/>
        <v>9101.772377096253</v>
      </c>
      <c r="BH77" s="22">
        <f>INDEX(cpi!B:B,MATCH($L77,cpi!A:A))</f>
        <v>139.1</v>
      </c>
      <c r="BI77" s="22">
        <f t="shared" si="86"/>
        <v>164.42080378250591</v>
      </c>
      <c r="BJ77" s="22">
        <f t="shared" si="87"/>
        <v>395.87730618942362</v>
      </c>
      <c r="BK77" s="22">
        <f t="shared" si="88"/>
        <v>355.47322120595709</v>
      </c>
      <c r="BL77" s="22">
        <f t="shared" si="89"/>
        <v>383.75608069438363</v>
      </c>
      <c r="BM77" s="22">
        <f t="shared" si="90"/>
        <v>692.13312435216153</v>
      </c>
      <c r="BN77" s="22">
        <f t="shared" si="91"/>
        <v>259.74025974025972</v>
      </c>
      <c r="BO77">
        <f t="shared" si="92"/>
        <v>204.79260588071671</v>
      </c>
    </row>
    <row r="78" spans="2:67" x14ac:dyDescent="0.25">
      <c r="B78" s="7"/>
      <c r="L78" s="1">
        <f t="shared" si="103"/>
        <v>45627</v>
      </c>
      <c r="M78" s="10">
        <f t="shared" si="68"/>
        <v>734613.32205448614</v>
      </c>
      <c r="N78" s="10">
        <f t="shared" si="69"/>
        <v>645192.96164312679</v>
      </c>
      <c r="O78" s="7">
        <f t="shared" si="93"/>
        <v>1.1385947549452966</v>
      </c>
      <c r="P78" s="7">
        <f t="shared" si="70"/>
        <v>1.0103163952947489</v>
      </c>
      <c r="Q78">
        <v>76</v>
      </c>
      <c r="R78">
        <f t="shared" si="71"/>
        <v>92</v>
      </c>
      <c r="S78" s="22"/>
      <c r="T78" s="22">
        <f>IF($B$10="3BR_H",
INDEX('3BR_H-processed'!$E:$E,MATCH($L78,'3BR_H-processed'!$B:$B,0),MATCH(Council_Area,'3BR_H-processed'!$E$1:$E$1,0)),
INDEX('2BR_F-processed'!$E:$E,MATCH($L78,'2BR_F-processed'!$B:$B,0),MATCH(Council_Area,'2BR_F-processed'!$E$1:$E$1,0)))</f>
        <v>695</v>
      </c>
      <c r="U78" s="22">
        <f t="shared" si="94"/>
        <v>685</v>
      </c>
      <c r="V78" s="22">
        <f t="shared" si="95"/>
        <v>9002.8571428571431</v>
      </c>
      <c r="W78" s="22">
        <f>$B$53/4*BH78/_xlfn.XLOOKUP(Q_end,cpi!A:A,cpi!B:B)</f>
        <v>192.81271596406359</v>
      </c>
      <c r="X78" s="22">
        <f t="shared" si="72"/>
        <v>9195.6698588212075</v>
      </c>
      <c r="Y78" s="22">
        <f t="shared" si="73"/>
        <v>-93.897481724950921</v>
      </c>
      <c r="Z78" s="22">
        <f t="shared" si="96"/>
        <v>0</v>
      </c>
      <c r="AA78" s="22" cm="1">
        <f t="array" ref="AA78">(Y78+Z78)*eff_invest</f>
        <v>-93.897481724950921</v>
      </c>
      <c r="AB78" s="22">
        <f>AA78*(_xlfn.XLOOKUP(Q_end,cpi!A:A,cpi!B:B)/BH78)</f>
        <v>-97.39760290752973</v>
      </c>
      <c r="AC78" s="22" cm="1">
        <f t="array" ref="AC78">INDEX('msci-indices'!C:C,MATCH($L78,'msci-indices'!$B:$B)-2)</f>
        <v>3187.708345</v>
      </c>
      <c r="AD78" s="22" cm="1">
        <f t="array" ref="AD78">INDEX('msci-indices'!D:D,MATCH($L78,'msci-indices'!$B:$B)-2)</f>
        <v>2727.9035779999999</v>
      </c>
      <c r="AE78" s="22">
        <f t="shared" si="97"/>
        <v>739662.42403436219</v>
      </c>
      <c r="AF78" s="22" cm="1">
        <f t="array" ref="AF78">INDEX('msci-indices'!C:C,MATCH($L78,'msci-indices'!$B:$B)+1)</f>
        <v>3174.5512990000002</v>
      </c>
      <c r="AG78" s="22" cm="1">
        <f t="array" ref="AG78">INDEX('msci-indices'!D:D,MATCH($L78,'msci-indices'!$B:$B)+1)</f>
        <v>2697.7873119999999</v>
      </c>
      <c r="AH78" s="22">
        <f t="shared" si="74"/>
        <v>462.28901502147636</v>
      </c>
      <c r="AI78" s="22">
        <f t="shared" si="75"/>
        <v>734613.32205448614</v>
      </c>
      <c r="AJ78" s="22">
        <f t="shared" si="98"/>
        <v>207694.14315410383</v>
      </c>
      <c r="AK78" s="22">
        <f t="shared" si="76"/>
        <v>526919.17890038225</v>
      </c>
      <c r="AL78" s="22">
        <f>AJ78*(_xlfn.XLOOKUP(Q_end,cpi!A:A,cpi!B:B)/BH78)</f>
        <v>215436.1470566224</v>
      </c>
      <c r="AM78" s="22" cm="1">
        <f t="array" ref="AM78">SUMPRODUCT($AA$3:AA78,_xlfn.SORTBY($BH$3:BH78,_xlfn.SEQUENCE(ROWS($BH$3:BH78)),-1)/$BH$3)</f>
        <v>316515.41505211656</v>
      </c>
      <c r="AN78" s="22">
        <f t="shared" si="99"/>
        <v>418097.90700236958</v>
      </c>
      <c r="AO78" s="22">
        <f t="shared" si="77"/>
        <v>0</v>
      </c>
      <c r="AP78" s="22">
        <f t="shared" si="100"/>
        <v>734613.32205448614</v>
      </c>
      <c r="AQ78" s="22"/>
      <c r="AR78" s="10">
        <f>IF($B$10="3BR_H",
INDEX('ns-combined'!$C:$C,MATCH($L78,'ns-combined'!$B:$B,0),MATCH(Council_Area,'ns-combined'!$C$1:$C$1,0))*1000,
INDEX('s-combined'!$C:$C,MATCH($L78,'s-combined'!$B:$B,0),MATCH(Council_Area,'s-combined'!$C$1:$C$1,0))*1000)</f>
        <v>1000000</v>
      </c>
      <c r="AS78" s="22">
        <f t="shared" si="104"/>
        <v>73150</v>
      </c>
      <c r="AT78" s="10">
        <v>0</v>
      </c>
      <c r="AU78" s="22">
        <f t="shared" si="78"/>
        <v>20000</v>
      </c>
      <c r="AV78" s="22">
        <f t="shared" si="79"/>
        <v>2875</v>
      </c>
      <c r="AW78" s="22">
        <f>SUM($AV$3:AV78)</f>
        <v>142242.92499999999</v>
      </c>
      <c r="AX78" s="22">
        <f t="shared" si="80"/>
        <v>764607.07499999995</v>
      </c>
      <c r="AY78" s="22">
        <f t="shared" si="81"/>
        <v>3151.0000000000005</v>
      </c>
      <c r="AZ78" s="24">
        <f t="shared" si="82"/>
        <v>1.2604000000000002E-2</v>
      </c>
      <c r="BA78" s="24">
        <f t="shared" si="83"/>
        <v>0.35000000000000003</v>
      </c>
      <c r="BB78" s="25">
        <f>IF(MortgageRate="Discounted",_xlfn.XLOOKUP(L78,'mortgage-rates'!$A:$A,'mortgage-rates'!$E:$E)/100,_xlfn.XLOOKUP(L78,'mortgage-rates'!$A:$A,'mortgage-rates'!$D:$D)/100)</f>
        <v>7.0699999999999999E-2</v>
      </c>
      <c r="BC78" s="10">
        <f t="shared" si="101"/>
        <v>119414.11335687316</v>
      </c>
      <c r="BD78" s="10">
        <f t="shared" si="84"/>
        <v>5950.7723770962557</v>
      </c>
      <c r="BE78" s="10">
        <f t="shared" si="102"/>
        <v>2110.6444535827331</v>
      </c>
      <c r="BF78" s="10">
        <f t="shared" si="105"/>
        <v>3840.1279235135225</v>
      </c>
      <c r="BG78" s="12">
        <f t="shared" si="85"/>
        <v>9101.7723770962566</v>
      </c>
      <c r="BH78" s="22">
        <f>INDEX(cpi!B:B,MATCH($L78,cpi!A:A))</f>
        <v>139.5</v>
      </c>
      <c r="BI78" s="22">
        <f t="shared" si="86"/>
        <v>164.89361702127661</v>
      </c>
      <c r="BJ78" s="22">
        <f t="shared" si="87"/>
        <v>422.28036080842037</v>
      </c>
      <c r="BK78" s="22">
        <f t="shared" si="88"/>
        <v>382.61865149208802</v>
      </c>
      <c r="BL78" s="22">
        <f t="shared" si="89"/>
        <v>410.38184801352065</v>
      </c>
      <c r="BM78" s="22">
        <f t="shared" si="90"/>
        <v>739.77618292041939</v>
      </c>
      <c r="BN78" s="22">
        <f t="shared" si="91"/>
        <v>259.74025974025972</v>
      </c>
      <c r="BO78">
        <f t="shared" si="92"/>
        <v>203.769901510571</v>
      </c>
    </row>
    <row r="79" spans="2:67" x14ac:dyDescent="0.25">
      <c r="L79" s="1">
        <f t="shared" si="103"/>
        <v>45717</v>
      </c>
      <c r="M79" s="10">
        <f t="shared" si="68"/>
        <v>717414.91169867874</v>
      </c>
      <c r="N79" s="10">
        <f t="shared" si="69"/>
        <v>620767.46456664032</v>
      </c>
      <c r="O79" s="7">
        <f t="shared" si="93"/>
        <v>1.1556902586695781</v>
      </c>
      <c r="P79" s="7">
        <f t="shared" si="70"/>
        <v>1.0150553220189014</v>
      </c>
      <c r="Q79">
        <v>77</v>
      </c>
      <c r="R79">
        <f t="shared" si="71"/>
        <v>90</v>
      </c>
      <c r="S79" s="22"/>
      <c r="T79" s="22">
        <f>IF($B$10="3BR_H",
INDEX('3BR_H-processed'!$E:$E,MATCH($L79,'3BR_H-processed'!$B:$B,0),MATCH(Council_Area,'3BR_H-processed'!$E$1:$E$1,0)),
INDEX('2BR_F-processed'!$E:$E,MATCH($L79,'2BR_F-processed'!$B:$B,0),MATCH(Council_Area,'2BR_F-processed'!$E$1:$E$1,0)))</f>
        <v>700</v>
      </c>
      <c r="U79" s="22">
        <f t="shared" si="94"/>
        <v>700</v>
      </c>
      <c r="V79" s="22">
        <f t="shared" si="95"/>
        <v>9000</v>
      </c>
      <c r="W79" s="22">
        <f>$B$53/4*BH79/_xlfn.XLOOKUP(Q_end,cpi!A:A,cpi!B:B)</f>
        <v>194.60953697304774</v>
      </c>
      <c r="X79" s="22">
        <f>V79+W79</f>
        <v>9194.6095369730483</v>
      </c>
      <c r="Y79" s="22">
        <f t="shared" si="73"/>
        <v>-136.37464324788198</v>
      </c>
      <c r="Z79" s="22">
        <f t="shared" si="96"/>
        <v>0</v>
      </c>
      <c r="AA79" s="22" cm="1">
        <f t="array" ref="AA79">(Y79+Z79)*eff_invest</f>
        <v>-136.37464324788198</v>
      </c>
      <c r="AB79" s="22">
        <f>AA79*(_xlfn.XLOOKUP(Q_end,cpi!A:A,cpi!B:B)/BH79)</f>
        <v>-140.1520658946628</v>
      </c>
      <c r="AC79" s="22" cm="1">
        <f t="array" ref="AC79">INDEX('msci-indices'!C:C,MATCH($L79,'msci-indices'!$B:$B)-2)</f>
        <v>3174.5512990000002</v>
      </c>
      <c r="AD79" s="22" cm="1">
        <f t="array" ref="AD79">INDEX('msci-indices'!D:D,MATCH($L79,'msci-indices'!$B:$B)-2)</f>
        <v>2697.7873119999999</v>
      </c>
      <c r="AE79" s="22">
        <f t="shared" si="97"/>
        <v>734476.94741123822</v>
      </c>
      <c r="AF79" s="22" cm="1">
        <f t="array" ref="AF79">INDEX('msci-indices'!C:C,MATCH($L79,'msci-indices'!$B:$B)+1)</f>
        <v>3111.4241780000002</v>
      </c>
      <c r="AG79" s="22" cm="1">
        <f t="array" ref="AG79">INDEX('msci-indices'!D:D,MATCH($L79,'msci-indices'!$B:$B)+1)</f>
        <v>2619.6825220000001</v>
      </c>
      <c r="AH79" s="22">
        <f t="shared" si="74"/>
        <v>459.0480921320239</v>
      </c>
      <c r="AI79" s="22">
        <f t="shared" si="75"/>
        <v>717414.91169867874</v>
      </c>
      <c r="AJ79" s="22">
        <f t="shared" si="98"/>
        <v>207557.76851085594</v>
      </c>
      <c r="AK79" s="22">
        <f t="shared" si="76"/>
        <v>509857.14318782277</v>
      </c>
      <c r="AL79" s="22">
        <f>AJ79*(_xlfn.XLOOKUP(Q_end,cpi!A:A,cpi!B:B)/BH79)</f>
        <v>213306.88283750604</v>
      </c>
      <c r="AM79" s="22" cm="1">
        <f t="array" ref="AM79">SUMPRODUCT($AA$3:AA79,_xlfn.SORTBY($BH$3:BH79,_xlfn.SEQUENCE(ROWS($BH$3:BH79)),-1)/$BH$3)</f>
        <v>319038.7436292129</v>
      </c>
      <c r="AN79" s="22">
        <f t="shared" si="99"/>
        <v>398376.16806946584</v>
      </c>
      <c r="AO79" s="22">
        <f t="shared" si="77"/>
        <v>0</v>
      </c>
      <c r="AP79" s="22">
        <f t="shared" si="100"/>
        <v>717414.91169867874</v>
      </c>
      <c r="AQ79" s="22"/>
      <c r="AR79" s="10">
        <f>IF($B$10="3BR_H",
INDEX('ns-combined'!$C:$C,MATCH($L79,'ns-combined'!$B:$B,0),MATCH(Council_Area,'ns-combined'!$C$1:$C$1,0))*1000,
INDEX('s-combined'!$C:$C,MATCH($L79,'s-combined'!$B:$B,0),MATCH(Council_Area,'s-combined'!$C$1:$C$1,0))*1000)</f>
        <v>975000</v>
      </c>
      <c r="AS79" s="22">
        <f t="shared" si="104"/>
        <v>74112.5</v>
      </c>
      <c r="AT79" s="10">
        <v>0</v>
      </c>
      <c r="AU79" s="22">
        <f t="shared" si="78"/>
        <v>19500</v>
      </c>
      <c r="AV79" s="22">
        <f t="shared" si="79"/>
        <v>2803.125</v>
      </c>
      <c r="AW79" s="22">
        <f>SUM($AV$3:AV79)</f>
        <v>145046.04999999999</v>
      </c>
      <c r="AX79" s="22">
        <f t="shared" si="80"/>
        <v>736341.45</v>
      </c>
      <c r="AY79" s="22">
        <f t="shared" si="81"/>
        <v>3150.0000000000005</v>
      </c>
      <c r="AZ79" s="24">
        <f t="shared" si="82"/>
        <v>1.2923076923076924E-2</v>
      </c>
      <c r="BA79" s="24">
        <f t="shared" si="83"/>
        <v>0.35000000000000003</v>
      </c>
      <c r="BB79" s="25">
        <f>IF(MortgageRate="Discounted",_xlfn.XLOOKUP(L79,'mortgage-rates'!$A:$A,'mortgage-rates'!$E:$E)/100,_xlfn.XLOOKUP(L79,'mortgage-rates'!$A:$A,'mortgage-rates'!$D:$D)/100)</f>
        <v>6.8199999999999997E-2</v>
      </c>
      <c r="BC79" s="10">
        <f t="shared" si="101"/>
        <v>115573.98543335963</v>
      </c>
      <c r="BD79" s="10">
        <f t="shared" si="84"/>
        <v>5908.2348937251654</v>
      </c>
      <c r="BE79" s="10">
        <f t="shared" si="102"/>
        <v>1970.5364516387815</v>
      </c>
      <c r="BF79" s="10">
        <f t="shared" si="105"/>
        <v>3937.6984420863837</v>
      </c>
      <c r="BG79" s="12">
        <f t="shared" si="85"/>
        <v>9058.2348937251663</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734.58990877936685</v>
      </c>
      <c r="BN79" s="22">
        <f t="shared" si="91"/>
        <v>253.24675324675326</v>
      </c>
      <c r="BO79">
        <f t="shared" si="92"/>
        <v>196.23703422395226</v>
      </c>
    </row>
    <row r="80" spans="2:67" x14ac:dyDescent="0.25">
      <c r="B80" s="7"/>
      <c r="L80" s="1">
        <f t="shared" si="103"/>
        <v>45809</v>
      </c>
      <c r="M80" s="10">
        <f t="shared" si="68"/>
        <v>794498.44380534394</v>
      </c>
      <c r="N80" s="10">
        <f t="shared" si="69"/>
        <v>645367.66300872667</v>
      </c>
      <c r="O80" s="7">
        <f t="shared" si="93"/>
        <v>1.2310787932902687</v>
      </c>
      <c r="P80" s="7">
        <f t="shared" si="70"/>
        <v>1.0319062537059338</v>
      </c>
      <c r="Q80">
        <v>78</v>
      </c>
      <c r="R80">
        <f t="shared" si="71"/>
        <v>91</v>
      </c>
      <c r="S80" s="22"/>
      <c r="T80" s="22">
        <f>IF($B$10="3BR_H",
INDEX('3BR_H-processed'!$E:$E,MATCH($L80,'3BR_H-processed'!$B:$B,0),MATCH(Council_Area,'3BR_H-processed'!$E$1:$E$1,0)),
INDEX('2BR_F-processed'!$E:$E,MATCH($L80,'2BR_F-processed'!$B:$B,0),MATCH(Council_Area,'2BR_F-processed'!$E$1:$E$1,0)))</f>
        <v>700</v>
      </c>
      <c r="U80" s="22">
        <f t="shared" si="94"/>
        <v>700</v>
      </c>
      <c r="V80" s="22">
        <f t="shared" si="95"/>
        <v>9100</v>
      </c>
      <c r="W80" s="22">
        <f>$B$53/4*BH80/_xlfn.XLOOKUP(Q_end,cpi!A:A,cpi!B:B)</f>
        <v>195.99170697995856</v>
      </c>
      <c r="X80" s="22">
        <f t="shared" si="72"/>
        <v>9295.9917069799594</v>
      </c>
      <c r="Y80" s="22">
        <f t="shared" si="73"/>
        <v>-287.42947218893642</v>
      </c>
      <c r="Z80" s="22">
        <f t="shared" si="96"/>
        <v>0</v>
      </c>
      <c r="AA80" s="22" cm="1">
        <f t="array" ref="AA80">(Y80+Z80)*eff_invest</f>
        <v>-287.42947218893642</v>
      </c>
      <c r="AB80" s="22">
        <f>AA80*(_xlfn.XLOOKUP(Q_end,cpi!A:A,cpi!B:B)/BH80)</f>
        <v>-293.30779002636876</v>
      </c>
      <c r="AC80" s="22" cm="1">
        <f t="array" ref="AC80">INDEX('msci-indices'!C:C,MATCH($L80,'msci-indices'!$B:$B)-2)</f>
        <v>3111.4241780000002</v>
      </c>
      <c r="AD80" s="22" cm="1">
        <f t="array" ref="AD80">INDEX('msci-indices'!D:D,MATCH($L80,'msci-indices'!$B:$B)-2)</f>
        <v>2619.6825220000001</v>
      </c>
      <c r="AE80" s="22">
        <f t="shared" si="97"/>
        <v>717127.48222648981</v>
      </c>
      <c r="AF80" s="22" cm="1">
        <f t="array" ref="AF80">INDEX('msci-indices'!C:C,MATCH($L80,'msci-indices'!$B:$B)+1)</f>
        <v>3468.7668789999998</v>
      </c>
      <c r="AG80" s="22" cm="1">
        <f t="array" ref="AG80">INDEX('msci-indices'!D:D,MATCH($L80,'msci-indices'!$B:$B)+1)</f>
        <v>2865.243618</v>
      </c>
      <c r="AH80" s="22">
        <f t="shared" si="74"/>
        <v>448.20467639155612</v>
      </c>
      <c r="AI80" s="22">
        <f t="shared" si="75"/>
        <v>794498.44380534394</v>
      </c>
      <c r="AJ80" s="22">
        <f t="shared" si="98"/>
        <v>207270.33903866701</v>
      </c>
      <c r="AK80" s="22">
        <f t="shared" si="76"/>
        <v>587228.1047666769</v>
      </c>
      <c r="AL80" s="22">
        <f>AJ80*(_xlfn.XLOOKUP(Q_end,cpi!A:A,cpi!B:B)/BH80)</f>
        <v>211509.29519672153</v>
      </c>
      <c r="AM80" s="22" cm="1">
        <f t="array" ref="AM80">SUMPRODUCT($AA$3:AA80,_xlfn.SORTBY($BH$3:BH80,_xlfn.SEQUENCE(ROWS($BH$3:BH80)),-1)/$BH$3)</f>
        <v>321039.53079975734</v>
      </c>
      <c r="AN80" s="22">
        <f t="shared" si="99"/>
        <v>473458.9130055866</v>
      </c>
      <c r="AO80" s="22">
        <f t="shared" si="77"/>
        <v>0</v>
      </c>
      <c r="AP80" s="22">
        <f t="shared" si="100"/>
        <v>794498.44380534394</v>
      </c>
      <c r="AQ80" s="22"/>
      <c r="AR80" s="10">
        <f>IF($B$10="3BR_H",
INDEX('ns-combined'!$C:$C,MATCH($L80,'ns-combined'!$B:$B,0),MATCH(Council_Area,'ns-combined'!$C$1:$C$1,0))*1000,
INDEX('s-combined'!$C:$C,MATCH($L80,'s-combined'!$B:$B,0),MATCH(Council_Area,'s-combined'!$C$1:$C$1,0))*1000)</f>
        <v>1000000</v>
      </c>
      <c r="AS80" s="22">
        <f t="shared" si="104"/>
        <v>75075</v>
      </c>
      <c r="AT80" s="10">
        <v>0</v>
      </c>
      <c r="AU80" s="22">
        <f t="shared" si="78"/>
        <v>20000</v>
      </c>
      <c r="AV80" s="22">
        <f t="shared" si="79"/>
        <v>2875</v>
      </c>
      <c r="AW80" s="22">
        <f>SUM($AV$3:AV80)</f>
        <v>147921.04999999999</v>
      </c>
      <c r="AX80" s="22">
        <f t="shared" si="80"/>
        <v>757003.95</v>
      </c>
      <c r="AY80" s="22">
        <f t="shared" si="81"/>
        <v>3185.0000000000005</v>
      </c>
      <c r="AZ80" s="24">
        <f t="shared" si="82"/>
        <v>1.2740000000000001E-2</v>
      </c>
      <c r="BA80" s="24">
        <f t="shared" si="83"/>
        <v>0.35000000000000003</v>
      </c>
      <c r="BB80" s="25">
        <f>IF(MortgageRate="Discounted",_xlfn.XLOOKUP(L80,'mortgage-rates'!$A:$A,'mortgage-rates'!$E:$E)/100,_xlfn.XLOOKUP(L80,'mortgage-rates'!$A:$A,'mortgage-rates'!$D:$D)/100)</f>
        <v>6.3E-2</v>
      </c>
      <c r="BC80" s="10">
        <f t="shared" si="101"/>
        <v>111636.28699127324</v>
      </c>
      <c r="BD80" s="10">
        <f t="shared" si="84"/>
        <v>5823.5622347910221</v>
      </c>
      <c r="BE80" s="10">
        <f t="shared" si="102"/>
        <v>1758.2715201125536</v>
      </c>
      <c r="BF80" s="10">
        <f t="shared" si="105"/>
        <v>4065.2907146784682</v>
      </c>
      <c r="BG80" s="12">
        <f t="shared" si="85"/>
        <v>9008.562234791023</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717.2377752748971</v>
      </c>
      <c r="BN80" s="22">
        <f t="shared" si="91"/>
        <v>259.74025974025972</v>
      </c>
      <c r="BO80">
        <f t="shared" si="92"/>
        <v>201.74364765669114</v>
      </c>
    </row>
    <row r="81" spans="2:67" x14ac:dyDescent="0.25">
      <c r="B81" s="7"/>
      <c r="L81" s="1">
        <f t="shared" si="103"/>
        <v>45901</v>
      </c>
      <c r="M81" s="10">
        <f>AP81</f>
        <v>845707.72413278325</v>
      </c>
      <c r="N81" s="10">
        <f t="shared" si="69"/>
        <v>671977.82872340514</v>
      </c>
      <c r="O81" s="7">
        <f t="shared" si="93"/>
        <v>1.2585351599165449</v>
      </c>
      <c r="P81" s="7">
        <f t="shared" si="70"/>
        <v>1.0437329909027513</v>
      </c>
      <c r="Q81">
        <v>79</v>
      </c>
      <c r="R81">
        <f t="shared" si="71"/>
        <v>92</v>
      </c>
      <c r="S81" s="22"/>
      <c r="T81" s="22">
        <f>IF($B$10="3BR_H",
INDEX('3BR_H-processed'!$E:$E,MATCH($L81,'3BR_H-processed'!$B:$B,0),MATCH(Council_Area,'3BR_H-processed'!$E$1:$E$1,0)),
INDEX('2BR_F-processed'!$E:$E,MATCH($L81,'2BR_F-processed'!$B:$B,0),MATCH(Council_Area,'2BR_F-processed'!$E$1:$E$1,0)))</f>
        <v>690</v>
      </c>
      <c r="U81" s="22">
        <f t="shared" si="94"/>
        <v>700</v>
      </c>
      <c r="V81" s="22">
        <f t="shared" si="95"/>
        <v>9200</v>
      </c>
      <c r="W81" s="22">
        <f>$B$53/4*BH81/_xlfn.XLOOKUP(Q_end,cpi!A:A,cpi!B:B)</f>
        <v>198.47961299239807</v>
      </c>
      <c r="X81" s="22">
        <f t="shared" si="72"/>
        <v>9398.479612992398</v>
      </c>
      <c r="Y81" s="22">
        <f t="shared" si="73"/>
        <v>-393.80150574639265</v>
      </c>
      <c r="Z81" s="22">
        <f t="shared" si="96"/>
        <v>0</v>
      </c>
      <c r="AA81" s="22" cm="1">
        <f t="array" ref="AA81">(Y81+Z81)*eff_invest</f>
        <v>-393.80150574639265</v>
      </c>
      <c r="AB81" s="22">
        <f>AA81*(_xlfn.XLOOKUP(Q_end,cpi!A:A,cpi!B:B)/BH81)</f>
        <v>-396.81809109681762</v>
      </c>
      <c r="AC81" s="22" cm="1">
        <f t="array" ref="AC81">INDEX('msci-indices'!C:C,MATCH($L81,'msci-indices'!$B:$B)-2)</f>
        <v>3468.7668789999998</v>
      </c>
      <c r="AD81" s="22" cm="1">
        <f t="array" ref="AD81">INDEX('msci-indices'!D:D,MATCH($L81,'msci-indices'!$B:$B)-2)</f>
        <v>2865.243618</v>
      </c>
      <c r="AE81" s="22">
        <f t="shared" si="97"/>
        <v>794104.6422995975</v>
      </c>
      <c r="AF81" s="22" cm="1">
        <f t="array" ref="AF81">INDEX('msci-indices'!C:C,MATCH($L81,'msci-indices'!$B:$B)+1)</f>
        <v>3725.5302940000001</v>
      </c>
      <c r="AG81" s="22" cm="1">
        <f t="array" ref="AG81">INDEX('msci-indices'!D:D,MATCH($L81,'msci-indices'!$B:$B)+1)</f>
        <v>2996.9746749999999</v>
      </c>
      <c r="AH81" s="22">
        <f t="shared" si="74"/>
        <v>496.31540143724845</v>
      </c>
      <c r="AI81" s="22">
        <f t="shared" si="75"/>
        <v>845707.72413278325</v>
      </c>
      <c r="AJ81" s="22">
        <f t="shared" si="98"/>
        <v>206876.5375329206</v>
      </c>
      <c r="AK81" s="22">
        <f t="shared" si="76"/>
        <v>638831.18659986265</v>
      </c>
      <c r="AL81" s="22">
        <f>AJ81*(_xlfn.XLOOKUP(Q_end,cpi!A:A,cpi!B:B)/BH81)</f>
        <v>208461.24638588863</v>
      </c>
      <c r="AM81" s="22" cm="1">
        <f t="array" ref="AM81">SUMPRODUCT($AA$3:AA81,_xlfn.SORTBY($BH$3:BH81,_xlfn.SEQUENCE(ROWS($BH$3:BH81)),-1)/$BH$3)</f>
        <v>323853.53676045057</v>
      </c>
      <c r="AN81" s="22">
        <f t="shared" si="99"/>
        <v>521854.18737233267</v>
      </c>
      <c r="AO81" s="22">
        <f t="shared" si="77"/>
        <v>0</v>
      </c>
      <c r="AP81" s="22">
        <f t="shared" si="100"/>
        <v>845707.72413278325</v>
      </c>
      <c r="AQ81" s="22"/>
      <c r="AR81" s="10">
        <f>IF($B$10="3BR_H",
INDEX('ns-combined'!$C:$C,MATCH($L81,'ns-combined'!$B:$B,0),MATCH(Council_Area,'ns-combined'!$C$1:$C$1,0))*1000,
INDEX('s-combined'!$C:$C,MATCH($L81,'s-combined'!$B:$B,0),MATCH(Council_Area,'s-combined'!$C$1:$C$1,0))*1000)</f>
        <v>1027000</v>
      </c>
      <c r="AS81" s="22">
        <f t="shared" si="104"/>
        <v>76037.5</v>
      </c>
      <c r="AT81" s="10">
        <v>0</v>
      </c>
      <c r="AU81" s="22">
        <f t="shared" si="78"/>
        <v>20540</v>
      </c>
      <c r="AV81" s="22">
        <f t="shared" si="79"/>
        <v>2952.625</v>
      </c>
      <c r="AW81" s="22">
        <f>SUM($AV$3:AV81)</f>
        <v>150873.67499999999</v>
      </c>
      <c r="AX81" s="22">
        <f t="shared" si="80"/>
        <v>779548.82499999995</v>
      </c>
      <c r="AY81" s="22">
        <f t="shared" si="81"/>
        <v>3220.0000000000005</v>
      </c>
      <c r="AZ81" s="24">
        <f t="shared" si="82"/>
        <v>1.2541382667964947E-2</v>
      </c>
      <c r="BA81" s="24">
        <f t="shared" si="83"/>
        <v>0.35000000000000003</v>
      </c>
      <c r="BB81" s="25">
        <f>IF(MortgageRate="Discounted",_xlfn.XLOOKUP(L81,'mortgage-rates'!$A:$A,'mortgage-rates'!$E:$E)/100,_xlfn.XLOOKUP(L81,'mortgage-rates'!$A:$A,'mortgage-rates'!$D:$D)/100)</f>
        <v>6.0499999999999998E-2</v>
      </c>
      <c r="BC81" s="10">
        <f t="shared" si="101"/>
        <v>107570.99627659477</v>
      </c>
      <c r="BD81" s="10">
        <f t="shared" si="84"/>
        <v>5784.6781072460044</v>
      </c>
      <c r="BE81" s="10">
        <f t="shared" si="102"/>
        <v>1627.0113186834958</v>
      </c>
      <c r="BF81" s="10">
        <f t="shared" si="105"/>
        <v>4157.6667885625084</v>
      </c>
      <c r="BG81" s="12">
        <f t="shared" si="85"/>
        <v>9004.6781072460053</v>
      </c>
      <c r="BH81" s="22">
        <f>INDEX(cpi!B:B,MATCH($L81,cpi!A:A))</f>
        <v>143.6</v>
      </c>
      <c r="BI81" s="22">
        <f t="shared" si="86"/>
        <v>169.73995271867614</v>
      </c>
      <c r="BJ81" s="22">
        <f t="shared" si="87"/>
        <v>459.51259359156273</v>
      </c>
      <c r="BK81" s="22">
        <f t="shared" si="88"/>
        <v>401.88211128753886</v>
      </c>
      <c r="BL81" s="22">
        <f t="shared" si="89"/>
        <v>442.22344890035555</v>
      </c>
      <c r="BM81" s="22">
        <f t="shared" si="90"/>
        <v>794.22677431088471</v>
      </c>
      <c r="BN81" s="22">
        <f t="shared" si="91"/>
        <v>266.75324675324674</v>
      </c>
      <c r="BO81">
        <f t="shared" si="92"/>
        <v>207.75191923633631</v>
      </c>
    </row>
    <row r="82" spans="2:67" x14ac:dyDescent="0.25">
      <c r="B82" s="7"/>
      <c r="L82" s="1">
        <f>DATE(YEAR(L81),MONTH(L81)+3,1)</f>
        <v>45992</v>
      </c>
      <c r="M82" s="10">
        <f>AP82</f>
        <v>860298.45189276058</v>
      </c>
      <c r="N82" s="10">
        <f t="shared" si="69"/>
        <v>687365.80801196769</v>
      </c>
      <c r="O82" s="7">
        <f t="shared" si="93"/>
        <v>1.2515874980470107</v>
      </c>
      <c r="P82" s="7">
        <f t="shared" si="70"/>
        <v>1.0439018350290481</v>
      </c>
      <c r="Q82">
        <v>80</v>
      </c>
      <c r="R82">
        <f t="shared" si="71"/>
        <v>92</v>
      </c>
      <c r="S82" s="22"/>
      <c r="T82" s="22">
        <f>IF($B$10="3BR_H",
INDEX('3BR_H-processed'!$E:$E,MATCH($L82,'3BR_H-processed'!$B:$B,0),MATCH(Council_Area,'3BR_H-processed'!$E$1:$E$1,0)),
INDEX('2BR_F-processed'!$E:$E,MATCH($L82,'2BR_F-processed'!$B:$B,0),MATCH(Council_Area,'2BR_F-processed'!$E$1:$E$1,0)))</f>
        <v>700</v>
      </c>
      <c r="U82" s="22">
        <f t="shared" si="94"/>
        <v>700</v>
      </c>
      <c r="V82" s="22">
        <f t="shared" si="95"/>
        <v>9200</v>
      </c>
      <c r="W82" s="22">
        <f>$B$53/4*BH82/_xlfn.XLOOKUP(Q_end,cpi!A:A,cpi!B:B)</f>
        <v>200</v>
      </c>
      <c r="X82" s="22">
        <f>V82+W82</f>
        <v>9400</v>
      </c>
      <c r="Y82" s="22">
        <f>BG82-X82</f>
        <v>-395.32189275399469</v>
      </c>
      <c r="Z82" s="22">
        <f t="shared" si="96"/>
        <v>0</v>
      </c>
      <c r="AA82" s="22" cm="1">
        <f t="array" ref="AA82">(Y82+Z82)*eff_invest</f>
        <v>-395.32189275399469</v>
      </c>
      <c r="AB82" s="22">
        <f>AA82*(_xlfn.XLOOKUP(Q_end,cpi!A:A,cpi!B:B)/BH82)</f>
        <v>-395.32189275399469</v>
      </c>
      <c r="AC82" s="22" cm="1">
        <f t="array" ref="AC82">INDEX('msci-indices'!C:C,MATCH($L82,'msci-indices'!$B:$B)-2)</f>
        <v>3725.5302940000001</v>
      </c>
      <c r="AD82" s="22" cm="1">
        <f t="array" ref="AD82">INDEX('msci-indices'!D:D,MATCH($L82,'msci-indices'!$B:$B)-2)</f>
        <v>2996.9746749999999</v>
      </c>
      <c r="AE82" s="22">
        <f t="shared" si="97"/>
        <v>845312.4022400293</v>
      </c>
      <c r="AF82" s="22" cm="1">
        <f t="array" ref="AF82">INDEX('msci-indices'!C:C,MATCH($L82,'msci-indices'!$B:$B)+1)</f>
        <v>3840.531755</v>
      </c>
      <c r="AG82" s="22" cm="1">
        <f t="array" ref="AG82">INDEX('msci-indices'!D:D,MATCH($L82,'msci-indices'!$B:$B)+1)</f>
        <v>2964.4622850000001</v>
      </c>
      <c r="AH82" s="22">
        <f t="shared" si="74"/>
        <v>528.32025140001838</v>
      </c>
      <c r="AI82" s="22">
        <f t="shared" si="75"/>
        <v>860298.45189276058</v>
      </c>
      <c r="AJ82" s="22">
        <f t="shared" si="98"/>
        <v>206481.2156401666</v>
      </c>
      <c r="AK82" s="22">
        <f t="shared" si="76"/>
        <v>653817.23625259404</v>
      </c>
      <c r="AL82" s="22">
        <f>AJ82*(_xlfn.XLOOKUP(Q_end,cpi!A:A,cpi!B:B)/BH82)</f>
        <v>206481.2156401666</v>
      </c>
      <c r="AM82" s="22" cm="1">
        <f t="array" ref="AM82">SUMPRODUCT($AA$3:AA82,_xlfn.SORTBY($BH$3:BH82,_xlfn.SEQUENCE(ROWS($BH$3:BH82)),-1)/$BH$3)</f>
        <v>325866.08292766259</v>
      </c>
      <c r="AN82" s="22">
        <f>AI82-AM82</f>
        <v>534432.36896509794</v>
      </c>
      <c r="AO82" s="22">
        <f t="shared" si="77"/>
        <v>0</v>
      </c>
      <c r="AP82" s="22">
        <f>AI82-AO82</f>
        <v>860298.45189276058</v>
      </c>
      <c r="AQ82" s="22"/>
      <c r="AR82" s="10">
        <f>IF($B$10="3BR_H",
INDEX('ns-combined'!$C:$C,MATCH($L82,'ns-combined'!$B:$B,0),MATCH(Council_Area,'ns-combined'!$C$1:$C$1,0))*1000,
INDEX('s-combined'!$C:$C,MATCH($L82,'s-combined'!$B:$B,0),MATCH(Council_Area,'s-combined'!$C$1:$C$1,0))*1000)</f>
        <v>1042500</v>
      </c>
      <c r="AS82" s="22">
        <f>AS81+$AS$3</f>
        <v>77000</v>
      </c>
      <c r="AT82" s="10">
        <v>0</v>
      </c>
      <c r="AU82" s="22">
        <f t="shared" si="78"/>
        <v>20850</v>
      </c>
      <c r="AV82" s="22">
        <f t="shared" si="79"/>
        <v>2997.1875</v>
      </c>
      <c r="AW82" s="22">
        <f>SUM($AV$3:AV82)</f>
        <v>153870.86249999999</v>
      </c>
      <c r="AX82" s="22">
        <f t="shared" si="80"/>
        <v>790779.13749999995</v>
      </c>
      <c r="AY82" s="22">
        <f t="shared" si="81"/>
        <v>3220.0000000000005</v>
      </c>
      <c r="AZ82" s="24">
        <f t="shared" si="82"/>
        <v>1.2354916067146286E-2</v>
      </c>
      <c r="BA82" s="24">
        <f t="shared" si="83"/>
        <v>0.35000000000000003</v>
      </c>
      <c r="BB82" s="25">
        <f>IF(MortgageRate="Discounted",_xlfn.XLOOKUP(L82,'mortgage-rates'!$A:$A,'mortgage-rates'!$E:$E)/100,_xlfn.XLOOKUP(L82,'mortgage-rates'!$A:$A,'mortgage-rates'!$D:$D)/100)</f>
        <v>6.0499999999999998E-2</v>
      </c>
      <c r="BC82" s="10">
        <f t="shared" si="101"/>
        <v>103413.32948803226</v>
      </c>
      <c r="BD82" s="10">
        <f t="shared" si="84"/>
        <v>5784.6781072460053</v>
      </c>
      <c r="BE82" s="10">
        <f t="shared" si="102"/>
        <v>1564.1266085064879</v>
      </c>
      <c r="BF82" s="10">
        <f t="shared" si="105"/>
        <v>4220.5514987395172</v>
      </c>
      <c r="BG82" s="12">
        <f t="shared" si="85"/>
        <v>9004.6781072460053</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845.44240992208063</v>
      </c>
      <c r="BN82" s="22">
        <f t="shared" si="91"/>
        <v>270.77922077922079</v>
      </c>
      <c r="BO82">
        <f t="shared" si="92"/>
        <v>210.74482859707948</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'2BR_F-processed'!$E$1:$E$1</xm:f>
          </x14:formula1>
          <xm:sqref>B13:C13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795" workbookViewId="0">
      <selection activeCell="H823" sqref="H823"/>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B140-3029-4A50-92A2-2EBFC006705E}">
  <sheetPr>
    <tabColor rgb="FFFF0000"/>
  </sheetPr>
  <dimension ref="A1:G14"/>
  <sheetViews>
    <sheetView workbookViewId="0">
      <selection activeCell="C18" sqref="C18"/>
    </sheetView>
  </sheetViews>
  <sheetFormatPr defaultRowHeight="15" x14ac:dyDescent="0.25"/>
  <cols>
    <col min="1" max="6" width="12.85546875" customWidth="1"/>
  </cols>
  <sheetData>
    <row r="1" spans="1:7" x14ac:dyDescent="0.25">
      <c r="A1" t="s">
        <v>633</v>
      </c>
      <c r="B1" t="s">
        <v>5</v>
      </c>
      <c r="C1" t="s">
        <v>557</v>
      </c>
      <c r="D1" t="s">
        <v>637</v>
      </c>
      <c r="E1" t="s">
        <v>638</v>
      </c>
      <c r="F1" t="s">
        <v>639</v>
      </c>
      <c r="G1" t="s">
        <v>640</v>
      </c>
    </row>
    <row r="2" spans="1:7" x14ac:dyDescent="0.25">
      <c r="A2" s="1">
        <v>44896</v>
      </c>
      <c r="B2">
        <v>690</v>
      </c>
      <c r="C2">
        <v>560</v>
      </c>
      <c r="D2" s="7">
        <f>_xlfn.XLOOKUP(A2,'rai-values-3bh'!E:E,'rai-values-3bh'!H:H)</f>
        <v>662.87427098874264</v>
      </c>
      <c r="E2" s="7">
        <f>B2/$D2</f>
        <v>1.0409213786059257</v>
      </c>
      <c r="F2" s="7">
        <f>C2/$D2</f>
        <v>0.84480575654973689</v>
      </c>
    </row>
    <row r="3" spans="1:7" x14ac:dyDescent="0.25">
      <c r="A3" s="1">
        <v>44986</v>
      </c>
      <c r="B3">
        <v>690</v>
      </c>
      <c r="C3">
        <v>550</v>
      </c>
      <c r="D3" s="7">
        <f>_xlfn.XLOOKUP(A3,'rai-values-3bh'!E:E,'rai-values-3bh'!H:H)</f>
        <v>650.00292592100004</v>
      </c>
      <c r="E3" s="7">
        <f t="shared" ref="E3:F14" si="0">B3/$D3</f>
        <v>1.0615336831327757</v>
      </c>
      <c r="F3" s="7">
        <f t="shared" si="0"/>
        <v>0.8461500372797488</v>
      </c>
    </row>
    <row r="4" spans="1:7" x14ac:dyDescent="0.25">
      <c r="A4" s="1">
        <v>45078</v>
      </c>
      <c r="B4">
        <v>675</v>
      </c>
      <c r="C4">
        <v>550</v>
      </c>
      <c r="D4" s="7">
        <f>_xlfn.XLOOKUP(A4,'rai-values-3bh'!E:E,'rai-values-3bh'!H:H)</f>
        <v>625.70375112021497</v>
      </c>
      <c r="E4" s="7">
        <f t="shared" si="0"/>
        <v>1.0787852858345959</v>
      </c>
      <c r="F4" s="7">
        <f t="shared" si="0"/>
        <v>0.87901023290226332</v>
      </c>
    </row>
    <row r="5" spans="1:7" x14ac:dyDescent="0.25">
      <c r="A5" s="1">
        <v>45170</v>
      </c>
      <c r="B5">
        <v>660</v>
      </c>
      <c r="C5">
        <v>550</v>
      </c>
      <c r="D5" s="7">
        <f>_xlfn.XLOOKUP(A5,'rai-values-3bh'!E:E,'rai-values-3bh'!H:H)</f>
        <v>652.83625656125969</v>
      </c>
      <c r="E5" s="7">
        <f t="shared" si="0"/>
        <v>1.0109732622334344</v>
      </c>
      <c r="F5" s="7">
        <f t="shared" si="0"/>
        <v>0.84247771852786191</v>
      </c>
    </row>
    <row r="6" spans="1:7" x14ac:dyDescent="0.25">
      <c r="A6" s="1">
        <v>45261</v>
      </c>
      <c r="B6">
        <v>680</v>
      </c>
      <c r="C6">
        <v>560</v>
      </c>
      <c r="D6" s="7">
        <f>_xlfn.XLOOKUP(A6,'rai-values-3bh'!E:E,'rai-values-3bh'!H:H)</f>
        <v>678.18912089373578</v>
      </c>
      <c r="E6" s="7">
        <f t="shared" si="0"/>
        <v>1.0026701683210102</v>
      </c>
      <c r="F6" s="7">
        <f t="shared" si="0"/>
        <v>0.82572837391142018</v>
      </c>
    </row>
    <row r="7" spans="1:7" x14ac:dyDescent="0.25">
      <c r="A7" s="1">
        <v>45352</v>
      </c>
      <c r="B7">
        <v>685</v>
      </c>
      <c r="C7">
        <v>570</v>
      </c>
      <c r="D7" s="7">
        <f>_xlfn.XLOOKUP(A7,'rai-values-3bh'!E:E,'rai-values-3bh'!H:H)</f>
        <v>646.79147640791473</v>
      </c>
      <c r="E7" s="7">
        <f t="shared" si="0"/>
        <v>1.0590739442088568</v>
      </c>
      <c r="F7" s="7">
        <f t="shared" si="0"/>
        <v>0.88127320904970563</v>
      </c>
    </row>
    <row r="8" spans="1:7" x14ac:dyDescent="0.25">
      <c r="A8" s="1">
        <v>45444</v>
      </c>
      <c r="B8">
        <v>690</v>
      </c>
      <c r="C8">
        <v>560</v>
      </c>
      <c r="D8" s="7">
        <f>_xlfn.XLOOKUP(A8,'rai-values-3bh'!E:E,'rai-values-3bh'!H:H)</f>
        <v>646.79147640791473</v>
      </c>
      <c r="E8" s="7">
        <f t="shared" si="0"/>
        <v>1.0668044109549069</v>
      </c>
      <c r="F8" s="7">
        <f t="shared" si="0"/>
        <v>0.86581227555760554</v>
      </c>
    </row>
    <row r="9" spans="1:7" x14ac:dyDescent="0.25">
      <c r="A9" s="1">
        <v>45536</v>
      </c>
      <c r="B9">
        <v>680</v>
      </c>
      <c r="C9">
        <v>550</v>
      </c>
      <c r="D9" s="7">
        <f>_xlfn.XLOOKUP(A9,'rai-values-3bh'!E:E,'rai-values-3bh'!H:H)</f>
        <v>669.94901065449017</v>
      </c>
      <c r="E9" s="7">
        <f t="shared" si="0"/>
        <v>1.0150026183868692</v>
      </c>
      <c r="F9" s="7">
        <f t="shared" si="0"/>
        <v>0.82095800016585008</v>
      </c>
    </row>
    <row r="10" spans="1:7" x14ac:dyDescent="0.25">
      <c r="A10" s="1">
        <v>45627</v>
      </c>
      <c r="B10">
        <v>695</v>
      </c>
      <c r="C10">
        <v>565</v>
      </c>
      <c r="D10" s="7">
        <f>_xlfn.XLOOKUP(A10,'rai-values-3bh'!E:E,'rai-values-3bh'!H:H)</f>
        <v>689.09041095890404</v>
      </c>
      <c r="E10" s="7">
        <f t="shared" si="0"/>
        <v>1.0085759269714296</v>
      </c>
      <c r="F10" s="7">
        <f t="shared" si="0"/>
        <v>0.81992143703432763</v>
      </c>
    </row>
    <row r="11" spans="1:7" x14ac:dyDescent="0.25">
      <c r="A11" s="1">
        <v>45717</v>
      </c>
      <c r="B11">
        <v>700</v>
      </c>
      <c r="C11">
        <v>575</v>
      </c>
      <c r="D11" s="7">
        <f>_xlfn.XLOOKUP(A11,'rai-values-3bh'!E:E,'rai-values-3bh'!H:H)</f>
        <v>669.94901065449017</v>
      </c>
      <c r="E11" s="7">
        <f t="shared" si="0"/>
        <v>1.0448556365747181</v>
      </c>
      <c r="F11" s="7">
        <f t="shared" si="0"/>
        <v>0.85827427290066138</v>
      </c>
    </row>
    <row r="12" spans="1:7" x14ac:dyDescent="0.25">
      <c r="A12" s="1">
        <v>45809</v>
      </c>
      <c r="B12">
        <v>700</v>
      </c>
      <c r="C12">
        <v>580</v>
      </c>
      <c r="D12" s="7">
        <f>_xlfn.XLOOKUP(A12,'rai-values-3bh'!E:E,'rai-values-3bh'!H:H)</f>
        <v>657.76811955168114</v>
      </c>
      <c r="E12" s="7">
        <f t="shared" si="0"/>
        <v>1.0642048150298058</v>
      </c>
      <c r="F12" s="7">
        <f t="shared" si="0"/>
        <v>0.88176970388183906</v>
      </c>
    </row>
    <row r="13" spans="1:7" x14ac:dyDescent="0.25">
      <c r="A13" s="1">
        <v>45901</v>
      </c>
      <c r="B13">
        <v>690</v>
      </c>
      <c r="C13">
        <v>560</v>
      </c>
      <c r="D13" s="7" t="e">
        <f>_xlfn.XLOOKUP(A13,'rai-values-3bh'!E:E,'rai-values-3bh'!H:H)</f>
        <v>#DIV/0!</v>
      </c>
      <c r="E13" s="46" t="e">
        <f t="shared" si="0"/>
        <v>#DIV/0!</v>
      </c>
      <c r="F13" s="46" t="e">
        <f t="shared" si="0"/>
        <v>#DIV/0!</v>
      </c>
    </row>
    <row r="14" spans="1:7" x14ac:dyDescent="0.25">
      <c r="A14" s="1">
        <v>45992</v>
      </c>
      <c r="B14">
        <v>700</v>
      </c>
      <c r="C14">
        <v>580</v>
      </c>
      <c r="D14" s="7" t="e">
        <f>_xlfn.XLOOKUP(A14,'rai-values-3bh'!E:E,'rai-values-3bh'!H:H)</f>
        <v>#DIV/0!</v>
      </c>
      <c r="E14" s="46" t="e">
        <f t="shared" si="0"/>
        <v>#DIV/0!</v>
      </c>
      <c r="F14" s="46" t="e">
        <f t="shared" si="0"/>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9194-BCD9-42F8-AB42-5331A10B1A16}">
  <sheetPr>
    <tabColor rgb="FFFF0000"/>
  </sheetPr>
  <dimension ref="A1:D13"/>
  <sheetViews>
    <sheetView workbookViewId="0">
      <selection activeCell="E3" sqref="E3"/>
    </sheetView>
  </sheetViews>
  <sheetFormatPr defaultRowHeight="15" x14ac:dyDescent="0.25"/>
  <cols>
    <col min="1" max="1" width="11.85546875" customWidth="1"/>
    <col min="2" max="3" width="19.85546875" customWidth="1"/>
  </cols>
  <sheetData>
    <row r="1" spans="1:4" x14ac:dyDescent="0.25">
      <c r="A1" t="s">
        <v>641</v>
      </c>
      <c r="D1" s="48" t="s">
        <v>642</v>
      </c>
    </row>
    <row r="2" spans="1:4" x14ac:dyDescent="0.25">
      <c r="A2" t="s">
        <v>659</v>
      </c>
      <c r="B2" t="s">
        <v>643</v>
      </c>
      <c r="C2" t="s">
        <v>644</v>
      </c>
    </row>
    <row r="3" spans="1:4" x14ac:dyDescent="0.25">
      <c r="A3">
        <v>2008</v>
      </c>
      <c r="B3">
        <v>412</v>
      </c>
      <c r="C3">
        <v>366</v>
      </c>
    </row>
    <row r="4" spans="1:4" x14ac:dyDescent="0.25">
      <c r="A4">
        <v>2010</v>
      </c>
      <c r="B4">
        <v>452</v>
      </c>
      <c r="C4">
        <v>399</v>
      </c>
    </row>
    <row r="5" spans="1:4" x14ac:dyDescent="0.25">
      <c r="A5">
        <v>2015</v>
      </c>
      <c r="B5">
        <v>450</v>
      </c>
      <c r="C5">
        <v>380</v>
      </c>
    </row>
    <row r="6" spans="1:4" x14ac:dyDescent="0.25">
      <c r="A6">
        <v>2016</v>
      </c>
      <c r="B6">
        <v>457</v>
      </c>
      <c r="C6">
        <v>395</v>
      </c>
    </row>
    <row r="7" spans="1:4" x14ac:dyDescent="0.25">
      <c r="A7">
        <v>2017</v>
      </c>
      <c r="B7">
        <v>492</v>
      </c>
      <c r="C7">
        <v>416</v>
      </c>
    </row>
    <row r="8" spans="1:4" x14ac:dyDescent="0.25">
      <c r="A8">
        <v>2018</v>
      </c>
      <c r="B8">
        <v>531</v>
      </c>
      <c r="C8">
        <v>441</v>
      </c>
    </row>
    <row r="9" spans="1:4" x14ac:dyDescent="0.25">
      <c r="A9">
        <v>2019</v>
      </c>
      <c r="B9">
        <v>551</v>
      </c>
      <c r="C9">
        <v>466</v>
      </c>
    </row>
    <row r="10" spans="1:4" x14ac:dyDescent="0.25">
      <c r="A10">
        <v>2020</v>
      </c>
      <c r="B10">
        <v>569</v>
      </c>
      <c r="C10">
        <v>475</v>
      </c>
    </row>
    <row r="11" spans="1:4" x14ac:dyDescent="0.25">
      <c r="A11">
        <v>2021</v>
      </c>
      <c r="B11">
        <v>606</v>
      </c>
      <c r="C11">
        <v>495</v>
      </c>
    </row>
    <row r="12" spans="1:4" x14ac:dyDescent="0.25">
      <c r="A12" s="1">
        <v>44713</v>
      </c>
      <c r="B12">
        <v>673</v>
      </c>
      <c r="C12">
        <v>533</v>
      </c>
    </row>
    <row r="13" spans="1:4" x14ac:dyDescent="0.25">
      <c r="A13" s="1">
        <v>44896</v>
      </c>
      <c r="B13">
        <v>690</v>
      </c>
      <c r="C13">
        <v>550</v>
      </c>
    </row>
  </sheetData>
  <hyperlinks>
    <hyperlink ref="D1" r:id="rId1" xr:uid="{B15FD65B-4FD1-4A0E-8FF8-8631018504D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679F-2DC1-4787-81E2-7164773EA4E4}">
  <sheetPr>
    <tabColor rgb="FFFF0000"/>
    <pageSetUpPr autoPageBreaks="0"/>
  </sheetPr>
  <dimension ref="A1:L63"/>
  <sheetViews>
    <sheetView zoomScaleNormal="100" workbookViewId="0">
      <selection activeCell="H4" sqref="H4"/>
    </sheetView>
  </sheetViews>
  <sheetFormatPr defaultRowHeight="15" x14ac:dyDescent="0.25"/>
  <cols>
    <col min="8" max="8" width="20" bestFit="1" customWidth="1"/>
  </cols>
  <sheetData>
    <row r="1" spans="1:12" x14ac:dyDescent="0.25">
      <c r="E1" t="s">
        <v>645</v>
      </c>
      <c r="H1" t="s">
        <v>655</v>
      </c>
    </row>
    <row r="2" spans="1:12" x14ac:dyDescent="0.25">
      <c r="A2" t="s">
        <v>646</v>
      </c>
      <c r="E2" t="s">
        <v>647</v>
      </c>
      <c r="H2" t="s">
        <v>656</v>
      </c>
    </row>
    <row r="3" spans="1:12" x14ac:dyDescent="0.25">
      <c r="A3" t="s">
        <v>660</v>
      </c>
      <c r="B3" t="s">
        <v>631</v>
      </c>
      <c r="C3" t="s">
        <v>648</v>
      </c>
      <c r="E3" t="s">
        <v>2</v>
      </c>
      <c r="F3" t="s">
        <v>649</v>
      </c>
      <c r="G3" t="s">
        <v>650</v>
      </c>
      <c r="H3" t="s">
        <v>651</v>
      </c>
    </row>
    <row r="4" spans="1:12" x14ac:dyDescent="0.25">
      <c r="A4" t="s">
        <v>661</v>
      </c>
      <c r="B4">
        <v>2011</v>
      </c>
      <c r="C4" s="47">
        <v>79182</v>
      </c>
      <c r="E4" s="1">
        <v>40603</v>
      </c>
      <c r="F4">
        <f>IF(MONTH(E4)&gt;6,YEAR(E4)+1,YEAR(E4))</f>
        <v>2011</v>
      </c>
      <c r="G4">
        <v>106</v>
      </c>
      <c r="H4" s="7">
        <f>(100/G4)*0.3*(_xlfn.XLOOKUP(F4,B:B,C:C)/(365/7))</f>
        <v>429.78082191780817</v>
      </c>
    </row>
    <row r="5" spans="1:12" x14ac:dyDescent="0.25">
      <c r="A5" t="s">
        <v>661</v>
      </c>
      <c r="B5">
        <v>2012</v>
      </c>
      <c r="C5" s="47">
        <v>82418</v>
      </c>
      <c r="E5" s="1">
        <v>40695</v>
      </c>
      <c r="F5">
        <f t="shared" ref="F5:F63" si="0">IF(MONTH(E5)&gt;6,YEAR(E5)+1,YEAR(E5))</f>
        <v>2011</v>
      </c>
      <c r="G5">
        <v>106</v>
      </c>
      <c r="H5" s="7">
        <f t="shared" ref="H5:H63" si="1">(100/G5)*0.3*(_xlfn.XLOOKUP(F5,B:B,C:C)/(365/7))</f>
        <v>429.78082191780817</v>
      </c>
      <c r="L5" s="47"/>
    </row>
    <row r="6" spans="1:12" x14ac:dyDescent="0.25">
      <c r="A6" t="s">
        <v>661</v>
      </c>
      <c r="B6">
        <v>2013</v>
      </c>
      <c r="C6" s="47">
        <v>84550</v>
      </c>
      <c r="E6" s="1">
        <v>40787</v>
      </c>
      <c r="F6">
        <f t="shared" si="0"/>
        <v>2012</v>
      </c>
      <c r="G6">
        <v>106</v>
      </c>
      <c r="H6" s="7">
        <f t="shared" si="1"/>
        <v>447.34505040062027</v>
      </c>
      <c r="L6" s="47"/>
    </row>
    <row r="7" spans="1:12" x14ac:dyDescent="0.25">
      <c r="A7" t="s">
        <v>661</v>
      </c>
      <c r="B7">
        <v>2014</v>
      </c>
      <c r="C7" s="47">
        <v>91321</v>
      </c>
      <c r="E7" s="1">
        <v>40878</v>
      </c>
      <c r="F7">
        <f t="shared" si="0"/>
        <v>2012</v>
      </c>
      <c r="G7">
        <v>104</v>
      </c>
      <c r="H7" s="7">
        <f t="shared" si="1"/>
        <v>455.94783983140138</v>
      </c>
      <c r="L7" s="47"/>
    </row>
    <row r="8" spans="1:12" x14ac:dyDescent="0.25">
      <c r="A8" t="s">
        <v>661</v>
      </c>
      <c r="B8">
        <v>2015</v>
      </c>
      <c r="C8" s="47">
        <v>93521</v>
      </c>
      <c r="E8" s="1">
        <v>40969</v>
      </c>
      <c r="F8">
        <f t="shared" si="0"/>
        <v>2012</v>
      </c>
      <c r="G8">
        <v>108</v>
      </c>
      <c r="H8" s="7">
        <f t="shared" si="1"/>
        <v>439.06088280060879</v>
      </c>
      <c r="L8" s="47"/>
    </row>
    <row r="9" spans="1:12" x14ac:dyDescent="0.25">
      <c r="A9" t="s">
        <v>661</v>
      </c>
      <c r="B9">
        <v>2016</v>
      </c>
      <c r="C9" s="47">
        <v>95721</v>
      </c>
      <c r="E9" s="1">
        <v>41061</v>
      </c>
      <c r="F9">
        <f t="shared" si="0"/>
        <v>2012</v>
      </c>
      <c r="G9">
        <v>108</v>
      </c>
      <c r="H9" s="7">
        <f t="shared" si="1"/>
        <v>439.06088280060879</v>
      </c>
      <c r="L9" s="47"/>
    </row>
    <row r="10" spans="1:12" x14ac:dyDescent="0.25">
      <c r="A10" t="s">
        <v>661</v>
      </c>
      <c r="B10">
        <v>2017</v>
      </c>
      <c r="C10" s="47">
        <v>99105</v>
      </c>
      <c r="E10" s="1">
        <v>41153</v>
      </c>
      <c r="F10">
        <f t="shared" si="0"/>
        <v>2013</v>
      </c>
      <c r="G10">
        <v>113</v>
      </c>
      <c r="H10" s="7">
        <f t="shared" si="1"/>
        <v>430.48854406594739</v>
      </c>
      <c r="L10" s="47"/>
    </row>
    <row r="11" spans="1:12" x14ac:dyDescent="0.25">
      <c r="A11" t="s">
        <v>661</v>
      </c>
      <c r="B11">
        <v>2018</v>
      </c>
      <c r="C11" s="47">
        <v>102488</v>
      </c>
      <c r="E11" s="1">
        <v>41244</v>
      </c>
      <c r="F11">
        <f t="shared" si="0"/>
        <v>2013</v>
      </c>
      <c r="G11">
        <v>111</v>
      </c>
      <c r="H11" s="7">
        <f t="shared" si="1"/>
        <v>438.24509440947799</v>
      </c>
      <c r="L11" s="47"/>
    </row>
    <row r="12" spans="1:12" x14ac:dyDescent="0.25">
      <c r="A12" t="s">
        <v>661</v>
      </c>
      <c r="B12">
        <v>2019</v>
      </c>
      <c r="C12" s="47">
        <v>104788</v>
      </c>
      <c r="E12" s="1">
        <v>41334</v>
      </c>
      <c r="F12">
        <f t="shared" si="0"/>
        <v>2013</v>
      </c>
      <c r="G12">
        <v>113</v>
      </c>
      <c r="H12" s="7">
        <f t="shared" si="1"/>
        <v>430.48854406594739</v>
      </c>
      <c r="L12" s="47"/>
    </row>
    <row r="13" spans="1:12" x14ac:dyDescent="0.25">
      <c r="A13" t="s">
        <v>661</v>
      </c>
      <c r="B13">
        <v>2020</v>
      </c>
      <c r="C13" s="47">
        <v>107087</v>
      </c>
      <c r="E13" s="1">
        <v>41426</v>
      </c>
      <c r="F13">
        <f t="shared" si="0"/>
        <v>2013</v>
      </c>
      <c r="G13">
        <v>116</v>
      </c>
      <c r="H13" s="7">
        <f t="shared" si="1"/>
        <v>419.35521965044865</v>
      </c>
      <c r="L13" s="47"/>
    </row>
    <row r="14" spans="1:12" x14ac:dyDescent="0.25">
      <c r="A14" t="s">
        <v>661</v>
      </c>
      <c r="B14">
        <v>2021</v>
      </c>
      <c r="C14" s="47">
        <v>109456</v>
      </c>
      <c r="E14" s="1">
        <v>41518</v>
      </c>
      <c r="F14">
        <f t="shared" si="0"/>
        <v>2014</v>
      </c>
      <c r="G14">
        <v>120</v>
      </c>
      <c r="H14" s="7">
        <f t="shared" si="1"/>
        <v>437.8404109589041</v>
      </c>
      <c r="L14" s="47"/>
    </row>
    <row r="15" spans="1:12" x14ac:dyDescent="0.25">
      <c r="A15" t="s">
        <v>661</v>
      </c>
      <c r="B15">
        <v>2022</v>
      </c>
      <c r="C15" s="47">
        <v>113617</v>
      </c>
      <c r="E15" s="1">
        <v>41609</v>
      </c>
      <c r="F15">
        <f t="shared" si="0"/>
        <v>2014</v>
      </c>
      <c r="G15">
        <v>122</v>
      </c>
      <c r="H15" s="7">
        <f t="shared" si="1"/>
        <v>430.6626993038401</v>
      </c>
      <c r="L15" s="47"/>
    </row>
    <row r="16" spans="1:12" x14ac:dyDescent="0.25">
      <c r="A16" t="s">
        <v>661</v>
      </c>
      <c r="B16">
        <v>2023</v>
      </c>
      <c r="C16" s="47">
        <v>116366</v>
      </c>
      <c r="E16" s="1">
        <v>41699</v>
      </c>
      <c r="F16">
        <f t="shared" si="0"/>
        <v>2014</v>
      </c>
      <c r="G16">
        <v>132</v>
      </c>
      <c r="H16" s="7">
        <f t="shared" si="1"/>
        <v>398.03673723536735</v>
      </c>
      <c r="L16" s="47"/>
    </row>
    <row r="17" spans="1:12" x14ac:dyDescent="0.25">
      <c r="A17" t="s">
        <v>661</v>
      </c>
      <c r="B17">
        <v>2024</v>
      </c>
      <c r="C17" s="47">
        <v>121412</v>
      </c>
      <c r="E17" s="1">
        <v>41791</v>
      </c>
      <c r="F17">
        <f t="shared" si="0"/>
        <v>2014</v>
      </c>
      <c r="G17">
        <v>135</v>
      </c>
      <c r="H17" s="7">
        <f t="shared" si="1"/>
        <v>389.19147640791476</v>
      </c>
      <c r="L17" s="47"/>
    </row>
    <row r="18" spans="1:12" x14ac:dyDescent="0.25">
      <c r="A18" t="s">
        <v>661</v>
      </c>
      <c r="B18">
        <v>2025</v>
      </c>
      <c r="C18" s="47">
        <v>125759</v>
      </c>
      <c r="E18" s="1">
        <v>41883</v>
      </c>
      <c r="F18">
        <f t="shared" si="0"/>
        <v>2015</v>
      </c>
      <c r="G18">
        <v>139</v>
      </c>
      <c r="H18" s="7">
        <f t="shared" si="1"/>
        <v>387.09786143687785</v>
      </c>
      <c r="L18" s="47"/>
    </row>
    <row r="19" spans="1:12" x14ac:dyDescent="0.25">
      <c r="E19" s="1">
        <v>41974</v>
      </c>
      <c r="F19">
        <f t="shared" si="0"/>
        <v>2015</v>
      </c>
      <c r="G19">
        <v>139</v>
      </c>
      <c r="H19" s="7">
        <f t="shared" si="1"/>
        <v>387.09786143687785</v>
      </c>
      <c r="L19" s="47"/>
    </row>
    <row r="20" spans="1:12" x14ac:dyDescent="0.25">
      <c r="E20" s="1">
        <v>42064</v>
      </c>
      <c r="F20">
        <f t="shared" si="0"/>
        <v>2015</v>
      </c>
      <c r="G20">
        <v>137</v>
      </c>
      <c r="H20" s="7">
        <f t="shared" si="1"/>
        <v>392.74892510748919</v>
      </c>
    </row>
    <row r="21" spans="1:12" x14ac:dyDescent="0.25">
      <c r="E21" s="1">
        <v>42156</v>
      </c>
      <c r="F21">
        <f t="shared" si="0"/>
        <v>2015</v>
      </c>
      <c r="G21">
        <v>138</v>
      </c>
      <c r="H21" s="7">
        <f t="shared" si="1"/>
        <v>389.90291840381178</v>
      </c>
    </row>
    <row r="22" spans="1:12" x14ac:dyDescent="0.25">
      <c r="E22" s="1">
        <v>42248</v>
      </c>
      <c r="F22">
        <f t="shared" si="0"/>
        <v>2016</v>
      </c>
      <c r="G22">
        <v>138</v>
      </c>
      <c r="H22" s="7">
        <f t="shared" si="1"/>
        <v>399.07504466944607</v>
      </c>
    </row>
    <row r="23" spans="1:12" x14ac:dyDescent="0.25">
      <c r="E23" s="1">
        <v>42339</v>
      </c>
      <c r="F23">
        <f t="shared" si="0"/>
        <v>2016</v>
      </c>
      <c r="G23">
        <v>135</v>
      </c>
      <c r="H23" s="7">
        <f t="shared" si="1"/>
        <v>407.9433789954337</v>
      </c>
    </row>
    <row r="24" spans="1:12" x14ac:dyDescent="0.25">
      <c r="E24" s="1">
        <v>42430</v>
      </c>
      <c r="F24">
        <f t="shared" si="0"/>
        <v>2016</v>
      </c>
      <c r="G24">
        <v>138</v>
      </c>
      <c r="H24" s="7">
        <f t="shared" si="1"/>
        <v>399.07504466944607</v>
      </c>
    </row>
    <row r="25" spans="1:12" x14ac:dyDescent="0.25">
      <c r="E25" s="1">
        <v>42522</v>
      </c>
      <c r="F25">
        <f t="shared" si="0"/>
        <v>2016</v>
      </c>
      <c r="G25">
        <v>138</v>
      </c>
      <c r="H25" s="7">
        <f t="shared" si="1"/>
        <v>399.07504466944607</v>
      </c>
    </row>
    <row r="26" spans="1:12" x14ac:dyDescent="0.25">
      <c r="E26" s="1">
        <v>42614</v>
      </c>
      <c r="F26">
        <f t="shared" si="0"/>
        <v>2017</v>
      </c>
      <c r="G26">
        <v>138</v>
      </c>
      <c r="H26" s="7">
        <f t="shared" si="1"/>
        <v>413.18344252531267</v>
      </c>
    </row>
    <row r="27" spans="1:12" x14ac:dyDescent="0.25">
      <c r="E27" s="1">
        <v>42705</v>
      </c>
      <c r="F27">
        <f t="shared" si="0"/>
        <v>2017</v>
      </c>
      <c r="G27">
        <v>131</v>
      </c>
      <c r="H27" s="7">
        <f t="shared" si="1"/>
        <v>435.26194708773397</v>
      </c>
    </row>
    <row r="28" spans="1:12" x14ac:dyDescent="0.25">
      <c r="E28" s="1">
        <v>42795</v>
      </c>
      <c r="F28">
        <f t="shared" si="0"/>
        <v>2017</v>
      </c>
      <c r="G28">
        <v>135</v>
      </c>
      <c r="H28" s="7">
        <f t="shared" si="1"/>
        <v>422.36529680365294</v>
      </c>
    </row>
    <row r="29" spans="1:12" x14ac:dyDescent="0.25">
      <c r="E29" s="1">
        <v>42887</v>
      </c>
      <c r="F29">
        <f t="shared" si="0"/>
        <v>2017</v>
      </c>
      <c r="G29">
        <v>133</v>
      </c>
      <c r="H29" s="7">
        <f t="shared" si="1"/>
        <v>428.71665465032441</v>
      </c>
    </row>
    <row r="30" spans="1:12" x14ac:dyDescent="0.25">
      <c r="E30" s="1">
        <v>42979</v>
      </c>
      <c r="F30">
        <f t="shared" si="0"/>
        <v>2018</v>
      </c>
      <c r="G30">
        <v>135</v>
      </c>
      <c r="H30" s="7">
        <f t="shared" si="1"/>
        <v>436.7829528158295</v>
      </c>
    </row>
    <row r="31" spans="1:12" x14ac:dyDescent="0.25">
      <c r="E31" s="1">
        <v>43070</v>
      </c>
      <c r="F31">
        <f t="shared" si="0"/>
        <v>2018</v>
      </c>
      <c r="G31">
        <v>136</v>
      </c>
      <c r="H31" s="7">
        <f t="shared" si="1"/>
        <v>433.57131345688964</v>
      </c>
    </row>
    <row r="32" spans="1:12" x14ac:dyDescent="0.25">
      <c r="E32" s="1">
        <v>43160</v>
      </c>
      <c r="F32">
        <f t="shared" si="0"/>
        <v>2018</v>
      </c>
      <c r="G32">
        <v>134</v>
      </c>
      <c r="H32" s="7">
        <f t="shared" si="1"/>
        <v>440.04252709057454</v>
      </c>
    </row>
    <row r="33" spans="5:8" x14ac:dyDescent="0.25">
      <c r="E33" s="1">
        <v>43252</v>
      </c>
      <c r="F33">
        <f t="shared" si="0"/>
        <v>2018</v>
      </c>
      <c r="G33">
        <v>129</v>
      </c>
      <c r="H33" s="7">
        <f t="shared" si="1"/>
        <v>457.09843899330991</v>
      </c>
    </row>
    <row r="34" spans="5:8" x14ac:dyDescent="0.25">
      <c r="E34" s="1">
        <v>43344</v>
      </c>
      <c r="F34">
        <f t="shared" si="0"/>
        <v>2019</v>
      </c>
      <c r="G34">
        <v>129</v>
      </c>
      <c r="H34" s="7">
        <f t="shared" si="1"/>
        <v>467.35648295635548</v>
      </c>
    </row>
    <row r="35" spans="5:8" x14ac:dyDescent="0.25">
      <c r="E35" s="1">
        <v>43435</v>
      </c>
      <c r="F35">
        <f t="shared" si="0"/>
        <v>2019</v>
      </c>
      <c r="G35">
        <v>129</v>
      </c>
      <c r="H35" s="7">
        <f t="shared" si="1"/>
        <v>467.35648295635548</v>
      </c>
    </row>
    <row r="36" spans="5:8" x14ac:dyDescent="0.25">
      <c r="E36" s="1">
        <v>43525</v>
      </c>
      <c r="F36">
        <f t="shared" si="0"/>
        <v>2019</v>
      </c>
      <c r="G36">
        <v>126</v>
      </c>
      <c r="H36" s="7">
        <f t="shared" si="1"/>
        <v>478.48401826484013</v>
      </c>
    </row>
    <row r="37" spans="5:8" x14ac:dyDescent="0.25">
      <c r="E37" s="1">
        <v>43617</v>
      </c>
      <c r="F37">
        <f t="shared" si="0"/>
        <v>2019</v>
      </c>
      <c r="G37">
        <v>129</v>
      </c>
      <c r="H37" s="7">
        <f t="shared" si="1"/>
        <v>467.35648295635548</v>
      </c>
    </row>
    <row r="38" spans="5:8" x14ac:dyDescent="0.25">
      <c r="E38" s="1">
        <v>43709</v>
      </c>
      <c r="F38">
        <f t="shared" si="0"/>
        <v>2020</v>
      </c>
      <c r="G38">
        <v>129</v>
      </c>
      <c r="H38" s="7">
        <f t="shared" si="1"/>
        <v>477.61006690028671</v>
      </c>
    </row>
    <row r="39" spans="5:8" x14ac:dyDescent="0.25">
      <c r="E39" s="1">
        <v>43800</v>
      </c>
      <c r="F39">
        <f t="shared" si="0"/>
        <v>2020</v>
      </c>
      <c r="G39">
        <v>126</v>
      </c>
      <c r="H39" s="7">
        <f t="shared" si="1"/>
        <v>488.98173515981733</v>
      </c>
    </row>
    <row r="40" spans="5:8" x14ac:dyDescent="0.25">
      <c r="E40" s="1">
        <v>43891</v>
      </c>
      <c r="F40">
        <f t="shared" si="0"/>
        <v>2020</v>
      </c>
      <c r="G40">
        <v>126</v>
      </c>
      <c r="H40" s="7">
        <f t="shared" si="1"/>
        <v>488.98173515981733</v>
      </c>
    </row>
    <row r="41" spans="5:8" x14ac:dyDescent="0.25">
      <c r="E41" s="1">
        <v>43983</v>
      </c>
      <c r="F41">
        <f t="shared" si="0"/>
        <v>2020</v>
      </c>
      <c r="G41">
        <v>129</v>
      </c>
      <c r="H41" s="7">
        <f t="shared" si="1"/>
        <v>477.61006690028671</v>
      </c>
    </row>
    <row r="42" spans="5:8" x14ac:dyDescent="0.25">
      <c r="E42" s="1">
        <v>44075</v>
      </c>
      <c r="F42">
        <f t="shared" si="0"/>
        <v>2021</v>
      </c>
      <c r="G42">
        <v>126</v>
      </c>
      <c r="H42" s="7">
        <f t="shared" si="1"/>
        <v>499.79908675799084</v>
      </c>
    </row>
    <row r="43" spans="5:8" x14ac:dyDescent="0.25">
      <c r="E43" s="1">
        <v>44166</v>
      </c>
      <c r="F43">
        <f t="shared" si="0"/>
        <v>2021</v>
      </c>
      <c r="G43">
        <v>124</v>
      </c>
      <c r="H43" s="7">
        <f t="shared" si="1"/>
        <v>507.86036235086164</v>
      </c>
    </row>
    <row r="44" spans="5:8" x14ac:dyDescent="0.25">
      <c r="E44" s="1">
        <v>44256</v>
      </c>
      <c r="F44">
        <f t="shared" si="0"/>
        <v>2021</v>
      </c>
      <c r="G44">
        <v>121</v>
      </c>
      <c r="H44" s="7">
        <f t="shared" si="1"/>
        <v>520.45194158270124</v>
      </c>
    </row>
    <row r="45" spans="5:8" x14ac:dyDescent="0.25">
      <c r="E45" s="1">
        <v>44348</v>
      </c>
      <c r="F45">
        <f t="shared" si="0"/>
        <v>2021</v>
      </c>
      <c r="G45">
        <v>124</v>
      </c>
      <c r="H45" s="7">
        <f t="shared" si="1"/>
        <v>507.86036235086164</v>
      </c>
    </row>
    <row r="46" spans="5:8" x14ac:dyDescent="0.25">
      <c r="E46" s="1">
        <v>44440</v>
      </c>
      <c r="F46">
        <f t="shared" si="0"/>
        <v>2022</v>
      </c>
      <c r="G46">
        <v>119</v>
      </c>
      <c r="H46" s="7">
        <f t="shared" si="1"/>
        <v>549.31668009669613</v>
      </c>
    </row>
    <row r="47" spans="5:8" x14ac:dyDescent="0.25">
      <c r="E47" s="1">
        <v>44531</v>
      </c>
      <c r="F47">
        <f t="shared" si="0"/>
        <v>2022</v>
      </c>
      <c r="G47">
        <v>113</v>
      </c>
      <c r="H47" s="7">
        <f t="shared" si="1"/>
        <v>578.4839374469633</v>
      </c>
    </row>
    <row r="48" spans="5:8" x14ac:dyDescent="0.25">
      <c r="E48" s="1">
        <v>44621</v>
      </c>
      <c r="F48">
        <f t="shared" si="0"/>
        <v>2022</v>
      </c>
      <c r="G48">
        <v>117</v>
      </c>
      <c r="H48" s="7">
        <f t="shared" si="1"/>
        <v>558.70670881629769</v>
      </c>
    </row>
    <row r="49" spans="5:8" x14ac:dyDescent="0.25">
      <c r="E49" s="1">
        <v>44713</v>
      </c>
      <c r="F49">
        <f t="shared" si="0"/>
        <v>2022</v>
      </c>
      <c r="G49">
        <v>115</v>
      </c>
      <c r="H49" s="7">
        <f t="shared" si="1"/>
        <v>568.4233472304943</v>
      </c>
    </row>
    <row r="50" spans="5:8" x14ac:dyDescent="0.25">
      <c r="E50" s="1">
        <v>44805</v>
      </c>
      <c r="F50">
        <f t="shared" si="0"/>
        <v>2023</v>
      </c>
      <c r="G50">
        <v>114</v>
      </c>
      <c r="H50" s="7">
        <f t="shared" si="1"/>
        <v>587.28334534967541</v>
      </c>
    </row>
    <row r="51" spans="5:8" x14ac:dyDescent="0.25">
      <c r="E51" s="1">
        <v>44896</v>
      </c>
      <c r="F51">
        <f t="shared" si="0"/>
        <v>2023</v>
      </c>
      <c r="G51">
        <v>113</v>
      </c>
      <c r="H51" s="7">
        <f t="shared" si="1"/>
        <v>592.48054309613281</v>
      </c>
    </row>
    <row r="52" spans="5:8" x14ac:dyDescent="0.25">
      <c r="E52" s="1">
        <v>44986</v>
      </c>
      <c r="F52">
        <f t="shared" si="0"/>
        <v>2023</v>
      </c>
      <c r="G52">
        <v>116</v>
      </c>
      <c r="H52" s="7">
        <f t="shared" si="1"/>
        <v>577.15777042985337</v>
      </c>
    </row>
    <row r="53" spans="5:8" x14ac:dyDescent="0.25">
      <c r="E53" s="1">
        <v>45078</v>
      </c>
      <c r="F53">
        <f t="shared" si="0"/>
        <v>2023</v>
      </c>
      <c r="G53">
        <v>118</v>
      </c>
      <c r="H53" s="7">
        <f t="shared" si="1"/>
        <v>567.37543533782207</v>
      </c>
    </row>
    <row r="54" spans="5:8" x14ac:dyDescent="0.25">
      <c r="E54" s="1">
        <v>45170</v>
      </c>
      <c r="F54">
        <f t="shared" si="0"/>
        <v>2024</v>
      </c>
      <c r="G54">
        <v>120</v>
      </c>
      <c r="H54" s="7">
        <f t="shared" si="1"/>
        <v>582.11232876712324</v>
      </c>
    </row>
    <row r="55" spans="5:8" x14ac:dyDescent="0.25">
      <c r="E55" s="1">
        <v>45261</v>
      </c>
      <c r="F55">
        <f t="shared" si="0"/>
        <v>2024</v>
      </c>
      <c r="G55">
        <v>114</v>
      </c>
      <c r="H55" s="7">
        <f t="shared" si="1"/>
        <v>612.74981975486651</v>
      </c>
    </row>
    <row r="56" spans="5:8" x14ac:dyDescent="0.25">
      <c r="E56" s="1">
        <v>45352</v>
      </c>
      <c r="F56">
        <f t="shared" si="0"/>
        <v>2024</v>
      </c>
      <c r="G56">
        <v>119</v>
      </c>
      <c r="H56" s="7">
        <f t="shared" si="1"/>
        <v>587.00402900886377</v>
      </c>
    </row>
    <row r="57" spans="5:8" x14ac:dyDescent="0.25">
      <c r="E57" s="1">
        <v>45444</v>
      </c>
      <c r="F57">
        <f t="shared" si="0"/>
        <v>2024</v>
      </c>
      <c r="G57">
        <v>122</v>
      </c>
      <c r="H57" s="7">
        <f t="shared" si="1"/>
        <v>572.56950370536708</v>
      </c>
    </row>
    <row r="58" spans="5:8" x14ac:dyDescent="0.25">
      <c r="E58" s="1">
        <v>45536</v>
      </c>
      <c r="F58">
        <f t="shared" si="0"/>
        <v>2025</v>
      </c>
      <c r="G58">
        <v>122</v>
      </c>
      <c r="H58" s="7">
        <f t="shared" si="1"/>
        <v>593.06961598922078</v>
      </c>
    </row>
    <row r="59" spans="5:8" x14ac:dyDescent="0.25">
      <c r="E59" s="1">
        <v>45627</v>
      </c>
      <c r="F59">
        <f t="shared" si="0"/>
        <v>2025</v>
      </c>
      <c r="G59">
        <v>119</v>
      </c>
      <c r="H59" s="7">
        <f t="shared" si="1"/>
        <v>608.02095084609186</v>
      </c>
    </row>
    <row r="60" spans="5:8" x14ac:dyDescent="0.25">
      <c r="E60" s="1">
        <v>45717</v>
      </c>
      <c r="F60">
        <f t="shared" si="0"/>
        <v>2025</v>
      </c>
      <c r="G60">
        <v>121</v>
      </c>
      <c r="H60" s="7">
        <f t="shared" si="1"/>
        <v>597.97101777425564</v>
      </c>
    </row>
    <row r="61" spans="5:8" x14ac:dyDescent="0.25">
      <c r="E61" s="1">
        <v>45809</v>
      </c>
      <c r="F61">
        <f t="shared" si="0"/>
        <v>2025</v>
      </c>
      <c r="G61">
        <v>122</v>
      </c>
      <c r="H61" s="7">
        <f t="shared" si="1"/>
        <v>593.06961598922078</v>
      </c>
    </row>
    <row r="62" spans="5:8" x14ac:dyDescent="0.25">
      <c r="E62" s="1">
        <v>45901</v>
      </c>
      <c r="F62">
        <f t="shared" si="0"/>
        <v>2026</v>
      </c>
      <c r="H62" s="7" t="e">
        <f t="shared" si="1"/>
        <v>#DIV/0!</v>
      </c>
    </row>
    <row r="63" spans="5:8" x14ac:dyDescent="0.25">
      <c r="E63" s="1">
        <v>45992</v>
      </c>
      <c r="F63">
        <f t="shared" si="0"/>
        <v>2026</v>
      </c>
      <c r="H63" s="7" t="e">
        <f t="shared" si="1"/>
        <v>#DIV/0!</v>
      </c>
    </row>
  </sheetData>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8C56-5EB4-4A17-883F-45F034504F13}">
  <sheetPr>
    <tabColor rgb="FFFF0000"/>
    <pageSetUpPr autoPageBreaks="0"/>
  </sheetPr>
  <dimension ref="A1:H63"/>
  <sheetViews>
    <sheetView zoomScaleNormal="100" workbookViewId="0">
      <selection activeCell="G62" sqref="G62"/>
    </sheetView>
  </sheetViews>
  <sheetFormatPr defaultRowHeight="15" x14ac:dyDescent="0.25"/>
  <cols>
    <col min="8" max="8" width="20" bestFit="1" customWidth="1"/>
  </cols>
  <sheetData>
    <row r="1" spans="1:8" x14ac:dyDescent="0.25">
      <c r="E1" t="s">
        <v>645</v>
      </c>
      <c r="H1" t="s">
        <v>653</v>
      </c>
    </row>
    <row r="2" spans="1:8" x14ac:dyDescent="0.25">
      <c r="A2" t="s">
        <v>646</v>
      </c>
      <c r="E2" t="s">
        <v>647</v>
      </c>
      <c r="H2" t="s">
        <v>654</v>
      </c>
    </row>
    <row r="3" spans="1:8" x14ac:dyDescent="0.25">
      <c r="A3" t="s">
        <v>660</v>
      </c>
      <c r="B3" t="s">
        <v>631</v>
      </c>
      <c r="C3" t="s">
        <v>648</v>
      </c>
      <c r="E3" t="s">
        <v>2</v>
      </c>
      <c r="F3" t="s">
        <v>649</v>
      </c>
      <c r="G3" t="s">
        <v>650</v>
      </c>
      <c r="H3" t="s">
        <v>651</v>
      </c>
    </row>
    <row r="4" spans="1:8" x14ac:dyDescent="0.25">
      <c r="A4" t="s">
        <v>661</v>
      </c>
      <c r="B4">
        <v>2011</v>
      </c>
      <c r="C4" s="47">
        <v>79182</v>
      </c>
      <c r="E4" s="1">
        <v>40603</v>
      </c>
      <c r="F4">
        <f>IF(MONTH(E4)&gt;6,YEAR(E4)+1,YEAR(E4))</f>
        <v>2011</v>
      </c>
      <c r="G4">
        <v>102</v>
      </c>
      <c r="H4" s="7">
        <f>(100/G4)*0.3*(_xlfn.XLOOKUP(F4,B:B,C:C)/(365/7))</f>
        <v>446.6349717969378</v>
      </c>
    </row>
    <row r="5" spans="1:8" x14ac:dyDescent="0.25">
      <c r="A5" t="s">
        <v>661</v>
      </c>
      <c r="B5">
        <v>2012</v>
      </c>
      <c r="C5" s="47">
        <v>82418</v>
      </c>
      <c r="E5" s="1">
        <v>40695</v>
      </c>
      <c r="F5">
        <f t="shared" ref="F5:F63" si="0">IF(MONTH(E5)&gt;6,YEAR(E5)+1,YEAR(E5))</f>
        <v>2011</v>
      </c>
      <c r="G5">
        <v>102</v>
      </c>
      <c r="H5" s="7">
        <f t="shared" ref="H5:H63" si="1">(100/G5)*0.3*(_xlfn.XLOOKUP(F5,B:B,C:C)/(365/7))</f>
        <v>446.6349717969378</v>
      </c>
    </row>
    <row r="6" spans="1:8" x14ac:dyDescent="0.25">
      <c r="A6" t="s">
        <v>661</v>
      </c>
      <c r="B6">
        <v>2013</v>
      </c>
      <c r="C6" s="47">
        <v>84550</v>
      </c>
      <c r="E6" s="1">
        <v>40787</v>
      </c>
      <c r="F6">
        <f t="shared" si="0"/>
        <v>2012</v>
      </c>
      <c r="G6">
        <v>102</v>
      </c>
      <c r="H6" s="7">
        <f t="shared" si="1"/>
        <v>464.88799355358572</v>
      </c>
    </row>
    <row r="7" spans="1:8" x14ac:dyDescent="0.25">
      <c r="A7" t="s">
        <v>661</v>
      </c>
      <c r="B7">
        <v>2014</v>
      </c>
      <c r="C7" s="47">
        <v>91321</v>
      </c>
      <c r="E7" s="1">
        <v>40878</v>
      </c>
      <c r="F7">
        <f t="shared" si="0"/>
        <v>2012</v>
      </c>
      <c r="G7">
        <v>99</v>
      </c>
      <c r="H7" s="7">
        <f t="shared" si="1"/>
        <v>478.97550850975506</v>
      </c>
    </row>
    <row r="8" spans="1:8" x14ac:dyDescent="0.25">
      <c r="A8" t="s">
        <v>661</v>
      </c>
      <c r="B8">
        <v>2015</v>
      </c>
      <c r="C8" s="47">
        <v>93521</v>
      </c>
      <c r="E8" s="1">
        <v>40969</v>
      </c>
      <c r="F8">
        <f t="shared" si="0"/>
        <v>2012</v>
      </c>
      <c r="G8">
        <v>100</v>
      </c>
      <c r="H8" s="7">
        <f t="shared" si="1"/>
        <v>474.18575342465749</v>
      </c>
    </row>
    <row r="9" spans="1:8" x14ac:dyDescent="0.25">
      <c r="A9" t="s">
        <v>661</v>
      </c>
      <c r="B9">
        <v>2016</v>
      </c>
      <c r="C9" s="47">
        <v>95721</v>
      </c>
      <c r="E9" s="1">
        <v>41061</v>
      </c>
      <c r="F9">
        <f t="shared" si="0"/>
        <v>2012</v>
      </c>
      <c r="G9">
        <v>101</v>
      </c>
      <c r="H9" s="7">
        <f t="shared" si="1"/>
        <v>469.49084497490838</v>
      </c>
    </row>
    <row r="10" spans="1:8" x14ac:dyDescent="0.25">
      <c r="A10" t="s">
        <v>661</v>
      </c>
      <c r="B10">
        <v>2017</v>
      </c>
      <c r="C10" s="47">
        <v>99105</v>
      </c>
      <c r="E10" s="1">
        <v>41153</v>
      </c>
      <c r="F10">
        <f t="shared" si="0"/>
        <v>2013</v>
      </c>
      <c r="G10">
        <v>103</v>
      </c>
      <c r="H10" s="7">
        <f t="shared" si="1"/>
        <v>472.28354834419463</v>
      </c>
    </row>
    <row r="11" spans="1:8" x14ac:dyDescent="0.25">
      <c r="A11" t="s">
        <v>661</v>
      </c>
      <c r="B11">
        <v>2018</v>
      </c>
      <c r="C11" s="47">
        <v>102488</v>
      </c>
      <c r="E11" s="1">
        <v>41244</v>
      </c>
      <c r="F11">
        <f t="shared" si="0"/>
        <v>2013</v>
      </c>
      <c r="G11">
        <v>103</v>
      </c>
      <c r="H11" s="7">
        <f t="shared" si="1"/>
        <v>472.28354834419463</v>
      </c>
    </row>
    <row r="12" spans="1:8" x14ac:dyDescent="0.25">
      <c r="A12" t="s">
        <v>661</v>
      </c>
      <c r="B12">
        <v>2019</v>
      </c>
      <c r="C12" s="47">
        <v>104788</v>
      </c>
      <c r="E12" s="1">
        <v>41334</v>
      </c>
      <c r="F12">
        <f t="shared" si="0"/>
        <v>2013</v>
      </c>
      <c r="G12">
        <v>104</v>
      </c>
      <c r="H12" s="7">
        <f t="shared" si="1"/>
        <v>467.74236037934662</v>
      </c>
    </row>
    <row r="13" spans="1:8" x14ac:dyDescent="0.25">
      <c r="A13" t="s">
        <v>661</v>
      </c>
      <c r="B13">
        <v>2020</v>
      </c>
      <c r="C13" s="47">
        <v>107087</v>
      </c>
      <c r="E13" s="1">
        <v>41426</v>
      </c>
      <c r="F13">
        <f t="shared" si="0"/>
        <v>2013</v>
      </c>
      <c r="G13">
        <v>108</v>
      </c>
      <c r="H13" s="7">
        <f t="shared" si="1"/>
        <v>450.41856925418568</v>
      </c>
    </row>
    <row r="14" spans="1:8" x14ac:dyDescent="0.25">
      <c r="A14" t="s">
        <v>661</v>
      </c>
      <c r="B14">
        <v>2021</v>
      </c>
      <c r="C14" s="47">
        <v>109456</v>
      </c>
      <c r="E14" s="1">
        <v>41518</v>
      </c>
      <c r="F14">
        <f t="shared" si="0"/>
        <v>2014</v>
      </c>
      <c r="G14">
        <v>108</v>
      </c>
      <c r="H14" s="7">
        <f t="shared" si="1"/>
        <v>486.48934550989344</v>
      </c>
    </row>
    <row r="15" spans="1:8" x14ac:dyDescent="0.25">
      <c r="A15" t="s">
        <v>661</v>
      </c>
      <c r="B15">
        <v>2022</v>
      </c>
      <c r="C15" s="47">
        <v>113617</v>
      </c>
      <c r="E15" s="1">
        <v>41609</v>
      </c>
      <c r="F15">
        <f t="shared" si="0"/>
        <v>2014</v>
      </c>
      <c r="G15">
        <v>108</v>
      </c>
      <c r="H15" s="7">
        <f t="shared" si="1"/>
        <v>486.48934550989344</v>
      </c>
    </row>
    <row r="16" spans="1:8" x14ac:dyDescent="0.25">
      <c r="A16" t="s">
        <v>661</v>
      </c>
      <c r="B16">
        <v>2023</v>
      </c>
      <c r="C16" s="47">
        <v>116366</v>
      </c>
      <c r="E16" s="1">
        <v>41699</v>
      </c>
      <c r="F16">
        <f t="shared" si="0"/>
        <v>2014</v>
      </c>
      <c r="G16">
        <v>117</v>
      </c>
      <c r="H16" s="7">
        <f t="shared" si="1"/>
        <v>449.06708816297851</v>
      </c>
    </row>
    <row r="17" spans="1:8" x14ac:dyDescent="0.25">
      <c r="A17" t="s">
        <v>661</v>
      </c>
      <c r="B17">
        <v>2024</v>
      </c>
      <c r="C17" s="47">
        <v>121412</v>
      </c>
      <c r="E17" s="1">
        <v>41791</v>
      </c>
      <c r="F17">
        <f t="shared" si="0"/>
        <v>2014</v>
      </c>
      <c r="G17">
        <v>123</v>
      </c>
      <c r="H17" s="7">
        <f t="shared" si="1"/>
        <v>427.16137654527228</v>
      </c>
    </row>
    <row r="18" spans="1:8" x14ac:dyDescent="0.25">
      <c r="A18" t="s">
        <v>661</v>
      </c>
      <c r="B18">
        <v>2025</v>
      </c>
      <c r="C18" s="47">
        <v>125759</v>
      </c>
      <c r="E18" s="1">
        <v>41883</v>
      </c>
      <c r="F18">
        <f t="shared" si="0"/>
        <v>2015</v>
      </c>
      <c r="G18">
        <v>123</v>
      </c>
      <c r="H18" s="7">
        <f t="shared" si="1"/>
        <v>437.45205479452051</v>
      </c>
    </row>
    <row r="19" spans="1:8" x14ac:dyDescent="0.25">
      <c r="E19" s="1">
        <v>41974</v>
      </c>
      <c r="F19">
        <f t="shared" si="0"/>
        <v>2015</v>
      </c>
      <c r="G19">
        <v>123</v>
      </c>
      <c r="H19" s="7">
        <f t="shared" si="1"/>
        <v>437.45205479452051</v>
      </c>
    </row>
    <row r="20" spans="1:8" x14ac:dyDescent="0.25">
      <c r="E20" s="1">
        <v>42064</v>
      </c>
      <c r="F20">
        <f t="shared" si="0"/>
        <v>2015</v>
      </c>
      <c r="G20">
        <v>120</v>
      </c>
      <c r="H20" s="7">
        <f t="shared" si="1"/>
        <v>448.38835616438354</v>
      </c>
    </row>
    <row r="21" spans="1:8" x14ac:dyDescent="0.25">
      <c r="E21" s="1">
        <v>42156</v>
      </c>
      <c r="F21">
        <f t="shared" si="0"/>
        <v>2015</v>
      </c>
      <c r="G21">
        <v>125</v>
      </c>
      <c r="H21" s="7">
        <f t="shared" si="1"/>
        <v>430.45282191780819</v>
      </c>
    </row>
    <row r="22" spans="1:8" x14ac:dyDescent="0.25">
      <c r="E22" s="1">
        <v>42248</v>
      </c>
      <c r="F22">
        <f t="shared" si="0"/>
        <v>2016</v>
      </c>
      <c r="G22">
        <v>125</v>
      </c>
      <c r="H22" s="7">
        <f t="shared" si="1"/>
        <v>440.57884931506845</v>
      </c>
    </row>
    <row r="23" spans="1:8" x14ac:dyDescent="0.25">
      <c r="E23" s="1">
        <v>42339</v>
      </c>
      <c r="F23">
        <f t="shared" si="0"/>
        <v>2016</v>
      </c>
      <c r="G23">
        <v>123</v>
      </c>
      <c r="H23" s="7">
        <f t="shared" si="1"/>
        <v>447.74273304376874</v>
      </c>
    </row>
    <row r="24" spans="1:8" x14ac:dyDescent="0.25">
      <c r="E24" s="1">
        <v>42430</v>
      </c>
      <c r="F24">
        <f t="shared" si="0"/>
        <v>2016</v>
      </c>
      <c r="G24">
        <v>123</v>
      </c>
      <c r="H24" s="7">
        <f t="shared" si="1"/>
        <v>447.74273304376874</v>
      </c>
    </row>
    <row r="25" spans="1:8" x14ac:dyDescent="0.25">
      <c r="E25" s="1">
        <v>42522</v>
      </c>
      <c r="F25">
        <f t="shared" si="0"/>
        <v>2016</v>
      </c>
      <c r="G25">
        <v>123</v>
      </c>
      <c r="H25" s="7">
        <f t="shared" si="1"/>
        <v>447.74273304376874</v>
      </c>
    </row>
    <row r="26" spans="1:8" x14ac:dyDescent="0.25">
      <c r="E26" s="1">
        <v>42614</v>
      </c>
      <c r="F26">
        <f t="shared" si="0"/>
        <v>2017</v>
      </c>
      <c r="G26">
        <v>123</v>
      </c>
      <c r="H26" s="7">
        <f t="shared" si="1"/>
        <v>463.5716672235215</v>
      </c>
    </row>
    <row r="27" spans="1:8" x14ac:dyDescent="0.25">
      <c r="E27" s="1">
        <v>42705</v>
      </c>
      <c r="F27">
        <f t="shared" si="0"/>
        <v>2017</v>
      </c>
      <c r="G27">
        <v>120</v>
      </c>
      <c r="H27" s="7">
        <f t="shared" si="1"/>
        <v>475.16095890410958</v>
      </c>
    </row>
    <row r="28" spans="1:8" x14ac:dyDescent="0.25">
      <c r="E28" s="1">
        <v>42795</v>
      </c>
      <c r="F28">
        <f t="shared" si="0"/>
        <v>2017</v>
      </c>
      <c r="G28">
        <v>122</v>
      </c>
      <c r="H28" s="7">
        <f t="shared" si="1"/>
        <v>467.37143498764874</v>
      </c>
    </row>
    <row r="29" spans="1:8" x14ac:dyDescent="0.25">
      <c r="E29" s="1">
        <v>42887</v>
      </c>
      <c r="F29">
        <f t="shared" si="0"/>
        <v>2017</v>
      </c>
      <c r="G29">
        <v>120</v>
      </c>
      <c r="H29" s="7">
        <f t="shared" si="1"/>
        <v>475.16095890410958</v>
      </c>
    </row>
    <row r="30" spans="1:8" x14ac:dyDescent="0.25">
      <c r="E30" s="1">
        <v>42979</v>
      </c>
      <c r="F30">
        <f t="shared" si="0"/>
        <v>2018</v>
      </c>
      <c r="G30">
        <v>119</v>
      </c>
      <c r="H30" s="7">
        <f t="shared" si="1"/>
        <v>495.51007252215953</v>
      </c>
    </row>
    <row r="31" spans="1:8" x14ac:dyDescent="0.25">
      <c r="E31" s="1">
        <v>43070</v>
      </c>
      <c r="F31">
        <f t="shared" si="0"/>
        <v>2018</v>
      </c>
      <c r="G31">
        <v>117</v>
      </c>
      <c r="H31" s="7">
        <f t="shared" si="1"/>
        <v>503.98033017211094</v>
      </c>
    </row>
    <row r="32" spans="1:8" x14ac:dyDescent="0.25">
      <c r="E32" s="1">
        <v>43160</v>
      </c>
      <c r="F32">
        <f t="shared" si="0"/>
        <v>2018</v>
      </c>
      <c r="G32">
        <v>118</v>
      </c>
      <c r="H32" s="7">
        <f t="shared" si="1"/>
        <v>499.70931042488968</v>
      </c>
    </row>
    <row r="33" spans="5:8" x14ac:dyDescent="0.25">
      <c r="E33" s="1">
        <v>43252</v>
      </c>
      <c r="F33">
        <f t="shared" si="0"/>
        <v>2018</v>
      </c>
      <c r="G33">
        <v>118</v>
      </c>
      <c r="H33" s="7">
        <f t="shared" si="1"/>
        <v>499.70931042488968</v>
      </c>
    </row>
    <row r="34" spans="5:8" x14ac:dyDescent="0.25">
      <c r="E34" s="1">
        <v>43344</v>
      </c>
      <c r="F34">
        <f t="shared" si="0"/>
        <v>2019</v>
      </c>
      <c r="G34">
        <v>118</v>
      </c>
      <c r="H34" s="7">
        <f t="shared" si="1"/>
        <v>510.92361272347335</v>
      </c>
    </row>
    <row r="35" spans="5:8" x14ac:dyDescent="0.25">
      <c r="E35" s="1">
        <v>43435</v>
      </c>
      <c r="F35">
        <f t="shared" si="0"/>
        <v>2019</v>
      </c>
      <c r="G35">
        <v>114</v>
      </c>
      <c r="H35" s="7">
        <f t="shared" si="1"/>
        <v>528.8507570295601</v>
      </c>
    </row>
    <row r="36" spans="5:8" x14ac:dyDescent="0.25">
      <c r="E36" s="1">
        <v>43525</v>
      </c>
      <c r="F36">
        <f t="shared" si="0"/>
        <v>2019</v>
      </c>
      <c r="G36">
        <v>114</v>
      </c>
      <c r="H36" s="7">
        <f t="shared" si="1"/>
        <v>528.8507570295601</v>
      </c>
    </row>
    <row r="37" spans="5:8" x14ac:dyDescent="0.25">
      <c r="E37" s="1">
        <v>43617</v>
      </c>
      <c r="F37">
        <f t="shared" si="0"/>
        <v>2019</v>
      </c>
      <c r="G37">
        <v>116</v>
      </c>
      <c r="H37" s="7">
        <f t="shared" si="1"/>
        <v>519.7326405290504</v>
      </c>
    </row>
    <row r="38" spans="5:8" x14ac:dyDescent="0.25">
      <c r="E38" s="1">
        <v>43709</v>
      </c>
      <c r="F38">
        <f t="shared" si="0"/>
        <v>2020</v>
      </c>
      <c r="G38">
        <v>116</v>
      </c>
      <c r="H38" s="7">
        <f t="shared" si="1"/>
        <v>531.13533301842222</v>
      </c>
    </row>
    <row r="39" spans="5:8" x14ac:dyDescent="0.25">
      <c r="E39" s="1">
        <v>43800</v>
      </c>
      <c r="F39">
        <f t="shared" si="0"/>
        <v>2020</v>
      </c>
      <c r="G39">
        <v>112</v>
      </c>
      <c r="H39" s="7">
        <f t="shared" si="1"/>
        <v>550.10445205479448</v>
      </c>
    </row>
    <row r="40" spans="5:8" x14ac:dyDescent="0.25">
      <c r="E40" s="1">
        <v>43891</v>
      </c>
      <c r="F40">
        <f t="shared" si="0"/>
        <v>2020</v>
      </c>
      <c r="G40">
        <v>112</v>
      </c>
      <c r="H40" s="7">
        <f t="shared" si="1"/>
        <v>550.10445205479448</v>
      </c>
    </row>
    <row r="41" spans="5:8" x14ac:dyDescent="0.25">
      <c r="E41" s="1">
        <v>43983</v>
      </c>
      <c r="F41">
        <f t="shared" si="0"/>
        <v>2020</v>
      </c>
      <c r="G41">
        <v>112</v>
      </c>
      <c r="H41" s="7">
        <f t="shared" si="1"/>
        <v>550.10445205479448</v>
      </c>
    </row>
    <row r="42" spans="5:8" x14ac:dyDescent="0.25">
      <c r="E42" s="1">
        <v>44075</v>
      </c>
      <c r="F42">
        <f t="shared" si="0"/>
        <v>2021</v>
      </c>
      <c r="G42">
        <v>112</v>
      </c>
      <c r="H42" s="7">
        <f t="shared" si="1"/>
        <v>562.27397260273972</v>
      </c>
    </row>
    <row r="43" spans="5:8" x14ac:dyDescent="0.25">
      <c r="E43" s="1">
        <v>44166</v>
      </c>
      <c r="F43">
        <f t="shared" si="0"/>
        <v>2021</v>
      </c>
      <c r="G43">
        <v>110</v>
      </c>
      <c r="H43" s="7">
        <f t="shared" si="1"/>
        <v>572.49713574097132</v>
      </c>
    </row>
    <row r="44" spans="5:8" x14ac:dyDescent="0.25">
      <c r="E44" s="1">
        <v>44256</v>
      </c>
      <c r="F44">
        <f t="shared" si="0"/>
        <v>2021</v>
      </c>
      <c r="G44">
        <v>109</v>
      </c>
      <c r="H44" s="7">
        <f t="shared" si="1"/>
        <v>577.74940304134725</v>
      </c>
    </row>
    <row r="45" spans="5:8" x14ac:dyDescent="0.25">
      <c r="E45" s="1">
        <v>44348</v>
      </c>
      <c r="F45">
        <f t="shared" si="0"/>
        <v>2021</v>
      </c>
      <c r="G45">
        <v>109</v>
      </c>
      <c r="H45" s="7">
        <f t="shared" si="1"/>
        <v>577.74940304134725</v>
      </c>
    </row>
    <row r="46" spans="5:8" x14ac:dyDescent="0.25">
      <c r="E46" s="1">
        <v>44440</v>
      </c>
      <c r="F46">
        <f t="shared" si="0"/>
        <v>2022</v>
      </c>
      <c r="G46">
        <v>105</v>
      </c>
      <c r="H46" s="7">
        <f t="shared" si="1"/>
        <v>622.55890410958898</v>
      </c>
    </row>
    <row r="47" spans="5:8" x14ac:dyDescent="0.25">
      <c r="E47" s="1">
        <v>44531</v>
      </c>
      <c r="F47">
        <f t="shared" si="0"/>
        <v>2022</v>
      </c>
      <c r="G47">
        <v>102</v>
      </c>
      <c r="H47" s="7">
        <f t="shared" si="1"/>
        <v>640.86946011281202</v>
      </c>
    </row>
    <row r="48" spans="5:8" x14ac:dyDescent="0.25">
      <c r="E48" s="1">
        <v>44621</v>
      </c>
      <c r="F48">
        <f t="shared" si="0"/>
        <v>2022</v>
      </c>
      <c r="G48">
        <v>102</v>
      </c>
      <c r="H48" s="7">
        <f t="shared" si="1"/>
        <v>640.86946011281202</v>
      </c>
    </row>
    <row r="49" spans="5:8" x14ac:dyDescent="0.25">
      <c r="E49" s="1">
        <v>44713</v>
      </c>
      <c r="F49">
        <f t="shared" si="0"/>
        <v>2022</v>
      </c>
      <c r="G49">
        <v>101</v>
      </c>
      <c r="H49" s="7">
        <f t="shared" si="1"/>
        <v>647.21470229214697</v>
      </c>
    </row>
    <row r="50" spans="5:8" x14ac:dyDescent="0.25">
      <c r="E50" s="1">
        <v>44805</v>
      </c>
      <c r="F50">
        <f t="shared" si="0"/>
        <v>2023</v>
      </c>
      <c r="G50">
        <v>101</v>
      </c>
      <c r="H50" s="7">
        <f t="shared" si="1"/>
        <v>662.87427098874264</v>
      </c>
    </row>
    <row r="51" spans="5:8" x14ac:dyDescent="0.25">
      <c r="E51" s="1">
        <v>44896</v>
      </c>
      <c r="F51">
        <f t="shared" si="0"/>
        <v>2023</v>
      </c>
      <c r="G51">
        <v>101</v>
      </c>
      <c r="H51" s="7">
        <f t="shared" si="1"/>
        <v>662.87427098874264</v>
      </c>
    </row>
    <row r="52" spans="5:8" x14ac:dyDescent="0.25">
      <c r="E52" s="1">
        <v>44986</v>
      </c>
      <c r="F52">
        <f t="shared" si="0"/>
        <v>2023</v>
      </c>
      <c r="G52">
        <v>103</v>
      </c>
      <c r="H52" s="7">
        <f t="shared" si="1"/>
        <v>650.00292592100004</v>
      </c>
    </row>
    <row r="53" spans="5:8" x14ac:dyDescent="0.25">
      <c r="E53" s="1">
        <v>45078</v>
      </c>
      <c r="F53">
        <f t="shared" si="0"/>
        <v>2023</v>
      </c>
      <c r="G53">
        <v>107</v>
      </c>
      <c r="H53" s="7">
        <f t="shared" si="1"/>
        <v>625.70375112021497</v>
      </c>
    </row>
    <row r="54" spans="5:8" x14ac:dyDescent="0.25">
      <c r="E54" s="1">
        <v>45170</v>
      </c>
      <c r="F54">
        <f t="shared" si="0"/>
        <v>2024</v>
      </c>
      <c r="G54">
        <v>107</v>
      </c>
      <c r="H54" s="7">
        <f t="shared" si="1"/>
        <v>652.83625656125969</v>
      </c>
    </row>
    <row r="55" spans="5:8" x14ac:dyDescent="0.25">
      <c r="E55" s="1">
        <v>45261</v>
      </c>
      <c r="F55">
        <f t="shared" si="0"/>
        <v>2024</v>
      </c>
      <c r="G55">
        <v>103</v>
      </c>
      <c r="H55" s="7">
        <f t="shared" si="1"/>
        <v>678.18912089373578</v>
      </c>
    </row>
    <row r="56" spans="5:8" x14ac:dyDescent="0.25">
      <c r="E56" s="1">
        <v>45352</v>
      </c>
      <c r="F56">
        <f t="shared" si="0"/>
        <v>2024</v>
      </c>
      <c r="G56">
        <v>108</v>
      </c>
      <c r="H56" s="7">
        <f t="shared" si="1"/>
        <v>646.79147640791473</v>
      </c>
    </row>
    <row r="57" spans="5:8" x14ac:dyDescent="0.25">
      <c r="E57" s="1">
        <v>45444</v>
      </c>
      <c r="F57">
        <f t="shared" si="0"/>
        <v>2024</v>
      </c>
      <c r="G57">
        <v>108</v>
      </c>
      <c r="H57" s="7">
        <f t="shared" si="1"/>
        <v>646.79147640791473</v>
      </c>
    </row>
    <row r="58" spans="5:8" x14ac:dyDescent="0.25">
      <c r="E58" s="1">
        <v>45536</v>
      </c>
      <c r="F58">
        <f t="shared" si="0"/>
        <v>2025</v>
      </c>
      <c r="G58">
        <v>108</v>
      </c>
      <c r="H58" s="7">
        <f t="shared" si="1"/>
        <v>669.94901065449017</v>
      </c>
    </row>
    <row r="59" spans="5:8" x14ac:dyDescent="0.25">
      <c r="E59" s="1">
        <v>45627</v>
      </c>
      <c r="F59">
        <f t="shared" si="0"/>
        <v>2025</v>
      </c>
      <c r="G59">
        <v>105</v>
      </c>
      <c r="H59" s="7">
        <f t="shared" si="1"/>
        <v>689.09041095890404</v>
      </c>
    </row>
    <row r="60" spans="5:8" x14ac:dyDescent="0.25">
      <c r="E60" s="1">
        <v>45717</v>
      </c>
      <c r="F60">
        <f t="shared" si="0"/>
        <v>2025</v>
      </c>
      <c r="G60">
        <v>108</v>
      </c>
      <c r="H60" s="7">
        <f t="shared" si="1"/>
        <v>669.94901065449017</v>
      </c>
    </row>
    <row r="61" spans="5:8" x14ac:dyDescent="0.25">
      <c r="E61" s="1">
        <v>45809</v>
      </c>
      <c r="F61">
        <f t="shared" si="0"/>
        <v>2025</v>
      </c>
      <c r="G61">
        <v>110</v>
      </c>
      <c r="H61" s="7">
        <f t="shared" si="1"/>
        <v>657.76811955168114</v>
      </c>
    </row>
    <row r="62" spans="5:8" x14ac:dyDescent="0.25">
      <c r="E62" s="1">
        <v>45901</v>
      </c>
      <c r="F62">
        <f t="shared" si="0"/>
        <v>2026</v>
      </c>
      <c r="H62" s="7" t="e">
        <f t="shared" si="1"/>
        <v>#DIV/0!</v>
      </c>
    </row>
    <row r="63" spans="5:8" x14ac:dyDescent="0.25">
      <c r="E63" s="1">
        <v>45992</v>
      </c>
      <c r="F63">
        <f t="shared" si="0"/>
        <v>2026</v>
      </c>
      <c r="H63" s="7" t="e">
        <f t="shared" si="1"/>
        <v>#DIV/0!</v>
      </c>
    </row>
  </sheetData>
  <pageMargins left="0.7" right="0.7" top="0.75" bottom="0.75" header="0.3" footer="0.3"/>
  <pageSetup paperSize="9"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L109"/>
  <sheetViews>
    <sheetView workbookViewId="0">
      <pane ySplit="1" topLeftCell="A2" activePane="bottomLeft" state="frozen"/>
      <selection pane="bottomLeft" activeCell="M20" sqref="M20"/>
    </sheetView>
  </sheetViews>
  <sheetFormatPr defaultRowHeight="15" x14ac:dyDescent="0.25"/>
  <cols>
    <col min="1" max="1" width="33.42578125" bestFit="1" customWidth="1"/>
    <col min="5" max="5" width="11" bestFit="1" customWidth="1"/>
  </cols>
  <sheetData>
    <row r="1" spans="1:12" x14ac:dyDescent="0.25">
      <c r="A1" t="s">
        <v>6</v>
      </c>
      <c r="B1" s="1" t="s">
        <v>1</v>
      </c>
      <c r="C1" t="s">
        <v>649</v>
      </c>
      <c r="D1" s="1" t="s">
        <v>632</v>
      </c>
      <c r="E1" s="5" t="s">
        <v>658</v>
      </c>
      <c r="F1" t="s">
        <v>634</v>
      </c>
      <c r="G1" t="s">
        <v>635</v>
      </c>
      <c r="H1" t="s">
        <v>652</v>
      </c>
      <c r="I1" t="s">
        <v>662</v>
      </c>
      <c r="J1" s="6" t="s">
        <v>663</v>
      </c>
      <c r="K1" s="6" t="s">
        <v>636</v>
      </c>
    </row>
    <row r="2" spans="1:12" x14ac:dyDescent="0.25">
      <c r="A2" t="s">
        <v>3</v>
      </c>
      <c r="B2" s="1">
        <v>38777</v>
      </c>
      <c r="C2">
        <v>2006</v>
      </c>
      <c r="D2" s="23">
        <f>MONTH(B2)</f>
        <v>3</v>
      </c>
      <c r="E2" cm="1">
        <f t="array" ref="E2">_xlfn.XLOOKUP(TRUE,ISNUMBER(F2:I2),F2:I2)</f>
        <v>338.2442159383034</v>
      </c>
      <c r="H2" s="1"/>
      <c r="I2">
        <f t="shared" ref="I2:I6" si="0">$G$8*(J2/$J$8)</f>
        <v>338.2442159383034</v>
      </c>
      <c r="J2">
        <v>71.900000000000006</v>
      </c>
      <c r="K2">
        <v>72.900000000000006</v>
      </c>
      <c r="L2" s="7"/>
    </row>
    <row r="3" spans="1:12" x14ac:dyDescent="0.25">
      <c r="A3" t="s">
        <v>0</v>
      </c>
      <c r="B3" s="1">
        <v>38869</v>
      </c>
      <c r="C3">
        <v>2006</v>
      </c>
      <c r="D3" s="23">
        <f>MONTH(B3)</f>
        <v>6</v>
      </c>
      <c r="E3" cm="1">
        <f t="array" ref="E3">_xlfn.XLOOKUP(TRUE,ISNUMBER(F3:I3),F3:I3)</f>
        <v>343.41902313624684</v>
      </c>
      <c r="I3">
        <f t="shared" si="0"/>
        <v>343.41902313624684</v>
      </c>
      <c r="J3">
        <v>73</v>
      </c>
      <c r="K3">
        <v>73.5</v>
      </c>
      <c r="L3" s="7"/>
    </row>
    <row r="4" spans="1:12" x14ac:dyDescent="0.25">
      <c r="B4" s="1">
        <v>38961</v>
      </c>
      <c r="C4">
        <v>2007</v>
      </c>
      <c r="D4" s="23">
        <f>MONTH(B4)</f>
        <v>9</v>
      </c>
      <c r="E4" cm="1">
        <f t="array" ref="E4">_xlfn.XLOOKUP(TRUE,ISNUMBER(F4:I4),F4:I4)</f>
        <v>344.83033419023138</v>
      </c>
      <c r="I4">
        <f t="shared" si="0"/>
        <v>344.83033419023138</v>
      </c>
      <c r="J4">
        <v>73.3</v>
      </c>
      <c r="K4">
        <v>74.3</v>
      </c>
      <c r="L4" s="7"/>
    </row>
    <row r="5" spans="1:12" x14ac:dyDescent="0.25">
      <c r="B5" s="1">
        <v>39052</v>
      </c>
      <c r="C5">
        <v>2007</v>
      </c>
      <c r="D5" s="23">
        <f>MONTH(B5)</f>
        <v>12</v>
      </c>
      <c r="E5" cm="1">
        <f t="array" ref="E5">_xlfn.XLOOKUP(TRUE,ISNUMBER(F5:I5),F5:I5)</f>
        <v>348.59383033419022</v>
      </c>
      <c r="I5">
        <f t="shared" si="0"/>
        <v>348.59383033419022</v>
      </c>
      <c r="J5">
        <v>74.099999999999994</v>
      </c>
      <c r="K5">
        <v>75</v>
      </c>
      <c r="L5" s="7"/>
    </row>
    <row r="6" spans="1:12" x14ac:dyDescent="0.25">
      <c r="B6" s="1">
        <v>39142</v>
      </c>
      <c r="C6">
        <v>2007</v>
      </c>
      <c r="D6" s="23">
        <f t="shared" ref="D6:D37" si="1">MONTH(B6)</f>
        <v>3</v>
      </c>
      <c r="E6" cm="1">
        <f t="array" ref="E6">_xlfn.XLOOKUP(TRUE,ISNUMBER(F6:I6),F6:I6)</f>
        <v>354.70951156812345</v>
      </c>
      <c r="I6">
        <f t="shared" si="0"/>
        <v>354.70951156812345</v>
      </c>
      <c r="J6">
        <v>75.400000000000006</v>
      </c>
      <c r="K6">
        <v>76.099999999999994</v>
      </c>
      <c r="L6" s="7"/>
    </row>
    <row r="7" spans="1:12" x14ac:dyDescent="0.25">
      <c r="B7" s="1">
        <v>39234</v>
      </c>
      <c r="C7">
        <v>2007</v>
      </c>
      <c r="D7" s="23">
        <f t="shared" si="1"/>
        <v>6</v>
      </c>
      <c r="E7" cm="1">
        <f t="array" ref="E7">_xlfn.XLOOKUP(TRUE,ISNUMBER(F7:I7),F7:I7)</f>
        <v>361.76606683804636</v>
      </c>
      <c r="I7">
        <f>$G$8*(J7/$J$8)</f>
        <v>361.76606683804636</v>
      </c>
      <c r="J7">
        <v>76.900000000000006</v>
      </c>
      <c r="K7">
        <v>77.3</v>
      </c>
      <c r="L7" s="7"/>
    </row>
    <row r="8" spans="1:12" x14ac:dyDescent="0.25">
      <c r="B8" s="1">
        <v>39326</v>
      </c>
      <c r="C8">
        <v>2008</v>
      </c>
      <c r="D8" s="23">
        <f t="shared" si="1"/>
        <v>9</v>
      </c>
      <c r="E8" cm="1">
        <f t="array" ref="E8">_xlfn.XLOOKUP(TRUE,ISNUMBER(F8:I8),F8:I8)</f>
        <v>366</v>
      </c>
      <c r="G8" s="45">
        <f>_xlfn.XLOOKUP(C8,'Ableson and Joyeux 2023'!A:A,'Ableson and Joyeux 2023'!C:C)</f>
        <v>366</v>
      </c>
      <c r="J8">
        <v>77.8</v>
      </c>
      <c r="K8">
        <v>78.599999999999994</v>
      </c>
      <c r="L8" s="7"/>
    </row>
    <row r="9" spans="1:12" x14ac:dyDescent="0.25">
      <c r="B9" s="1">
        <v>39417</v>
      </c>
      <c r="C9">
        <v>2008</v>
      </c>
      <c r="D9" s="23">
        <f t="shared" si="1"/>
        <v>12</v>
      </c>
      <c r="E9" cm="1">
        <f t="array" ref="E9">_xlfn.XLOOKUP(TRUE,ISNUMBER(F9:I9),F9:I9)</f>
        <v>366</v>
      </c>
      <c r="G9" s="45">
        <f>_xlfn.XLOOKUP(C9,'Ableson and Joyeux 2023'!A:A,'Ableson and Joyeux 2023'!C:C)</f>
        <v>366</v>
      </c>
      <c r="J9">
        <v>79.2</v>
      </c>
      <c r="K9">
        <v>80</v>
      </c>
      <c r="L9" s="7"/>
    </row>
    <row r="10" spans="1:12" x14ac:dyDescent="0.25">
      <c r="B10" s="1">
        <v>39508</v>
      </c>
      <c r="C10">
        <v>2008</v>
      </c>
      <c r="D10" s="23">
        <f t="shared" si="1"/>
        <v>3</v>
      </c>
      <c r="E10" cm="1">
        <f t="array" ref="E10">_xlfn.XLOOKUP(TRUE,ISNUMBER(F10:I10),F10:I10)</f>
        <v>366</v>
      </c>
      <c r="G10" s="45">
        <f>_xlfn.XLOOKUP(C10,'Ableson and Joyeux 2023'!A:A,'Ableson and Joyeux 2023'!C:C)</f>
        <v>366</v>
      </c>
      <c r="J10">
        <v>81.099999999999994</v>
      </c>
      <c r="K10">
        <v>81.400000000000006</v>
      </c>
      <c r="L10" s="7"/>
    </row>
    <row r="11" spans="1:12" x14ac:dyDescent="0.25">
      <c r="B11" s="1">
        <v>39600</v>
      </c>
      <c r="C11">
        <v>2008</v>
      </c>
      <c r="D11" s="23">
        <f t="shared" si="1"/>
        <v>6</v>
      </c>
      <c r="E11" cm="1">
        <f t="array" ref="E11">_xlfn.XLOOKUP(TRUE,ISNUMBER(F11:I11),F11:I11)</f>
        <v>366</v>
      </c>
      <c r="G11" s="45">
        <f>_xlfn.XLOOKUP(C11,'Ableson and Joyeux 2023'!A:A,'Ableson and Joyeux 2023'!C:C)</f>
        <v>366</v>
      </c>
      <c r="J11">
        <v>82.6</v>
      </c>
      <c r="K11">
        <v>83.3</v>
      </c>
      <c r="L11" s="7"/>
    </row>
    <row r="12" spans="1:12" x14ac:dyDescent="0.25">
      <c r="B12" s="1">
        <v>39692</v>
      </c>
      <c r="C12">
        <v>2009</v>
      </c>
      <c r="D12" s="23">
        <f t="shared" si="1"/>
        <v>9</v>
      </c>
      <c r="E12" cm="1">
        <f t="array" ref="E12">_xlfn.XLOOKUP(TRUE,ISNUMBER(F12:I12),F12:I12)</f>
        <v>376.98310810810813</v>
      </c>
      <c r="I12">
        <f t="shared" ref="I12:I14" si="2">$G$16*(J12/$J$16)</f>
        <v>376.98310810810813</v>
      </c>
      <c r="J12">
        <v>83.9</v>
      </c>
      <c r="K12">
        <v>85</v>
      </c>
      <c r="L12" s="7"/>
    </row>
    <row r="13" spans="1:12" x14ac:dyDescent="0.25">
      <c r="B13" s="1">
        <v>39783</v>
      </c>
      <c r="C13">
        <v>2009</v>
      </c>
      <c r="D13" s="23">
        <f t="shared" si="1"/>
        <v>12</v>
      </c>
      <c r="E13" cm="1">
        <f t="array" ref="E13">_xlfn.XLOOKUP(TRUE,ISNUMBER(F13:I13),F13:I13)</f>
        <v>386.41891891891891</v>
      </c>
      <c r="I13">
        <f t="shared" si="2"/>
        <v>386.41891891891891</v>
      </c>
      <c r="J13">
        <v>86</v>
      </c>
      <c r="K13">
        <v>86.7</v>
      </c>
      <c r="L13" s="7"/>
    </row>
    <row r="14" spans="1:12" x14ac:dyDescent="0.25">
      <c r="B14" s="1">
        <v>39873</v>
      </c>
      <c r="C14">
        <v>2009</v>
      </c>
      <c r="D14" s="23">
        <f t="shared" si="1"/>
        <v>3</v>
      </c>
      <c r="E14" cm="1">
        <f t="array" ref="E14">_xlfn.XLOOKUP(TRUE,ISNUMBER(F14:I14),F14:I14)</f>
        <v>392.70945945945948</v>
      </c>
      <c r="I14">
        <f t="shared" si="2"/>
        <v>392.70945945945948</v>
      </c>
      <c r="J14">
        <v>87.4</v>
      </c>
      <c r="K14">
        <v>88</v>
      </c>
      <c r="L14" s="7"/>
    </row>
    <row r="15" spans="1:12" x14ac:dyDescent="0.25">
      <c r="B15" s="1">
        <v>39965</v>
      </c>
      <c r="C15">
        <v>2009</v>
      </c>
      <c r="D15" s="23">
        <f t="shared" si="1"/>
        <v>6</v>
      </c>
      <c r="E15" cm="1">
        <f t="array" ref="E15">_xlfn.XLOOKUP(TRUE,ISNUMBER(F15:I15),F15:I15)</f>
        <v>395.85472972972968</v>
      </c>
      <c r="I15">
        <f>$G$16*(J15/$J$16)</f>
        <v>395.85472972972968</v>
      </c>
      <c r="J15">
        <v>88.1</v>
      </c>
      <c r="K15">
        <v>89.3</v>
      </c>
      <c r="L15" s="7"/>
    </row>
    <row r="16" spans="1:12" x14ac:dyDescent="0.25">
      <c r="B16" s="1">
        <v>40057</v>
      </c>
      <c r="C16">
        <v>2010</v>
      </c>
      <c r="D16" s="23">
        <f t="shared" si="1"/>
        <v>9</v>
      </c>
      <c r="E16" cm="1">
        <f t="array" ref="E16">_xlfn.XLOOKUP(TRUE,ISNUMBER(F16:I16),F16:I16)</f>
        <v>399</v>
      </c>
      <c r="G16" s="45">
        <f>_xlfn.XLOOKUP(C16,'Ableson and Joyeux 2023'!A:A,'Ableson and Joyeux 2023'!C:C)</f>
        <v>399</v>
      </c>
      <c r="J16">
        <v>88.8</v>
      </c>
      <c r="K16">
        <v>90.3</v>
      </c>
      <c r="L16" s="7"/>
    </row>
    <row r="17" spans="2:12" x14ac:dyDescent="0.25">
      <c r="B17" s="1">
        <v>40148</v>
      </c>
      <c r="C17">
        <v>2010</v>
      </c>
      <c r="D17" s="23">
        <f t="shared" si="1"/>
        <v>12</v>
      </c>
      <c r="E17" cm="1">
        <f t="array" ref="E17">_xlfn.XLOOKUP(TRUE,ISNUMBER(F17:I17),F17:I17)</f>
        <v>399</v>
      </c>
      <c r="G17" s="45">
        <f>_xlfn.XLOOKUP(C17,'Ableson and Joyeux 2023'!A:A,'Ableson and Joyeux 2023'!C:C)</f>
        <v>399</v>
      </c>
      <c r="J17">
        <v>89.6</v>
      </c>
      <c r="K17">
        <v>91.2</v>
      </c>
      <c r="L17" s="7"/>
    </row>
    <row r="18" spans="2:12" x14ac:dyDescent="0.25">
      <c r="B18" s="1">
        <v>40238</v>
      </c>
      <c r="C18">
        <v>2010</v>
      </c>
      <c r="D18" s="23">
        <f t="shared" si="1"/>
        <v>3</v>
      </c>
      <c r="E18" cm="1">
        <f t="array" ref="E18">_xlfn.XLOOKUP(TRUE,ISNUMBER(F18:I18),F18:I18)</f>
        <v>399</v>
      </c>
      <c r="G18" s="45">
        <f>_xlfn.XLOOKUP(C18,'Ableson and Joyeux 2023'!A:A,'Ableson and Joyeux 2023'!C:C)</f>
        <v>399</v>
      </c>
      <c r="J18">
        <v>90.9</v>
      </c>
      <c r="K18">
        <v>92.1</v>
      </c>
      <c r="L18" s="7"/>
    </row>
    <row r="19" spans="2:12" x14ac:dyDescent="0.25">
      <c r="B19" s="1">
        <v>40330</v>
      </c>
      <c r="C19">
        <v>2010</v>
      </c>
      <c r="D19" s="23">
        <f t="shared" si="1"/>
        <v>6</v>
      </c>
      <c r="E19" cm="1">
        <f t="array" ref="E19">_xlfn.XLOOKUP(TRUE,ISNUMBER(F19:I19),F19:I19)</f>
        <v>399</v>
      </c>
      <c r="G19" s="45">
        <f>_xlfn.XLOOKUP(C19,'Ableson and Joyeux 2023'!A:A,'Ableson and Joyeux 2023'!C:C)</f>
        <v>399</v>
      </c>
      <c r="J19">
        <v>91.7</v>
      </c>
      <c r="K19">
        <v>93</v>
      </c>
      <c r="L19" s="7"/>
    </row>
    <row r="20" spans="2:12" x14ac:dyDescent="0.25">
      <c r="B20" s="1">
        <v>40422</v>
      </c>
      <c r="C20">
        <v>2011</v>
      </c>
      <c r="D20" s="23">
        <f t="shared" si="1"/>
        <v>9</v>
      </c>
      <c r="E20" cm="1">
        <f t="array" ref="E20">_xlfn.XLOOKUP(TRUE,ISNUMBER(F20:I20),F20:I20)</f>
        <v>416.2939760417263</v>
      </c>
      <c r="I20">
        <f>$H$22*(J20/$J$22)</f>
        <v>416.2939760417263</v>
      </c>
      <c r="J20">
        <v>92.6</v>
      </c>
      <c r="K20">
        <v>94.1</v>
      </c>
      <c r="L20" s="7"/>
    </row>
    <row r="21" spans="2:12" x14ac:dyDescent="0.25">
      <c r="B21" s="1">
        <v>40513</v>
      </c>
      <c r="C21">
        <v>2011</v>
      </c>
      <c r="D21" s="23">
        <f t="shared" si="1"/>
        <v>12</v>
      </c>
      <c r="E21" cm="1">
        <f t="array" ref="E21">_xlfn.XLOOKUP(TRUE,ISNUMBER(F21:I21),F21:I21)</f>
        <v>422.13827592136181</v>
      </c>
      <c r="I21">
        <f>$H$22*(J21/$J$22)</f>
        <v>422.13827592136181</v>
      </c>
      <c r="J21">
        <v>93.9</v>
      </c>
      <c r="K21">
        <v>95.1</v>
      </c>
      <c r="L21" s="7"/>
    </row>
    <row r="22" spans="2:12" x14ac:dyDescent="0.25">
      <c r="B22" s="1">
        <v>40603</v>
      </c>
      <c r="C22">
        <v>2011</v>
      </c>
      <c r="D22" s="23">
        <f t="shared" si="1"/>
        <v>3</v>
      </c>
      <c r="E22" cm="1">
        <f t="array" ref="E22">_xlfn.XLOOKUP(TRUE,ISNUMBER(F22:I22),F22:I22)</f>
        <v>429.78082191780817</v>
      </c>
      <c r="H22" s="7">
        <f>_xlfn.XLOOKUP(B22,'rai-values-2bf'!E:E,'rai-values-2bf'!H:H)</f>
        <v>429.78082191780817</v>
      </c>
      <c r="J22">
        <v>95.6</v>
      </c>
      <c r="K22">
        <v>96.2</v>
      </c>
      <c r="L22" s="7"/>
    </row>
    <row r="23" spans="2:12" x14ac:dyDescent="0.25">
      <c r="B23" s="1">
        <v>40695</v>
      </c>
      <c r="C23">
        <v>2011</v>
      </c>
      <c r="D23" s="23">
        <f t="shared" si="1"/>
        <v>6</v>
      </c>
      <c r="E23" cm="1">
        <f t="array" ref="E23">_xlfn.XLOOKUP(TRUE,ISNUMBER(F23:I23),F23:I23)</f>
        <v>429.78082191780817</v>
      </c>
      <c r="H23" s="7">
        <f>_xlfn.XLOOKUP(B23,'rai-values-2bf'!E:E,'rai-values-2bf'!H:H)</f>
        <v>429.78082191780817</v>
      </c>
      <c r="J23">
        <v>96.3</v>
      </c>
      <c r="K23">
        <v>97.2</v>
      </c>
      <c r="L23" s="7"/>
    </row>
    <row r="24" spans="2:12" x14ac:dyDescent="0.25">
      <c r="B24" s="1">
        <v>40787</v>
      </c>
      <c r="C24">
        <v>2012</v>
      </c>
      <c r="D24" s="23">
        <f t="shared" si="1"/>
        <v>9</v>
      </c>
      <c r="E24" cm="1">
        <f t="array" ref="E24">_xlfn.XLOOKUP(TRUE,ISNUMBER(F24:I24),F24:I24)</f>
        <v>447.34505040062027</v>
      </c>
      <c r="H24" s="7">
        <f>_xlfn.XLOOKUP(B24,'rai-values-2bf'!E:E,'rai-values-2bf'!H:H)</f>
        <v>447.34505040062027</v>
      </c>
      <c r="J24">
        <v>98</v>
      </c>
      <c r="K24">
        <v>98.5</v>
      </c>
      <c r="L24" s="7"/>
    </row>
    <row r="25" spans="2:12" x14ac:dyDescent="0.25">
      <c r="B25" s="1">
        <v>40878</v>
      </c>
      <c r="C25">
        <v>2012</v>
      </c>
      <c r="D25" s="23">
        <f t="shared" si="1"/>
        <v>12</v>
      </c>
      <c r="E25" cm="1">
        <f t="array" ref="E25">_xlfn.XLOOKUP(TRUE,ISNUMBER(F25:I25),F25:I25)</f>
        <v>455.94783983140138</v>
      </c>
      <c r="H25" s="7">
        <f>_xlfn.XLOOKUP(B25,'rai-values-2bf'!E:E,'rai-values-2bf'!H:H)</f>
        <v>455.94783983140138</v>
      </c>
      <c r="J25">
        <v>99.8</v>
      </c>
      <c r="K25">
        <v>99.6</v>
      </c>
      <c r="L25" s="7"/>
    </row>
    <row r="26" spans="2:12" x14ac:dyDescent="0.25">
      <c r="B26" s="1">
        <v>40969</v>
      </c>
      <c r="C26">
        <v>2012</v>
      </c>
      <c r="D26" s="23">
        <f t="shared" si="1"/>
        <v>3</v>
      </c>
      <c r="E26" cm="1">
        <f t="array" ref="E26">_xlfn.XLOOKUP(TRUE,ISNUMBER(F26:I26),F26:I26)</f>
        <v>439.06088280060879</v>
      </c>
      <c r="H26" s="7">
        <f>_xlfn.XLOOKUP(B26,'rai-values-2bf'!E:E,'rai-values-2bf'!H:H)</f>
        <v>439.06088280060879</v>
      </c>
      <c r="J26">
        <v>100.6</v>
      </c>
      <c r="K26">
        <v>100.5</v>
      </c>
      <c r="L26" s="7"/>
    </row>
    <row r="27" spans="2:12" x14ac:dyDescent="0.25">
      <c r="B27" s="1">
        <v>41061</v>
      </c>
      <c r="C27">
        <v>2012</v>
      </c>
      <c r="D27" s="23">
        <f t="shared" si="1"/>
        <v>6</v>
      </c>
      <c r="E27" cm="1">
        <f t="array" ref="E27">_xlfn.XLOOKUP(TRUE,ISNUMBER(F27:I27),F27:I27)</f>
        <v>439.06088280060879</v>
      </c>
      <c r="H27" s="7">
        <f>_xlfn.XLOOKUP(B27,'rai-values-2bf'!E:E,'rai-values-2bf'!H:H)</f>
        <v>439.06088280060879</v>
      </c>
      <c r="J27">
        <v>101.6</v>
      </c>
      <c r="K27">
        <v>101.5</v>
      </c>
      <c r="L27" s="7"/>
    </row>
    <row r="28" spans="2:12" x14ac:dyDescent="0.25">
      <c r="B28" s="1">
        <v>41153</v>
      </c>
      <c r="C28">
        <v>2013</v>
      </c>
      <c r="D28" s="23">
        <f t="shared" si="1"/>
        <v>9</v>
      </c>
      <c r="E28" cm="1">
        <f t="array" ref="E28">_xlfn.XLOOKUP(TRUE,ISNUMBER(F28:I28),F28:I28)</f>
        <v>430.48854406594739</v>
      </c>
      <c r="H28" s="7">
        <f>_xlfn.XLOOKUP(B28,'rai-values-2bf'!E:E,'rai-values-2bf'!H:H)</f>
        <v>430.48854406594739</v>
      </c>
      <c r="J28">
        <v>102.1</v>
      </c>
      <c r="K28">
        <v>102.4</v>
      </c>
      <c r="L28" s="7"/>
    </row>
    <row r="29" spans="2:12" x14ac:dyDescent="0.25">
      <c r="B29" s="1">
        <v>41244</v>
      </c>
      <c r="C29">
        <v>2013</v>
      </c>
      <c r="D29" s="23">
        <f t="shared" si="1"/>
        <v>12</v>
      </c>
      <c r="E29" cm="1">
        <f t="array" ref="E29">_xlfn.XLOOKUP(TRUE,ISNUMBER(F29:I29),F29:I29)</f>
        <v>438.24509440947799</v>
      </c>
      <c r="H29" s="7">
        <f>_xlfn.XLOOKUP(B29,'rai-values-2bf'!E:E,'rai-values-2bf'!H:H)</f>
        <v>438.24509440947799</v>
      </c>
      <c r="J29">
        <v>102.9</v>
      </c>
      <c r="K29">
        <v>103.3</v>
      </c>
      <c r="L29" s="7"/>
    </row>
    <row r="30" spans="2:12" x14ac:dyDescent="0.25">
      <c r="B30" s="1">
        <v>41334</v>
      </c>
      <c r="C30">
        <v>2013</v>
      </c>
      <c r="D30" s="23">
        <f t="shared" si="1"/>
        <v>3</v>
      </c>
      <c r="E30" cm="1">
        <f t="array" ref="E30">_xlfn.XLOOKUP(TRUE,ISNUMBER(F30:I30),F30:I30)</f>
        <v>430.48854406594739</v>
      </c>
      <c r="H30" s="7">
        <f>_xlfn.XLOOKUP(B30,'rai-values-2bf'!E:E,'rai-values-2bf'!H:H)</f>
        <v>430.48854406594739</v>
      </c>
      <c r="J30">
        <v>103.2</v>
      </c>
      <c r="K30">
        <v>104</v>
      </c>
      <c r="L30" s="7"/>
    </row>
    <row r="31" spans="2:12" x14ac:dyDescent="0.25">
      <c r="B31" s="1">
        <v>41426</v>
      </c>
      <c r="C31">
        <v>2013</v>
      </c>
      <c r="D31" s="23">
        <f t="shared" si="1"/>
        <v>6</v>
      </c>
      <c r="E31" cm="1">
        <f t="array" ref="E31">_xlfn.XLOOKUP(TRUE,ISNUMBER(F31:I31),F31:I31)</f>
        <v>419.35521965044865</v>
      </c>
      <c r="H31" s="7">
        <f>_xlfn.XLOOKUP(B31,'rai-values-2bf'!E:E,'rai-values-2bf'!H:H)</f>
        <v>419.35521965044865</v>
      </c>
      <c r="J31">
        <v>103.9</v>
      </c>
      <c r="K31">
        <v>105</v>
      </c>
      <c r="L31" s="7"/>
    </row>
    <row r="32" spans="2:12" x14ac:dyDescent="0.25">
      <c r="B32" s="1">
        <v>41518</v>
      </c>
      <c r="C32">
        <v>2014</v>
      </c>
      <c r="D32" s="23">
        <f t="shared" si="1"/>
        <v>9</v>
      </c>
      <c r="E32" cm="1">
        <f t="array" ref="E32">_xlfn.XLOOKUP(TRUE,ISNUMBER(F32:I32),F32:I32)</f>
        <v>437.8404109589041</v>
      </c>
      <c r="H32" s="7">
        <f>_xlfn.XLOOKUP(B32,'rai-values-2bf'!E:E,'rai-values-2bf'!H:H)</f>
        <v>437.8404109589041</v>
      </c>
      <c r="J32">
        <v>103.8</v>
      </c>
      <c r="K32">
        <v>105.7</v>
      </c>
      <c r="L32" s="7"/>
    </row>
    <row r="33" spans="1:12" x14ac:dyDescent="0.25">
      <c r="B33" s="1">
        <v>41609</v>
      </c>
      <c r="C33">
        <v>2014</v>
      </c>
      <c r="D33" s="23">
        <f t="shared" si="1"/>
        <v>12</v>
      </c>
      <c r="E33" cm="1">
        <f t="array" ref="E33">_xlfn.XLOOKUP(TRUE,ISNUMBER(F33:I33),F33:I33)</f>
        <v>430.6626993038401</v>
      </c>
      <c r="H33" s="7">
        <f>_xlfn.XLOOKUP(B33,'rai-values-2bf'!E:E,'rai-values-2bf'!H:H)</f>
        <v>430.6626993038401</v>
      </c>
      <c r="J33">
        <v>103.3</v>
      </c>
      <c r="K33">
        <v>106.4</v>
      </c>
      <c r="L33" s="7"/>
    </row>
    <row r="34" spans="1:12" x14ac:dyDescent="0.25">
      <c r="B34" s="1">
        <v>41699</v>
      </c>
      <c r="C34">
        <v>2014</v>
      </c>
      <c r="D34" s="23">
        <f t="shared" si="1"/>
        <v>3</v>
      </c>
      <c r="E34" cm="1">
        <f t="array" ref="E34">_xlfn.XLOOKUP(TRUE,ISNUMBER(F34:I34),F34:I34)</f>
        <v>398.03673723536735</v>
      </c>
      <c r="H34" s="7">
        <f>_xlfn.XLOOKUP(B34,'rai-values-2bf'!E:E,'rai-values-2bf'!H:H)</f>
        <v>398.03673723536735</v>
      </c>
      <c r="J34">
        <v>103.1</v>
      </c>
      <c r="K34">
        <v>107</v>
      </c>
      <c r="L34" s="7"/>
    </row>
    <row r="35" spans="1:12" x14ac:dyDescent="0.25">
      <c r="B35" s="1">
        <v>41791</v>
      </c>
      <c r="C35">
        <v>2014</v>
      </c>
      <c r="D35" s="23">
        <f t="shared" si="1"/>
        <v>6</v>
      </c>
      <c r="E35" cm="1">
        <f t="array" ref="E35">_xlfn.XLOOKUP(TRUE,ISNUMBER(F35:I35),F35:I35)</f>
        <v>389.19147640791476</v>
      </c>
      <c r="H35" s="7">
        <f>_xlfn.XLOOKUP(B35,'rai-values-2bf'!E:E,'rai-values-2bf'!H:H)</f>
        <v>389.19147640791476</v>
      </c>
      <c r="J35">
        <v>103.1</v>
      </c>
      <c r="K35">
        <v>107.5</v>
      </c>
      <c r="L35" s="7"/>
    </row>
    <row r="36" spans="1:12" x14ac:dyDescent="0.25">
      <c r="B36" s="1">
        <v>41883</v>
      </c>
      <c r="C36">
        <v>2015</v>
      </c>
      <c r="D36" s="23">
        <f t="shared" si="1"/>
        <v>9</v>
      </c>
      <c r="E36" cm="1">
        <f t="array" ref="E36">_xlfn.XLOOKUP(TRUE,ISNUMBER(F36:I36),F36:I36)</f>
        <v>380</v>
      </c>
      <c r="G36" s="45">
        <f>_xlfn.XLOOKUP(C36,'Ableson and Joyeux 2023'!A:A,'Ableson and Joyeux 2023'!C:C)</f>
        <v>380</v>
      </c>
      <c r="H36" s="7">
        <f>_xlfn.XLOOKUP(B36,'rai-values-2bf'!E:E,'rai-values-2bf'!H:H)</f>
        <v>387.09786143687785</v>
      </c>
      <c r="J36">
        <v>102.1</v>
      </c>
      <c r="K36">
        <v>108.3</v>
      </c>
      <c r="L36" s="7"/>
    </row>
    <row r="37" spans="1:12" x14ac:dyDescent="0.25">
      <c r="B37" s="1">
        <v>41974</v>
      </c>
      <c r="C37">
        <v>2015</v>
      </c>
      <c r="D37" s="23">
        <f t="shared" si="1"/>
        <v>12</v>
      </c>
      <c r="E37" cm="1">
        <f t="array" ref="E37">_xlfn.XLOOKUP(TRUE,ISNUMBER(F37:I37),F37:I37)</f>
        <v>380</v>
      </c>
      <c r="G37" s="45">
        <f>_xlfn.XLOOKUP(C37,'Ableson and Joyeux 2023'!A:A,'Ableson and Joyeux 2023'!C:C)</f>
        <v>380</v>
      </c>
      <c r="H37" s="7">
        <f>_xlfn.XLOOKUP(B37,'rai-values-2bf'!E:E,'rai-values-2bf'!H:H)</f>
        <v>387.09786143687785</v>
      </c>
      <c r="J37">
        <v>101.4</v>
      </c>
      <c r="K37">
        <v>108.9</v>
      </c>
      <c r="L37" s="7"/>
    </row>
    <row r="38" spans="1:12" x14ac:dyDescent="0.25">
      <c r="B38" s="1">
        <v>42064</v>
      </c>
      <c r="C38">
        <v>2015</v>
      </c>
      <c r="D38" s="23">
        <f t="shared" ref="D38:D69" si="3">MONTH(B38)</f>
        <v>3</v>
      </c>
      <c r="E38" cm="1">
        <f t="array" ref="E38">_xlfn.XLOOKUP(TRUE,ISNUMBER(F38:I38),F38:I38)</f>
        <v>380</v>
      </c>
      <c r="G38" s="45">
        <f>_xlfn.XLOOKUP(C38,'Ableson and Joyeux 2023'!A:A,'Ableson and Joyeux 2023'!C:C)</f>
        <v>380</v>
      </c>
      <c r="H38" s="7">
        <f>_xlfn.XLOOKUP(B38,'rai-values-2bf'!E:E,'rai-values-2bf'!H:H)</f>
        <v>392.74892510748919</v>
      </c>
      <c r="J38">
        <v>100.5</v>
      </c>
      <c r="K38">
        <v>109.2</v>
      </c>
      <c r="L38" s="7"/>
    </row>
    <row r="39" spans="1:12" x14ac:dyDescent="0.25">
      <c r="B39" s="1">
        <v>42156</v>
      </c>
      <c r="C39">
        <v>2015</v>
      </c>
      <c r="D39" s="23">
        <f t="shared" si="3"/>
        <v>6</v>
      </c>
      <c r="E39" cm="1">
        <f t="array" ref="E39">_xlfn.XLOOKUP(TRUE,ISNUMBER(F39:I39),F39:I39)</f>
        <v>380</v>
      </c>
      <c r="G39" s="45">
        <f>_xlfn.XLOOKUP(C39,'Ableson and Joyeux 2023'!A:A,'Ableson and Joyeux 2023'!C:C)</f>
        <v>380</v>
      </c>
      <c r="H39" s="7">
        <f>_xlfn.XLOOKUP(B39,'rai-values-2bf'!E:E,'rai-values-2bf'!H:H)</f>
        <v>389.90291840381178</v>
      </c>
      <c r="J39">
        <v>100.3</v>
      </c>
      <c r="K39">
        <v>109.6</v>
      </c>
      <c r="L39" s="7"/>
    </row>
    <row r="40" spans="1:12" x14ac:dyDescent="0.25">
      <c r="B40" s="1">
        <v>42248</v>
      </c>
      <c r="C40">
        <v>2016</v>
      </c>
      <c r="D40" s="23">
        <f t="shared" si="3"/>
        <v>9</v>
      </c>
      <c r="E40" cm="1">
        <f t="array" ref="E40">_xlfn.XLOOKUP(TRUE,ISNUMBER(F40:I40),F40:I40)</f>
        <v>395</v>
      </c>
      <c r="G40" s="45">
        <f>_xlfn.XLOOKUP(C40,'Ableson and Joyeux 2023'!A:A,'Ableson and Joyeux 2023'!C:C)</f>
        <v>395</v>
      </c>
      <c r="H40" s="7">
        <f>_xlfn.XLOOKUP(B40,'rai-values-2bf'!E:E,'rai-values-2bf'!H:H)</f>
        <v>399.07504466944607</v>
      </c>
      <c r="J40">
        <v>100</v>
      </c>
      <c r="K40">
        <v>109.9</v>
      </c>
      <c r="L40" s="7"/>
    </row>
    <row r="41" spans="1:12" x14ac:dyDescent="0.25">
      <c r="B41" s="1">
        <v>42339</v>
      </c>
      <c r="C41">
        <v>2016</v>
      </c>
      <c r="D41" s="23">
        <f t="shared" si="3"/>
        <v>12</v>
      </c>
      <c r="E41" cm="1">
        <f t="array" ref="E41">_xlfn.XLOOKUP(TRUE,ISNUMBER(F41:I41),F41:I41)</f>
        <v>395</v>
      </c>
      <c r="G41" s="45">
        <f>_xlfn.XLOOKUP(C41,'Ableson and Joyeux 2023'!A:A,'Ableson and Joyeux 2023'!C:C)</f>
        <v>395</v>
      </c>
      <c r="H41" s="7">
        <f>_xlfn.XLOOKUP(B41,'rai-values-2bf'!E:E,'rai-values-2bf'!H:H)</f>
        <v>407.9433789954337</v>
      </c>
      <c r="J41">
        <v>99.9</v>
      </c>
      <c r="K41">
        <v>110.1</v>
      </c>
      <c r="L41" s="7"/>
    </row>
    <row r="42" spans="1:12" x14ac:dyDescent="0.25">
      <c r="B42" s="1">
        <v>42430</v>
      </c>
      <c r="C42">
        <v>2016</v>
      </c>
      <c r="D42" s="23">
        <f t="shared" si="3"/>
        <v>3</v>
      </c>
      <c r="E42" cm="1">
        <f t="array" ref="E42">_xlfn.XLOOKUP(TRUE,ISNUMBER(F42:I42),F42:I42)</f>
        <v>395</v>
      </c>
      <c r="G42" s="45">
        <f>_xlfn.XLOOKUP(C42,'Ableson and Joyeux 2023'!A:A,'Ableson and Joyeux 2023'!C:C)</f>
        <v>395</v>
      </c>
      <c r="H42" s="7">
        <f>_xlfn.XLOOKUP(B42,'rai-values-2bf'!E:E,'rai-values-2bf'!H:H)</f>
        <v>399.07504466944607</v>
      </c>
      <c r="J42">
        <v>99.9</v>
      </c>
      <c r="K42">
        <v>110.2</v>
      </c>
      <c r="L42" s="7"/>
    </row>
    <row r="43" spans="1:12" x14ac:dyDescent="0.25">
      <c r="B43" s="1">
        <v>42522</v>
      </c>
      <c r="C43">
        <v>2016</v>
      </c>
      <c r="D43" s="23">
        <f t="shared" si="3"/>
        <v>6</v>
      </c>
      <c r="E43" cm="1">
        <f t="array" ref="E43">_xlfn.XLOOKUP(TRUE,ISNUMBER(F43:I43),F43:I43)</f>
        <v>395</v>
      </c>
      <c r="G43" s="45">
        <f>_xlfn.XLOOKUP(C43,'Ableson and Joyeux 2023'!A:A,'Ableson and Joyeux 2023'!C:C)</f>
        <v>395</v>
      </c>
      <c r="H43" s="7">
        <f>_xlfn.XLOOKUP(B43,'rai-values-2bf'!E:E,'rai-values-2bf'!H:H)</f>
        <v>399.07504466944607</v>
      </c>
      <c r="J43">
        <v>99.8</v>
      </c>
      <c r="K43">
        <v>110.4</v>
      </c>
      <c r="L43" s="7"/>
    </row>
    <row r="44" spans="1:12" x14ac:dyDescent="0.25">
      <c r="B44" s="1">
        <v>42614</v>
      </c>
      <c r="C44">
        <v>2017</v>
      </c>
      <c r="D44" s="23">
        <f t="shared" si="3"/>
        <v>9</v>
      </c>
      <c r="E44" cm="1">
        <f t="array" ref="E44">_xlfn.XLOOKUP(TRUE,ISNUMBER(F44:I44),F44:I44)</f>
        <v>416</v>
      </c>
      <c r="G44" s="45">
        <f>_xlfn.XLOOKUP(C44,'Ableson and Joyeux 2023'!A:A,'Ableson and Joyeux 2023'!C:C)</f>
        <v>416</v>
      </c>
      <c r="H44" s="7">
        <f>_xlfn.XLOOKUP(B44,'rai-values-2bf'!E:E,'rai-values-2bf'!H:H)</f>
        <v>413.18344252531267</v>
      </c>
      <c r="J44">
        <v>99.9</v>
      </c>
      <c r="K44">
        <v>110.7</v>
      </c>
      <c r="L44" s="7"/>
    </row>
    <row r="45" spans="1:12" x14ac:dyDescent="0.25">
      <c r="B45" s="1">
        <v>42705</v>
      </c>
      <c r="C45">
        <v>2017</v>
      </c>
      <c r="D45" s="23">
        <f t="shared" si="3"/>
        <v>12</v>
      </c>
      <c r="E45" cm="1">
        <f t="array" ref="E45">_xlfn.XLOOKUP(TRUE,ISNUMBER(F45:I45),F45:I45)</f>
        <v>416</v>
      </c>
      <c r="G45" s="45">
        <f>_xlfn.XLOOKUP(C45,'Ableson and Joyeux 2023'!A:A,'Ableson and Joyeux 2023'!C:C)</f>
        <v>416</v>
      </c>
      <c r="H45" s="7">
        <f>_xlfn.XLOOKUP(B45,'rai-values-2bf'!E:E,'rai-values-2bf'!H:H)</f>
        <v>435.26194708773397</v>
      </c>
      <c r="J45">
        <v>100.1</v>
      </c>
      <c r="K45">
        <v>110.8</v>
      </c>
      <c r="L45" s="7"/>
    </row>
    <row r="46" spans="1:12" x14ac:dyDescent="0.25">
      <c r="A46" s="3"/>
      <c r="B46" s="1">
        <v>42795</v>
      </c>
      <c r="C46">
        <v>2017</v>
      </c>
      <c r="D46" s="23">
        <f t="shared" si="3"/>
        <v>3</v>
      </c>
      <c r="E46" cm="1">
        <f t="array" ref="E46">_xlfn.XLOOKUP(TRUE,ISNUMBER(F46:I46),F46:I46)</f>
        <v>416</v>
      </c>
      <c r="G46" s="45">
        <f>_xlfn.XLOOKUP(C46,'Ableson and Joyeux 2023'!A:A,'Ableson and Joyeux 2023'!C:C)</f>
        <v>416</v>
      </c>
      <c r="H46" s="7">
        <f>_xlfn.XLOOKUP(B46,'rai-values-2bf'!E:E,'rai-values-2bf'!H:H)</f>
        <v>422.36529680365294</v>
      </c>
      <c r="J46">
        <v>100.6</v>
      </c>
      <c r="K46">
        <v>110.9</v>
      </c>
      <c r="L46" s="7"/>
    </row>
    <row r="47" spans="1:12" x14ac:dyDescent="0.25">
      <c r="A47" s="3"/>
      <c r="B47" s="1">
        <v>42887</v>
      </c>
      <c r="C47">
        <v>2017</v>
      </c>
      <c r="D47" s="23">
        <f t="shared" si="3"/>
        <v>6</v>
      </c>
      <c r="E47" cm="1">
        <f t="array" ref="E47">_xlfn.XLOOKUP(TRUE,ISNUMBER(F47:I47),F47:I47)</f>
        <v>416</v>
      </c>
      <c r="G47" s="45">
        <f>_xlfn.XLOOKUP(C47,'Ableson and Joyeux 2023'!A:A,'Ableson and Joyeux 2023'!C:C)</f>
        <v>416</v>
      </c>
      <c r="H47" s="7">
        <f>_xlfn.XLOOKUP(B47,'rai-values-2bf'!E:E,'rai-values-2bf'!H:H)</f>
        <v>428.71665465032441</v>
      </c>
      <c r="J47">
        <v>101.3</v>
      </c>
      <c r="K47">
        <v>111.1</v>
      </c>
      <c r="L47" s="7"/>
    </row>
    <row r="48" spans="1:12" x14ac:dyDescent="0.25">
      <c r="A48" s="3"/>
      <c r="B48" s="1">
        <v>42979</v>
      </c>
      <c r="C48">
        <v>2018</v>
      </c>
      <c r="D48" s="23">
        <f t="shared" si="3"/>
        <v>9</v>
      </c>
      <c r="E48" cm="1">
        <f t="array" ref="E48">_xlfn.XLOOKUP(TRUE,ISNUMBER(F48:I48),F48:I48)</f>
        <v>441</v>
      </c>
      <c r="G48" s="45">
        <f>_xlfn.XLOOKUP(C48,'Ableson and Joyeux 2023'!A:A,'Ableson and Joyeux 2023'!C:C)</f>
        <v>441</v>
      </c>
      <c r="H48" s="7">
        <f>_xlfn.XLOOKUP(B48,'rai-values-2bf'!E:E,'rai-values-2bf'!H:H)</f>
        <v>436.7829528158295</v>
      </c>
      <c r="J48">
        <v>101.7</v>
      </c>
      <c r="K48">
        <v>111.3</v>
      </c>
      <c r="L48" s="7"/>
    </row>
    <row r="49" spans="1:12" x14ac:dyDescent="0.25">
      <c r="A49" s="3"/>
      <c r="B49" s="1">
        <v>43070</v>
      </c>
      <c r="C49">
        <v>2018</v>
      </c>
      <c r="D49" s="23">
        <f t="shared" si="3"/>
        <v>12</v>
      </c>
      <c r="E49" cm="1">
        <f t="array" ref="E49">_xlfn.XLOOKUP(TRUE,ISNUMBER(F49:I49),F49:I49)</f>
        <v>441</v>
      </c>
      <c r="G49" s="45">
        <f>_xlfn.XLOOKUP(C49,'Ableson and Joyeux 2023'!A:A,'Ableson and Joyeux 2023'!C:C)</f>
        <v>441</v>
      </c>
      <c r="H49" s="7">
        <f>_xlfn.XLOOKUP(B49,'rai-values-2bf'!E:E,'rai-values-2bf'!H:H)</f>
        <v>433.57131345688964</v>
      </c>
      <c r="J49">
        <v>102.4</v>
      </c>
      <c r="K49">
        <v>111.6</v>
      </c>
      <c r="L49" s="7"/>
    </row>
    <row r="50" spans="1:12" x14ac:dyDescent="0.25">
      <c r="A50" s="3"/>
      <c r="B50" s="1">
        <v>43160</v>
      </c>
      <c r="C50">
        <v>2018</v>
      </c>
      <c r="D50" s="23">
        <f t="shared" si="3"/>
        <v>3</v>
      </c>
      <c r="E50" cm="1">
        <f t="array" ref="E50">_xlfn.XLOOKUP(TRUE,ISNUMBER(F50:I50),F50:I50)</f>
        <v>441</v>
      </c>
      <c r="G50" s="45">
        <f>_xlfn.XLOOKUP(C50,'Ableson and Joyeux 2023'!A:A,'Ableson and Joyeux 2023'!C:C)</f>
        <v>441</v>
      </c>
      <c r="H50" s="7">
        <f>_xlfn.XLOOKUP(B50,'rai-values-2bf'!E:E,'rai-values-2bf'!H:H)</f>
        <v>440.04252709057454</v>
      </c>
      <c r="K50">
        <v>111.8</v>
      </c>
    </row>
    <row r="51" spans="1:12" x14ac:dyDescent="0.25">
      <c r="A51" s="3"/>
      <c r="B51" s="1">
        <v>43252</v>
      </c>
      <c r="C51">
        <v>2018</v>
      </c>
      <c r="D51" s="23">
        <f t="shared" si="3"/>
        <v>6</v>
      </c>
      <c r="E51" cm="1">
        <f t="array" ref="E51">_xlfn.XLOOKUP(TRUE,ISNUMBER(F51:I51),F51:I51)</f>
        <v>441</v>
      </c>
      <c r="G51" s="45">
        <f>_xlfn.XLOOKUP(C51,'Ableson and Joyeux 2023'!A:A,'Ableson and Joyeux 2023'!C:C)</f>
        <v>441</v>
      </c>
      <c r="H51" s="7">
        <f>_xlfn.XLOOKUP(B51,'rai-values-2bf'!E:E,'rai-values-2bf'!H:H)</f>
        <v>457.09843899330991</v>
      </c>
      <c r="K51">
        <v>111.8</v>
      </c>
    </row>
    <row r="52" spans="1:12" x14ac:dyDescent="0.25">
      <c r="A52" s="3"/>
      <c r="B52" s="1">
        <v>43344</v>
      </c>
      <c r="C52">
        <v>2019</v>
      </c>
      <c r="D52" s="23">
        <f t="shared" si="3"/>
        <v>9</v>
      </c>
      <c r="E52" cm="1">
        <f t="array" ref="E52">_xlfn.XLOOKUP(TRUE,ISNUMBER(F52:I52),F52:I52)</f>
        <v>466</v>
      </c>
      <c r="G52" s="45">
        <f>_xlfn.XLOOKUP(C52,'Ableson and Joyeux 2023'!A:A,'Ableson and Joyeux 2023'!C:C)</f>
        <v>466</v>
      </c>
      <c r="H52" s="7">
        <f>_xlfn.XLOOKUP(B52,'rai-values-2bf'!E:E,'rai-values-2bf'!H:H)</f>
        <v>467.35648295635548</v>
      </c>
      <c r="K52">
        <v>112</v>
      </c>
    </row>
    <row r="53" spans="1:12" x14ac:dyDescent="0.25">
      <c r="A53" s="3"/>
      <c r="B53" s="1">
        <v>43435</v>
      </c>
      <c r="C53">
        <v>2019</v>
      </c>
      <c r="D53" s="23">
        <f t="shared" si="3"/>
        <v>12</v>
      </c>
      <c r="E53" cm="1">
        <f t="array" ref="E53">_xlfn.XLOOKUP(TRUE,ISNUMBER(F53:I53),F53:I53)</f>
        <v>466</v>
      </c>
      <c r="G53" s="45">
        <f>_xlfn.XLOOKUP(C53,'Ableson and Joyeux 2023'!A:A,'Ableson and Joyeux 2023'!C:C)</f>
        <v>466</v>
      </c>
      <c r="H53" s="7">
        <f>_xlfn.XLOOKUP(B53,'rai-values-2bf'!E:E,'rai-values-2bf'!H:H)</f>
        <v>467.35648295635548</v>
      </c>
      <c r="K53">
        <v>112.2</v>
      </c>
    </row>
    <row r="54" spans="1:12" x14ac:dyDescent="0.25">
      <c r="A54" s="3"/>
      <c r="B54" s="1">
        <v>43525</v>
      </c>
      <c r="C54">
        <v>2019</v>
      </c>
      <c r="D54" s="23">
        <f t="shared" si="3"/>
        <v>3</v>
      </c>
      <c r="E54" cm="1">
        <f t="array" ref="E54">_xlfn.XLOOKUP(TRUE,ISNUMBER(F54:I54),F54:I54)</f>
        <v>466</v>
      </c>
      <c r="G54" s="45">
        <f>_xlfn.XLOOKUP(C54,'Ableson and Joyeux 2023'!A:A,'Ableson and Joyeux 2023'!C:C)</f>
        <v>466</v>
      </c>
      <c r="H54" s="7">
        <f>_xlfn.XLOOKUP(B54,'rai-values-2bf'!E:E,'rai-values-2bf'!H:H)</f>
        <v>478.48401826484013</v>
      </c>
      <c r="K54">
        <v>112.3</v>
      </c>
    </row>
    <row r="55" spans="1:12" x14ac:dyDescent="0.25">
      <c r="A55" s="3"/>
      <c r="B55" s="1">
        <v>43617</v>
      </c>
      <c r="C55">
        <v>2019</v>
      </c>
      <c r="D55" s="23">
        <f t="shared" si="3"/>
        <v>6</v>
      </c>
      <c r="E55" cm="1">
        <f t="array" ref="E55">_xlfn.XLOOKUP(TRUE,ISNUMBER(F55:I55),F55:I55)</f>
        <v>466</v>
      </c>
      <c r="G55" s="45">
        <f>_xlfn.XLOOKUP(C55,'Ableson and Joyeux 2023'!A:A,'Ableson and Joyeux 2023'!C:C)</f>
        <v>466</v>
      </c>
      <c r="H55" s="7">
        <f>_xlfn.XLOOKUP(B55,'rai-values-2bf'!E:E,'rai-values-2bf'!H:H)</f>
        <v>467.35648295635548</v>
      </c>
      <c r="K55">
        <v>112.3</v>
      </c>
    </row>
    <row r="56" spans="1:12" x14ac:dyDescent="0.25">
      <c r="A56" s="3"/>
      <c r="B56" s="1">
        <v>43709</v>
      </c>
      <c r="C56">
        <v>2020</v>
      </c>
      <c r="D56" s="23">
        <f t="shared" si="3"/>
        <v>9</v>
      </c>
      <c r="E56" cm="1">
        <f t="array" ref="E56">_xlfn.XLOOKUP(TRUE,ISNUMBER(F56:I56),F56:I56)</f>
        <v>475</v>
      </c>
      <c r="G56" s="45">
        <f>_xlfn.XLOOKUP(C56,'Ableson and Joyeux 2023'!A:A,'Ableson and Joyeux 2023'!C:C)</f>
        <v>475</v>
      </c>
      <c r="H56" s="7">
        <f>_xlfn.XLOOKUP(B56,'rai-values-2bf'!E:E,'rai-values-2bf'!H:H)</f>
        <v>477.61006690028671</v>
      </c>
      <c r="K56">
        <v>112.4</v>
      </c>
    </row>
    <row r="57" spans="1:12" x14ac:dyDescent="0.25">
      <c r="A57" s="3"/>
      <c r="B57" s="1">
        <v>43800</v>
      </c>
      <c r="C57">
        <v>2020</v>
      </c>
      <c r="D57" s="23">
        <f t="shared" si="3"/>
        <v>12</v>
      </c>
      <c r="E57" cm="1">
        <f t="array" ref="E57">_xlfn.XLOOKUP(TRUE,ISNUMBER(F57:I57),F57:I57)</f>
        <v>475</v>
      </c>
      <c r="G57" s="45">
        <f>_xlfn.XLOOKUP(C57,'Ableson and Joyeux 2023'!A:A,'Ableson and Joyeux 2023'!C:C)</f>
        <v>475</v>
      </c>
      <c r="H57" s="7">
        <f>_xlfn.XLOOKUP(B57,'rai-values-2bf'!E:E,'rai-values-2bf'!H:H)</f>
        <v>488.98173515981733</v>
      </c>
      <c r="K57">
        <v>112.4</v>
      </c>
    </row>
    <row r="58" spans="1:12" x14ac:dyDescent="0.25">
      <c r="A58" s="3"/>
      <c r="B58" s="1">
        <v>43891</v>
      </c>
      <c r="C58">
        <v>2020</v>
      </c>
      <c r="D58" s="23">
        <f t="shared" si="3"/>
        <v>3</v>
      </c>
      <c r="E58" cm="1">
        <f t="array" ref="E58">_xlfn.XLOOKUP(TRUE,ISNUMBER(F58:I58),F58:I58)</f>
        <v>475</v>
      </c>
      <c r="G58" s="45">
        <f>_xlfn.XLOOKUP(C58,'Ableson and Joyeux 2023'!A:A,'Ableson and Joyeux 2023'!C:C)</f>
        <v>475</v>
      </c>
      <c r="H58" s="7">
        <f>_xlfn.XLOOKUP(B58,'rai-values-2bf'!E:E,'rai-values-2bf'!H:H)</f>
        <v>488.98173515981733</v>
      </c>
      <c r="K58">
        <v>112.5</v>
      </c>
    </row>
    <row r="59" spans="1:12" x14ac:dyDescent="0.25">
      <c r="A59" s="3"/>
      <c r="B59" s="1">
        <v>43983</v>
      </c>
      <c r="C59">
        <v>2020</v>
      </c>
      <c r="D59" s="23">
        <f t="shared" si="3"/>
        <v>6</v>
      </c>
      <c r="E59" cm="1">
        <f t="array" ref="E59">_xlfn.XLOOKUP(TRUE,ISNUMBER(F59:I59),F59:I59)</f>
        <v>475</v>
      </c>
      <c r="G59" s="45">
        <f>_xlfn.XLOOKUP(C59,'Ableson and Joyeux 2023'!A:A,'Ableson and Joyeux 2023'!C:C)</f>
        <v>475</v>
      </c>
      <c r="H59" s="7">
        <f>_xlfn.XLOOKUP(B59,'rai-values-2bf'!E:E,'rai-values-2bf'!H:H)</f>
        <v>477.61006690028671</v>
      </c>
      <c r="K59">
        <v>111</v>
      </c>
    </row>
    <row r="60" spans="1:12" x14ac:dyDescent="0.25">
      <c r="A60" s="3"/>
      <c r="B60" s="1">
        <v>44075</v>
      </c>
      <c r="C60">
        <v>2021</v>
      </c>
      <c r="D60" s="23">
        <f t="shared" si="3"/>
        <v>9</v>
      </c>
      <c r="E60" cm="1">
        <f t="array" ref="E60">_xlfn.XLOOKUP(TRUE,ISNUMBER(F60:I60),F60:I60)</f>
        <v>495</v>
      </c>
      <c r="G60" s="45">
        <f>_xlfn.XLOOKUP(C60,'Ableson and Joyeux 2023'!A:A,'Ableson and Joyeux 2023'!C:C)</f>
        <v>495</v>
      </c>
      <c r="H60" s="7">
        <f>_xlfn.XLOOKUP(B60,'rai-values-2bf'!E:E,'rai-values-2bf'!H:H)</f>
        <v>499.79908675799084</v>
      </c>
      <c r="K60">
        <v>110.8</v>
      </c>
    </row>
    <row r="61" spans="1:12" x14ac:dyDescent="0.25">
      <c r="A61" s="3"/>
      <c r="B61" s="1">
        <v>44166</v>
      </c>
      <c r="C61">
        <v>2021</v>
      </c>
      <c r="D61" s="23">
        <f t="shared" si="3"/>
        <v>12</v>
      </c>
      <c r="E61" cm="1">
        <f t="array" ref="E61">_xlfn.XLOOKUP(TRUE,ISNUMBER(F61:I61),F61:I61)</f>
        <v>495</v>
      </c>
      <c r="G61" s="45">
        <f>_xlfn.XLOOKUP(C61,'Ableson and Joyeux 2023'!A:A,'Ableson and Joyeux 2023'!C:C)</f>
        <v>495</v>
      </c>
      <c r="H61" s="7">
        <f>_xlfn.XLOOKUP(B61,'rai-values-2bf'!E:E,'rai-values-2bf'!H:H)</f>
        <v>507.86036235086164</v>
      </c>
      <c r="K61">
        <v>110.9</v>
      </c>
    </row>
    <row r="62" spans="1:12" x14ac:dyDescent="0.25">
      <c r="A62" s="3"/>
      <c r="B62" s="1">
        <v>44256</v>
      </c>
      <c r="C62">
        <v>2021</v>
      </c>
      <c r="D62" s="23">
        <f t="shared" si="3"/>
        <v>3</v>
      </c>
      <c r="E62" cm="1">
        <f t="array" ref="E62">_xlfn.XLOOKUP(TRUE,ISNUMBER(F62:I62),F62:I62)</f>
        <v>495</v>
      </c>
      <c r="G62" s="45">
        <f>_xlfn.XLOOKUP(C62,'Ableson and Joyeux 2023'!A:A,'Ableson and Joyeux 2023'!C:C)</f>
        <v>495</v>
      </c>
      <c r="H62" s="7">
        <f>_xlfn.XLOOKUP(B62,'rai-values-2bf'!E:E,'rai-values-2bf'!H:H)</f>
        <v>520.45194158270124</v>
      </c>
      <c r="K62">
        <v>110.9</v>
      </c>
    </row>
    <row r="63" spans="1:12" x14ac:dyDescent="0.25">
      <c r="A63" s="3"/>
      <c r="B63" s="1">
        <v>44348</v>
      </c>
      <c r="C63">
        <v>2021</v>
      </c>
      <c r="D63" s="23">
        <f t="shared" si="3"/>
        <v>6</v>
      </c>
      <c r="E63" cm="1">
        <f t="array" ref="E63">_xlfn.XLOOKUP(TRUE,ISNUMBER(F63:I63),F63:I63)</f>
        <v>495</v>
      </c>
      <c r="G63" s="45">
        <f>_xlfn.XLOOKUP(C63,'Ableson and Joyeux 2023'!A:A,'Ableson and Joyeux 2023'!C:C)</f>
        <v>495</v>
      </c>
      <c r="H63" s="7">
        <f>_xlfn.XLOOKUP(B63,'rai-values-2bf'!E:E,'rai-values-2bf'!H:H)</f>
        <v>507.86036235086164</v>
      </c>
      <c r="K63">
        <v>111</v>
      </c>
    </row>
    <row r="64" spans="1:12" x14ac:dyDescent="0.25">
      <c r="A64" s="3"/>
      <c r="B64" s="1">
        <v>44440</v>
      </c>
      <c r="C64">
        <v>2022</v>
      </c>
      <c r="D64" s="23">
        <f t="shared" si="3"/>
        <v>9</v>
      </c>
      <c r="E64" cm="1">
        <f t="array" ref="E64">_xlfn.XLOOKUP(TRUE,ISNUMBER(F64:I64),F64:I64)</f>
        <v>549.31668009669613</v>
      </c>
      <c r="H64" s="7">
        <f>_xlfn.XLOOKUP(B64,'rai-values-2bf'!E:E,'rai-values-2bf'!H:H)</f>
        <v>549.31668009669613</v>
      </c>
      <c r="K64">
        <v>111.2</v>
      </c>
    </row>
    <row r="65" spans="1:11" x14ac:dyDescent="0.25">
      <c r="A65" s="3"/>
      <c r="B65" s="1">
        <v>44531</v>
      </c>
      <c r="C65">
        <v>2022</v>
      </c>
      <c r="D65" s="23">
        <f t="shared" si="3"/>
        <v>12</v>
      </c>
      <c r="E65" cm="1">
        <f t="array" ref="E65">_xlfn.XLOOKUP(TRUE,ISNUMBER(F65:I65),F65:I65)</f>
        <v>578.4839374469633</v>
      </c>
      <c r="H65" s="7">
        <f>_xlfn.XLOOKUP(B65,'rai-values-2bf'!E:E,'rai-values-2bf'!H:H)</f>
        <v>578.4839374469633</v>
      </c>
      <c r="K65">
        <v>111.3</v>
      </c>
    </row>
    <row r="66" spans="1:11" x14ac:dyDescent="0.25">
      <c r="A66" s="3"/>
      <c r="B66" s="1">
        <v>44621</v>
      </c>
      <c r="C66">
        <v>2022</v>
      </c>
      <c r="D66" s="23">
        <f t="shared" si="3"/>
        <v>3</v>
      </c>
      <c r="E66" cm="1">
        <f t="array" ref="E66">_xlfn.XLOOKUP(TRUE,ISNUMBER(F66:I66),F66:I66)</f>
        <v>558.70670881629769</v>
      </c>
      <c r="H66" s="7">
        <f>_xlfn.XLOOKUP(B66,'rai-values-2bf'!E:E,'rai-values-2bf'!H:H)</f>
        <v>558.70670881629769</v>
      </c>
      <c r="K66">
        <v>112.1</v>
      </c>
    </row>
    <row r="67" spans="1:11" x14ac:dyDescent="0.25">
      <c r="A67" s="3"/>
      <c r="B67" s="1">
        <v>44713</v>
      </c>
      <c r="C67">
        <v>2022</v>
      </c>
      <c r="D67" s="23">
        <f t="shared" si="3"/>
        <v>6</v>
      </c>
      <c r="E67" cm="1">
        <f t="array" ref="E67">_xlfn.XLOOKUP(TRUE,ISNUMBER(F67:I67),F67:I67)</f>
        <v>533</v>
      </c>
      <c r="G67" s="45">
        <f>_xlfn.XLOOKUP(B67,'Ableson and Joyeux 2023'!A:A,'Ableson and Joyeux 2023'!C:C)</f>
        <v>533</v>
      </c>
      <c r="H67" s="7">
        <f>_xlfn.XLOOKUP(B67,'rai-values-2bf'!E:E,'rai-values-2bf'!H:H)</f>
        <v>568.4233472304943</v>
      </c>
      <c r="K67">
        <v>112.7</v>
      </c>
    </row>
    <row r="68" spans="1:11" x14ac:dyDescent="0.25">
      <c r="A68" s="3"/>
      <c r="B68" s="1">
        <v>44805</v>
      </c>
      <c r="C68">
        <v>2023</v>
      </c>
      <c r="D68" s="23">
        <f t="shared" si="3"/>
        <v>9</v>
      </c>
      <c r="E68" cm="1">
        <f t="array" ref="E68">_xlfn.XLOOKUP(TRUE,ISNUMBER(F68:I68),F68:I68)</f>
        <v>587.28334534967541</v>
      </c>
      <c r="H68" s="7">
        <f>_xlfn.XLOOKUP(B68,'rai-values-2bf'!E:E,'rai-values-2bf'!H:H)</f>
        <v>587.28334534967541</v>
      </c>
      <c r="K68">
        <v>114.2</v>
      </c>
    </row>
    <row r="69" spans="1:11" x14ac:dyDescent="0.25">
      <c r="A69" s="3"/>
      <c r="B69" s="1">
        <v>44896</v>
      </c>
      <c r="C69">
        <v>2023</v>
      </c>
      <c r="D69" s="23">
        <f t="shared" si="3"/>
        <v>12</v>
      </c>
      <c r="E69" cm="1">
        <f t="array" ref="E69">_xlfn.XLOOKUP(TRUE,ISNUMBER(F69:I69),F69:I69)</f>
        <v>560</v>
      </c>
      <c r="F69">
        <f>_xlfn.XLOOKUP(B69,'domain-values'!A:A,'domain-values'!C:C)</f>
        <v>560</v>
      </c>
      <c r="G69" s="45">
        <f>_xlfn.XLOOKUP(B69,'Ableson and Joyeux 2023'!A:A,'Ableson and Joyeux 2023'!C:C)</f>
        <v>550</v>
      </c>
      <c r="H69" s="7">
        <f>_xlfn.XLOOKUP(B69,'rai-values-2bf'!E:E,'rai-values-2bf'!H:H)</f>
        <v>592.48054309613281</v>
      </c>
      <c r="K69">
        <v>115.8</v>
      </c>
    </row>
    <row r="70" spans="1:11" x14ac:dyDescent="0.25">
      <c r="A70" s="3"/>
      <c r="B70" s="1">
        <v>44986</v>
      </c>
      <c r="C70">
        <v>2023</v>
      </c>
      <c r="D70" s="23">
        <f t="shared" ref="D70:D81" si="4">MONTH(B70)</f>
        <v>3</v>
      </c>
      <c r="E70" cm="1">
        <f t="array" ref="E70">_xlfn.XLOOKUP(TRUE,ISNUMBER(F70:I70),F70:I70)</f>
        <v>550</v>
      </c>
      <c r="F70">
        <f>_xlfn.XLOOKUP(B70,'domain-values'!A:A,'domain-values'!C:C)</f>
        <v>550</v>
      </c>
      <c r="H70" s="7">
        <f>_xlfn.XLOOKUP(B70,'rai-values-2bf'!E:E,'rai-values-2bf'!H:H)</f>
        <v>577.15777042985337</v>
      </c>
      <c r="K70">
        <v>117.7</v>
      </c>
    </row>
    <row r="71" spans="1:11" x14ac:dyDescent="0.25">
      <c r="A71" s="3"/>
      <c r="B71" s="1">
        <v>45078</v>
      </c>
      <c r="C71">
        <v>2023</v>
      </c>
      <c r="D71" s="23">
        <f t="shared" si="4"/>
        <v>6</v>
      </c>
      <c r="E71" cm="1">
        <f t="array" ref="E71">_xlfn.XLOOKUP(TRUE,ISNUMBER(F71:I71),F71:I71)</f>
        <v>550</v>
      </c>
      <c r="F71">
        <f>_xlfn.XLOOKUP(B71,'domain-values'!A:A,'domain-values'!C:C)</f>
        <v>550</v>
      </c>
      <c r="H71" s="7">
        <f>_xlfn.XLOOKUP(B71,'rai-values-2bf'!E:E,'rai-values-2bf'!H:H)</f>
        <v>567.37543533782207</v>
      </c>
      <c r="K71">
        <v>120.3</v>
      </c>
    </row>
    <row r="72" spans="1:11" x14ac:dyDescent="0.25">
      <c r="A72" s="3"/>
      <c r="B72" s="1">
        <v>45170</v>
      </c>
      <c r="C72">
        <v>2024</v>
      </c>
      <c r="D72" s="23">
        <f t="shared" si="4"/>
        <v>9</v>
      </c>
      <c r="E72" cm="1">
        <f t="array" ref="E72">_xlfn.XLOOKUP(TRUE,ISNUMBER(F72:I72),F72:I72)</f>
        <v>550</v>
      </c>
      <c r="F72">
        <f>_xlfn.XLOOKUP(B72,'domain-values'!A:A,'domain-values'!C:C)</f>
        <v>550</v>
      </c>
      <c r="H72" s="7">
        <f>_xlfn.XLOOKUP(B72,'rai-values-2bf'!E:E,'rai-values-2bf'!H:H)</f>
        <v>582.11232876712324</v>
      </c>
      <c r="K72">
        <v>122.9</v>
      </c>
    </row>
    <row r="73" spans="1:11" x14ac:dyDescent="0.25">
      <c r="A73" s="3"/>
      <c r="B73" s="1">
        <v>45261</v>
      </c>
      <c r="C73">
        <v>2024</v>
      </c>
      <c r="D73" s="23">
        <f t="shared" si="4"/>
        <v>12</v>
      </c>
      <c r="E73" cm="1">
        <f t="array" ref="E73">_xlfn.XLOOKUP(TRUE,ISNUMBER(F73:I73),F73:I73)</f>
        <v>560</v>
      </c>
      <c r="F73">
        <f>_xlfn.XLOOKUP(B73,'domain-values'!A:A,'domain-values'!C:C)</f>
        <v>560</v>
      </c>
      <c r="H73" s="7">
        <f>_xlfn.XLOOKUP(B73,'rai-values-2bf'!E:E,'rai-values-2bf'!H:H)</f>
        <v>612.74981975486651</v>
      </c>
      <c r="K73">
        <v>124.2</v>
      </c>
    </row>
    <row r="74" spans="1:11" x14ac:dyDescent="0.25">
      <c r="A74" s="3"/>
      <c r="B74" s="1">
        <v>45352</v>
      </c>
      <c r="C74">
        <v>2024</v>
      </c>
      <c r="D74" s="23">
        <f t="shared" si="4"/>
        <v>3</v>
      </c>
      <c r="E74" cm="1">
        <f t="array" ref="E74">_xlfn.XLOOKUP(TRUE,ISNUMBER(F74:I74),F74:I74)</f>
        <v>570</v>
      </c>
      <c r="F74">
        <f>_xlfn.XLOOKUP(B74,'domain-values'!A:A,'domain-values'!C:C)</f>
        <v>570</v>
      </c>
      <c r="H74" s="7">
        <f>_xlfn.XLOOKUP(B74,'rai-values-2bf'!E:E,'rai-values-2bf'!H:H)</f>
        <v>587.00402900886377</v>
      </c>
      <c r="K74">
        <v>126.9</v>
      </c>
    </row>
    <row r="75" spans="1:11" x14ac:dyDescent="0.25">
      <c r="A75" s="3"/>
      <c r="B75" s="1">
        <v>45444</v>
      </c>
      <c r="C75">
        <v>2024</v>
      </c>
      <c r="D75" s="23">
        <f t="shared" si="4"/>
        <v>6</v>
      </c>
      <c r="E75" cm="1">
        <f t="array" ref="E75">_xlfn.XLOOKUP(TRUE,ISNUMBER(F75:I75),F75:I75)</f>
        <v>560</v>
      </c>
      <c r="F75">
        <f>_xlfn.XLOOKUP(B75,'domain-values'!A:A,'domain-values'!C:C)</f>
        <v>560</v>
      </c>
      <c r="H75" s="7">
        <f>_xlfn.XLOOKUP(B75,'rai-values-2bf'!E:E,'rai-values-2bf'!H:H)</f>
        <v>572.56950370536708</v>
      </c>
      <c r="K75">
        <v>129.1</v>
      </c>
    </row>
    <row r="76" spans="1:11" x14ac:dyDescent="0.25">
      <c r="A76" s="3"/>
      <c r="B76" s="1">
        <v>45536</v>
      </c>
      <c r="C76">
        <v>2025</v>
      </c>
      <c r="D76" s="23">
        <f t="shared" si="4"/>
        <v>9</v>
      </c>
      <c r="E76" cm="1">
        <f t="array" ref="E76">_xlfn.XLOOKUP(TRUE,ISNUMBER(F76:I76),F76:I76)</f>
        <v>550</v>
      </c>
      <c r="F76">
        <f>_xlfn.XLOOKUP(B76,'domain-values'!A:A,'domain-values'!C:C)</f>
        <v>550</v>
      </c>
      <c r="H76" s="7">
        <f>_xlfn.XLOOKUP(B76,'rai-values-2bf'!E:E,'rai-values-2bf'!H:H)</f>
        <v>593.06961598922078</v>
      </c>
      <c r="K76">
        <v>131.19999999999999</v>
      </c>
    </row>
    <row r="77" spans="1:11" x14ac:dyDescent="0.25">
      <c r="A77" s="3"/>
      <c r="B77" s="1">
        <v>45627</v>
      </c>
      <c r="C77">
        <v>2025</v>
      </c>
      <c r="D77" s="23">
        <f t="shared" si="4"/>
        <v>12</v>
      </c>
      <c r="E77" cm="1">
        <f t="array" ref="E77">_xlfn.XLOOKUP(TRUE,ISNUMBER(F77:I77),F77:I77)</f>
        <v>565</v>
      </c>
      <c r="F77">
        <f>_xlfn.XLOOKUP(B77,'domain-values'!A:A,'domain-values'!C:C)</f>
        <v>565</v>
      </c>
      <c r="H77" s="7">
        <f>_xlfn.XLOOKUP(B77,'rai-values-2bf'!E:E,'rai-values-2bf'!H:H)</f>
        <v>608.02095084609186</v>
      </c>
      <c r="K77">
        <v>132.19999999999999</v>
      </c>
    </row>
    <row r="78" spans="1:11" x14ac:dyDescent="0.25">
      <c r="A78" s="3"/>
      <c r="B78" s="1">
        <v>45717</v>
      </c>
      <c r="C78">
        <v>2025</v>
      </c>
      <c r="D78" s="23">
        <f t="shared" si="4"/>
        <v>3</v>
      </c>
      <c r="E78" cm="1">
        <f t="array" ref="E78">_xlfn.XLOOKUP(TRUE,ISNUMBER(F78:I78),F78:I78)</f>
        <v>575</v>
      </c>
      <c r="F78">
        <f>_xlfn.XLOOKUP(B78,'domain-values'!A:A,'domain-values'!C:C)</f>
        <v>575</v>
      </c>
      <c r="H78" s="7">
        <f>_xlfn.XLOOKUP(B78,'rai-values-2bf'!E:E,'rai-values-2bf'!H:H)</f>
        <v>597.97101777425564</v>
      </c>
      <c r="K78">
        <v>133.9</v>
      </c>
    </row>
    <row r="79" spans="1:11" x14ac:dyDescent="0.25">
      <c r="A79" s="3"/>
      <c r="B79" s="1">
        <v>45809</v>
      </c>
      <c r="C79">
        <v>2025</v>
      </c>
      <c r="D79" s="23">
        <f t="shared" si="4"/>
        <v>6</v>
      </c>
      <c r="E79" cm="1">
        <f t="array" ref="E79">_xlfn.XLOOKUP(TRUE,ISNUMBER(F79:I79),F79:I79)</f>
        <v>580</v>
      </c>
      <c r="F79">
        <f>_xlfn.XLOOKUP(B79,'domain-values'!A:A,'domain-values'!C:C)</f>
        <v>580</v>
      </c>
      <c r="H79" s="7">
        <f>_xlfn.XLOOKUP(B79,'rai-values-2bf'!E:E,'rai-values-2bf'!H:H)</f>
        <v>593.06961598922078</v>
      </c>
      <c r="K79">
        <v>134.9</v>
      </c>
    </row>
    <row r="80" spans="1:11" x14ac:dyDescent="0.25">
      <c r="A80" s="3"/>
      <c r="B80" s="1">
        <v>45901</v>
      </c>
      <c r="C80">
        <v>2026</v>
      </c>
      <c r="D80" s="23">
        <f t="shared" si="4"/>
        <v>9</v>
      </c>
      <c r="E80" cm="1">
        <f t="array" ref="E80">_xlfn.XLOOKUP(TRUE,ISNUMBER(F80:I80),F80:I80)</f>
        <v>560</v>
      </c>
      <c r="F80">
        <f>_xlfn.XLOOKUP(B80,'domain-values'!A:A,'domain-values'!C:C)</f>
        <v>560</v>
      </c>
      <c r="H80" s="7"/>
      <c r="K80">
        <v>136.1</v>
      </c>
    </row>
    <row r="81" spans="1:11" x14ac:dyDescent="0.25">
      <c r="A81" s="3"/>
      <c r="B81" s="1">
        <v>45992</v>
      </c>
      <c r="C81">
        <v>2026</v>
      </c>
      <c r="D81" s="23">
        <f t="shared" si="4"/>
        <v>12</v>
      </c>
      <c r="E81" cm="1">
        <f t="array" ref="E81">_xlfn.XLOOKUP(TRUE,ISNUMBER(F81:I81),F81:I81)</f>
        <v>580</v>
      </c>
      <c r="F81">
        <f>_xlfn.XLOOKUP(B81,'domain-values'!A:A,'domain-values'!C:C)</f>
        <v>580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K109"/>
  <sheetViews>
    <sheetView workbookViewId="0">
      <pane ySplit="1" topLeftCell="A2" activePane="bottomLeft" state="frozen"/>
      <selection pane="bottomLeft" activeCell="H20" sqref="H20"/>
    </sheetView>
  </sheetViews>
  <sheetFormatPr defaultRowHeight="15" x14ac:dyDescent="0.25"/>
  <cols>
    <col min="1" max="1" width="33.42578125" bestFit="1" customWidth="1"/>
    <col min="5" max="5" width="11" bestFit="1" customWidth="1"/>
  </cols>
  <sheetData>
    <row r="1" spans="1:11" x14ac:dyDescent="0.25">
      <c r="A1" t="s">
        <v>5</v>
      </c>
      <c r="B1" s="1" t="s">
        <v>1</v>
      </c>
      <c r="C1" t="s">
        <v>649</v>
      </c>
      <c r="D1" s="1" t="s">
        <v>632</v>
      </c>
      <c r="E1" s="5" t="s">
        <v>658</v>
      </c>
      <c r="F1" t="s">
        <v>634</v>
      </c>
      <c r="G1" t="s">
        <v>635</v>
      </c>
      <c r="H1" t="s">
        <v>652</v>
      </c>
      <c r="I1" t="s">
        <v>662</v>
      </c>
      <c r="J1" s="6" t="s">
        <v>663</v>
      </c>
      <c r="K1" s="6" t="s">
        <v>636</v>
      </c>
    </row>
    <row r="2" spans="1:11" x14ac:dyDescent="0.25">
      <c r="A2" t="s">
        <v>4</v>
      </c>
      <c r="B2" s="1">
        <v>38777</v>
      </c>
      <c r="C2">
        <v>2006</v>
      </c>
      <c r="D2" s="23">
        <f>MONTH(B2)</f>
        <v>3</v>
      </c>
      <c r="E2" cm="1">
        <f t="array" ref="E2">_xlfn.XLOOKUP(TRUE,ISNUMBER(F2:I2),F2:I2)</f>
        <v>380.75578406169672</v>
      </c>
      <c r="H2" s="7"/>
      <c r="I2">
        <f t="shared" ref="I2:I6" si="0">$G$8*(J2/$J$8)</f>
        <v>380.75578406169672</v>
      </c>
      <c r="J2">
        <v>71.900000000000006</v>
      </c>
      <c r="K2">
        <v>72.900000000000006</v>
      </c>
    </row>
    <row r="3" spans="1:11" x14ac:dyDescent="0.25">
      <c r="A3" t="s">
        <v>0</v>
      </c>
      <c r="B3" s="1">
        <v>38869</v>
      </c>
      <c r="C3">
        <v>2006</v>
      </c>
      <c r="D3" s="23">
        <f>MONTH(B3)</f>
        <v>6</v>
      </c>
      <c r="E3" cm="1">
        <f t="array" ref="E3">_xlfn.XLOOKUP(TRUE,ISNUMBER(F3:I3),F3:I3)</f>
        <v>386.58097686375322</v>
      </c>
      <c r="H3" s="7"/>
      <c r="I3">
        <f t="shared" si="0"/>
        <v>386.58097686375322</v>
      </c>
      <c r="J3">
        <v>73</v>
      </c>
      <c r="K3">
        <v>73.5</v>
      </c>
    </row>
    <row r="4" spans="1:11" x14ac:dyDescent="0.25">
      <c r="B4" s="1">
        <v>38961</v>
      </c>
      <c r="C4">
        <v>2007</v>
      </c>
      <c r="D4" s="23">
        <f>MONTH(B4)</f>
        <v>9</v>
      </c>
      <c r="E4" cm="1">
        <f t="array" ref="E4">_xlfn.XLOOKUP(TRUE,ISNUMBER(F4:I4),F4:I4)</f>
        <v>388.16966580976867</v>
      </c>
      <c r="H4" s="7"/>
      <c r="I4">
        <f t="shared" si="0"/>
        <v>388.16966580976867</v>
      </c>
      <c r="J4">
        <v>73.3</v>
      </c>
      <c r="K4">
        <v>74.3</v>
      </c>
    </row>
    <row r="5" spans="1:11" x14ac:dyDescent="0.25">
      <c r="B5" s="1">
        <v>39052</v>
      </c>
      <c r="C5">
        <v>2007</v>
      </c>
      <c r="D5" s="23">
        <f>MONTH(B5)</f>
        <v>12</v>
      </c>
      <c r="E5" cm="1">
        <f t="array" ref="E5">_xlfn.XLOOKUP(TRUE,ISNUMBER(F5:I5),F5:I5)</f>
        <v>392.40616966580973</v>
      </c>
      <c r="H5" s="7"/>
      <c r="I5">
        <f t="shared" si="0"/>
        <v>392.40616966580973</v>
      </c>
      <c r="J5">
        <v>74.099999999999994</v>
      </c>
      <c r="K5">
        <v>75</v>
      </c>
    </row>
    <row r="6" spans="1:11" x14ac:dyDescent="0.25">
      <c r="B6" s="1">
        <v>39142</v>
      </c>
      <c r="C6">
        <v>2007</v>
      </c>
      <c r="D6" s="23">
        <f t="shared" ref="D6:D37" si="1">MONTH(B6)</f>
        <v>3</v>
      </c>
      <c r="E6" cm="1">
        <f t="array" ref="E6">_xlfn.XLOOKUP(TRUE,ISNUMBER(F6:I6),F6:I6)</f>
        <v>399.29048843187667</v>
      </c>
      <c r="H6" s="7"/>
      <c r="I6">
        <f t="shared" si="0"/>
        <v>399.29048843187667</v>
      </c>
      <c r="J6">
        <v>75.400000000000006</v>
      </c>
      <c r="K6">
        <v>76.099999999999994</v>
      </c>
    </row>
    <row r="7" spans="1:11" x14ac:dyDescent="0.25">
      <c r="B7" s="1">
        <v>39234</v>
      </c>
      <c r="C7">
        <v>2007</v>
      </c>
      <c r="D7" s="23">
        <f t="shared" si="1"/>
        <v>6</v>
      </c>
      <c r="E7" cm="1">
        <f t="array" ref="E7">_xlfn.XLOOKUP(TRUE,ISNUMBER(F7:I7),F7:I7)</f>
        <v>407.23393316195381</v>
      </c>
      <c r="H7" s="7"/>
      <c r="I7">
        <f>$G$8*(J7/$J$8)</f>
        <v>407.23393316195381</v>
      </c>
      <c r="J7">
        <v>76.900000000000006</v>
      </c>
      <c r="K7">
        <v>77.3</v>
      </c>
    </row>
    <row r="8" spans="1:11" x14ac:dyDescent="0.25">
      <c r="B8" s="1">
        <v>39326</v>
      </c>
      <c r="C8">
        <v>2008</v>
      </c>
      <c r="D8" s="23">
        <f t="shared" si="1"/>
        <v>9</v>
      </c>
      <c r="E8" cm="1">
        <f t="array" ref="E8">_xlfn.XLOOKUP(TRUE,ISNUMBER(F8:I8),F8:I8)</f>
        <v>412</v>
      </c>
      <c r="G8" s="45">
        <f>_xlfn.XLOOKUP(C8,'Ableson and Joyeux 2023'!A:A,'Ableson and Joyeux 2023'!B:B)</f>
        <v>412</v>
      </c>
      <c r="H8" s="7"/>
      <c r="J8">
        <v>77.8</v>
      </c>
      <c r="K8">
        <v>78.599999999999994</v>
      </c>
    </row>
    <row r="9" spans="1:11" x14ac:dyDescent="0.25">
      <c r="B9" s="1">
        <v>39417</v>
      </c>
      <c r="C9">
        <v>2008</v>
      </c>
      <c r="D9" s="23">
        <f t="shared" si="1"/>
        <v>12</v>
      </c>
      <c r="E9" cm="1">
        <f t="array" ref="E9">_xlfn.XLOOKUP(TRUE,ISNUMBER(F9:I9),F9:I9)</f>
        <v>412</v>
      </c>
      <c r="G9" s="45">
        <f>_xlfn.XLOOKUP(C9,'Ableson and Joyeux 2023'!A:A,'Ableson and Joyeux 2023'!B:B)</f>
        <v>412</v>
      </c>
      <c r="H9" s="7"/>
      <c r="J9">
        <v>79.2</v>
      </c>
      <c r="K9">
        <v>80</v>
      </c>
    </row>
    <row r="10" spans="1:11" x14ac:dyDescent="0.25">
      <c r="B10" s="1">
        <v>39508</v>
      </c>
      <c r="C10">
        <v>2008</v>
      </c>
      <c r="D10" s="23">
        <f t="shared" si="1"/>
        <v>3</v>
      </c>
      <c r="E10" cm="1">
        <f t="array" ref="E10">_xlfn.XLOOKUP(TRUE,ISNUMBER(F10:I10),F10:I10)</f>
        <v>412</v>
      </c>
      <c r="G10" s="45">
        <f>_xlfn.XLOOKUP(C10,'Ableson and Joyeux 2023'!A:A,'Ableson and Joyeux 2023'!B:B)</f>
        <v>412</v>
      </c>
      <c r="H10" s="7"/>
      <c r="J10">
        <v>81.099999999999994</v>
      </c>
      <c r="K10">
        <v>81.400000000000006</v>
      </c>
    </row>
    <row r="11" spans="1:11" x14ac:dyDescent="0.25">
      <c r="B11" s="1">
        <v>39600</v>
      </c>
      <c r="C11">
        <v>2008</v>
      </c>
      <c r="D11" s="23">
        <f t="shared" si="1"/>
        <v>6</v>
      </c>
      <c r="E11" cm="1">
        <f t="array" ref="E11">_xlfn.XLOOKUP(TRUE,ISNUMBER(F11:I11),F11:I11)</f>
        <v>412</v>
      </c>
      <c r="G11" s="45">
        <f>_xlfn.XLOOKUP(C11,'Ableson and Joyeux 2023'!A:A,'Ableson and Joyeux 2023'!B:B)</f>
        <v>412</v>
      </c>
      <c r="H11" s="7"/>
      <c r="J11">
        <v>82.6</v>
      </c>
      <c r="K11">
        <v>83.3</v>
      </c>
    </row>
    <row r="12" spans="1:11" x14ac:dyDescent="0.25">
      <c r="B12" s="1">
        <v>39692</v>
      </c>
      <c r="C12">
        <v>2009</v>
      </c>
      <c r="D12" s="23">
        <f t="shared" si="1"/>
        <v>9</v>
      </c>
      <c r="E12" cm="1">
        <f t="array" ref="E12">_xlfn.XLOOKUP(TRUE,ISNUMBER(F12:I12),F12:I12)</f>
        <v>427.05855855855862</v>
      </c>
      <c r="H12" s="7"/>
      <c r="I12">
        <f t="shared" ref="I12:I14" si="2">$G$16*(J12/$J$16)</f>
        <v>427.05855855855862</v>
      </c>
      <c r="J12">
        <v>83.9</v>
      </c>
      <c r="K12">
        <v>85</v>
      </c>
    </row>
    <row r="13" spans="1:11" x14ac:dyDescent="0.25">
      <c r="B13" s="1">
        <v>39783</v>
      </c>
      <c r="C13">
        <v>2009</v>
      </c>
      <c r="D13" s="23">
        <f t="shared" si="1"/>
        <v>12</v>
      </c>
      <c r="E13" cm="1">
        <f t="array" ref="E13">_xlfn.XLOOKUP(TRUE,ISNUMBER(F13:I13),F13:I13)</f>
        <v>437.74774774774772</v>
      </c>
      <c r="H13" s="7"/>
      <c r="I13">
        <f t="shared" si="2"/>
        <v>437.74774774774772</v>
      </c>
      <c r="J13">
        <v>86</v>
      </c>
      <c r="K13">
        <v>86.7</v>
      </c>
    </row>
    <row r="14" spans="1:11" x14ac:dyDescent="0.25">
      <c r="B14" s="1">
        <v>39873</v>
      </c>
      <c r="C14">
        <v>2009</v>
      </c>
      <c r="D14" s="23">
        <f t="shared" si="1"/>
        <v>3</v>
      </c>
      <c r="E14" cm="1">
        <f t="array" ref="E14">_xlfn.XLOOKUP(TRUE,ISNUMBER(F14:I14),F14:I14)</f>
        <v>444.87387387387389</v>
      </c>
      <c r="H14" s="7"/>
      <c r="I14">
        <f t="shared" si="2"/>
        <v>444.87387387387389</v>
      </c>
      <c r="J14">
        <v>87.4</v>
      </c>
      <c r="K14">
        <v>88</v>
      </c>
    </row>
    <row r="15" spans="1:11" x14ac:dyDescent="0.25">
      <c r="B15" s="1">
        <v>39965</v>
      </c>
      <c r="C15">
        <v>2009</v>
      </c>
      <c r="D15" s="23">
        <f t="shared" si="1"/>
        <v>6</v>
      </c>
      <c r="E15" cm="1">
        <f t="array" ref="E15">_xlfn.XLOOKUP(TRUE,ISNUMBER(F15:I15),F15:I15)</f>
        <v>448.43693693693689</v>
      </c>
      <c r="H15" s="7"/>
      <c r="I15">
        <f>$G$16*(J15/$J$16)</f>
        <v>448.43693693693689</v>
      </c>
      <c r="J15">
        <v>88.1</v>
      </c>
      <c r="K15">
        <v>89.3</v>
      </c>
    </row>
    <row r="16" spans="1:11" x14ac:dyDescent="0.25">
      <c r="B16" s="1">
        <v>40057</v>
      </c>
      <c r="C16">
        <v>2010</v>
      </c>
      <c r="D16" s="23">
        <f t="shared" si="1"/>
        <v>9</v>
      </c>
      <c r="E16" cm="1">
        <f t="array" ref="E16">_xlfn.XLOOKUP(TRUE,ISNUMBER(F16:I16),F16:I16)</f>
        <v>452</v>
      </c>
      <c r="G16" s="45">
        <f>_xlfn.XLOOKUP(C16,'Ableson and Joyeux 2023'!A:A,'Ableson and Joyeux 2023'!B:B)</f>
        <v>452</v>
      </c>
      <c r="H16" s="7"/>
      <c r="J16">
        <v>88.8</v>
      </c>
      <c r="K16">
        <v>90.3</v>
      </c>
    </row>
    <row r="17" spans="2:11" x14ac:dyDescent="0.25">
      <c r="B17" s="1">
        <v>40148</v>
      </c>
      <c r="C17">
        <v>2010</v>
      </c>
      <c r="D17" s="23">
        <f t="shared" si="1"/>
        <v>12</v>
      </c>
      <c r="E17" cm="1">
        <f t="array" ref="E17">_xlfn.XLOOKUP(TRUE,ISNUMBER(F17:I17),F17:I17)</f>
        <v>452</v>
      </c>
      <c r="G17" s="45">
        <f>_xlfn.XLOOKUP(C17,'Ableson and Joyeux 2023'!A:A,'Ableson and Joyeux 2023'!B:B)</f>
        <v>452</v>
      </c>
      <c r="H17" s="7"/>
      <c r="J17">
        <v>89.6</v>
      </c>
      <c r="K17">
        <v>91.2</v>
      </c>
    </row>
    <row r="18" spans="2:11" x14ac:dyDescent="0.25">
      <c r="B18" s="1">
        <v>40238</v>
      </c>
      <c r="C18">
        <v>2010</v>
      </c>
      <c r="D18" s="23">
        <f t="shared" si="1"/>
        <v>3</v>
      </c>
      <c r="E18" cm="1">
        <f t="array" ref="E18">_xlfn.XLOOKUP(TRUE,ISNUMBER(F18:I18),F18:I18)</f>
        <v>452</v>
      </c>
      <c r="G18" s="45">
        <f>_xlfn.XLOOKUP(C18,'Ableson and Joyeux 2023'!A:A,'Ableson and Joyeux 2023'!B:B)</f>
        <v>452</v>
      </c>
      <c r="H18" s="7"/>
      <c r="J18">
        <v>90.9</v>
      </c>
      <c r="K18">
        <v>92.1</v>
      </c>
    </row>
    <row r="19" spans="2:11" x14ac:dyDescent="0.25">
      <c r="B19" s="1">
        <v>40330</v>
      </c>
      <c r="C19">
        <v>2010</v>
      </c>
      <c r="D19" s="23">
        <f t="shared" si="1"/>
        <v>6</v>
      </c>
      <c r="E19" cm="1">
        <f t="array" ref="E19">_xlfn.XLOOKUP(TRUE,ISNUMBER(F19:I19),F19:I19)</f>
        <v>452</v>
      </c>
      <c r="G19" s="45">
        <f>_xlfn.XLOOKUP(C19,'Ableson and Joyeux 2023'!A:A,'Ableson and Joyeux 2023'!B:B)</f>
        <v>452</v>
      </c>
      <c r="H19" s="7"/>
      <c r="J19">
        <v>91.7</v>
      </c>
      <c r="K19">
        <v>93</v>
      </c>
    </row>
    <row r="20" spans="2:11" x14ac:dyDescent="0.25">
      <c r="B20" s="1">
        <v>40422</v>
      </c>
      <c r="C20">
        <v>2011</v>
      </c>
      <c r="D20" s="23">
        <f t="shared" si="1"/>
        <v>9</v>
      </c>
      <c r="E20" cm="1">
        <f t="array" ref="E20">_xlfn.XLOOKUP(TRUE,ISNUMBER(F20:I20),F20:I20)</f>
        <v>432.61923000414686</v>
      </c>
      <c r="H20" s="7"/>
      <c r="I20">
        <f t="shared" ref="I20:I21" si="3">$H$22*(J20/$J$22)</f>
        <v>432.61923000414686</v>
      </c>
      <c r="J20">
        <v>92.6</v>
      </c>
      <c r="K20">
        <v>94.1</v>
      </c>
    </row>
    <row r="21" spans="2:11" x14ac:dyDescent="0.25">
      <c r="B21" s="1">
        <v>40513</v>
      </c>
      <c r="C21">
        <v>2011</v>
      </c>
      <c r="D21" s="23">
        <f t="shared" si="1"/>
        <v>12</v>
      </c>
      <c r="E21" cm="1">
        <f t="array" ref="E21">_xlfn.XLOOKUP(TRUE,ISNUMBER(F21:I21),F21:I21)</f>
        <v>438.6927181143563</v>
      </c>
      <c r="H21" s="7"/>
      <c r="I21">
        <f t="shared" si="3"/>
        <v>438.6927181143563</v>
      </c>
      <c r="J21">
        <v>93.9</v>
      </c>
      <c r="K21">
        <v>95.1</v>
      </c>
    </row>
    <row r="22" spans="2:11" x14ac:dyDescent="0.25">
      <c r="B22" s="1">
        <v>40603</v>
      </c>
      <c r="C22">
        <v>2011</v>
      </c>
      <c r="D22" s="23">
        <f t="shared" si="1"/>
        <v>3</v>
      </c>
      <c r="E22" cm="1">
        <f t="array" ref="E22">_xlfn.XLOOKUP(TRUE,ISNUMBER(F22:I22),F22:I22)</f>
        <v>446.6349717969378</v>
      </c>
      <c r="H22" s="7">
        <f>_xlfn.XLOOKUP(B22,'rai-values-3bh'!E:E,'rai-values-3bh'!H:H)</f>
        <v>446.6349717969378</v>
      </c>
      <c r="J22">
        <v>95.6</v>
      </c>
      <c r="K22">
        <v>96.2</v>
      </c>
    </row>
    <row r="23" spans="2:11" x14ac:dyDescent="0.25">
      <c r="B23" s="1">
        <v>40695</v>
      </c>
      <c r="C23">
        <v>2011</v>
      </c>
      <c r="D23" s="23">
        <f t="shared" si="1"/>
        <v>6</v>
      </c>
      <c r="E23" cm="1">
        <f t="array" ref="E23">_xlfn.XLOOKUP(TRUE,ISNUMBER(F23:I23),F23:I23)</f>
        <v>446.6349717969378</v>
      </c>
      <c r="H23" s="7">
        <f>_xlfn.XLOOKUP(B23,'rai-values-3bh'!E:E,'rai-values-3bh'!H:H)</f>
        <v>446.6349717969378</v>
      </c>
      <c r="J23">
        <v>96.3</v>
      </c>
      <c r="K23">
        <v>97.2</v>
      </c>
    </row>
    <row r="24" spans="2:11" x14ac:dyDescent="0.25">
      <c r="B24" s="1">
        <v>40787</v>
      </c>
      <c r="C24">
        <v>2012</v>
      </c>
      <c r="D24" s="23">
        <f t="shared" si="1"/>
        <v>9</v>
      </c>
      <c r="E24" cm="1">
        <f t="array" ref="E24">_xlfn.XLOOKUP(TRUE,ISNUMBER(F24:I24),F24:I24)</f>
        <v>464.88799355358572</v>
      </c>
      <c r="H24" s="7">
        <f>_xlfn.XLOOKUP(B24,'rai-values-3bh'!E:E,'rai-values-3bh'!H:H)</f>
        <v>464.88799355358572</v>
      </c>
      <c r="J24">
        <v>98</v>
      </c>
      <c r="K24">
        <v>98.5</v>
      </c>
    </row>
    <row r="25" spans="2:11" x14ac:dyDescent="0.25">
      <c r="B25" s="1">
        <v>40878</v>
      </c>
      <c r="C25">
        <v>2012</v>
      </c>
      <c r="D25" s="23">
        <f t="shared" si="1"/>
        <v>12</v>
      </c>
      <c r="E25" cm="1">
        <f t="array" ref="E25">_xlfn.XLOOKUP(TRUE,ISNUMBER(F25:I25),F25:I25)</f>
        <v>478.97550850975506</v>
      </c>
      <c r="H25" s="7">
        <f>_xlfn.XLOOKUP(B25,'rai-values-3bh'!E:E,'rai-values-3bh'!H:H)</f>
        <v>478.97550850975506</v>
      </c>
      <c r="J25">
        <v>99.8</v>
      </c>
      <c r="K25">
        <v>99.6</v>
      </c>
    </row>
    <row r="26" spans="2:11" x14ac:dyDescent="0.25">
      <c r="B26" s="1">
        <v>40969</v>
      </c>
      <c r="C26">
        <v>2012</v>
      </c>
      <c r="D26" s="23">
        <f t="shared" si="1"/>
        <v>3</v>
      </c>
      <c r="E26" cm="1">
        <f t="array" ref="E26">_xlfn.XLOOKUP(TRUE,ISNUMBER(F26:I26),F26:I26)</f>
        <v>474.18575342465749</v>
      </c>
      <c r="H26" s="7">
        <f>_xlfn.XLOOKUP(B26,'rai-values-3bh'!E:E,'rai-values-3bh'!H:H)</f>
        <v>474.18575342465749</v>
      </c>
      <c r="J26">
        <v>100.6</v>
      </c>
      <c r="K26">
        <v>100.5</v>
      </c>
    </row>
    <row r="27" spans="2:11" x14ac:dyDescent="0.25">
      <c r="B27" s="1">
        <v>41061</v>
      </c>
      <c r="C27">
        <v>2012</v>
      </c>
      <c r="D27" s="23">
        <f t="shared" si="1"/>
        <v>6</v>
      </c>
      <c r="E27" cm="1">
        <f t="array" ref="E27">_xlfn.XLOOKUP(TRUE,ISNUMBER(F27:I27),F27:I27)</f>
        <v>469.49084497490838</v>
      </c>
      <c r="H27" s="7">
        <f>_xlfn.XLOOKUP(B27,'rai-values-3bh'!E:E,'rai-values-3bh'!H:H)</f>
        <v>469.49084497490838</v>
      </c>
      <c r="J27">
        <v>101.6</v>
      </c>
      <c r="K27">
        <v>101.5</v>
      </c>
    </row>
    <row r="28" spans="2:11" x14ac:dyDescent="0.25">
      <c r="B28" s="1">
        <v>41153</v>
      </c>
      <c r="C28">
        <v>2013</v>
      </c>
      <c r="D28" s="23">
        <f t="shared" si="1"/>
        <v>9</v>
      </c>
      <c r="E28" cm="1">
        <f t="array" ref="E28">_xlfn.XLOOKUP(TRUE,ISNUMBER(F28:I28),F28:I28)</f>
        <v>472.28354834419463</v>
      </c>
      <c r="H28" s="7">
        <f>_xlfn.XLOOKUP(B28,'rai-values-3bh'!E:E,'rai-values-3bh'!H:H)</f>
        <v>472.28354834419463</v>
      </c>
      <c r="J28">
        <v>102.1</v>
      </c>
      <c r="K28">
        <v>102.4</v>
      </c>
    </row>
    <row r="29" spans="2:11" x14ac:dyDescent="0.25">
      <c r="B29" s="1">
        <v>41244</v>
      </c>
      <c r="C29">
        <v>2013</v>
      </c>
      <c r="D29" s="23">
        <f t="shared" si="1"/>
        <v>12</v>
      </c>
      <c r="E29" cm="1">
        <f t="array" ref="E29">_xlfn.XLOOKUP(TRUE,ISNUMBER(F29:I29),F29:I29)</f>
        <v>472.28354834419463</v>
      </c>
      <c r="H29" s="7">
        <f>_xlfn.XLOOKUP(B29,'rai-values-3bh'!E:E,'rai-values-3bh'!H:H)</f>
        <v>472.28354834419463</v>
      </c>
      <c r="J29">
        <v>102.9</v>
      </c>
      <c r="K29">
        <v>103.3</v>
      </c>
    </row>
    <row r="30" spans="2:11" x14ac:dyDescent="0.25">
      <c r="B30" s="1">
        <v>41334</v>
      </c>
      <c r="C30">
        <v>2013</v>
      </c>
      <c r="D30" s="23">
        <f t="shared" si="1"/>
        <v>3</v>
      </c>
      <c r="E30" cm="1">
        <f t="array" ref="E30">_xlfn.XLOOKUP(TRUE,ISNUMBER(F30:I30),F30:I30)</f>
        <v>467.74236037934662</v>
      </c>
      <c r="H30" s="7">
        <f>_xlfn.XLOOKUP(B30,'rai-values-3bh'!E:E,'rai-values-3bh'!H:H)</f>
        <v>467.74236037934662</v>
      </c>
      <c r="J30">
        <v>103.2</v>
      </c>
      <c r="K30">
        <v>104</v>
      </c>
    </row>
    <row r="31" spans="2:11" x14ac:dyDescent="0.25">
      <c r="B31" s="1">
        <v>41426</v>
      </c>
      <c r="C31">
        <v>2013</v>
      </c>
      <c r="D31" s="23">
        <f t="shared" si="1"/>
        <v>6</v>
      </c>
      <c r="E31" cm="1">
        <f t="array" ref="E31">_xlfn.XLOOKUP(TRUE,ISNUMBER(F31:I31),F31:I31)</f>
        <v>450.41856925418568</v>
      </c>
      <c r="H31" s="7">
        <f>_xlfn.XLOOKUP(B31,'rai-values-3bh'!E:E,'rai-values-3bh'!H:H)</f>
        <v>450.41856925418568</v>
      </c>
      <c r="J31">
        <v>103.9</v>
      </c>
      <c r="K31">
        <v>105</v>
      </c>
    </row>
    <row r="32" spans="2:11" x14ac:dyDescent="0.25">
      <c r="B32" s="1">
        <v>41518</v>
      </c>
      <c r="C32">
        <v>2014</v>
      </c>
      <c r="D32" s="23">
        <f t="shared" si="1"/>
        <v>9</v>
      </c>
      <c r="E32" cm="1">
        <f t="array" ref="E32">_xlfn.XLOOKUP(TRUE,ISNUMBER(F32:I32),F32:I32)</f>
        <v>486.48934550989344</v>
      </c>
      <c r="H32" s="7">
        <f>_xlfn.XLOOKUP(B32,'rai-values-3bh'!E:E,'rai-values-3bh'!H:H)</f>
        <v>486.48934550989344</v>
      </c>
      <c r="J32">
        <v>103.8</v>
      </c>
      <c r="K32">
        <v>105.7</v>
      </c>
    </row>
    <row r="33" spans="1:11" x14ac:dyDescent="0.25">
      <c r="B33" s="1">
        <v>41609</v>
      </c>
      <c r="C33">
        <v>2014</v>
      </c>
      <c r="D33" s="23">
        <f t="shared" si="1"/>
        <v>12</v>
      </c>
      <c r="E33" cm="1">
        <f t="array" ref="E33">_xlfn.XLOOKUP(TRUE,ISNUMBER(F33:I33),F33:I33)</f>
        <v>486.48934550989344</v>
      </c>
      <c r="H33" s="7">
        <f>_xlfn.XLOOKUP(B33,'rai-values-3bh'!E:E,'rai-values-3bh'!H:H)</f>
        <v>486.48934550989344</v>
      </c>
      <c r="J33">
        <v>103.3</v>
      </c>
      <c r="K33">
        <v>106.4</v>
      </c>
    </row>
    <row r="34" spans="1:11" x14ac:dyDescent="0.25">
      <c r="B34" s="1">
        <v>41699</v>
      </c>
      <c r="C34">
        <v>2014</v>
      </c>
      <c r="D34" s="23">
        <f t="shared" si="1"/>
        <v>3</v>
      </c>
      <c r="E34" cm="1">
        <f t="array" ref="E34">_xlfn.XLOOKUP(TRUE,ISNUMBER(F34:I34),F34:I34)</f>
        <v>449.06708816297851</v>
      </c>
      <c r="H34" s="7">
        <f>_xlfn.XLOOKUP(B34,'rai-values-3bh'!E:E,'rai-values-3bh'!H:H)</f>
        <v>449.06708816297851</v>
      </c>
      <c r="J34">
        <v>103.1</v>
      </c>
      <c r="K34">
        <v>107</v>
      </c>
    </row>
    <row r="35" spans="1:11" x14ac:dyDescent="0.25">
      <c r="B35" s="1">
        <v>41791</v>
      </c>
      <c r="C35">
        <v>2014</v>
      </c>
      <c r="D35" s="23">
        <f t="shared" si="1"/>
        <v>6</v>
      </c>
      <c r="E35" cm="1">
        <f t="array" ref="E35">_xlfn.XLOOKUP(TRUE,ISNUMBER(F35:I35),F35:I35)</f>
        <v>427.16137654527228</v>
      </c>
      <c r="H35" s="7">
        <f>_xlfn.XLOOKUP(B35,'rai-values-3bh'!E:E,'rai-values-3bh'!H:H)</f>
        <v>427.16137654527228</v>
      </c>
      <c r="J35">
        <v>103.1</v>
      </c>
      <c r="K35">
        <v>107.5</v>
      </c>
    </row>
    <row r="36" spans="1:11" x14ac:dyDescent="0.25">
      <c r="B36" s="1">
        <v>41883</v>
      </c>
      <c r="C36">
        <v>2015</v>
      </c>
      <c r="D36" s="23">
        <f t="shared" si="1"/>
        <v>9</v>
      </c>
      <c r="E36" cm="1">
        <f t="array" ref="E36">_xlfn.XLOOKUP(TRUE,ISNUMBER(F36:I36),F36:I36)</f>
        <v>450</v>
      </c>
      <c r="G36" s="45">
        <f>_xlfn.XLOOKUP(C36,'Ableson and Joyeux 2023'!A:A,'Ableson and Joyeux 2023'!B:B)</f>
        <v>450</v>
      </c>
      <c r="H36" s="7">
        <f>_xlfn.XLOOKUP(B36,'rai-values-3bh'!E:E,'rai-values-3bh'!H:H)</f>
        <v>437.45205479452051</v>
      </c>
      <c r="J36">
        <v>102.1</v>
      </c>
      <c r="K36">
        <v>108.3</v>
      </c>
    </row>
    <row r="37" spans="1:11" x14ac:dyDescent="0.25">
      <c r="B37" s="1">
        <v>41974</v>
      </c>
      <c r="C37">
        <v>2015</v>
      </c>
      <c r="D37" s="23">
        <f t="shared" si="1"/>
        <v>12</v>
      </c>
      <c r="E37" cm="1">
        <f t="array" ref="E37">_xlfn.XLOOKUP(TRUE,ISNUMBER(F37:I37),F37:I37)</f>
        <v>450</v>
      </c>
      <c r="G37" s="45">
        <f>_xlfn.XLOOKUP(C37,'Ableson and Joyeux 2023'!A:A,'Ableson and Joyeux 2023'!B:B)</f>
        <v>450</v>
      </c>
      <c r="H37" s="7">
        <f>_xlfn.XLOOKUP(B37,'rai-values-3bh'!E:E,'rai-values-3bh'!H:H)</f>
        <v>437.45205479452051</v>
      </c>
      <c r="J37">
        <v>101.4</v>
      </c>
      <c r="K37">
        <v>108.9</v>
      </c>
    </row>
    <row r="38" spans="1:11" x14ac:dyDescent="0.25">
      <c r="B38" s="1">
        <v>42064</v>
      </c>
      <c r="C38">
        <v>2015</v>
      </c>
      <c r="D38" s="23">
        <f t="shared" ref="D38:D69" si="4">MONTH(B38)</f>
        <v>3</v>
      </c>
      <c r="E38" cm="1">
        <f t="array" ref="E38">_xlfn.XLOOKUP(TRUE,ISNUMBER(F38:I38),F38:I38)</f>
        <v>450</v>
      </c>
      <c r="G38" s="45">
        <f>_xlfn.XLOOKUP(C38,'Ableson and Joyeux 2023'!A:A,'Ableson and Joyeux 2023'!B:B)</f>
        <v>450</v>
      </c>
      <c r="H38" s="7">
        <f>_xlfn.XLOOKUP(B38,'rai-values-3bh'!E:E,'rai-values-3bh'!H:H)</f>
        <v>448.38835616438354</v>
      </c>
      <c r="J38">
        <v>100.5</v>
      </c>
      <c r="K38">
        <v>109.2</v>
      </c>
    </row>
    <row r="39" spans="1:11" x14ac:dyDescent="0.25">
      <c r="B39" s="1">
        <v>42156</v>
      </c>
      <c r="C39">
        <v>2015</v>
      </c>
      <c r="D39" s="23">
        <f t="shared" si="4"/>
        <v>6</v>
      </c>
      <c r="E39" cm="1">
        <f t="array" ref="E39">_xlfn.XLOOKUP(TRUE,ISNUMBER(F39:I39),F39:I39)</f>
        <v>450</v>
      </c>
      <c r="G39" s="45">
        <f>_xlfn.XLOOKUP(C39,'Ableson and Joyeux 2023'!A:A,'Ableson and Joyeux 2023'!B:B)</f>
        <v>450</v>
      </c>
      <c r="H39" s="7">
        <f>_xlfn.XLOOKUP(B39,'rai-values-3bh'!E:E,'rai-values-3bh'!H:H)</f>
        <v>430.45282191780819</v>
      </c>
      <c r="J39">
        <v>100.3</v>
      </c>
      <c r="K39">
        <v>109.6</v>
      </c>
    </row>
    <row r="40" spans="1:11" x14ac:dyDescent="0.25">
      <c r="B40" s="1">
        <v>42248</v>
      </c>
      <c r="C40">
        <v>2016</v>
      </c>
      <c r="D40" s="23">
        <f t="shared" si="4"/>
        <v>9</v>
      </c>
      <c r="E40" cm="1">
        <f t="array" ref="E40">_xlfn.XLOOKUP(TRUE,ISNUMBER(F40:I40),F40:I40)</f>
        <v>457</v>
      </c>
      <c r="G40" s="45">
        <f>_xlfn.XLOOKUP(C40,'Ableson and Joyeux 2023'!A:A,'Ableson and Joyeux 2023'!B:B)</f>
        <v>457</v>
      </c>
      <c r="H40" s="7">
        <f>_xlfn.XLOOKUP(B40,'rai-values-3bh'!E:E,'rai-values-3bh'!H:H)</f>
        <v>440.57884931506845</v>
      </c>
      <c r="J40">
        <v>100</v>
      </c>
      <c r="K40">
        <v>109.9</v>
      </c>
    </row>
    <row r="41" spans="1:11" x14ac:dyDescent="0.25">
      <c r="B41" s="1">
        <v>42339</v>
      </c>
      <c r="C41">
        <v>2016</v>
      </c>
      <c r="D41" s="23">
        <f t="shared" si="4"/>
        <v>12</v>
      </c>
      <c r="E41" cm="1">
        <f t="array" ref="E41">_xlfn.XLOOKUP(TRUE,ISNUMBER(F41:I41),F41:I41)</f>
        <v>457</v>
      </c>
      <c r="G41" s="45">
        <f>_xlfn.XLOOKUP(C41,'Ableson and Joyeux 2023'!A:A,'Ableson and Joyeux 2023'!B:B)</f>
        <v>457</v>
      </c>
      <c r="H41" s="7">
        <f>_xlfn.XLOOKUP(B41,'rai-values-3bh'!E:E,'rai-values-3bh'!H:H)</f>
        <v>447.74273304376874</v>
      </c>
      <c r="J41">
        <v>99.9</v>
      </c>
      <c r="K41">
        <v>110.1</v>
      </c>
    </row>
    <row r="42" spans="1:11" x14ac:dyDescent="0.25">
      <c r="B42" s="1">
        <v>42430</v>
      </c>
      <c r="C42">
        <v>2016</v>
      </c>
      <c r="D42" s="23">
        <f t="shared" si="4"/>
        <v>3</v>
      </c>
      <c r="E42" cm="1">
        <f t="array" ref="E42">_xlfn.XLOOKUP(TRUE,ISNUMBER(F42:I42),F42:I42)</f>
        <v>457</v>
      </c>
      <c r="G42" s="45">
        <f>_xlfn.XLOOKUP(C42,'Ableson and Joyeux 2023'!A:A,'Ableson and Joyeux 2023'!B:B)</f>
        <v>457</v>
      </c>
      <c r="H42" s="7">
        <f>_xlfn.XLOOKUP(B42,'rai-values-3bh'!E:E,'rai-values-3bh'!H:H)</f>
        <v>447.74273304376874</v>
      </c>
      <c r="J42">
        <v>99.9</v>
      </c>
      <c r="K42">
        <v>110.2</v>
      </c>
    </row>
    <row r="43" spans="1:11" x14ac:dyDescent="0.25">
      <c r="B43" s="1">
        <v>42522</v>
      </c>
      <c r="C43">
        <v>2016</v>
      </c>
      <c r="D43" s="23">
        <f t="shared" si="4"/>
        <v>6</v>
      </c>
      <c r="E43" cm="1">
        <f t="array" ref="E43">_xlfn.XLOOKUP(TRUE,ISNUMBER(F43:I43),F43:I43)</f>
        <v>457</v>
      </c>
      <c r="G43" s="45">
        <f>_xlfn.XLOOKUP(C43,'Ableson and Joyeux 2023'!A:A,'Ableson and Joyeux 2023'!B:B)</f>
        <v>457</v>
      </c>
      <c r="H43" s="7">
        <f>_xlfn.XLOOKUP(B43,'rai-values-3bh'!E:E,'rai-values-3bh'!H:H)</f>
        <v>447.74273304376874</v>
      </c>
      <c r="J43">
        <v>99.8</v>
      </c>
      <c r="K43">
        <v>110.4</v>
      </c>
    </row>
    <row r="44" spans="1:11" x14ac:dyDescent="0.25">
      <c r="B44" s="1">
        <v>42614</v>
      </c>
      <c r="C44">
        <v>2017</v>
      </c>
      <c r="D44" s="23">
        <f t="shared" si="4"/>
        <v>9</v>
      </c>
      <c r="E44" cm="1">
        <f t="array" ref="E44">_xlfn.XLOOKUP(TRUE,ISNUMBER(F44:I44),F44:I44)</f>
        <v>492</v>
      </c>
      <c r="G44" s="45">
        <f>_xlfn.XLOOKUP(C44,'Ableson and Joyeux 2023'!A:A,'Ableson and Joyeux 2023'!B:B)</f>
        <v>492</v>
      </c>
      <c r="H44" s="7">
        <f>_xlfn.XLOOKUP(B44,'rai-values-3bh'!E:E,'rai-values-3bh'!H:H)</f>
        <v>463.5716672235215</v>
      </c>
      <c r="J44">
        <v>99.9</v>
      </c>
      <c r="K44">
        <v>110.7</v>
      </c>
    </row>
    <row r="45" spans="1:11" x14ac:dyDescent="0.25">
      <c r="B45" s="1">
        <v>42705</v>
      </c>
      <c r="C45">
        <v>2017</v>
      </c>
      <c r="D45" s="23">
        <f t="shared" si="4"/>
        <v>12</v>
      </c>
      <c r="E45" cm="1">
        <f t="array" ref="E45">_xlfn.XLOOKUP(TRUE,ISNUMBER(F45:I45),F45:I45)</f>
        <v>492</v>
      </c>
      <c r="G45" s="45">
        <f>_xlfn.XLOOKUP(C45,'Ableson and Joyeux 2023'!A:A,'Ableson and Joyeux 2023'!B:B)</f>
        <v>492</v>
      </c>
      <c r="H45" s="7">
        <f>_xlfn.XLOOKUP(B45,'rai-values-3bh'!E:E,'rai-values-3bh'!H:H)</f>
        <v>475.16095890410958</v>
      </c>
      <c r="J45">
        <v>100.1</v>
      </c>
      <c r="K45">
        <v>110.8</v>
      </c>
    </row>
    <row r="46" spans="1:11" x14ac:dyDescent="0.25">
      <c r="A46" s="3"/>
      <c r="B46" s="1">
        <v>42795</v>
      </c>
      <c r="C46">
        <v>2017</v>
      </c>
      <c r="D46" s="23">
        <f t="shared" si="4"/>
        <v>3</v>
      </c>
      <c r="E46" cm="1">
        <f t="array" ref="E46">_xlfn.XLOOKUP(TRUE,ISNUMBER(F46:I46),F46:I46)</f>
        <v>492</v>
      </c>
      <c r="G46" s="45">
        <f>_xlfn.XLOOKUP(C46,'Ableson and Joyeux 2023'!A:A,'Ableson and Joyeux 2023'!B:B)</f>
        <v>492</v>
      </c>
      <c r="H46" s="7">
        <f>_xlfn.XLOOKUP(B46,'rai-values-3bh'!E:E,'rai-values-3bh'!H:H)</f>
        <v>467.37143498764874</v>
      </c>
      <c r="J46">
        <v>100.6</v>
      </c>
      <c r="K46">
        <v>110.9</v>
      </c>
    </row>
    <row r="47" spans="1:11" x14ac:dyDescent="0.25">
      <c r="A47" s="3"/>
      <c r="B47" s="1">
        <v>42887</v>
      </c>
      <c r="C47">
        <v>2017</v>
      </c>
      <c r="D47" s="23">
        <f t="shared" si="4"/>
        <v>6</v>
      </c>
      <c r="E47" cm="1">
        <f t="array" ref="E47">_xlfn.XLOOKUP(TRUE,ISNUMBER(F47:I47),F47:I47)</f>
        <v>492</v>
      </c>
      <c r="G47" s="45">
        <f>_xlfn.XLOOKUP(C47,'Ableson and Joyeux 2023'!A:A,'Ableson and Joyeux 2023'!B:B)</f>
        <v>492</v>
      </c>
      <c r="H47" s="7">
        <f>_xlfn.XLOOKUP(B47,'rai-values-3bh'!E:E,'rai-values-3bh'!H:H)</f>
        <v>475.16095890410958</v>
      </c>
      <c r="J47">
        <v>101.3</v>
      </c>
      <c r="K47">
        <v>111.1</v>
      </c>
    </row>
    <row r="48" spans="1:11" x14ac:dyDescent="0.25">
      <c r="A48" s="3"/>
      <c r="B48" s="1">
        <v>42979</v>
      </c>
      <c r="C48">
        <v>2018</v>
      </c>
      <c r="D48" s="23">
        <f t="shared" si="4"/>
        <v>9</v>
      </c>
      <c r="E48" cm="1">
        <f t="array" ref="E48">_xlfn.XLOOKUP(TRUE,ISNUMBER(F48:I48),F48:I48)</f>
        <v>531</v>
      </c>
      <c r="G48" s="45">
        <f>_xlfn.XLOOKUP(C48,'Ableson and Joyeux 2023'!A:A,'Ableson and Joyeux 2023'!B:B)</f>
        <v>531</v>
      </c>
      <c r="H48" s="7">
        <f>_xlfn.XLOOKUP(B48,'rai-values-3bh'!E:E,'rai-values-3bh'!H:H)</f>
        <v>495.51007252215953</v>
      </c>
      <c r="J48">
        <v>101.7</v>
      </c>
      <c r="K48">
        <v>111.3</v>
      </c>
    </row>
    <row r="49" spans="1:11" x14ac:dyDescent="0.25">
      <c r="A49" s="3"/>
      <c r="B49" s="1">
        <v>43070</v>
      </c>
      <c r="C49">
        <v>2018</v>
      </c>
      <c r="D49" s="23">
        <f t="shared" si="4"/>
        <v>12</v>
      </c>
      <c r="E49" cm="1">
        <f t="array" ref="E49">_xlfn.XLOOKUP(TRUE,ISNUMBER(F49:I49),F49:I49)</f>
        <v>531</v>
      </c>
      <c r="G49" s="45">
        <f>_xlfn.XLOOKUP(C49,'Ableson and Joyeux 2023'!A:A,'Ableson and Joyeux 2023'!B:B)</f>
        <v>531</v>
      </c>
      <c r="H49" s="7">
        <f>_xlfn.XLOOKUP(B49,'rai-values-3bh'!E:E,'rai-values-3bh'!H:H)</f>
        <v>503.98033017211094</v>
      </c>
      <c r="J49">
        <v>102.4</v>
      </c>
      <c r="K49">
        <v>111.6</v>
      </c>
    </row>
    <row r="50" spans="1:11" x14ac:dyDescent="0.25">
      <c r="A50" s="3"/>
      <c r="B50" s="1">
        <v>43160</v>
      </c>
      <c r="C50">
        <v>2018</v>
      </c>
      <c r="D50" s="23">
        <f t="shared" si="4"/>
        <v>3</v>
      </c>
      <c r="E50" cm="1">
        <f t="array" ref="E50">_xlfn.XLOOKUP(TRUE,ISNUMBER(F50:I50),F50:I50)</f>
        <v>531</v>
      </c>
      <c r="G50" s="45">
        <f>_xlfn.XLOOKUP(C50,'Ableson and Joyeux 2023'!A:A,'Ableson and Joyeux 2023'!B:B)</f>
        <v>531</v>
      </c>
      <c r="H50" s="7">
        <f>_xlfn.XLOOKUP(B50,'rai-values-3bh'!E:E,'rai-values-3bh'!H:H)</f>
        <v>499.70931042488968</v>
      </c>
      <c r="K50">
        <v>111.8</v>
      </c>
    </row>
    <row r="51" spans="1:11" x14ac:dyDescent="0.25">
      <c r="A51" s="3"/>
      <c r="B51" s="1">
        <v>43252</v>
      </c>
      <c r="C51">
        <v>2018</v>
      </c>
      <c r="D51" s="23">
        <f t="shared" si="4"/>
        <v>6</v>
      </c>
      <c r="E51" cm="1">
        <f t="array" ref="E51">_xlfn.XLOOKUP(TRUE,ISNUMBER(F51:I51),F51:I51)</f>
        <v>531</v>
      </c>
      <c r="G51" s="45">
        <f>_xlfn.XLOOKUP(C51,'Ableson and Joyeux 2023'!A:A,'Ableson and Joyeux 2023'!B:B)</f>
        <v>531</v>
      </c>
      <c r="H51" s="7">
        <f>_xlfn.XLOOKUP(B51,'rai-values-3bh'!E:E,'rai-values-3bh'!H:H)</f>
        <v>499.70931042488968</v>
      </c>
      <c r="K51">
        <v>111.8</v>
      </c>
    </row>
    <row r="52" spans="1:11" x14ac:dyDescent="0.25">
      <c r="A52" s="3"/>
      <c r="B52" s="1">
        <v>43344</v>
      </c>
      <c r="C52">
        <v>2019</v>
      </c>
      <c r="D52" s="23">
        <f t="shared" si="4"/>
        <v>9</v>
      </c>
      <c r="E52" cm="1">
        <f t="array" ref="E52">_xlfn.XLOOKUP(TRUE,ISNUMBER(F52:I52),F52:I52)</f>
        <v>551</v>
      </c>
      <c r="G52" s="45">
        <f>_xlfn.XLOOKUP(C52,'Ableson and Joyeux 2023'!A:A,'Ableson and Joyeux 2023'!B:B)</f>
        <v>551</v>
      </c>
      <c r="H52" s="7">
        <f>_xlfn.XLOOKUP(B52,'rai-values-3bh'!E:E,'rai-values-3bh'!H:H)</f>
        <v>510.92361272347335</v>
      </c>
      <c r="K52">
        <v>112</v>
      </c>
    </row>
    <row r="53" spans="1:11" x14ac:dyDescent="0.25">
      <c r="A53" s="3"/>
      <c r="B53" s="1">
        <v>43435</v>
      </c>
      <c r="C53">
        <v>2019</v>
      </c>
      <c r="D53" s="23">
        <f t="shared" si="4"/>
        <v>12</v>
      </c>
      <c r="E53" cm="1">
        <f t="array" ref="E53">_xlfn.XLOOKUP(TRUE,ISNUMBER(F53:I53),F53:I53)</f>
        <v>551</v>
      </c>
      <c r="G53" s="45">
        <f>_xlfn.XLOOKUP(C53,'Ableson and Joyeux 2023'!A:A,'Ableson and Joyeux 2023'!B:B)</f>
        <v>551</v>
      </c>
      <c r="H53" s="7">
        <f>_xlfn.XLOOKUP(B53,'rai-values-3bh'!E:E,'rai-values-3bh'!H:H)</f>
        <v>528.8507570295601</v>
      </c>
      <c r="K53">
        <v>112.2</v>
      </c>
    </row>
    <row r="54" spans="1:11" x14ac:dyDescent="0.25">
      <c r="A54" s="3"/>
      <c r="B54" s="1">
        <v>43525</v>
      </c>
      <c r="C54">
        <v>2019</v>
      </c>
      <c r="D54" s="23">
        <f t="shared" si="4"/>
        <v>3</v>
      </c>
      <c r="E54" cm="1">
        <f t="array" ref="E54">_xlfn.XLOOKUP(TRUE,ISNUMBER(F54:I54),F54:I54)</f>
        <v>551</v>
      </c>
      <c r="G54" s="45">
        <f>_xlfn.XLOOKUP(C54,'Ableson and Joyeux 2023'!A:A,'Ableson and Joyeux 2023'!B:B)</f>
        <v>551</v>
      </c>
      <c r="H54" s="7">
        <f>_xlfn.XLOOKUP(B54,'rai-values-3bh'!E:E,'rai-values-3bh'!H:H)</f>
        <v>528.8507570295601</v>
      </c>
      <c r="K54">
        <v>112.3</v>
      </c>
    </row>
    <row r="55" spans="1:11" x14ac:dyDescent="0.25">
      <c r="A55" s="3"/>
      <c r="B55" s="1">
        <v>43617</v>
      </c>
      <c r="C55">
        <v>2019</v>
      </c>
      <c r="D55" s="23">
        <f t="shared" si="4"/>
        <v>6</v>
      </c>
      <c r="E55" cm="1">
        <f t="array" ref="E55">_xlfn.XLOOKUP(TRUE,ISNUMBER(F55:I55),F55:I55)</f>
        <v>551</v>
      </c>
      <c r="G55" s="45">
        <f>_xlfn.XLOOKUP(C55,'Ableson and Joyeux 2023'!A:A,'Ableson and Joyeux 2023'!B:B)</f>
        <v>551</v>
      </c>
      <c r="H55" s="7">
        <f>_xlfn.XLOOKUP(B55,'rai-values-3bh'!E:E,'rai-values-3bh'!H:H)</f>
        <v>519.7326405290504</v>
      </c>
      <c r="K55">
        <v>112.3</v>
      </c>
    </row>
    <row r="56" spans="1:11" x14ac:dyDescent="0.25">
      <c r="A56" s="3"/>
      <c r="B56" s="1">
        <v>43709</v>
      </c>
      <c r="C56">
        <v>2020</v>
      </c>
      <c r="D56" s="23">
        <f t="shared" si="4"/>
        <v>9</v>
      </c>
      <c r="E56" cm="1">
        <f t="array" ref="E56">_xlfn.XLOOKUP(TRUE,ISNUMBER(F56:I56),F56:I56)</f>
        <v>569</v>
      </c>
      <c r="G56" s="45">
        <f>_xlfn.XLOOKUP(C56,'Ableson and Joyeux 2023'!A:A,'Ableson and Joyeux 2023'!B:B)</f>
        <v>569</v>
      </c>
      <c r="H56" s="7">
        <f>_xlfn.XLOOKUP(B56,'rai-values-3bh'!E:E,'rai-values-3bh'!H:H)</f>
        <v>531.13533301842222</v>
      </c>
      <c r="K56">
        <v>112.4</v>
      </c>
    </row>
    <row r="57" spans="1:11" x14ac:dyDescent="0.25">
      <c r="A57" s="3"/>
      <c r="B57" s="1">
        <v>43800</v>
      </c>
      <c r="C57">
        <v>2020</v>
      </c>
      <c r="D57" s="23">
        <f t="shared" si="4"/>
        <v>12</v>
      </c>
      <c r="E57" cm="1">
        <f t="array" ref="E57">_xlfn.XLOOKUP(TRUE,ISNUMBER(F57:I57),F57:I57)</f>
        <v>569</v>
      </c>
      <c r="G57" s="45">
        <f>_xlfn.XLOOKUP(C57,'Ableson and Joyeux 2023'!A:A,'Ableson and Joyeux 2023'!B:B)</f>
        <v>569</v>
      </c>
      <c r="H57" s="7">
        <f>_xlfn.XLOOKUP(B57,'rai-values-3bh'!E:E,'rai-values-3bh'!H:H)</f>
        <v>550.10445205479448</v>
      </c>
      <c r="K57">
        <v>112.4</v>
      </c>
    </row>
    <row r="58" spans="1:11" x14ac:dyDescent="0.25">
      <c r="A58" s="3"/>
      <c r="B58" s="1">
        <v>43891</v>
      </c>
      <c r="C58">
        <v>2020</v>
      </c>
      <c r="D58" s="23">
        <f t="shared" si="4"/>
        <v>3</v>
      </c>
      <c r="E58" cm="1">
        <f t="array" ref="E58">_xlfn.XLOOKUP(TRUE,ISNUMBER(F58:I58),F58:I58)</f>
        <v>569</v>
      </c>
      <c r="G58" s="45">
        <f>_xlfn.XLOOKUP(C58,'Ableson and Joyeux 2023'!A:A,'Ableson and Joyeux 2023'!B:B)</f>
        <v>569</v>
      </c>
      <c r="H58" s="7">
        <f>_xlfn.XLOOKUP(B58,'rai-values-3bh'!E:E,'rai-values-3bh'!H:H)</f>
        <v>550.10445205479448</v>
      </c>
      <c r="K58">
        <v>112.5</v>
      </c>
    </row>
    <row r="59" spans="1:11" x14ac:dyDescent="0.25">
      <c r="A59" s="3"/>
      <c r="B59" s="1">
        <v>43983</v>
      </c>
      <c r="C59">
        <v>2020</v>
      </c>
      <c r="D59" s="23">
        <f t="shared" si="4"/>
        <v>6</v>
      </c>
      <c r="E59" cm="1">
        <f t="array" ref="E59">_xlfn.XLOOKUP(TRUE,ISNUMBER(F59:I59),F59:I59)</f>
        <v>569</v>
      </c>
      <c r="G59" s="45">
        <f>_xlfn.XLOOKUP(C59,'Ableson and Joyeux 2023'!A:A,'Ableson and Joyeux 2023'!B:B)</f>
        <v>569</v>
      </c>
      <c r="H59" s="7">
        <f>_xlfn.XLOOKUP(B59,'rai-values-3bh'!E:E,'rai-values-3bh'!H:H)</f>
        <v>550.10445205479448</v>
      </c>
      <c r="K59">
        <v>111</v>
      </c>
    </row>
    <row r="60" spans="1:11" x14ac:dyDescent="0.25">
      <c r="A60" s="3"/>
      <c r="B60" s="1">
        <v>44075</v>
      </c>
      <c r="C60">
        <v>2021</v>
      </c>
      <c r="D60" s="23">
        <f t="shared" si="4"/>
        <v>9</v>
      </c>
      <c r="E60" cm="1">
        <f t="array" ref="E60">_xlfn.XLOOKUP(TRUE,ISNUMBER(F60:I60),F60:I60)</f>
        <v>606</v>
      </c>
      <c r="G60" s="45">
        <f>_xlfn.XLOOKUP(C60,'Ableson and Joyeux 2023'!A:A,'Ableson and Joyeux 2023'!B:B)</f>
        <v>606</v>
      </c>
      <c r="H60" s="7">
        <f>_xlfn.XLOOKUP(B60,'rai-values-3bh'!E:E,'rai-values-3bh'!H:H)</f>
        <v>562.27397260273972</v>
      </c>
      <c r="K60">
        <v>110.8</v>
      </c>
    </row>
    <row r="61" spans="1:11" x14ac:dyDescent="0.25">
      <c r="A61" s="3"/>
      <c r="B61" s="1">
        <v>44166</v>
      </c>
      <c r="C61">
        <v>2021</v>
      </c>
      <c r="D61" s="23">
        <f t="shared" si="4"/>
        <v>12</v>
      </c>
      <c r="E61" cm="1">
        <f t="array" ref="E61">_xlfn.XLOOKUP(TRUE,ISNUMBER(F61:I61),F61:I61)</f>
        <v>606</v>
      </c>
      <c r="G61" s="45">
        <f>_xlfn.XLOOKUP(C61,'Ableson and Joyeux 2023'!A:A,'Ableson and Joyeux 2023'!B:B)</f>
        <v>606</v>
      </c>
      <c r="H61" s="7">
        <f>_xlfn.XLOOKUP(B61,'rai-values-3bh'!E:E,'rai-values-3bh'!H:H)</f>
        <v>572.49713574097132</v>
      </c>
      <c r="K61">
        <v>110.9</v>
      </c>
    </row>
    <row r="62" spans="1:11" x14ac:dyDescent="0.25">
      <c r="A62" s="3"/>
      <c r="B62" s="1">
        <v>44256</v>
      </c>
      <c r="C62">
        <v>2021</v>
      </c>
      <c r="D62" s="23">
        <f t="shared" si="4"/>
        <v>3</v>
      </c>
      <c r="E62" cm="1">
        <f t="array" ref="E62">_xlfn.XLOOKUP(TRUE,ISNUMBER(F62:I62),F62:I62)</f>
        <v>606</v>
      </c>
      <c r="G62" s="45">
        <f>_xlfn.XLOOKUP(C62,'Ableson and Joyeux 2023'!A:A,'Ableson and Joyeux 2023'!B:B)</f>
        <v>606</v>
      </c>
      <c r="H62" s="7">
        <f>_xlfn.XLOOKUP(B62,'rai-values-3bh'!E:E,'rai-values-3bh'!H:H)</f>
        <v>577.74940304134725</v>
      </c>
      <c r="K62">
        <v>110.9</v>
      </c>
    </row>
    <row r="63" spans="1:11" x14ac:dyDescent="0.25">
      <c r="A63" s="3"/>
      <c r="B63" s="1">
        <v>44348</v>
      </c>
      <c r="C63">
        <v>2021</v>
      </c>
      <c r="D63" s="23">
        <f t="shared" si="4"/>
        <v>6</v>
      </c>
      <c r="E63" cm="1">
        <f t="array" ref="E63">_xlfn.XLOOKUP(TRUE,ISNUMBER(F63:I63),F63:I63)</f>
        <v>606</v>
      </c>
      <c r="G63" s="45">
        <f>_xlfn.XLOOKUP(C63,'Ableson and Joyeux 2023'!A:A,'Ableson and Joyeux 2023'!B:B)</f>
        <v>606</v>
      </c>
      <c r="H63" s="7">
        <f>_xlfn.XLOOKUP(B63,'rai-values-3bh'!E:E,'rai-values-3bh'!H:H)</f>
        <v>577.74940304134725</v>
      </c>
      <c r="K63">
        <v>111</v>
      </c>
    </row>
    <row r="64" spans="1:11" x14ac:dyDescent="0.25">
      <c r="A64" s="3"/>
      <c r="B64" s="1">
        <v>44440</v>
      </c>
      <c r="C64">
        <v>2022</v>
      </c>
      <c r="D64" s="23">
        <f t="shared" si="4"/>
        <v>9</v>
      </c>
      <c r="E64" cm="1">
        <f t="array" ref="E64">_xlfn.XLOOKUP(TRUE,ISNUMBER(F64:I64),F64:I64)</f>
        <v>622.55890410958898</v>
      </c>
      <c r="H64" s="7">
        <f>_xlfn.XLOOKUP(B64,'rai-values-3bh'!E:E,'rai-values-3bh'!H:H)</f>
        <v>622.55890410958898</v>
      </c>
      <c r="K64">
        <v>111.2</v>
      </c>
    </row>
    <row r="65" spans="1:11" x14ac:dyDescent="0.25">
      <c r="A65" s="3"/>
      <c r="B65" s="1">
        <v>44531</v>
      </c>
      <c r="C65">
        <v>2022</v>
      </c>
      <c r="D65" s="23">
        <f t="shared" si="4"/>
        <v>12</v>
      </c>
      <c r="E65" cm="1">
        <f t="array" ref="E65">_xlfn.XLOOKUP(TRUE,ISNUMBER(F65:I65),F65:I65)</f>
        <v>640.86946011281202</v>
      </c>
      <c r="H65" s="7">
        <f>_xlfn.XLOOKUP(B65,'rai-values-3bh'!E:E,'rai-values-3bh'!H:H)</f>
        <v>640.86946011281202</v>
      </c>
      <c r="K65">
        <v>111.3</v>
      </c>
    </row>
    <row r="66" spans="1:11" x14ac:dyDescent="0.25">
      <c r="A66" s="3"/>
      <c r="B66" s="1">
        <v>44621</v>
      </c>
      <c r="C66">
        <v>2022</v>
      </c>
      <c r="D66" s="23">
        <f t="shared" si="4"/>
        <v>3</v>
      </c>
      <c r="E66" cm="1">
        <f t="array" ref="E66">_xlfn.XLOOKUP(TRUE,ISNUMBER(F66:I66),F66:I66)</f>
        <v>640.86946011281202</v>
      </c>
      <c r="H66" s="7">
        <f>_xlfn.XLOOKUP(B66,'rai-values-3bh'!E:E,'rai-values-3bh'!H:H)</f>
        <v>640.86946011281202</v>
      </c>
      <c r="K66">
        <v>112.1</v>
      </c>
    </row>
    <row r="67" spans="1:11" x14ac:dyDescent="0.25">
      <c r="A67" s="3"/>
      <c r="B67" s="1">
        <v>44713</v>
      </c>
      <c r="C67">
        <v>2022</v>
      </c>
      <c r="D67" s="23">
        <f t="shared" si="4"/>
        <v>6</v>
      </c>
      <c r="E67" cm="1">
        <f t="array" ref="E67">_xlfn.XLOOKUP(TRUE,ISNUMBER(F67:I67),F67:I67)</f>
        <v>673</v>
      </c>
      <c r="G67" s="45">
        <f>_xlfn.XLOOKUP(B67,'Ableson and Joyeux 2023'!A:A,'Ableson and Joyeux 2023'!B:B)</f>
        <v>673</v>
      </c>
      <c r="H67" s="7">
        <f>_xlfn.XLOOKUP(B67,'rai-values-3bh'!E:E,'rai-values-3bh'!H:H)</f>
        <v>647.21470229214697</v>
      </c>
      <c r="K67">
        <v>112.7</v>
      </c>
    </row>
    <row r="68" spans="1:11" x14ac:dyDescent="0.25">
      <c r="A68" s="3"/>
      <c r="B68" s="1">
        <v>44805</v>
      </c>
      <c r="C68">
        <v>2023</v>
      </c>
      <c r="D68" s="23">
        <f t="shared" si="4"/>
        <v>9</v>
      </c>
      <c r="E68" cm="1">
        <f t="array" ref="E68">_xlfn.XLOOKUP(TRUE,ISNUMBER(F68:I68),F68:I68)</f>
        <v>662.87427098874264</v>
      </c>
      <c r="H68" s="7">
        <f>_xlfn.XLOOKUP(B68,'rai-values-3bh'!E:E,'rai-values-3bh'!H:H)</f>
        <v>662.87427098874264</v>
      </c>
      <c r="K68">
        <v>114.2</v>
      </c>
    </row>
    <row r="69" spans="1:11" x14ac:dyDescent="0.25">
      <c r="A69" s="3"/>
      <c r="B69" s="1">
        <v>44896</v>
      </c>
      <c r="C69">
        <v>2023</v>
      </c>
      <c r="D69" s="23">
        <f t="shared" si="4"/>
        <v>12</v>
      </c>
      <c r="E69" cm="1">
        <f t="array" ref="E69">_xlfn.XLOOKUP(TRUE,ISNUMBER(F69:I69),F69:I69)</f>
        <v>690</v>
      </c>
      <c r="F69">
        <f>_xlfn.XLOOKUP(B69,'domain-values'!A:A,'domain-values'!B:B)</f>
        <v>690</v>
      </c>
      <c r="G69" s="45">
        <f>_xlfn.XLOOKUP(B69,'Ableson and Joyeux 2023'!A:A,'Ableson and Joyeux 2023'!B:B)</f>
        <v>690</v>
      </c>
      <c r="H69" s="7">
        <f>_xlfn.XLOOKUP(B69,'rai-values-3bh'!E:E,'rai-values-3bh'!H:H)</f>
        <v>662.87427098874264</v>
      </c>
      <c r="K69">
        <v>115.8</v>
      </c>
    </row>
    <row r="70" spans="1:11" x14ac:dyDescent="0.25">
      <c r="A70" s="3"/>
      <c r="B70" s="1">
        <v>44986</v>
      </c>
      <c r="C70">
        <v>2023</v>
      </c>
      <c r="D70" s="23">
        <f t="shared" ref="D70:D81" si="5">MONTH(B70)</f>
        <v>3</v>
      </c>
      <c r="E70" cm="1">
        <f t="array" ref="E70">_xlfn.XLOOKUP(TRUE,ISNUMBER(F70:I70),F70:I70)</f>
        <v>690</v>
      </c>
      <c r="F70">
        <f>_xlfn.XLOOKUP(B70,'domain-values'!A:A,'domain-values'!B:B)</f>
        <v>690</v>
      </c>
      <c r="H70" s="7">
        <f>_xlfn.XLOOKUP(B70,'rai-values-3bh'!E:E,'rai-values-3bh'!H:H)</f>
        <v>650.00292592100004</v>
      </c>
      <c r="K70">
        <v>117.7</v>
      </c>
    </row>
    <row r="71" spans="1:11" x14ac:dyDescent="0.25">
      <c r="A71" s="3"/>
      <c r="B71" s="1">
        <v>45078</v>
      </c>
      <c r="C71">
        <v>2023</v>
      </c>
      <c r="D71" s="23">
        <f t="shared" si="5"/>
        <v>6</v>
      </c>
      <c r="E71" cm="1">
        <f t="array" ref="E71">_xlfn.XLOOKUP(TRUE,ISNUMBER(F71:I71),F71:I71)</f>
        <v>675</v>
      </c>
      <c r="F71">
        <f>_xlfn.XLOOKUP(B71,'domain-values'!A:A,'domain-values'!B:B)</f>
        <v>675</v>
      </c>
      <c r="H71" s="7">
        <f>_xlfn.XLOOKUP(B71,'rai-values-3bh'!E:E,'rai-values-3bh'!H:H)</f>
        <v>625.70375112021497</v>
      </c>
      <c r="K71">
        <v>120.3</v>
      </c>
    </row>
    <row r="72" spans="1:11" x14ac:dyDescent="0.25">
      <c r="A72" s="3"/>
      <c r="B72" s="1">
        <v>45170</v>
      </c>
      <c r="C72">
        <v>2024</v>
      </c>
      <c r="D72" s="23">
        <f t="shared" si="5"/>
        <v>9</v>
      </c>
      <c r="E72" cm="1">
        <f t="array" ref="E72">_xlfn.XLOOKUP(TRUE,ISNUMBER(F72:I72),F72:I72)</f>
        <v>660</v>
      </c>
      <c r="F72">
        <f>_xlfn.XLOOKUP(B72,'domain-values'!A:A,'domain-values'!B:B)</f>
        <v>660</v>
      </c>
      <c r="H72" s="7">
        <f>_xlfn.XLOOKUP(B72,'rai-values-3bh'!E:E,'rai-values-3bh'!H:H)</f>
        <v>652.83625656125969</v>
      </c>
      <c r="K72">
        <v>122.9</v>
      </c>
    </row>
    <row r="73" spans="1:11" x14ac:dyDescent="0.25">
      <c r="A73" s="3"/>
      <c r="B73" s="1">
        <v>45261</v>
      </c>
      <c r="C73">
        <v>2024</v>
      </c>
      <c r="D73" s="23">
        <f t="shared" si="5"/>
        <v>12</v>
      </c>
      <c r="E73" cm="1">
        <f t="array" ref="E73">_xlfn.XLOOKUP(TRUE,ISNUMBER(F73:I73),F73:I73)</f>
        <v>680</v>
      </c>
      <c r="F73">
        <f>_xlfn.XLOOKUP(B73,'domain-values'!A:A,'domain-values'!B:B)</f>
        <v>680</v>
      </c>
      <c r="H73" s="7">
        <f>_xlfn.XLOOKUP(B73,'rai-values-3bh'!E:E,'rai-values-3bh'!H:H)</f>
        <v>678.18912089373578</v>
      </c>
      <c r="K73">
        <v>124.2</v>
      </c>
    </row>
    <row r="74" spans="1:11" x14ac:dyDescent="0.25">
      <c r="A74" s="3"/>
      <c r="B74" s="1">
        <v>45352</v>
      </c>
      <c r="C74">
        <v>2024</v>
      </c>
      <c r="D74" s="23">
        <f t="shared" si="5"/>
        <v>3</v>
      </c>
      <c r="E74" cm="1">
        <f t="array" ref="E74">_xlfn.XLOOKUP(TRUE,ISNUMBER(F74:I74),F74:I74)</f>
        <v>685</v>
      </c>
      <c r="F74">
        <f>_xlfn.XLOOKUP(B74,'domain-values'!A:A,'domain-values'!B:B)</f>
        <v>685</v>
      </c>
      <c r="H74" s="7">
        <f>_xlfn.XLOOKUP(B74,'rai-values-3bh'!E:E,'rai-values-3bh'!H:H)</f>
        <v>646.79147640791473</v>
      </c>
      <c r="K74">
        <v>126.9</v>
      </c>
    </row>
    <row r="75" spans="1:11" x14ac:dyDescent="0.25">
      <c r="A75" s="3"/>
      <c r="B75" s="1">
        <v>45444</v>
      </c>
      <c r="C75">
        <v>2024</v>
      </c>
      <c r="D75" s="23">
        <f t="shared" si="5"/>
        <v>6</v>
      </c>
      <c r="E75" cm="1">
        <f t="array" ref="E75">_xlfn.XLOOKUP(TRUE,ISNUMBER(F75:I75),F75:I75)</f>
        <v>690</v>
      </c>
      <c r="F75">
        <f>_xlfn.XLOOKUP(B75,'domain-values'!A:A,'domain-values'!B:B)</f>
        <v>690</v>
      </c>
      <c r="H75" s="7">
        <f>_xlfn.XLOOKUP(B75,'rai-values-3bh'!E:E,'rai-values-3bh'!H:H)</f>
        <v>646.79147640791473</v>
      </c>
      <c r="K75">
        <v>129.1</v>
      </c>
    </row>
    <row r="76" spans="1:11" x14ac:dyDescent="0.25">
      <c r="A76" s="3"/>
      <c r="B76" s="1">
        <v>45536</v>
      </c>
      <c r="C76">
        <v>2025</v>
      </c>
      <c r="D76" s="23">
        <f t="shared" si="5"/>
        <v>9</v>
      </c>
      <c r="E76" cm="1">
        <f t="array" ref="E76">_xlfn.XLOOKUP(TRUE,ISNUMBER(F76:I76),F76:I76)</f>
        <v>680</v>
      </c>
      <c r="F76">
        <f>_xlfn.XLOOKUP(B76,'domain-values'!A:A,'domain-values'!B:B)</f>
        <v>680</v>
      </c>
      <c r="H76" s="7">
        <f>_xlfn.XLOOKUP(B76,'rai-values-3bh'!E:E,'rai-values-3bh'!H:H)</f>
        <v>669.94901065449017</v>
      </c>
      <c r="K76">
        <v>131.19999999999999</v>
      </c>
    </row>
    <row r="77" spans="1:11" x14ac:dyDescent="0.25">
      <c r="A77" s="3"/>
      <c r="B77" s="1">
        <v>45627</v>
      </c>
      <c r="C77">
        <v>2025</v>
      </c>
      <c r="D77" s="23">
        <f t="shared" si="5"/>
        <v>12</v>
      </c>
      <c r="E77" cm="1">
        <f t="array" ref="E77">_xlfn.XLOOKUP(TRUE,ISNUMBER(F77:I77),F77:I77)</f>
        <v>695</v>
      </c>
      <c r="F77">
        <f>_xlfn.XLOOKUP(B77,'domain-values'!A:A,'domain-values'!B:B)</f>
        <v>695</v>
      </c>
      <c r="H77" s="7">
        <f>_xlfn.XLOOKUP(B77,'rai-values-3bh'!E:E,'rai-values-3bh'!H:H)</f>
        <v>689.09041095890404</v>
      </c>
      <c r="K77">
        <v>132.19999999999999</v>
      </c>
    </row>
    <row r="78" spans="1:11" x14ac:dyDescent="0.25">
      <c r="A78" s="3"/>
      <c r="B78" s="1">
        <v>45717</v>
      </c>
      <c r="C78">
        <v>2025</v>
      </c>
      <c r="D78" s="23">
        <f t="shared" si="5"/>
        <v>3</v>
      </c>
      <c r="E78" cm="1">
        <f t="array" ref="E78">_xlfn.XLOOKUP(TRUE,ISNUMBER(F78:I78),F78:I78)</f>
        <v>700</v>
      </c>
      <c r="F78">
        <f>_xlfn.XLOOKUP(B78,'domain-values'!A:A,'domain-values'!B:B)</f>
        <v>700</v>
      </c>
      <c r="H78" s="7">
        <f>_xlfn.XLOOKUP(B78,'rai-values-3bh'!E:E,'rai-values-3bh'!H:H)</f>
        <v>669.94901065449017</v>
      </c>
      <c r="K78">
        <v>133.9</v>
      </c>
    </row>
    <row r="79" spans="1:11" x14ac:dyDescent="0.25">
      <c r="A79" s="3"/>
      <c r="B79" s="1">
        <v>45809</v>
      </c>
      <c r="C79">
        <v>2025</v>
      </c>
      <c r="D79" s="23">
        <f t="shared" si="5"/>
        <v>6</v>
      </c>
      <c r="E79" cm="1">
        <f t="array" ref="E79">_xlfn.XLOOKUP(TRUE,ISNUMBER(F79:I79),F79:I79)</f>
        <v>700</v>
      </c>
      <c r="F79">
        <f>_xlfn.XLOOKUP(B79,'domain-values'!A:A,'domain-values'!B:B)</f>
        <v>700</v>
      </c>
      <c r="H79" s="7">
        <f>_xlfn.XLOOKUP(B79,'rai-values-3bh'!E:E,'rai-values-3bh'!H:H)</f>
        <v>657.76811955168114</v>
      </c>
      <c r="K79">
        <v>134.9</v>
      </c>
    </row>
    <row r="80" spans="1:11" x14ac:dyDescent="0.25">
      <c r="A80" s="3"/>
      <c r="B80" s="1">
        <v>45901</v>
      </c>
      <c r="C80">
        <v>2026</v>
      </c>
      <c r="D80" s="23">
        <f t="shared" si="5"/>
        <v>9</v>
      </c>
      <c r="E80" cm="1">
        <f t="array" ref="E80">_xlfn.XLOOKUP(TRUE,ISNUMBER(F80:I80),F80:I80)</f>
        <v>690</v>
      </c>
      <c r="F80">
        <f>_xlfn.XLOOKUP(B80,'domain-values'!A:A,'domain-values'!B:B)</f>
        <v>690</v>
      </c>
      <c r="H80" s="7"/>
      <c r="K80">
        <v>136.1</v>
      </c>
    </row>
    <row r="81" spans="1:11" x14ac:dyDescent="0.25">
      <c r="A81" s="3"/>
      <c r="B81" s="1">
        <v>45992</v>
      </c>
      <c r="C81">
        <v>2026</v>
      </c>
      <c r="D81" s="23">
        <f t="shared" si="5"/>
        <v>12</v>
      </c>
      <c r="E81" cm="1">
        <f t="array" ref="E81">_xlfn.XLOOKUP(TRUE,ISNUMBER(F81:I81),F81:I81)</f>
        <v>700</v>
      </c>
      <c r="F81">
        <f>_xlfn.XLOOKUP(B81,'domain-values'!A:A,'domain-values'!B:B)</f>
        <v>700</v>
      </c>
      <c r="H81" s="7"/>
      <c r="K81">
        <v>137.5</v>
      </c>
    </row>
    <row r="82" spans="1:11" x14ac:dyDescent="0.25">
      <c r="A82" s="3"/>
      <c r="E82" s="7"/>
    </row>
    <row r="83" spans="1:11" x14ac:dyDescent="0.25">
      <c r="A83" s="3"/>
      <c r="E83" s="7"/>
    </row>
    <row r="84" spans="1:11" x14ac:dyDescent="0.25">
      <c r="A84" s="3"/>
      <c r="E84" s="7"/>
    </row>
    <row r="85" spans="1:11" x14ac:dyDescent="0.25">
      <c r="A85" s="3"/>
      <c r="E85" s="7"/>
    </row>
    <row r="86" spans="1:11" x14ac:dyDescent="0.25">
      <c r="A86" s="3"/>
      <c r="E86" s="7"/>
    </row>
    <row r="87" spans="1:11" x14ac:dyDescent="0.25">
      <c r="A87" s="3"/>
      <c r="E87" s="7"/>
    </row>
    <row r="88" spans="1:11" x14ac:dyDescent="0.25">
      <c r="A88" s="3"/>
      <c r="E88" s="7"/>
    </row>
    <row r="89" spans="1:11" x14ac:dyDescent="0.25">
      <c r="A89" s="3"/>
      <c r="E89" s="7"/>
    </row>
    <row r="90" spans="1:11" x14ac:dyDescent="0.25">
      <c r="A90" s="3"/>
      <c r="E90" s="7"/>
    </row>
    <row r="91" spans="1:11" x14ac:dyDescent="0.25">
      <c r="A91" s="3"/>
      <c r="E91" s="7"/>
    </row>
    <row r="92" spans="1:11" x14ac:dyDescent="0.25">
      <c r="A92" s="3"/>
      <c r="E92" s="7"/>
    </row>
    <row r="93" spans="1:11" x14ac:dyDescent="0.25">
      <c r="A93" s="3"/>
      <c r="E93" s="7"/>
    </row>
    <row r="94" spans="1:11" x14ac:dyDescent="0.25">
      <c r="A94" s="3"/>
      <c r="E94" s="7"/>
    </row>
    <row r="95" spans="1:11" x14ac:dyDescent="0.25">
      <c r="A95" s="3"/>
      <c r="E95" s="7"/>
    </row>
    <row r="96" spans="1:11"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B36" sqref="B36"/>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W11" activePane="bottomRight" state="frozen"/>
      <selection pane="topRight" activeCell="B1" sqref="B1"/>
      <selection pane="bottomLeft" activeCell="A11" sqref="A11"/>
      <selection pane="bottomRight" activeCell="AE1" sqref="AE1"/>
    </sheetView>
  </sheetViews>
  <sheetFormatPr defaultColWidth="14.7109375" defaultRowHeight="11.25" x14ac:dyDescent="0.2"/>
  <cols>
    <col min="1" max="16384" width="14.7109375" style="39"/>
  </cols>
  <sheetData>
    <row r="1" spans="1:61" s="35" customFormat="1" ht="99.95" customHeight="1" x14ac:dyDescent="0.2">
      <c r="B1" s="36" t="s">
        <v>497</v>
      </c>
      <c r="C1" s="36" t="s">
        <v>498</v>
      </c>
      <c r="D1" s="36" t="s">
        <v>499</v>
      </c>
      <c r="E1" s="36" t="s">
        <v>500</v>
      </c>
      <c r="F1" s="36" t="s">
        <v>501</v>
      </c>
      <c r="G1" s="36" t="s">
        <v>502</v>
      </c>
      <c r="H1" s="36" t="s">
        <v>503</v>
      </c>
      <c r="I1" s="36" t="s">
        <v>504</v>
      </c>
      <c r="J1" s="36" t="s">
        <v>505</v>
      </c>
      <c r="K1" s="36" t="s">
        <v>506</v>
      </c>
      <c r="L1" s="36" t="s">
        <v>507</v>
      </c>
      <c r="M1" s="36" t="s">
        <v>508</v>
      </c>
      <c r="N1" s="36" t="s">
        <v>509</v>
      </c>
      <c r="O1" s="36" t="s">
        <v>510</v>
      </c>
      <c r="P1" s="36" t="s">
        <v>511</v>
      </c>
      <c r="Q1" s="36" t="s">
        <v>512</v>
      </c>
      <c r="R1" s="36" t="s">
        <v>513</v>
      </c>
      <c r="S1" s="36" t="s">
        <v>514</v>
      </c>
      <c r="T1" s="36" t="s">
        <v>515</v>
      </c>
      <c r="U1" s="36" t="s">
        <v>516</v>
      </c>
      <c r="V1" s="36" t="s">
        <v>517</v>
      </c>
      <c r="W1" s="36" t="s">
        <v>518</v>
      </c>
      <c r="X1" s="36" t="s">
        <v>519</v>
      </c>
      <c r="Y1" s="36" t="s">
        <v>520</v>
      </c>
      <c r="Z1" s="36" t="s">
        <v>521</v>
      </c>
      <c r="AA1" s="36" t="s">
        <v>522</v>
      </c>
      <c r="AB1" s="36" t="s">
        <v>523</v>
      </c>
      <c r="AC1" s="36" t="s">
        <v>524</v>
      </c>
      <c r="AD1" s="36" t="s">
        <v>525</v>
      </c>
      <c r="AE1" s="36" t="s">
        <v>526</v>
      </c>
      <c r="AF1" s="36" t="s">
        <v>527</v>
      </c>
      <c r="AG1" s="36" t="s">
        <v>528</v>
      </c>
      <c r="AH1" s="36" t="s">
        <v>529</v>
      </c>
      <c r="AI1" s="36" t="s">
        <v>530</v>
      </c>
      <c r="AJ1" s="36" t="s">
        <v>531</v>
      </c>
      <c r="AK1" s="36" t="s">
        <v>532</v>
      </c>
      <c r="AL1" s="36" t="s">
        <v>533</v>
      </c>
      <c r="AM1" s="36" t="s">
        <v>534</v>
      </c>
      <c r="AN1" s="36" t="s">
        <v>535</v>
      </c>
      <c r="AO1" s="36" t="s">
        <v>536</v>
      </c>
      <c r="AP1" s="36" t="s">
        <v>537</v>
      </c>
      <c r="AQ1" s="36" t="s">
        <v>538</v>
      </c>
      <c r="AR1" s="36" t="s">
        <v>539</v>
      </c>
      <c r="AS1" s="36" t="s">
        <v>540</v>
      </c>
      <c r="AT1" s="36" t="s">
        <v>541</v>
      </c>
      <c r="AU1" s="36" t="s">
        <v>542</v>
      </c>
      <c r="AV1" s="36" t="s">
        <v>543</v>
      </c>
      <c r="AW1" s="36" t="s">
        <v>544</v>
      </c>
      <c r="AX1" s="36" t="s">
        <v>545</v>
      </c>
      <c r="AY1" s="36" t="s">
        <v>546</v>
      </c>
      <c r="AZ1" s="36" t="s">
        <v>547</v>
      </c>
      <c r="BA1" s="36" t="s">
        <v>548</v>
      </c>
      <c r="BB1" s="36" t="s">
        <v>549</v>
      </c>
      <c r="BC1" s="36" t="s">
        <v>550</v>
      </c>
      <c r="BD1" s="36" t="s">
        <v>551</v>
      </c>
      <c r="BE1" s="36" t="s">
        <v>552</v>
      </c>
      <c r="BF1" s="36" t="s">
        <v>553</v>
      </c>
      <c r="BG1" s="36" t="s">
        <v>554</v>
      </c>
      <c r="BH1" s="36" t="s">
        <v>555</v>
      </c>
      <c r="BI1" s="36" t="s">
        <v>556</v>
      </c>
    </row>
    <row r="2" spans="1:61" x14ac:dyDescent="0.2">
      <c r="A2" s="37" t="s">
        <v>557</v>
      </c>
      <c r="B2" s="38" t="s">
        <v>558</v>
      </c>
      <c r="C2" s="38" t="s">
        <v>558</v>
      </c>
      <c r="D2" s="38" t="s">
        <v>558</v>
      </c>
      <c r="E2" s="38" t="s">
        <v>558</v>
      </c>
      <c r="F2" s="38" t="s">
        <v>558</v>
      </c>
      <c r="G2" s="38" t="s">
        <v>558</v>
      </c>
      <c r="H2" s="38" t="s">
        <v>558</v>
      </c>
      <c r="I2" s="38" t="s">
        <v>558</v>
      </c>
      <c r="J2" s="38" t="s">
        <v>558</v>
      </c>
      <c r="K2" s="38" t="s">
        <v>558</v>
      </c>
      <c r="L2" s="38" t="s">
        <v>558</v>
      </c>
      <c r="M2" s="38" t="s">
        <v>558</v>
      </c>
      <c r="N2" s="38" t="s">
        <v>558</v>
      </c>
      <c r="O2" s="38" t="s">
        <v>558</v>
      </c>
      <c r="P2" s="38" t="s">
        <v>558</v>
      </c>
      <c r="Q2" s="38" t="s">
        <v>558</v>
      </c>
      <c r="R2" s="38" t="s">
        <v>558</v>
      </c>
      <c r="S2" s="38" t="s">
        <v>558</v>
      </c>
      <c r="T2" s="38" t="s">
        <v>558</v>
      </c>
      <c r="U2" s="38" t="s">
        <v>558</v>
      </c>
      <c r="V2" s="38" t="s">
        <v>558</v>
      </c>
      <c r="W2" s="38" t="s">
        <v>558</v>
      </c>
      <c r="X2" s="38" t="s">
        <v>558</v>
      </c>
      <c r="Y2" s="38" t="s">
        <v>558</v>
      </c>
      <c r="Z2" s="38" t="s">
        <v>558</v>
      </c>
      <c r="AA2" s="38" t="s">
        <v>558</v>
      </c>
      <c r="AB2" s="38" t="s">
        <v>558</v>
      </c>
      <c r="AC2" s="38" t="s">
        <v>558</v>
      </c>
      <c r="AD2" s="38" t="s">
        <v>558</v>
      </c>
      <c r="AE2" s="38" t="s">
        <v>558</v>
      </c>
      <c r="AF2" s="38" t="s">
        <v>559</v>
      </c>
      <c r="AG2" s="38" t="s">
        <v>559</v>
      </c>
      <c r="AH2" s="38" t="s">
        <v>559</v>
      </c>
      <c r="AI2" s="38" t="s">
        <v>559</v>
      </c>
      <c r="AJ2" s="38" t="s">
        <v>559</v>
      </c>
      <c r="AK2" s="38" t="s">
        <v>559</v>
      </c>
      <c r="AL2" s="38" t="s">
        <v>559</v>
      </c>
      <c r="AM2" s="38" t="s">
        <v>559</v>
      </c>
      <c r="AN2" s="38" t="s">
        <v>559</v>
      </c>
      <c r="AO2" s="38" t="s">
        <v>559</v>
      </c>
      <c r="AP2" s="38" t="s">
        <v>559</v>
      </c>
      <c r="AQ2" s="38" t="s">
        <v>559</v>
      </c>
      <c r="AR2" s="38" t="s">
        <v>559</v>
      </c>
      <c r="AS2" s="38" t="s">
        <v>559</v>
      </c>
      <c r="AT2" s="38" t="s">
        <v>559</v>
      </c>
      <c r="AU2" s="38" t="s">
        <v>559</v>
      </c>
      <c r="AV2" s="38" t="s">
        <v>559</v>
      </c>
      <c r="AW2" s="38" t="s">
        <v>559</v>
      </c>
      <c r="AX2" s="38" t="s">
        <v>559</v>
      </c>
      <c r="AY2" s="38" t="s">
        <v>559</v>
      </c>
      <c r="AZ2" s="38" t="s">
        <v>559</v>
      </c>
      <c r="BA2" s="38" t="s">
        <v>559</v>
      </c>
      <c r="BB2" s="38" t="s">
        <v>559</v>
      </c>
      <c r="BC2" s="38" t="s">
        <v>559</v>
      </c>
      <c r="BD2" s="38" t="s">
        <v>559</v>
      </c>
      <c r="BE2" s="38" t="s">
        <v>559</v>
      </c>
      <c r="BF2" s="38" t="s">
        <v>559</v>
      </c>
      <c r="BG2" s="38" t="s">
        <v>559</v>
      </c>
      <c r="BH2" s="38" t="s">
        <v>559</v>
      </c>
      <c r="BI2" s="38" t="s">
        <v>559</v>
      </c>
    </row>
    <row r="3" spans="1:61" x14ac:dyDescent="0.2">
      <c r="A3" s="37" t="s">
        <v>560</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561</v>
      </c>
      <c r="B4" s="38" t="s">
        <v>562</v>
      </c>
      <c r="C4" s="38" t="s">
        <v>562</v>
      </c>
      <c r="D4" s="38" t="s">
        <v>562</v>
      </c>
      <c r="E4" s="38" t="s">
        <v>562</v>
      </c>
      <c r="F4" s="38" t="s">
        <v>562</v>
      </c>
      <c r="G4" s="38" t="s">
        <v>562</v>
      </c>
      <c r="H4" s="38" t="s">
        <v>562</v>
      </c>
      <c r="I4" s="38" t="s">
        <v>562</v>
      </c>
      <c r="J4" s="38" t="s">
        <v>562</v>
      </c>
      <c r="K4" s="38" t="s">
        <v>562</v>
      </c>
      <c r="L4" s="38" t="s">
        <v>562</v>
      </c>
      <c r="M4" s="38" t="s">
        <v>562</v>
      </c>
      <c r="N4" s="38" t="s">
        <v>562</v>
      </c>
      <c r="O4" s="38" t="s">
        <v>562</v>
      </c>
      <c r="P4" s="38" t="s">
        <v>562</v>
      </c>
      <c r="Q4" s="38" t="s">
        <v>562</v>
      </c>
      <c r="R4" s="38" t="s">
        <v>562</v>
      </c>
      <c r="S4" s="38" t="s">
        <v>562</v>
      </c>
      <c r="T4" s="38" t="s">
        <v>562</v>
      </c>
      <c r="U4" s="38" t="s">
        <v>562</v>
      </c>
      <c r="V4" s="38" t="s">
        <v>562</v>
      </c>
      <c r="W4" s="38" t="s">
        <v>562</v>
      </c>
      <c r="X4" s="38" t="s">
        <v>562</v>
      </c>
      <c r="Y4" s="38" t="s">
        <v>562</v>
      </c>
      <c r="Z4" s="38" t="s">
        <v>562</v>
      </c>
      <c r="AA4" s="38" t="s">
        <v>562</v>
      </c>
      <c r="AB4" s="38" t="s">
        <v>562</v>
      </c>
      <c r="AC4" s="38" t="s">
        <v>562</v>
      </c>
      <c r="AD4" s="38" t="s">
        <v>562</v>
      </c>
      <c r="AE4" s="38" t="s">
        <v>562</v>
      </c>
      <c r="AF4" s="38" t="s">
        <v>562</v>
      </c>
      <c r="AG4" s="38" t="s">
        <v>562</v>
      </c>
      <c r="AH4" s="38" t="s">
        <v>562</v>
      </c>
      <c r="AI4" s="38" t="s">
        <v>562</v>
      </c>
      <c r="AJ4" s="38" t="s">
        <v>562</v>
      </c>
      <c r="AK4" s="38" t="s">
        <v>562</v>
      </c>
      <c r="AL4" s="38" t="s">
        <v>562</v>
      </c>
      <c r="AM4" s="38" t="s">
        <v>562</v>
      </c>
      <c r="AN4" s="38" t="s">
        <v>562</v>
      </c>
      <c r="AO4" s="38" t="s">
        <v>562</v>
      </c>
      <c r="AP4" s="38" t="s">
        <v>562</v>
      </c>
      <c r="AQ4" s="38" t="s">
        <v>562</v>
      </c>
      <c r="AR4" s="38" t="s">
        <v>562</v>
      </c>
      <c r="AS4" s="38" t="s">
        <v>562</v>
      </c>
      <c r="AT4" s="38" t="s">
        <v>562</v>
      </c>
      <c r="AU4" s="38" t="s">
        <v>562</v>
      </c>
      <c r="AV4" s="38" t="s">
        <v>562</v>
      </c>
      <c r="AW4" s="38" t="s">
        <v>562</v>
      </c>
      <c r="AX4" s="38" t="s">
        <v>562</v>
      </c>
      <c r="AY4" s="38" t="s">
        <v>562</v>
      </c>
      <c r="AZ4" s="38" t="s">
        <v>562</v>
      </c>
      <c r="BA4" s="38" t="s">
        <v>562</v>
      </c>
      <c r="BB4" s="38" t="s">
        <v>562</v>
      </c>
      <c r="BC4" s="38" t="s">
        <v>562</v>
      </c>
      <c r="BD4" s="38" t="s">
        <v>562</v>
      </c>
      <c r="BE4" s="38" t="s">
        <v>562</v>
      </c>
      <c r="BF4" s="38" t="s">
        <v>562</v>
      </c>
      <c r="BG4" s="38" t="s">
        <v>562</v>
      </c>
      <c r="BH4" s="38" t="s">
        <v>562</v>
      </c>
      <c r="BI4" s="38" t="s">
        <v>562</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563</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564</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565</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566</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567</v>
      </c>
      <c r="C10" s="38" t="s">
        <v>568</v>
      </c>
      <c r="D10" s="38" t="s">
        <v>569</v>
      </c>
      <c r="E10" s="38" t="s">
        <v>570</v>
      </c>
      <c r="F10" s="38" t="s">
        <v>571</v>
      </c>
      <c r="G10" s="38" t="s">
        <v>572</v>
      </c>
      <c r="H10" s="38" t="s">
        <v>573</v>
      </c>
      <c r="I10" s="38" t="s">
        <v>574</v>
      </c>
      <c r="J10" s="38" t="s">
        <v>575</v>
      </c>
      <c r="K10" s="38" t="s">
        <v>576</v>
      </c>
      <c r="L10" s="38" t="s">
        <v>577</v>
      </c>
      <c r="M10" s="38" t="s">
        <v>578</v>
      </c>
      <c r="N10" s="38" t="s">
        <v>579</v>
      </c>
      <c r="O10" s="38" t="s">
        <v>580</v>
      </c>
      <c r="P10" s="38" t="s">
        <v>581</v>
      </c>
      <c r="Q10" s="38" t="s">
        <v>582</v>
      </c>
      <c r="R10" s="38" t="s">
        <v>583</v>
      </c>
      <c r="S10" s="38" t="s">
        <v>584</v>
      </c>
      <c r="T10" s="38" t="s">
        <v>585</v>
      </c>
      <c r="U10" s="38" t="s">
        <v>586</v>
      </c>
      <c r="V10" s="38" t="s">
        <v>587</v>
      </c>
      <c r="W10" s="38" t="s">
        <v>588</v>
      </c>
      <c r="X10" s="38" t="s">
        <v>589</v>
      </c>
      <c r="Y10" s="38" t="s">
        <v>590</v>
      </c>
      <c r="Z10" s="38" t="s">
        <v>591</v>
      </c>
      <c r="AA10" s="38" t="s">
        <v>592</v>
      </c>
      <c r="AB10" s="38" t="s">
        <v>593</v>
      </c>
      <c r="AC10" s="38" t="s">
        <v>594</v>
      </c>
      <c r="AD10" s="38" t="s">
        <v>595</v>
      </c>
      <c r="AE10" s="38" t="s">
        <v>596</v>
      </c>
      <c r="AF10" s="38" t="s">
        <v>597</v>
      </c>
      <c r="AG10" s="38" t="s">
        <v>598</v>
      </c>
      <c r="AH10" s="38" t="s">
        <v>599</v>
      </c>
      <c r="AI10" s="38" t="s">
        <v>600</v>
      </c>
      <c r="AJ10" s="38" t="s">
        <v>601</v>
      </c>
      <c r="AK10" s="38" t="s">
        <v>602</v>
      </c>
      <c r="AL10" s="38" t="s">
        <v>603</v>
      </c>
      <c r="AM10" s="38" t="s">
        <v>604</v>
      </c>
      <c r="AN10" s="38" t="s">
        <v>605</v>
      </c>
      <c r="AO10" s="38" t="s">
        <v>606</v>
      </c>
      <c r="AP10" s="38" t="s">
        <v>607</v>
      </c>
      <c r="AQ10" s="38" t="s">
        <v>608</v>
      </c>
      <c r="AR10" s="38" t="s">
        <v>609</v>
      </c>
      <c r="AS10" s="38" t="s">
        <v>610</v>
      </c>
      <c r="AT10" s="38" t="s">
        <v>611</v>
      </c>
      <c r="AU10" s="38" t="s">
        <v>612</v>
      </c>
      <c r="AV10" s="38" t="s">
        <v>613</v>
      </c>
      <c r="AW10" s="38" t="s">
        <v>614</v>
      </c>
      <c r="AX10" s="38" t="s">
        <v>615</v>
      </c>
      <c r="AY10" s="38" t="s">
        <v>616</v>
      </c>
      <c r="AZ10" s="38" t="s">
        <v>617</v>
      </c>
      <c r="BA10" s="38" t="s">
        <v>618</v>
      </c>
      <c r="BB10" s="38" t="s">
        <v>619</v>
      </c>
      <c r="BC10" s="38" t="s">
        <v>620</v>
      </c>
      <c r="BD10" s="38" t="s">
        <v>621</v>
      </c>
      <c r="BE10" s="38" t="s">
        <v>622</v>
      </c>
      <c r="BF10" s="38" t="s">
        <v>623</v>
      </c>
      <c r="BG10" s="38" t="s">
        <v>624</v>
      </c>
      <c r="BH10" s="38" t="s">
        <v>625</v>
      </c>
      <c r="BI10" s="38" t="s">
        <v>626</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C102"/>
  <sheetViews>
    <sheetView zoomScaleNormal="100" workbookViewId="0">
      <selection activeCell="C2" sqref="C2"/>
    </sheetView>
  </sheetViews>
  <sheetFormatPr defaultRowHeight="15" x14ac:dyDescent="0.25"/>
  <cols>
    <col min="1" max="1" width="24.28515625" bestFit="1" customWidth="1"/>
    <col min="2" max="2" width="20" bestFit="1" customWidth="1"/>
  </cols>
  <sheetData>
    <row r="1" spans="1:3" x14ac:dyDescent="0.25">
      <c r="A1" t="s">
        <v>23</v>
      </c>
      <c r="B1" s="1" t="s">
        <v>1</v>
      </c>
      <c r="C1" t="s">
        <v>658</v>
      </c>
    </row>
    <row r="2" spans="1:3" x14ac:dyDescent="0.25">
      <c r="A2" t="s">
        <v>11</v>
      </c>
      <c r="B2" s="2">
        <v>37316</v>
      </c>
      <c r="C2" cm="1">
        <f t="array" ref="C2:C97">_xlfn.XLOOKUP("Median Price of Established House*Canberra*",'ABS-total-value-dwellings'!1:1,'ABS-total-value-dwellings'!11:106,"na",2)</f>
        <v>245</v>
      </c>
    </row>
    <row r="3" spans="1:3" x14ac:dyDescent="0.25">
      <c r="A3" t="s">
        <v>13</v>
      </c>
      <c r="B3" s="2">
        <v>37408</v>
      </c>
      <c r="C3">
        <v>258</v>
      </c>
    </row>
    <row r="4" spans="1:3" x14ac:dyDescent="0.25">
      <c r="B4" s="2">
        <v>37500</v>
      </c>
      <c r="C4">
        <v>275</v>
      </c>
    </row>
    <row r="5" spans="1:3" x14ac:dyDescent="0.25">
      <c r="B5" s="2">
        <v>37591</v>
      </c>
      <c r="C5">
        <v>291</v>
      </c>
    </row>
    <row r="6" spans="1:3" x14ac:dyDescent="0.25">
      <c r="B6" s="2">
        <v>37681</v>
      </c>
      <c r="C6">
        <v>300</v>
      </c>
    </row>
    <row r="7" spans="1:3" x14ac:dyDescent="0.25">
      <c r="B7" s="2">
        <v>37773</v>
      </c>
      <c r="C7">
        <v>334.5</v>
      </c>
    </row>
    <row r="8" spans="1:3" x14ac:dyDescent="0.25">
      <c r="B8" s="2">
        <v>37865</v>
      </c>
      <c r="C8">
        <v>360</v>
      </c>
    </row>
    <row r="9" spans="1:3" x14ac:dyDescent="0.25">
      <c r="B9" s="2">
        <v>37956</v>
      </c>
      <c r="C9">
        <v>375</v>
      </c>
    </row>
    <row r="10" spans="1:3" x14ac:dyDescent="0.25">
      <c r="B10" s="2">
        <v>38047</v>
      </c>
      <c r="C10">
        <v>375</v>
      </c>
    </row>
    <row r="11" spans="1:3" x14ac:dyDescent="0.25">
      <c r="B11" s="2">
        <v>38139</v>
      </c>
      <c r="C11">
        <v>375</v>
      </c>
    </row>
    <row r="12" spans="1:3" x14ac:dyDescent="0.25">
      <c r="B12" s="2">
        <v>38231</v>
      </c>
      <c r="C12">
        <v>352.5</v>
      </c>
    </row>
    <row r="13" spans="1:3" x14ac:dyDescent="0.25">
      <c r="B13" s="2">
        <v>38322</v>
      </c>
      <c r="C13">
        <v>372</v>
      </c>
    </row>
    <row r="14" spans="1:3" x14ac:dyDescent="0.25">
      <c r="B14" s="2">
        <v>38412</v>
      </c>
      <c r="C14">
        <v>374.7</v>
      </c>
    </row>
    <row r="15" spans="1:3" x14ac:dyDescent="0.25">
      <c r="B15" s="2">
        <v>38504</v>
      </c>
      <c r="C15">
        <v>373.5</v>
      </c>
    </row>
    <row r="16" spans="1:3" x14ac:dyDescent="0.25">
      <c r="B16" s="2">
        <v>38596</v>
      </c>
      <c r="C16">
        <v>365</v>
      </c>
    </row>
    <row r="17" spans="2:3" x14ac:dyDescent="0.25">
      <c r="B17" s="2">
        <v>38687</v>
      </c>
      <c r="C17">
        <v>387</v>
      </c>
    </row>
    <row r="18" spans="2:3" x14ac:dyDescent="0.25">
      <c r="B18" s="2">
        <v>38777</v>
      </c>
      <c r="C18">
        <v>385</v>
      </c>
    </row>
    <row r="19" spans="2:3" x14ac:dyDescent="0.25">
      <c r="B19" s="2">
        <v>38869</v>
      </c>
      <c r="C19">
        <v>399.5</v>
      </c>
    </row>
    <row r="20" spans="2:3" x14ac:dyDescent="0.25">
      <c r="B20" s="2">
        <v>38961</v>
      </c>
      <c r="C20">
        <v>413</v>
      </c>
    </row>
    <row r="21" spans="2:3" x14ac:dyDescent="0.25">
      <c r="B21" s="2">
        <v>39052</v>
      </c>
      <c r="C21">
        <v>420.8</v>
      </c>
    </row>
    <row r="22" spans="2:3" x14ac:dyDescent="0.25">
      <c r="B22" s="2">
        <v>39142</v>
      </c>
      <c r="C22">
        <v>430</v>
      </c>
    </row>
    <row r="23" spans="2:3" x14ac:dyDescent="0.25">
      <c r="B23" s="2">
        <v>39234</v>
      </c>
      <c r="C23">
        <v>445</v>
      </c>
    </row>
    <row r="24" spans="2:3" x14ac:dyDescent="0.25">
      <c r="B24" s="2">
        <v>39326</v>
      </c>
      <c r="C24">
        <v>460</v>
      </c>
    </row>
    <row r="25" spans="2:3" x14ac:dyDescent="0.25">
      <c r="B25" s="2">
        <v>39417</v>
      </c>
      <c r="C25">
        <v>468</v>
      </c>
    </row>
    <row r="26" spans="2:3" x14ac:dyDescent="0.25">
      <c r="B26" s="2">
        <v>39508</v>
      </c>
      <c r="C26">
        <v>470</v>
      </c>
    </row>
    <row r="27" spans="2:3" x14ac:dyDescent="0.25">
      <c r="B27" s="2">
        <v>39600</v>
      </c>
      <c r="C27">
        <v>474</v>
      </c>
    </row>
    <row r="28" spans="2:3" x14ac:dyDescent="0.25">
      <c r="B28" s="2">
        <v>39692</v>
      </c>
      <c r="C28">
        <v>447</v>
      </c>
    </row>
    <row r="29" spans="2:3" x14ac:dyDescent="0.25">
      <c r="B29" s="2">
        <v>39783</v>
      </c>
      <c r="C29">
        <v>450</v>
      </c>
    </row>
    <row r="30" spans="2:3" x14ac:dyDescent="0.25">
      <c r="B30" s="2">
        <v>39873</v>
      </c>
      <c r="C30">
        <v>459.5</v>
      </c>
    </row>
    <row r="31" spans="2:3" x14ac:dyDescent="0.25">
      <c r="B31" s="2">
        <v>39965</v>
      </c>
      <c r="C31">
        <v>455</v>
      </c>
    </row>
    <row r="32" spans="2:3" x14ac:dyDescent="0.25">
      <c r="B32" s="2">
        <v>40057</v>
      </c>
      <c r="C32">
        <v>456</v>
      </c>
    </row>
    <row r="33" spans="2:3" x14ac:dyDescent="0.25">
      <c r="B33" s="2">
        <v>40148</v>
      </c>
      <c r="C33">
        <v>509</v>
      </c>
    </row>
    <row r="34" spans="2:3" x14ac:dyDescent="0.25">
      <c r="B34" s="2">
        <v>40238</v>
      </c>
      <c r="C34">
        <v>530</v>
      </c>
    </row>
    <row r="35" spans="2:3" x14ac:dyDescent="0.25">
      <c r="B35" s="2">
        <v>40330</v>
      </c>
      <c r="C35">
        <v>516.20000000000005</v>
      </c>
    </row>
    <row r="36" spans="2:3" x14ac:dyDescent="0.25">
      <c r="B36" s="2">
        <v>40422</v>
      </c>
      <c r="C36">
        <v>530</v>
      </c>
    </row>
    <row r="37" spans="2:3" x14ac:dyDescent="0.25">
      <c r="B37" s="2">
        <v>40513</v>
      </c>
      <c r="C37">
        <v>534.5</v>
      </c>
    </row>
    <row r="38" spans="2:3" x14ac:dyDescent="0.25">
      <c r="B38" s="2">
        <v>40603</v>
      </c>
      <c r="C38">
        <v>530</v>
      </c>
    </row>
    <row r="39" spans="2:3" x14ac:dyDescent="0.25">
      <c r="B39" s="2">
        <v>40695</v>
      </c>
      <c r="C39">
        <v>533</v>
      </c>
    </row>
    <row r="40" spans="2:3" x14ac:dyDescent="0.25">
      <c r="B40" s="2">
        <v>40787</v>
      </c>
      <c r="C40">
        <v>490</v>
      </c>
    </row>
    <row r="41" spans="2:3" x14ac:dyDescent="0.25">
      <c r="B41" s="2">
        <v>40878</v>
      </c>
      <c r="C41">
        <v>500</v>
      </c>
    </row>
    <row r="42" spans="2:3" x14ac:dyDescent="0.25">
      <c r="B42" s="2">
        <v>40969</v>
      </c>
      <c r="C42">
        <v>512.5</v>
      </c>
    </row>
    <row r="43" spans="2:3" x14ac:dyDescent="0.25">
      <c r="B43" s="2">
        <v>41061</v>
      </c>
      <c r="C43">
        <v>482.5</v>
      </c>
    </row>
    <row r="44" spans="2:3" x14ac:dyDescent="0.25">
      <c r="B44" s="2">
        <v>41153</v>
      </c>
      <c r="C44">
        <v>490</v>
      </c>
    </row>
    <row r="45" spans="2:3" x14ac:dyDescent="0.25">
      <c r="B45" s="2">
        <v>41244</v>
      </c>
      <c r="C45">
        <v>519</v>
      </c>
    </row>
    <row r="46" spans="2:3" x14ac:dyDescent="0.25">
      <c r="B46" s="2">
        <v>41334</v>
      </c>
      <c r="C46">
        <v>505</v>
      </c>
    </row>
    <row r="47" spans="2:3" x14ac:dyDescent="0.25">
      <c r="B47" s="2">
        <v>41426</v>
      </c>
      <c r="C47">
        <v>510</v>
      </c>
    </row>
    <row r="48" spans="2:3" x14ac:dyDescent="0.25">
      <c r="B48" s="2">
        <v>41518</v>
      </c>
      <c r="C48">
        <v>505</v>
      </c>
    </row>
    <row r="49" spans="2:3" x14ac:dyDescent="0.25">
      <c r="B49" s="2">
        <v>41609</v>
      </c>
      <c r="C49">
        <v>503.3</v>
      </c>
    </row>
    <row r="50" spans="2:3" x14ac:dyDescent="0.25">
      <c r="B50" s="2">
        <v>41699</v>
      </c>
      <c r="C50">
        <v>553.70000000000005</v>
      </c>
    </row>
    <row r="51" spans="2:3" x14ac:dyDescent="0.25">
      <c r="B51" s="2">
        <v>41791</v>
      </c>
      <c r="C51">
        <v>550</v>
      </c>
    </row>
    <row r="52" spans="2:3" x14ac:dyDescent="0.25">
      <c r="B52" s="2">
        <v>41883</v>
      </c>
      <c r="C52">
        <v>554</v>
      </c>
    </row>
    <row r="53" spans="2:3" x14ac:dyDescent="0.25">
      <c r="B53" s="2">
        <v>41974</v>
      </c>
      <c r="C53">
        <v>570</v>
      </c>
    </row>
    <row r="54" spans="2:3" x14ac:dyDescent="0.25">
      <c r="B54" s="2">
        <v>42064</v>
      </c>
      <c r="C54">
        <v>585</v>
      </c>
    </row>
    <row r="55" spans="2:3" x14ac:dyDescent="0.25">
      <c r="B55" s="2">
        <v>42156</v>
      </c>
      <c r="C55">
        <v>580</v>
      </c>
    </row>
    <row r="56" spans="2:3" x14ac:dyDescent="0.25">
      <c r="B56" s="2">
        <v>42248</v>
      </c>
      <c r="C56">
        <v>587.5</v>
      </c>
    </row>
    <row r="57" spans="2:3" x14ac:dyDescent="0.25">
      <c r="B57" s="2">
        <v>42339</v>
      </c>
      <c r="C57">
        <v>615</v>
      </c>
    </row>
    <row r="58" spans="2:3" x14ac:dyDescent="0.25">
      <c r="B58" s="2">
        <v>42430</v>
      </c>
      <c r="C58">
        <v>590</v>
      </c>
    </row>
    <row r="59" spans="2:3" x14ac:dyDescent="0.25">
      <c r="B59" s="2">
        <v>42522</v>
      </c>
      <c r="C59">
        <v>623</v>
      </c>
    </row>
    <row r="60" spans="2:3" x14ac:dyDescent="0.25">
      <c r="B60" s="2">
        <v>42614</v>
      </c>
      <c r="C60">
        <v>615.79999999999995</v>
      </c>
    </row>
    <row r="61" spans="2:3" x14ac:dyDescent="0.25">
      <c r="B61" s="2">
        <v>42705</v>
      </c>
      <c r="C61">
        <v>636</v>
      </c>
    </row>
    <row r="62" spans="2:3" x14ac:dyDescent="0.25">
      <c r="B62" s="2">
        <v>42795</v>
      </c>
      <c r="C62">
        <v>654.5</v>
      </c>
    </row>
    <row r="63" spans="2:3" x14ac:dyDescent="0.25">
      <c r="B63" s="2">
        <v>42887</v>
      </c>
      <c r="C63">
        <v>670</v>
      </c>
    </row>
    <row r="64" spans="2:3" x14ac:dyDescent="0.25">
      <c r="B64" s="2">
        <v>42979</v>
      </c>
      <c r="C64">
        <v>667.5</v>
      </c>
    </row>
    <row r="65" spans="2:3" x14ac:dyDescent="0.25">
      <c r="B65" s="2">
        <v>43070</v>
      </c>
      <c r="C65">
        <v>690</v>
      </c>
    </row>
    <row r="66" spans="2:3" x14ac:dyDescent="0.25">
      <c r="B66" s="2">
        <v>43160</v>
      </c>
      <c r="C66">
        <v>698.5</v>
      </c>
    </row>
    <row r="67" spans="2:3" x14ac:dyDescent="0.25">
      <c r="B67" s="2">
        <v>43252</v>
      </c>
      <c r="C67">
        <v>690</v>
      </c>
    </row>
    <row r="68" spans="2:3" x14ac:dyDescent="0.25">
      <c r="B68" s="2">
        <v>43344</v>
      </c>
      <c r="C68">
        <v>700</v>
      </c>
    </row>
    <row r="69" spans="2:3" x14ac:dyDescent="0.25">
      <c r="B69" s="2">
        <v>43435</v>
      </c>
      <c r="C69">
        <v>720</v>
      </c>
    </row>
    <row r="70" spans="2:3" x14ac:dyDescent="0.25">
      <c r="B70" s="2">
        <v>43525</v>
      </c>
      <c r="C70">
        <v>690</v>
      </c>
    </row>
    <row r="71" spans="2:3" x14ac:dyDescent="0.25">
      <c r="B71" s="2">
        <v>43617</v>
      </c>
      <c r="C71">
        <v>715</v>
      </c>
    </row>
    <row r="72" spans="2:3" x14ac:dyDescent="0.25">
      <c r="B72" s="2">
        <v>43709</v>
      </c>
      <c r="C72">
        <v>676</v>
      </c>
    </row>
    <row r="73" spans="2:3" x14ac:dyDescent="0.25">
      <c r="B73" s="2">
        <v>43800</v>
      </c>
      <c r="C73">
        <v>745</v>
      </c>
    </row>
    <row r="74" spans="2:3" x14ac:dyDescent="0.25">
      <c r="B74" s="2">
        <v>43891</v>
      </c>
      <c r="C74">
        <v>720.5</v>
      </c>
    </row>
    <row r="75" spans="2:3" x14ac:dyDescent="0.25">
      <c r="B75" s="2">
        <v>43983</v>
      </c>
      <c r="C75">
        <v>720</v>
      </c>
    </row>
    <row r="76" spans="2:3" x14ac:dyDescent="0.25">
      <c r="B76" s="2">
        <v>44075</v>
      </c>
      <c r="C76">
        <v>755</v>
      </c>
    </row>
    <row r="77" spans="2:3" x14ac:dyDescent="0.25">
      <c r="B77" s="2">
        <v>44166</v>
      </c>
      <c r="C77">
        <v>785</v>
      </c>
    </row>
    <row r="78" spans="2:3" x14ac:dyDescent="0.25">
      <c r="B78" s="2">
        <v>44256</v>
      </c>
      <c r="C78">
        <v>835</v>
      </c>
    </row>
    <row r="79" spans="2:3" x14ac:dyDescent="0.25">
      <c r="B79" s="2">
        <v>44348</v>
      </c>
      <c r="C79">
        <v>905</v>
      </c>
    </row>
    <row r="80" spans="2:3" x14ac:dyDescent="0.25">
      <c r="B80" s="2">
        <v>44440</v>
      </c>
      <c r="C80">
        <v>940</v>
      </c>
    </row>
    <row r="81" spans="2:3" x14ac:dyDescent="0.25">
      <c r="B81" s="2">
        <v>44531</v>
      </c>
      <c r="C81">
        <v>1040</v>
      </c>
    </row>
    <row r="82" spans="2:3" x14ac:dyDescent="0.25">
      <c r="B82" s="2">
        <v>44621</v>
      </c>
      <c r="C82">
        <v>1080</v>
      </c>
    </row>
    <row r="83" spans="2:3" x14ac:dyDescent="0.25">
      <c r="B83" s="2">
        <v>44713</v>
      </c>
      <c r="C83">
        <v>1059</v>
      </c>
    </row>
    <row r="84" spans="2:3" x14ac:dyDescent="0.25">
      <c r="B84" s="2">
        <v>44805</v>
      </c>
      <c r="C84">
        <v>1000</v>
      </c>
    </row>
    <row r="85" spans="2:3" x14ac:dyDescent="0.25">
      <c r="B85" s="2">
        <v>44896</v>
      </c>
      <c r="C85">
        <v>1000</v>
      </c>
    </row>
    <row r="86" spans="2:3" x14ac:dyDescent="0.25">
      <c r="B86" s="2">
        <v>44986</v>
      </c>
      <c r="C86">
        <v>984</v>
      </c>
    </row>
    <row r="87" spans="2:3" x14ac:dyDescent="0.25">
      <c r="B87" s="2">
        <v>45078</v>
      </c>
      <c r="C87">
        <v>983</v>
      </c>
    </row>
    <row r="88" spans="2:3" x14ac:dyDescent="0.25">
      <c r="B88" s="2">
        <v>45170</v>
      </c>
      <c r="C88">
        <v>985</v>
      </c>
    </row>
    <row r="89" spans="2:3" x14ac:dyDescent="0.25">
      <c r="B89" s="2">
        <v>45261</v>
      </c>
      <c r="C89">
        <v>1000</v>
      </c>
    </row>
    <row r="90" spans="2:3" x14ac:dyDescent="0.25">
      <c r="B90" s="2">
        <v>45352</v>
      </c>
      <c r="C90">
        <v>985</v>
      </c>
    </row>
    <row r="91" spans="2:3" x14ac:dyDescent="0.25">
      <c r="B91" s="2">
        <v>45444</v>
      </c>
      <c r="C91">
        <v>990</v>
      </c>
    </row>
    <row r="92" spans="2:3" x14ac:dyDescent="0.25">
      <c r="B92" s="2">
        <v>45536</v>
      </c>
      <c r="C92">
        <v>1000</v>
      </c>
    </row>
    <row r="93" spans="2:3" x14ac:dyDescent="0.25">
      <c r="B93" s="2">
        <v>45627</v>
      </c>
      <c r="C93">
        <v>1000</v>
      </c>
    </row>
    <row r="94" spans="2:3" x14ac:dyDescent="0.25">
      <c r="B94" s="2">
        <v>45717</v>
      </c>
      <c r="C94">
        <v>975</v>
      </c>
    </row>
    <row r="95" spans="2:3" x14ac:dyDescent="0.25">
      <c r="B95" s="2">
        <v>45809</v>
      </c>
      <c r="C95">
        <v>1000</v>
      </c>
    </row>
    <row r="96" spans="2:3" x14ac:dyDescent="0.25">
      <c r="B96" s="2">
        <v>45901</v>
      </c>
      <c r="C96">
        <v>1027</v>
      </c>
    </row>
    <row r="97" spans="2:3" x14ac:dyDescent="0.25">
      <c r="B97" s="2">
        <v>45992</v>
      </c>
      <c r="C97">
        <v>1042.5</v>
      </c>
    </row>
    <row r="98" spans="2:3" x14ac:dyDescent="0.25">
      <c r="B98" s="2"/>
    </row>
    <row r="99" spans="2:3" x14ac:dyDescent="0.25">
      <c r="B99" s="2"/>
    </row>
    <row r="100" spans="2:3" x14ac:dyDescent="0.25">
      <c r="B100" s="2"/>
    </row>
    <row r="101" spans="2:3" x14ac:dyDescent="0.25">
      <c r="B101" s="2"/>
    </row>
    <row r="102" spans="2:3" x14ac:dyDescent="0.25">
      <c r="B102" s="2"/>
    </row>
  </sheetData>
  <autoFilter ref="B1:C102" xr:uid="{01F0EFC7-7237-4430-B607-A7F5094CDFD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C97"/>
  <sheetViews>
    <sheetView zoomScaleNormal="100" workbookViewId="0">
      <selection activeCell="C3" sqref="C3"/>
    </sheetView>
  </sheetViews>
  <sheetFormatPr defaultRowHeight="15" x14ac:dyDescent="0.25"/>
  <cols>
    <col min="1" max="1" width="24.28515625" bestFit="1" customWidth="1"/>
    <col min="2" max="2" width="20" bestFit="1" customWidth="1"/>
  </cols>
  <sheetData>
    <row r="1" spans="1:3" x14ac:dyDescent="0.25">
      <c r="A1" t="s">
        <v>23</v>
      </c>
      <c r="B1" s="1" t="s">
        <v>1</v>
      </c>
      <c r="C1" t="s">
        <v>658</v>
      </c>
    </row>
    <row r="2" spans="1:3" x14ac:dyDescent="0.25">
      <c r="A2" t="s">
        <v>12</v>
      </c>
      <c r="B2" s="2">
        <v>37316</v>
      </c>
      <c r="C2" cm="1">
        <f t="array" ref="C2:C97">_xlfn.XLOOKUP("Median Price of Attached Dwelling*Canberra*",'ABS-total-value-dwellings'!1:1,'ABS-total-value-dwellings'!11:106,"na",2)</f>
        <v>0</v>
      </c>
    </row>
    <row r="3" spans="1:3" x14ac:dyDescent="0.25">
      <c r="A3" t="s">
        <v>13</v>
      </c>
      <c r="B3" s="2">
        <v>37408</v>
      </c>
      <c r="C3">
        <v>0</v>
      </c>
    </row>
    <row r="4" spans="1:3" x14ac:dyDescent="0.25">
      <c r="B4" s="2">
        <v>37500</v>
      </c>
      <c r="C4">
        <v>0</v>
      </c>
    </row>
    <row r="5" spans="1:3" x14ac:dyDescent="0.25">
      <c r="B5" s="2">
        <v>37591</v>
      </c>
      <c r="C5">
        <v>0</v>
      </c>
    </row>
    <row r="6" spans="1:3" x14ac:dyDescent="0.25">
      <c r="B6" s="2">
        <v>37681</v>
      </c>
      <c r="C6">
        <v>0</v>
      </c>
    </row>
    <row r="7" spans="1:3" x14ac:dyDescent="0.25">
      <c r="B7" s="2">
        <v>37773</v>
      </c>
      <c r="C7">
        <v>0</v>
      </c>
    </row>
    <row r="8" spans="1:3" x14ac:dyDescent="0.25">
      <c r="B8" s="2">
        <v>37865</v>
      </c>
      <c r="C8">
        <v>290</v>
      </c>
    </row>
    <row r="9" spans="1:3" x14ac:dyDescent="0.25">
      <c r="B9" s="2">
        <v>37956</v>
      </c>
      <c r="C9">
        <v>300</v>
      </c>
    </row>
    <row r="10" spans="1:3" x14ac:dyDescent="0.25">
      <c r="B10" s="2">
        <v>38047</v>
      </c>
      <c r="C10">
        <v>295</v>
      </c>
    </row>
    <row r="11" spans="1:3" x14ac:dyDescent="0.25">
      <c r="B11" s="2">
        <v>38139</v>
      </c>
      <c r="C11">
        <v>300</v>
      </c>
    </row>
    <row r="12" spans="1:3" x14ac:dyDescent="0.25">
      <c r="B12" s="2">
        <v>38231</v>
      </c>
      <c r="C12">
        <v>280</v>
      </c>
    </row>
    <row r="13" spans="1:3" x14ac:dyDescent="0.25">
      <c r="B13" s="2">
        <v>38322</v>
      </c>
      <c r="C13">
        <v>289</v>
      </c>
    </row>
    <row r="14" spans="1:3" x14ac:dyDescent="0.25">
      <c r="B14" s="2">
        <v>38412</v>
      </c>
      <c r="C14">
        <v>304.5</v>
      </c>
    </row>
    <row r="15" spans="1:3" x14ac:dyDescent="0.25">
      <c r="B15" s="2">
        <v>38504</v>
      </c>
      <c r="C15">
        <v>307.8</v>
      </c>
    </row>
    <row r="16" spans="1:3" x14ac:dyDescent="0.25">
      <c r="B16" s="2">
        <v>38596</v>
      </c>
      <c r="C16">
        <v>305</v>
      </c>
    </row>
    <row r="17" spans="2:3" x14ac:dyDescent="0.25">
      <c r="B17" s="2">
        <v>38687</v>
      </c>
      <c r="C17">
        <v>308</v>
      </c>
    </row>
    <row r="18" spans="2:3" x14ac:dyDescent="0.25">
      <c r="B18" s="2">
        <v>38777</v>
      </c>
      <c r="C18">
        <v>310</v>
      </c>
    </row>
    <row r="19" spans="2:3" x14ac:dyDescent="0.25">
      <c r="B19" s="2">
        <v>38869</v>
      </c>
      <c r="C19">
        <v>325</v>
      </c>
    </row>
    <row r="20" spans="2:3" x14ac:dyDescent="0.25">
      <c r="B20" s="2">
        <v>38961</v>
      </c>
      <c r="C20">
        <v>312</v>
      </c>
    </row>
    <row r="21" spans="2:3" x14ac:dyDescent="0.25">
      <c r="B21" s="2">
        <v>39052</v>
      </c>
      <c r="C21">
        <v>317.5</v>
      </c>
    </row>
    <row r="22" spans="2:3" x14ac:dyDescent="0.25">
      <c r="B22" s="2">
        <v>39142</v>
      </c>
      <c r="C22">
        <v>325</v>
      </c>
    </row>
    <row r="23" spans="2:3" x14ac:dyDescent="0.25">
      <c r="B23" s="2">
        <v>39234</v>
      </c>
      <c r="C23">
        <v>355</v>
      </c>
    </row>
    <row r="24" spans="2:3" x14ac:dyDescent="0.25">
      <c r="B24" s="2">
        <v>39326</v>
      </c>
      <c r="C24">
        <v>365</v>
      </c>
    </row>
    <row r="25" spans="2:3" x14ac:dyDescent="0.25">
      <c r="B25" s="2">
        <v>39417</v>
      </c>
      <c r="C25">
        <v>365</v>
      </c>
    </row>
    <row r="26" spans="2:3" x14ac:dyDescent="0.25">
      <c r="B26" s="2">
        <v>39508</v>
      </c>
      <c r="C26">
        <v>370</v>
      </c>
    </row>
    <row r="27" spans="2:3" x14ac:dyDescent="0.25">
      <c r="B27" s="2">
        <v>39600</v>
      </c>
      <c r="C27">
        <v>352</v>
      </c>
    </row>
    <row r="28" spans="2:3" x14ac:dyDescent="0.25">
      <c r="B28" s="2">
        <v>39692</v>
      </c>
      <c r="C28">
        <v>365</v>
      </c>
    </row>
    <row r="29" spans="2:3" x14ac:dyDescent="0.25">
      <c r="B29" s="2">
        <v>39783</v>
      </c>
      <c r="C29">
        <v>360.5</v>
      </c>
    </row>
    <row r="30" spans="2:3" x14ac:dyDescent="0.25">
      <c r="B30" s="2">
        <v>39873</v>
      </c>
      <c r="C30">
        <v>372.5</v>
      </c>
    </row>
    <row r="31" spans="2:3" x14ac:dyDescent="0.25">
      <c r="B31" s="2">
        <v>39965</v>
      </c>
      <c r="C31">
        <v>375</v>
      </c>
    </row>
    <row r="32" spans="2:3" x14ac:dyDescent="0.25">
      <c r="B32" s="2">
        <v>40057</v>
      </c>
      <c r="C32">
        <v>378</v>
      </c>
    </row>
    <row r="33" spans="2:3" x14ac:dyDescent="0.25">
      <c r="B33" s="2">
        <v>40148</v>
      </c>
      <c r="C33">
        <v>402.5</v>
      </c>
    </row>
    <row r="34" spans="2:3" x14ac:dyDescent="0.25">
      <c r="B34" s="2">
        <v>40238</v>
      </c>
      <c r="C34">
        <v>410</v>
      </c>
    </row>
    <row r="35" spans="2:3" x14ac:dyDescent="0.25">
      <c r="B35" s="2">
        <v>40330</v>
      </c>
      <c r="C35">
        <v>413.5</v>
      </c>
    </row>
    <row r="36" spans="2:3" x14ac:dyDescent="0.25">
      <c r="B36" s="2">
        <v>40422</v>
      </c>
      <c r="C36">
        <v>425</v>
      </c>
    </row>
    <row r="37" spans="2:3" x14ac:dyDescent="0.25">
      <c r="B37" s="2">
        <v>40513</v>
      </c>
      <c r="C37">
        <v>424.9</v>
      </c>
    </row>
    <row r="38" spans="2:3" x14ac:dyDescent="0.25">
      <c r="B38" s="2">
        <v>40603</v>
      </c>
      <c r="C38">
        <v>415</v>
      </c>
    </row>
    <row r="39" spans="2:3" x14ac:dyDescent="0.25">
      <c r="B39" s="2">
        <v>40695</v>
      </c>
      <c r="C39">
        <v>415</v>
      </c>
    </row>
    <row r="40" spans="2:3" x14ac:dyDescent="0.25">
      <c r="B40" s="2">
        <v>40787</v>
      </c>
      <c r="C40">
        <v>425</v>
      </c>
    </row>
    <row r="41" spans="2:3" x14ac:dyDescent="0.25">
      <c r="B41" s="2">
        <v>40878</v>
      </c>
      <c r="C41">
        <v>415</v>
      </c>
    </row>
    <row r="42" spans="2:3" x14ac:dyDescent="0.25">
      <c r="B42" s="2">
        <v>40969</v>
      </c>
      <c r="C42">
        <v>415</v>
      </c>
    </row>
    <row r="43" spans="2:3" x14ac:dyDescent="0.25">
      <c r="B43" s="2">
        <v>41061</v>
      </c>
      <c r="C43">
        <v>416.8</v>
      </c>
    </row>
    <row r="44" spans="2:3" x14ac:dyDescent="0.25">
      <c r="B44" s="2">
        <v>41153</v>
      </c>
      <c r="C44">
        <v>411</v>
      </c>
    </row>
    <row r="45" spans="2:3" x14ac:dyDescent="0.25">
      <c r="B45" s="2">
        <v>41244</v>
      </c>
      <c r="C45">
        <v>415.5</v>
      </c>
    </row>
    <row r="46" spans="2:3" x14ac:dyDescent="0.25">
      <c r="B46" s="2">
        <v>41334</v>
      </c>
      <c r="C46">
        <v>410</v>
      </c>
    </row>
    <row r="47" spans="2:3" x14ac:dyDescent="0.25">
      <c r="B47" s="2">
        <v>41426</v>
      </c>
      <c r="C47">
        <v>412.5</v>
      </c>
    </row>
    <row r="48" spans="2:3" x14ac:dyDescent="0.25">
      <c r="B48" s="2">
        <v>41518</v>
      </c>
      <c r="C48">
        <v>415</v>
      </c>
    </row>
    <row r="49" spans="2:3" x14ac:dyDescent="0.25">
      <c r="B49" s="2">
        <v>41609</v>
      </c>
      <c r="C49">
        <v>420.5</v>
      </c>
    </row>
    <row r="50" spans="2:3" x14ac:dyDescent="0.25">
      <c r="B50" s="2">
        <v>41699</v>
      </c>
      <c r="C50">
        <v>410</v>
      </c>
    </row>
    <row r="51" spans="2:3" x14ac:dyDescent="0.25">
      <c r="B51" s="2">
        <v>41791</v>
      </c>
      <c r="C51">
        <v>410</v>
      </c>
    </row>
    <row r="52" spans="2:3" x14ac:dyDescent="0.25">
      <c r="B52" s="2">
        <v>41883</v>
      </c>
      <c r="C52">
        <v>410</v>
      </c>
    </row>
    <row r="53" spans="2:3" x14ac:dyDescent="0.25">
      <c r="B53" s="2">
        <v>41974</v>
      </c>
      <c r="C53">
        <v>422</v>
      </c>
    </row>
    <row r="54" spans="2:3" x14ac:dyDescent="0.25">
      <c r="B54" s="2">
        <v>42064</v>
      </c>
      <c r="C54">
        <v>420</v>
      </c>
    </row>
    <row r="55" spans="2:3" x14ac:dyDescent="0.25">
      <c r="B55" s="2">
        <v>42156</v>
      </c>
      <c r="C55">
        <v>425</v>
      </c>
    </row>
    <row r="56" spans="2:3" x14ac:dyDescent="0.25">
      <c r="B56" s="2">
        <v>42248</v>
      </c>
      <c r="C56">
        <v>415</v>
      </c>
    </row>
    <row r="57" spans="2:3" x14ac:dyDescent="0.25">
      <c r="B57" s="2">
        <v>42339</v>
      </c>
      <c r="C57">
        <v>419.9</v>
      </c>
    </row>
    <row r="58" spans="2:3" x14ac:dyDescent="0.25">
      <c r="B58" s="2">
        <v>42430</v>
      </c>
      <c r="C58">
        <v>425</v>
      </c>
    </row>
    <row r="59" spans="2:3" x14ac:dyDescent="0.25">
      <c r="B59" s="2">
        <v>42522</v>
      </c>
      <c r="C59">
        <v>435</v>
      </c>
    </row>
    <row r="60" spans="2:3" x14ac:dyDescent="0.25">
      <c r="B60" s="2">
        <v>42614</v>
      </c>
      <c r="C60">
        <v>428.5</v>
      </c>
    </row>
    <row r="61" spans="2:3" x14ac:dyDescent="0.25">
      <c r="B61" s="2">
        <v>42705</v>
      </c>
      <c r="C61">
        <v>430</v>
      </c>
    </row>
    <row r="62" spans="2:3" x14ac:dyDescent="0.25">
      <c r="B62" s="2">
        <v>42795</v>
      </c>
      <c r="C62">
        <v>429.9</v>
      </c>
    </row>
    <row r="63" spans="2:3" x14ac:dyDescent="0.25">
      <c r="B63" s="2">
        <v>42887</v>
      </c>
      <c r="C63">
        <v>445</v>
      </c>
    </row>
    <row r="64" spans="2:3" x14ac:dyDescent="0.25">
      <c r="B64" s="2">
        <v>42979</v>
      </c>
      <c r="C64">
        <v>434.5</v>
      </c>
    </row>
    <row r="65" spans="2:3" x14ac:dyDescent="0.25">
      <c r="B65" s="2">
        <v>43070</v>
      </c>
      <c r="C65">
        <v>445.5</v>
      </c>
    </row>
    <row r="66" spans="2:3" x14ac:dyDescent="0.25">
      <c r="B66" s="2">
        <v>43160</v>
      </c>
      <c r="C66">
        <v>436</v>
      </c>
    </row>
    <row r="67" spans="2:3" x14ac:dyDescent="0.25">
      <c r="B67" s="2">
        <v>43252</v>
      </c>
      <c r="C67">
        <v>431.5</v>
      </c>
    </row>
    <row r="68" spans="2:3" x14ac:dyDescent="0.25">
      <c r="B68" s="2">
        <v>43344</v>
      </c>
      <c r="C68">
        <v>445</v>
      </c>
    </row>
    <row r="69" spans="2:3" x14ac:dyDescent="0.25">
      <c r="B69" s="2">
        <v>43435</v>
      </c>
      <c r="C69">
        <v>447.9</v>
      </c>
    </row>
    <row r="70" spans="2:3" x14ac:dyDescent="0.25">
      <c r="B70" s="2">
        <v>43525</v>
      </c>
      <c r="C70">
        <v>450</v>
      </c>
    </row>
    <row r="71" spans="2:3" x14ac:dyDescent="0.25">
      <c r="B71" s="2">
        <v>43617</v>
      </c>
      <c r="C71">
        <v>450</v>
      </c>
    </row>
    <row r="72" spans="2:3" x14ac:dyDescent="0.25">
      <c r="B72" s="2">
        <v>43709</v>
      </c>
      <c r="C72">
        <v>456.9</v>
      </c>
    </row>
    <row r="73" spans="2:3" x14ac:dyDescent="0.25">
      <c r="B73" s="2">
        <v>43800</v>
      </c>
      <c r="C73">
        <v>473.3</v>
      </c>
    </row>
    <row r="74" spans="2:3" x14ac:dyDescent="0.25">
      <c r="B74" s="2">
        <v>43891</v>
      </c>
      <c r="C74">
        <v>460</v>
      </c>
    </row>
    <row r="75" spans="2:3" x14ac:dyDescent="0.25">
      <c r="B75" s="2">
        <v>43983</v>
      </c>
      <c r="C75">
        <v>460</v>
      </c>
    </row>
    <row r="76" spans="2:3" x14ac:dyDescent="0.25">
      <c r="B76" s="2">
        <v>44075</v>
      </c>
      <c r="C76">
        <v>488</v>
      </c>
    </row>
    <row r="77" spans="2:3" x14ac:dyDescent="0.25">
      <c r="B77" s="2">
        <v>44166</v>
      </c>
      <c r="C77">
        <v>498</v>
      </c>
    </row>
    <row r="78" spans="2:3" x14ac:dyDescent="0.25">
      <c r="B78" s="2">
        <v>44256</v>
      </c>
      <c r="C78">
        <v>505</v>
      </c>
    </row>
    <row r="79" spans="2:3" x14ac:dyDescent="0.25">
      <c r="B79" s="2">
        <v>44348</v>
      </c>
      <c r="C79">
        <v>542</v>
      </c>
    </row>
    <row r="80" spans="2:3" x14ac:dyDescent="0.25">
      <c r="B80" s="2">
        <v>44440</v>
      </c>
      <c r="C80">
        <v>530</v>
      </c>
    </row>
    <row r="81" spans="2:3" x14ac:dyDescent="0.25">
      <c r="B81" s="2">
        <v>44531</v>
      </c>
      <c r="C81">
        <v>590</v>
      </c>
    </row>
    <row r="82" spans="2:3" x14ac:dyDescent="0.25">
      <c r="B82" s="2">
        <v>44621</v>
      </c>
      <c r="C82">
        <v>575</v>
      </c>
    </row>
    <row r="83" spans="2:3" x14ac:dyDescent="0.25">
      <c r="B83" s="2">
        <v>44713</v>
      </c>
      <c r="C83">
        <v>600</v>
      </c>
    </row>
    <row r="84" spans="2:3" x14ac:dyDescent="0.25">
      <c r="B84" s="2">
        <v>44805</v>
      </c>
      <c r="C84">
        <v>596</v>
      </c>
    </row>
    <row r="85" spans="2:3" x14ac:dyDescent="0.25">
      <c r="B85" s="2">
        <v>44896</v>
      </c>
      <c r="C85">
        <v>600</v>
      </c>
    </row>
    <row r="86" spans="2:3" x14ac:dyDescent="0.25">
      <c r="B86" s="2">
        <v>44986</v>
      </c>
      <c r="C86">
        <v>610</v>
      </c>
    </row>
    <row r="87" spans="2:3" x14ac:dyDescent="0.25">
      <c r="B87" s="2">
        <v>45078</v>
      </c>
      <c r="C87">
        <v>600</v>
      </c>
    </row>
    <row r="88" spans="2:3" x14ac:dyDescent="0.25">
      <c r="B88" s="2">
        <v>45170</v>
      </c>
      <c r="C88">
        <v>619</v>
      </c>
    </row>
    <row r="89" spans="2:3" x14ac:dyDescent="0.25">
      <c r="B89" s="2">
        <v>45261</v>
      </c>
      <c r="C89">
        <v>625</v>
      </c>
    </row>
    <row r="90" spans="2:3" x14ac:dyDescent="0.25">
      <c r="B90" s="2">
        <v>45352</v>
      </c>
      <c r="C90">
        <v>597</v>
      </c>
    </row>
    <row r="91" spans="2:3" x14ac:dyDescent="0.25">
      <c r="B91" s="2">
        <v>45444</v>
      </c>
      <c r="C91">
        <v>630</v>
      </c>
    </row>
    <row r="92" spans="2:3" x14ac:dyDescent="0.25">
      <c r="B92" s="2">
        <v>45536</v>
      </c>
      <c r="C92">
        <v>595</v>
      </c>
    </row>
    <row r="93" spans="2:3" x14ac:dyDescent="0.25">
      <c r="B93" s="2">
        <v>45627</v>
      </c>
      <c r="C93">
        <v>610</v>
      </c>
    </row>
    <row r="94" spans="2:3" x14ac:dyDescent="0.25">
      <c r="B94" s="2">
        <v>45717</v>
      </c>
      <c r="C94">
        <v>600</v>
      </c>
    </row>
    <row r="95" spans="2:3" x14ac:dyDescent="0.25">
      <c r="B95" s="2">
        <v>45809</v>
      </c>
      <c r="C95">
        <v>600</v>
      </c>
    </row>
    <row r="96" spans="2:3" x14ac:dyDescent="0.25">
      <c r="B96" s="2">
        <v>45901</v>
      </c>
      <c r="C96">
        <v>612</v>
      </c>
    </row>
    <row r="97" spans="2:3" x14ac:dyDescent="0.25">
      <c r="B97" s="2">
        <v>45992</v>
      </c>
      <c r="C97">
        <v>620</v>
      </c>
    </row>
  </sheetData>
  <autoFilter ref="B1:C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15</vt:i4>
      </vt:variant>
      <vt:variant>
        <vt:lpstr>Charts</vt:lpstr>
      </vt:variant>
      <vt:variant>
        <vt:i4>2</vt:i4>
      </vt:variant>
      <vt:variant>
        <vt:lpstr>Named Ranges</vt:lpstr>
      </vt:variant>
      <vt:variant>
        <vt:i4>196</vt:i4>
      </vt:variant>
    </vt:vector>
  </HeadingPairs>
  <TitlesOfParts>
    <vt:vector size="213" baseType="lpstr">
      <vt:lpstr>analysis</vt:lpstr>
      <vt:lpstr>cpi</vt:lpstr>
      <vt:lpstr>msci-indices</vt:lpstr>
      <vt:lpstr>mortgage-rates</vt:lpstr>
      <vt:lpstr>act-rent &gt;&gt;</vt:lpstr>
      <vt:lpstr>domain-values</vt:lpstr>
      <vt:lpstr>Ableson and Joyeux 2023</vt:lpstr>
      <vt:lpstr>rai-values-2bf</vt:lpstr>
      <vt:lpstr>rai-values-3bh</vt:lpstr>
      <vt:lpstr>2BR_F-processed</vt:lpstr>
      <vt:lpstr>3BR_H-processed</vt:lpstr>
      <vt:lpstr>act-buy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2026-09-06T01:16:02Z</dcterms:modified>
</cp:coreProperties>
</file>