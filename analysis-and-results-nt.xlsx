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178" documentId="8_{A1D2C647-F291-491E-A83A-179C2A85CF7D}" xr6:coauthVersionLast="47" xr6:coauthVersionMax="47" xr10:uidLastSave="{7895B24E-CF80-4434-B311-4BAE4B15D1B5}"/>
  <bookViews>
    <workbookView xWindow="-105" yWindow="0" windowWidth="14610" windowHeight="17385" tabRatio="665" xr2:uid="{D8AAAA89-5358-4611-B113-99C6929A3BCB}"/>
  </bookViews>
  <sheets>
    <sheet name="analysis" sheetId="13" r:id="rId1"/>
    <sheet name="cpi" sheetId="23" r:id="rId2"/>
    <sheet name="msci-indices" sheetId="20" r:id="rId3"/>
    <sheet name="mortgage-rates" sheetId="19" r:id="rId4"/>
    <sheet name="nt-rent &gt;&gt;" sheetId="6" r:id="rId5"/>
    <sheet name="domain-values" sheetId="34" r:id="rId6"/>
    <sheet name="Ableson and Joyeux 2023" sheetId="35" r:id="rId7"/>
    <sheet name="2BR_F-processed" sheetId="2" r:id="rId8"/>
    <sheet name="3BR_H-processed" sheetId="11" r:id="rId9"/>
    <sheet name="chart-2bflat" sheetId="3" r:id="rId10"/>
    <sheet name="chart-3bhouse" sheetId="12" r:id="rId11"/>
    <sheet name="nt-buy &gt;&gt;" sheetId="14" r:id="rId12"/>
    <sheet name="ABS-total-value-dwellings" sheetId="24" r:id="rId13"/>
    <sheet name="ns-combined" sheetId="18" r:id="rId14"/>
    <sheet name="s-combined" sheetId="22" r:id="rId15"/>
  </sheets>
  <definedNames>
    <definedName name="_xlnm._FilterDatabase" localSheetId="7" hidden="1">'2BR_F-processed'!$A$1:$E$97</definedName>
    <definedName name="_xlnm._FilterDatabase" localSheetId="8" hidden="1">'3BR_H-processed'!$A$1:$E$97</definedName>
    <definedName name="_xlnm._FilterDatabase" localSheetId="13" hidden="1">'ns-combined'!$B$1:$C$102</definedName>
    <definedName name="_xlnm._FilterDatabase" localSheetId="14" hidden="1">'s-combined'!$B$1:$C$97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8">'3BR_H-processed'!$A$1</definedName>
    <definedName name="HouseNumberOfBedrooms" localSheetId="8">'3BR_H-processed'!$A$2</definedName>
    <definedName name="InvestFees">analysis!$B$43</definedName>
    <definedName name="MortgageRate">analysis!$B$19</definedName>
    <definedName name="Q_end">analysis!$B$12</definedName>
    <definedName name="Q_start">analysis!$B$11</definedName>
    <definedName name="Qstart">analysis!$B$11</definedName>
    <definedName name="TopOfTable_Table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2" l="1" a="1"/>
  <c r="C2" i="18" a="1"/>
  <c r="H68" i="11"/>
  <c r="H66" i="11"/>
  <c r="H65" i="11"/>
  <c r="H64" i="11"/>
  <c r="H35" i="11"/>
  <c r="H34" i="11"/>
  <c r="H33" i="11"/>
  <c r="H32" i="11"/>
  <c r="H31" i="11"/>
  <c r="H30" i="11"/>
  <c r="H29" i="11"/>
  <c r="H28" i="11"/>
  <c r="H27" i="11"/>
  <c r="H26" i="11"/>
  <c r="H25" i="11"/>
  <c r="H24" i="11"/>
  <c r="H23" i="11"/>
  <c r="H22" i="11"/>
  <c r="H21" i="11"/>
  <c r="H20" i="11"/>
  <c r="H15" i="11"/>
  <c r="H14" i="11"/>
  <c r="H13" i="11"/>
  <c r="H12" i="11"/>
  <c r="H7" i="11"/>
  <c r="H6" i="11"/>
  <c r="H5" i="11"/>
  <c r="H4" i="11"/>
  <c r="H3" i="11"/>
  <c r="H2" i="11"/>
  <c r="H64" i="2"/>
  <c r="H65" i="2"/>
  <c r="H66" i="2"/>
  <c r="H68" i="2"/>
  <c r="H20" i="2"/>
  <c r="H21" i="2"/>
  <c r="H22" i="2"/>
  <c r="H23" i="2"/>
  <c r="H24" i="2"/>
  <c r="H25" i="2"/>
  <c r="H26" i="2"/>
  <c r="H27" i="2"/>
  <c r="H28" i="2"/>
  <c r="H29" i="2"/>
  <c r="H30" i="2"/>
  <c r="H31" i="2"/>
  <c r="H32" i="2"/>
  <c r="H33" i="2"/>
  <c r="H34" i="2"/>
  <c r="H35" i="2"/>
  <c r="F70" i="11"/>
  <c r="E70" i="11" s="1" a="1"/>
  <c r="F71" i="11"/>
  <c r="E71" i="11" s="1" a="1"/>
  <c r="F72" i="11"/>
  <c r="E72" i="11" s="1" a="1"/>
  <c r="F73" i="11"/>
  <c r="E73" i="11" s="1" a="1"/>
  <c r="F74" i="11"/>
  <c r="E74" i="11" s="1" a="1"/>
  <c r="F75" i="11"/>
  <c r="E75" i="11" s="1" a="1"/>
  <c r="F76" i="11"/>
  <c r="E76" i="11" s="1" a="1"/>
  <c r="F77" i="11"/>
  <c r="E77" i="11" s="1" a="1"/>
  <c r="F78" i="11"/>
  <c r="E78" i="11" s="1" a="1"/>
  <c r="F79" i="11"/>
  <c r="E79" i="11" s="1" a="1"/>
  <c r="F80" i="11"/>
  <c r="E80" i="11" s="1" a="1"/>
  <c r="F81" i="11"/>
  <c r="E81" i="11" s="1" a="1"/>
  <c r="F69" i="11"/>
  <c r="E69" i="11" s="1" a="1"/>
  <c r="F70" i="2"/>
  <c r="E70" i="2" s="1" a="1"/>
  <c r="F71" i="2"/>
  <c r="E71" i="2" s="1" a="1"/>
  <c r="F72" i="2"/>
  <c r="E72" i="2" s="1" a="1"/>
  <c r="F73" i="2"/>
  <c r="E73" i="2" s="1" a="1"/>
  <c r="F74" i="2"/>
  <c r="E74" i="2" s="1" a="1"/>
  <c r="F75" i="2"/>
  <c r="E75" i="2" s="1" a="1"/>
  <c r="F76" i="2"/>
  <c r="E76" i="2" s="1" a="1"/>
  <c r="F77" i="2"/>
  <c r="E77" i="2" s="1" a="1"/>
  <c r="F78" i="2"/>
  <c r="E78" i="2" s="1" a="1"/>
  <c r="F79" i="2"/>
  <c r="E79" i="2" s="1" a="1"/>
  <c r="F80" i="2"/>
  <c r="E80" i="2" s="1" a="1"/>
  <c r="F81" i="2"/>
  <c r="E81" i="2" s="1" a="1"/>
  <c r="F69" i="2"/>
  <c r="E69" i="2" s="1" a="1"/>
  <c r="G69" i="11"/>
  <c r="G67" i="11"/>
  <c r="E67" i="11" s="1" a="1"/>
  <c r="G63" i="11"/>
  <c r="E63" i="11" s="1" a="1"/>
  <c r="G62" i="11"/>
  <c r="E62" i="11" s="1" a="1"/>
  <c r="G61" i="11"/>
  <c r="E61" i="11" s="1" a="1"/>
  <c r="G60" i="11"/>
  <c r="E60" i="11" s="1" a="1"/>
  <c r="G59" i="11"/>
  <c r="E59" i="11" s="1" a="1"/>
  <c r="G58" i="11"/>
  <c r="E58" i="11" s="1" a="1"/>
  <c r="G57" i="11"/>
  <c r="E57" i="11" s="1" a="1"/>
  <c r="G56" i="11"/>
  <c r="G55" i="11"/>
  <c r="E55" i="11" s="1" a="1"/>
  <c r="G54" i="11"/>
  <c r="E54" i="11" s="1" a="1"/>
  <c r="G53" i="11"/>
  <c r="E53" i="11" s="1" a="1"/>
  <c r="G52" i="11"/>
  <c r="E52" i="11" s="1" a="1"/>
  <c r="G51" i="11"/>
  <c r="E51" i="11" s="1" a="1"/>
  <c r="G50" i="11"/>
  <c r="G49" i="11"/>
  <c r="E49" i="11" s="1" a="1"/>
  <c r="G48" i="11"/>
  <c r="G47" i="11"/>
  <c r="E47" i="11" s="1" a="1"/>
  <c r="G46" i="11"/>
  <c r="E46" i="11" s="1" a="1"/>
  <c r="G45" i="11"/>
  <c r="E45" i="11" s="1" a="1"/>
  <c r="G44" i="11"/>
  <c r="E44" i="11" s="1" a="1"/>
  <c r="G43" i="11"/>
  <c r="E43" i="11" s="1" a="1"/>
  <c r="G42" i="11"/>
  <c r="G41" i="11"/>
  <c r="E41" i="11" s="1" a="1"/>
  <c r="G40" i="11"/>
  <c r="E40" i="11" s="1" a="1"/>
  <c r="G39" i="11"/>
  <c r="E39" i="11" s="1" a="1"/>
  <c r="G38" i="11"/>
  <c r="E38" i="11" s="1" a="1"/>
  <c r="G37" i="11"/>
  <c r="E37" i="11" s="1" a="1"/>
  <c r="G36" i="11"/>
  <c r="E36" i="11" s="1" a="1"/>
  <c r="G19" i="11"/>
  <c r="E19" i="11" s="1" a="1"/>
  <c r="G18" i="11"/>
  <c r="E18" i="11" s="1" a="1"/>
  <c r="G17" i="11"/>
  <c r="E17" i="11" s="1" a="1"/>
  <c r="G16" i="11"/>
  <c r="G9" i="11"/>
  <c r="E9" i="11" s="1" a="1"/>
  <c r="G10" i="11"/>
  <c r="E10" i="11" s="1" a="1"/>
  <c r="G11" i="11"/>
  <c r="E11" i="11" s="1" a="1"/>
  <c r="G8" i="11"/>
  <c r="E56" i="11" a="1"/>
  <c r="E50" i="11" a="1"/>
  <c r="E48" i="11" a="1"/>
  <c r="E42" i="11" a="1"/>
  <c r="G69" i="2"/>
  <c r="G67" i="2"/>
  <c r="E67" i="2" s="1" a="1"/>
  <c r="G63" i="2"/>
  <c r="E63" i="2" s="1" a="1"/>
  <c r="G62" i="2"/>
  <c r="E62" i="2" s="1" a="1"/>
  <c r="G61" i="2"/>
  <c r="E61" i="2" s="1" a="1"/>
  <c r="G60" i="2"/>
  <c r="E60" i="2" s="1" a="1"/>
  <c r="G59" i="2"/>
  <c r="E59" i="2" s="1" a="1"/>
  <c r="G58" i="2"/>
  <c r="E58" i="2" s="1" a="1"/>
  <c r="G57" i="2"/>
  <c r="E57" i="2" s="1" a="1"/>
  <c r="G56" i="2"/>
  <c r="E56" i="2" s="1" a="1"/>
  <c r="G55" i="2"/>
  <c r="E55" i="2" s="1" a="1"/>
  <c r="G54" i="2"/>
  <c r="E54" i="2" s="1" a="1"/>
  <c r="G53" i="2"/>
  <c r="E53" i="2" s="1" a="1"/>
  <c r="G52" i="2"/>
  <c r="E52" i="2" s="1" a="1"/>
  <c r="G51" i="2"/>
  <c r="E51" i="2" s="1" a="1"/>
  <c r="G50" i="2"/>
  <c r="E50" i="2" s="1" a="1"/>
  <c r="G49" i="2"/>
  <c r="E49" i="2" s="1" a="1"/>
  <c r="G48" i="2"/>
  <c r="E48" i="2" s="1" a="1"/>
  <c r="G47" i="2"/>
  <c r="E47" i="2" s="1" a="1"/>
  <c r="G46" i="2"/>
  <c r="E46" i="2" s="1" a="1"/>
  <c r="G45" i="2"/>
  <c r="E45" i="2" s="1" a="1"/>
  <c r="G44" i="2"/>
  <c r="E44" i="2" s="1" a="1"/>
  <c r="G43" i="2"/>
  <c r="E43" i="2" s="1" a="1"/>
  <c r="G42" i="2"/>
  <c r="E42" i="2" s="1" a="1"/>
  <c r="G41" i="2"/>
  <c r="E41" i="2" s="1" a="1"/>
  <c r="G40" i="2"/>
  <c r="E40" i="2" s="1" a="1"/>
  <c r="G39" i="2"/>
  <c r="E39" i="2" s="1" a="1"/>
  <c r="G38" i="2"/>
  <c r="E38" i="2" s="1" a="1"/>
  <c r="G37" i="2"/>
  <c r="E37" i="2" s="1" a="1"/>
  <c r="G36" i="2"/>
  <c r="E36" i="2" s="1" a="1"/>
  <c r="G19" i="2"/>
  <c r="E19" i="2" s="1" a="1"/>
  <c r="G18" i="2"/>
  <c r="E18" i="2" s="1" a="1"/>
  <c r="G17" i="2"/>
  <c r="E17" i="2" s="1" a="1"/>
  <c r="G16" i="2"/>
  <c r="G9" i="2"/>
  <c r="E9" i="2" s="1" a="1"/>
  <c r="G10" i="2"/>
  <c r="E10" i="2" s="1" a="1"/>
  <c r="G11" i="2"/>
  <c r="E11" i="2" s="1" a="1"/>
  <c r="G8" i="2"/>
  <c r="E2" i="13"/>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E64" i="2" l="1" a="1"/>
  <c r="E6" i="11" a="1"/>
  <c r="E5" i="11" a="1"/>
  <c r="E4" i="11" a="1"/>
  <c r="E3" i="11" a="1"/>
  <c r="E2" i="11" a="1"/>
  <c r="H15" i="2"/>
  <c r="E15" i="2" s="1" a="1"/>
  <c r="H12" i="2"/>
  <c r="E12" i="2" s="1" a="1"/>
  <c r="H13" i="2"/>
  <c r="E13" i="2" s="1" a="1"/>
  <c r="H14" i="2"/>
  <c r="E14" i="2" s="1" a="1"/>
  <c r="H4" i="2"/>
  <c r="E4" i="2" s="1" a="1"/>
  <c r="H5" i="2"/>
  <c r="E5" i="2" s="1" a="1"/>
  <c r="H6" i="2"/>
  <c r="E6" i="2" s="1" a="1"/>
  <c r="H7" i="2"/>
  <c r="E7" i="2" s="1" a="1"/>
  <c r="H3" i="2"/>
  <c r="E3" i="2" s="1" a="1"/>
  <c r="H2" i="2"/>
  <c r="E2" i="2" s="1" a="1"/>
  <c r="E68" i="11" a="1"/>
  <c r="E68" i="2" a="1"/>
  <c r="E66" i="11" a="1"/>
  <c r="E66" i="2" a="1"/>
  <c r="E65" i="2" a="1"/>
  <c r="E65" i="11" a="1"/>
  <c r="E64" i="11" a="1"/>
  <c r="E35" i="2" a="1"/>
  <c r="E35" i="11" a="1"/>
  <c r="E34" i="11" a="1"/>
  <c r="E34" i="2" a="1"/>
  <c r="E33" i="2" a="1"/>
  <c r="E33" i="11" a="1"/>
  <c r="E32" i="11" a="1"/>
  <c r="E32" i="2" a="1"/>
  <c r="E31" i="2" a="1"/>
  <c r="E31" i="11" a="1"/>
  <c r="E30" i="2" a="1"/>
  <c r="E30" i="11" a="1"/>
  <c r="E29" i="11" a="1"/>
  <c r="E29" i="2" a="1"/>
  <c r="E28" i="11" a="1"/>
  <c r="E28" i="2" a="1"/>
  <c r="E27" i="2" a="1"/>
  <c r="E27" i="11" a="1"/>
  <c r="E26" i="11" a="1"/>
  <c r="E26" i="2" a="1"/>
  <c r="E25" i="11" a="1"/>
  <c r="E25" i="2" a="1"/>
  <c r="E24" i="2" a="1"/>
  <c r="E24" i="11" a="1"/>
  <c r="E23" i="11" a="1"/>
  <c r="E23" i="2" a="1"/>
  <c r="E22" i="2" a="1"/>
  <c r="E8" i="11" a="1"/>
  <c r="E7" i="11" a="1"/>
  <c r="E13" i="11" a="1"/>
  <c r="E15" i="11" a="1"/>
  <c r="E14" i="11" a="1"/>
  <c r="E16" i="11" a="1"/>
  <c r="E12" i="11" a="1"/>
  <c r="E16" i="2" a="1"/>
  <c r="E8" i="2" a="1"/>
  <c r="L3" i="13"/>
  <c r="BB3" i="13" s="1"/>
  <c r="E20" i="2" l="1" a="1"/>
  <c r="E21" i="2" a="1"/>
  <c r="E21" i="11" a="1"/>
  <c r="E22" i="11" a="1"/>
  <c r="E20" i="11" a="1"/>
  <c r="AG3" i="13" a="1"/>
  <c r="AF3" i="13" a="1"/>
  <c r="BH3" i="13"/>
  <c r="L4" i="13"/>
  <c r="BB4" i="13" s="1"/>
  <c r="AR3" i="13"/>
  <c r="B26" i="13" s="1"/>
  <c r="T3" i="13"/>
  <c r="U3" i="13" s="1"/>
  <c r="AC3" i="13" a="1"/>
  <c r="BJ3" i="13" s="1"/>
  <c r="AD3" i="13" a="1"/>
  <c r="BK3" i="13" s="1"/>
  <c r="R3" i="13"/>
  <c r="V3" i="13" l="1"/>
  <c r="BC3" i="13"/>
  <c r="BI3" i="13"/>
  <c r="W3" i="13"/>
  <c r="AV3" i="13"/>
  <c r="BN3" i="13"/>
  <c r="L5" i="13"/>
  <c r="BB5" i="13" s="1"/>
  <c r="AF4" i="13" a="1"/>
  <c r="AG4" i="13" a="1"/>
  <c r="BL3" i="13"/>
  <c r="AR4" i="13"/>
  <c r="AV4" i="13" s="1"/>
  <c r="BH4" i="13"/>
  <c r="AU3" i="13"/>
  <c r="AS3" i="13"/>
  <c r="T4" i="13"/>
  <c r="AC4" i="13" a="1"/>
  <c r="BJ4" i="13" s="1"/>
  <c r="AD4" i="13" a="1"/>
  <c r="BK4" i="13" s="1"/>
  <c r="U4" i="13"/>
  <c r="R4" i="13"/>
  <c r="X3" i="13" l="1"/>
  <c r="BI4" i="13"/>
  <c r="W4" i="13"/>
  <c r="AW3" i="13"/>
  <c r="BD3" i="13"/>
  <c r="AW4" i="13"/>
  <c r="AS4" i="13"/>
  <c r="AT3" i="13"/>
  <c r="BH5" i="13"/>
  <c r="AU4" i="13"/>
  <c r="BN4" i="13"/>
  <c r="AG5" i="13" a="1"/>
  <c r="AF5" i="13" a="1"/>
  <c r="L6" i="13"/>
  <c r="BB6" i="13" s="1"/>
  <c r="BL4" i="13"/>
  <c r="BE3" i="13"/>
  <c r="AR5" i="13"/>
  <c r="AV5" i="13" s="1"/>
  <c r="T5" i="13"/>
  <c r="V4" i="13"/>
  <c r="AC5" i="13" a="1"/>
  <c r="BJ5" i="13" s="1"/>
  <c r="R5" i="13"/>
  <c r="AD5" i="13" a="1"/>
  <c r="BK5" i="13" s="1"/>
  <c r="U5" i="13"/>
  <c r="AY3" i="13"/>
  <c r="BI5" i="13" l="1"/>
  <c r="W5" i="13"/>
  <c r="AX3" i="13"/>
  <c r="N3" i="13" s="1"/>
  <c r="BG3" i="13"/>
  <c r="AW5" i="13"/>
  <c r="AX4" i="13"/>
  <c r="AU5" i="13"/>
  <c r="BN5" i="13"/>
  <c r="AG6" i="13" a="1"/>
  <c r="AF6" i="13" a="1"/>
  <c r="L7" i="13"/>
  <c r="BB7" i="13" s="1"/>
  <c r="BL5" i="13"/>
  <c r="AR6" i="13"/>
  <c r="AV6" i="13" s="1"/>
  <c r="BH6" i="13"/>
  <c r="AS5" i="13"/>
  <c r="BA3" i="13"/>
  <c r="AZ3" i="13"/>
  <c r="BF3" i="13"/>
  <c r="BC4" i="13" s="1"/>
  <c r="T6" i="13"/>
  <c r="AD6" i="13" a="1"/>
  <c r="BK6" i="13" s="1"/>
  <c r="AC6" i="13" a="1"/>
  <c r="BJ6" i="13" s="1"/>
  <c r="R6" i="13"/>
  <c r="V5" i="13"/>
  <c r="U6" i="13"/>
  <c r="AY4" i="13"/>
  <c r="X4" i="13"/>
  <c r="X5" i="13" l="1"/>
  <c r="BI6" i="13"/>
  <c r="W6" i="13"/>
  <c r="BO3" i="13"/>
  <c r="Y3" i="13"/>
  <c r="AW6" i="13"/>
  <c r="AX5" i="13"/>
  <c r="BO4" i="13"/>
  <c r="AU6" i="13"/>
  <c r="BN6" i="13"/>
  <c r="AG7" i="13" a="1"/>
  <c r="AF7" i="13" a="1"/>
  <c r="L8" i="13"/>
  <c r="BB8" i="13" s="1"/>
  <c r="BL6" i="13"/>
  <c r="AR7" i="13"/>
  <c r="AV7" i="13" s="1"/>
  <c r="BH7" i="13"/>
  <c r="AS6" i="13"/>
  <c r="BD4" i="13"/>
  <c r="BG4" i="13" s="1"/>
  <c r="BE4" i="13"/>
  <c r="P3" i="13"/>
  <c r="AD7" i="13" a="1"/>
  <c r="BK7" i="13" s="1"/>
  <c r="R7" i="13"/>
  <c r="T7" i="13"/>
  <c r="U7" i="13" s="1"/>
  <c r="AZ4" i="13"/>
  <c r="BA4" i="13"/>
  <c r="AC7" i="13" a="1"/>
  <c r="BJ7" i="13" s="1"/>
  <c r="V6" i="13"/>
  <c r="AY6" i="13" s="1"/>
  <c r="AY5" i="13"/>
  <c r="BI7" i="13" l="1"/>
  <c r="W7" i="13"/>
  <c r="Y4" i="13"/>
  <c r="Z3" i="13"/>
  <c r="AA3" i="13" s="1" a="1"/>
  <c r="AE3" i="13" s="1"/>
  <c r="BM3" i="13" s="1"/>
  <c r="AX6" i="13"/>
  <c r="AW7" i="13"/>
  <c r="BO5" i="13"/>
  <c r="AU7" i="13"/>
  <c r="BN7" i="13"/>
  <c r="AG8" i="13" a="1"/>
  <c r="AF8" i="13" a="1"/>
  <c r="L9" i="13"/>
  <c r="BB9" i="13" s="1"/>
  <c r="BL7" i="13"/>
  <c r="AR8" i="13"/>
  <c r="AV8" i="13" s="1"/>
  <c r="BH8" i="13"/>
  <c r="BF4" i="13"/>
  <c r="BC5" i="13" s="1"/>
  <c r="BD5" i="13" s="1"/>
  <c r="BG5" i="13" s="1"/>
  <c r="AS7" i="13"/>
  <c r="V7" i="13"/>
  <c r="AY7" i="13" s="1"/>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B10" i="13" s="1"/>
  <c r="BL8" i="13"/>
  <c r="AU8" i="13"/>
  <c r="AD9" i="13" a="1"/>
  <c r="BK9" i="13" s="1"/>
  <c r="BH9" i="13"/>
  <c r="AS8" i="13"/>
  <c r="BE5" i="13"/>
  <c r="BF5" i="13" s="1"/>
  <c r="BC6" i="13" s="1"/>
  <c r="BE6" i="13" s="1"/>
  <c r="R9" i="13"/>
  <c r="V9" i="13" s="1"/>
  <c r="AC9" i="13" a="1"/>
  <c r="BJ9" i="13" s="1"/>
  <c r="AR9" i="13"/>
  <c r="AV9" i="13" s="1"/>
  <c r="X7"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B11" i="13" s="1"/>
  <c r="BL9" i="13"/>
  <c r="AR10" i="13"/>
  <c r="AV10" i="13" s="1"/>
  <c r="BH10" i="13"/>
  <c r="AS9" i="13"/>
  <c r="BD6" i="13"/>
  <c r="BG6" i="13" s="1"/>
  <c r="AU9" i="13"/>
  <c r="AD10" i="13" a="1"/>
  <c r="BK10" i="13" s="1"/>
  <c r="AC10" i="13" a="1"/>
  <c r="BJ10" i="13" s="1"/>
  <c r="R10" i="13"/>
  <c r="V10" i="13" s="1"/>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B12" i="13" s="1"/>
  <c r="BL10" i="13"/>
  <c r="AU10" i="13"/>
  <c r="AR11" i="13"/>
  <c r="AV11" i="13" s="1"/>
  <c r="BH11" i="13"/>
  <c r="AS10" i="13"/>
  <c r="BF6" i="13"/>
  <c r="BC7" i="13" s="1"/>
  <c r="BE7" i="13" s="1"/>
  <c r="T11" i="13"/>
  <c r="U11" i="13" s="1"/>
  <c r="U12" i="13" s="1"/>
  <c r="AD11" i="13" a="1"/>
  <c r="BK11" i="13" s="1"/>
  <c r="R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B13" i="13" s="1"/>
  <c r="BL11" i="13"/>
  <c r="AU11" i="13"/>
  <c r="AR12" i="13"/>
  <c r="AV12" i="13" s="1"/>
  <c r="BH12" i="13"/>
  <c r="BD7" i="13"/>
  <c r="BG7" i="13" s="1"/>
  <c r="AS11" i="13"/>
  <c r="T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B14" i="13" s="1"/>
  <c r="BL12" i="13"/>
  <c r="AH5" i="13"/>
  <c r="AU12" i="13"/>
  <c r="AR13" i="13"/>
  <c r="AV13" i="13" s="1"/>
  <c r="BH13" i="13"/>
  <c r="BF7" i="13"/>
  <c r="BC8" i="13" s="1"/>
  <c r="N8" i="13" s="1"/>
  <c r="AS12" i="13"/>
  <c r="AD13" i="13" a="1"/>
  <c r="BK13" i="13" s="1"/>
  <c r="AC13" i="13" a="1"/>
  <c r="BJ13" i="13" s="1"/>
  <c r="T13" i="13"/>
  <c r="R13" i="13"/>
  <c r="V13" i="13" s="1"/>
  <c r="AY11" i="13"/>
  <c r="P7" i="13"/>
  <c r="U14" i="13"/>
  <c r="AY12" i="13"/>
  <c r="BI13" i="13" l="1"/>
  <c r="W13" i="13"/>
  <c r="X13" i="13" s="1"/>
  <c r="Z7" i="13"/>
  <c r="AA7" i="13" s="1" a="1"/>
  <c r="M4" i="13"/>
  <c r="O4" i="13" s="1"/>
  <c r="AW13" i="13"/>
  <c r="AX12" i="13"/>
  <c r="BN13" i="13"/>
  <c r="BO11" i="13"/>
  <c r="AZ11" i="13"/>
  <c r="AG14" i="13" a="1"/>
  <c r="AF14" i="13" a="1"/>
  <c r="L15" i="13"/>
  <c r="BB15" i="13" s="1"/>
  <c r="BL13" i="13"/>
  <c r="AI5" i="13"/>
  <c r="AE6" i="13" s="1"/>
  <c r="BM6" i="13" s="1"/>
  <c r="AU13" i="13"/>
  <c r="AR14" i="13"/>
  <c r="AV14" i="13" s="1"/>
  <c r="BH14" i="13"/>
  <c r="BD8" i="13"/>
  <c r="BG8" i="13" s="1"/>
  <c r="Y8" i="13" s="1"/>
  <c r="BE8" i="13"/>
  <c r="AS13" i="13"/>
  <c r="AC14" i="13" a="1"/>
  <c r="BJ14" i="13" s="1"/>
  <c r="T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B16" i="13" s="1"/>
  <c r="BL14" i="13"/>
  <c r="AN5" i="13"/>
  <c r="AO5" i="13" s="1"/>
  <c r="AP5" i="13" s="1"/>
  <c r="Z8" i="13"/>
  <c r="AA8" i="13" s="1" a="1"/>
  <c r="AK5" i="13"/>
  <c r="AU14" i="13"/>
  <c r="AR15" i="13"/>
  <c r="AV15" i="13" s="1"/>
  <c r="BH15" i="13"/>
  <c r="BF8" i="13"/>
  <c r="BC9" i="13" s="1"/>
  <c r="BE9" i="13" s="1"/>
  <c r="AS14" i="13"/>
  <c r="T15" i="13"/>
  <c r="U15" i="13" s="1"/>
  <c r="U16" i="13" s="1"/>
  <c r="R15" i="13"/>
  <c r="AC15" i="13" a="1"/>
  <c r="BJ15" i="13" s="1"/>
  <c r="AD15" i="13" a="1"/>
  <c r="BK15" i="13" s="1"/>
  <c r="AZ13" i="13"/>
  <c r="BA13" i="13"/>
  <c r="P8" i="13"/>
  <c r="AY14" i="13"/>
  <c r="BI15" i="13" l="1"/>
  <c r="W15" i="13"/>
  <c r="AW15" i="13"/>
  <c r="AX14" i="13"/>
  <c r="BN15" i="13"/>
  <c r="BO13" i="13"/>
  <c r="AG16" i="13" a="1"/>
  <c r="AF16" i="13" a="1"/>
  <c r="L17" i="13"/>
  <c r="BB17" i="13" s="1"/>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AZ14" i="13"/>
  <c r="BA14" i="13"/>
  <c r="U17" i="13"/>
  <c r="N9" i="13"/>
  <c r="X15" i="13" l="1"/>
  <c r="BI16" i="13"/>
  <c r="W16" i="13"/>
  <c r="X16" i="13" s="1"/>
  <c r="AX15" i="13"/>
  <c r="AW16" i="13"/>
  <c r="BN16" i="13"/>
  <c r="BO14" i="13"/>
  <c r="AG17" i="13" a="1"/>
  <c r="AF17" i="13" a="1"/>
  <c r="L18" i="13"/>
  <c r="BB18" i="13" s="1"/>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AD17" i="13" a="1"/>
  <c r="BK17" i="13" s="1"/>
  <c r="P9" i="13"/>
  <c r="U18" i="13"/>
  <c r="AY16" i="13"/>
  <c r="BI17" i="13" l="1"/>
  <c r="W17" i="13"/>
  <c r="X17" i="13" s="1"/>
  <c r="AX16" i="13"/>
  <c r="AW17" i="13"/>
  <c r="BN17" i="13"/>
  <c r="BO15" i="13"/>
  <c r="AZ15" i="13"/>
  <c r="AG18" i="13" a="1"/>
  <c r="AF18" i="13" a="1"/>
  <c r="L19" i="13"/>
  <c r="BB19" i="13" s="1"/>
  <c r="BL17" i="13"/>
  <c r="AK6" i="13"/>
  <c r="AN6" i="13"/>
  <c r="AO6" i="13" s="1"/>
  <c r="AP6" i="13" s="1"/>
  <c r="AM9" i="13" a="1"/>
  <c r="AB9" i="13"/>
  <c r="AJ9" i="13"/>
  <c r="AL9" i="13" s="1"/>
  <c r="AU17" i="13"/>
  <c r="BH18" i="13"/>
  <c r="BE10" i="13"/>
  <c r="BF10" i="13" s="1"/>
  <c r="BC11" i="13" s="1"/>
  <c r="BA15" i="13"/>
  <c r="AS17" i="13"/>
  <c r="Z10" i="13"/>
  <c r="AA10" i="13" s="1" a="1"/>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BB20" i="13" s="1"/>
  <c r="AH7" i="13"/>
  <c r="M6" i="13"/>
  <c r="O6" i="13" s="1"/>
  <c r="AM10" i="13" a="1"/>
  <c r="AB10" i="13"/>
  <c r="AJ10" i="13"/>
  <c r="AL10" i="13" s="1"/>
  <c r="AD19" i="13" a="1"/>
  <c r="BK19" i="13" s="1"/>
  <c r="BH19" i="13"/>
  <c r="AS18" i="13"/>
  <c r="BE11" i="13"/>
  <c r="BD11" i="13"/>
  <c r="BG11" i="13" s="1"/>
  <c r="Y11" i="13" s="1"/>
  <c r="AC19" i="13" a="1"/>
  <c r="BJ19" i="13" s="1"/>
  <c r="T19" i="13"/>
  <c r="U19" i="13" s="1"/>
  <c r="U20" i="13" s="1"/>
  <c r="AR19" i="13"/>
  <c r="AV19" i="13" s="1"/>
  <c r="AU18" i="13"/>
  <c r="R19" i="13"/>
  <c r="AZ17" i="13"/>
  <c r="BA17" i="13"/>
  <c r="P10" i="13"/>
  <c r="BI19" i="13" l="1"/>
  <c r="W19" i="13"/>
  <c r="AW19" i="13"/>
  <c r="AX18" i="13"/>
  <c r="BO17" i="13"/>
  <c r="AU19" i="13"/>
  <c r="BN19" i="13"/>
  <c r="AG20" i="13" a="1"/>
  <c r="AF20" i="13" a="1"/>
  <c r="L21" i="13"/>
  <c r="BL19" i="13"/>
  <c r="AI7" i="13"/>
  <c r="AE8" i="13" s="1"/>
  <c r="BM8" i="13" s="1"/>
  <c r="AR20" i="13"/>
  <c r="AV20" i="13" s="1"/>
  <c r="BH20" i="13"/>
  <c r="AS19" i="13"/>
  <c r="Z11" i="13"/>
  <c r="AA11" i="13" s="1" a="1"/>
  <c r="V19" i="13"/>
  <c r="AC20" i="13" a="1"/>
  <c r="BJ20" i="13" s="1"/>
  <c r="AD20" i="13" a="1"/>
  <c r="BK20" i="13" s="1"/>
  <c r="T20" i="13"/>
  <c r="R20" i="13"/>
  <c r="V20" i="13" s="1"/>
  <c r="AZ18" i="13"/>
  <c r="BA18" i="13"/>
  <c r="BF11" i="13"/>
  <c r="BC12" i="13" s="1"/>
  <c r="U21" i="13"/>
  <c r="N11" i="13"/>
  <c r="BH21" i="13" l="1"/>
  <c r="BB21" i="13"/>
  <c r="X19" i="13"/>
  <c r="BI21" i="13"/>
  <c r="W21" i="13"/>
  <c r="BI20" i="13"/>
  <c r="W20" i="13"/>
  <c r="X20" i="13" s="1"/>
  <c r="AX19" i="13"/>
  <c r="AW20" i="13"/>
  <c r="BO18" i="13"/>
  <c r="BN20" i="13"/>
  <c r="AG21" i="13" a="1"/>
  <c r="AF21" i="13" a="1"/>
  <c r="L22" i="13"/>
  <c r="BB22" i="13" s="1"/>
  <c r="BL20" i="13"/>
  <c r="AK7" i="13"/>
  <c r="AN7" i="13"/>
  <c r="AO7" i="13" s="1"/>
  <c r="AP7" i="13" s="1"/>
  <c r="AM11" i="13" a="1"/>
  <c r="AB11" i="13"/>
  <c r="AJ11" i="13"/>
  <c r="AL11" i="13" s="1"/>
  <c r="AU20" i="13"/>
  <c r="AR21" i="13"/>
  <c r="AV21" i="13" s="1"/>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B23" i="13" s="1"/>
  <c r="BL21" i="13"/>
  <c r="AH8" i="13"/>
  <c r="M7" i="13"/>
  <c r="O7" i="13" s="1"/>
  <c r="AR22" i="13"/>
  <c r="AV22" i="13" s="1"/>
  <c r="BH22" i="13"/>
  <c r="AU21" i="13"/>
  <c r="AS21" i="13"/>
  <c r="BA19" i="13"/>
  <c r="T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B24" i="13" s="1"/>
  <c r="BL22" i="13"/>
  <c r="AI8" i="13"/>
  <c r="AE9" i="13" s="1"/>
  <c r="BM9" i="13" s="1"/>
  <c r="AU22" i="13"/>
  <c r="AR23" i="13"/>
  <c r="AV23" i="13" s="1"/>
  <c r="BH23" i="13"/>
  <c r="AS22" i="13"/>
  <c r="BE13" i="13"/>
  <c r="BD13" i="13"/>
  <c r="BG13" i="13" s="1"/>
  <c r="Y13" i="13" s="1"/>
  <c r="Z12" i="13"/>
  <c r="AA12" i="13" s="1" a="1"/>
  <c r="AD23" i="13" a="1"/>
  <c r="BK23" i="13" s="1"/>
  <c r="T23" i="13"/>
  <c r="U23" i="13" s="1"/>
  <c r="U24" i="13" s="1"/>
  <c r="R23" i="13"/>
  <c r="AC23" i="13" a="1"/>
  <c r="BJ23" i="13" s="1"/>
  <c r="AZ21" i="13"/>
  <c r="BA21" i="13"/>
  <c r="P12" i="13"/>
  <c r="AY22" i="13"/>
  <c r="BI23" i="13" l="1"/>
  <c r="W23" i="13"/>
  <c r="AX22" i="13"/>
  <c r="AW23" i="13"/>
  <c r="BN23" i="13"/>
  <c r="BO21" i="13"/>
  <c r="AG24" i="13" a="1"/>
  <c r="AF24" i="13" a="1"/>
  <c r="L25" i="13"/>
  <c r="BB25" i="13" s="1"/>
  <c r="BL23" i="13"/>
  <c r="AK8" i="13"/>
  <c r="AN8" i="13"/>
  <c r="AO8" i="13" s="1"/>
  <c r="AP8" i="13" s="1"/>
  <c r="AM12" i="13" a="1"/>
  <c r="AB12" i="13"/>
  <c r="AJ12" i="13"/>
  <c r="AL12" i="13" s="1"/>
  <c r="AU23" i="13"/>
  <c r="AR24" i="13"/>
  <c r="AV24" i="13" s="1"/>
  <c r="BH24" i="13"/>
  <c r="AS23" i="13"/>
  <c r="Z13" i="13"/>
  <c r="AA13" i="13" s="1" a="1"/>
  <c r="V23" i="13"/>
  <c r="T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B26" i="13" s="1"/>
  <c r="BL24" i="13"/>
  <c r="M8" i="13"/>
  <c r="O8" i="13" s="1"/>
  <c r="AM13" i="13" a="1"/>
  <c r="AJ13" i="13"/>
  <c r="AL13" i="13" s="1"/>
  <c r="AB13" i="13"/>
  <c r="AU24" i="13"/>
  <c r="AR25" i="13"/>
  <c r="AV25" i="13" s="1"/>
  <c r="BH25" i="13"/>
  <c r="AS24" i="13"/>
  <c r="BE14" i="13"/>
  <c r="Y14" i="13"/>
  <c r="AY23" i="13"/>
  <c r="T25" i="13"/>
  <c r="R25" i="13"/>
  <c r="V25" i="13" s="1"/>
  <c r="AD25" i="13" a="1"/>
  <c r="BK25" i="13" s="1"/>
  <c r="AC25" i="13" a="1"/>
  <c r="BJ25" i="13" s="1"/>
  <c r="U26" i="13"/>
  <c r="AY24" i="13"/>
  <c r="BI25" i="13" l="1"/>
  <c r="W25" i="13"/>
  <c r="X25" i="13" s="1"/>
  <c r="AX24" i="13"/>
  <c r="AW25" i="13"/>
  <c r="BN25" i="13"/>
  <c r="BO23" i="13"/>
  <c r="AF26" i="13" a="1"/>
  <c r="AG26" i="13" a="1"/>
  <c r="L27" i="13"/>
  <c r="BL25" i="13"/>
  <c r="AH9" i="13"/>
  <c r="AI9" i="13" s="1"/>
  <c r="AE10" i="13" s="1"/>
  <c r="BM10" i="13" s="1"/>
  <c r="AU25" i="13"/>
  <c r="AR26" i="13"/>
  <c r="AV26" i="13" s="1"/>
  <c r="BH26" i="13"/>
  <c r="AZ23" i="13"/>
  <c r="BA23" i="13"/>
  <c r="AS25" i="13"/>
  <c r="Z14" i="13"/>
  <c r="AA14" i="13" s="1" a="1"/>
  <c r="R26" i="13"/>
  <c r="V26" i="13" s="1"/>
  <c r="AC26" i="13" a="1"/>
  <c r="BJ26" i="13" s="1"/>
  <c r="T26" i="13"/>
  <c r="AD26" i="13" a="1"/>
  <c r="BK26" i="13" s="1"/>
  <c r="BF14" i="13"/>
  <c r="BC15" i="13" s="1"/>
  <c r="AZ24" i="13"/>
  <c r="BA24" i="13"/>
  <c r="P14" i="13"/>
  <c r="AY25" i="13"/>
  <c r="N14" i="13"/>
  <c r="BH27" i="13" l="1"/>
  <c r="BI27" i="13" s="1"/>
  <c r="BB27" i="13"/>
  <c r="W27" i="13"/>
  <c r="BI26" i="13"/>
  <c r="W26" i="13"/>
  <c r="X26" i="13" s="1"/>
  <c r="AX25" i="13"/>
  <c r="AW26" i="13"/>
  <c r="BO24" i="13"/>
  <c r="BN26" i="13"/>
  <c r="AG27" i="13" a="1"/>
  <c r="AF27" i="13" a="1"/>
  <c r="L28" i="13"/>
  <c r="BB28" i="13" s="1"/>
  <c r="BL26" i="13"/>
  <c r="AN9" i="13"/>
  <c r="AO9" i="13" s="1"/>
  <c r="AP9" i="13" s="1"/>
  <c r="AK9" i="13"/>
  <c r="AM14" i="13" a="1"/>
  <c r="AB14" i="13"/>
  <c r="AJ14" i="13"/>
  <c r="AL14" i="13" s="1"/>
  <c r="AU26" i="13"/>
  <c r="AR27" i="13"/>
  <c r="AV27" i="13" s="1"/>
  <c r="T27" i="13"/>
  <c r="AS26" i="13"/>
  <c r="R27" i="13"/>
  <c r="BE15" i="13"/>
  <c r="BD15" i="13"/>
  <c r="BG15" i="13" s="1"/>
  <c r="Y15" i="13" s="1"/>
  <c r="AC27" i="13" a="1"/>
  <c r="BJ27" i="13" s="1"/>
  <c r="AD27" i="13" a="1"/>
  <c r="BK27" i="13" s="1"/>
  <c r="AZ25" i="13"/>
  <c r="BA25" i="13"/>
  <c r="AY26" i="13"/>
  <c r="AW27" i="13" l="1"/>
  <c r="AX26" i="13"/>
  <c r="BN27" i="13"/>
  <c r="BO25" i="13"/>
  <c r="AF28" i="13" a="1"/>
  <c r="AG28" i="13" a="1"/>
  <c r="L29" i="13"/>
  <c r="BB29" i="13" s="1"/>
  <c r="BL27" i="13"/>
  <c r="M9" i="13"/>
  <c r="O9" i="13" s="1"/>
  <c r="AR28" i="13"/>
  <c r="AV28" i="13" s="1"/>
  <c r="BH28" i="13"/>
  <c r="AU27" i="13"/>
  <c r="AS27" i="13"/>
  <c r="AD28" i="13" a="1"/>
  <c r="BK28" i="13" s="1"/>
  <c r="AC28" i="13" a="1"/>
  <c r="BJ28" i="13" s="1"/>
  <c r="T28" i="13"/>
  <c r="R28" i="13"/>
  <c r="P15" i="13"/>
  <c r="BF15" i="13"/>
  <c r="BC16" i="13" s="1"/>
  <c r="AZ26" i="13"/>
  <c r="BA26" i="13"/>
  <c r="N15" i="13"/>
  <c r="BI28" i="13" l="1"/>
  <c r="W28" i="13"/>
  <c r="AW28" i="13"/>
  <c r="AX27" i="13"/>
  <c r="BN28" i="13"/>
  <c r="BO26" i="13"/>
  <c r="AF29" i="13" a="1"/>
  <c r="AG29" i="13" a="1"/>
  <c r="L30" i="13"/>
  <c r="BB30" i="13" s="1"/>
  <c r="BL28" i="13"/>
  <c r="AH10" i="13"/>
  <c r="AI10" i="13" s="1"/>
  <c r="AE11" i="13" s="1"/>
  <c r="BM11" i="13" s="1"/>
  <c r="AU28" i="13"/>
  <c r="AR29" i="13"/>
  <c r="AV29" i="13" s="1"/>
  <c r="BH29" i="13"/>
  <c r="AS28" i="13"/>
  <c r="T29" i="13"/>
  <c r="AC29" i="13" a="1"/>
  <c r="BJ29" i="13" s="1"/>
  <c r="R29" i="13"/>
  <c r="AD29" i="13" a="1"/>
  <c r="BK29" i="13" s="1"/>
  <c r="BE16" i="13"/>
  <c r="BD16" i="13"/>
  <c r="BG16" i="13" s="1"/>
  <c r="Y16" i="13" s="1"/>
  <c r="Z15" i="13"/>
  <c r="AA15" i="13" s="1" a="1"/>
  <c r="BI29" i="13" l="1"/>
  <c r="W29" i="13"/>
  <c r="AW29" i="13"/>
  <c r="AX28" i="13"/>
  <c r="BN29" i="13"/>
  <c r="BO27" i="13"/>
  <c r="AF30" i="13" a="1"/>
  <c r="AG30" i="13" a="1"/>
  <c r="L31" i="13"/>
  <c r="BB31" i="13" s="1"/>
  <c r="BL29" i="13"/>
  <c r="AK10" i="13"/>
  <c r="AN10" i="13"/>
  <c r="AO10" i="13" s="1"/>
  <c r="AP10" i="13" s="1"/>
  <c r="AM15" i="13" a="1"/>
  <c r="AB15" i="13"/>
  <c r="AJ15" i="13"/>
  <c r="AL15" i="13" s="1"/>
  <c r="AU29" i="13"/>
  <c r="AR30" i="13"/>
  <c r="AV30" i="13" s="1"/>
  <c r="BH30" i="13"/>
  <c r="AS29" i="13"/>
  <c r="AC30" i="13" a="1"/>
  <c r="BJ30" i="13" s="1"/>
  <c r="AD30" i="13" a="1"/>
  <c r="BK30" i="13" s="1"/>
  <c r="T30" i="13"/>
  <c r="R30" i="13"/>
  <c r="Z16" i="13"/>
  <c r="AA16" i="13" s="1" a="1"/>
  <c r="BF16" i="13"/>
  <c r="BC17" i="13" s="1"/>
  <c r="P16" i="13"/>
  <c r="N16" i="13"/>
  <c r="BI30" i="13" l="1"/>
  <c r="W30" i="13"/>
  <c r="AX29" i="13"/>
  <c r="AW30" i="13"/>
  <c r="BN30" i="13"/>
  <c r="BO28" i="13"/>
  <c r="AG31" i="13" a="1"/>
  <c r="AF31" i="13" a="1"/>
  <c r="L32" i="13"/>
  <c r="BB32" i="13" s="1"/>
  <c r="BL30" i="13"/>
  <c r="M10" i="13"/>
  <c r="O10" i="13" s="1"/>
  <c r="AM16" i="13" a="1"/>
  <c r="AJ16" i="13"/>
  <c r="AL16" i="13" s="1"/>
  <c r="AB16" i="13"/>
  <c r="AU30" i="13"/>
  <c r="AR31" i="13"/>
  <c r="AV31" i="13" s="1"/>
  <c r="BH31" i="13"/>
  <c r="R31" i="13"/>
  <c r="AS30" i="13"/>
  <c r="AD31" i="13" a="1"/>
  <c r="BK31" i="13" s="1"/>
  <c r="T31" i="13"/>
  <c r="U31" i="13" s="1"/>
  <c r="U32" i="13" s="1"/>
  <c r="AC31" i="13" a="1"/>
  <c r="BJ31" i="13" s="1"/>
  <c r="BE17" i="13"/>
  <c r="BD17" i="13"/>
  <c r="BG17" i="13" s="1"/>
  <c r="BI31" i="13" l="1"/>
  <c r="W31" i="13"/>
  <c r="AW31" i="13"/>
  <c r="AX30" i="13"/>
  <c r="BO29" i="13"/>
  <c r="BN31" i="13"/>
  <c r="AF32" i="13" a="1"/>
  <c r="AG32" i="13" a="1"/>
  <c r="L33" i="13"/>
  <c r="BB33" i="13" s="1"/>
  <c r="BL31" i="13"/>
  <c r="AH11" i="13"/>
  <c r="AI11" i="13" s="1"/>
  <c r="AE12" i="13" s="1"/>
  <c r="BM12" i="13" s="1"/>
  <c r="AU31" i="13"/>
  <c r="AR32" i="13"/>
  <c r="AV32" i="13" s="1"/>
  <c r="BH32" i="13"/>
  <c r="AS31" i="13"/>
  <c r="R32" i="13"/>
  <c r="V32" i="13" s="1"/>
  <c r="AD32" i="13" a="1"/>
  <c r="BK32" i="13" s="1"/>
  <c r="AC32" i="13" a="1"/>
  <c r="BJ32" i="13" s="1"/>
  <c r="T32" i="13"/>
  <c r="V31" i="13"/>
  <c r="AY31" i="13" s="1"/>
  <c r="BF17" i="13"/>
  <c r="BC18" i="13" s="1"/>
  <c r="BE18" i="13" s="1"/>
  <c r="Y17" i="13"/>
  <c r="U33" i="13"/>
  <c r="N17" i="13"/>
  <c r="BI32" i="13" l="1"/>
  <c r="W32" i="13"/>
  <c r="X32" i="13" s="1"/>
  <c r="AX31" i="13"/>
  <c r="AW32" i="13"/>
  <c r="BN32" i="13"/>
  <c r="BO30" i="13"/>
  <c r="AG33" i="13" a="1"/>
  <c r="AF33" i="13" a="1"/>
  <c r="L34" i="13"/>
  <c r="BL32" i="13"/>
  <c r="AK11" i="13"/>
  <c r="AN11" i="13"/>
  <c r="AO11" i="13" s="1"/>
  <c r="AP11" i="13" s="1"/>
  <c r="AU32" i="13"/>
  <c r="AR33" i="13"/>
  <c r="AV33" i="13" s="1"/>
  <c r="BH33" i="13"/>
  <c r="AS32" i="13"/>
  <c r="AD33" i="13" a="1"/>
  <c r="BK33" i="13" s="1"/>
  <c r="R33" i="13"/>
  <c r="V33" i="13" s="1"/>
  <c r="AC33" i="13" a="1"/>
  <c r="BJ33" i="13" s="1"/>
  <c r="T33" i="13"/>
  <c r="X31" i="13"/>
  <c r="BD18" i="13"/>
  <c r="BG18" i="13" s="1"/>
  <c r="Y18" i="13" s="1"/>
  <c r="P17" i="13"/>
  <c r="AZ31" i="13"/>
  <c r="BA31" i="13"/>
  <c r="U34" i="13"/>
  <c r="AY32" i="13"/>
  <c r="BH34" i="13" l="1"/>
  <c r="BB34" i="13"/>
  <c r="BI34" i="13"/>
  <c r="W34" i="13"/>
  <c r="BI33" i="13"/>
  <c r="W33" i="13"/>
  <c r="X33" i="13" s="1"/>
  <c r="AW33" i="13"/>
  <c r="AX32" i="13"/>
  <c r="BO31" i="13"/>
  <c r="BN33" i="13"/>
  <c r="AG34" i="13" a="1"/>
  <c r="AF34" i="13" a="1"/>
  <c r="L35" i="13"/>
  <c r="BB35" i="13" s="1"/>
  <c r="BL33" i="13"/>
  <c r="M11" i="13"/>
  <c r="O11" i="13" s="1"/>
  <c r="Z18" i="13"/>
  <c r="AA18" i="13" s="1" a="1"/>
  <c r="AU33" i="13"/>
  <c r="AR34" i="13"/>
  <c r="AV34" i="13" s="1"/>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L34" i="13"/>
  <c r="AH12" i="13"/>
  <c r="AI12" i="13" s="1"/>
  <c r="AE13" i="13" s="1"/>
  <c r="BM13" i="13" s="1"/>
  <c r="AB18" i="13"/>
  <c r="AM18" i="13" a="1"/>
  <c r="AM17" i="13" a="1"/>
  <c r="AB17" i="13"/>
  <c r="AJ17" i="13"/>
  <c r="AC35" i="13" a="1"/>
  <c r="BJ35" i="13" s="1"/>
  <c r="BH35" i="13"/>
  <c r="AU34" i="13"/>
  <c r="AR35" i="13"/>
  <c r="AV35" i="13" s="1"/>
  <c r="T35" i="13"/>
  <c r="U35" i="13" s="1"/>
  <c r="U36" i="13" s="1"/>
  <c r="R35" i="13"/>
  <c r="AD35" i="13" a="1"/>
  <c r="BK35" i="13" s="1"/>
  <c r="AS34" i="13"/>
  <c r="BE19" i="13"/>
  <c r="BF19" i="13" s="1"/>
  <c r="BC20" i="13" s="1"/>
  <c r="Z19" i="13"/>
  <c r="AA19" i="13" s="1" a="1"/>
  <c r="AZ33" i="13"/>
  <c r="BA33" i="13"/>
  <c r="P19" i="13"/>
  <c r="AY34" i="13"/>
  <c r="X34" i="13"/>
  <c r="BH36" i="13" l="1"/>
  <c r="BB36" i="13"/>
  <c r="BI35" i="13"/>
  <c r="W35" i="13"/>
  <c r="AW35" i="13"/>
  <c r="AX34" i="13"/>
  <c r="BO33" i="13"/>
  <c r="BN35" i="13"/>
  <c r="AF36" i="13" a="1"/>
  <c r="AG36" i="13" a="1"/>
  <c r="L37" i="13"/>
  <c r="BB37" i="13" s="1"/>
  <c r="BL35" i="13"/>
  <c r="AK12" i="13"/>
  <c r="AN12" i="13"/>
  <c r="AO12" i="13" s="1"/>
  <c r="AP12" i="13" s="1"/>
  <c r="AM19" i="13" a="1"/>
  <c r="AJ18" i="13"/>
  <c r="AL17" i="13"/>
  <c r="AB19" i="13"/>
  <c r="AU35" i="13"/>
  <c r="V35" i="13"/>
  <c r="AR36" i="13"/>
  <c r="AV36" i="13" s="1"/>
  <c r="T36" i="13"/>
  <c r="AC36" i="13" a="1"/>
  <c r="BJ36" i="13" s="1"/>
  <c r="AD36" i="13" a="1"/>
  <c r="BK36" i="13" s="1"/>
  <c r="R36" i="13"/>
  <c r="V36" i="13" s="1"/>
  <c r="AS35" i="13"/>
  <c r="BE20" i="13"/>
  <c r="BD20" i="13"/>
  <c r="BG20" i="13" s="1"/>
  <c r="Y20" i="13" s="1"/>
  <c r="AZ34" i="13"/>
  <c r="BA34" i="13"/>
  <c r="U37" i="13"/>
  <c r="N19" i="13"/>
  <c r="BI36" i="13" l="1"/>
  <c r="W36" i="13"/>
  <c r="X36" i="13" s="1"/>
  <c r="AW36" i="13"/>
  <c r="AX35" i="13"/>
  <c r="BO34" i="13"/>
  <c r="BN36" i="13"/>
  <c r="AG37" i="13" a="1"/>
  <c r="AF37" i="13" a="1"/>
  <c r="L38" i="13"/>
  <c r="BL36" i="13"/>
  <c r="M12" i="13"/>
  <c r="O12" i="13" s="1"/>
  <c r="AL18" i="13"/>
  <c r="AJ19" i="13"/>
  <c r="AL19" i="13" s="1"/>
  <c r="BH37" i="13"/>
  <c r="AU36" i="13"/>
  <c r="AR37" i="13"/>
  <c r="AV37" i="13" s="1"/>
  <c r="T37" i="13"/>
  <c r="AC37" i="13" a="1"/>
  <c r="BJ37" i="13" s="1"/>
  <c r="AD37" i="13" a="1"/>
  <c r="BK37" i="13" s="1"/>
  <c r="R37" i="13"/>
  <c r="V37" i="13" s="1"/>
  <c r="X35" i="13"/>
  <c r="AY35" i="13"/>
  <c r="AS36" i="13"/>
  <c r="P20" i="13"/>
  <c r="BF20" i="13"/>
  <c r="BC21" i="13" s="1"/>
  <c r="U38" i="13"/>
  <c r="AY36" i="13"/>
  <c r="BH38" i="13" l="1"/>
  <c r="BB38" i="13"/>
  <c r="BI37" i="13"/>
  <c r="W37" i="13"/>
  <c r="X37" i="13" s="1"/>
  <c r="AW37" i="13"/>
  <c r="AX36" i="13"/>
  <c r="BO35" i="13"/>
  <c r="BN37" i="13"/>
  <c r="AF38" i="13" a="1"/>
  <c r="AG38" i="13" a="1"/>
  <c r="L39" i="13"/>
  <c r="BL37" i="13"/>
  <c r="AH13" i="13"/>
  <c r="AI13" i="13" s="1"/>
  <c r="AE14" i="13" s="1"/>
  <c r="BM14" i="13" s="1"/>
  <c r="AC38" i="13" a="1"/>
  <c r="BJ38" i="13" s="1"/>
  <c r="BA35" i="13"/>
  <c r="AZ35" i="13"/>
  <c r="AU37" i="13"/>
  <c r="T38" i="13"/>
  <c r="AR38" i="13"/>
  <c r="AV38" i="13" s="1"/>
  <c r="AD38" i="13" a="1"/>
  <c r="BK38" i="13" s="1"/>
  <c r="R38" i="13"/>
  <c r="V38" i="13" s="1"/>
  <c r="AS37" i="13"/>
  <c r="BE21" i="13"/>
  <c r="BD21" i="13"/>
  <c r="BG21" i="13" s="1"/>
  <c r="Y21" i="13" s="1"/>
  <c r="Z20" i="13"/>
  <c r="AA20" i="13" s="1" a="1"/>
  <c r="AZ36" i="13"/>
  <c r="BA36" i="13"/>
  <c r="AY37" i="13"/>
  <c r="BI38" i="13" l="1"/>
  <c r="W38" i="13"/>
  <c r="X38" i="13" s="1"/>
  <c r="BH39" i="13"/>
  <c r="BB39" i="13"/>
  <c r="BI39" i="13"/>
  <c r="W39" i="13"/>
  <c r="AX37" i="13"/>
  <c r="AW38" i="13"/>
  <c r="BN38" i="13"/>
  <c r="BO36" i="13"/>
  <c r="AF39" i="13" a="1"/>
  <c r="AG39" i="13" a="1"/>
  <c r="L40" i="13"/>
  <c r="BL38" i="13"/>
  <c r="AK13" i="13"/>
  <c r="AN13" i="13"/>
  <c r="AO13" i="13" s="1"/>
  <c r="AP13" i="13" s="1"/>
  <c r="AM20" i="13" a="1"/>
  <c r="AB20" i="13"/>
  <c r="AJ20" i="13"/>
  <c r="AL20" i="13" s="1"/>
  <c r="T39" i="13"/>
  <c r="U39" i="13" s="1"/>
  <c r="AC39" i="13" a="1"/>
  <c r="BJ39" i="13" s="1"/>
  <c r="AD39" i="13" a="1"/>
  <c r="BK39" i="13" s="1"/>
  <c r="R39" i="13"/>
  <c r="AU38" i="13"/>
  <c r="AR39" i="13"/>
  <c r="AV39" i="13" s="1"/>
  <c r="AS38" i="13"/>
  <c r="Z21" i="13"/>
  <c r="AA21" i="13" s="1" a="1"/>
  <c r="BF21" i="13"/>
  <c r="BC22" i="13" s="1"/>
  <c r="AZ37" i="13"/>
  <c r="BA37" i="13"/>
  <c r="P21" i="13"/>
  <c r="AY38" i="13"/>
  <c r="BH40" i="13" l="1"/>
  <c r="BI40" i="13" s="1"/>
  <c r="BB40" i="13"/>
  <c r="W40" i="13"/>
  <c r="AX38" i="13"/>
  <c r="AW39" i="13"/>
  <c r="BN39" i="13"/>
  <c r="BO37" i="13"/>
  <c r="AF40" i="13" a="1"/>
  <c r="AG40" i="13" a="1"/>
  <c r="L41" i="13"/>
  <c r="BB41" i="13" s="1"/>
  <c r="BL39" i="13"/>
  <c r="M13" i="13"/>
  <c r="O13" i="13" s="1"/>
  <c r="AM21" i="13" a="1"/>
  <c r="AB21" i="13"/>
  <c r="AJ21" i="13"/>
  <c r="AL21" i="13" s="1"/>
  <c r="V39" i="13"/>
  <c r="U40" i="13"/>
  <c r="AU39"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L40" i="13"/>
  <c r="AH14" i="13"/>
  <c r="AI14" i="13" s="1"/>
  <c r="AE15" i="13" s="1"/>
  <c r="BM15" i="13" s="1"/>
  <c r="BH41" i="13"/>
  <c r="AY39" i="13"/>
  <c r="X39" i="13"/>
  <c r="V40" i="13"/>
  <c r="U41" i="13"/>
  <c r="U42" i="13" s="1"/>
  <c r="T41" i="13"/>
  <c r="AC41" i="13" a="1"/>
  <c r="BJ41" i="13" s="1"/>
  <c r="AU40" i="13"/>
  <c r="AR41" i="13"/>
  <c r="AV41" i="13" s="1"/>
  <c r="AD41" i="13" a="1"/>
  <c r="BK41" i="13" s="1"/>
  <c r="R41" i="13"/>
  <c r="AS40" i="13"/>
  <c r="Z22" i="13"/>
  <c r="AA22" i="13" s="1" a="1"/>
  <c r="BF22" i="13"/>
  <c r="BC23" i="13" s="1"/>
  <c r="P22" i="13"/>
  <c r="BH42" i="13" l="1"/>
  <c r="BB42" i="13"/>
  <c r="BI42" i="13"/>
  <c r="W42" i="13"/>
  <c r="BI41" i="13"/>
  <c r="W41" i="13"/>
  <c r="AW41" i="13"/>
  <c r="AX40" i="13"/>
  <c r="BO39" i="13"/>
  <c r="BN41" i="13"/>
  <c r="AG42" i="13" a="1"/>
  <c r="AF42" i="13" a="1"/>
  <c r="L43" i="13"/>
  <c r="BL41" i="13"/>
  <c r="AK14" i="13"/>
  <c r="AN14" i="13"/>
  <c r="AO14" i="13" s="1"/>
  <c r="AP14" i="13" s="1"/>
  <c r="AM22" i="13" a="1"/>
  <c r="AB22" i="13"/>
  <c r="AJ22" i="13"/>
  <c r="AL22" i="13" s="1"/>
  <c r="AZ39" i="13"/>
  <c r="BA39" i="13"/>
  <c r="AR42" i="13"/>
  <c r="AV42" i="13" s="1"/>
  <c r="T42" i="13"/>
  <c r="AC42" i="13" a="1"/>
  <c r="BJ42" i="13" s="1"/>
  <c r="AD42" i="13" a="1"/>
  <c r="BK42" i="13" s="1"/>
  <c r="R42" i="13"/>
  <c r="V42" i="13" s="1"/>
  <c r="V41" i="13"/>
  <c r="AY40" i="13"/>
  <c r="X40" i="13"/>
  <c r="AU41" i="13"/>
  <c r="AS41" i="13"/>
  <c r="BE23" i="13"/>
  <c r="BD23" i="13"/>
  <c r="BG23" i="13" s="1"/>
  <c r="Y23" i="13" s="1"/>
  <c r="N22" i="13"/>
  <c r="BH43" i="13" l="1"/>
  <c r="BB43" i="13"/>
  <c r="BI43" i="13"/>
  <c r="W43" i="13"/>
  <c r="AX41" i="13"/>
  <c r="AW42" i="13"/>
  <c r="BN42" i="13"/>
  <c r="BO40" i="13"/>
  <c r="AG43" i="13" a="1"/>
  <c r="AF43" i="13" a="1"/>
  <c r="L44" i="13"/>
  <c r="BL42" i="13"/>
  <c r="M14" i="13"/>
  <c r="O14" i="13" s="1"/>
  <c r="X41" i="13"/>
  <c r="AY41" i="13"/>
  <c r="AR43" i="13"/>
  <c r="AV43" i="13" s="1"/>
  <c r="R43" i="13"/>
  <c r="AC43" i="13" a="1"/>
  <c r="BJ43" i="13" s="1"/>
  <c r="AD43" i="13" a="1"/>
  <c r="BK43" i="13" s="1"/>
  <c r="T43" i="13"/>
  <c r="U43" i="13" s="1"/>
  <c r="AU42" i="13"/>
  <c r="AZ40" i="13"/>
  <c r="BA40" i="13"/>
  <c r="AS42" i="13"/>
  <c r="Z23" i="13"/>
  <c r="AA23" i="13" s="1" a="1"/>
  <c r="BF23" i="13"/>
  <c r="BC24" i="13" s="1"/>
  <c r="P23" i="13"/>
  <c r="AY42" i="13"/>
  <c r="X42" i="13"/>
  <c r="BH44" i="13" l="1"/>
  <c r="BB44" i="13"/>
  <c r="BI44" i="13"/>
  <c r="W44" i="13"/>
  <c r="AW43" i="13"/>
  <c r="AX42" i="13"/>
  <c r="BN43" i="13"/>
  <c r="BO41" i="13"/>
  <c r="AG44" i="13" a="1"/>
  <c r="AF44" i="13" a="1"/>
  <c r="L45" i="13"/>
  <c r="BL43" i="13"/>
  <c r="AH15" i="13"/>
  <c r="AI15" i="13" s="1"/>
  <c r="AE16" i="13" s="1"/>
  <c r="BM16" i="13" s="1"/>
  <c r="AM23" i="13" a="1"/>
  <c r="AB23" i="13"/>
  <c r="AJ23" i="13"/>
  <c r="AL23" i="13" s="1"/>
  <c r="AZ41" i="13"/>
  <c r="BA41" i="13"/>
  <c r="AU43" i="13"/>
  <c r="T44" i="13"/>
  <c r="AR44" i="13"/>
  <c r="AV44" i="13" s="1"/>
  <c r="AC44" i="13" a="1"/>
  <c r="BJ44" i="13" s="1"/>
  <c r="AD44" i="13" a="1"/>
  <c r="BK44" i="13" s="1"/>
  <c r="R44" i="13"/>
  <c r="U44" i="13"/>
  <c r="V43" i="13"/>
  <c r="AS43" i="13"/>
  <c r="BE24" i="13"/>
  <c r="BD24" i="13"/>
  <c r="BG24" i="13" s="1"/>
  <c r="Y24" i="13" s="1"/>
  <c r="AZ42" i="13"/>
  <c r="BA42" i="13"/>
  <c r="N23" i="13"/>
  <c r="BH45" i="13" l="1"/>
  <c r="BB45" i="13"/>
  <c r="BI45" i="13"/>
  <c r="W45" i="13"/>
  <c r="AX43" i="13"/>
  <c r="AW44" i="13"/>
  <c r="BN44" i="13"/>
  <c r="BO42" i="13"/>
  <c r="AF45" i="13" a="1"/>
  <c r="AG45" i="13" a="1"/>
  <c r="L46" i="13"/>
  <c r="BL44" i="13"/>
  <c r="AK15" i="13"/>
  <c r="AN15" i="13"/>
  <c r="AO15" i="13" s="1"/>
  <c r="AP15" i="13" s="1"/>
  <c r="AU44" i="13"/>
  <c r="AR45" i="13"/>
  <c r="AV45" i="13" s="1"/>
  <c r="T45" i="13"/>
  <c r="AC45" i="13" a="1"/>
  <c r="BJ45" i="13" s="1"/>
  <c r="AD45" i="13" a="1"/>
  <c r="BK45" i="13" s="1"/>
  <c r="R45" i="13"/>
  <c r="U45" i="13"/>
  <c r="V44" i="13"/>
  <c r="AY43" i="13"/>
  <c r="X43" i="13"/>
  <c r="AS44" i="13"/>
  <c r="Z24" i="13"/>
  <c r="AA24" i="13" s="1" a="1"/>
  <c r="BF24" i="13"/>
  <c r="BC25" i="13" s="1"/>
  <c r="P24" i="13"/>
  <c r="BH46" i="13" l="1"/>
  <c r="BB46" i="13"/>
  <c r="BI46" i="13"/>
  <c r="W46" i="13"/>
  <c r="AX44" i="13"/>
  <c r="AW45" i="13"/>
  <c r="BN45" i="13"/>
  <c r="BO43" i="13"/>
  <c r="AF46" i="13" a="1"/>
  <c r="AG46" i="13" a="1"/>
  <c r="L47" i="13"/>
  <c r="BL45" i="13"/>
  <c r="M15" i="13"/>
  <c r="O15" i="13" s="1"/>
  <c r="AM24" i="13" a="1"/>
  <c r="AB24" i="13"/>
  <c r="AJ24" i="13"/>
  <c r="AL24" i="13" s="1"/>
  <c r="AU45" i="13"/>
  <c r="AR46" i="13"/>
  <c r="AV46" i="13" s="1"/>
  <c r="T46" i="13"/>
  <c r="AC46" i="13" a="1"/>
  <c r="BJ46" i="13" s="1"/>
  <c r="AD46" i="13" a="1"/>
  <c r="BK46" i="13" s="1"/>
  <c r="R46" i="13"/>
  <c r="V45" i="13"/>
  <c r="U46" i="13"/>
  <c r="AY44" i="13"/>
  <c r="X44" i="13"/>
  <c r="AZ43" i="13"/>
  <c r="BA43" i="13"/>
  <c r="AS45" i="13"/>
  <c r="BE25" i="13"/>
  <c r="BD25" i="13"/>
  <c r="BG25" i="13" s="1"/>
  <c r="Y25" i="13" s="1"/>
  <c r="N24" i="13"/>
  <c r="BH47" i="13" l="1"/>
  <c r="BB47" i="13"/>
  <c r="BI47" i="13"/>
  <c r="W47" i="13"/>
  <c r="AX45" i="13"/>
  <c r="AW46" i="13"/>
  <c r="BN46" i="13"/>
  <c r="BO44" i="13"/>
  <c r="AF47" i="13" a="1"/>
  <c r="AG47" i="13" a="1"/>
  <c r="L48" i="13"/>
  <c r="BL46" i="13"/>
  <c r="AH16" i="13"/>
  <c r="AI16" i="13" s="1"/>
  <c r="AE17" i="13" s="1"/>
  <c r="BM17" i="13" s="1"/>
  <c r="V46" i="13"/>
  <c r="AU46" i="13"/>
  <c r="T47" i="13"/>
  <c r="U47" i="13" s="1"/>
  <c r="AD47" i="13" a="1"/>
  <c r="BK47" i="13" s="1"/>
  <c r="AC47" i="13" a="1"/>
  <c r="BJ47" i="13" s="1"/>
  <c r="AZ44" i="13"/>
  <c r="BA44" i="13"/>
  <c r="AR47" i="13"/>
  <c r="AV47" i="13" s="1"/>
  <c r="R47" i="13"/>
  <c r="AY45" i="13"/>
  <c r="X45" i="13"/>
  <c r="AS46" i="13"/>
  <c r="Z25" i="13"/>
  <c r="AA25" i="13" s="1" a="1"/>
  <c r="BF25" i="13"/>
  <c r="BC26" i="13" s="1"/>
  <c r="P25" i="13"/>
  <c r="BH48" i="13" l="1"/>
  <c r="BB48" i="13"/>
  <c r="BI48" i="13"/>
  <c r="W48" i="13"/>
  <c r="BO45" i="13"/>
  <c r="AW47" i="13"/>
  <c r="AX46" i="13"/>
  <c r="BN47" i="13"/>
  <c r="AG48" i="13" a="1"/>
  <c r="AF48" i="13" a="1"/>
  <c r="L49" i="13"/>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T48" i="13"/>
  <c r="AS47" i="13"/>
  <c r="BE26" i="13"/>
  <c r="BD26" i="13"/>
  <c r="BG26" i="13" s="1"/>
  <c r="Y26" i="13" s="1"/>
  <c r="N25" i="13"/>
  <c r="BH49" i="13" l="1"/>
  <c r="BB49" i="13"/>
  <c r="AW48" i="13"/>
  <c r="AX47" i="13"/>
  <c r="BO46" i="13"/>
  <c r="BN48" i="13"/>
  <c r="AF49" i="13" a="1"/>
  <c r="AG49" i="13" a="1"/>
  <c r="L50" i="13"/>
  <c r="BL48" i="13"/>
  <c r="M16" i="13"/>
  <c r="O16" i="13" s="1"/>
  <c r="BA46" i="13"/>
  <c r="AZ46" i="13"/>
  <c r="U49" i="13"/>
  <c r="U50" i="13" s="1"/>
  <c r="V48" i="13"/>
  <c r="AY47" i="13"/>
  <c r="X47" i="13"/>
  <c r="AU48" i="13"/>
  <c r="T49" i="13"/>
  <c r="AR49" i="13"/>
  <c r="AV49" i="13" s="1"/>
  <c r="AC49" i="13" a="1"/>
  <c r="BJ49" i="13" s="1"/>
  <c r="AD49" i="13" a="1"/>
  <c r="BK49" i="13" s="1"/>
  <c r="R49" i="13"/>
  <c r="AS48" i="13"/>
  <c r="Z26" i="13"/>
  <c r="AA26" i="13" s="1" a="1"/>
  <c r="BF26" i="13"/>
  <c r="BC27" i="13" s="1"/>
  <c r="P26" i="13"/>
  <c r="BI49" i="13" l="1"/>
  <c r="W49" i="13"/>
  <c r="BH50" i="13"/>
  <c r="BB50" i="13"/>
  <c r="BI50" i="13"/>
  <c r="W50" i="13"/>
  <c r="AW49" i="13"/>
  <c r="AX48" i="13"/>
  <c r="BN49" i="13"/>
  <c r="BO47" i="13"/>
  <c r="AF50" i="13" a="1"/>
  <c r="AG50" i="13" a="1"/>
  <c r="L51" i="13"/>
  <c r="BL49" i="13"/>
  <c r="AH17" i="13"/>
  <c r="AI17" i="13" s="1"/>
  <c r="AE18" i="13" s="1"/>
  <c r="BM18" i="13" s="1"/>
  <c r="AM26" i="13" a="1"/>
  <c r="AB26" i="13"/>
  <c r="AJ26" i="13"/>
  <c r="AL26" i="13" s="1"/>
  <c r="V49" i="13"/>
  <c r="AY48" i="13"/>
  <c r="X48" i="13"/>
  <c r="AZ47" i="13"/>
  <c r="BA47" i="13"/>
  <c r="AU49" i="13"/>
  <c r="AR50" i="13"/>
  <c r="AV50" i="13" s="1"/>
  <c r="T50" i="13"/>
  <c r="R50" i="13"/>
  <c r="V50" i="13" s="1"/>
  <c r="AC50" i="13" a="1"/>
  <c r="BJ50" i="13" s="1"/>
  <c r="AD50" i="13" a="1"/>
  <c r="BK50" i="13" s="1"/>
  <c r="AS49" i="13"/>
  <c r="BE27" i="13"/>
  <c r="BD27" i="13"/>
  <c r="N26" i="13"/>
  <c r="BH51" i="13" l="1"/>
  <c r="BB51" i="13"/>
  <c r="BI51" i="13"/>
  <c r="W51" i="13"/>
  <c r="AX49" i="13"/>
  <c r="AW50" i="13"/>
  <c r="BN50" i="13"/>
  <c r="BO48" i="13"/>
  <c r="AF51" i="13" a="1"/>
  <c r="AG51" i="13" a="1"/>
  <c r="L52" i="13"/>
  <c r="BL50" i="13"/>
  <c r="AK17" i="13"/>
  <c r="AN17" i="13"/>
  <c r="AO17" i="13" s="1"/>
  <c r="AP17" i="13" s="1"/>
  <c r="X49" i="13"/>
  <c r="AY49" i="13"/>
  <c r="AZ48" i="13"/>
  <c r="BA48" i="13"/>
  <c r="AU50" i="13"/>
  <c r="AR51" i="13"/>
  <c r="AV51" i="13" s="1"/>
  <c r="T51" i="13"/>
  <c r="U51" i="13" s="1"/>
  <c r="AC51" i="13" a="1"/>
  <c r="BJ51" i="13" s="1"/>
  <c r="AD51" i="13" a="1"/>
  <c r="BK51" i="13" s="1"/>
  <c r="R51" i="13"/>
  <c r="BF27" i="13"/>
  <c r="BC28" i="13" s="1"/>
  <c r="BE28" i="13" s="1"/>
  <c r="AS50" i="13"/>
  <c r="AY50" i="13"/>
  <c r="X50" i="13"/>
  <c r="BH52" i="13" l="1"/>
  <c r="BB52" i="13"/>
  <c r="AX50" i="13"/>
  <c r="AW51" i="13"/>
  <c r="BO49" i="13"/>
  <c r="BN51" i="13"/>
  <c r="AF52" i="13" a="1"/>
  <c r="AG52" i="13" a="1"/>
  <c r="L53" i="13"/>
  <c r="BL51" i="13"/>
  <c r="M17" i="13"/>
  <c r="O17" i="13" s="1"/>
  <c r="AZ49" i="13"/>
  <c r="BA49" i="13"/>
  <c r="AU51" i="13"/>
  <c r="V51" i="13"/>
  <c r="U52" i="13"/>
  <c r="AR52" i="13"/>
  <c r="AV52" i="13" s="1"/>
  <c r="T52" i="13"/>
  <c r="AC52" i="13" a="1"/>
  <c r="BJ52" i="13" s="1"/>
  <c r="R52" i="13"/>
  <c r="AD52" i="13" a="1"/>
  <c r="BK52" i="13" s="1"/>
  <c r="BD28" i="13"/>
  <c r="BF28" i="13" s="1"/>
  <c r="BC29" i="13" s="1"/>
  <c r="AS51" i="13"/>
  <c r="AZ50" i="13"/>
  <c r="BA50" i="13"/>
  <c r="N27" i="13"/>
  <c r="BI52" i="13" l="1"/>
  <c r="W52" i="13"/>
  <c r="BH53" i="13"/>
  <c r="BB53" i="13"/>
  <c r="BI53" i="13"/>
  <c r="W53" i="13"/>
  <c r="BO50" i="13"/>
  <c r="AX51" i="13"/>
  <c r="AW52" i="13"/>
  <c r="BN52" i="13"/>
  <c r="AF53" i="13" a="1"/>
  <c r="AG53" i="13" a="1"/>
  <c r="L54" i="13"/>
  <c r="BB54" i="13" s="1"/>
  <c r="BL52" i="13"/>
  <c r="AH18" i="13"/>
  <c r="AI18" i="13" s="1"/>
  <c r="AE19" i="13" s="1"/>
  <c r="BM19" i="13" s="1"/>
  <c r="AY51" i="13"/>
  <c r="X51" i="13"/>
  <c r="AU52" i="13"/>
  <c r="AD53" i="13" a="1"/>
  <c r="BK53" i="13" s="1"/>
  <c r="U53" i="13"/>
  <c r="U54" i="13" s="1"/>
  <c r="V52" i="13"/>
  <c r="T53" i="13"/>
  <c r="AC53" i="13" a="1"/>
  <c r="BJ53" i="13" s="1"/>
  <c r="AR53" i="13"/>
  <c r="AV53" i="13" s="1"/>
  <c r="R53" i="13"/>
  <c r="AS52" i="13"/>
  <c r="BE29" i="13"/>
  <c r="BD29" i="13"/>
  <c r="AW53" i="13" l="1"/>
  <c r="AX52" i="13"/>
  <c r="BO51" i="13"/>
  <c r="BN53" i="13"/>
  <c r="AF54" i="13" a="1"/>
  <c r="AG54" i="13" a="1"/>
  <c r="L55" i="13"/>
  <c r="BL53" i="13"/>
  <c r="AK18" i="13"/>
  <c r="AN18" i="13"/>
  <c r="AO18" i="13" s="1"/>
  <c r="AP18" i="13" s="1"/>
  <c r="BH54" i="13"/>
  <c r="V53" i="13"/>
  <c r="BA51" i="13"/>
  <c r="AZ51" i="13"/>
  <c r="AY52" i="13"/>
  <c r="X52" i="13"/>
  <c r="AU53" i="13"/>
  <c r="AR54" i="13"/>
  <c r="AV54" i="13" s="1"/>
  <c r="AC54" i="13" a="1"/>
  <c r="BJ54" i="13" s="1"/>
  <c r="AD54" i="13" a="1"/>
  <c r="BK54" i="13" s="1"/>
  <c r="R54" i="13"/>
  <c r="V54" i="13" s="1"/>
  <c r="T54" i="13"/>
  <c r="AS53" i="13"/>
  <c r="BF29" i="13"/>
  <c r="BC30" i="13" s="1"/>
  <c r="N28" i="13"/>
  <c r="BH55" i="13" l="1"/>
  <c r="BI55" i="13" s="1"/>
  <c r="BB55" i="13"/>
  <c r="W55" i="13"/>
  <c r="BI54" i="13"/>
  <c r="W54" i="13"/>
  <c r="X54" i="13" s="1"/>
  <c r="AX53" i="13"/>
  <c r="AW54" i="13"/>
  <c r="BN54" i="13"/>
  <c r="BO52" i="13"/>
  <c r="AF55" i="13" a="1"/>
  <c r="AG55" i="13" a="1"/>
  <c r="L56" i="13"/>
  <c r="BL54" i="13"/>
  <c r="M18" i="13"/>
  <c r="O18" i="13" s="1"/>
  <c r="AU54" i="13"/>
  <c r="AY53" i="13"/>
  <c r="X53" i="13"/>
  <c r="AZ52" i="13"/>
  <c r="BA52" i="13"/>
  <c r="AR55" i="13"/>
  <c r="AV55" i="13" s="1"/>
  <c r="T55" i="13"/>
  <c r="U55" i="13" s="1"/>
  <c r="AD55" i="13" a="1"/>
  <c r="BK55" i="13" s="1"/>
  <c r="AC55" i="13" a="1"/>
  <c r="BJ55" i="13" s="1"/>
  <c r="R55" i="13"/>
  <c r="AS54" i="13"/>
  <c r="BE30" i="13"/>
  <c r="BD30" i="13"/>
  <c r="N29" i="13"/>
  <c r="AY54" i="13"/>
  <c r="BH56" i="13" l="1"/>
  <c r="BB56" i="13"/>
  <c r="AW55" i="13"/>
  <c r="AX54" i="13"/>
  <c r="BN55" i="13"/>
  <c r="BO53" i="13"/>
  <c r="AG56" i="13" a="1"/>
  <c r="AF56" i="13" a="1"/>
  <c r="L57" i="13"/>
  <c r="BL55" i="13"/>
  <c r="AH19" i="13"/>
  <c r="AI19" i="13" s="1"/>
  <c r="AE20" i="13" s="1"/>
  <c r="BM20" i="13" s="1"/>
  <c r="AZ53" i="13"/>
  <c r="BA53" i="13"/>
  <c r="AU55" i="13"/>
  <c r="T56" i="13"/>
  <c r="AD56" i="13" a="1"/>
  <c r="BK56" i="13" s="1"/>
  <c r="U56" i="13"/>
  <c r="V55" i="13"/>
  <c r="AR56" i="13"/>
  <c r="AV56" i="13" s="1"/>
  <c r="AC56" i="13" a="1"/>
  <c r="BJ56" i="13" s="1"/>
  <c r="R56" i="13"/>
  <c r="AS55" i="13"/>
  <c r="AZ54" i="13"/>
  <c r="BA54" i="13"/>
  <c r="BF30" i="13"/>
  <c r="BC31" i="13" s="1"/>
  <c r="BI56" i="13" l="1"/>
  <c r="W56" i="13"/>
  <c r="BH57" i="13"/>
  <c r="BB57" i="13"/>
  <c r="BI57" i="13"/>
  <c r="W57" i="13"/>
  <c r="AX55" i="13"/>
  <c r="AW56" i="13"/>
  <c r="BN56" i="13"/>
  <c r="BO54" i="13"/>
  <c r="AF57" i="13" a="1"/>
  <c r="AG57" i="13" a="1"/>
  <c r="L58" i="13"/>
  <c r="BL56" i="13"/>
  <c r="AK19" i="13"/>
  <c r="AN19" i="13"/>
  <c r="AO19" i="13" s="1"/>
  <c r="AP19" i="13" s="1"/>
  <c r="AU56" i="13"/>
  <c r="V56" i="13"/>
  <c r="U57" i="13"/>
  <c r="U58" i="13" s="1"/>
  <c r="AY55" i="13"/>
  <c r="X55" i="13"/>
  <c r="AR57" i="13"/>
  <c r="AV57" i="13" s="1"/>
  <c r="T57" i="13"/>
  <c r="R57" i="13"/>
  <c r="AC57" i="13" a="1"/>
  <c r="BJ57" i="13" s="1"/>
  <c r="AD57" i="13" a="1"/>
  <c r="BK57" i="13" s="1"/>
  <c r="AS56" i="13"/>
  <c r="BE31" i="13"/>
  <c r="BD31" i="13"/>
  <c r="BG31" i="13" s="1"/>
  <c r="Y31" i="13" s="1"/>
  <c r="BH58" i="13" l="1"/>
  <c r="BB58" i="13"/>
  <c r="AX56" i="13"/>
  <c r="AW57" i="13"/>
  <c r="BN57" i="13"/>
  <c r="BO55" i="13"/>
  <c r="AG58" i="13" a="1"/>
  <c r="AF58" i="13" a="1"/>
  <c r="L59" i="13"/>
  <c r="BL57" i="13"/>
  <c r="M19" i="13"/>
  <c r="O19" i="13" s="1"/>
  <c r="V57" i="13"/>
  <c r="AU57" i="13"/>
  <c r="AY56" i="13"/>
  <c r="X56" i="13"/>
  <c r="AZ55" i="13"/>
  <c r="BA55" i="13"/>
  <c r="AR58" i="13"/>
  <c r="AV58" i="13" s="1"/>
  <c r="T58" i="13"/>
  <c r="AD58" i="13" a="1"/>
  <c r="BK58" i="13" s="1"/>
  <c r="R58" i="13"/>
  <c r="V58" i="13" s="1"/>
  <c r="AC58" i="13" a="1"/>
  <c r="BJ58" i="13" s="1"/>
  <c r="AS57" i="13"/>
  <c r="Z31" i="13"/>
  <c r="AA31" i="13" s="1" a="1"/>
  <c r="AB31" i="13" s="1"/>
  <c r="BF31" i="13"/>
  <c r="BC32" i="13" s="1"/>
  <c r="N30" i="13"/>
  <c r="BI58" i="13" l="1"/>
  <c r="W58" i="13"/>
  <c r="X58" i="13" s="1"/>
  <c r="BH59" i="13"/>
  <c r="BB59" i="13"/>
  <c r="BI59" i="13"/>
  <c r="W59" i="13"/>
  <c r="AX57" i="13"/>
  <c r="AW58" i="13"/>
  <c r="BN58" i="13"/>
  <c r="BO56" i="13"/>
  <c r="AF59" i="13" a="1"/>
  <c r="AG59" i="13" a="1"/>
  <c r="L60" i="13"/>
  <c r="BL58" i="13"/>
  <c r="AH20" i="13"/>
  <c r="AI20" i="13" s="1"/>
  <c r="AE21" i="13" s="1"/>
  <c r="BM21" i="13" s="1"/>
  <c r="AY57" i="13"/>
  <c r="X57" i="13"/>
  <c r="AU58" i="13"/>
  <c r="AZ56" i="13"/>
  <c r="BA56" i="13"/>
  <c r="AR59" i="13"/>
  <c r="AV59" i="13" s="1"/>
  <c r="T59" i="13"/>
  <c r="U59" i="13" s="1"/>
  <c r="AD59" i="13" a="1"/>
  <c r="BK59" i="13" s="1"/>
  <c r="AC59" i="13" a="1"/>
  <c r="BJ59" i="13" s="1"/>
  <c r="R59" i="13"/>
  <c r="AS58" i="13"/>
  <c r="BE32" i="13"/>
  <c r="BD32" i="13"/>
  <c r="BG32" i="13" s="1"/>
  <c r="Y32" i="13" s="1"/>
  <c r="P31" i="13"/>
  <c r="AY58" i="13"/>
  <c r="BH60" i="13" l="1"/>
  <c r="BB60" i="13"/>
  <c r="AW59" i="13"/>
  <c r="AX58" i="13"/>
  <c r="BN59" i="13"/>
  <c r="BO57" i="13"/>
  <c r="AG60" i="13" a="1"/>
  <c r="AF60" i="13" a="1"/>
  <c r="L61" i="13"/>
  <c r="BL59" i="13"/>
  <c r="AK20" i="13"/>
  <c r="AN20" i="13"/>
  <c r="AO20" i="13" s="1"/>
  <c r="AP20" i="13" s="1"/>
  <c r="AZ57" i="13"/>
  <c r="BA57" i="13"/>
  <c r="AU59" i="13"/>
  <c r="V59" i="13"/>
  <c r="U60" i="13"/>
  <c r="AR60" i="13"/>
  <c r="AV60" i="13" s="1"/>
  <c r="T60" i="13"/>
  <c r="AC60" i="13" a="1"/>
  <c r="BJ60" i="13" s="1"/>
  <c r="AD60" i="13" a="1"/>
  <c r="BK60" i="13" s="1"/>
  <c r="R60" i="13"/>
  <c r="AS59" i="13"/>
  <c r="Z32" i="13"/>
  <c r="AA32" i="13" s="1" a="1"/>
  <c r="AB32" i="13" s="1"/>
  <c r="AZ58" i="13"/>
  <c r="BA58" i="13"/>
  <c r="P32" i="13"/>
  <c r="BF32" i="13"/>
  <c r="BC33" i="13" s="1"/>
  <c r="N31" i="13"/>
  <c r="BI60" i="13" l="1"/>
  <c r="W60" i="13"/>
  <c r="BH61" i="13"/>
  <c r="BI61" i="13" s="1"/>
  <c r="BB61" i="13"/>
  <c r="W61" i="13"/>
  <c r="AW60" i="13"/>
  <c r="AX59" i="13"/>
  <c r="BN60" i="13"/>
  <c r="BO58" i="13"/>
  <c r="AF61" i="13" a="1"/>
  <c r="AG61" i="13" a="1"/>
  <c r="L62" i="13"/>
  <c r="BL60" i="13"/>
  <c r="M20" i="13"/>
  <c r="AU60" i="13"/>
  <c r="AC61" i="13" a="1"/>
  <c r="BJ61" i="13" s="1"/>
  <c r="R61" i="13"/>
  <c r="AY59" i="13"/>
  <c r="X59" i="13"/>
  <c r="V60" i="13"/>
  <c r="U61" i="13"/>
  <c r="AR61" i="13"/>
  <c r="AV61" i="13" s="1"/>
  <c r="T61" i="13"/>
  <c r="AD61" i="13" a="1"/>
  <c r="BK61" i="13" s="1"/>
  <c r="AS60" i="13"/>
  <c r="BE33" i="13"/>
  <c r="BD33" i="13"/>
  <c r="BG33" i="13" s="1"/>
  <c r="Y33" i="13" s="1"/>
  <c r="BH62" i="13" l="1"/>
  <c r="BB62" i="13"/>
  <c r="BI62" i="13"/>
  <c r="W62" i="13"/>
  <c r="AX60" i="13"/>
  <c r="AW61" i="13"/>
  <c r="BN61" i="13"/>
  <c r="BO59" i="13"/>
  <c r="AF62" i="13" a="1"/>
  <c r="AG62" i="13" a="1"/>
  <c r="L63" i="13"/>
  <c r="BB63" i="13" s="1"/>
  <c r="BL61" i="13"/>
  <c r="AH21" i="13"/>
  <c r="AI21" i="13" s="1"/>
  <c r="AE22" i="13" s="1"/>
  <c r="BM22" i="13" s="1"/>
  <c r="AR62" i="13"/>
  <c r="AV62" i="13" s="1"/>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B64" i="13" s="1"/>
  <c r="BL62" i="13"/>
  <c r="AK21" i="13"/>
  <c r="AN21" i="13"/>
  <c r="AO21" i="13" s="1"/>
  <c r="AP21" i="13" s="1"/>
  <c r="BH63" i="13"/>
  <c r="AU62" i="13"/>
  <c r="V62" i="13"/>
  <c r="AR63" i="13"/>
  <c r="AV63" i="13" s="1"/>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B65" i="13" s="1"/>
  <c r="BL63" i="13"/>
  <c r="M21"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B66" i="13" s="1"/>
  <c r="BL64" i="13"/>
  <c r="AH22" i="13"/>
  <c r="AI22" i="13" s="1"/>
  <c r="AE23" i="13" s="1"/>
  <c r="BM23" i="13" s="1"/>
  <c r="AR65" i="13"/>
  <c r="AV65" i="13" s="1"/>
  <c r="BH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B67" i="13" s="1"/>
  <c r="BL65" i="13"/>
  <c r="AK22" i="13"/>
  <c r="AN22" i="13"/>
  <c r="AO22" i="13" s="1"/>
  <c r="AP22" i="13" s="1"/>
  <c r="AU65" i="13"/>
  <c r="AR66" i="13"/>
  <c r="AV66" i="13" s="1"/>
  <c r="BH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B68" i="13" s="1"/>
  <c r="BL66" i="13"/>
  <c r="M22" i="13"/>
  <c r="O22" i="13" s="1"/>
  <c r="BH67" i="13"/>
  <c r="AR67" i="13"/>
  <c r="AV67" i="13" s="1"/>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B69" i="13" s="1"/>
  <c r="BL67" i="13"/>
  <c r="AH23" i="13"/>
  <c r="AI23" i="13" s="1"/>
  <c r="AE24" i="13" s="1"/>
  <c r="BM24" i="13" s="1"/>
  <c r="V67" i="13"/>
  <c r="AU67" i="13"/>
  <c r="AY66" i="13"/>
  <c r="X66"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H69" i="13"/>
  <c r="AR69" i="13"/>
  <c r="AV69" i="13" s="1"/>
  <c r="T69" i="13"/>
  <c r="AF69" i="13" a="1"/>
  <c r="AG69" i="13" a="1"/>
  <c r="L70" i="13"/>
  <c r="BB70" i="13" s="1"/>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B71" i="13" s="1"/>
  <c r="BL69" i="13"/>
  <c r="M23" i="13"/>
  <c r="O23" i="13" s="1"/>
  <c r="AZ67" i="13"/>
  <c r="BA67" i="13"/>
  <c r="AR70" i="13"/>
  <c r="AV70" i="13" s="1"/>
  <c r="R70" i="13"/>
  <c r="V70" i="13" s="1"/>
  <c r="BH70" i="13"/>
  <c r="T70" i="13"/>
  <c r="AC70" i="13" a="1"/>
  <c r="BJ70" i="13" s="1"/>
  <c r="AD70" i="13" a="1"/>
  <c r="BK70" i="13" s="1"/>
  <c r="AS69" i="13"/>
  <c r="Z37" i="13"/>
  <c r="AA37" i="13" s="1" a="1"/>
  <c r="AB37" i="13" s="1"/>
  <c r="AZ68" i="13"/>
  <c r="BA68" i="13"/>
  <c r="BF37" i="13"/>
  <c r="BC38" i="13" s="1"/>
  <c r="AY69" i="13"/>
  <c r="N36" i="13"/>
  <c r="BI70" i="13" l="1"/>
  <c r="W70" i="13"/>
  <c r="X70" i="13" s="1"/>
  <c r="AX69" i="13"/>
  <c r="AW70" i="13"/>
  <c r="BN70" i="13"/>
  <c r="BO68" i="13"/>
  <c r="AG71" i="13" a="1"/>
  <c r="AF71" i="13" a="1"/>
  <c r="L72" i="13"/>
  <c r="BL70" i="13"/>
  <c r="AH24" i="13"/>
  <c r="AI24" i="13" s="1"/>
  <c r="AE25" i="13" s="1"/>
  <c r="BM25" i="13" s="1"/>
  <c r="AU70" i="13"/>
  <c r="AR71" i="13"/>
  <c r="AV71" i="13" s="1"/>
  <c r="BH71" i="13"/>
  <c r="T71" i="13"/>
  <c r="U71" i="13" s="1"/>
  <c r="AC71" i="13" a="1"/>
  <c r="BJ71" i="13" s="1"/>
  <c r="AD71" i="13" a="1"/>
  <c r="BK71" i="13" s="1"/>
  <c r="R71" i="13"/>
  <c r="AS70" i="13"/>
  <c r="BE38" i="13"/>
  <c r="BD38" i="13"/>
  <c r="BG38" i="13" s="1"/>
  <c r="Y38" i="13" s="1"/>
  <c r="AZ69" i="13"/>
  <c r="BA69" i="13"/>
  <c r="P37" i="13"/>
  <c r="AY70" i="13"/>
  <c r="AR72" i="13" l="1"/>
  <c r="BB72" i="13"/>
  <c r="BI71" i="13"/>
  <c r="W71" i="13"/>
  <c r="AW71" i="13"/>
  <c r="AX70" i="13"/>
  <c r="BN71" i="13"/>
  <c r="BO69" i="13"/>
  <c r="AF72" i="13" a="1"/>
  <c r="AG72" i="13" a="1"/>
  <c r="L73" i="13"/>
  <c r="BB73" i="13" s="1"/>
  <c r="BL71" i="13"/>
  <c r="AK24" i="13"/>
  <c r="AN24" i="13"/>
  <c r="AO24" i="13" s="1"/>
  <c r="AP24" i="13" s="1"/>
  <c r="BH72" i="13"/>
  <c r="T72" i="13"/>
  <c r="AC72" i="13" a="1"/>
  <c r="BJ72" i="13" s="1"/>
  <c r="AD72" i="13" a="1"/>
  <c r="BK72" i="13" s="1"/>
  <c r="R72" i="13"/>
  <c r="AU71" i="13"/>
  <c r="V71" i="13"/>
  <c r="U72" i="13"/>
  <c r="AS71" i="13"/>
  <c r="Z38" i="13"/>
  <c r="AA38" i="13" s="1" a="1"/>
  <c r="AB38" i="13" s="1"/>
  <c r="AZ70" i="13"/>
  <c r="BA70" i="13"/>
  <c r="P38" i="13"/>
  <c r="BF38" i="13"/>
  <c r="BC39" i="13" s="1"/>
  <c r="N37" i="13"/>
  <c r="AV72" i="13" l="1"/>
  <c r="AW72" i="13" s="1"/>
  <c r="AU72" i="13"/>
  <c r="BN72" i="13"/>
  <c r="BI72" i="13"/>
  <c r="W72" i="13"/>
  <c r="AX71" i="13"/>
  <c r="BO70" i="13"/>
  <c r="AC73" i="13" a="1"/>
  <c r="BJ73" i="13" s="1"/>
  <c r="T73" i="13"/>
  <c r="AF73" i="13" a="1"/>
  <c r="AG73" i="13" a="1"/>
  <c r="L74" i="13"/>
  <c r="BL72" i="13"/>
  <c r="M24" i="13"/>
  <c r="O24" i="13" s="1"/>
  <c r="AR73" i="13"/>
  <c r="AV73" i="13" s="1"/>
  <c r="BH73" i="13"/>
  <c r="AD73" i="13" a="1"/>
  <c r="BK73" i="13" s="1"/>
  <c r="R73" i="13"/>
  <c r="AY71" i="13"/>
  <c r="X71" i="13"/>
  <c r="V72" i="13"/>
  <c r="U73" i="13"/>
  <c r="AS72" i="13"/>
  <c r="BE39" i="13"/>
  <c r="BD39" i="13"/>
  <c r="BG39" i="13" s="1"/>
  <c r="Y39" i="13" s="1"/>
  <c r="AX72" i="13" l="1"/>
  <c r="BO72" i="13" s="1"/>
  <c r="AR74" i="13"/>
  <c r="BB74" i="13"/>
  <c r="BI73" i="13"/>
  <c r="W73" i="13"/>
  <c r="AW73" i="13"/>
  <c r="BN73" i="13"/>
  <c r="BO71" i="13"/>
  <c r="BL73" i="13"/>
  <c r="BH74" i="13"/>
  <c r="T74" i="13"/>
  <c r="AF74" i="13" a="1"/>
  <c r="AG74" i="13" a="1"/>
  <c r="L75" i="13"/>
  <c r="BB75" i="13" s="1"/>
  <c r="AH25" i="13"/>
  <c r="AI25" i="13" s="1"/>
  <c r="AE26" i="13" s="1"/>
  <c r="BM26" i="13" s="1"/>
  <c r="AU73" i="13"/>
  <c r="AC74" i="13" a="1"/>
  <c r="BJ74" i="13" s="1"/>
  <c r="AD74" i="13" a="1"/>
  <c r="BK74" i="13" s="1"/>
  <c r="R74" i="13"/>
  <c r="AY72" i="13"/>
  <c r="X72" i="13"/>
  <c r="V73" i="13"/>
  <c r="U74" i="13"/>
  <c r="AZ71" i="13"/>
  <c r="BA71" i="13"/>
  <c r="AS73" i="13"/>
  <c r="Z39" i="13"/>
  <c r="AA39" i="13" s="1" a="1"/>
  <c r="AB39" i="13" s="1"/>
  <c r="BF39" i="13"/>
  <c r="BC40" i="13" s="1"/>
  <c r="N38" i="13"/>
  <c r="AV74" i="13" l="1"/>
  <c r="AW74" i="13" s="1"/>
  <c r="AU74" i="13"/>
  <c r="BN74" i="13"/>
  <c r="BI74" i="13"/>
  <c r="W74" i="13"/>
  <c r="AX73" i="13"/>
  <c r="AF75" i="13" a="1"/>
  <c r="AG75" i="13" a="1"/>
  <c r="L76" i="13"/>
  <c r="BB76" i="13" s="1"/>
  <c r="BL74" i="13"/>
  <c r="AK25" i="13"/>
  <c r="AN25" i="13"/>
  <c r="AO25" i="13" s="1"/>
  <c r="AP25" i="13" s="1"/>
  <c r="V74" i="13"/>
  <c r="AZ72" i="13"/>
  <c r="BA72" i="13"/>
  <c r="AR75" i="13"/>
  <c r="AV75" i="13" s="1"/>
  <c r="BH75" i="13"/>
  <c r="T75" i="13"/>
  <c r="U75" i="13" s="1"/>
  <c r="AD75" i="13" a="1"/>
  <c r="BK75" i="13" s="1"/>
  <c r="AC75" i="13" a="1"/>
  <c r="BJ75" i="13" s="1"/>
  <c r="R75" i="13"/>
  <c r="AY73" i="13"/>
  <c r="X73" i="13"/>
  <c r="AS74" i="13"/>
  <c r="BE40" i="13"/>
  <c r="BD40" i="13"/>
  <c r="BG40" i="13" s="1"/>
  <c r="Y40" i="13" s="1"/>
  <c r="P39" i="13"/>
  <c r="AX74" i="13" l="1"/>
  <c r="BO74" i="13" s="1"/>
  <c r="BI75" i="13"/>
  <c r="W75" i="13"/>
  <c r="AW75" i="13"/>
  <c r="BN75" i="13"/>
  <c r="BO73" i="13"/>
  <c r="AR76" i="13"/>
  <c r="AV76" i="13" s="1"/>
  <c r="BH76" i="13"/>
  <c r="AF76" i="13" a="1"/>
  <c r="AG76" i="13" a="1"/>
  <c r="L77" i="13"/>
  <c r="BB77" i="13" s="1"/>
  <c r="BL75" i="13"/>
  <c r="M25" i="13"/>
  <c r="O25" i="13" s="1"/>
  <c r="AY74" i="13"/>
  <c r="X74" i="13"/>
  <c r="T76" i="13"/>
  <c r="AC76" i="13" a="1"/>
  <c r="BJ76" i="13" s="1"/>
  <c r="AD76" i="13" a="1"/>
  <c r="BK76" i="13" s="1"/>
  <c r="R76" i="13"/>
  <c r="AU75" i="13"/>
  <c r="V75" i="13"/>
  <c r="U76" i="13"/>
  <c r="AZ73" i="13"/>
  <c r="BA73" i="13"/>
  <c r="AS75" i="13"/>
  <c r="Z40" i="13"/>
  <c r="AA40" i="13" s="1" a="1"/>
  <c r="AB40" i="13" s="1"/>
  <c r="P40" i="13"/>
  <c r="BF40" i="13"/>
  <c r="BC41" i="13" s="1"/>
  <c r="N39" i="13"/>
  <c r="BI76" i="13" l="1"/>
  <c r="W76" i="13"/>
  <c r="AX75" i="13"/>
  <c r="AW76" i="13"/>
  <c r="BN76" i="13"/>
  <c r="AU76" i="13"/>
  <c r="AR77" i="13"/>
  <c r="AV77" i="13" s="1"/>
  <c r="BH77" i="13"/>
  <c r="AF77" i="13" a="1"/>
  <c r="AG77" i="13" a="1"/>
  <c r="L78" i="13"/>
  <c r="BL76" i="13"/>
  <c r="AH26" i="13"/>
  <c r="AI26" i="13" s="1"/>
  <c r="AZ74" i="13"/>
  <c r="BA74" i="13"/>
  <c r="T77" i="13"/>
  <c r="AC77" i="13" a="1"/>
  <c r="BJ77" i="13" s="1"/>
  <c r="AD77" i="13" a="1"/>
  <c r="BK77" i="13" s="1"/>
  <c r="R77" i="13"/>
  <c r="AY75" i="13"/>
  <c r="X75" i="13"/>
  <c r="V76" i="13"/>
  <c r="U77" i="13"/>
  <c r="AS76" i="13"/>
  <c r="BE41" i="13"/>
  <c r="BD41" i="13"/>
  <c r="BG41" i="13" s="1"/>
  <c r="Y41" i="13" s="1"/>
  <c r="AR78" i="13" l="1"/>
  <c r="BB78" i="13"/>
  <c r="BI77" i="13"/>
  <c r="W77" i="13"/>
  <c r="AX76" i="13"/>
  <c r="AW77" i="13"/>
  <c r="BN77" i="13"/>
  <c r="BO75" i="13"/>
  <c r="AU77" i="13"/>
  <c r="AG78" i="13" a="1"/>
  <c r="AF78" i="13" a="1"/>
  <c r="L79" i="13"/>
  <c r="BB79" i="13" s="1"/>
  <c r="BL77" i="13"/>
  <c r="AK26" i="13"/>
  <c r="AN26" i="13"/>
  <c r="AO26" i="13" s="1"/>
  <c r="AP26" i="13" s="1"/>
  <c r="M26" i="13" s="1"/>
  <c r="O26" i="13" s="1"/>
  <c r="BH78" i="13"/>
  <c r="T78" i="13"/>
  <c r="AC78" i="13" a="1"/>
  <c r="BJ78" i="13" s="1"/>
  <c r="AD78" i="13" a="1"/>
  <c r="BK78" i="13" s="1"/>
  <c r="R78" i="13"/>
  <c r="AZ75" i="13"/>
  <c r="BA75" i="13"/>
  <c r="AY76" i="13"/>
  <c r="X76" i="13"/>
  <c r="V77" i="13"/>
  <c r="U78" i="13"/>
  <c r="AS77" i="13"/>
  <c r="Z41" i="13"/>
  <c r="AA41" i="13" s="1" a="1"/>
  <c r="AB41" i="13" s="1"/>
  <c r="BF41" i="13"/>
  <c r="BC42" i="13" s="1"/>
  <c r="N40" i="13"/>
  <c r="AV78" i="13" l="1"/>
  <c r="AW78" i="13" s="1"/>
  <c r="AU78" i="13"/>
  <c r="BN78" i="13"/>
  <c r="BI78" i="13"/>
  <c r="W78" i="13"/>
  <c r="AX77" i="13"/>
  <c r="BO76" i="13"/>
  <c r="AF79" i="13" a="1"/>
  <c r="AG79" i="13" a="1"/>
  <c r="L80" i="13"/>
  <c r="BB80" i="13" s="1"/>
  <c r="BL78" i="13"/>
  <c r="V78" i="13"/>
  <c r="AR79" i="13"/>
  <c r="AV79" i="13" s="1"/>
  <c r="BH79" i="13"/>
  <c r="AD79" i="13" a="1"/>
  <c r="BK79" i="13" s="1"/>
  <c r="T79" i="13"/>
  <c r="U79" i="13" s="1"/>
  <c r="AC79" i="13" a="1"/>
  <c r="BJ79" i="13" s="1"/>
  <c r="R79" i="13"/>
  <c r="BA76" i="13"/>
  <c r="AZ76" i="13"/>
  <c r="AY77" i="13"/>
  <c r="X77" i="13"/>
  <c r="AS78" i="13"/>
  <c r="BE42" i="13"/>
  <c r="BD42" i="13"/>
  <c r="BG42" i="13" s="1"/>
  <c r="Y42" i="13" s="1"/>
  <c r="P41" i="13"/>
  <c r="AX78" i="13" l="1"/>
  <c r="BO78" i="13" s="1"/>
  <c r="BI79" i="13"/>
  <c r="W79" i="13"/>
  <c r="AW79" i="13"/>
  <c r="BN79" i="13"/>
  <c r="BO77" i="13"/>
  <c r="AG80" i="13" a="1"/>
  <c r="AF80" i="13" a="1"/>
  <c r="L81" i="13"/>
  <c r="BL79" i="13"/>
  <c r="AY78" i="13"/>
  <c r="X78" i="13"/>
  <c r="AU79" i="13"/>
  <c r="V79" i="13"/>
  <c r="U80" i="13"/>
  <c r="AR80" i="13"/>
  <c r="AV80" i="13" s="1"/>
  <c r="AD80" i="13" a="1"/>
  <c r="BK80" i="13" s="1"/>
  <c r="BH80" i="13"/>
  <c r="T80" i="13"/>
  <c r="AC80" i="13" a="1"/>
  <c r="BJ80" i="13" s="1"/>
  <c r="R80" i="13"/>
  <c r="AZ77" i="13"/>
  <c r="BA77" i="13"/>
  <c r="AS79" i="13"/>
  <c r="Z42" i="13"/>
  <c r="AA42" i="13" s="1" a="1"/>
  <c r="AB42" i="13" s="1"/>
  <c r="P42" i="13"/>
  <c r="BF42" i="13"/>
  <c r="BC43" i="13" s="1"/>
  <c r="N41" i="13"/>
  <c r="X79" i="13" l="1"/>
  <c r="AR81" i="13"/>
  <c r="BB81" i="13"/>
  <c r="BI80" i="13"/>
  <c r="W80" i="13"/>
  <c r="AX79" i="13"/>
  <c r="AW80" i="13"/>
  <c r="BN80" i="13"/>
  <c r="AG81" i="13" a="1"/>
  <c r="AF81" i="13" a="1"/>
  <c r="L82" i="13"/>
  <c r="BB82" i="13" s="1"/>
  <c r="BL80" i="13"/>
  <c r="AZ78" i="13"/>
  <c r="BA78" i="13"/>
  <c r="AY79" i="13"/>
  <c r="U81" i="13"/>
  <c r="V80" i="13"/>
  <c r="AU80" i="13"/>
  <c r="BH81" i="13"/>
  <c r="T81" i="13"/>
  <c r="AC81" i="13" a="1"/>
  <c r="BJ81" i="13" s="1"/>
  <c r="AD81" i="13" a="1"/>
  <c r="BK81" i="13" s="1"/>
  <c r="R81" i="13"/>
  <c r="AS80" i="13"/>
  <c r="BE43" i="13"/>
  <c r="BD43" i="13"/>
  <c r="BG43" i="13" s="1"/>
  <c r="Y43" i="13" s="1"/>
  <c r="AV81" i="13" l="1"/>
  <c r="AW81" i="13" s="1"/>
  <c r="BN81" i="13"/>
  <c r="AU81" i="13"/>
  <c r="BI81" i="13"/>
  <c r="W81" i="13"/>
  <c r="AX80" i="13"/>
  <c r="BO79" i="13"/>
  <c r="AC82" i="13" a="1"/>
  <c r="BJ82" i="13" s="1"/>
  <c r="AD82" i="13" a="1"/>
  <c r="BK82" i="13" s="1"/>
  <c r="R82" i="13"/>
  <c r="T82" i="13"/>
  <c r="AR82" i="13"/>
  <c r="BH82" i="13"/>
  <c r="AG82" i="13" a="1"/>
  <c r="AF82" i="13" a="1"/>
  <c r="BL81" i="13"/>
  <c r="AZ79" i="13"/>
  <c r="BA79" i="13"/>
  <c r="U82" i="13"/>
  <c r="V81" i="13"/>
  <c r="AY80" i="13"/>
  <c r="X80" i="13"/>
  <c r="AS81" i="13"/>
  <c r="Z43" i="13"/>
  <c r="AA43" i="13" s="1" a="1"/>
  <c r="AB43" i="13" s="1"/>
  <c r="BF43" i="13"/>
  <c r="BC44" i="13" s="1"/>
  <c r="N42" i="13"/>
  <c r="AX81" i="13" l="1"/>
  <c r="BI82" i="13"/>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66DC8781-6E21-4C08-A541-52EEC5E69430}">
      <text>
        <r>
          <rPr>
            <b/>
            <sz val="9"/>
            <color indexed="81"/>
            <rFont val="Tahoma"/>
            <family val="2"/>
          </rPr>
          <t>Hatta Misra:</t>
        </r>
        <r>
          <rPr>
            <sz val="9"/>
            <color indexed="81"/>
            <rFont val="Tahoma"/>
            <family val="2"/>
          </rPr>
          <t xml:space="preserve">
Stamp Duty Act 1978 (NT) Schedule 1. Version effective 18 July 2005. &lt;https://legislation.nt.gov.au/Legislation/STAMP-DUTY-ACT-1978&gt;</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EF23F778-2FB1-4589-B4A8-9AC08DFC7AD3}">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B27" authorId="0" shapeId="0" xr:uid="{F42DAEFA-7BA8-4FDC-BFD0-39782D6EE819}">
      <text>
        <r>
          <rPr>
            <b/>
            <sz val="9"/>
            <color indexed="81"/>
            <rFont val="Tahoma"/>
            <family val="2"/>
          </rPr>
          <t xml:space="preserve">Hatta Misra:
</t>
        </r>
        <r>
          <rPr>
            <sz val="9"/>
            <color indexed="81"/>
            <rFont val="Tahoma"/>
            <family val="2"/>
          </rPr>
          <t>Note: There is a small discontinuity between the pre-2012 Brisbane median rents data and 2012-present data, likely due to differing definitions used for the Brisbane metro area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<sst xmlns="http://schemas.openxmlformats.org/spreadsheetml/2006/main" count="938" uniqueCount="648">
  <si>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</si>
  <si>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</si>
  <si>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</si>
  <si>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</si>
  <si>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</si>
  <si>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</si>
  <si>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</si>
  <si>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</si>
  <si>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</si>
  <si>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</si>
  <si>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</si>
  <si>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</si>
  <si>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</si>
  <si>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</si>
  <si>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</si>
  <si>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</si>
  <si>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</si>
  <si>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</si>
  <si>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</si>
  <si>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</si>
  <si>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</si>
  <si>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</si>
  <si>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</si>
  <si>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</si>
  <si>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</si>
  <si>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</si>
  <si>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</si>
  <si>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</si>
  <si>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</si>
  <si>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</si>
  <si>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</si>
  <si>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</si>
  <si>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</si>
  <si>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</si>
  <si>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</si>
  <si>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</si>
  <si>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</si>
  <si>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</si>
  <si>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</si>
  <si>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</si>
  <si>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</si>
  <si>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</si>
  <si>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</si>
  <si>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</si>
  <si>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</si>
  <si>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</si>
  <si>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</si>
  <si>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</si>
  <si>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</si>
  <si>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</si>
  <si>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</si>
  <si>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</si>
  <si>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</si>
  <si>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</si>
  <si>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</si>
  <si>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</si>
  <si>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</si>
  <si>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</si>
  <si>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</si>
  <si>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</si>
  <si>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</si>
  <si>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</si>
  <si>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</si>
  <si>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</si>
  <si>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</si>
  <si>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</si>
  <si>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</si>
  <si>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</si>
  <si>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</si>
  <si>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</si>
  <si>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</si>
  <si>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</si>
  <si>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</si>
  <si>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</si>
  <si>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</si>
  <si>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</si>
  <si>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</si>
  <si>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</si>
  <si>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</si>
  <si>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</si>
  <si>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</si>
  <si>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</si>
  <si>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</si>
  <si>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</si>
  <si>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</si>
  <si>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</si>
  <si>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</si>
  <si>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</si>
  <si>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</si>
  <si>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</si>
  <si>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</si>
  <si>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</si>
  <si>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</si>
  <si>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</si>
  <si>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</si>
  <si>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</si>
  <si>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</si>
  <si>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</si>
  <si>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</si>
  <si>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</si>
  <si>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</si>
  <si>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</si>
  <si>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</si>
  <si>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</si>
  <si>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</si>
  <si>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</si>
  <si>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</si>
  <si>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</si>
  <si>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</si>
  <si>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</si>
  <si>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</si>
  <si>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</si>
  <si>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</si>
  <si>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</si>
  <si>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</si>
  <si>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</si>
  <si>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</si>
  <si>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</si>
  <si>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</si>
  <si>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</si>
  <si>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</si>
  <si>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</si>
  <si>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</si>
  <si>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</si>
  <si>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</si>
  <si>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</si>
  <si>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</si>
  <si>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</si>
  <si>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</si>
  <si>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</si>
  <si>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</si>
  <si>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</si>
  <si>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</si>
  <si>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</si>
  <si>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</si>
  <si>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</si>
  <si>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</si>
  <si>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</si>
  <si>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</si>
  <si>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</si>
  <si>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</si>
  <si>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</si>
  <si>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</si>
  <si>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</si>
  <si>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</si>
  <si>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</si>
  <si>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</si>
  <si>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</si>
  <si>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</si>
  <si>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</si>
  <si>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</si>
  <si>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</si>
  <si>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</si>
  <si>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</si>
  <si>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</si>
  <si>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</si>
  <si>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</si>
  <si>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</si>
  <si>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</si>
  <si>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</si>
  <si>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</si>
  <si>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</si>
  <si>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</si>
  <si>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</si>
  <si>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</si>
  <si>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</si>
  <si>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</si>
  <si>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</si>
  <si>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</si>
  <si>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</si>
  <si>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</si>
  <si>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</si>
  <si>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</si>
  <si>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</si>
  <si>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</si>
  <si>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</si>
  <si>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</si>
  <si>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</si>
  <si>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</si>
  <si>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</si>
  <si>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</si>
  <si>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</si>
  <si>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</si>
  <si>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</si>
  <si>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</si>
  <si>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</si>
  <si>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</si>
  <si>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</si>
  <si>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</si>
  <si>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</si>
  <si>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</si>
  <si>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</si>
  <si>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</si>
  <si>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</si>
  <si>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</si>
  <si>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</si>
  <si>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</si>
  <si>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</si>
  <si>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</si>
  <si>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</si>
  <si>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</si>
  <si>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</si>
  <si>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</si>
  <si>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</si>
  <si>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</si>
  <si>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</si>
  <si>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</si>
  <si>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</si>
  <si>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</si>
  <si>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</si>
  <si>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</si>
  <si>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</si>
  <si>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</si>
  <si>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</si>
  <si>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</si>
  <si>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</si>
  <si>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</si>
  <si>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</si>
  <si>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</si>
  <si>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</si>
  <si>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</si>
  <si>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</si>
  <si>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</si>
  <si>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</si>
  <si>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</si>
  <si>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</si>
  <si>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</si>
  <si>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</si>
  <si>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</si>
  <si>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</si>
  <si>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</si>
  <si>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</si>
  <si>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</si>
  <si>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</si>
  <si>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</si>
  <si>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</si>
  <si>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</si>
  <si>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</si>
  <si>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</si>
  <si>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</si>
  <si>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</si>
  <si>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</si>
  <si>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</si>
  <si>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</si>
  <si>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</si>
  <si>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</si>
  <si>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</si>
  <si>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</si>
  <si>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</si>
  <si>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</si>
  <si>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</si>
  <si>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</si>
  <si>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</si>
  <si>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</si>
  <si>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</si>
  <si>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</si>
  <si>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</si>
  <si>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</si>
  <si>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</si>
  <si>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</si>
  <si>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</si>
  <si>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</si>
  <si>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</si>
  <si>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</si>
  <si>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</si>
  <si>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</si>
  <si>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</si>
  <si>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</si>
  <si>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</si>
  <si>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</si>
  <si>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</si>
  <si>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</si>
  <si>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</si>
  <si>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</si>
  <si>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</si>
  <si>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</si>
  <si>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</si>
  <si>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</si>
  <si>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</si>
  <si>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</si>
  <si>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</si>
  <si>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</si>
  <si>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</si>
  <si>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</si>
  <si>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</si>
  <si>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</si>
  <si>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</si>
  <si>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</si>
  <si>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</si>
  <si>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</si>
  <si>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</si>
  <si>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</si>
  <si>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</si>
  <si>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</si>
  <si>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</si>
  <si>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</si>
  <si>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</si>
  <si>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</si>
  <si>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</si>
  <si>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</si>
  <si>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</si>
  <si>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</si>
  <si>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</si>
  <si>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</si>
  <si>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</si>
  <si>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</si>
  <si>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</si>
  <si>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</si>
  <si>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</si>
  <si>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</si>
  <si>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</si>
  <si>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</si>
  <si>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</si>
  <si>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</si>
  <si>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</si>
  <si>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</si>
  <si>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</si>
  <si>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</si>
  <si>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</si>
  <si>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</si>
  <si>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</si>
  <si>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</si>
  <si>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</si>
  <si>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</si>
  <si>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</si>
  <si>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</si>
  <si>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</si>
  <si>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</si>
  <si>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</si>
  <si>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</si>
  <si>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</si>
  <si>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</si>
  <si>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</si>
  <si>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</si>
  <si>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</si>
  <si>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</si>
  <si>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</si>
  <si>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</si>
  <si>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</si>
  <si>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</si>
  <si>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</si>
  <si>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</si>
  <si>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</si>
  <si>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</si>
  <si>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</si>
  <si>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</si>
  <si>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</si>
  <si>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</si>
  <si>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</si>
  <si>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</si>
  <si>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</si>
  <si>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</si>
  <si>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</si>
  <si>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</si>
  <si>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</si>
  <si>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</si>
  <si>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</si>
  <si>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</si>
  <si>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</si>
  <si>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</si>
  <si>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</si>
  <si>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</si>
  <si>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</si>
  <si>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</si>
  <si>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</si>
  <si>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</si>
  <si>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</si>
  <si>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</si>
  <si>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</si>
  <si>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</si>
  <si>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</si>
  <si>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</si>
  <si>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</si>
  <si>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</si>
  <si>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</si>
  <si>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</si>
  <si>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</si>
  <si>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</si>
  <si>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</si>
  <si>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</si>
  <si>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</si>
  <si>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</si>
  <si>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</si>
  <si>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</si>
  <si>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</si>
  <si>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</si>
  <si>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</si>
  <si>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</si>
  <si>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</si>
  <si>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</si>
  <si>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</si>
  <si>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</si>
  <si>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</si>
  <si>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</si>
  <si>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</si>
  <si>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</si>
  <si>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</si>
  <si>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</si>
  <si>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</si>
  <si>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</si>
  <si>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</si>
  <si>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</si>
  <si>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</si>
  <si>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</si>
  <si>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</si>
  <si>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</si>
  <si>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</si>
  <si>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</si>
  <si>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</si>
  <si>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</si>
  <si>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</si>
  <si>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</si>
  <si>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</si>
  <si>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</si>
  <si>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</si>
  <si>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</si>
  <si>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</si>
  <si>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</si>
  <si>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</si>
  <si>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</si>
  <si>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</si>
  <si>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</si>
  <si>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</si>
  <si>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</si>
  <si>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</si>
  <si>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</si>
  <si>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</si>
  <si>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</si>
  <si>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</si>
  <si>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</si>
  <si>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</si>
  <si>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</si>
  <si>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</si>
  <si>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</si>
  <si>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</si>
  <si>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</si>
  <si>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</si>
  <si>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</si>
  <si>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</si>
  <si>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</si>
  <si>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</si>
  <si>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</si>
  <si>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</si>
  <si>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</si>
  <si>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</si>
  <si>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</si>
  <si>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</si>
  <si>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</si>
  <si>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</si>
  <si>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</si>
  <si>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</si>
  <si>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</si>
  <si>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</si>
  <si>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</si>
  <si>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</si>
  <si>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</si>
  <si>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</si>
  <si>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</si>
  <si>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</si>
  <si>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</si>
  <si>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</si>
  <si>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</si>
  <si>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</si>
  <si>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</si>
  <si>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</si>
  <si>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</si>
  <si>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</si>
  <si>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</si>
  <si>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</si>
  <si>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</si>
  <si>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</si>
  <si>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</si>
  <si>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</si>
  <si>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</si>
  <si>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</si>
  <si>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</si>
  <si>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</si>
  <si>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</si>
  <si>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</si>
  <si>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</si>
  <si>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</si>
  <si>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</si>
  <si>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</si>
  <si>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</si>
  <si>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</si>
  <si>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</si>
  <si>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</si>
  <si>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</si>
  <si>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</si>
  <si>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</si>
  <si>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</si>
  <si>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</si>
  <si>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</si>
  <si>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</si>
  <si>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</si>
  <si>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</si>
  <si>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</si>
  <si>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</si>
  <si>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</si>
  <si>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</si>
  <si>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</si>
  <si>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</si>
  <si>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</si>
  <si>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</si>
  <si>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</si>
  <si>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</si>
  <si>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</si>
  <si>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</si>
  <si>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</si>
  <si>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</si>
  <si>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</si>
  <si>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</si>
  <si>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</si>
  <si>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</si>
  <si>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</si>
  <si>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</si>
  <si>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</si>
  <si>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</si>
  <si>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</si>
  <si>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</si>
  <si>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</si>
  <si>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</si>
  <si>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</si>
  <si>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</si>
  <si>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</si>
  <si>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</si>
  <si>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</si>
  <si>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</si>
  <si>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</si>
  <si>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</si>
  <si>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</si>
  <si>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</si>
  <si>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</si>
  <si>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</si>
  <si>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</si>
  <si>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</si>
  <si>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</si>
  <si>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</si>
  <si>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</si>
  <si>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</si>
  <si>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</si>
  <si>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</si>
  <si>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</si>
  <si>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</si>
  <si>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</si>
  <si>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</si>
  <si>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</si>
  <si>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</si>
  <si>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</si>
  <si>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</si>
  <si>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</si>
  <si>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</si>
  <si>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</si>
  <si>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</si>
  <si>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</si>
  <si>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</si>
  <si>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</si>
  <si>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</si>
  <si>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</si>
  <si>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</si>
  <si>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</si>
  <si>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</si>
  <si>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</si>
  <si>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</si>
  <si>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</si>
  <si>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</si>
  <si>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</si>
  <si>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</si>
  <si>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</si>
  <si>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</si>
  <si>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</si>
  <si>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</si>
  <si>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</si>
  <si>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</si>
  <si>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</si>
  <si>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</si>
  <si>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</si>
  <si>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</si>
  <si>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</si>
  <si>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</si>
  <si>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</si>
  <si>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</si>
  <si>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</si>
  <si>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</si>
  <si>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</si>
  <si>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</si>
  <si>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</si>
  <si>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</si>
  <si>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</si>
  <si>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</si>
  <si>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</si>
  <si>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</si>
  <si>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</si>
  <si>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</si>
  <si>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</si>
  <si>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</si>
  <si>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</si>
  <si>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</si>
  <si>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</si>
  <si>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</si>
  <si>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</si>
  <si>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</si>
  <si>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</si>
  <si>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</si>
  <si>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</si>
  <si>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</si>
  <si>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</si>
  <si>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</si>
  <si>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</si>
  <si>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</si>
  <si>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</si>
  <si>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</si>
  <si>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</si>
  <si>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</si>
  <si>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</si>
  <si>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</si>
  <si>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</si>
  <si>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</si>
  <si>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</si>
  <si>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</si>
  <si>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</si>
  <si>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</si>
  <si>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</si>
  <si>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</si>
  <si>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</si>
  <si>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</si>
  <si>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</si>
  <si>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Portfolio index (Q_start=100)</t>
  </si>
  <si>
    <t>Renter's insurance and other costs ($ per year, end-quarter dollars)</t>
  </si>
  <si>
    <t>Investment efficiency</t>
  </si>
  <si>
    <t>Other renter costs</t>
  </si>
  <si>
    <t>Month</t>
  </si>
  <si>
    <t>Perth</t>
  </si>
  <si>
    <t>Domain</t>
  </si>
  <si>
    <t>Ableson</t>
  </si>
  <si>
    <t>Aus Rent CPI numbers</t>
  </si>
  <si>
    <t>https://www.domain.com.au/research/rental-report</t>
  </si>
  <si>
    <t>Abelson and Joyeux 2023</t>
  </si>
  <si>
    <t>https://appliedeconomics.com.au/wp-content/uploads/2023/10/Complete-WP-Abelson-Joyeux-Sep-2023-5.pdf</t>
  </si>
  <si>
    <t>House median rent</t>
  </si>
  <si>
    <t>Unit median rent</t>
  </si>
  <si>
    <t>FY</t>
  </si>
  <si>
    <t>Consider CGT? Note: Unlikely to reflect realistic tax liabilities</t>
  </si>
  <si>
    <t>Rent vs buy analysis - Darwin</t>
  </si>
  <si>
    <t>Darwin (FY)</t>
  </si>
  <si>
    <t>Darwin</t>
  </si>
  <si>
    <t>Darwin CPI</t>
  </si>
  <si>
    <t>Darwin Rent CPI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</si>
</sst>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0.0"/>
  </numFmts>
  <fonts count="19"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u/>
      <sz val="11"/>
      <color theme="10"/>
      <name val="Arial"/>
      <family val="2"/>
    </font>
    <font>
      <sz val="11"/>
      <color theme="1"/>
      <name val="Arial"/>
      <family val="2"/>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9">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16" fillId="0" borderId="0" applyNumberFormat="0" applyFill="0" applyBorder="0" applyAlignment="0" applyProtection="0"/>
    <xf numFmtId="0" fontId="17" fillId="0" borderId="0"/>
    <xf numFmtId="0" fontId="18" fillId="0" borderId="0" applyNumberFormat="0" applyFill="0" applyBorder="0" applyAlignment="0" applyProtection="0"/>
  </cellStyleXfs>
  <cellXfs count="48">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0" fillId="2" borderId="0" xfId="0" applyFill="1"/>
    <xf numFmtId="171" fontId="0" fillId="0" borderId="0" xfId="0" applyNumberFormat="1"/>
    <xf numFmtId="0" fontId="18" fillId="0" borderId="0" xfId="8"/>
  </cellXfs>
  <cellStyles count="9">
    <cellStyle name="Comma" xfId="2" builtinId="3"/>
    <cellStyle name="Comma 2" xfId="4" xr:uid="{08858974-E26C-4C8C-A06B-AA9505693D98}"/>
    <cellStyle name="Comma 3" xfId="5" xr:uid="{2E7F94B6-BC7E-43E6-AF74-4A0A33FAFB5F}"/>
    <cellStyle name="Hyperlink" xfId="8" builtinId="8"/>
    <cellStyle name="Hyperlink 2" xfId="6" xr:uid="{1869A5C3-0A3F-429E-8621-BEACBAB5CE53}"/>
    <cellStyle name="Normal" xfId="0" builtinId="0"/>
    <cellStyle name="Normal 2" xfId="1" xr:uid="{EA054D48-7445-4D79-A4CC-930395C15F80}"/>
    <cellStyle name="Normal 3" xfId="7" xr:uid="{5E19C680-7C1F-4703-995A-94C079162749}"/>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worksheet" Target="worksheets/sheet13.xml"/><Relationship Id="rId10" Type="http://schemas.openxmlformats.org/officeDocument/2006/relationships/chartsheet" Target="chartsheets/sheet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1.6380233996002003</c:v>
                </c:pt>
                <c:pt idx="1">
                  <c:v>1.4928696580061882</c:v>
                </c:pt>
                <c:pt idx="2">
                  <c:v>1.390537837792162</c:v>
                </c:pt>
                <c:pt idx="3">
                  <c:v>1.2499999564776632</c:v>
                </c:pt>
                <c:pt idx="4">
                  <c:v>1.2211523005093943</c:v>
                </c:pt>
                <c:pt idx="5">
                  <c:v>1.26871191167867</c:v>
                </c:pt>
                <c:pt idx="6">
                  <c:v>1.2857811608239917</c:v>
                </c:pt>
                <c:pt idx="7">
                  <c:v>1.1054046993121538</c:v>
                </c:pt>
                <c:pt idx="8">
                  <c:v>1.0055697480591439</c:v>
                </c:pt>
                <c:pt idx="9">
                  <c:v>1.0055431563509833</c:v>
                </c:pt>
                <c:pt idx="10">
                  <c:v>0.8451307112795633</c:v>
                </c:pt>
                <c:pt idx="11">
                  <c:v>0.61577366088191843</c:v>
                </c:pt>
                <c:pt idx="12">
                  <c:v>0.53521875965786914</c:v>
                </c:pt>
                <c:pt idx="13">
                  <c:v>0.60553850301004475</c:v>
                </c:pt>
                <c:pt idx="14">
                  <c:v>0.63717096381016103</c:v>
                </c:pt>
                <c:pt idx="15">
                  <c:v>0.5803038726923937</c:v>
                </c:pt>
                <c:pt idx="16">
                  <c:v>0.58274737110498687</c:v>
                </c:pt>
                <c:pt idx="17">
                  <c:v>0.51589393113954496</c:v>
                </c:pt>
                <c:pt idx="18">
                  <c:v>0.57581847830723476</c:v>
                </c:pt>
                <c:pt idx="19">
                  <c:v>0.60610370715450801</c:v>
                </c:pt>
                <c:pt idx="20">
                  <c:v>0.74766452020126872</c:v>
                </c:pt>
                <c:pt idx="21">
                  <c:v>0.78560535994969494</c:v>
                </c:pt>
                <c:pt idx="22">
                  <c:v>0.68021833216730898</c:v>
                </c:pt>
                <c:pt idx="23">
                  <c:v>0.66709074511361799</c:v>
                </c:pt>
                <c:pt idx="24">
                  <c:v>0.71362663451657693</c:v>
                </c:pt>
                <c:pt idx="25">
                  <c:v>0.62909649898819187</c:v>
                </c:pt>
                <c:pt idx="26">
                  <c:v>0.68979452573431566</c:v>
                </c:pt>
                <c:pt idx="27">
                  <c:v>0.66167999659197907</c:v>
                </c:pt>
                <c:pt idx="28">
                  <c:v>0.81701503290792843</c:v>
                </c:pt>
                <c:pt idx="29">
                  <c:v>0.77961730471286839</c:v>
                </c:pt>
                <c:pt idx="30">
                  <c:v>0.75489308895431972</c:v>
                </c:pt>
                <c:pt idx="31">
                  <c:v>0.77868350691594568</c:v>
                </c:pt>
                <c:pt idx="32">
                  <c:v>0.74803350415920811</c:v>
                </c:pt>
                <c:pt idx="33">
                  <c:v>0.88983090076771298</c:v>
                </c:pt>
                <c:pt idx="34">
                  <c:v>0.82871284161481273</c:v>
                </c:pt>
                <c:pt idx="35">
                  <c:v>0.80799139842907053</c:v>
                </c:pt>
                <c:pt idx="36">
                  <c:v>0.88214675112897345</c:v>
                </c:pt>
                <c:pt idx="37">
                  <c:v>0.79034602557745814</c:v>
                </c:pt>
                <c:pt idx="38">
                  <c:v>0.76469603896752725</c:v>
                </c:pt>
                <c:pt idx="39">
                  <c:v>0.82130493011319416</c:v>
                </c:pt>
                <c:pt idx="40">
                  <c:v>0.82915506865647526</c:v>
                </c:pt>
                <c:pt idx="41">
                  <c:v>0.92311985822284492</c:v>
                </c:pt>
                <c:pt idx="42">
                  <c:v>1.0992100012459181</c:v>
                </c:pt>
                <c:pt idx="43">
                  <c:v>1.1203699835062395</c:v>
                </c:pt>
                <c:pt idx="44">
                  <c:v>1.1433263022908824</c:v>
                </c:pt>
                <c:pt idx="45">
                  <c:v>1.3517932816084368</c:v>
                </c:pt>
                <c:pt idx="46">
                  <c:v>1.4017964931236311</c:v>
                </c:pt>
                <c:pt idx="47">
                  <c:v>1.3869650934197237</c:v>
                </c:pt>
                <c:pt idx="48">
                  <c:v>1.4554159561128119</c:v>
                </c:pt>
                <c:pt idx="49">
                  <c:v>1.466836384813039</c:v>
                </c:pt>
                <c:pt idx="50">
                  <c:v>1.5642043603484725</c:v>
                </c:pt>
                <c:pt idx="51">
                  <c:v>1.3031657631803937</c:v>
                </c:pt>
                <c:pt idx="52">
                  <c:v>1.6641022774401</c:v>
                </c:pt>
                <c:pt idx="53">
                  <c:v>1.9037202749548388</c:v>
                </c:pt>
                <c:pt idx="54">
                  <c:v>1.7215238232810757</c:v>
                </c:pt>
                <c:pt idx="55">
                  <c:v>2.0301125120304033</c:v>
                </c:pt>
                <c:pt idx="56">
                  <c:v>1.5638637688856638</c:v>
                </c:pt>
                <c:pt idx="57">
                  <c:v>1.9130483598718961</c:v>
                </c:pt>
                <c:pt idx="58">
                  <c:v>1.6558504712676925</c:v>
                </c:pt>
                <c:pt idx="59">
                  <c:v>1.7030832764119537</c:v>
                </c:pt>
                <c:pt idx="60">
                  <c:v>1.6888293849149891</c:v>
                </c:pt>
                <c:pt idx="61">
                  <c:v>1.60797588775234</c:v>
                </c:pt>
                <c:pt idx="62">
                  <c:v>1.5213843904838258</c:v>
                </c:pt>
                <c:pt idx="63">
                  <c:v>1.4955572525896779</c:v>
                </c:pt>
                <c:pt idx="64">
                  <c:v>1.4451773500634004</c:v>
                </c:pt>
                <c:pt idx="65">
                  <c:v>1.2858499511654649</c:v>
                </c:pt>
                <c:pt idx="66">
                  <c:v>1.3438967997617888</c:v>
                </c:pt>
                <c:pt idx="67">
                  <c:v>1.3203883819188438</c:v>
                </c:pt>
                <c:pt idx="68">
                  <c:v>1.4705410572537536</c:v>
                </c:pt>
                <c:pt idx="69">
                  <c:v>1.4582200097421441</c:v>
                </c:pt>
                <c:pt idx="70">
                  <c:v>1.4390726716589908</c:v>
                </c:pt>
                <c:pt idx="71">
                  <c:v>1.5625084894957499</c:v>
                </c:pt>
                <c:pt idx="72">
                  <c:v>1.7919604632271582</c:v>
                </c:pt>
                <c:pt idx="73">
                  <c:v>1.7272729768587516</c:v>
                </c:pt>
                <c:pt idx="74">
                  <c:v>2.0016036672942294</c:v>
                </c:pt>
                <c:pt idx="75">
                  <c:v>1.9707649752496317</c:v>
                </c:pt>
                <c:pt idx="76">
                  <c:v>1.6701153675617966</c:v>
                </c:pt>
                <c:pt idx="77">
                  <c:v>1.7104175548603076</c:v>
                </c:pt>
                <c:pt idx="78">
                  <c:v>1.5960073540554585</c:v>
                </c:pt>
                <c:pt idx="79">
                  <c:v>1.4620166505103673</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102.34260614934114</c:v>
                </c:pt>
                <c:pt idx="2">
                  <c:v>105.4172767203514</c:v>
                </c:pt>
                <c:pt idx="3">
                  <c:v>111.27379209370424</c:v>
                </c:pt>
                <c:pt idx="4">
                  <c:v>114.05563689604685</c:v>
                </c:pt>
                <c:pt idx="5">
                  <c:v>115.66617862371889</c:v>
                </c:pt>
                <c:pt idx="6">
                  <c:v>117.13030746705711</c:v>
                </c:pt>
                <c:pt idx="7">
                  <c:v>122.54758418740849</c:v>
                </c:pt>
                <c:pt idx="8">
                  <c:v>122.98682284040996</c:v>
                </c:pt>
                <c:pt idx="9">
                  <c:v>123.66032210834554</c:v>
                </c:pt>
                <c:pt idx="10">
                  <c:v>125.91508052708639</c:v>
                </c:pt>
                <c:pt idx="11">
                  <c:v>130.30746705710104</c:v>
                </c:pt>
                <c:pt idx="12">
                  <c:v>133.23572474377744</c:v>
                </c:pt>
                <c:pt idx="13">
                  <c:v>136.16398243045387</c:v>
                </c:pt>
                <c:pt idx="14">
                  <c:v>143.48462664714495</c:v>
                </c:pt>
                <c:pt idx="15">
                  <c:v>152.26939970717424</c:v>
                </c:pt>
                <c:pt idx="16">
                  <c:v>154.90483162518302</c:v>
                </c:pt>
                <c:pt idx="17">
                  <c:v>155.19765739385065</c:v>
                </c:pt>
                <c:pt idx="18">
                  <c:v>156.66178623718886</c:v>
                </c:pt>
                <c:pt idx="19">
                  <c:v>159.5900439238653</c:v>
                </c:pt>
                <c:pt idx="20">
                  <c:v>149.34114202049781</c:v>
                </c:pt>
                <c:pt idx="21">
                  <c:v>146.41288433382138</c:v>
                </c:pt>
                <c:pt idx="22">
                  <c:v>145.53440702781845</c:v>
                </c:pt>
                <c:pt idx="23">
                  <c:v>150.80527086383603</c:v>
                </c:pt>
                <c:pt idx="24">
                  <c:v>153.73352855051243</c:v>
                </c:pt>
                <c:pt idx="25">
                  <c:v>159.15080527086383</c:v>
                </c:pt>
                <c:pt idx="26">
                  <c:v>158.12591508052708</c:v>
                </c:pt>
                <c:pt idx="27">
                  <c:v>164.2752562225476</c:v>
                </c:pt>
                <c:pt idx="28">
                  <c:v>155.19765739385065</c:v>
                </c:pt>
                <c:pt idx="29">
                  <c:v>158.12591508052708</c:v>
                </c:pt>
                <c:pt idx="30">
                  <c:v>166.91068814055637</c:v>
                </c:pt>
                <c:pt idx="31">
                  <c:v>169.54612005856515</c:v>
                </c:pt>
                <c:pt idx="32">
                  <c:v>174.23133235724742</c:v>
                </c:pt>
                <c:pt idx="33">
                  <c:v>163.25036603221085</c:v>
                </c:pt>
                <c:pt idx="34">
                  <c:v>166.91068814055637</c:v>
                </c:pt>
                <c:pt idx="35">
                  <c:v>170.13177159590043</c:v>
                </c:pt>
                <c:pt idx="36">
                  <c:v>166.91068814055637</c:v>
                </c:pt>
                <c:pt idx="37">
                  <c:v>174.23133235724742</c:v>
                </c:pt>
                <c:pt idx="38">
                  <c:v>169.83894582723281</c:v>
                </c:pt>
                <c:pt idx="39">
                  <c:v>168.37481698389459</c:v>
                </c:pt>
                <c:pt idx="40">
                  <c:v>166.91068814055637</c:v>
                </c:pt>
                <c:pt idx="41">
                  <c:v>160.46852122986823</c:v>
                </c:pt>
                <c:pt idx="42">
                  <c:v>152.26939970717424</c:v>
                </c:pt>
                <c:pt idx="43">
                  <c:v>152.85505124450953</c:v>
                </c:pt>
                <c:pt idx="44">
                  <c:v>155.19765739385065</c:v>
                </c:pt>
                <c:pt idx="45">
                  <c:v>146.41288433382138</c:v>
                </c:pt>
                <c:pt idx="46">
                  <c:v>146.41288433382138</c:v>
                </c:pt>
                <c:pt idx="47">
                  <c:v>150.45387994143482</c:v>
                </c:pt>
                <c:pt idx="48">
                  <c:v>146.41288433382138</c:v>
                </c:pt>
                <c:pt idx="49">
                  <c:v>148.16983894582722</c:v>
                </c:pt>
                <c:pt idx="50">
                  <c:v>146.41288433382138</c:v>
                </c:pt>
                <c:pt idx="51">
                  <c:v>149.34114202049781</c:v>
                </c:pt>
                <c:pt idx="52">
                  <c:v>142.02049780380673</c:v>
                </c:pt>
                <c:pt idx="53">
                  <c:v>137.62811127379209</c:v>
                </c:pt>
                <c:pt idx="54">
                  <c:v>143.1918008784773</c:v>
                </c:pt>
                <c:pt idx="55">
                  <c:v>137.62811127379209</c:v>
                </c:pt>
                <c:pt idx="56">
                  <c:v>137.62811127379209</c:v>
                </c:pt>
                <c:pt idx="57">
                  <c:v>136.16398243045387</c:v>
                </c:pt>
                <c:pt idx="58">
                  <c:v>146.41288433382138</c:v>
                </c:pt>
                <c:pt idx="59">
                  <c:v>153.00146412884334</c:v>
                </c:pt>
                <c:pt idx="60">
                  <c:v>156.66178623718886</c:v>
                </c:pt>
                <c:pt idx="61">
                  <c:v>165.44655929721816</c:v>
                </c:pt>
                <c:pt idx="62">
                  <c:v>169.83894582723281</c:v>
                </c:pt>
                <c:pt idx="63">
                  <c:v>175.69546120058564</c:v>
                </c:pt>
                <c:pt idx="64">
                  <c:v>175.69546120058564</c:v>
                </c:pt>
                <c:pt idx="65">
                  <c:v>171.30307467057102</c:v>
                </c:pt>
                <c:pt idx="66">
                  <c:v>163.98243045387994</c:v>
                </c:pt>
                <c:pt idx="67">
                  <c:v>172.76720351390924</c:v>
                </c:pt>
                <c:pt idx="68">
                  <c:v>168.37481698389459</c:v>
                </c:pt>
                <c:pt idx="69">
                  <c:v>172.76720351390924</c:v>
                </c:pt>
                <c:pt idx="70">
                  <c:v>171.30307467057102</c:v>
                </c:pt>
                <c:pt idx="71">
                  <c:v>172.6207906295754</c:v>
                </c:pt>
                <c:pt idx="72">
                  <c:v>166.91068814055637</c:v>
                </c:pt>
                <c:pt idx="73">
                  <c:v>170.5710102489019</c:v>
                </c:pt>
                <c:pt idx="74">
                  <c:v>163.63103953147876</c:v>
                </c:pt>
                <c:pt idx="75">
                  <c:v>163.98243045387994</c:v>
                </c:pt>
                <c:pt idx="76">
                  <c:v>175.69546120058564</c:v>
                </c:pt>
                <c:pt idx="77">
                  <c:v>182.72327964860906</c:v>
                </c:pt>
                <c:pt idx="78">
                  <c:v>196.19326500732063</c:v>
                </c:pt>
                <c:pt idx="79">
                  <c:v>208.19912152269399</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101.79712097850451</c:v>
                </c:pt>
                <c:pt idx="2">
                  <c:v>104.32127384655021</c:v>
                </c:pt>
                <c:pt idx="3">
                  <c:v>109.62533737212814</c:v>
                </c:pt>
                <c:pt idx="4">
                  <c:v>111.82956766605619</c:v>
                </c:pt>
                <c:pt idx="5">
                  <c:v>112.85128435665555</c:v>
                </c:pt>
                <c:pt idx="6">
                  <c:v>113.72146174026838</c:v>
                </c:pt>
                <c:pt idx="7">
                  <c:v>118.55060821343044</c:v>
                </c:pt>
                <c:pt idx="8">
                  <c:v>118.37296734055651</c:v>
                </c:pt>
                <c:pt idx="9">
                  <c:v>118.42889229273338</c:v>
                </c:pt>
                <c:pt idx="10">
                  <c:v>120.06814574288155</c:v>
                </c:pt>
                <c:pt idx="11">
                  <c:v>123.84385930617532</c:v>
                </c:pt>
                <c:pt idx="12">
                  <c:v>126.13873151272095</c:v>
                </c:pt>
                <c:pt idx="13">
                  <c:v>128.4249657909873</c:v>
                </c:pt>
                <c:pt idx="14">
                  <c:v>135.106215533962</c:v>
                </c:pt>
                <c:pt idx="15">
                  <c:v>143.23375492056769</c:v>
                </c:pt>
                <c:pt idx="16">
                  <c:v>145.17026577215285</c:v>
                </c:pt>
                <c:pt idx="17">
                  <c:v>144.75038734535997</c:v>
                </c:pt>
                <c:pt idx="18">
                  <c:v>145.50395269720249</c:v>
                </c:pt>
                <c:pt idx="19">
                  <c:v>147.72108354923461</c:v>
                </c:pt>
                <c:pt idx="20">
                  <c:v>136.71861629402457</c:v>
                </c:pt>
                <c:pt idx="21">
                  <c:v>133.08580410943804</c:v>
                </c:pt>
                <c:pt idx="22">
                  <c:v>131.51666810319171</c:v>
                </c:pt>
                <c:pt idx="23">
                  <c:v>136.11523822561179</c:v>
                </c:pt>
                <c:pt idx="24">
                  <c:v>138.34964493420247</c:v>
                </c:pt>
                <c:pt idx="25">
                  <c:v>143.0708173038735</c:v>
                </c:pt>
                <c:pt idx="26">
                  <c:v>141.31731786317934</c:v>
                </c:pt>
                <c:pt idx="27">
                  <c:v>146.75947557259607</c:v>
                </c:pt>
                <c:pt idx="28">
                  <c:v>136.91749520360256</c:v>
                </c:pt>
                <c:pt idx="29">
                  <c:v>139.1389450197743</c:v>
                </c:pt>
                <c:pt idx="30">
                  <c:v>147.22329476498356</c:v>
                </c:pt>
                <c:pt idx="31">
                  <c:v>149.11661597517235</c:v>
                </c:pt>
                <c:pt idx="32">
                  <c:v>153.05720129997064</c:v>
                </c:pt>
                <c:pt idx="33">
                  <c:v>141.27760217119962</c:v>
                </c:pt>
                <c:pt idx="34">
                  <c:v>144.20923991676793</c:v>
                </c:pt>
                <c:pt idx="35">
                  <c:v>146.68971491268837</c:v>
                </c:pt>
                <c:pt idx="36">
                  <c:v>142.70199654445312</c:v>
                </c:pt>
                <c:pt idx="37">
                  <c:v>149.29254804049535</c:v>
                </c:pt>
                <c:pt idx="38">
                  <c:v>144.11842900120575</c:v>
                </c:pt>
                <c:pt idx="39">
                  <c:v>141.89303578299345</c:v>
                </c:pt>
                <c:pt idx="40">
                  <c:v>139.6719615289208</c:v>
                </c:pt>
                <c:pt idx="41">
                  <c:v>132.46439906026851</c:v>
                </c:pt>
                <c:pt idx="42">
                  <c:v>123.51437867663559</c:v>
                </c:pt>
                <c:pt idx="43">
                  <c:v>123.39585127815988</c:v>
                </c:pt>
                <c:pt idx="44">
                  <c:v>125.03705765122336</c:v>
                </c:pt>
                <c:pt idx="45">
                  <c:v>115.51543175276146</c:v>
                </c:pt>
                <c:pt idx="46">
                  <c:v>114.82702642511263</c:v>
                </c:pt>
                <c:pt idx="47">
                  <c:v>118.18998221901239</c:v>
                </c:pt>
                <c:pt idx="48">
                  <c:v>113.43829542878957</c:v>
                </c:pt>
                <c:pt idx="49">
                  <c:v>114.5113514583358</c:v>
                </c:pt>
                <c:pt idx="50">
                  <c:v>112.05630201652436</c:v>
                </c:pt>
                <c:pt idx="51">
                  <c:v>114.30366561753394</c:v>
                </c:pt>
                <c:pt idx="52">
                  <c:v>106.2672000399598</c:v>
                </c:pt>
                <c:pt idx="53">
                  <c:v>101.18809821174229</c:v>
                </c:pt>
                <c:pt idx="54">
                  <c:v>106.10356763338228</c:v>
                </c:pt>
                <c:pt idx="55">
                  <c:v>99.846703062389707</c:v>
                </c:pt>
                <c:pt idx="56">
                  <c:v>99.184211519578724</c:v>
                </c:pt>
                <c:pt idx="57">
                  <c:v>97.053835512438539</c:v>
                </c:pt>
                <c:pt idx="58">
                  <c:v>106.67085418407163</c:v>
                </c:pt>
                <c:pt idx="59">
                  <c:v>112.58792894590422</c:v>
                </c:pt>
                <c:pt idx="60">
                  <c:v>115.54979944045003</c:v>
                </c:pt>
                <c:pt idx="61">
                  <c:v>123.63846814979895</c:v>
                </c:pt>
                <c:pt idx="62">
                  <c:v>127.29756968132241</c:v>
                </c:pt>
                <c:pt idx="63">
                  <c:v>132.41159878475617</c:v>
                </c:pt>
                <c:pt idx="64">
                  <c:v>131.63681417431451</c:v>
                </c:pt>
                <c:pt idx="65">
                  <c:v>126.45837617088526</c:v>
                </c:pt>
                <c:pt idx="66">
                  <c:v>118.35712613121652</c:v>
                </c:pt>
                <c:pt idx="67">
                  <c:v>126.42420001986723</c:v>
                </c:pt>
                <c:pt idx="68">
                  <c:v>121.25439994471726</c:v>
                </c:pt>
                <c:pt idx="69">
                  <c:v>124.90486354796144</c:v>
                </c:pt>
                <c:pt idx="70">
                  <c:v>122.67083240146988</c:v>
                </c:pt>
                <c:pt idx="71">
                  <c:v>123.23010070134345</c:v>
                </c:pt>
                <c:pt idx="72">
                  <c:v>116.73963650471114</c:v>
                </c:pt>
                <c:pt idx="73">
                  <c:v>119.66047683993037</c:v>
                </c:pt>
                <c:pt idx="74">
                  <c:v>111.94303624305704</c:v>
                </c:pt>
                <c:pt idx="75">
                  <c:v>111.55613216856504</c:v>
                </c:pt>
                <c:pt idx="76">
                  <c:v>122.55897498587417</c:v>
                </c:pt>
                <c:pt idx="77">
                  <c:v>128.83003580421271</c:v>
                </c:pt>
                <c:pt idx="78">
                  <c:v>141.53905723772948</c:v>
                </c:pt>
                <c:pt idx="79">
                  <c:v>152.74045973683238</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Darwin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59634.4375</c:v>
                </c:pt>
                <c:pt idx="1">
                  <c:v>66698.726785879233</c:v>
                </c:pt>
                <c:pt idx="2">
                  <c:v>76153.101191119698</c:v>
                </c:pt>
                <c:pt idx="3">
                  <c:v>94832.013587346009</c:v>
                </c:pt>
                <c:pt idx="4">
                  <c:v>103173.41258204234</c:v>
                </c:pt>
                <c:pt idx="5">
                  <c:v>107597.76673265209</c:v>
                </c:pt>
                <c:pt idx="6">
                  <c:v>111536.86402514949</c:v>
                </c:pt>
                <c:pt idx="7">
                  <c:v>128634.06802150811</c:v>
                </c:pt>
                <c:pt idx="8">
                  <c:v>129049.46706170961</c:v>
                </c:pt>
                <c:pt idx="9">
                  <c:v>130159.13795463048</c:v>
                </c:pt>
                <c:pt idx="10">
                  <c:v>136539.85803079023</c:v>
                </c:pt>
                <c:pt idx="11">
                  <c:v>150062.73939166858</c:v>
                </c:pt>
                <c:pt idx="12">
                  <c:v>159087.05278220057</c:v>
                </c:pt>
                <c:pt idx="13">
                  <c:v>168302.27007454561</c:v>
                </c:pt>
                <c:pt idx="14">
                  <c:v>192174.60609946659</c:v>
                </c:pt>
                <c:pt idx="15">
                  <c:v>220881.69976730781</c:v>
                </c:pt>
                <c:pt idx="16">
                  <c:v>228835.04177686138</c:v>
                </c:pt>
                <c:pt idx="17">
                  <c:v>228921.55324695745</c:v>
                </c:pt>
                <c:pt idx="18">
                  <c:v>232846.99872605098</c:v>
                </c:pt>
                <c:pt idx="19">
                  <c:v>241667.61148822922</c:v>
                </c:pt>
                <c:pt idx="20">
                  <c:v>206444.08628042485</c:v>
                </c:pt>
                <c:pt idx="21">
                  <c:v>195781.07956586356</c:v>
                </c:pt>
                <c:pt idx="22">
                  <c:v>192024.09203590895</c:v>
                </c:pt>
                <c:pt idx="23">
                  <c:v>208822.8756870683</c:v>
                </c:pt>
                <c:pt idx="24">
                  <c:v>217865.88321006339</c:v>
                </c:pt>
                <c:pt idx="25">
                  <c:v>235181.40087495797</c:v>
                </c:pt>
                <c:pt idx="26">
                  <c:v>231080.11936265157</c:v>
                </c:pt>
                <c:pt idx="27">
                  <c:v>250964.46095264785</c:v>
                </c:pt>
                <c:pt idx="28">
                  <c:v>220081.48957997342</c:v>
                </c:pt>
                <c:pt idx="29">
                  <c:v>229388.08020469328</c:v>
                </c:pt>
                <c:pt idx="30">
                  <c:v>258286.50353241607</c:v>
                </c:pt>
                <c:pt idx="31">
                  <c:v>266661.87453254138</c:v>
                </c:pt>
                <c:pt idx="32">
                  <c:v>281873.54713353951</c:v>
                </c:pt>
                <c:pt idx="33">
                  <c:v>244793.77596876989</c:v>
                </c:pt>
                <c:pt idx="34">
                  <c:v>256705.07755395767</c:v>
                </c:pt>
                <c:pt idx="35">
                  <c:v>267142.10741927737</c:v>
                </c:pt>
                <c:pt idx="36">
                  <c:v>256078.46295138661</c:v>
                </c:pt>
                <c:pt idx="37">
                  <c:v>280302.79385940603</c:v>
                </c:pt>
                <c:pt idx="38">
                  <c:v>265427.95095882233</c:v>
                </c:pt>
                <c:pt idx="39">
                  <c:v>260396.88333760353</c:v>
                </c:pt>
                <c:pt idx="40">
                  <c:v>255374.16324033073</c:v>
                </c:pt>
                <c:pt idx="41">
                  <c:v>233783.30823538336</c:v>
                </c:pt>
                <c:pt idx="42">
                  <c:v>206468.95656883353</c:v>
                </c:pt>
                <c:pt idx="43">
                  <c:v>208592.96090811689</c:v>
                </c:pt>
                <c:pt idx="44">
                  <c:v>216602.36138382569</c:v>
                </c:pt>
                <c:pt idx="45">
                  <c:v>187482.85779544446</c:v>
                </c:pt>
                <c:pt idx="46">
                  <c:v>187802.07873074181</c:v>
                </c:pt>
                <c:pt idx="47">
                  <c:v>201636.76740878215</c:v>
                </c:pt>
                <c:pt idx="48">
                  <c:v>188485.10796771912</c:v>
                </c:pt>
                <c:pt idx="49">
                  <c:v>194750.23051020797</c:v>
                </c:pt>
                <c:pt idx="50">
                  <c:v>189302.97364686339</c:v>
                </c:pt>
                <c:pt idx="51">
                  <c:v>199517.64203841382</c:v>
                </c:pt>
                <c:pt idx="52">
                  <c:v>175530.38380446212</c:v>
                </c:pt>
                <c:pt idx="53">
                  <c:v>161413.02647344809</c:v>
                </c:pt>
                <c:pt idx="54">
                  <c:v>180632.38686363003</c:v>
                </c:pt>
                <c:pt idx="55">
                  <c:v>162735.1171965283</c:v>
                </c:pt>
                <c:pt idx="56">
                  <c:v>163506.39529932296</c:v>
                </c:pt>
                <c:pt idx="57">
                  <c:v>159464.49550047578</c:v>
                </c:pt>
                <c:pt idx="58">
                  <c:v>194596.58703364286</c:v>
                </c:pt>
                <c:pt idx="59">
                  <c:v>217442.4915583001</c:v>
                </c:pt>
                <c:pt idx="60">
                  <c:v>230481.21914143232</c:v>
                </c:pt>
                <c:pt idx="61">
                  <c:v>260612.71972313561</c:v>
                </c:pt>
                <c:pt idx="62">
                  <c:v>276040.09410523629</c:v>
                </c:pt>
                <c:pt idx="63">
                  <c:v>296361.43489177048</c:v>
                </c:pt>
                <c:pt idx="64">
                  <c:v>297111.23896133853</c:v>
                </c:pt>
                <c:pt idx="65">
                  <c:v>283232.87680975662</c:v>
                </c:pt>
                <c:pt idx="66">
                  <c:v>259544.20413704045</c:v>
                </c:pt>
                <c:pt idx="67">
                  <c:v>289493.87740744359</c:v>
                </c:pt>
                <c:pt idx="68">
                  <c:v>275394.852393282</c:v>
                </c:pt>
                <c:pt idx="69">
                  <c:v>290639.62376198731</c:v>
                </c:pt>
                <c:pt idx="70">
                  <c:v>286269.97254230629</c:v>
                </c:pt>
                <c:pt idx="71">
                  <c:v>291251.49825984793</c:v>
                </c:pt>
                <c:pt idx="72">
                  <c:v>272794.58352263237</c:v>
                </c:pt>
                <c:pt idx="73">
                  <c:v>285719.21685609419</c:v>
                </c:pt>
                <c:pt idx="74">
                  <c:v>263316.02198314294</c:v>
                </c:pt>
                <c:pt idx="75">
                  <c:v>265375.3556198125</c:v>
                </c:pt>
                <c:pt idx="76">
                  <c:v>305402.84895976022</c:v>
                </c:pt>
                <c:pt idx="77">
                  <c:v>329767.88861683162</c:v>
                </c:pt>
                <c:pt idx="78">
                  <c:v>375673.85427673475</c:v>
                </c:pt>
                <c:pt idx="79">
                  <c:v>416643.88371386228</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97682.604046995664</c:v>
                </c:pt>
                <c:pt idx="1">
                  <c:v>99572.505446283714</c:v>
                </c:pt>
                <c:pt idx="2">
                  <c:v>105893.7686714673</c:v>
                </c:pt>
                <c:pt idx="3">
                  <c:v>118540.01285687168</c:v>
                </c:pt>
                <c:pt idx="4">
                  <c:v>125990.45012596587</c:v>
                </c:pt>
                <c:pt idx="5">
                  <c:v>136510.56832373864</c:v>
                </c:pt>
                <c:pt idx="6">
                  <c:v>143411.99850092444</c:v>
                </c:pt>
                <c:pt idx="7">
                  <c:v>142192.7032826143</c:v>
                </c:pt>
                <c:pt idx="8">
                  <c:v>129768.24008041013</c:v>
                </c:pt>
                <c:pt idx="9">
                  <c:v>130880.63040682222</c:v>
                </c:pt>
                <c:pt idx="10">
                  <c:v>115394.02733557233</c:v>
                </c:pt>
                <c:pt idx="11">
                  <c:v>92404.682397177035</c:v>
                </c:pt>
                <c:pt idx="12">
                  <c:v>85146.375067715344</c:v>
                </c:pt>
                <c:pt idx="13">
                  <c:v>101913.50467413261</c:v>
                </c:pt>
                <c:pt idx="14">
                  <c:v>122448.07898823518</c:v>
                </c:pt>
                <c:pt idx="15">
                  <c:v>128178.50578184731</c:v>
                </c:pt>
                <c:pt idx="16">
                  <c:v>133353.01901216581</c:v>
                </c:pt>
                <c:pt idx="17">
                  <c:v>118099.24002714353</c:v>
                </c:pt>
                <c:pt idx="18">
                  <c:v>134077.60448484131</c:v>
                </c:pt>
                <c:pt idx="19">
                  <c:v>146475.63522219111</c:v>
                </c:pt>
                <c:pt idx="20">
                  <c:v>154350.91871724316</c:v>
                </c:pt>
                <c:pt idx="21">
                  <c:v>153806.66548368012</c:v>
                </c:pt>
                <c:pt idx="22">
                  <c:v>130618.30762060783</c:v>
                </c:pt>
                <c:pt idx="23">
                  <c:v>139303.80773885481</c:v>
                </c:pt>
                <c:pt idx="24">
                  <c:v>155474.89701117913</c:v>
                </c:pt>
                <c:pt idx="25">
                  <c:v>147951.79591757455</c:v>
                </c:pt>
                <c:pt idx="26">
                  <c:v>159397.80134238928</c:v>
                </c:pt>
                <c:pt idx="27">
                  <c:v>166058.1636678559</c:v>
                </c:pt>
                <c:pt idx="28">
                  <c:v>179809.8854516079</c:v>
                </c:pt>
                <c:pt idx="29">
                  <c:v>178834.91682244226</c:v>
                </c:pt>
                <c:pt idx="30">
                  <c:v>194978.69648679637</c:v>
                </c:pt>
                <c:pt idx="31">
                  <c:v>207645.20362177922</c:v>
                </c:pt>
                <c:pt idx="32">
                  <c:v>210850.85719208728</c:v>
                </c:pt>
                <c:pt idx="33">
                  <c:v>217825.06617262025</c:v>
                </c:pt>
                <c:pt idx="34">
                  <c:v>212734.79427669113</c:v>
                </c:pt>
                <c:pt idx="35">
                  <c:v>215848.52495299091</c:v>
                </c:pt>
                <c:pt idx="36">
                  <c:v>225898.7841266669</c:v>
                </c:pt>
                <c:pt idx="37">
                  <c:v>221536.19908503909</c:v>
                </c:pt>
                <c:pt idx="38">
                  <c:v>202971.70272947851</c:v>
                </c:pt>
                <c:pt idx="39">
                  <c:v>213865.24407128405</c:v>
                </c:pt>
                <c:pt idx="40">
                  <c:v>211744.78185462634</c:v>
                </c:pt>
                <c:pt idx="41">
                  <c:v>215810.01435311473</c:v>
                </c:pt>
                <c:pt idx="42">
                  <c:v>226952.74200727089</c:v>
                </c:pt>
                <c:pt idx="43">
                  <c:v>233701.29217214457</c:v>
                </c:pt>
                <c:pt idx="44">
                  <c:v>247647.17690844284</c:v>
                </c:pt>
                <c:pt idx="45">
                  <c:v>253438.06758463179</c:v>
                </c:pt>
                <c:pt idx="46">
                  <c:v>263260.29536608193</c:v>
                </c:pt>
                <c:pt idx="47">
                  <c:v>279663.15794597263</c:v>
                </c:pt>
                <c:pt idx="48">
                  <c:v>274324.23362586449</c:v>
                </c:pt>
                <c:pt idx="49">
                  <c:v>285666.72406309948</c:v>
                </c:pt>
                <c:pt idx="50">
                  <c:v>296108.53680535569</c:v>
                </c:pt>
                <c:pt idx="51">
                  <c:v>260004.56025494213</c:v>
                </c:pt>
                <c:pt idx="52">
                  <c:v>292100.51144894026</c:v>
                </c:pt>
                <c:pt idx="53">
                  <c:v>307285.25113932526</c:v>
                </c:pt>
                <c:pt idx="54">
                  <c:v>310962.95724186272</c:v>
                </c:pt>
                <c:pt idx="55">
                  <c:v>330370.59756740613</c:v>
                </c:pt>
                <c:pt idx="56">
                  <c:v>255701.7275897084</c:v>
                </c:pt>
                <c:pt idx="57">
                  <c:v>305063.29157498456</c:v>
                </c:pt>
                <c:pt idx="58">
                  <c:v>322222.85034674208</c:v>
                </c:pt>
                <c:pt idx="59">
                  <c:v>370322.67095428833</c:v>
                </c:pt>
                <c:pt idx="60">
                  <c:v>389243.45555708196</c:v>
                </c:pt>
                <c:pt idx="61">
                  <c:v>419058.96935636073</c:v>
                </c:pt>
                <c:pt idx="62">
                  <c:v>419963.0903193928</c:v>
                </c:pt>
                <c:pt idx="63">
                  <c:v>443225.49334027094</c:v>
                </c:pt>
                <c:pt idx="64">
                  <c:v>429378.43299620092</c:v>
                </c:pt>
                <c:pt idx="65">
                  <c:v>364194.9808142797</c:v>
                </c:pt>
                <c:pt idx="66">
                  <c:v>348800.62533648906</c:v>
                </c:pt>
                <c:pt idx="67">
                  <c:v>382244.35236542654</c:v>
                </c:pt>
                <c:pt idx="68">
                  <c:v>404979.43740065832</c:v>
                </c:pt>
                <c:pt idx="69">
                  <c:v>423816.51499365823</c:v>
                </c:pt>
                <c:pt idx="70">
                  <c:v>411963.29420220264</c:v>
                </c:pt>
                <c:pt idx="71">
                  <c:v>455082.93860936904</c:v>
                </c:pt>
                <c:pt idx="72">
                  <c:v>488837.10825507599</c:v>
                </c:pt>
                <c:pt idx="73">
                  <c:v>493515.082244777</c:v>
                </c:pt>
                <c:pt idx="74">
                  <c:v>527054.3152587869</c:v>
                </c:pt>
                <c:pt idx="75">
                  <c:v>522992.45614994201</c:v>
                </c:pt>
                <c:pt idx="76">
                  <c:v>510057.99134484975</c:v>
                </c:pt>
                <c:pt idx="77">
                  <c:v>564040.78571944742</c:v>
                </c:pt>
                <c:pt idx="78">
                  <c:v>599578.23415202729</c:v>
                </c:pt>
                <c:pt idx="79">
                  <c:v>609140.29532297188</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Darwin</c:v>
                </c:pt>
              </c:strCache>
            </c:strRef>
          </c:tx>
          <c:spPr>
            <a:ln w="28575" cap="rnd">
              <a:solidFill>
                <a:schemeClr val="accent1"/>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'2BR_F-processed'!$E$2:$E$109</c:f>
              <c:numCache>
                <c:formatCode>General</c:formatCode>
                <c:ptCount val="108"/>
                <c:pt idx="0">
                  <c:v>296.54794520547944</c:v>
                </c:pt>
                <c:pt idx="1">
                  <c:v>299.69315068493154</c:v>
                </c:pt>
                <c:pt idx="2">
                  <c:v>307.78082191780823</c:v>
                </c:pt>
                <c:pt idx="3">
                  <c:v>312.27397260273972</c:v>
                </c:pt>
                <c:pt idx="4">
                  <c:v>316.76712328767121</c:v>
                </c:pt>
                <c:pt idx="5">
                  <c:v>323.9561643835616</c:v>
                </c:pt>
                <c:pt idx="6">
                  <c:v>328</c:v>
                </c:pt>
                <c:pt idx="7">
                  <c:v>328</c:v>
                </c:pt>
                <c:pt idx="8">
                  <c:v>328</c:v>
                </c:pt>
                <c:pt idx="9">
                  <c:v>328</c:v>
                </c:pt>
                <c:pt idx="10">
                  <c:v>368.88888888888886</c:v>
                </c:pt>
                <c:pt idx="11">
                  <c:v>381.21562156215623</c:v>
                </c:pt>
                <c:pt idx="12">
                  <c:v>396.28162816281622</c:v>
                </c:pt>
                <c:pt idx="13">
                  <c:v>404.95599559955997</c:v>
                </c:pt>
                <c:pt idx="14">
                  <c:v>415</c:v>
                </c:pt>
                <c:pt idx="15">
                  <c:v>415</c:v>
                </c:pt>
                <c:pt idx="16">
                  <c:v>415</c:v>
                </c:pt>
                <c:pt idx="17">
                  <c:v>415</c:v>
                </c:pt>
                <c:pt idx="18">
                  <c:v>425.88501742160281</c:v>
                </c:pt>
                <c:pt idx="19">
                  <c:v>428.95209059233451</c:v>
                </c:pt>
                <c:pt idx="20">
                  <c:v>431.58101045296166</c:v>
                </c:pt>
                <c:pt idx="21">
                  <c:v>432.89547038327527</c:v>
                </c:pt>
                <c:pt idx="22">
                  <c:v>434.64808362369337</c:v>
                </c:pt>
                <c:pt idx="23">
                  <c:v>435.96254355400697</c:v>
                </c:pt>
                <c:pt idx="24">
                  <c:v>439.02961672473867</c:v>
                </c:pt>
                <c:pt idx="25">
                  <c:v>442.97299651567943</c:v>
                </c:pt>
                <c:pt idx="26">
                  <c:v>449.98344947735194</c:v>
                </c:pt>
                <c:pt idx="27">
                  <c:v>454.36498257839725</c:v>
                </c:pt>
                <c:pt idx="28">
                  <c:v>467.07142857142856</c:v>
                </c:pt>
                <c:pt idx="29">
                  <c:v>476.27264808362372</c:v>
                </c:pt>
                <c:pt idx="30">
                  <c:v>485.47386759581877</c:v>
                </c:pt>
                <c:pt idx="31">
                  <c:v>492.48432055749134</c:v>
                </c:pt>
                <c:pt idx="32">
                  <c:v>496.4277003484321</c:v>
                </c:pt>
                <c:pt idx="33">
                  <c:v>499.0566202090593</c:v>
                </c:pt>
                <c:pt idx="34">
                  <c:v>503</c:v>
                </c:pt>
                <c:pt idx="35">
                  <c:v>503</c:v>
                </c:pt>
                <c:pt idx="36">
                  <c:v>503</c:v>
                </c:pt>
                <c:pt idx="37">
                  <c:v>503</c:v>
                </c:pt>
                <c:pt idx="38">
                  <c:v>453</c:v>
                </c:pt>
                <c:pt idx="39">
                  <c:v>453</c:v>
                </c:pt>
                <c:pt idx="40">
                  <c:v>453</c:v>
                </c:pt>
                <c:pt idx="41">
                  <c:v>453</c:v>
                </c:pt>
                <c:pt idx="42">
                  <c:v>408</c:v>
                </c:pt>
                <c:pt idx="43">
                  <c:v>408</c:v>
                </c:pt>
                <c:pt idx="44">
                  <c:v>408</c:v>
                </c:pt>
                <c:pt idx="45">
                  <c:v>408</c:v>
                </c:pt>
                <c:pt idx="46">
                  <c:v>391</c:v>
                </c:pt>
                <c:pt idx="47">
                  <c:v>391</c:v>
                </c:pt>
                <c:pt idx="48">
                  <c:v>391</c:v>
                </c:pt>
                <c:pt idx="49">
                  <c:v>391</c:v>
                </c:pt>
                <c:pt idx="50">
                  <c:v>368</c:v>
                </c:pt>
                <c:pt idx="51">
                  <c:v>368</c:v>
                </c:pt>
                <c:pt idx="52">
                  <c:v>368</c:v>
                </c:pt>
                <c:pt idx="53">
                  <c:v>368</c:v>
                </c:pt>
                <c:pt idx="54">
                  <c:v>353</c:v>
                </c:pt>
                <c:pt idx="55">
                  <c:v>353</c:v>
                </c:pt>
                <c:pt idx="56">
                  <c:v>353</c:v>
                </c:pt>
                <c:pt idx="57">
                  <c:v>353</c:v>
                </c:pt>
                <c:pt idx="58">
                  <c:v>397</c:v>
                </c:pt>
                <c:pt idx="59">
                  <c:v>397</c:v>
                </c:pt>
                <c:pt idx="60">
                  <c:v>397</c:v>
                </c:pt>
                <c:pt idx="61">
                  <c:v>397</c:v>
                </c:pt>
                <c:pt idx="62">
                  <c:v>433.92218717139855</c:v>
                </c:pt>
                <c:pt idx="63">
                  <c:v>447.26603575184021</c:v>
                </c:pt>
                <c:pt idx="64">
                  <c:v>461.10410094637223</c:v>
                </c:pt>
                <c:pt idx="65">
                  <c:v>470</c:v>
                </c:pt>
                <c:pt idx="66">
                  <c:v>483.47336065573774</c:v>
                </c:pt>
                <c:pt idx="67">
                  <c:v>520</c:v>
                </c:pt>
                <c:pt idx="68">
                  <c:v>525</c:v>
                </c:pt>
                <c:pt idx="69">
                  <c:v>520</c:v>
                </c:pt>
                <c:pt idx="70">
                  <c:v>520</c:v>
                </c:pt>
                <c:pt idx="71">
                  <c:v>540</c:v>
                </c:pt>
                <c:pt idx="72">
                  <c:v>550</c:v>
                </c:pt>
                <c:pt idx="73">
                  <c:v>530</c:v>
                </c:pt>
                <c:pt idx="74">
                  <c:v>550</c:v>
                </c:pt>
                <c:pt idx="75">
                  <c:v>550</c:v>
                </c:pt>
                <c:pt idx="76">
                  <c:v>560</c:v>
                </c:pt>
                <c:pt idx="77">
                  <c:v>560</c:v>
                </c:pt>
                <c:pt idx="78">
                  <c:v>580</c:v>
                </c:pt>
                <c:pt idx="79">
                  <c:v>598</c:v>
                </c:pt>
              </c:numCache>
            </c:numRef>
          </c:val>
          <c:smooth val="0"/>
          <c:extLst>
            <c:ext xmlns:c16="http://schemas.microsoft.com/office/drawing/2014/chart" uri="{C3380CC4-5D6E-409C-BE32-E72D297353CC}">
              <c16:uniqueId val="{00000000-617F-4C2B-A3D4-409ECC1B6286}"/>
            </c:ext>
          </c:extLst>
        </c:ser>
        <c:ser>
          <c:idx val="1"/>
          <c:order val="1"/>
          <c:tx>
            <c:strRef>
              <c:f>'2BR_F-processed'!#REF!</c:f>
              <c:strCache>
                <c:ptCount val="1"/>
                <c:pt idx="0">
                  <c:v>#REF!</c:v>
                </c:pt>
              </c:strCache>
            </c:strRef>
          </c:tx>
          <c:spPr>
            <a:ln w="28575" cap="rnd">
              <a:solidFill>
                <a:schemeClr val="accent2"/>
              </a:solidFill>
              <a:round/>
            </a:ln>
            <a:effectLst/>
          </c:spPr>
          <c:marker>
            <c:symbol val="none"/>
          </c:marker>
          <c:cat>
            <c:numRef>
              <c:f>'2BR_F-processed'!$B$2:$B$81</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'2BR_F-processed'!#REF!</c:f>
              <c:numCache>
                <c:formatCode>General</c:formatCode>
                <c:ptCount val="1"/>
                <c:pt idx="0">
                  <c:v>1</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Darwin</c:v>
                </c:pt>
              </c:strCache>
            </c:strRef>
          </c:tx>
          <c:spPr>
            <a:ln w="28575" cap="rnd">
              <a:solidFill>
                <a:schemeClr val="accent1"/>
              </a:solidFill>
              <a:round/>
            </a:ln>
            <a:effectLst/>
          </c:spPr>
          <c:marker>
            <c:symbol val="none"/>
          </c:marker>
          <c:cat>
            <c:numRef>
              <c:f>'3BR_H-processed'!$B$2:$B$97</c:f>
              <c:numCache>
                <c:formatCode>mmm\-yy</c:formatCode>
                <c:ptCount val="96"/>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'3BR_H-processed'!$E$2:$E$97</c:f>
              <c:numCache>
                <c:formatCode>General</c:formatCode>
                <c:ptCount val="96"/>
                <c:pt idx="0">
                  <c:v>367.97260273972603</c:v>
                </c:pt>
                <c:pt idx="1">
                  <c:v>371.87534246575348</c:v>
                </c:pt>
                <c:pt idx="2">
                  <c:v>381.91095890410958</c:v>
                </c:pt>
                <c:pt idx="3">
                  <c:v>387.48630136986304</c:v>
                </c:pt>
                <c:pt idx="4">
                  <c:v>393.06164383561645</c:v>
                </c:pt>
                <c:pt idx="5">
                  <c:v>401.98219178082189</c:v>
                </c:pt>
                <c:pt idx="6">
                  <c:v>407</c:v>
                </c:pt>
                <c:pt idx="7">
                  <c:v>407</c:v>
                </c:pt>
                <c:pt idx="8">
                  <c:v>407</c:v>
                </c:pt>
                <c:pt idx="9">
                  <c:v>407</c:v>
                </c:pt>
                <c:pt idx="10">
                  <c:v>442.66666666666663</c:v>
                </c:pt>
                <c:pt idx="11">
                  <c:v>457.45874587458746</c:v>
                </c:pt>
                <c:pt idx="12">
                  <c:v>475.53795379537945</c:v>
                </c:pt>
                <c:pt idx="13">
                  <c:v>485.94719471947195</c:v>
                </c:pt>
                <c:pt idx="14">
                  <c:v>498</c:v>
                </c:pt>
                <c:pt idx="15">
                  <c:v>498</c:v>
                </c:pt>
                <c:pt idx="16">
                  <c:v>498</c:v>
                </c:pt>
                <c:pt idx="17">
                  <c:v>498</c:v>
                </c:pt>
                <c:pt idx="18">
                  <c:v>518.17421602787454</c:v>
                </c:pt>
                <c:pt idx="19">
                  <c:v>521.90592334494772</c:v>
                </c:pt>
                <c:pt idx="20">
                  <c:v>525.10452961672479</c:v>
                </c:pt>
                <c:pt idx="21">
                  <c:v>526.70383275261327</c:v>
                </c:pt>
                <c:pt idx="22">
                  <c:v>528.83623693379786</c:v>
                </c:pt>
                <c:pt idx="23">
                  <c:v>530.43554006968645</c:v>
                </c:pt>
                <c:pt idx="24">
                  <c:v>534.16724738675964</c:v>
                </c:pt>
                <c:pt idx="25">
                  <c:v>538.96515679442507</c:v>
                </c:pt>
                <c:pt idx="26">
                  <c:v>547.4947735191638</c:v>
                </c:pt>
                <c:pt idx="27">
                  <c:v>552.82578397212546</c:v>
                </c:pt>
                <c:pt idx="28">
                  <c:v>568.28571428571422</c:v>
                </c:pt>
                <c:pt idx="29">
                  <c:v>579.48083623693378</c:v>
                </c:pt>
                <c:pt idx="30">
                  <c:v>590.67595818815323</c:v>
                </c:pt>
                <c:pt idx="31">
                  <c:v>599.20557491289208</c:v>
                </c:pt>
                <c:pt idx="32">
                  <c:v>604.0034843205575</c:v>
                </c:pt>
                <c:pt idx="33">
                  <c:v>607.20209059233457</c:v>
                </c:pt>
                <c:pt idx="34">
                  <c:v>612</c:v>
                </c:pt>
                <c:pt idx="35">
                  <c:v>612</c:v>
                </c:pt>
                <c:pt idx="36">
                  <c:v>612</c:v>
                </c:pt>
                <c:pt idx="37">
                  <c:v>612</c:v>
                </c:pt>
                <c:pt idx="38">
                  <c:v>554</c:v>
                </c:pt>
                <c:pt idx="39">
                  <c:v>554</c:v>
                </c:pt>
                <c:pt idx="40">
                  <c:v>554</c:v>
                </c:pt>
                <c:pt idx="41">
                  <c:v>554</c:v>
                </c:pt>
                <c:pt idx="42">
                  <c:v>513</c:v>
                </c:pt>
                <c:pt idx="43">
                  <c:v>513</c:v>
                </c:pt>
                <c:pt idx="44">
                  <c:v>513</c:v>
                </c:pt>
                <c:pt idx="45">
                  <c:v>513</c:v>
                </c:pt>
                <c:pt idx="46">
                  <c:v>499</c:v>
                </c:pt>
                <c:pt idx="47">
                  <c:v>499</c:v>
                </c:pt>
                <c:pt idx="48">
                  <c:v>499</c:v>
                </c:pt>
                <c:pt idx="49">
                  <c:v>499</c:v>
                </c:pt>
                <c:pt idx="50">
                  <c:v>474</c:v>
                </c:pt>
                <c:pt idx="51">
                  <c:v>474</c:v>
                </c:pt>
                <c:pt idx="52">
                  <c:v>474</c:v>
                </c:pt>
                <c:pt idx="53">
                  <c:v>474</c:v>
                </c:pt>
                <c:pt idx="54">
                  <c:v>458</c:v>
                </c:pt>
                <c:pt idx="55">
                  <c:v>458</c:v>
                </c:pt>
                <c:pt idx="56">
                  <c:v>458</c:v>
                </c:pt>
                <c:pt idx="57">
                  <c:v>458</c:v>
                </c:pt>
                <c:pt idx="58">
                  <c:v>525</c:v>
                </c:pt>
                <c:pt idx="59">
                  <c:v>525</c:v>
                </c:pt>
                <c:pt idx="60">
                  <c:v>525</c:v>
                </c:pt>
                <c:pt idx="61">
                  <c:v>525</c:v>
                </c:pt>
                <c:pt idx="62">
                  <c:v>551.17350157728708</c:v>
                </c:pt>
                <c:pt idx="63">
                  <c:v>568.12302839116728</c:v>
                </c:pt>
                <c:pt idx="64">
                  <c:v>585.70031545741324</c:v>
                </c:pt>
                <c:pt idx="65">
                  <c:v>597</c:v>
                </c:pt>
                <c:pt idx="66">
                  <c:v>592.00819672131149</c:v>
                </c:pt>
                <c:pt idx="67">
                  <c:v>620</c:v>
                </c:pt>
                <c:pt idx="68">
                  <c:v>650</c:v>
                </c:pt>
                <c:pt idx="69">
                  <c:v>650</c:v>
                </c:pt>
                <c:pt idx="70">
                  <c:v>650</c:v>
                </c:pt>
                <c:pt idx="71">
                  <c:v>650</c:v>
                </c:pt>
                <c:pt idx="72">
                  <c:v>650</c:v>
                </c:pt>
                <c:pt idx="73">
                  <c:v>660</c:v>
                </c:pt>
                <c:pt idx="74">
                  <c:v>680</c:v>
                </c:pt>
                <c:pt idx="75">
                  <c:v>680</c:v>
                </c:pt>
                <c:pt idx="76">
                  <c:v>700</c:v>
                </c:pt>
                <c:pt idx="77">
                  <c:v>680</c:v>
                </c:pt>
                <c:pt idx="78">
                  <c:v>700</c:v>
                </c:pt>
                <c:pt idx="79">
                  <c:v>700</c:v>
                </c:pt>
              </c:numCache>
            </c:numRef>
          </c:val>
          <c:smooth val="0"/>
          <c:extLst>
            <c:ext xmlns:c16="http://schemas.microsoft.com/office/drawing/2014/chart" uri="{C3380CC4-5D6E-409C-BE32-E72D297353CC}">
              <c16:uniqueId val="{00000000-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max val="8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9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9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6194778" cy="4042833"/>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6194778" cy="4042833"/>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liedeconomics.com.au/wp-content/uploads/2023/10/Complete-WP-Abelson-Joyeux-Sep-2023-5.pdf"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C37" sqref="C37"/>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643</v>
      </c>
      <c r="B1" s="5" t="s">
        <v>491</v>
      </c>
      <c r="C1" s="5" t="s">
        <v>490</v>
      </c>
      <c r="O1" s="7"/>
      <c r="S1" s="11"/>
      <c r="T1" t="s">
        <v>14</v>
      </c>
      <c r="X1" s="11" cm="1">
        <f t="array" ref="X1">SUM(_xlfn._xlws.FILTER(X3:X82,ISNUMBER(X3:X82)))</f>
        <v>564929.93490742892</v>
      </c>
      <c r="Y1" s="33"/>
      <c r="AA1" s="34"/>
      <c r="AI1" t="s">
        <v>469</v>
      </c>
      <c r="AP1" s="11"/>
      <c r="AQ1" s="11"/>
      <c r="AR1" t="s">
        <v>21</v>
      </c>
      <c r="AT1" s="11"/>
      <c r="AX1" s="6"/>
      <c r="AY1" t="s">
        <v>326</v>
      </c>
      <c r="BB1" t="s">
        <v>323</v>
      </c>
      <c r="BG1" s="11" cm="1">
        <f t="array" ref="BG1">SUM(_xlfn._xlws.FILTER(BG3:BG82,ISNUMBER(BG3:BG82)))</f>
        <v>699407.93991843832</v>
      </c>
      <c r="BH1" t="s">
        <v>477</v>
      </c>
    </row>
    <row r="2" spans="1:67" x14ac:dyDescent="0.25">
      <c r="A2" s="5" t="s">
        <v>328</v>
      </c>
      <c r="B2" s="32">
        <f>_xlfn.XLOOKUP(Q_end,L:L,O:O)</f>
        <v>1.4620166505103673</v>
      </c>
      <c r="E2" t="str">
        <f>"Renter vs owner wealth, "&amp;Council_Area&amp;IF(B10="2BR_F"," 2-bedroom flat"," 3-bedroom house")</f>
        <v>Renter vs owner wealth, Darwin 3-bedroom house</v>
      </c>
      <c r="L2" t="s">
        <v>54</v>
      </c>
      <c r="M2" s="5" t="s">
        <v>62</v>
      </c>
      <c r="N2" s="5" t="s">
        <v>61</v>
      </c>
      <c r="O2" t="s">
        <v>316</v>
      </c>
      <c r="P2" t="s">
        <v>318</v>
      </c>
      <c r="Q2" t="s">
        <v>58</v>
      </c>
      <c r="R2" t="s">
        <v>53</v>
      </c>
      <c r="S2" s="5"/>
      <c r="T2" t="s">
        <v>305</v>
      </c>
      <c r="U2" t="s">
        <v>306</v>
      </c>
      <c r="V2" t="s">
        <v>10</v>
      </c>
      <c r="W2" t="s">
        <v>630</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627</v>
      </c>
      <c r="BM2" t="s">
        <v>482</v>
      </c>
      <c r="BN2" t="s">
        <v>484</v>
      </c>
      <c r="BO2" t="s">
        <v>483</v>
      </c>
    </row>
    <row r="3" spans="1:67" x14ac:dyDescent="0.25">
      <c r="A3" s="5" t="s">
        <v>496</v>
      </c>
      <c r="B3" s="32" cm="1">
        <f t="array" ref="B3">SUM(_xlfn._xlws.FILTER($X$3:$X$82,ISNUMBER($X$3:$X$82)))/(SUM(_xlfn._xlws.FILTER($BG$3:$BG$82,ISNUMBER($BG$3:$BG$82)))-AT3)</f>
        <v>0.92424571094245922</v>
      </c>
      <c r="L3" s="1">
        <f>Q_start</f>
        <v>38777</v>
      </c>
      <c r="M3" s="10">
        <f t="shared" ref="M3:M34" si="0">AP3</f>
        <v>97682.604046995664</v>
      </c>
      <c r="N3" s="10">
        <f>AX3-BC3</f>
        <v>59634.4375</v>
      </c>
      <c r="O3" s="7">
        <f>M3/N3</f>
        <v>1.6380233996002003</v>
      </c>
      <c r="P3" s="7">
        <f t="shared" ref="P3:P34" si="1">X3/BG3</f>
        <v>5.0791980268615637E-2</v>
      </c>
      <c r="Q3">
        <v>1</v>
      </c>
      <c r="R3">
        <f t="shared" ref="R3:R34" si="2">EOMONTH(L3,0)-EOMONTH(L3,-3)</f>
        <v>90</v>
      </c>
      <c r="S3" s="22"/>
      <c r="T3" s="22">
        <f>IF($B$10="3BR_H",
INDEX('3BR_H-processed'!$E:$E,MATCH($L3,'3BR_H-processed'!$B:$B,0),MATCH(Council_Area,'3BR_H-processed'!$E$1:$E$1,0)),
INDEX('2BR_F-processed'!$E:$E,MATCH($L3,'2BR_F-processed'!$B:$B,0),MATCH(Council_Area,'2BR_F-processed'!$E$1:$E$1,0)))</f>
        <v>367.97260273972603</v>
      </c>
      <c r="U3" s="22">
        <f>IF(MOD(Q3,4)=1,T3,U2)</f>
        <v>367.97260273972603</v>
      </c>
      <c r="V3" s="22">
        <f>U3*(R3)/7</f>
        <v>4731.0763209393344</v>
      </c>
      <c r="W3" s="22">
        <f>$B$53/4*BH3/_xlfn.XLOOKUP(Q_end,cpi!A:A,cpi!B:B)</f>
        <v>116.93158258465792</v>
      </c>
      <c r="X3" s="22">
        <f>V3+W3</f>
        <v>4848.0079035239924</v>
      </c>
      <c r="Y3" s="22">
        <f t="shared" ref="Y3:Y34" si="3">BG3-X3</f>
        <v>90600.286844684044</v>
      </c>
      <c r="Z3" s="29">
        <f>MAX(0,Y3*$B$47)</f>
        <v>0</v>
      </c>
      <c r="AA3" s="22" cm="1">
        <f t="array" ref="AA3">(Y3+Z3)*eff_invest</f>
        <v>90600.286844684044</v>
      </c>
      <c r="AB3" s="22">
        <f>AA3*(_xlfn.XLOOKUP(Q_end,cpi!A:A,cpi!B:B)/BH3)</f>
        <v>154962.90196720781</v>
      </c>
      <c r="AC3" s="22" cm="1">
        <f t="array" ref="AC3">INDEX('msci-indices'!C:C,MATCH($L3,'msci-indices'!$B:$B)-2)</f>
        <v>754.87961099999995</v>
      </c>
      <c r="AD3" s="22" cm="1">
        <f t="array" ref="AD3">INDEX('msci-indices'!D:D,MATCH($L3,'msci-indices'!$B:$B)-2)</f>
        <v>712.95624699999996</v>
      </c>
      <c r="AE3" s="29">
        <f>AA3</f>
        <v>90600.286844684044</v>
      </c>
      <c r="AF3" s="22" cm="1">
        <f t="array" ref="AF3">INDEX('msci-indices'!C:C,MATCH($L3,'msci-indices'!$B:$B)+1)</f>
        <v>809.32011899999998</v>
      </c>
      <c r="AG3" s="22" cm="1">
        <f t="array" ref="AG3">INDEX('msci-indices'!D:D,MATCH($L3,'msci-indices'!$B:$B)+1)</f>
        <v>780.24346800000001</v>
      </c>
      <c r="AH3" s="22">
        <f t="shared" ref="AH3:AH34" si="4">(InvestFees/4)*AE3</f>
        <v>56.625179277927529</v>
      </c>
      <c r="AI3" s="22">
        <f t="shared" ref="AI3:AI34" si="5">((AF3/AC3)*GlobalPortfolio+(AG3/AD3)*AusPortfolio)*AE3-AH3</f>
        <v>97682.604046995664</v>
      </c>
      <c r="AJ3" s="29">
        <f>AA3</f>
        <v>90600.286844684044</v>
      </c>
      <c r="AK3" s="22">
        <f t="shared" ref="AK3:AK34" si="6">AI3-AJ3</f>
        <v>7082.3172023116203</v>
      </c>
      <c r="AL3" s="22">
        <f>AJ3*(_xlfn.XLOOKUP(Q_end,cpi!A:A,cpi!B:B)/BH3)</f>
        <v>154962.90196720781</v>
      </c>
      <c r="AM3" s="29">
        <f>AA3</f>
        <v>90600.286844684044</v>
      </c>
      <c r="AN3" s="22">
        <f>AI3-AM3</f>
        <v>7082.3172023116203</v>
      </c>
      <c r="AO3" s="22">
        <f t="shared" ref="AO3:AO34" si="7">IF($B$49="Real gains",MAX($B$50*AN3,0),IF($B$49="Discounted nominal gains",MAX($B$50*AK3/2,0),0))</f>
        <v>0</v>
      </c>
      <c r="AP3" s="22">
        <f>AI3-AO3</f>
        <v>97682.604046995664</v>
      </c>
      <c r="AQ3" s="22"/>
      <c r="AR3" s="10">
        <f>IF($B$10="3BR_H",
INDEX('ns-combined'!$C:$C,MATCH($L3,'ns-combined'!$B:$B,0),MATCH(Council_Area,'ns-combined'!$C$1:$C$1,0))*1000,
INDEX('s-combined'!$C:$C,MATCH($L3,'s-combined'!$B:$B,0),MATCH(Council_Area,'s-combined'!$C$1:$C$1,0))*1000)</f>
        <v>341500</v>
      </c>
      <c r="AS3" s="29">
        <f>AR3*$B$14/4</f>
        <v>853.75</v>
      </c>
      <c r="AT3" s="13">
        <f>SUM(B20:B26)*AR3</f>
        <v>88174.446250000008</v>
      </c>
      <c r="AU3" s="22">
        <f t="shared" ref="AU3:AU34" si="8">SUM($B$28:$B$29)*AR3</f>
        <v>6830</v>
      </c>
      <c r="AV3" s="22">
        <f t="shared" ref="AV3:AV34" si="9">AR3*$B$15/4</f>
        <v>981.8125</v>
      </c>
      <c r="AW3" s="22">
        <f>SUM($AV$3:AV3)</f>
        <v>981.8125</v>
      </c>
      <c r="AX3" s="22">
        <f>AR3-AS3-AU3-AW3</f>
        <v>332834.4375</v>
      </c>
      <c r="AY3" s="22">
        <f t="shared" ref="AY3:AY34" si="10">$B$36*V3</f>
        <v>1655.8767123287671</v>
      </c>
      <c r="AZ3" s="24">
        <f t="shared" ref="AZ3:AZ34" si="11">SUM(AY3:AY3)*4/AR3</f>
        <v>1.9395334844260814E-2</v>
      </c>
      <c r="BA3" s="24">
        <f t="shared" ref="BA3:BA34" si="12">SUM(AY3:AY3)/V3</f>
        <v>0.35000000000000003</v>
      </c>
      <c r="BB3" s="25">
        <f>IF(MortgageRate="Discounted",_xlfn.XLOOKUP(L3,'mortgage-rates'!$A:$A,'mortgage-rates'!$E:$E)/100,_xlfn.XLOOKUP(L3,'mortgage-rates'!$A:$A,'mortgage-rates'!$D:$D)/100)</f>
        <v>6.6400000000000001E-2</v>
      </c>
      <c r="BC3" s="10">
        <f>(1-B20)*AR3</f>
        <v>273200</v>
      </c>
      <c r="BD3" s="10">
        <f t="shared" ref="BD3:BD34" si="13">IF($B$16*12/3-Q3+1&gt;0,-PMT($BB3/4,$B$16*12/3-Q3+1,BC3),0)</f>
        <v>5617.9717858792601</v>
      </c>
      <c r="BE3" s="10">
        <f t="shared" ref="BE3:BE34" si="14">BC3*($BB3/4)</f>
        <v>4535.12</v>
      </c>
      <c r="BF3" s="10">
        <f>BD3-BE3</f>
        <v>1082.8517858792602</v>
      </c>
      <c r="BG3" s="12">
        <f t="shared" ref="BG3:BG34" si="15">AT3+AY3+BD3</f>
        <v>95448.294748208034</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99.999999999999986</v>
      </c>
      <c r="BN3" s="22">
        <f t="shared" ref="BN3:BN34" si="21">100*AR3/AR$3</f>
        <v>100</v>
      </c>
      <c r="BO3">
        <f t="shared" ref="BO3:BO34" si="22">100*AX3/AX$3</f>
        <v>100</v>
      </c>
    </row>
    <row r="4" spans="1:67" x14ac:dyDescent="0.25">
      <c r="A4" t="s">
        <v>485</v>
      </c>
      <c r="B4" s="4">
        <f>((_xlfn.XLOOKUP(Q_end,L:L,AR:AR)/_xlfn.XLOOKUP(Q_start,L:L,AR:AR))^(1/YEARFRAC(EOMONTH(Q_start,-3)+1,EOMONTH(Q_end,0))))-1</f>
        <v>3.7346735654114838E-2</v>
      </c>
      <c r="L4" s="1">
        <f>IF(DATE(YEAR(L3),MONTH(L3)+3,1)&lt;=Q_end,DATE(YEAR(L3),MONTH(L3)+3,1),"")</f>
        <v>38869</v>
      </c>
      <c r="M4" s="10">
        <f t="shared" si="0"/>
        <v>99572.505446283714</v>
      </c>
      <c r="N4" s="10">
        <f t="shared" ref="N4:N34" si="23">AX4-BC4</f>
        <v>66698.726785879233</v>
      </c>
      <c r="O4" s="7">
        <f t="shared" ref="O4:O67" si="24">M4/N4</f>
        <v>1.4928696580061882</v>
      </c>
      <c r="P4" s="7">
        <f t="shared" si="1"/>
        <v>0.65875902481663817</v>
      </c>
      <c r="Q4">
        <v>2</v>
      </c>
      <c r="R4">
        <f t="shared" si="2"/>
        <v>91</v>
      </c>
      <c r="S4" s="22"/>
      <c r="T4" s="22">
        <f>IF($B$10="3BR_H",
INDEX('3BR_H-processed'!$E:$E,MATCH($L4,'3BR_H-processed'!$B:$B,0),MATCH(Council_Area,'3BR_H-processed'!$E$1:$E$1,0)),
INDEX('2BR_F-processed'!$E:$E,MATCH($L4,'2BR_F-processed'!$B:$B,0),MATCH(Council_Area,'2BR_F-processed'!$E$1:$E$1,0)))</f>
        <v>371.87534246575348</v>
      </c>
      <c r="U4" s="22">
        <f t="shared" ref="U4:U67" si="25">IF(MOD(Q4,4)=1,T4,U3)</f>
        <v>367.97260273972603</v>
      </c>
      <c r="V4" s="22">
        <f>U4*(R4)/7</f>
        <v>4783.6438356164381</v>
      </c>
      <c r="W4" s="22">
        <f>$B$53/4*BH4/_xlfn.XLOOKUP(Q_end,cpi!A:A,cpi!B:B)</f>
        <v>118.72840359364203</v>
      </c>
      <c r="X4" s="22">
        <f t="shared" ref="X4:X34" si="26">V4+W4</f>
        <v>4902.3722392100799</v>
      </c>
      <c r="Y4" s="22">
        <f t="shared" si="3"/>
        <v>2539.4571013057894</v>
      </c>
      <c r="Z4" s="22">
        <f t="shared" ref="Z4:Z35" si="27">Y4*$B$47</f>
        <v>0</v>
      </c>
      <c r="AA4" s="22" cm="1">
        <f t="array" ref="AA4">(Y4+Z4)*eff_invest</f>
        <v>2539.4571013057894</v>
      </c>
      <c r="AB4" s="22">
        <f>AA4*(_xlfn.XLOOKUP(Q_end,cpi!A:A,cpi!B:B)/BH4)</f>
        <v>4277.7583534219757</v>
      </c>
      <c r="AC4" s="22" cm="1">
        <f t="array" ref="AC4">INDEX('msci-indices'!C:C,MATCH($L4,'msci-indices'!$B:$B)-2)</f>
        <v>809.32011899999998</v>
      </c>
      <c r="AD4" s="22" cm="1">
        <f t="array" ref="AD4">INDEX('msci-indices'!D:D,MATCH($L4,'msci-indices'!$B:$B)-2)</f>
        <v>780.24346800000001</v>
      </c>
      <c r="AE4" s="22">
        <f t="shared" ref="AE4:AE35" si="28">AI3+AA4</f>
        <v>100222.06114830145</v>
      </c>
      <c r="AF4" s="22" cm="1">
        <f t="array" ref="AF4">INDEX('msci-indices'!C:C,MATCH($L4,'msci-indices'!$B:$B)+1)</f>
        <v>802.64573099999996</v>
      </c>
      <c r="AG4" s="22" cm="1">
        <f t="array" ref="AG4">INDEX('msci-indices'!D:D,MATCH($L4,'msci-indices'!$B:$B)+1)</f>
        <v>780.02674300000001</v>
      </c>
      <c r="AH4" s="22">
        <f t="shared" si="4"/>
        <v>62.638788217688408</v>
      </c>
      <c r="AI4" s="22">
        <f t="shared" si="5"/>
        <v>99572.505446283714</v>
      </c>
      <c r="AJ4" s="22">
        <f t="shared" ref="AJ4:AJ35" si="29">AJ3+AA4</f>
        <v>93139.743945989831</v>
      </c>
      <c r="AK4" s="22">
        <f t="shared" si="6"/>
        <v>6432.7615002938837</v>
      </c>
      <c r="AL4" s="22">
        <f>AJ4*(_xlfn.XLOOKUP(Q_end,cpi!A:A,cpi!B:B)/BH4)</f>
        <v>156895.4708845719</v>
      </c>
      <c r="AM4" s="22" cm="1">
        <f t="array" ref="AM4">SUMPRODUCT($AA$3:AA4,_xlfn.SORTBY($BH$3:BH4,_xlfn.SEQUENCE(ROWS($BH$3:BH4)),-1)/$BH$3)</f>
        <v>94531.946935328961</v>
      </c>
      <c r="AN4" s="22">
        <f t="shared" ref="AN4:AN67" si="30">AI4-AM4</f>
        <v>5040.5585109547537</v>
      </c>
      <c r="AO4" s="22">
        <f t="shared" si="7"/>
        <v>0</v>
      </c>
      <c r="AP4" s="22">
        <f t="shared" ref="AP4:AP67" si="31">AI4-AO4</f>
        <v>99572.505446283714</v>
      </c>
      <c r="AQ4" s="22"/>
      <c r="AR4" s="10">
        <f>IF($B$10="3BR_H",
INDEX('ns-combined'!$C:$C,MATCH($L4,'ns-combined'!$B:$B,0),MATCH(Council_Area,'ns-combined'!$C$1:$C$1,0))*1000,
INDEX('s-combined'!$C:$C,MATCH($L4,'s-combined'!$B:$B,0),MATCH(Council_Area,'s-combined'!$C$1:$C$1,0))*1000)</f>
        <v>349500</v>
      </c>
      <c r="AS4" s="22">
        <f>AS3+$AS$3</f>
        <v>1707.5</v>
      </c>
      <c r="AT4" s="10">
        <v>0</v>
      </c>
      <c r="AU4" s="22">
        <f t="shared" si="8"/>
        <v>6990</v>
      </c>
      <c r="AV4" s="22">
        <f t="shared" si="9"/>
        <v>1004.8125</v>
      </c>
      <c r="AW4" s="22">
        <f>SUM($AV$3:AV4)</f>
        <v>1986.625</v>
      </c>
      <c r="AX4" s="22">
        <f t="shared" ref="AX4:AX34" si="32">AR4-AS4-AU4-AW4</f>
        <v>338815.875</v>
      </c>
      <c r="AY4" s="22">
        <f t="shared" si="10"/>
        <v>1674.2753424657535</v>
      </c>
      <c r="AZ4" s="24">
        <f t="shared" si="11"/>
        <v>1.9161949556117351E-2</v>
      </c>
      <c r="BA4" s="24">
        <f t="shared" si="12"/>
        <v>0.35000000000000003</v>
      </c>
      <c r="BB4" s="25">
        <f>IF(MortgageRate="Discounted",_xlfn.XLOOKUP(L4,'mortgage-rates'!$A:$A,'mortgage-rates'!$E:$E)/100,_xlfn.XLOOKUP(L4,'mortgage-rates'!$A:$A,'mortgage-rates'!$D:$D)/100)</f>
        <v>6.93E-2</v>
      </c>
      <c r="BC4" s="10">
        <f>BC3-BF3</f>
        <v>272117.14821412077</v>
      </c>
      <c r="BD4" s="10">
        <f t="shared" si="13"/>
        <v>5767.5539980501162</v>
      </c>
      <c r="BE4" s="10">
        <f t="shared" si="14"/>
        <v>4714.4295928096426</v>
      </c>
      <c r="BF4" s="10">
        <f>BD4-BE4</f>
        <v>1053.1244052404736</v>
      </c>
      <c r="BG4" s="12">
        <f t="shared" si="15"/>
        <v>7441.8293405158693</v>
      </c>
      <c r="BH4" s="22">
        <f>INDEX(cpi!B:B,MATCH($L4,cpi!A:A))</f>
        <v>85.9</v>
      </c>
      <c r="BI4" s="22">
        <f t="shared" si="16"/>
        <v>101.53664302600474</v>
      </c>
      <c r="BJ4" s="22">
        <f t="shared" si="17"/>
        <v>107.21181327548136</v>
      </c>
      <c r="BK4" s="22">
        <f t="shared" si="18"/>
        <v>109.43777704215839</v>
      </c>
      <c r="BL4" s="22">
        <f t="shared" si="19"/>
        <v>107.87960240548446</v>
      </c>
      <c r="BM4" s="22">
        <f t="shared" si="20"/>
        <v>110.62002631416831</v>
      </c>
      <c r="BN4" s="22">
        <f t="shared" si="21"/>
        <v>102.34260614934114</v>
      </c>
      <c r="BO4">
        <f t="shared" si="22"/>
        <v>101.79712097850451</v>
      </c>
    </row>
    <row r="5" spans="1:67" x14ac:dyDescent="0.25">
      <c r="A5" t="s">
        <v>495</v>
      </c>
      <c r="B5" s="4">
        <f>((_xlfn.XLOOKUP(Q_end,L:L,AX:AX)/_xlfn.XLOOKUP(Q_start,L:L,AX:AX))^(1/YEARFRAC(EOMONTH(Q_start,-3)+1,EOMONTH(Q_end,0))))-1</f>
        <v>2.140435366397786E-2</v>
      </c>
      <c r="L5" s="1">
        <f t="shared" ref="L5:L68" si="33">DATE(YEAR(L4),MONTH(L4)+3,1)</f>
        <v>38961</v>
      </c>
      <c r="M5" s="10">
        <f t="shared" si="0"/>
        <v>105893.7686714673</v>
      </c>
      <c r="N5" s="10">
        <f t="shared" si="23"/>
        <v>76153.101191119698</v>
      </c>
      <c r="O5" s="7">
        <f t="shared" si="24"/>
        <v>1.390537837792162</v>
      </c>
      <c r="P5" s="7">
        <f t="shared" si="1"/>
        <v>0.65118979355440787</v>
      </c>
      <c r="Q5">
        <v>3</v>
      </c>
      <c r="R5">
        <f t="shared" si="2"/>
        <v>92</v>
      </c>
      <c r="S5" s="22"/>
      <c r="T5" s="22">
        <f>IF($B$10="3BR_H",
INDEX('3BR_H-processed'!$E:$E,MATCH($L5,'3BR_H-processed'!$B:$B,0),MATCH(Council_Area,'3BR_H-processed'!$E$1:$E$1,0)),
INDEX('2BR_F-processed'!$E:$E,MATCH($L5,'2BR_F-processed'!$B:$B,0),MATCH(Council_Area,'2BR_F-processed'!$E$1:$E$1,0)))</f>
        <v>381.91095890410958</v>
      </c>
      <c r="U5" s="22">
        <f t="shared" si="25"/>
        <v>367.97260273972603</v>
      </c>
      <c r="V5" s="22">
        <f t="shared" ref="V5:V67" si="34">U5*(R5)/7</f>
        <v>4836.2113502935417</v>
      </c>
      <c r="W5" s="22">
        <f>$B$53/4*BH5/_xlfn.XLOOKUP(Q_end,cpi!A:A,cpi!B:B)</f>
        <v>119.69592259847963</v>
      </c>
      <c r="X5" s="22">
        <f t="shared" si="26"/>
        <v>4955.907272892021</v>
      </c>
      <c r="Y5" s="22">
        <f t="shared" si="3"/>
        <v>2654.6347256873032</v>
      </c>
      <c r="Z5" s="22">
        <f t="shared" si="27"/>
        <v>0</v>
      </c>
      <c r="AA5" s="22" cm="1">
        <f t="array" ref="AA5">(Y5+Z5)*eff_invest</f>
        <v>2654.6347256873032</v>
      </c>
      <c r="AB5" s="22">
        <f>AA5*(_xlfn.XLOOKUP(Q_end,cpi!A:A,cpi!B:B)/BH5)</f>
        <v>4435.6310023897549</v>
      </c>
      <c r="AC5" s="22" cm="1">
        <f t="array" ref="AC5">INDEX('msci-indices'!C:C,MATCH($L5,'msci-indices'!$B:$B)-2)</f>
        <v>802.64573099999996</v>
      </c>
      <c r="AD5" s="22" cm="1">
        <f t="array" ref="AD5">INDEX('msci-indices'!D:D,MATCH($L5,'msci-indices'!$B:$B)-2)</f>
        <v>780.02674300000001</v>
      </c>
      <c r="AE5" s="22">
        <f t="shared" si="28"/>
        <v>102227.14017197101</v>
      </c>
      <c r="AF5" s="22" cm="1">
        <f t="array" ref="AF5">INDEX('msci-indices'!C:C,MATCH($L5,'msci-indices'!$B:$B)+1)</f>
        <v>835.13401499999998</v>
      </c>
      <c r="AG5" s="22" cm="1">
        <f t="array" ref="AG5">INDEX('msci-indices'!D:D,MATCH($L5,'msci-indices'!$B:$B)+1)</f>
        <v>801.24066600000003</v>
      </c>
      <c r="AH5" s="22">
        <f t="shared" si="4"/>
        <v>63.891962607481886</v>
      </c>
      <c r="AI5" s="22">
        <f t="shared" si="5"/>
        <v>105893.7686714673</v>
      </c>
      <c r="AJ5" s="22">
        <f t="shared" si="29"/>
        <v>95794.378671677128</v>
      </c>
      <c r="AK5" s="22">
        <f t="shared" si="6"/>
        <v>10099.389999790175</v>
      </c>
      <c r="AL5" s="22">
        <f>AJ5*(_xlfn.XLOOKUP(Q_end,cpi!A:A,cpi!B:B)/BH5)</f>
        <v>160062.89369274458</v>
      </c>
      <c r="AM5" s="22" cm="1">
        <f t="array" ref="AM5">SUMPRODUCT($AA$3:AA5,_xlfn.SORTBY($BH$3:BH5,_xlfn.SEQUENCE(ROWS($BH$3:BH5)),-1)/$BH$3)</f>
        <v>97975.251814952149</v>
      </c>
      <c r="AN5" s="22">
        <f t="shared" si="30"/>
        <v>7918.5168565151544</v>
      </c>
      <c r="AO5" s="22">
        <f t="shared" si="7"/>
        <v>0</v>
      </c>
      <c r="AP5" s="22">
        <f t="shared" si="31"/>
        <v>105893.7686714673</v>
      </c>
      <c r="AQ5" s="22"/>
      <c r="AR5" s="10">
        <f>IF($B$10="3BR_H",
INDEX('ns-combined'!$C:$C,MATCH($L5,'ns-combined'!$B:$B,0),MATCH(Council_Area,'ns-combined'!$C$1:$C$1,0))*1000,
INDEX('s-combined'!$C:$C,MATCH($L5,'s-combined'!$B:$B,0),MATCH(Council_Area,'s-combined'!$C$1:$C$1,0))*1000)</f>
        <v>360000</v>
      </c>
      <c r="AS5" s="22">
        <f t="shared" ref="AS5:AS68" si="35">AS4+$AS$3</f>
        <v>2561.25</v>
      </c>
      <c r="AT5" s="10">
        <v>0</v>
      </c>
      <c r="AU5" s="22">
        <f t="shared" si="8"/>
        <v>7200</v>
      </c>
      <c r="AV5" s="22">
        <f t="shared" si="9"/>
        <v>1035</v>
      </c>
      <c r="AW5" s="22">
        <f>SUM($AV$3:AV5)</f>
        <v>3021.625</v>
      </c>
      <c r="AX5" s="22">
        <f t="shared" si="32"/>
        <v>347217.125</v>
      </c>
      <c r="AY5" s="22">
        <f t="shared" si="10"/>
        <v>1692.6739726027397</v>
      </c>
      <c r="AZ5" s="24">
        <f t="shared" si="11"/>
        <v>1.8807488584474886E-2</v>
      </c>
      <c r="BA5" s="24">
        <f t="shared" si="12"/>
        <v>0.35000000000000003</v>
      </c>
      <c r="BB5" s="25">
        <f>IF(MortgageRate="Discounted",_xlfn.XLOOKUP(L5,'mortgage-rates'!$A:$A,'mortgage-rates'!$E:$E)/100,_xlfn.XLOOKUP(L5,'mortgage-rates'!$A:$A,'mortgage-rates'!$D:$D)/100)</f>
        <v>7.22E-2</v>
      </c>
      <c r="BC5" s="10">
        <f>BC4-BF4</f>
        <v>271064.0238088803</v>
      </c>
      <c r="BD5" s="10">
        <f t="shared" si="13"/>
        <v>5917.8680259765842</v>
      </c>
      <c r="BE5" s="10">
        <f t="shared" si="14"/>
        <v>4892.7056297502895</v>
      </c>
      <c r="BF5" s="10">
        <f t="shared" ref="BF5:BF68" si="36">BD5-BE5</f>
        <v>1025.1623962262947</v>
      </c>
      <c r="BG5" s="12">
        <f t="shared" si="15"/>
        <v>7610.5419985793242</v>
      </c>
      <c r="BH5" s="22">
        <f>INDEX(cpi!B:B,MATCH($L5,cpi!A:A))</f>
        <v>86.6</v>
      </c>
      <c r="BI5" s="22">
        <f t="shared" si="16"/>
        <v>102.36406619385343</v>
      </c>
      <c r="BJ5" s="22">
        <f t="shared" si="17"/>
        <v>106.3276473895915</v>
      </c>
      <c r="BK5" s="22">
        <f t="shared" si="18"/>
        <v>109.40737896360702</v>
      </c>
      <c r="BL5" s="22">
        <f t="shared" si="19"/>
        <v>107.25156686179616</v>
      </c>
      <c r="BM5" s="22">
        <f t="shared" si="20"/>
        <v>112.8331308125093</v>
      </c>
      <c r="BN5" s="22">
        <f t="shared" si="21"/>
        <v>105.4172767203514</v>
      </c>
      <c r="BO5">
        <f t="shared" si="22"/>
        <v>104.32127384655021</v>
      </c>
    </row>
    <row r="6" spans="1:67" x14ac:dyDescent="0.25">
      <c r="A6" t="s">
        <v>462</v>
      </c>
      <c r="B6" s="4">
        <f>((_xlfn.XLOOKUP(Q_end,L:L,U:U)/_xlfn.XLOOKUP(Q_start,L:L,U:U))^(1/YEARFRAC(EOMONTH(Q_start,-3)+1,EOMONTH(Q_end,0))))-1</f>
        <v>3.2676104363610348E-2</v>
      </c>
      <c r="L6" s="1">
        <f t="shared" si="33"/>
        <v>39052</v>
      </c>
      <c r="M6" s="10">
        <f t="shared" si="0"/>
        <v>118540.01285687168</v>
      </c>
      <c r="N6" s="10">
        <f t="shared" si="23"/>
        <v>94832.013587346009</v>
      </c>
      <c r="O6" s="7">
        <f t="shared" si="24"/>
        <v>1.2499999564776632</v>
      </c>
      <c r="P6" s="7">
        <f t="shared" si="1"/>
        <v>0.64026539496211432</v>
      </c>
      <c r="Q6">
        <v>4</v>
      </c>
      <c r="R6">
        <f t="shared" si="2"/>
        <v>92</v>
      </c>
      <c r="S6" s="22"/>
      <c r="T6" s="22">
        <f>IF($B$10="3BR_H",
INDEX('3BR_H-processed'!$E:$E,MATCH($L6,'3BR_H-processed'!$B:$B,0),MATCH(Council_Area,'3BR_H-processed'!$E$1:$E$1,0)),
INDEX('2BR_F-processed'!$E:$E,MATCH($L6,'2BR_F-processed'!$B:$B,0),MATCH(Council_Area,'2BR_F-processed'!$E$1:$E$1,0)))</f>
        <v>387.48630136986304</v>
      </c>
      <c r="U6" s="22">
        <f t="shared" si="25"/>
        <v>367.97260273972603</v>
      </c>
      <c r="V6" s="22">
        <f t="shared" si="34"/>
        <v>4836.2113502935417</v>
      </c>
      <c r="W6" s="22">
        <f>$B$53/4*BH6/_xlfn.XLOOKUP(Q_end,cpi!A:A,cpi!B:B)</f>
        <v>119.83413959917071</v>
      </c>
      <c r="X6" s="22">
        <f t="shared" si="26"/>
        <v>4956.0454898927128</v>
      </c>
      <c r="Y6" s="22">
        <f t="shared" si="3"/>
        <v>2784.5657142876589</v>
      </c>
      <c r="Z6" s="22">
        <f t="shared" si="27"/>
        <v>0</v>
      </c>
      <c r="AA6" s="22" cm="1">
        <f t="array" ref="AA6">(Y6+Z6)*eff_invest</f>
        <v>2784.5657142876589</v>
      </c>
      <c r="AB6" s="22">
        <f>AA6*(_xlfn.XLOOKUP(Q_end,cpi!A:A,cpi!B:B)/BH6)</f>
        <v>4647.3663074674068</v>
      </c>
      <c r="AC6" s="22" cm="1">
        <f t="array" ref="AC6">INDEX('msci-indices'!C:C,MATCH($L6,'msci-indices'!$B:$B)-2)</f>
        <v>835.13401499999998</v>
      </c>
      <c r="AD6" s="22" cm="1">
        <f t="array" ref="AD6">INDEX('msci-indices'!D:D,MATCH($L6,'msci-indices'!$B:$B)-2)</f>
        <v>801.24066600000003</v>
      </c>
      <c r="AE6" s="22">
        <f t="shared" si="28"/>
        <v>108678.33438575496</v>
      </c>
      <c r="AF6" s="22" cm="1">
        <f t="array" ref="AF6">INDEX('msci-indices'!C:C,MATCH($L6,'msci-indices'!$B:$B)+1)</f>
        <v>906.58022200000005</v>
      </c>
      <c r="AG6" s="22" cm="1">
        <f t="array" ref="AG6">INDEX('msci-indices'!D:D,MATCH($L6,'msci-indices'!$B:$B)+1)</f>
        <v>885.32149100000004</v>
      </c>
      <c r="AH6" s="22">
        <f t="shared" si="4"/>
        <v>67.923958991096853</v>
      </c>
      <c r="AI6" s="22">
        <f t="shared" si="5"/>
        <v>118540.01285687168</v>
      </c>
      <c r="AJ6" s="22">
        <f t="shared" si="29"/>
        <v>98578.944385964787</v>
      </c>
      <c r="AK6" s="22">
        <f t="shared" si="6"/>
        <v>19961.068470906888</v>
      </c>
      <c r="AL6" s="22">
        <f>AJ6*(_xlfn.XLOOKUP(Q_end,cpi!A:A,cpi!B:B)/BH6)</f>
        <v>164525.64305246947</v>
      </c>
      <c r="AM6" s="22" cm="1">
        <f t="array" ref="AM6">SUMPRODUCT($AA$3:AA6,_xlfn.SORTBY($BH$3:BH6,_xlfn.SEQUENCE(ROWS($BH$3:BH6)),-1)/$BH$3)</f>
        <v>100928.71438265326</v>
      </c>
      <c r="AN6" s="22">
        <f t="shared" si="30"/>
        <v>17611.29847421842</v>
      </c>
      <c r="AO6" s="22">
        <f t="shared" si="7"/>
        <v>0</v>
      </c>
      <c r="AP6" s="22">
        <f t="shared" si="31"/>
        <v>118540.01285687168</v>
      </c>
      <c r="AQ6" s="22"/>
      <c r="AR6" s="10">
        <f>IF($B$10="3BR_H",
INDEX('ns-combined'!$C:$C,MATCH($L6,'ns-combined'!$B:$B,0),MATCH(Council_Area,'ns-combined'!$C$1:$C$1,0))*1000,
INDEX('s-combined'!$C:$C,MATCH($L6,'s-combined'!$B:$B,0),MATCH(Council_Area,'s-combined'!$C$1:$C$1,0))*1000)</f>
        <v>380000</v>
      </c>
      <c r="AS6" s="22">
        <f t="shared" si="35"/>
        <v>3415</v>
      </c>
      <c r="AT6" s="10">
        <v>0</v>
      </c>
      <c r="AU6" s="22">
        <f t="shared" si="8"/>
        <v>7600</v>
      </c>
      <c r="AV6" s="22">
        <f t="shared" si="9"/>
        <v>1092.5</v>
      </c>
      <c r="AW6" s="22">
        <f>SUM($AV$3:AV6)</f>
        <v>4114.125</v>
      </c>
      <c r="AX6" s="22">
        <f t="shared" si="32"/>
        <v>364870.875</v>
      </c>
      <c r="AY6" s="22">
        <f t="shared" si="10"/>
        <v>1692.6739726027397</v>
      </c>
      <c r="AZ6" s="24">
        <f t="shared" si="11"/>
        <v>1.7817620764239366E-2</v>
      </c>
      <c r="BA6" s="24">
        <f t="shared" si="12"/>
        <v>0.35000000000000003</v>
      </c>
      <c r="BB6" s="25">
        <f>IF(MortgageRate="Discounted",_xlfn.XLOOKUP(L6,'mortgage-rates'!$A:$A,'mortgage-rates'!$E:$E)/100,_xlfn.XLOOKUP(L6,'mortgage-rates'!$A:$A,'mortgage-rates'!$D:$D)/100)</f>
        <v>7.4700000000000003E-2</v>
      </c>
      <c r="BC6" s="10">
        <f t="shared" ref="BC6:BC35" si="37">BC5-BF5</f>
        <v>270038.86141265399</v>
      </c>
      <c r="BD6" s="10">
        <f t="shared" si="13"/>
        <v>6047.9372315776318</v>
      </c>
      <c r="BE6" s="10">
        <f t="shared" si="14"/>
        <v>5042.9757368813134</v>
      </c>
      <c r="BF6" s="10">
        <f t="shared" si="36"/>
        <v>1004.9614946963184</v>
      </c>
      <c r="BG6" s="12">
        <f t="shared" si="15"/>
        <v>7740.6112041803717</v>
      </c>
      <c r="BH6" s="22">
        <f>INDEX(cpi!B:B,MATCH($L6,cpi!A:A))</f>
        <v>86.7</v>
      </c>
      <c r="BI6" s="22">
        <f t="shared" si="16"/>
        <v>102.48226950354611</v>
      </c>
      <c r="BJ6" s="22">
        <f t="shared" si="17"/>
        <v>110.63141762349176</v>
      </c>
      <c r="BK6" s="22">
        <f t="shared" si="18"/>
        <v>112.38286632194978</v>
      </c>
      <c r="BL6" s="22">
        <f t="shared" si="19"/>
        <v>111.15685223302917</v>
      </c>
      <c r="BM6" s="22">
        <f t="shared" si="20"/>
        <v>119.95363168337657</v>
      </c>
      <c r="BN6" s="22">
        <f t="shared" si="21"/>
        <v>111.27379209370424</v>
      </c>
      <c r="BO6">
        <f t="shared" si="22"/>
        <v>109.62533737212814</v>
      </c>
    </row>
    <row r="7" spans="1:67" x14ac:dyDescent="0.25">
      <c r="A7" t="s">
        <v>486</v>
      </c>
      <c r="B7" s="4">
        <f>((_xlfn.XLOOKUP(Q_end,L:L,BL:BL)/_xlfn.XLOOKUP(Q_start,L:L,BL:BL))^(1/YEARFRAC(EOMONTH(Q_start,-3)+1,EOMONTH(Q_end,0))))-1</f>
        <v>8.0631421747286103E-2</v>
      </c>
      <c r="L7" s="1">
        <f t="shared" si="33"/>
        <v>39142</v>
      </c>
      <c r="M7" s="10">
        <f t="shared" si="0"/>
        <v>125990.45012596587</v>
      </c>
      <c r="N7" s="10">
        <f t="shared" si="23"/>
        <v>103173.41258204234</v>
      </c>
      <c r="O7" s="7">
        <f t="shared" si="24"/>
        <v>1.2211523005093943</v>
      </c>
      <c r="P7" s="7">
        <f t="shared" si="1"/>
        <v>0.66184888302954803</v>
      </c>
      <c r="Q7">
        <v>5</v>
      </c>
      <c r="R7">
        <f t="shared" si="2"/>
        <v>90</v>
      </c>
      <c r="S7" s="22"/>
      <c r="T7" s="22">
        <f>IF($B$10="3BR_H",
INDEX('3BR_H-processed'!$E:$E,MATCH($L7,'3BR_H-processed'!$B:$B,0),MATCH(Council_Area,'3BR_H-processed'!$E$1:$E$1,0)),
INDEX('2BR_F-processed'!$E:$E,MATCH($L7,'2BR_F-processed'!$B:$B,0),MATCH(Council_Area,'2BR_F-processed'!$E$1:$E$1,0)))</f>
        <v>393.06164383561645</v>
      </c>
      <c r="U7" s="22">
        <f>IF(MOD(Q7,4)=1,T7,U6)</f>
        <v>393.06164383561645</v>
      </c>
      <c r="V7" s="22">
        <f t="shared" si="34"/>
        <v>5053.6497064579253</v>
      </c>
      <c r="W7" s="22">
        <f>$B$53/4*BH7/_xlfn.XLOOKUP(Q_end,cpi!A:A,cpi!B:B)</f>
        <v>119.83413959917071</v>
      </c>
      <c r="X7" s="22">
        <f t="shared" si="26"/>
        <v>5173.4838460570963</v>
      </c>
      <c r="Y7" s="22">
        <f t="shared" si="3"/>
        <v>2643.2307827808099</v>
      </c>
      <c r="Z7" s="22">
        <f t="shared" si="27"/>
        <v>0</v>
      </c>
      <c r="AA7" s="22" cm="1">
        <f t="array" ref="AA7">(Y7+Z7)*eff_invest</f>
        <v>2643.2307827808099</v>
      </c>
      <c r="AB7" s="22">
        <f>AA7*(_xlfn.XLOOKUP(Q_end,cpi!A:A,cpi!B:B)/BH7)</f>
        <v>4411.4820561520546</v>
      </c>
      <c r="AC7" s="22" cm="1">
        <f t="array" ref="AC7">INDEX('msci-indices'!C:C,MATCH($L7,'msci-indices'!$B:$B)-2)</f>
        <v>906.58022200000005</v>
      </c>
      <c r="AD7" s="22" cm="1">
        <f t="array" ref="AD7">INDEX('msci-indices'!D:D,MATCH($L7,'msci-indices'!$B:$B)-2)</f>
        <v>885.32149100000004</v>
      </c>
      <c r="AE7" s="22">
        <f t="shared" si="28"/>
        <v>121183.24363965249</v>
      </c>
      <c r="AF7" s="22" cm="1">
        <f t="array" ref="AF7">INDEX('msci-indices'!C:C,MATCH($L7,'msci-indices'!$B:$B)+1)</f>
        <v>932.09759399999996</v>
      </c>
      <c r="AG7" s="22" cm="1">
        <f t="array" ref="AG7">INDEX('msci-indices'!D:D,MATCH($L7,'msci-indices'!$B:$B)+1)</f>
        <v>946.08734200000004</v>
      </c>
      <c r="AH7" s="22">
        <f t="shared" si="4"/>
        <v>75.739527274782802</v>
      </c>
      <c r="AI7" s="22">
        <f t="shared" si="5"/>
        <v>125990.45012596587</v>
      </c>
      <c r="AJ7" s="22">
        <f t="shared" si="29"/>
        <v>101222.1751687456</v>
      </c>
      <c r="AK7" s="22">
        <f t="shared" si="6"/>
        <v>24768.274957220274</v>
      </c>
      <c r="AL7" s="22">
        <f>AJ7*(_xlfn.XLOOKUP(Q_end,cpi!A:A,cpi!B:B)/BH7)</f>
        <v>168937.12510862152</v>
      </c>
      <c r="AM7" s="22" cm="1">
        <f t="array" ref="AM7">SUMPRODUCT($AA$3:AA7,_xlfn.SORTBY($BH$3:BH7,_xlfn.SEQUENCE(ROWS($BH$3:BH7)),-1)/$BH$3)</f>
        <v>103639.70078537126</v>
      </c>
      <c r="AN7" s="22">
        <f t="shared" si="30"/>
        <v>22350.749340594615</v>
      </c>
      <c r="AO7" s="22">
        <f t="shared" si="7"/>
        <v>0</v>
      </c>
      <c r="AP7" s="22">
        <f t="shared" si="31"/>
        <v>125990.45012596587</v>
      </c>
      <c r="AQ7" s="22"/>
      <c r="AR7" s="10">
        <f>IF($B$10="3BR_H",
INDEX('ns-combined'!$C:$C,MATCH($L7,'ns-combined'!$B:$B,0),MATCH(Council_Area,'ns-combined'!$C$1:$C$1,0))*1000,
INDEX('s-combined'!$C:$C,MATCH($L7,'s-combined'!$B:$B,0),MATCH(Council_Area,'s-combined'!$C$1:$C$1,0))*1000)</f>
        <v>389500</v>
      </c>
      <c r="AS7" s="22">
        <f t="shared" si="35"/>
        <v>4268.75</v>
      </c>
      <c r="AT7" s="10">
        <v>0</v>
      </c>
      <c r="AU7" s="22">
        <f t="shared" si="8"/>
        <v>7790</v>
      </c>
      <c r="AV7" s="22">
        <f t="shared" si="9"/>
        <v>1119.8125</v>
      </c>
      <c r="AW7" s="22">
        <f>SUM($AV$3:AV7)</f>
        <v>5233.9375</v>
      </c>
      <c r="AX7" s="22">
        <f t="shared" si="32"/>
        <v>372207.3125</v>
      </c>
      <c r="AY7" s="22">
        <f t="shared" si="10"/>
        <v>1768.777397260274</v>
      </c>
      <c r="AZ7" s="24">
        <f t="shared" si="11"/>
        <v>1.8164594580336577E-2</v>
      </c>
      <c r="BA7" s="24">
        <f t="shared" si="12"/>
        <v>0.35000000000000003</v>
      </c>
      <c r="BB7" s="25">
        <f>IF(MortgageRate="Discounted",_xlfn.XLOOKUP(L7,'mortgage-rates'!$A:$A,'mortgage-rates'!$E:$E)/100,_xlfn.XLOOKUP(L7,'mortgage-rates'!$A:$A,'mortgage-rates'!$D:$D)/100)</f>
        <v>7.4700000000000003E-2</v>
      </c>
      <c r="BC7" s="10">
        <f t="shared" si="37"/>
        <v>269033.89991795766</v>
      </c>
      <c r="BD7" s="10">
        <f t="shared" si="13"/>
        <v>6047.9372315776318</v>
      </c>
      <c r="BE7" s="10">
        <f t="shared" si="14"/>
        <v>5024.2080809678591</v>
      </c>
      <c r="BF7" s="10">
        <f t="shared" si="36"/>
        <v>1023.7291506097727</v>
      </c>
      <c r="BG7" s="12">
        <f t="shared" si="15"/>
        <v>7816.7146288379063</v>
      </c>
      <c r="BH7" s="22">
        <f>INDEX(cpi!B:B,MATCH($L7,cpi!A:A))</f>
        <v>86.7</v>
      </c>
      <c r="BI7" s="22">
        <f t="shared" si="16"/>
        <v>102.48226950354611</v>
      </c>
      <c r="BJ7" s="22">
        <f t="shared" si="17"/>
        <v>120.09600057935597</v>
      </c>
      <c r="BK7" s="22">
        <f t="shared" si="18"/>
        <v>124.17613208738743</v>
      </c>
      <c r="BL7" s="22">
        <f t="shared" si="19"/>
        <v>121.32004003176542</v>
      </c>
      <c r="BM7" s="22">
        <f t="shared" si="20"/>
        <v>133.75591607937926</v>
      </c>
      <c r="BN7" s="22">
        <f t="shared" si="21"/>
        <v>114.05563689604685</v>
      </c>
      <c r="BO7">
        <f t="shared" si="22"/>
        <v>111.82956766605619</v>
      </c>
    </row>
    <row r="8" spans="1:67" x14ac:dyDescent="0.25">
      <c r="A8" t="s">
        <v>487</v>
      </c>
      <c r="B8" s="4">
        <f>((_xlfn.XLOOKUP(Q_end,L:L,BI:BI)/_xlfn.XLOOKUP(Q_start,L:L,BI:BI))^(1/YEARFRAC(EOMONTH(Q_start,-3)+1,EOMONTH(Q_end,0))))-1</f>
        <v>2.7199757989349482E-2</v>
      </c>
      <c r="L8" s="1">
        <f t="shared" si="33"/>
        <v>39234</v>
      </c>
      <c r="M8" s="10">
        <f t="shared" si="0"/>
        <v>136510.56832373864</v>
      </c>
      <c r="N8" s="10">
        <f t="shared" si="23"/>
        <v>107597.76673265209</v>
      </c>
      <c r="O8" s="7">
        <f t="shared" si="24"/>
        <v>1.26871191167867</v>
      </c>
      <c r="P8" s="7">
        <f t="shared" si="1"/>
        <v>0.66753091130555786</v>
      </c>
      <c r="Q8">
        <v>6</v>
      </c>
      <c r="R8">
        <f t="shared" si="2"/>
        <v>91</v>
      </c>
      <c r="S8" s="22"/>
      <c r="T8" s="22">
        <f>IF($B$10="3BR_H",
INDEX('3BR_H-processed'!$E:$E,MATCH($L8,'3BR_H-processed'!$B:$B,0),MATCH(Council_Area,'3BR_H-processed'!$E$1:$E$1,0)),
INDEX('2BR_F-processed'!$E:$E,MATCH($L8,'2BR_F-processed'!$B:$B,0),MATCH(Council_Area,'2BR_F-processed'!$E$1:$E$1,0)))</f>
        <v>401.98219178082189</v>
      </c>
      <c r="U8" s="22">
        <f t="shared" si="25"/>
        <v>393.06164383561645</v>
      </c>
      <c r="V8" s="22">
        <f t="shared" si="34"/>
        <v>5109.8013698630139</v>
      </c>
      <c r="W8" s="22">
        <f>$B$53/4*BH8/_xlfn.XLOOKUP(Q_end,cpi!A:A,cpi!B:B)</f>
        <v>121.21630960608155</v>
      </c>
      <c r="X8" s="22">
        <f t="shared" si="26"/>
        <v>5231.0176794690951</v>
      </c>
      <c r="Y8" s="22">
        <f t="shared" si="3"/>
        <v>2605.3500315605916</v>
      </c>
      <c r="Z8" s="22">
        <f t="shared" si="27"/>
        <v>0</v>
      </c>
      <c r="AA8" s="22" cm="1">
        <f t="array" ref="AA8">(Y8+Z8)*eff_invest</f>
        <v>2605.3500315605916</v>
      </c>
      <c r="AB8" s="22">
        <f>AA8*(_xlfn.XLOOKUP(Q_end,cpi!A:A,cpi!B:B)/BH8)</f>
        <v>4298.6790144448978</v>
      </c>
      <c r="AC8" s="22" cm="1">
        <f t="array" ref="AC8">INDEX('msci-indices'!C:C,MATCH($L8,'msci-indices'!$B:$B)-2)</f>
        <v>932.09759399999996</v>
      </c>
      <c r="AD8" s="22" cm="1">
        <f t="array" ref="AD8">INDEX('msci-indices'!D:D,MATCH($L8,'msci-indices'!$B:$B)-2)</f>
        <v>946.08734200000004</v>
      </c>
      <c r="AE8" s="22">
        <f t="shared" si="28"/>
        <v>128595.80015752646</v>
      </c>
      <c r="AF8" s="22" cm="1">
        <f t="array" ref="AF8">INDEX('msci-indices'!C:C,MATCH($L8,'msci-indices'!$B:$B)+1)</f>
        <v>991.70582300000001</v>
      </c>
      <c r="AG8" s="22" cm="1">
        <f t="array" ref="AG8">INDEX('msci-indices'!D:D,MATCH($L8,'msci-indices'!$B:$B)+1)</f>
        <v>1000.983113</v>
      </c>
      <c r="AH8" s="22">
        <f t="shared" si="4"/>
        <v>80.372375098454043</v>
      </c>
      <c r="AI8" s="22">
        <f t="shared" si="5"/>
        <v>136510.56832373864</v>
      </c>
      <c r="AJ8" s="22">
        <f t="shared" si="29"/>
        <v>103827.52520030619</v>
      </c>
      <c r="AK8" s="22">
        <f t="shared" si="6"/>
        <v>32683.04312343245</v>
      </c>
      <c r="AL8" s="22">
        <f>AJ8*(_xlfn.XLOOKUP(Q_end,cpi!A:A,cpi!B:B)/BH8)</f>
        <v>171309.49710928512</v>
      </c>
      <c r="AM8" s="22" cm="1">
        <f t="array" ref="AM8">SUMPRODUCT($AA$3:AA8,_xlfn.SORTBY($BH$3:BH8,_xlfn.SEQUENCE(ROWS($BH$3:BH8)),-1)/$BH$3)</f>
        <v>107382.77122278133</v>
      </c>
      <c r="AN8" s="22">
        <f t="shared" si="30"/>
        <v>29127.797100957308</v>
      </c>
      <c r="AO8" s="22">
        <f t="shared" si="7"/>
        <v>0</v>
      </c>
      <c r="AP8" s="22">
        <f t="shared" si="31"/>
        <v>136510.56832373864</v>
      </c>
      <c r="AQ8" s="22"/>
      <c r="AR8" s="10">
        <f>IF($B$10="3BR_H",
INDEX('ns-combined'!$C:$C,MATCH($L8,'ns-combined'!$B:$B,0),MATCH(Council_Area,'ns-combined'!$C$1:$C$1,0))*1000,
INDEX('s-combined'!$C:$C,MATCH($L8,'s-combined'!$B:$B,0),MATCH(Council_Area,'s-combined'!$C$1:$C$1,0))*1000)</f>
        <v>395000</v>
      </c>
      <c r="AS8" s="22">
        <f t="shared" si="35"/>
        <v>5122.5</v>
      </c>
      <c r="AT8" s="10">
        <v>0</v>
      </c>
      <c r="AU8" s="22">
        <f t="shared" si="8"/>
        <v>7900</v>
      </c>
      <c r="AV8" s="22">
        <f t="shared" si="9"/>
        <v>1135.625</v>
      </c>
      <c r="AW8" s="22">
        <f>SUM($AV$3:AV8)</f>
        <v>6369.5625</v>
      </c>
      <c r="AX8" s="22">
        <f t="shared" si="32"/>
        <v>375607.9375</v>
      </c>
      <c r="AY8" s="22">
        <f t="shared" si="10"/>
        <v>1788.4304794520551</v>
      </c>
      <c r="AZ8" s="24">
        <f t="shared" si="11"/>
        <v>1.8110688399514484E-2</v>
      </c>
      <c r="BA8" s="24">
        <f t="shared" si="12"/>
        <v>0.35000000000000003</v>
      </c>
      <c r="BB8" s="25">
        <f>IF(MortgageRate="Discounted",_xlfn.XLOOKUP(L8,'mortgage-rates'!$A:$A,'mortgage-rates'!$E:$E)/100,_xlfn.XLOOKUP(L8,'mortgage-rates'!$A:$A,'mortgage-rates'!$D:$D)/100)</f>
        <v>7.4700000000000003E-2</v>
      </c>
      <c r="BC8" s="10">
        <f t="shared" si="37"/>
        <v>268010.17076734791</v>
      </c>
      <c r="BD8" s="10">
        <f t="shared" si="13"/>
        <v>6047.9372315776318</v>
      </c>
      <c r="BE8" s="10">
        <f t="shared" si="14"/>
        <v>5005.0899390802224</v>
      </c>
      <c r="BF8" s="10">
        <f t="shared" si="36"/>
        <v>1042.8472924974094</v>
      </c>
      <c r="BG8" s="12">
        <f t="shared" si="15"/>
        <v>7836.3677110296867</v>
      </c>
      <c r="BH8" s="22">
        <f>INDEX(cpi!B:B,MATCH($L8,cpi!A:A))</f>
        <v>87.7</v>
      </c>
      <c r="BI8" s="22">
        <f t="shared" si="16"/>
        <v>103.66430260047282</v>
      </c>
      <c r="BJ8" s="22">
        <f t="shared" si="17"/>
        <v>123.47632396180853</v>
      </c>
      <c r="BK8" s="22">
        <f t="shared" si="18"/>
        <v>132.69921485097811</v>
      </c>
      <c r="BL8" s="22">
        <f t="shared" si="19"/>
        <v>126.2431912285594</v>
      </c>
      <c r="BM8" s="22">
        <f t="shared" si="20"/>
        <v>141.93751988664019</v>
      </c>
      <c r="BN8" s="22">
        <f t="shared" si="21"/>
        <v>115.66617862371889</v>
      </c>
      <c r="BO8">
        <f t="shared" si="22"/>
        <v>112.85128435665555</v>
      </c>
    </row>
    <row r="9" spans="1:67" x14ac:dyDescent="0.25">
      <c r="L9" s="1">
        <f t="shared" si="33"/>
        <v>39326</v>
      </c>
      <c r="M9" s="10">
        <f t="shared" si="0"/>
        <v>143411.99850092444</v>
      </c>
      <c r="N9" s="10">
        <f t="shared" si="23"/>
        <v>111536.86402514949</v>
      </c>
      <c r="O9" s="7">
        <f t="shared" si="24"/>
        <v>1.2857811608239917</v>
      </c>
      <c r="P9" s="7">
        <f t="shared" si="1"/>
        <v>0.66224956927230161</v>
      </c>
      <c r="Q9">
        <v>7</v>
      </c>
      <c r="R9">
        <f t="shared" si="2"/>
        <v>92</v>
      </c>
      <c r="S9" s="22"/>
      <c r="T9" s="22">
        <f>IF($B$10="3BR_H",
INDEX('3BR_H-processed'!$E:$E,MATCH($L9,'3BR_H-processed'!$B:$B,0),MATCH(Council_Area,'3BR_H-processed'!$E$1:$E$1,0)),
INDEX('2BR_F-processed'!$E:$E,MATCH($L9,'2BR_F-processed'!$B:$B,0),MATCH(Council_Area,'2BR_F-processed'!$E$1:$E$1,0)))</f>
        <v>407</v>
      </c>
      <c r="U9" s="22">
        <f t="shared" si="25"/>
        <v>393.06164383561645</v>
      </c>
      <c r="V9" s="22">
        <f t="shared" si="34"/>
        <v>5165.9530332681024</v>
      </c>
      <c r="W9" s="22">
        <f>$B$53/4*BH9/_xlfn.XLOOKUP(Q_end,cpi!A:A,cpi!B:B)</f>
        <v>121.90739460953698</v>
      </c>
      <c r="X9" s="22">
        <f t="shared" si="26"/>
        <v>5287.8604278776393</v>
      </c>
      <c r="Y9" s="22">
        <f t="shared" si="3"/>
        <v>2696.8339731894521</v>
      </c>
      <c r="Z9" s="22">
        <f t="shared" si="27"/>
        <v>0</v>
      </c>
      <c r="AA9" s="22" cm="1">
        <f t="array" ref="AA9">(Y9+Z9)*eff_invest</f>
        <v>2696.8339731894521</v>
      </c>
      <c r="AB9" s="22">
        <f>AA9*(_xlfn.XLOOKUP(Q_end,cpi!A:A,cpi!B:B)/BH9)</f>
        <v>4424.3976861736246</v>
      </c>
      <c r="AC9" s="22" cm="1">
        <f t="array" ref="AC9">INDEX('msci-indices'!C:C,MATCH($L9,'msci-indices'!$B:$B)-2)</f>
        <v>991.70582300000001</v>
      </c>
      <c r="AD9" s="22" cm="1">
        <f t="array" ref="AD9">INDEX('msci-indices'!D:D,MATCH($L9,'msci-indices'!$B:$B)-2)</f>
        <v>1000.983113</v>
      </c>
      <c r="AE9" s="22">
        <f t="shared" si="28"/>
        <v>139207.40229692811</v>
      </c>
      <c r="AF9" s="22" cm="1">
        <f t="array" ref="AF9">INDEX('msci-indices'!C:C,MATCH($L9,'msci-indices'!$B:$B)+1)</f>
        <v>1009.870131</v>
      </c>
      <c r="AG9" s="22" cm="1">
        <f t="array" ref="AG9">INDEX('msci-indices'!D:D,MATCH($L9,'msci-indices'!$B:$B)+1)</f>
        <v>1061.067018</v>
      </c>
      <c r="AH9" s="22">
        <f t="shared" si="4"/>
        <v>87.004626435580064</v>
      </c>
      <c r="AI9" s="22">
        <f t="shared" si="5"/>
        <v>143411.99850092444</v>
      </c>
      <c r="AJ9" s="22">
        <f t="shared" si="29"/>
        <v>106524.35917349564</v>
      </c>
      <c r="AK9" s="22">
        <f t="shared" si="6"/>
        <v>36887.639327428798</v>
      </c>
      <c r="AL9" s="22">
        <f>AJ9*(_xlfn.XLOOKUP(Q_end,cpi!A:A,cpi!B:B)/BH9)</f>
        <v>174762.75252159656</v>
      </c>
      <c r="AM9" s="22" cm="1">
        <f t="array" ref="AM9">SUMPRODUCT($AA$3:AA9,_xlfn.SORTBY($BH$3:BH9,_xlfn.SEQUENCE(ROWS($BH$3:BH9)),-1)/$BH$3)</f>
        <v>110710.28218987212</v>
      </c>
      <c r="AN9" s="22">
        <f t="shared" si="30"/>
        <v>32701.716311052325</v>
      </c>
      <c r="AO9" s="22">
        <f t="shared" si="7"/>
        <v>0</v>
      </c>
      <c r="AP9" s="22">
        <f t="shared" si="31"/>
        <v>143411.99850092444</v>
      </c>
      <c r="AQ9" s="22"/>
      <c r="AR9" s="10">
        <f>IF($B$10="3BR_H",
INDEX('ns-combined'!$C:$C,MATCH($L9,'ns-combined'!$B:$B,0),MATCH(Council_Area,'ns-combined'!$C$1:$C$1,0))*1000,
INDEX('s-combined'!$C:$C,MATCH($L9,'s-combined'!$B:$B,0),MATCH(Council_Area,'s-combined'!$C$1:$C$1,0))*1000)</f>
        <v>400000</v>
      </c>
      <c r="AS9" s="22">
        <f t="shared" si="35"/>
        <v>5976.25</v>
      </c>
      <c r="AT9" s="10">
        <v>0</v>
      </c>
      <c r="AU9" s="22">
        <f t="shared" si="8"/>
        <v>8000</v>
      </c>
      <c r="AV9" s="22">
        <f t="shared" si="9"/>
        <v>1150</v>
      </c>
      <c r="AW9" s="22">
        <f>SUM($AV$3:AV9)</f>
        <v>7519.5625</v>
      </c>
      <c r="AX9" s="22">
        <f t="shared" si="32"/>
        <v>378504.1875</v>
      </c>
      <c r="AY9" s="22">
        <f t="shared" si="10"/>
        <v>1808.083561643836</v>
      </c>
      <c r="AZ9" s="24">
        <f t="shared" si="11"/>
        <v>1.8080835616438359E-2</v>
      </c>
      <c r="BA9" s="24">
        <f t="shared" si="12"/>
        <v>0.35000000000000003</v>
      </c>
      <c r="BB9" s="25">
        <f>IF(MortgageRate="Discounted",_xlfn.XLOOKUP(L9,'mortgage-rates'!$A:$A,'mortgage-rates'!$E:$E)/100,_xlfn.XLOOKUP(L9,'mortgage-rates'!$A:$A,'mortgage-rates'!$D:$D)/100)</f>
        <v>7.7199999999999991E-2</v>
      </c>
      <c r="BC9" s="10">
        <f t="shared" si="37"/>
        <v>266967.32347485051</v>
      </c>
      <c r="BD9" s="10">
        <f t="shared" si="13"/>
        <v>6176.6108394232551</v>
      </c>
      <c r="BE9" s="10">
        <f t="shared" si="14"/>
        <v>5152.4693430646139</v>
      </c>
      <c r="BF9" s="10">
        <f t="shared" si="36"/>
        <v>1024.1414963586412</v>
      </c>
      <c r="BG9" s="12">
        <f t="shared" si="15"/>
        <v>7984.6944010670913</v>
      </c>
      <c r="BH9" s="22">
        <f>INDEX(cpi!B:B,MATCH($L9,cpi!A:A))</f>
        <v>88.2</v>
      </c>
      <c r="BI9" s="22">
        <f t="shared" si="16"/>
        <v>104.25531914893618</v>
      </c>
      <c r="BJ9" s="22">
        <f t="shared" si="17"/>
        <v>131.37271275432553</v>
      </c>
      <c r="BK9" s="22">
        <f t="shared" si="18"/>
        <v>140.39895396273877</v>
      </c>
      <c r="BL9" s="22">
        <f t="shared" si="19"/>
        <v>134.08058511684951</v>
      </c>
      <c r="BM9" s="22">
        <f t="shared" si="20"/>
        <v>153.65006794688318</v>
      </c>
      <c r="BN9" s="22">
        <f t="shared" si="21"/>
        <v>117.13030746705711</v>
      </c>
      <c r="BO9">
        <f t="shared" si="22"/>
        <v>113.72146174026838</v>
      </c>
    </row>
    <row r="10" spans="1:67" x14ac:dyDescent="0.25">
      <c r="A10" t="s">
        <v>327</v>
      </c>
      <c r="B10" t="s">
        <v>464</v>
      </c>
      <c r="C10" t="s">
        <v>464</v>
      </c>
      <c r="L10" s="1">
        <f t="shared" si="33"/>
        <v>39417</v>
      </c>
      <c r="M10" s="10">
        <f t="shared" si="0"/>
        <v>142192.7032826143</v>
      </c>
      <c r="N10" s="10">
        <f t="shared" si="23"/>
        <v>128634.06802150811</v>
      </c>
      <c r="O10" s="7">
        <f t="shared" si="24"/>
        <v>1.1054046993121538</v>
      </c>
      <c r="P10" s="7">
        <f t="shared" si="1"/>
        <v>0.65191134534098483</v>
      </c>
      <c r="Q10">
        <v>8</v>
      </c>
      <c r="R10">
        <f t="shared" si="2"/>
        <v>92</v>
      </c>
      <c r="S10" s="22"/>
      <c r="T10" s="22">
        <f>IF($B$10="3BR_H",
INDEX('3BR_H-processed'!$E:$E,MATCH($L10,'3BR_H-processed'!$B:$B,0),MATCH(Council_Area,'3BR_H-processed'!$E$1:$E$1,0)),
INDEX('2BR_F-processed'!$E:$E,MATCH($L10,'2BR_F-processed'!$B:$B,0),MATCH(Council_Area,'2BR_F-processed'!$E$1:$E$1,0)))</f>
        <v>407</v>
      </c>
      <c r="U10" s="22">
        <f t="shared" si="25"/>
        <v>393.06164383561645</v>
      </c>
      <c r="V10" s="22">
        <f t="shared" si="34"/>
        <v>5165.9530332681024</v>
      </c>
      <c r="W10" s="22">
        <f>$B$53/4*BH10/_xlfn.XLOOKUP(Q_end,cpi!A:A,cpi!B:B)</f>
        <v>123.42778161713892</v>
      </c>
      <c r="X10" s="22">
        <f t="shared" si="26"/>
        <v>5289.3808148852413</v>
      </c>
      <c r="Y10" s="22">
        <f t="shared" si="3"/>
        <v>2824.2696878815259</v>
      </c>
      <c r="Z10" s="22">
        <f t="shared" si="27"/>
        <v>0</v>
      </c>
      <c r="AA10" s="22" cm="1">
        <f t="array" ref="AA10">(Y10+Z10)*eff_invest</f>
        <v>2824.2696878815259</v>
      </c>
      <c r="AB10" s="22">
        <f>AA10*(_xlfn.XLOOKUP(Q_end,cpi!A:A,cpi!B:B)/BH10)</f>
        <v>4576.3922042156419</v>
      </c>
      <c r="AC10" s="22" cm="1">
        <f t="array" ref="AC10">INDEX('msci-indices'!C:C,MATCH($L10,'msci-indices'!$B:$B)-2)</f>
        <v>1009.870131</v>
      </c>
      <c r="AD10" s="22" cm="1">
        <f t="array" ref="AD10">INDEX('msci-indices'!D:D,MATCH($L10,'msci-indices'!$B:$B)-2)</f>
        <v>1061.067018</v>
      </c>
      <c r="AE10" s="22">
        <f t="shared" si="28"/>
        <v>146236.26818880596</v>
      </c>
      <c r="AF10" s="22" cm="1">
        <f t="array" ref="AF10">INDEX('msci-indices'!C:C,MATCH($L10,'msci-indices'!$B:$B)+1)</f>
        <v>983.50383399999998</v>
      </c>
      <c r="AG10" s="22" cm="1">
        <f t="array" ref="AG10">INDEX('msci-indices'!D:D,MATCH($L10,'msci-indices'!$B:$B)+1)</f>
        <v>1030.119647</v>
      </c>
      <c r="AH10" s="22">
        <f t="shared" si="4"/>
        <v>91.397667618003723</v>
      </c>
      <c r="AI10" s="22">
        <f t="shared" si="5"/>
        <v>142192.7032826143</v>
      </c>
      <c r="AJ10" s="22">
        <f t="shared" si="29"/>
        <v>109348.62886137716</v>
      </c>
      <c r="AK10" s="22">
        <f t="shared" si="6"/>
        <v>32844.074421237136</v>
      </c>
      <c r="AL10" s="22">
        <f>AJ10*(_xlfn.XLOOKUP(Q_end,cpi!A:A,cpi!B:B)/BH10)</f>
        <v>177186.41205197395</v>
      </c>
      <c r="AM10" s="22" cm="1">
        <f t="array" ref="AM10">SUMPRODUCT($AA$3:AA10,_xlfn.SORTBY($BH$3:BH10,_xlfn.SEQUENCE(ROWS($BH$3:BH10)),-1)/$BH$3)</f>
        <v>114825.07943178448</v>
      </c>
      <c r="AN10" s="22">
        <f t="shared" si="30"/>
        <v>27367.623850829812</v>
      </c>
      <c r="AO10" s="22">
        <f t="shared" si="7"/>
        <v>0</v>
      </c>
      <c r="AP10" s="22">
        <f t="shared" si="31"/>
        <v>142192.7032826143</v>
      </c>
      <c r="AQ10" s="22"/>
      <c r="AR10" s="10">
        <f>IF($B$10="3BR_H",
INDEX('ns-combined'!$C:$C,MATCH($L10,'ns-combined'!$B:$B,0),MATCH(Council_Area,'ns-combined'!$C$1:$C$1,0))*1000,
INDEX('s-combined'!$C:$C,MATCH($L10,'s-combined'!$B:$B,0),MATCH(Council_Area,'s-combined'!$C$1:$C$1,0))*1000)</f>
        <v>418500</v>
      </c>
      <c r="AS10" s="22">
        <f t="shared" si="35"/>
        <v>6830</v>
      </c>
      <c r="AT10" s="10">
        <v>0</v>
      </c>
      <c r="AU10" s="22">
        <f t="shared" si="8"/>
        <v>8370</v>
      </c>
      <c r="AV10" s="22">
        <f t="shared" si="9"/>
        <v>1203.1875</v>
      </c>
      <c r="AW10" s="22">
        <f>SUM($AV$3:AV10)</f>
        <v>8722.75</v>
      </c>
      <c r="AX10" s="22">
        <f t="shared" si="32"/>
        <v>394577.25</v>
      </c>
      <c r="AY10" s="22">
        <f t="shared" si="10"/>
        <v>1808.083561643836</v>
      </c>
      <c r="AZ10" s="24">
        <f t="shared" si="11"/>
        <v>1.7281563313202734E-2</v>
      </c>
      <c r="BA10" s="24">
        <f t="shared" si="12"/>
        <v>0.35000000000000003</v>
      </c>
      <c r="BB10" s="25">
        <f>IF(MortgageRate="Discounted",_xlfn.XLOOKUP(L10,'mortgage-rates'!$A:$A,'mortgage-rates'!$E:$E)/100,_xlfn.XLOOKUP(L10,'mortgage-rates'!$A:$A,'mortgage-rates'!$D:$D)/100)</f>
        <v>7.9699999999999993E-2</v>
      </c>
      <c r="BC10" s="10">
        <f t="shared" si="37"/>
        <v>265943.18197849189</v>
      </c>
      <c r="BD10" s="10">
        <f t="shared" si="13"/>
        <v>6305.566941122931</v>
      </c>
      <c r="BE10" s="10">
        <f t="shared" si="14"/>
        <v>5298.9179009214504</v>
      </c>
      <c r="BF10" s="10">
        <f t="shared" si="36"/>
        <v>1006.6490402014806</v>
      </c>
      <c r="BG10" s="12">
        <f t="shared" si="15"/>
        <v>8113.6505027667672</v>
      </c>
      <c r="BH10" s="22">
        <f>INDEX(cpi!B:B,MATCH($L10,cpi!A:A))</f>
        <v>89.3</v>
      </c>
      <c r="BI10" s="22">
        <f t="shared" si="16"/>
        <v>105.55555555555556</v>
      </c>
      <c r="BJ10" s="22">
        <f t="shared" si="17"/>
        <v>133.77896505407139</v>
      </c>
      <c r="BK10" s="22">
        <f t="shared" si="18"/>
        <v>148.82638625649071</v>
      </c>
      <c r="BL10" s="22">
        <f t="shared" si="19"/>
        <v>138.29319141479718</v>
      </c>
      <c r="BM10" s="22">
        <f t="shared" si="20"/>
        <v>161.40817350777112</v>
      </c>
      <c r="BN10" s="22">
        <f t="shared" si="21"/>
        <v>122.54758418740849</v>
      </c>
      <c r="BO10">
        <f t="shared" si="22"/>
        <v>118.55060821343044</v>
      </c>
    </row>
    <row r="11" spans="1:67" x14ac:dyDescent="0.25">
      <c r="A11" t="s">
        <v>7</v>
      </c>
      <c r="B11" s="1">
        <v>38777</v>
      </c>
      <c r="C11" s="1">
        <v>38777</v>
      </c>
      <c r="L11" s="1">
        <f t="shared" si="33"/>
        <v>39508</v>
      </c>
      <c r="M11" s="10">
        <f t="shared" si="0"/>
        <v>129768.24008041013</v>
      </c>
      <c r="N11" s="10">
        <f t="shared" si="23"/>
        <v>129049.46706170961</v>
      </c>
      <c r="O11" s="7">
        <f t="shared" si="24"/>
        <v>1.0055697480591439</v>
      </c>
      <c r="P11" s="7">
        <f t="shared" si="1"/>
        <v>0.6343528769883493</v>
      </c>
      <c r="Q11">
        <v>9</v>
      </c>
      <c r="R11">
        <f t="shared" si="2"/>
        <v>91</v>
      </c>
      <c r="S11" s="22"/>
      <c r="T11" s="22">
        <f>IF($B$10="3BR_H",
INDEX('3BR_H-processed'!$E:$E,MATCH($L11,'3BR_H-processed'!$B:$B,0),MATCH(Council_Area,'3BR_H-processed'!$E$1:$E$1,0)),
INDEX('2BR_F-processed'!$E:$E,MATCH($L11,'2BR_F-processed'!$B:$B,0),MATCH(Council_Area,'2BR_F-processed'!$E$1:$E$1,0)))</f>
        <v>407</v>
      </c>
      <c r="U11" s="22">
        <f t="shared" si="25"/>
        <v>407</v>
      </c>
      <c r="V11" s="22">
        <f t="shared" si="34"/>
        <v>5291</v>
      </c>
      <c r="W11" s="22">
        <f>$B$53/4*BH11/_xlfn.XLOOKUP(Q_end,cpi!A:A,cpi!B:B)</f>
        <v>124.94816862474086</v>
      </c>
      <c r="X11" s="22">
        <f t="shared" si="26"/>
        <v>5415.9481686247409</v>
      </c>
      <c r="Y11" s="22">
        <f t="shared" si="3"/>
        <v>3121.8048157039038</v>
      </c>
      <c r="Z11" s="22">
        <f t="shared" si="27"/>
        <v>0</v>
      </c>
      <c r="AA11" s="22" cm="1">
        <f t="array" ref="AA11">(Y11+Z11)*eff_invest</f>
        <v>3121.8048157039038</v>
      </c>
      <c r="AB11" s="22">
        <f>AA11*(_xlfn.XLOOKUP(Q_end,cpi!A:A,cpi!B:B)/BH11)</f>
        <v>4996.9596994729518</v>
      </c>
      <c r="AC11" s="22" cm="1">
        <f t="array" ref="AC11">INDEX('msci-indices'!C:C,MATCH($L11,'msci-indices'!$B:$B)-2)</f>
        <v>983.50383399999998</v>
      </c>
      <c r="AD11" s="22" cm="1">
        <f t="array" ref="AD11">INDEX('msci-indices'!D:D,MATCH($L11,'msci-indices'!$B:$B)-2)</f>
        <v>1030.119647</v>
      </c>
      <c r="AE11" s="22">
        <f t="shared" si="28"/>
        <v>145314.50809831821</v>
      </c>
      <c r="AF11" s="22" cm="1">
        <f t="array" ref="AF11">INDEX('msci-indices'!C:C,MATCH($L11,'msci-indices'!$B:$B)+1)</f>
        <v>894.99836200000004</v>
      </c>
      <c r="AG11" s="22" cm="1">
        <f t="array" ref="AG11">INDEX('msci-indices'!D:D,MATCH($L11,'msci-indices'!$B:$B)+1)</f>
        <v>881.21372699999995</v>
      </c>
      <c r="AH11" s="22">
        <f t="shared" si="4"/>
        <v>90.821567561448887</v>
      </c>
      <c r="AI11" s="22">
        <f t="shared" si="5"/>
        <v>129768.24008041013</v>
      </c>
      <c r="AJ11" s="22">
        <f t="shared" si="29"/>
        <v>112470.43367708106</v>
      </c>
      <c r="AK11" s="22">
        <f t="shared" si="6"/>
        <v>17297.806403329072</v>
      </c>
      <c r="AL11" s="22">
        <f>AJ11*(_xlfn.XLOOKUP(Q_end,cpi!A:A,cpi!B:B)/BH11)</f>
        <v>180027.34240125693</v>
      </c>
      <c r="AM11" s="22" cm="1">
        <f t="array" ref="AM11">SUMPRODUCT($AA$3:AA11,_xlfn.SORTBY($BH$3:BH11,_xlfn.SEQUENCE(ROWS($BH$3:BH11)),-1)/$BH$3)</f>
        <v>119275.31770843822</v>
      </c>
      <c r="AN11" s="22">
        <f t="shared" si="30"/>
        <v>10492.922371971916</v>
      </c>
      <c r="AO11" s="22">
        <f t="shared" si="7"/>
        <v>0</v>
      </c>
      <c r="AP11" s="22">
        <f t="shared" si="31"/>
        <v>129768.24008041013</v>
      </c>
      <c r="AQ11" s="22"/>
      <c r="AR11" s="10">
        <f>IF($B$10="3BR_H",
INDEX('ns-combined'!$C:$C,MATCH($L11,'ns-combined'!$B:$B,0),MATCH(Council_Area,'ns-combined'!$C$1:$C$1,0))*1000,
INDEX('s-combined'!$C:$C,MATCH($L11,'s-combined'!$B:$B,0),MATCH(Council_Area,'s-combined'!$C$1:$C$1,0))*1000)</f>
        <v>420000</v>
      </c>
      <c r="AS11" s="22">
        <f t="shared" si="35"/>
        <v>7683.75</v>
      </c>
      <c r="AT11" s="10">
        <v>0</v>
      </c>
      <c r="AU11" s="22">
        <f t="shared" si="8"/>
        <v>8400</v>
      </c>
      <c r="AV11" s="22">
        <f t="shared" si="9"/>
        <v>1207.5</v>
      </c>
      <c r="AW11" s="22">
        <f>SUM($AV$3:AV11)</f>
        <v>9930.25</v>
      </c>
      <c r="AX11" s="22">
        <f t="shared" si="32"/>
        <v>393986</v>
      </c>
      <c r="AY11" s="22">
        <f t="shared" si="10"/>
        <v>1851.8500000000001</v>
      </c>
      <c r="AZ11" s="24">
        <f t="shared" si="11"/>
        <v>1.7636666666666669E-2</v>
      </c>
      <c r="BA11" s="24">
        <f t="shared" si="12"/>
        <v>0.35000000000000003</v>
      </c>
      <c r="BB11" s="25">
        <f>IF(MortgageRate="Discounted",_xlfn.XLOOKUP(L11,'mortgage-rates'!$A:$A,'mortgage-rates'!$E:$E)/100,_xlfn.XLOOKUP(L11,'mortgage-rates'!$A:$A,'mortgage-rates'!$D:$D)/100)</f>
        <v>8.6999999999999994E-2</v>
      </c>
      <c r="BC11" s="10">
        <f t="shared" si="37"/>
        <v>264936.53293829039</v>
      </c>
      <c r="BD11" s="10">
        <f t="shared" si="13"/>
        <v>6685.9029843286444</v>
      </c>
      <c r="BE11" s="10">
        <f t="shared" si="14"/>
        <v>5762.3695914078153</v>
      </c>
      <c r="BF11" s="10">
        <f t="shared" si="36"/>
        <v>923.5333929208291</v>
      </c>
      <c r="BG11" s="12">
        <f t="shared" si="15"/>
        <v>8537.7529843286447</v>
      </c>
      <c r="BH11" s="22">
        <f>INDEX(cpi!B:B,MATCH($L11,cpi!A:A))</f>
        <v>90.4</v>
      </c>
      <c r="BI11" s="22">
        <f t="shared" si="16"/>
        <v>106.85579196217495</v>
      </c>
      <c r="BJ11" s="22">
        <f t="shared" si="17"/>
        <v>130.28618334215415</v>
      </c>
      <c r="BK11" s="22">
        <f t="shared" si="18"/>
        <v>144.48567514971225</v>
      </c>
      <c r="BL11" s="22">
        <f t="shared" si="19"/>
        <v>134.54603088442158</v>
      </c>
      <c r="BM11" s="22">
        <f t="shared" si="20"/>
        <v>160.39078148552738</v>
      </c>
      <c r="BN11" s="22">
        <f t="shared" si="21"/>
        <v>122.98682284040996</v>
      </c>
      <c r="BO11">
        <f t="shared" si="22"/>
        <v>118.37296734055651</v>
      </c>
    </row>
    <row r="12" spans="1:67" x14ac:dyDescent="0.25">
      <c r="A12" t="s">
        <v>8</v>
      </c>
      <c r="B12" s="1">
        <v>45992</v>
      </c>
      <c r="C12" s="1">
        <v>45992</v>
      </c>
      <c r="L12" s="1">
        <f t="shared" si="33"/>
        <v>39600</v>
      </c>
      <c r="M12" s="10">
        <f t="shared" si="0"/>
        <v>130880.63040682222</v>
      </c>
      <c r="N12" s="10">
        <f t="shared" si="23"/>
        <v>130159.13795463048</v>
      </c>
      <c r="O12" s="7">
        <f t="shared" si="24"/>
        <v>1.0055431563509833</v>
      </c>
      <c r="P12" s="7">
        <f t="shared" si="1"/>
        <v>0.62913074621979737</v>
      </c>
      <c r="Q12">
        <v>10</v>
      </c>
      <c r="R12">
        <f t="shared" si="2"/>
        <v>91</v>
      </c>
      <c r="S12" s="22"/>
      <c r="T12" s="22">
        <f>IF($B$10="3BR_H",
INDEX('3BR_H-processed'!$E:$E,MATCH($L12,'3BR_H-processed'!$B:$B,0),MATCH(Council_Area,'3BR_H-processed'!$E$1:$E$1,0)),
INDEX('2BR_F-processed'!$E:$E,MATCH($L12,'2BR_F-processed'!$B:$B,0),MATCH(Council_Area,'2BR_F-processed'!$E$1:$E$1,0)))</f>
        <v>407</v>
      </c>
      <c r="U12" s="22">
        <f t="shared" si="25"/>
        <v>407</v>
      </c>
      <c r="V12" s="22">
        <f t="shared" si="34"/>
        <v>5291</v>
      </c>
      <c r="W12" s="22">
        <f>$B$53/4*BH12/_xlfn.XLOOKUP(Q_end,cpi!A:A,cpi!B:B)</f>
        <v>126.60677263303387</v>
      </c>
      <c r="X12" s="22">
        <f t="shared" si="26"/>
        <v>5417.6067726330339</v>
      </c>
      <c r="Y12" s="22">
        <f t="shared" si="3"/>
        <v>3193.6505934793868</v>
      </c>
      <c r="Z12" s="22">
        <f t="shared" si="27"/>
        <v>0</v>
      </c>
      <c r="AA12" s="22" cm="1">
        <f t="array" ref="AA12">(Y12+Z12)*eff_invest</f>
        <v>3193.6505934793868</v>
      </c>
      <c r="AB12" s="22">
        <f>AA12*(_xlfn.XLOOKUP(Q_end,cpi!A:A,cpi!B:B)/BH12)</f>
        <v>5044.9917126251885</v>
      </c>
      <c r="AC12" s="22" cm="1">
        <f t="array" ref="AC12">INDEX('msci-indices'!C:C,MATCH($L12,'msci-indices'!$B:$B)-2)</f>
        <v>894.99836200000004</v>
      </c>
      <c r="AD12" s="22" cm="1">
        <f t="array" ref="AD12">INDEX('msci-indices'!D:D,MATCH($L12,'msci-indices'!$B:$B)-2)</f>
        <v>881.21372699999995</v>
      </c>
      <c r="AE12" s="22">
        <f t="shared" si="28"/>
        <v>132961.89067388952</v>
      </c>
      <c r="AF12" s="22" cm="1">
        <f t="array" ref="AF12">INDEX('msci-indices'!C:C,MATCH($L12,'msci-indices'!$B:$B)+1)</f>
        <v>881.79173700000001</v>
      </c>
      <c r="AG12" s="22" cm="1">
        <f t="array" ref="AG12">INDEX('msci-indices'!D:D,MATCH($L12,'msci-indices'!$B:$B)+1)</f>
        <v>867.41146500000002</v>
      </c>
      <c r="AH12" s="22">
        <f t="shared" si="4"/>
        <v>83.101181671180953</v>
      </c>
      <c r="AI12" s="22">
        <f t="shared" si="5"/>
        <v>130880.63040682222</v>
      </c>
      <c r="AJ12" s="22">
        <f t="shared" si="29"/>
        <v>115664.08427056044</v>
      </c>
      <c r="AK12" s="22">
        <f t="shared" si="6"/>
        <v>15216.546136261779</v>
      </c>
      <c r="AL12" s="22">
        <f>AJ12*(_xlfn.XLOOKUP(Q_end,cpi!A:A,cpi!B:B)/BH12)</f>
        <v>182713.89731386569</v>
      </c>
      <c r="AM12" s="22" cm="1">
        <f t="array" ref="AM12">SUMPRODUCT($AA$3:AA12,_xlfn.SORTBY($BH$3:BH12,_xlfn.SEQUENCE(ROWS($BH$3:BH12)),-1)/$BH$3)</f>
        <v>123943.84273811722</v>
      </c>
      <c r="AN12" s="22">
        <f t="shared" si="30"/>
        <v>6936.7876687050011</v>
      </c>
      <c r="AO12" s="22">
        <f t="shared" si="7"/>
        <v>0</v>
      </c>
      <c r="AP12" s="22">
        <f t="shared" si="31"/>
        <v>130880.63040682222</v>
      </c>
      <c r="AQ12" s="22"/>
      <c r="AR12" s="10">
        <f>IF($B$10="3BR_H",
INDEX('ns-combined'!$C:$C,MATCH($L12,'ns-combined'!$B:$B,0),MATCH(Council_Area,'ns-combined'!$C$1:$C$1,0))*1000,
INDEX('s-combined'!$C:$C,MATCH($L12,'s-combined'!$B:$B,0),MATCH(Council_Area,'s-combined'!$C$1:$C$1,0))*1000)</f>
        <v>422300</v>
      </c>
      <c r="AS12" s="22">
        <f t="shared" si="35"/>
        <v>8537.5</v>
      </c>
      <c r="AT12" s="10">
        <v>0</v>
      </c>
      <c r="AU12" s="22">
        <f t="shared" si="8"/>
        <v>8446</v>
      </c>
      <c r="AV12" s="22">
        <f t="shared" si="9"/>
        <v>1214.1125</v>
      </c>
      <c r="AW12" s="22">
        <f>SUM($AV$3:AV12)</f>
        <v>11144.362499999999</v>
      </c>
      <c r="AX12" s="22">
        <f t="shared" si="32"/>
        <v>394172.13750000001</v>
      </c>
      <c r="AY12" s="22">
        <f t="shared" si="10"/>
        <v>1851.8500000000001</v>
      </c>
      <c r="AZ12" s="24">
        <f t="shared" si="11"/>
        <v>1.7540610940089983E-2</v>
      </c>
      <c r="BA12" s="24">
        <f t="shared" si="12"/>
        <v>0.35000000000000003</v>
      </c>
      <c r="BB12" s="25">
        <f>IF(MortgageRate="Discounted",_xlfn.XLOOKUP(L12,'mortgage-rates'!$A:$A,'mortgage-rates'!$E:$E)/100,_xlfn.XLOOKUP(L12,'mortgage-rates'!$A:$A,'mortgage-rates'!$D:$D)/100)</f>
        <v>8.8399999999999992E-2</v>
      </c>
      <c r="BC12" s="10">
        <f t="shared" si="37"/>
        <v>264012.99954536953</v>
      </c>
      <c r="BD12" s="10">
        <f t="shared" si="13"/>
        <v>6759.4073661124212</v>
      </c>
      <c r="BE12" s="10">
        <f t="shared" si="14"/>
        <v>5834.6872899526661</v>
      </c>
      <c r="BF12" s="10">
        <f t="shared" si="36"/>
        <v>924.72007615975508</v>
      </c>
      <c r="BG12" s="12">
        <f t="shared" si="15"/>
        <v>8611.2573661124206</v>
      </c>
      <c r="BH12" s="22">
        <f>INDEX(cpi!B:B,MATCH($L12,cpi!A:A))</f>
        <v>91.6</v>
      </c>
      <c r="BI12" s="22">
        <f t="shared" si="16"/>
        <v>108.274231678487</v>
      </c>
      <c r="BJ12" s="22">
        <f t="shared" si="17"/>
        <v>118.56173473997831</v>
      </c>
      <c r="BK12" s="22">
        <f t="shared" si="18"/>
        <v>123.59997274839783</v>
      </c>
      <c r="BL12" s="22">
        <f t="shared" si="19"/>
        <v>120.07320614250416</v>
      </c>
      <c r="BM12" s="22">
        <f t="shared" si="20"/>
        <v>146.75658908434355</v>
      </c>
      <c r="BN12" s="22">
        <f t="shared" si="21"/>
        <v>123.66032210834554</v>
      </c>
      <c r="BO12">
        <f t="shared" si="22"/>
        <v>118.42889229273338</v>
      </c>
    </row>
    <row r="13" spans="1:67" x14ac:dyDescent="0.25">
      <c r="A13" t="s">
        <v>9</v>
      </c>
      <c r="B13" s="1" t="s">
        <v>645</v>
      </c>
      <c r="C13" s="1" t="s">
        <v>645</v>
      </c>
      <c r="L13" s="1">
        <f t="shared" si="33"/>
        <v>39692</v>
      </c>
      <c r="M13" s="10">
        <f t="shared" si="0"/>
        <v>115394.02733557233</v>
      </c>
      <c r="N13" s="10">
        <f t="shared" si="23"/>
        <v>136539.85803079023</v>
      </c>
      <c r="O13" s="7">
        <f t="shared" si="24"/>
        <v>0.8451307112795633</v>
      </c>
      <c r="P13" s="7">
        <f t="shared" si="1"/>
        <v>0.63762910636571724</v>
      </c>
      <c r="Q13">
        <v>11</v>
      </c>
      <c r="R13">
        <f t="shared" si="2"/>
        <v>92</v>
      </c>
      <c r="S13" s="22"/>
      <c r="T13" s="22">
        <f>IF($B$10="3BR_H",
INDEX('3BR_H-processed'!$E:$E,MATCH($L13,'3BR_H-processed'!$B:$B,0),MATCH(Council_Area,'3BR_H-processed'!$E$1:$E$1,0)),
INDEX('2BR_F-processed'!$E:$E,MATCH($L13,'2BR_F-processed'!$B:$B,0),MATCH(Council_Area,'2BR_F-processed'!$E$1:$E$1,0)))</f>
        <v>442.66666666666663</v>
      </c>
      <c r="U13" s="22">
        <f t="shared" si="25"/>
        <v>407</v>
      </c>
      <c r="V13" s="22">
        <f t="shared" si="34"/>
        <v>5349.1428571428569</v>
      </c>
      <c r="W13" s="22">
        <f>$B$53/4*BH13/_xlfn.XLOOKUP(Q_end,cpi!A:A,cpi!B:B)</f>
        <v>127.98894263994472</v>
      </c>
      <c r="X13" s="22">
        <f t="shared" si="26"/>
        <v>5477.1317997828019</v>
      </c>
      <c r="Y13" s="22">
        <f t="shared" si="3"/>
        <v>3112.7078814712559</v>
      </c>
      <c r="Z13" s="22">
        <f t="shared" si="27"/>
        <v>0</v>
      </c>
      <c r="AA13" s="22" cm="1">
        <f t="array" ref="AA13">(Y13+Z13)*eff_invest</f>
        <v>3112.7078814712559</v>
      </c>
      <c r="AB13" s="22">
        <f>AA13*(_xlfn.XLOOKUP(Q_end,cpi!A:A,cpi!B:B)/BH13)</f>
        <v>4864.0262467482798</v>
      </c>
      <c r="AC13" s="22" cm="1">
        <f t="array" ref="AC13">INDEX('msci-indices'!C:C,MATCH($L13,'msci-indices'!$B:$B)-2)</f>
        <v>881.79173700000001</v>
      </c>
      <c r="AD13" s="22" cm="1">
        <f t="array" ref="AD13">INDEX('msci-indices'!D:D,MATCH($L13,'msci-indices'!$B:$B)-2)</f>
        <v>867.41146500000002</v>
      </c>
      <c r="AE13" s="22">
        <f t="shared" si="28"/>
        <v>133993.33828829348</v>
      </c>
      <c r="AF13" s="22" cm="1">
        <f t="array" ref="AF13">INDEX('msci-indices'!C:C,MATCH($L13,'msci-indices'!$B:$B)+1)</f>
        <v>747.65997700000003</v>
      </c>
      <c r="AG13" s="22" cm="1">
        <f t="array" ref="AG13">INDEX('msci-indices'!D:D,MATCH($L13,'msci-indices'!$B:$B)+1)</f>
        <v>775.74397499999998</v>
      </c>
      <c r="AH13" s="22">
        <f t="shared" si="4"/>
        <v>83.745836430183431</v>
      </c>
      <c r="AI13" s="22">
        <f t="shared" si="5"/>
        <v>115394.02733557233</v>
      </c>
      <c r="AJ13" s="22">
        <f t="shared" si="29"/>
        <v>118776.7921520317</v>
      </c>
      <c r="AK13" s="22">
        <f t="shared" si="6"/>
        <v>-3382.7648164593702</v>
      </c>
      <c r="AL13" s="22">
        <f>AJ13*(_xlfn.XLOOKUP(Q_end,cpi!A:A,cpi!B:B)/BH13)</f>
        <v>185604.77132180333</v>
      </c>
      <c r="AM13" s="22" cm="1">
        <f t="array" ref="AM13">SUMPRODUCT($AA$3:AA13,_xlfn.SORTBY($BH$3:BH13,_xlfn.SEQUENCE(ROWS($BH$3:BH13)),-1)/$BH$3)</f>
        <v>128358.88108512604</v>
      </c>
      <c r="AN13" s="22">
        <f t="shared" si="30"/>
        <v>-12964.853749553702</v>
      </c>
      <c r="AO13" s="22">
        <f t="shared" si="7"/>
        <v>0</v>
      </c>
      <c r="AP13" s="22">
        <f t="shared" si="31"/>
        <v>115394.02733557233</v>
      </c>
      <c r="AQ13" s="22"/>
      <c r="AR13" s="10">
        <f>IF($B$10="3BR_H",
INDEX('ns-combined'!$C:$C,MATCH($L13,'ns-combined'!$B:$B,0),MATCH(Council_Area,'ns-combined'!$C$1:$C$1,0))*1000,
INDEX('s-combined'!$C:$C,MATCH($L13,'s-combined'!$B:$B,0),MATCH(Council_Area,'s-combined'!$C$1:$C$1,0))*1000)</f>
        <v>430000</v>
      </c>
      <c r="AS13" s="22">
        <f t="shared" si="35"/>
        <v>9391.25</v>
      </c>
      <c r="AT13" s="10">
        <v>0</v>
      </c>
      <c r="AU13" s="22">
        <f t="shared" si="8"/>
        <v>8600</v>
      </c>
      <c r="AV13" s="22">
        <f t="shared" si="9"/>
        <v>1236.25</v>
      </c>
      <c r="AW13" s="22">
        <f>SUM($AV$3:AV13)</f>
        <v>12380.612499999999</v>
      </c>
      <c r="AX13" s="22">
        <f t="shared" si="32"/>
        <v>399628.13750000001</v>
      </c>
      <c r="AY13" s="22">
        <f t="shared" si="10"/>
        <v>1872.2</v>
      </c>
      <c r="AZ13" s="24">
        <f t="shared" si="11"/>
        <v>1.7415813953488374E-2</v>
      </c>
      <c r="BA13" s="24">
        <f t="shared" si="12"/>
        <v>0.35000000000000003</v>
      </c>
      <c r="BB13" s="25">
        <f>IF(MortgageRate="Discounted",_xlfn.XLOOKUP(L13,'mortgage-rates'!$A:$A,'mortgage-rates'!$E:$E)/100,_xlfn.XLOOKUP(L13,'mortgage-rates'!$A:$A,'mortgage-rates'!$D:$D)/100)</f>
        <v>8.7599999999999997E-2</v>
      </c>
      <c r="BC13" s="10">
        <f t="shared" si="37"/>
        <v>263088.27946920978</v>
      </c>
      <c r="BD13" s="10">
        <f t="shared" si="13"/>
        <v>6717.6396812540579</v>
      </c>
      <c r="BE13" s="10">
        <f t="shared" si="14"/>
        <v>5761.633320375694</v>
      </c>
      <c r="BF13" s="10">
        <f t="shared" si="36"/>
        <v>956.00636087836392</v>
      </c>
      <c r="BG13" s="12">
        <f t="shared" si="15"/>
        <v>8589.8396812540577</v>
      </c>
      <c r="BH13" s="22">
        <f>INDEX(cpi!B:B,MATCH($L13,cpi!A:A))</f>
        <v>92.6</v>
      </c>
      <c r="BI13" s="22">
        <f t="shared" si="16"/>
        <v>109.45626477541371</v>
      </c>
      <c r="BJ13" s="22">
        <f t="shared" si="17"/>
        <v>116.8122339179194</v>
      </c>
      <c r="BK13" s="22">
        <f t="shared" si="18"/>
        <v>121.6640528293176</v>
      </c>
      <c r="BL13" s="22">
        <f t="shared" si="19"/>
        <v>118.26777959133886</v>
      </c>
      <c r="BM13" s="22">
        <f t="shared" si="20"/>
        <v>147.89504863047298</v>
      </c>
      <c r="BN13" s="22">
        <f t="shared" si="21"/>
        <v>125.91508052708639</v>
      </c>
      <c r="BO13">
        <f t="shared" si="22"/>
        <v>120.06814574288155</v>
      </c>
    </row>
    <row r="14" spans="1:67" x14ac:dyDescent="0.25">
      <c r="A14" t="s">
        <v>333</v>
      </c>
      <c r="B14" s="4">
        <v>0.01</v>
      </c>
      <c r="C14" s="4">
        <v>0.01</v>
      </c>
      <c r="L14" s="1">
        <f t="shared" si="33"/>
        <v>39783</v>
      </c>
      <c r="M14" s="10">
        <f t="shared" si="0"/>
        <v>92404.682397177035</v>
      </c>
      <c r="N14" s="10">
        <f t="shared" si="23"/>
        <v>150062.73939166858</v>
      </c>
      <c r="O14" s="7">
        <f t="shared" si="24"/>
        <v>0.61577366088191843</v>
      </c>
      <c r="P14" s="7">
        <f t="shared" si="1"/>
        <v>0.74809502357154578</v>
      </c>
      <c r="Q14">
        <v>12</v>
      </c>
      <c r="R14">
        <f t="shared" si="2"/>
        <v>92</v>
      </c>
      <c r="S14" s="22"/>
      <c r="T14" s="22">
        <f>IF($B$10="3BR_H",
INDEX('3BR_H-processed'!$E:$E,MATCH($L14,'3BR_H-processed'!$B:$B,0),MATCH(Council_Area,'3BR_H-processed'!$E$1:$E$1,0)),
INDEX('2BR_F-processed'!$E:$E,MATCH($L14,'2BR_F-processed'!$B:$B,0),MATCH(Council_Area,'2BR_F-processed'!$E$1:$E$1,0)))</f>
        <v>457.45874587458746</v>
      </c>
      <c r="U14" s="22">
        <f t="shared" si="25"/>
        <v>407</v>
      </c>
      <c r="V14" s="22">
        <f t="shared" si="34"/>
        <v>5349.1428571428569</v>
      </c>
      <c r="W14" s="22">
        <f>$B$53/4*BH14/_xlfn.XLOOKUP(Q_end,cpi!A:A,cpi!B:B)</f>
        <v>127.98894263994472</v>
      </c>
      <c r="X14" s="22">
        <f t="shared" si="26"/>
        <v>5477.1317997828019</v>
      </c>
      <c r="Y14" s="22">
        <f t="shared" si="3"/>
        <v>1844.3068239283257</v>
      </c>
      <c r="Z14" s="22">
        <f t="shared" si="27"/>
        <v>0</v>
      </c>
      <c r="AA14" s="22" cm="1">
        <f t="array" ref="AA14">(Y14+Z14)*eff_invest</f>
        <v>1844.3068239283257</v>
      </c>
      <c r="AB14" s="22">
        <f>AA14*(_xlfn.XLOOKUP(Q_end,cpi!A:A,cpi!B:B)/BH14)</f>
        <v>2881.9783738923188</v>
      </c>
      <c r="AC14" s="22" cm="1">
        <f t="array" ref="AC14">INDEX('msci-indices'!C:C,MATCH($L14,'msci-indices'!$B:$B)-2)</f>
        <v>747.65997700000003</v>
      </c>
      <c r="AD14" s="22" cm="1">
        <f t="array" ref="AD14">INDEX('msci-indices'!D:D,MATCH($L14,'msci-indices'!$B:$B)-2)</f>
        <v>775.74397499999998</v>
      </c>
      <c r="AE14" s="22">
        <f t="shared" si="28"/>
        <v>117238.33415950066</v>
      </c>
      <c r="AF14" s="22" cm="1">
        <f t="array" ref="AF14">INDEX('msci-indices'!C:C,MATCH($L14,'msci-indices'!$B:$B)+1)</f>
        <v>582.01081599999998</v>
      </c>
      <c r="AG14" s="22" cm="1">
        <f t="array" ref="AG14">INDEX('msci-indices'!D:D,MATCH($L14,'msci-indices'!$B:$B)+1)</f>
        <v>630.66129899999999</v>
      </c>
      <c r="AH14" s="22">
        <f t="shared" si="4"/>
        <v>73.273958849687915</v>
      </c>
      <c r="AI14" s="22">
        <f t="shared" si="5"/>
        <v>92404.682397177035</v>
      </c>
      <c r="AJ14" s="22">
        <f t="shared" si="29"/>
        <v>120621.09897596003</v>
      </c>
      <c r="AK14" s="22">
        <f t="shared" si="6"/>
        <v>-28216.416578782999</v>
      </c>
      <c r="AL14" s="22">
        <f>AJ14*(_xlfn.XLOOKUP(Q_end,cpi!A:A,cpi!B:B)/BH14)</f>
        <v>188486.74969569565</v>
      </c>
      <c r="AM14" s="22" cm="1">
        <f t="array" ref="AM14">SUMPRODUCT($AA$3:AA14,_xlfn.SORTBY($BH$3:BH14,_xlfn.SEQUENCE(ROWS($BH$3:BH14)),-1)/$BH$3)</f>
        <v>130466.65552194791</v>
      </c>
      <c r="AN14" s="22">
        <f t="shared" si="30"/>
        <v>-38061.97312477087</v>
      </c>
      <c r="AO14" s="22">
        <f t="shared" si="7"/>
        <v>0</v>
      </c>
      <c r="AP14" s="22">
        <f t="shared" si="31"/>
        <v>92404.682397177035</v>
      </c>
      <c r="AQ14" s="22"/>
      <c r="AR14" s="10">
        <f>IF($B$10="3BR_H",
INDEX('ns-combined'!$C:$C,MATCH($L14,'ns-combined'!$B:$B,0),MATCH(Council_Area,'ns-combined'!$C$1:$C$1,0))*1000,
INDEX('s-combined'!$C:$C,MATCH($L14,'s-combined'!$B:$B,0),MATCH(Council_Area,'s-combined'!$C$1:$C$1,0))*1000)</f>
        <v>445000</v>
      </c>
      <c r="AS14" s="22">
        <f t="shared" si="35"/>
        <v>10245</v>
      </c>
      <c r="AT14" s="10">
        <v>0</v>
      </c>
      <c r="AU14" s="22">
        <f t="shared" si="8"/>
        <v>8900</v>
      </c>
      <c r="AV14" s="22">
        <f t="shared" si="9"/>
        <v>1279.375</v>
      </c>
      <c r="AW14" s="22">
        <f>SUM($AV$3:AV14)</f>
        <v>13659.987499999999</v>
      </c>
      <c r="AX14" s="22">
        <f t="shared" si="32"/>
        <v>412195.01250000001</v>
      </c>
      <c r="AY14" s="22">
        <f t="shared" si="10"/>
        <v>1872.2</v>
      </c>
      <c r="AZ14" s="24">
        <f t="shared" si="11"/>
        <v>1.6828764044943819E-2</v>
      </c>
      <c r="BA14" s="24">
        <f t="shared" si="12"/>
        <v>0.35000000000000003</v>
      </c>
      <c r="BB14" s="25">
        <f>IF(MortgageRate="Discounted",_xlfn.XLOOKUP(L14,'mortgage-rates'!$A:$A,'mortgage-rates'!$E:$E)/100,_xlfn.XLOOKUP(L14,'mortgage-rates'!$A:$A,'mortgage-rates'!$D:$D)/100)</f>
        <v>6.2E-2</v>
      </c>
      <c r="BC14" s="10">
        <f t="shared" si="37"/>
        <v>262132.27310833143</v>
      </c>
      <c r="BD14" s="10">
        <f t="shared" si="13"/>
        <v>5449.2386237111277</v>
      </c>
      <c r="BE14" s="10">
        <f t="shared" si="14"/>
        <v>4063.0502331791372</v>
      </c>
      <c r="BF14" s="10">
        <f t="shared" si="36"/>
        <v>1386.1883905319905</v>
      </c>
      <c r="BG14" s="12">
        <f t="shared" si="15"/>
        <v>7321.4386237111275</v>
      </c>
      <c r="BH14" s="22">
        <f>INDEX(cpi!B:B,MATCH($L14,cpi!A:A))</f>
        <v>92.6</v>
      </c>
      <c r="BI14" s="22">
        <f t="shared" si="16"/>
        <v>109.45626477541371</v>
      </c>
      <c r="BJ14" s="22">
        <f t="shared" si="17"/>
        <v>99.043604583459881</v>
      </c>
      <c r="BK14" s="22">
        <f t="shared" si="18"/>
        <v>108.80667337781247</v>
      </c>
      <c r="BL14" s="22">
        <f t="shared" si="19"/>
        <v>101.97252522176566</v>
      </c>
      <c r="BM14" s="22">
        <f t="shared" si="20"/>
        <v>129.40172514076275</v>
      </c>
      <c r="BN14" s="22">
        <f t="shared" si="21"/>
        <v>130.30746705710104</v>
      </c>
      <c r="BO14">
        <f t="shared" si="22"/>
        <v>123.84385930617532</v>
      </c>
    </row>
    <row r="15" spans="1:67" x14ac:dyDescent="0.25">
      <c r="A15" t="s">
        <v>489</v>
      </c>
      <c r="B15" s="4">
        <v>1.15E-2</v>
      </c>
      <c r="C15" s="4">
        <v>1.15E-2</v>
      </c>
      <c r="L15" s="1">
        <f t="shared" si="33"/>
        <v>39873</v>
      </c>
      <c r="M15" s="10">
        <f t="shared" si="0"/>
        <v>85146.375067715344</v>
      </c>
      <c r="N15" s="10">
        <f t="shared" si="23"/>
        <v>159087.05278220057</v>
      </c>
      <c r="O15" s="7">
        <f t="shared" si="24"/>
        <v>0.53521875965786914</v>
      </c>
      <c r="P15" s="7">
        <f t="shared" si="1"/>
        <v>0.87637430164766783</v>
      </c>
      <c r="Q15">
        <v>13</v>
      </c>
      <c r="R15">
        <f t="shared" si="2"/>
        <v>90</v>
      </c>
      <c r="S15" s="22"/>
      <c r="T15" s="22">
        <f>IF($B$10="3BR_H",
INDEX('3BR_H-processed'!$E:$E,MATCH($L15,'3BR_H-processed'!$B:$B,0),MATCH(Council_Area,'3BR_H-processed'!$E$1:$E$1,0)),
INDEX('2BR_F-processed'!$E:$E,MATCH($L15,'2BR_F-processed'!$B:$B,0),MATCH(Council_Area,'2BR_F-processed'!$E$1:$E$1,0)))</f>
        <v>475.53795379537945</v>
      </c>
      <c r="U15" s="22">
        <f t="shared" si="25"/>
        <v>475.53795379537945</v>
      </c>
      <c r="V15" s="22">
        <f t="shared" si="34"/>
        <v>6114.059405940593</v>
      </c>
      <c r="W15" s="22">
        <f>$B$53/4*BH15/_xlfn.XLOOKUP(Q_end,cpi!A:A,cpi!B:B)</f>
        <v>127.85072563925364</v>
      </c>
      <c r="X15" s="22">
        <f t="shared" si="26"/>
        <v>6241.9101315798471</v>
      </c>
      <c r="Y15" s="22">
        <f t="shared" si="3"/>
        <v>880.51474993990632</v>
      </c>
      <c r="Z15" s="22">
        <f t="shared" si="27"/>
        <v>0</v>
      </c>
      <c r="AA15" s="22" cm="1">
        <f t="array" ref="AA15">(Y15+Z15)*eff_invest</f>
        <v>880.51474993990632</v>
      </c>
      <c r="AB15" s="22">
        <f>AA15*(_xlfn.XLOOKUP(Q_end,cpi!A:A,cpi!B:B)/BH15)</f>
        <v>1377.4106412573451</v>
      </c>
      <c r="AC15" s="22" cm="1">
        <f t="array" ref="AC15">INDEX('msci-indices'!C:C,MATCH($L15,'msci-indices'!$B:$B)-2)</f>
        <v>582.01081599999998</v>
      </c>
      <c r="AD15" s="22" cm="1">
        <f t="array" ref="AD15">INDEX('msci-indices'!D:D,MATCH($L15,'msci-indices'!$B:$B)-2)</f>
        <v>630.66129899999999</v>
      </c>
      <c r="AE15" s="22">
        <f t="shared" si="28"/>
        <v>93285.197147116938</v>
      </c>
      <c r="AF15" s="22" cm="1">
        <f t="array" ref="AF15">INDEX('msci-indices'!C:C,MATCH($L15,'msci-indices'!$B:$B)+1)</f>
        <v>513.55423199999996</v>
      </c>
      <c r="AG15" s="22" cm="1">
        <f t="array" ref="AG15">INDEX('msci-indices'!D:D,MATCH($L15,'msci-indices'!$B:$B)+1)</f>
        <v>621.64895000000001</v>
      </c>
      <c r="AH15" s="22">
        <f t="shared" si="4"/>
        <v>58.303248216948084</v>
      </c>
      <c r="AI15" s="22">
        <f t="shared" si="5"/>
        <v>85146.375067715344</v>
      </c>
      <c r="AJ15" s="22">
        <f t="shared" si="29"/>
        <v>121501.61372589994</v>
      </c>
      <c r="AK15" s="22">
        <f t="shared" si="6"/>
        <v>-36355.238658184593</v>
      </c>
      <c r="AL15" s="22">
        <f>AJ15*(_xlfn.XLOOKUP(Q_end,cpi!A:A,cpi!B:B)/BH15)</f>
        <v>190067.92979608345</v>
      </c>
      <c r="AM15" s="22" cm="1">
        <f t="array" ref="AM15">SUMPRODUCT($AA$3:AA15,_xlfn.SORTBY($BH$3:BH15,_xlfn.SEQUENCE(ROWS($BH$3:BH15)),-1)/$BH$3)</f>
        <v>131486.39095647534</v>
      </c>
      <c r="AN15" s="22">
        <f t="shared" si="30"/>
        <v>-46340.015888759997</v>
      </c>
      <c r="AO15" s="22">
        <f t="shared" si="7"/>
        <v>0</v>
      </c>
      <c r="AP15" s="22">
        <f t="shared" si="31"/>
        <v>85146.375067715344</v>
      </c>
      <c r="AQ15" s="22"/>
      <c r="AR15" s="10">
        <f>IF($B$10="3BR_H",
INDEX('ns-combined'!$C:$C,MATCH($L15,'ns-combined'!$B:$B,0),MATCH(Council_Area,'ns-combined'!$C$1:$C$1,0))*1000,
INDEX('s-combined'!$C:$C,MATCH($L15,'s-combined'!$B:$B,0),MATCH(Council_Area,'s-combined'!$C$1:$C$1,0))*1000)</f>
        <v>455000</v>
      </c>
      <c r="AS15" s="22">
        <f t="shared" si="35"/>
        <v>11098.75</v>
      </c>
      <c r="AT15" s="10">
        <v>0</v>
      </c>
      <c r="AU15" s="22">
        <f t="shared" si="8"/>
        <v>9100</v>
      </c>
      <c r="AV15" s="22">
        <f t="shared" si="9"/>
        <v>1308.125</v>
      </c>
      <c r="AW15" s="22">
        <f>SUM($AV$3:AV15)</f>
        <v>14968.112499999999</v>
      </c>
      <c r="AX15" s="22">
        <f t="shared" si="32"/>
        <v>419833.13750000001</v>
      </c>
      <c r="AY15" s="22">
        <f t="shared" si="10"/>
        <v>2139.9207920792078</v>
      </c>
      <c r="AZ15" s="24">
        <f t="shared" si="11"/>
        <v>1.8812490479817211E-2</v>
      </c>
      <c r="BA15" s="24">
        <f t="shared" si="12"/>
        <v>0.35000000000000003</v>
      </c>
      <c r="BB15" s="25">
        <f>IF(MortgageRate="Discounted",_xlfn.XLOOKUP(L15,'mortgage-rates'!$A:$A,'mortgage-rates'!$E:$E)/100,_xlfn.XLOOKUP(L15,'mortgage-rates'!$A:$A,'mortgage-rates'!$D:$D)/100)</f>
        <v>5.1799999999999999E-2</v>
      </c>
      <c r="BC15" s="10">
        <f t="shared" si="37"/>
        <v>260746.08471779944</v>
      </c>
      <c r="BD15" s="10">
        <f t="shared" si="13"/>
        <v>4982.5040894405456</v>
      </c>
      <c r="BE15" s="10">
        <f t="shared" si="14"/>
        <v>3376.6617970955026</v>
      </c>
      <c r="BF15" s="10">
        <f t="shared" si="36"/>
        <v>1605.842292345043</v>
      </c>
      <c r="BG15" s="12">
        <f t="shared" si="15"/>
        <v>7122.4248815197534</v>
      </c>
      <c r="BH15" s="22">
        <f>INDEX(cpi!B:B,MATCH($L15,cpi!A:A))</f>
        <v>92.5</v>
      </c>
      <c r="BI15" s="22">
        <f t="shared" si="16"/>
        <v>109.33806146572105</v>
      </c>
      <c r="BJ15" s="22">
        <f t="shared" si="17"/>
        <v>77.099819298205958</v>
      </c>
      <c r="BK15" s="22">
        <f t="shared" si="18"/>
        <v>88.457223238272576</v>
      </c>
      <c r="BL15" s="22">
        <f t="shared" si="19"/>
        <v>80.507040480225939</v>
      </c>
      <c r="BM15" s="22">
        <f t="shared" si="20"/>
        <v>102.96346777249794</v>
      </c>
      <c r="BN15" s="22">
        <f t="shared" si="21"/>
        <v>133.23572474377744</v>
      </c>
      <c r="BO15">
        <f t="shared" si="22"/>
        <v>126.13873151272095</v>
      </c>
    </row>
    <row r="16" spans="1:67" x14ac:dyDescent="0.25">
      <c r="A16" t="s">
        <v>55</v>
      </c>
      <c r="B16" s="23">
        <v>25</v>
      </c>
      <c r="C16" s="23">
        <v>25</v>
      </c>
      <c r="L16" s="1">
        <f t="shared" si="33"/>
        <v>39965</v>
      </c>
      <c r="M16" s="10">
        <f t="shared" si="0"/>
        <v>101913.50467413261</v>
      </c>
      <c r="N16" s="10">
        <f t="shared" si="23"/>
        <v>168302.27007454561</v>
      </c>
      <c r="O16" s="7">
        <f t="shared" si="24"/>
        <v>0.60553850301004475</v>
      </c>
      <c r="P16" s="7">
        <f t="shared" si="1"/>
        <v>0.88525605024723564</v>
      </c>
      <c r="Q16">
        <v>14</v>
      </c>
      <c r="R16">
        <f t="shared" si="2"/>
        <v>91</v>
      </c>
      <c r="S16" s="22"/>
      <c r="T16" s="22">
        <f>IF($B$10="3BR_H",
INDEX('3BR_H-processed'!$E:$E,MATCH($L16,'3BR_H-processed'!$B:$B,0),MATCH(Council_Area,'3BR_H-processed'!$E$1:$E$1,0)),
INDEX('2BR_F-processed'!$E:$E,MATCH($L16,'2BR_F-processed'!$B:$B,0),MATCH(Council_Area,'2BR_F-processed'!$E$1:$E$1,0)))</f>
        <v>485.94719471947195</v>
      </c>
      <c r="U16" s="22">
        <f t="shared" si="25"/>
        <v>475.53795379537945</v>
      </c>
      <c r="V16" s="22">
        <f t="shared" si="34"/>
        <v>6181.9933993399327</v>
      </c>
      <c r="W16" s="22">
        <f>$B$53/4*BH16/_xlfn.XLOOKUP(Q_end,cpi!A:A,cpi!B:B)</f>
        <v>128.54181064270907</v>
      </c>
      <c r="X16" s="22">
        <f t="shared" si="26"/>
        <v>6310.5352099826414</v>
      </c>
      <c r="Y16" s="22">
        <f t="shared" si="3"/>
        <v>817.95061987441022</v>
      </c>
      <c r="Z16" s="22">
        <f t="shared" si="27"/>
        <v>0</v>
      </c>
      <c r="AA16" s="22" cm="1">
        <f t="array" ref="AA16">(Y16+Z16)*eff_invest</f>
        <v>817.95061987441022</v>
      </c>
      <c r="AB16" s="22">
        <f>AA16*(_xlfn.XLOOKUP(Q_end,cpi!A:A,cpi!B:B)/BH16)</f>
        <v>1272.6608031809369</v>
      </c>
      <c r="AC16" s="22" cm="1">
        <f t="array" ref="AC16">INDEX('msci-indices'!C:C,MATCH($L16,'msci-indices'!$B:$B)-2)</f>
        <v>513.55423199999996</v>
      </c>
      <c r="AD16" s="22" cm="1">
        <f t="array" ref="AD16">INDEX('msci-indices'!D:D,MATCH($L16,'msci-indices'!$B:$B)-2)</f>
        <v>621.64895000000001</v>
      </c>
      <c r="AE16" s="22">
        <f t="shared" si="28"/>
        <v>85964.32568758975</v>
      </c>
      <c r="AF16" s="22" cm="1">
        <f t="array" ref="AF16">INDEX('msci-indices'!C:C,MATCH($L16,'msci-indices'!$B:$B)+1)</f>
        <v>624.35597900000005</v>
      </c>
      <c r="AG16" s="22" cm="1">
        <f t="array" ref="AG16">INDEX('msci-indices'!D:D,MATCH($L16,'msci-indices'!$B:$B)+1)</f>
        <v>694.44244900000001</v>
      </c>
      <c r="AH16" s="22">
        <f t="shared" si="4"/>
        <v>53.727703554743591</v>
      </c>
      <c r="AI16" s="22">
        <f t="shared" si="5"/>
        <v>101913.50467413261</v>
      </c>
      <c r="AJ16" s="22">
        <f t="shared" si="29"/>
        <v>122319.56434577434</v>
      </c>
      <c r="AK16" s="22">
        <f t="shared" si="6"/>
        <v>-20406.059671641735</v>
      </c>
      <c r="AL16" s="22">
        <f>AJ16*(_xlfn.XLOOKUP(Q_end,cpi!A:A,cpi!B:B)/BH16)</f>
        <v>190318.72000896285</v>
      </c>
      <c r="AM16" s="22" cm="1">
        <f t="array" ref="AM16">SUMPRODUCT($AA$3:AA16,_xlfn.SORTBY($BH$3:BH16,_xlfn.SEQUENCE(ROWS($BH$3:BH16)),-1)/$BH$3)</f>
        <v>133062.21317411005</v>
      </c>
      <c r="AN16" s="22">
        <f t="shared" si="30"/>
        <v>-31148.708499977438</v>
      </c>
      <c r="AO16" s="22">
        <f t="shared" si="7"/>
        <v>0</v>
      </c>
      <c r="AP16" s="22">
        <f t="shared" si="31"/>
        <v>101913.50467413261</v>
      </c>
      <c r="AQ16" s="22"/>
      <c r="AR16" s="10">
        <f>IF($B$10="3BR_H",
INDEX('ns-combined'!$C:$C,MATCH($L16,'ns-combined'!$B:$B,0),MATCH(Council_Area,'ns-combined'!$C$1:$C$1,0))*1000,
INDEX('s-combined'!$C:$C,MATCH($L16,'s-combined'!$B:$B,0),MATCH(Council_Area,'s-combined'!$C$1:$C$1,0))*1000)</f>
        <v>465000</v>
      </c>
      <c r="AS16" s="22">
        <f t="shared" si="35"/>
        <v>11952.5</v>
      </c>
      <c r="AT16" s="10">
        <v>0</v>
      </c>
      <c r="AU16" s="22">
        <f t="shared" si="8"/>
        <v>9300</v>
      </c>
      <c r="AV16" s="22">
        <f t="shared" si="9"/>
        <v>1336.875</v>
      </c>
      <c r="AW16" s="22">
        <f>SUM($AV$3:AV16)</f>
        <v>16304.987499999999</v>
      </c>
      <c r="AX16" s="22">
        <f t="shared" si="32"/>
        <v>427442.51250000001</v>
      </c>
      <c r="AY16" s="22">
        <f t="shared" si="10"/>
        <v>2163.6976897689765</v>
      </c>
      <c r="AZ16" s="24">
        <f t="shared" si="11"/>
        <v>1.8612453245324529E-2</v>
      </c>
      <c r="BA16" s="24">
        <f t="shared" si="12"/>
        <v>0.35000000000000003</v>
      </c>
      <c r="BB16" s="25">
        <f>IF(MortgageRate="Discounted",_xlfn.XLOOKUP(L16,'mortgage-rates'!$A:$A,'mortgage-rates'!$E:$E)/100,_xlfn.XLOOKUP(L16,'mortgage-rates'!$A:$A,'mortgage-rates'!$D:$D)/100)</f>
        <v>5.1399999999999994E-2</v>
      </c>
      <c r="BC16" s="10">
        <f t="shared" si="37"/>
        <v>259140.2424254544</v>
      </c>
      <c r="BD16" s="10">
        <f t="shared" si="13"/>
        <v>4964.7881400880751</v>
      </c>
      <c r="BE16" s="10">
        <f t="shared" si="14"/>
        <v>3329.9521151670888</v>
      </c>
      <c r="BF16" s="10">
        <f t="shared" si="36"/>
        <v>1634.8360249209863</v>
      </c>
      <c r="BG16" s="12">
        <f t="shared" si="15"/>
        <v>7128.4858298570516</v>
      </c>
      <c r="BH16" s="22">
        <f>INDEX(cpi!B:B,MATCH($L16,cpi!A:A))</f>
        <v>93</v>
      </c>
      <c r="BI16" s="22">
        <f t="shared" si="16"/>
        <v>109.9290780141844</v>
      </c>
      <c r="BJ16" s="22">
        <f t="shared" si="17"/>
        <v>68.031276049393796</v>
      </c>
      <c r="BK16" s="22">
        <f t="shared" si="18"/>
        <v>87.193141601016094</v>
      </c>
      <c r="BL16" s="22">
        <f t="shared" si="19"/>
        <v>73.779835714880477</v>
      </c>
      <c r="BM16" s="22">
        <f t="shared" si="20"/>
        <v>94.883061280985004</v>
      </c>
      <c r="BN16" s="22">
        <f t="shared" si="21"/>
        <v>136.16398243045387</v>
      </c>
      <c r="BO16">
        <f t="shared" si="22"/>
        <v>128.4249657909873</v>
      </c>
    </row>
    <row r="17" spans="1:67" x14ac:dyDescent="0.25">
      <c r="L17" s="1">
        <f t="shared" si="33"/>
        <v>40057</v>
      </c>
      <c r="M17" s="10">
        <f t="shared" si="0"/>
        <v>122448.07898823518</v>
      </c>
      <c r="N17" s="10">
        <f t="shared" si="23"/>
        <v>192174.60609946659</v>
      </c>
      <c r="O17" s="7">
        <f t="shared" si="24"/>
        <v>0.63717096381016103</v>
      </c>
      <c r="P17" s="7">
        <f t="shared" si="1"/>
        <v>0.89194664197898177</v>
      </c>
      <c r="Q17">
        <v>15</v>
      </c>
      <c r="R17">
        <f t="shared" si="2"/>
        <v>92</v>
      </c>
      <c r="S17" s="22"/>
      <c r="T17" s="22">
        <f>IF($B$10="3BR_H",
INDEX('3BR_H-processed'!$E:$E,MATCH($L17,'3BR_H-processed'!$B:$B,0),MATCH(Council_Area,'3BR_H-processed'!$E$1:$E$1,0)),
INDEX('2BR_F-processed'!$E:$E,MATCH($L17,'2BR_F-processed'!$B:$B,0),MATCH(Council_Area,'2BR_F-processed'!$E$1:$E$1,0)))</f>
        <v>498</v>
      </c>
      <c r="U17" s="22">
        <f t="shared" si="25"/>
        <v>475.53795379537945</v>
      </c>
      <c r="V17" s="22">
        <f t="shared" si="34"/>
        <v>6249.9273927392724</v>
      </c>
      <c r="W17" s="22">
        <f>$B$53/4*BH17/_xlfn.XLOOKUP(Q_end,cpi!A:A,cpi!B:B)</f>
        <v>129.50932964754665</v>
      </c>
      <c r="X17" s="22">
        <f t="shared" si="26"/>
        <v>6379.4367223868194</v>
      </c>
      <c r="Y17" s="22">
        <f t="shared" si="3"/>
        <v>772.82600516000093</v>
      </c>
      <c r="Z17" s="22">
        <f t="shared" si="27"/>
        <v>0</v>
      </c>
      <c r="AA17" s="22" cm="1">
        <f t="array" ref="AA17">(Y17+Z17)*eff_invest</f>
        <v>772.82600516000093</v>
      </c>
      <c r="AB17" s="22">
        <f>AA17*(_xlfn.XLOOKUP(Q_end,cpi!A:A,cpi!B:B)/BH17)</f>
        <v>1193.4676942011965</v>
      </c>
      <c r="AC17" s="22" cm="1">
        <f t="array" ref="AC17">INDEX('msci-indices'!C:C,MATCH($L17,'msci-indices'!$B:$B)-2)</f>
        <v>624.35597900000005</v>
      </c>
      <c r="AD17" s="22" cm="1">
        <f t="array" ref="AD17">INDEX('msci-indices'!D:D,MATCH($L17,'msci-indices'!$B:$B)-2)</f>
        <v>694.44244900000001</v>
      </c>
      <c r="AE17" s="22">
        <f t="shared" si="28"/>
        <v>102686.33067929262</v>
      </c>
      <c r="AF17" s="22" cm="1">
        <f t="array" ref="AF17">INDEX('msci-indices'!C:C,MATCH($L17,'msci-indices'!$B:$B)+1)</f>
        <v>736.86332800000002</v>
      </c>
      <c r="AG17" s="22" cm="1">
        <f t="array" ref="AG17">INDEX('msci-indices'!D:D,MATCH($L17,'msci-indices'!$B:$B)+1)</f>
        <v>849.38296100000002</v>
      </c>
      <c r="AH17" s="22">
        <f t="shared" si="4"/>
        <v>64.178956674557881</v>
      </c>
      <c r="AI17" s="22">
        <f t="shared" si="5"/>
        <v>122448.07898823518</v>
      </c>
      <c r="AJ17" s="22">
        <f t="shared" si="29"/>
        <v>123092.39035093435</v>
      </c>
      <c r="AK17" s="22">
        <f t="shared" si="6"/>
        <v>-644.31136269916897</v>
      </c>
      <c r="AL17" s="22">
        <f>AJ17*(_xlfn.XLOOKUP(Q_end,cpi!A:A,cpi!B:B)/BH17)</f>
        <v>190090.38296456987</v>
      </c>
      <c r="AM17" s="22" cm="1">
        <f t="array" ref="AM17">SUMPRODUCT($AA$3:AA17,_xlfn.SORTBY($BH$3:BH17,_xlfn.SEQUENCE(ROWS($BH$3:BH17)),-1)/$BH$3)</f>
        <v>134814.77925647705</v>
      </c>
      <c r="AN17" s="22">
        <f t="shared" si="30"/>
        <v>-12366.700268241868</v>
      </c>
      <c r="AO17" s="22">
        <f t="shared" si="7"/>
        <v>0</v>
      </c>
      <c r="AP17" s="22">
        <f t="shared" si="31"/>
        <v>122448.07898823518</v>
      </c>
      <c r="AQ17" s="22"/>
      <c r="AR17" s="10">
        <f>IF($B$10="3BR_H",
INDEX('ns-combined'!$C:$C,MATCH($L17,'ns-combined'!$B:$B,0),MATCH(Council_Area,'ns-combined'!$C$1:$C$1,0))*1000,
INDEX('s-combined'!$C:$C,MATCH($L17,'s-combined'!$B:$B,0),MATCH(Council_Area,'s-combined'!$C$1:$C$1,0))*1000)</f>
        <v>490000</v>
      </c>
      <c r="AS17" s="22">
        <f t="shared" si="35"/>
        <v>12806.25</v>
      </c>
      <c r="AT17" s="10">
        <v>0</v>
      </c>
      <c r="AU17" s="22">
        <f t="shared" si="8"/>
        <v>9800</v>
      </c>
      <c r="AV17" s="22">
        <f t="shared" si="9"/>
        <v>1408.75</v>
      </c>
      <c r="AW17" s="22">
        <f>SUM($AV$3:AV17)</f>
        <v>17713.737499999999</v>
      </c>
      <c r="AX17" s="22">
        <f t="shared" si="32"/>
        <v>449680.01250000001</v>
      </c>
      <c r="AY17" s="22">
        <f t="shared" si="10"/>
        <v>2187.4745874587456</v>
      </c>
      <c r="AZ17" s="24">
        <f t="shared" si="11"/>
        <v>1.7856935407826496E-2</v>
      </c>
      <c r="BA17" s="24">
        <f t="shared" si="12"/>
        <v>0.35000000000000003</v>
      </c>
      <c r="BB17" s="25">
        <f>IF(MortgageRate="Discounted",_xlfn.XLOOKUP(L17,'mortgage-rates'!$A:$A,'mortgage-rates'!$E:$E)/100,_xlfn.XLOOKUP(L17,'mortgage-rates'!$A:$A,'mortgage-rates'!$D:$D)/100)</f>
        <v>5.1399999999999994E-2</v>
      </c>
      <c r="BC17" s="10">
        <f t="shared" si="37"/>
        <v>257505.40640053342</v>
      </c>
      <c r="BD17" s="10">
        <f t="shared" si="13"/>
        <v>4964.7881400880751</v>
      </c>
      <c r="BE17" s="10">
        <f t="shared" si="14"/>
        <v>3308.9444722468543</v>
      </c>
      <c r="BF17" s="10">
        <f t="shared" si="36"/>
        <v>1655.8436678412208</v>
      </c>
      <c r="BG17" s="12">
        <f t="shared" si="15"/>
        <v>7152.2627275468203</v>
      </c>
      <c r="BH17" s="22">
        <f>INDEX(cpi!B:B,MATCH($L17,cpi!A:A))</f>
        <v>93.7</v>
      </c>
      <c r="BI17" s="22">
        <f t="shared" si="16"/>
        <v>110.75650118203311</v>
      </c>
      <c r="BJ17" s="22">
        <f t="shared" si="17"/>
        <v>82.709344629523997</v>
      </c>
      <c r="BK17" s="22">
        <f t="shared" si="18"/>
        <v>97.403235040312381</v>
      </c>
      <c r="BL17" s="22">
        <f t="shared" si="19"/>
        <v>87.117511752760507</v>
      </c>
      <c r="BM17" s="22">
        <f t="shared" si="20"/>
        <v>113.33996199739154</v>
      </c>
      <c r="BN17" s="22">
        <f t="shared" si="21"/>
        <v>143.48462664714495</v>
      </c>
      <c r="BO17">
        <f t="shared" si="22"/>
        <v>135.106215533962</v>
      </c>
    </row>
    <row r="18" spans="1:67" x14ac:dyDescent="0.25">
      <c r="A18" s="5" t="s">
        <v>323</v>
      </c>
      <c r="L18" s="1">
        <f t="shared" si="33"/>
        <v>40148</v>
      </c>
      <c r="M18" s="10">
        <f t="shared" si="0"/>
        <v>128178.50578184731</v>
      </c>
      <c r="N18" s="10">
        <f t="shared" si="23"/>
        <v>220881.69976730781</v>
      </c>
      <c r="O18" s="7">
        <f t="shared" si="24"/>
        <v>0.5803038726923937</v>
      </c>
      <c r="P18" s="7">
        <f t="shared" si="1"/>
        <v>0.84699133582998409</v>
      </c>
      <c r="Q18">
        <v>16</v>
      </c>
      <c r="R18">
        <f t="shared" si="2"/>
        <v>92</v>
      </c>
      <c r="S18" s="22"/>
      <c r="T18" s="22">
        <f>IF($B$10="3BR_H",
INDEX('3BR_H-processed'!$E:$E,MATCH($L18,'3BR_H-processed'!$B:$B,0),MATCH(Council_Area,'3BR_H-processed'!$E$1:$E$1,0)),
INDEX('2BR_F-processed'!$E:$E,MATCH($L18,'2BR_F-processed'!$B:$B,0),MATCH(Council_Area,'2BR_F-processed'!$E$1:$E$1,0)))</f>
        <v>498</v>
      </c>
      <c r="U18" s="22">
        <f t="shared" si="25"/>
        <v>475.53795379537945</v>
      </c>
      <c r="V18" s="22">
        <f t="shared" si="34"/>
        <v>6249.9273927392724</v>
      </c>
      <c r="W18" s="22">
        <f>$B$53/4*BH18/_xlfn.XLOOKUP(Q_end,cpi!A:A,cpi!B:B)</f>
        <v>130.61506565307533</v>
      </c>
      <c r="X18" s="22">
        <f t="shared" si="26"/>
        <v>6380.5424583923477</v>
      </c>
      <c r="Y18" s="22">
        <f t="shared" si="3"/>
        <v>1152.6425796103422</v>
      </c>
      <c r="Z18" s="22">
        <f t="shared" si="27"/>
        <v>0</v>
      </c>
      <c r="AA18" s="22" cm="1">
        <f t="array" ref="AA18">(Y18+Z18)*eff_invest</f>
        <v>1152.6425796103422</v>
      </c>
      <c r="AB18" s="22">
        <f>AA18*(_xlfn.XLOOKUP(Q_end,cpi!A:A,cpi!B:B)/BH18)</f>
        <v>1764.9458335409154</v>
      </c>
      <c r="AC18" s="22" cm="1">
        <f t="array" ref="AC18">INDEX('msci-indices'!C:C,MATCH($L18,'msci-indices'!$B:$B)-2)</f>
        <v>736.86332800000002</v>
      </c>
      <c r="AD18" s="22" cm="1">
        <f t="array" ref="AD18">INDEX('msci-indices'!D:D,MATCH($L18,'msci-indices'!$B:$B)-2)</f>
        <v>849.38296100000002</v>
      </c>
      <c r="AE18" s="22">
        <f t="shared" si="28"/>
        <v>123600.72156784552</v>
      </c>
      <c r="AF18" s="22" cm="1">
        <f t="array" ref="AF18">INDEX('msci-indices'!C:C,MATCH($L18,'msci-indices'!$B:$B)+1)</f>
        <v>765.74116200000003</v>
      </c>
      <c r="AG18" s="22" cm="1">
        <f t="array" ref="AG18">INDEX('msci-indices'!D:D,MATCH($L18,'msci-indices'!$B:$B)+1)</f>
        <v>878.343298</v>
      </c>
      <c r="AH18" s="22">
        <f t="shared" si="4"/>
        <v>77.250450979903448</v>
      </c>
      <c r="AI18" s="22">
        <f t="shared" si="5"/>
        <v>128178.50578184731</v>
      </c>
      <c r="AJ18" s="22">
        <f t="shared" si="29"/>
        <v>124245.03293054469</v>
      </c>
      <c r="AK18" s="22">
        <f t="shared" si="6"/>
        <v>3933.4728513026203</v>
      </c>
      <c r="AL18" s="22">
        <f>AJ18*(_xlfn.XLOOKUP(Q_end,cpi!A:A,cpi!B:B)/BH18)</f>
        <v>190246.09804285518</v>
      </c>
      <c r="AM18" s="22" cm="1">
        <f t="array" ref="AM18">SUMPRODUCT($AA$3:AA18,_xlfn.SORTBY($BH$3:BH18,_xlfn.SEQUENCE(ROWS($BH$3:BH18)),-1)/$BH$3)</f>
        <v>137079.28669288685</v>
      </c>
      <c r="AN18" s="22">
        <f t="shared" si="30"/>
        <v>-8900.7809110395319</v>
      </c>
      <c r="AO18" s="22">
        <f t="shared" si="7"/>
        <v>0</v>
      </c>
      <c r="AP18" s="22">
        <f t="shared" si="31"/>
        <v>128178.50578184731</v>
      </c>
      <c r="AQ18" s="22"/>
      <c r="AR18" s="10">
        <f>IF($B$10="3BR_H",
INDEX('ns-combined'!$C:$C,MATCH($L18,'ns-combined'!$B:$B,0),MATCH(Council_Area,'ns-combined'!$C$1:$C$1,0))*1000,
INDEX('s-combined'!$C:$C,MATCH($L18,'s-combined'!$B:$B,0),MATCH(Council_Area,'s-combined'!$C$1:$C$1,0))*1000)</f>
        <v>520000</v>
      </c>
      <c r="AS18" s="22">
        <f t="shared" si="35"/>
        <v>13660</v>
      </c>
      <c r="AT18" s="10">
        <v>0</v>
      </c>
      <c r="AU18" s="22">
        <f t="shared" si="8"/>
        <v>10400</v>
      </c>
      <c r="AV18" s="22">
        <f t="shared" si="9"/>
        <v>1495</v>
      </c>
      <c r="AW18" s="22">
        <f>SUM($AV$3:AV18)</f>
        <v>19208.737499999999</v>
      </c>
      <c r="AX18" s="22">
        <f t="shared" si="32"/>
        <v>476731.26250000001</v>
      </c>
      <c r="AY18" s="22">
        <f>$B$36*V18</f>
        <v>2187.4745874587456</v>
      </c>
      <c r="AZ18" s="24">
        <f t="shared" si="11"/>
        <v>1.6826727595836505E-2</v>
      </c>
      <c r="BA18" s="24">
        <f t="shared" si="12"/>
        <v>0.35000000000000003</v>
      </c>
      <c r="BB18" s="25">
        <f>IF(MortgageRate="Discounted",_xlfn.XLOOKUP(L18,'mortgage-rates'!$A:$A,'mortgage-rates'!$E:$E)/100,_xlfn.XLOOKUP(L18,'mortgage-rates'!$A:$A,'mortgage-rates'!$D:$D)/100)</f>
        <v>0.06</v>
      </c>
      <c r="BC18" s="10">
        <f t="shared" si="37"/>
        <v>255849.5627326922</v>
      </c>
      <c r="BD18" s="10">
        <f t="shared" si="13"/>
        <v>5345.7104505439438</v>
      </c>
      <c r="BE18" s="10">
        <f t="shared" si="14"/>
        <v>3837.7434409903826</v>
      </c>
      <c r="BF18" s="10">
        <f t="shared" si="36"/>
        <v>1507.9670095535612</v>
      </c>
      <c r="BG18" s="12">
        <f t="shared" si="15"/>
        <v>7533.1850380026899</v>
      </c>
      <c r="BH18" s="22">
        <f>INDEX(cpi!B:B,MATCH($L18,cpi!A:A))</f>
        <v>94.5</v>
      </c>
      <c r="BI18" s="22">
        <f t="shared" si="16"/>
        <v>111.70212765957447</v>
      </c>
      <c r="BJ18" s="22">
        <f t="shared" si="17"/>
        <v>97.613356787298372</v>
      </c>
      <c r="BK18" s="22">
        <f t="shared" si="18"/>
        <v>119.1353557212046</v>
      </c>
      <c r="BL18" s="22">
        <f t="shared" si="19"/>
        <v>104.06995646747023</v>
      </c>
      <c r="BM18" s="22">
        <f t="shared" si="20"/>
        <v>136.42420556541293</v>
      </c>
      <c r="BN18" s="22">
        <f t="shared" si="21"/>
        <v>152.26939970717424</v>
      </c>
      <c r="BO18">
        <f t="shared" si="22"/>
        <v>143.23375492056769</v>
      </c>
    </row>
    <row r="19" spans="1:67" x14ac:dyDescent="0.25">
      <c r="A19" t="s">
        <v>324</v>
      </c>
      <c r="B19" t="s">
        <v>329</v>
      </c>
      <c r="C19" t="s">
        <v>329</v>
      </c>
      <c r="L19" s="1">
        <f>DATE(YEAR(L18),MONTH(L18)+3,1)</f>
        <v>40238</v>
      </c>
      <c r="M19" s="10">
        <f t="shared" si="0"/>
        <v>133353.01901216581</v>
      </c>
      <c r="N19" s="10">
        <f t="shared" si="23"/>
        <v>228835.04177686138</v>
      </c>
      <c r="O19" s="7">
        <f t="shared" si="24"/>
        <v>0.58274737110498687</v>
      </c>
      <c r="P19" s="7">
        <f t="shared" si="1"/>
        <v>0.84872785888483815</v>
      </c>
      <c r="Q19">
        <v>17</v>
      </c>
      <c r="R19">
        <f t="shared" si="2"/>
        <v>90</v>
      </c>
      <c r="S19" s="22"/>
      <c r="T19" s="22">
        <f>IF($B$10="3BR_H",
INDEX('3BR_H-processed'!$E:$E,MATCH($L19,'3BR_H-processed'!$B:$B,0),MATCH(Council_Area,'3BR_H-processed'!$E$1:$E$1,0)),
INDEX('2BR_F-processed'!$E:$E,MATCH($L19,'2BR_F-processed'!$B:$B,0),MATCH(Council_Area,'2BR_F-processed'!$E$1:$E$1,0)))</f>
        <v>498</v>
      </c>
      <c r="U19" s="22">
        <f t="shared" si="25"/>
        <v>498</v>
      </c>
      <c r="V19" s="22">
        <f t="shared" si="34"/>
        <v>6402.8571428571431</v>
      </c>
      <c r="W19" s="22">
        <f>$B$53/4*BH19/_xlfn.XLOOKUP(Q_end,cpi!A:A,cpi!B:B)</f>
        <v>131.58258465791295</v>
      </c>
      <c r="X19" s="22">
        <f t="shared" si="26"/>
        <v>6534.4397275150559</v>
      </c>
      <c r="Y19" s="22">
        <f t="shared" si="3"/>
        <v>1164.6591757550659</v>
      </c>
      <c r="Z19" s="22">
        <f t="shared" si="27"/>
        <v>0</v>
      </c>
      <c r="AA19" s="22" cm="1">
        <f t="array" ref="AA19">(Y19+Z19)*eff_invest</f>
        <v>1164.6591757550659</v>
      </c>
      <c r="AB19" s="22">
        <f>AA19*(_xlfn.XLOOKUP(Q_end,cpi!A:A,cpi!B:B)/BH19)</f>
        <v>1770.2330118882146</v>
      </c>
      <c r="AC19" s="22" cm="1">
        <f t="array" ref="AC19">INDEX('msci-indices'!C:C,MATCH($L19,'msci-indices'!$B:$B)-2)</f>
        <v>765.74116200000003</v>
      </c>
      <c r="AD19" s="22" cm="1">
        <f t="array" ref="AD19">INDEX('msci-indices'!D:D,MATCH($L19,'msci-indices'!$B:$B)-2)</f>
        <v>878.343298</v>
      </c>
      <c r="AE19" s="22">
        <f t="shared" si="28"/>
        <v>129343.16495760238</v>
      </c>
      <c r="AF19" s="22" cm="1">
        <f t="array" ref="AF19">INDEX('msci-indices'!C:C,MATCH($L19,'msci-indices'!$B:$B)+1)</f>
        <v>794.63717599999995</v>
      </c>
      <c r="AG19" s="22" cm="1">
        <f t="array" ref="AG19">INDEX('msci-indices'!D:D,MATCH($L19,'msci-indices'!$B:$B)+1)</f>
        <v>893.60148100000004</v>
      </c>
      <c r="AH19" s="22">
        <f t="shared" si="4"/>
        <v>80.839478098501488</v>
      </c>
      <c r="AI19" s="22">
        <f t="shared" si="5"/>
        <v>133353.01901216581</v>
      </c>
      <c r="AJ19" s="22">
        <f t="shared" si="29"/>
        <v>125409.69210629976</v>
      </c>
      <c r="AK19" s="22">
        <f t="shared" si="6"/>
        <v>7943.3269058660517</v>
      </c>
      <c r="AL19" s="22">
        <f>AJ19*(_xlfn.XLOOKUP(Q_end,cpi!A:A,cpi!B:B)/BH19)</f>
        <v>190617.46268678125</v>
      </c>
      <c r="AM19" s="22" cm="1">
        <f t="array" ref="AM19">SUMPRODUCT($AA$3:AA19,_xlfn.SORTBY($BH$3:BH19,_xlfn.SEQUENCE(ROWS($BH$3:BH19)),-1)/$BH$3)</f>
        <v>139272.22953875631</v>
      </c>
      <c r="AN19" s="22">
        <f t="shared" si="30"/>
        <v>-5919.2105265904975</v>
      </c>
      <c r="AO19" s="22">
        <f t="shared" si="7"/>
        <v>0</v>
      </c>
      <c r="AP19" s="22">
        <f t="shared" si="31"/>
        <v>133353.01901216581</v>
      </c>
      <c r="AQ19" s="22"/>
      <c r="AR19" s="10">
        <f>IF($B$10="3BR_H",
INDEX('ns-combined'!$C:$C,MATCH($L19,'ns-combined'!$B:$B,0),MATCH(Council_Area,'ns-combined'!$C$1:$C$1,0))*1000,
INDEX('s-combined'!$C:$C,MATCH($L19,'s-combined'!$B:$B,0),MATCH(Council_Area,'s-combined'!$C$1:$C$1,0))*1000)</f>
        <v>529000</v>
      </c>
      <c r="AS19" s="22">
        <f t="shared" si="35"/>
        <v>14513.75</v>
      </c>
      <c r="AT19" s="10">
        <v>0</v>
      </c>
      <c r="AU19" s="22">
        <f t="shared" si="8"/>
        <v>10580</v>
      </c>
      <c r="AV19" s="22">
        <f t="shared" si="9"/>
        <v>1520.875</v>
      </c>
      <c r="AW19" s="22">
        <f>SUM($AV$3:AV19)</f>
        <v>20729.612499999999</v>
      </c>
      <c r="AX19" s="22">
        <f t="shared" si="32"/>
        <v>483176.63750000001</v>
      </c>
      <c r="AY19" s="22">
        <f t="shared" si="10"/>
        <v>2241.0000000000005</v>
      </c>
      <c r="AZ19" s="24">
        <f t="shared" si="11"/>
        <v>1.6945179584120985E-2</v>
      </c>
      <c r="BA19" s="24">
        <f t="shared" si="12"/>
        <v>0.35000000000000003</v>
      </c>
      <c r="BB19" s="25">
        <f>IF(MortgageRate="Discounted",_xlfn.XLOOKUP(L19,'mortgage-rates'!$A:$A,'mortgage-rates'!$E:$E)/100,_xlfn.XLOOKUP(L19,'mortgage-rates'!$A:$A,'mortgage-rates'!$D:$D)/100)</f>
        <v>6.25E-2</v>
      </c>
      <c r="BC19" s="10">
        <f t="shared" si="37"/>
        <v>254341.59572313863</v>
      </c>
      <c r="BD19" s="10">
        <f t="shared" si="13"/>
        <v>5458.0989032701209</v>
      </c>
      <c r="BE19" s="10">
        <f t="shared" si="14"/>
        <v>3974.0874331740411</v>
      </c>
      <c r="BF19" s="10">
        <f t="shared" si="36"/>
        <v>1484.0114700960798</v>
      </c>
      <c r="BG19" s="12">
        <f t="shared" si="15"/>
        <v>7699.0989032701218</v>
      </c>
      <c r="BH19" s="22">
        <f>INDEX(cpi!B:B,MATCH($L19,cpi!A:A))</f>
        <v>95.2</v>
      </c>
      <c r="BI19" s="22">
        <f t="shared" si="16"/>
        <v>112.52955082742318</v>
      </c>
      <c r="BJ19" s="22">
        <f t="shared" si="17"/>
        <v>101.43884545849789</v>
      </c>
      <c r="BK19" s="22">
        <f t="shared" si="18"/>
        <v>123.19736332992677</v>
      </c>
      <c r="BL19" s="22">
        <f t="shared" si="19"/>
        <v>107.96640081992655</v>
      </c>
      <c r="BM19" s="22">
        <f t="shared" si="20"/>
        <v>142.76242323529857</v>
      </c>
      <c r="BN19" s="22">
        <f t="shared" si="21"/>
        <v>154.90483162518302</v>
      </c>
      <c r="BO19">
        <f t="shared" si="22"/>
        <v>145.17026577215285</v>
      </c>
    </row>
    <row r="20" spans="1:67" x14ac:dyDescent="0.25">
      <c r="A20" t="s">
        <v>335</v>
      </c>
      <c r="B20" s="8">
        <v>0.2</v>
      </c>
      <c r="C20" s="8">
        <v>0.2</v>
      </c>
      <c r="L20" s="1">
        <f t="shared" si="33"/>
        <v>40330</v>
      </c>
      <c r="M20" s="10">
        <f t="shared" si="0"/>
        <v>118099.24002714353</v>
      </c>
      <c r="N20" s="10">
        <f t="shared" si="23"/>
        <v>228921.55324695745</v>
      </c>
      <c r="O20" s="7">
        <f t="shared" si="24"/>
        <v>0.51589393113954496</v>
      </c>
      <c r="P20" s="7">
        <f t="shared" si="1"/>
        <v>0.83097511473461338</v>
      </c>
      <c r="Q20">
        <v>18</v>
      </c>
      <c r="R20">
        <f t="shared" si="2"/>
        <v>91</v>
      </c>
      <c r="S20" s="22"/>
      <c r="T20" s="22">
        <f>IF($B$10="3BR_H",
INDEX('3BR_H-processed'!$E:$E,MATCH($L20,'3BR_H-processed'!$B:$B,0),MATCH(Council_Area,'3BR_H-processed'!$E$1:$E$1,0)),
INDEX('2BR_F-processed'!$E:$E,MATCH($L20,'2BR_F-processed'!$B:$B,0),MATCH(Council_Area,'2BR_F-processed'!$E$1:$E$1,0)))</f>
        <v>498</v>
      </c>
      <c r="U20" s="22">
        <f t="shared" si="25"/>
        <v>498</v>
      </c>
      <c r="V20" s="22">
        <f t="shared" si="34"/>
        <v>6474</v>
      </c>
      <c r="W20" s="22">
        <f>$B$53/4*BH20/_xlfn.XLOOKUP(Q_end,cpi!A:A,cpi!B:B)</f>
        <v>132.41188666205943</v>
      </c>
      <c r="X20" s="22">
        <f t="shared" si="26"/>
        <v>6606.4118866620593</v>
      </c>
      <c r="Y20" s="22">
        <f t="shared" si="3"/>
        <v>1343.7803267015552</v>
      </c>
      <c r="Z20" s="22">
        <f t="shared" si="27"/>
        <v>0</v>
      </c>
      <c r="AA20" s="22" cm="1">
        <f t="array" ref="AA20">(Y20+Z20)*eff_invest</f>
        <v>1343.7803267015552</v>
      </c>
      <c r="AB20" s="22">
        <f>AA20*(_xlfn.XLOOKUP(Q_end,cpi!A:A,cpi!B:B)/BH20)</f>
        <v>2029.6974245690503</v>
      </c>
      <c r="AC20" s="22" cm="1">
        <f t="array" ref="AC20">INDEX('msci-indices'!C:C,MATCH($L20,'msci-indices'!$B:$B)-2)</f>
        <v>794.63717599999995</v>
      </c>
      <c r="AD20" s="22" cm="1">
        <f t="array" ref="AD20">INDEX('msci-indices'!D:D,MATCH($L20,'msci-indices'!$B:$B)-2)</f>
        <v>893.60148100000004</v>
      </c>
      <c r="AE20" s="22">
        <f t="shared" si="28"/>
        <v>134696.79933886736</v>
      </c>
      <c r="AF20" s="22" cm="1">
        <f t="array" ref="AF20">INDEX('msci-indices'!C:C,MATCH($L20,'msci-indices'!$B:$B)+1)</f>
        <v>696.18017999999995</v>
      </c>
      <c r="AG20" s="22" cm="1">
        <f t="array" ref="AG20">INDEX('msci-indices'!D:D,MATCH($L20,'msci-indices'!$B:$B)+1)</f>
        <v>786.77036999999996</v>
      </c>
      <c r="AH20" s="22">
        <f t="shared" si="4"/>
        <v>84.185499586792105</v>
      </c>
      <c r="AI20" s="22">
        <f t="shared" si="5"/>
        <v>118099.24002714353</v>
      </c>
      <c r="AJ20" s="22">
        <f t="shared" si="29"/>
        <v>126753.47243300131</v>
      </c>
      <c r="AK20" s="22">
        <f t="shared" si="6"/>
        <v>-8654.2324058577797</v>
      </c>
      <c r="AL20" s="22">
        <f>AJ20*(_xlfn.XLOOKUP(Q_end,cpi!A:A,cpi!B:B)/BH20)</f>
        <v>191453.31378972117</v>
      </c>
      <c r="AM20" s="22" cm="1">
        <f t="array" ref="AM20">SUMPRODUCT($AA$3:AA20,_xlfn.SORTBY($BH$3:BH20,_xlfn.SEQUENCE(ROWS($BH$3:BH20)),-1)/$BH$3)</f>
        <v>141549.58035638349</v>
      </c>
      <c r="AN20" s="22">
        <f t="shared" si="30"/>
        <v>-23450.34032923996</v>
      </c>
      <c r="AO20" s="22">
        <f t="shared" si="7"/>
        <v>0</v>
      </c>
      <c r="AP20" s="22">
        <f t="shared" si="31"/>
        <v>118099.24002714353</v>
      </c>
      <c r="AQ20" s="22"/>
      <c r="AR20" s="10">
        <f>IF($B$10="3BR_H",
INDEX('ns-combined'!$C:$C,MATCH($L20,'ns-combined'!$B:$B,0),MATCH(Council_Area,'ns-combined'!$C$1:$C$1,0))*1000,
INDEX('s-combined'!$C:$C,MATCH($L20,'s-combined'!$B:$B,0),MATCH(Council_Area,'s-combined'!$C$1:$C$1,0))*1000)</f>
        <v>530000</v>
      </c>
      <c r="AS20" s="22">
        <f t="shared" si="35"/>
        <v>15367.5</v>
      </c>
      <c r="AT20" s="10">
        <v>0</v>
      </c>
      <c r="AU20" s="22">
        <f t="shared" si="8"/>
        <v>10600</v>
      </c>
      <c r="AV20" s="22">
        <f t="shared" si="9"/>
        <v>1523.75</v>
      </c>
      <c r="AW20" s="22">
        <f>SUM($AV$3:AV20)</f>
        <v>22253.362499999999</v>
      </c>
      <c r="AX20" s="22">
        <f t="shared" si="32"/>
        <v>481779.13750000001</v>
      </c>
      <c r="AY20" s="22">
        <f t="shared" si="10"/>
        <v>2265.9</v>
      </c>
      <c r="AZ20" s="24">
        <f t="shared" si="11"/>
        <v>1.71011320754717E-2</v>
      </c>
      <c r="BA20" s="24">
        <f t="shared" si="12"/>
        <v>0.35000000000000003</v>
      </c>
      <c r="BB20" s="25">
        <f>IF(MortgageRate="Discounted",_xlfn.XLOOKUP(L20,'mortgage-rates'!$A:$A,'mortgage-rates'!$E:$E)/100,_xlfn.XLOOKUP(L20,'mortgage-rates'!$A:$A,'mortgage-rates'!$D:$D)/100)</f>
        <v>6.7500000000000004E-2</v>
      </c>
      <c r="BC20" s="10">
        <f t="shared" si="37"/>
        <v>252857.58425304256</v>
      </c>
      <c r="BD20" s="10">
        <f t="shared" si="13"/>
        <v>5684.2922133636139</v>
      </c>
      <c r="BE20" s="10">
        <f t="shared" si="14"/>
        <v>4266.9717342700933</v>
      </c>
      <c r="BF20" s="10">
        <f t="shared" si="36"/>
        <v>1417.3204790935206</v>
      </c>
      <c r="BG20" s="12">
        <f t="shared" si="15"/>
        <v>7950.1922133636144</v>
      </c>
      <c r="BH20" s="22">
        <f>INDEX(cpi!B:B,MATCH($L20,cpi!A:A))</f>
        <v>95.8</v>
      </c>
      <c r="BI20" s="22">
        <f t="shared" si="16"/>
        <v>113.2387706855792</v>
      </c>
      <c r="BJ20" s="22">
        <f t="shared" si="17"/>
        <v>105.26674246073921</v>
      </c>
      <c r="BK20" s="22">
        <f t="shared" si="18"/>
        <v>125.3374922739123</v>
      </c>
      <c r="BL20" s="22">
        <f t="shared" si="19"/>
        <v>111.28796740469113</v>
      </c>
      <c r="BM20" s="22">
        <f t="shared" si="20"/>
        <v>148.67149324789438</v>
      </c>
      <c r="BN20" s="22">
        <f t="shared" si="21"/>
        <v>155.19765739385065</v>
      </c>
      <c r="BO20">
        <f t="shared" si="22"/>
        <v>144.75038734535997</v>
      </c>
    </row>
    <row r="21" spans="1:67" x14ac:dyDescent="0.25">
      <c r="A21" t="s">
        <v>334</v>
      </c>
      <c r="B21" s="4">
        <v>0</v>
      </c>
      <c r="C21" s="4">
        <v>0</v>
      </c>
      <c r="L21" s="1">
        <f t="shared" si="33"/>
        <v>40422</v>
      </c>
      <c r="M21" s="10">
        <f t="shared" si="0"/>
        <v>134077.60448484131</v>
      </c>
      <c r="N21" s="10">
        <f t="shared" si="23"/>
        <v>232846.99872605098</v>
      </c>
      <c r="O21" s="7">
        <f t="shared" si="24"/>
        <v>0.57581847830723476</v>
      </c>
      <c r="P21" s="7">
        <f t="shared" si="1"/>
        <v>0.83740524462128507</v>
      </c>
      <c r="Q21">
        <v>19</v>
      </c>
      <c r="R21">
        <f t="shared" si="2"/>
        <v>92</v>
      </c>
      <c r="S21" s="22"/>
      <c r="T21" s="22">
        <f>IF($B$10="3BR_H",
INDEX('3BR_H-processed'!$E:$E,MATCH($L21,'3BR_H-processed'!$B:$B,0),MATCH(Council_Area,'3BR_H-processed'!$E$1:$E$1,0)),
INDEX('2BR_F-processed'!$E:$E,MATCH($L21,'2BR_F-processed'!$B:$B,0),MATCH(Council_Area,'2BR_F-processed'!$E$1:$E$1,0)))</f>
        <v>518.17421602787454</v>
      </c>
      <c r="U21" s="22">
        <f t="shared" si="25"/>
        <v>498</v>
      </c>
      <c r="V21" s="22">
        <f t="shared" si="34"/>
        <v>6545.1428571428569</v>
      </c>
      <c r="W21" s="22">
        <f>$B$53/4*BH21/_xlfn.XLOOKUP(Q_end,cpi!A:A,cpi!B:B)</f>
        <v>133.24118866620594</v>
      </c>
      <c r="X21" s="22">
        <f t="shared" si="26"/>
        <v>6678.3840458090626</v>
      </c>
      <c r="Y21" s="22">
        <f t="shared" si="3"/>
        <v>1296.7081675545514</v>
      </c>
      <c r="Z21" s="22">
        <f t="shared" si="27"/>
        <v>0</v>
      </c>
      <c r="AA21" s="22" cm="1">
        <f t="array" ref="AA21">(Y21+Z21)*eff_invest</f>
        <v>1296.7081675545514</v>
      </c>
      <c r="AB21" s="22">
        <f>AA21*(_xlfn.XLOOKUP(Q_end,cpi!A:A,cpi!B:B)/BH21)</f>
        <v>1946.4073842857217</v>
      </c>
      <c r="AC21" s="22" cm="1">
        <f t="array" ref="AC21">INDEX('msci-indices'!C:C,MATCH($L21,'msci-indices'!$B:$B)-2)</f>
        <v>696.18017999999995</v>
      </c>
      <c r="AD21" s="22" cm="1">
        <f t="array" ref="AD21">INDEX('msci-indices'!D:D,MATCH($L21,'msci-indices'!$B:$B)-2)</f>
        <v>786.77036999999996</v>
      </c>
      <c r="AE21" s="22">
        <f t="shared" si="28"/>
        <v>119395.94819469808</v>
      </c>
      <c r="AF21" s="22" cm="1">
        <f t="array" ref="AF21">INDEX('msci-indices'!C:C,MATCH($L21,'msci-indices'!$B:$B)+1)</f>
        <v>792.86985700000002</v>
      </c>
      <c r="AG21" s="22" cm="1">
        <f t="array" ref="AG21">INDEX('msci-indices'!D:D,MATCH($L21,'msci-indices'!$B:$B)+1)</f>
        <v>855.92990299999997</v>
      </c>
      <c r="AH21" s="22">
        <f t="shared" si="4"/>
        <v>74.622467621686297</v>
      </c>
      <c r="AI21" s="22">
        <f t="shared" si="5"/>
        <v>134077.60448484131</v>
      </c>
      <c r="AJ21" s="22">
        <f t="shared" si="29"/>
        <v>128050.18060055586</v>
      </c>
      <c r="AK21" s="22">
        <f t="shared" si="6"/>
        <v>6027.4238842854538</v>
      </c>
      <c r="AL21" s="22">
        <f>AJ21*(_xlfn.XLOOKUP(Q_end,cpi!A:A,cpi!B:B)/BH21)</f>
        <v>192208.10303838621</v>
      </c>
      <c r="AM21" s="22" cm="1">
        <f t="array" ref="AM21">SUMPRODUCT($AA$3:AA21,_xlfn.SORTBY($BH$3:BH21,_xlfn.SEQUENCE(ROWS($BH$3:BH21)),-1)/$BH$3)</f>
        <v>143782.40609152408</v>
      </c>
      <c r="AN21" s="22">
        <f t="shared" si="30"/>
        <v>-9704.8016066827695</v>
      </c>
      <c r="AO21" s="22">
        <f t="shared" si="7"/>
        <v>0</v>
      </c>
      <c r="AP21" s="22">
        <f t="shared" si="31"/>
        <v>134077.60448484131</v>
      </c>
      <c r="AQ21" s="22"/>
      <c r="AR21" s="10">
        <f>IF($B$10="3BR_H",
INDEX('ns-combined'!$C:$C,MATCH($L21,'ns-combined'!$B:$B,0),MATCH(Council_Area,'ns-combined'!$C$1:$C$1,0))*1000,
INDEX('s-combined'!$C:$C,MATCH($L21,'s-combined'!$B:$B,0),MATCH(Council_Area,'s-combined'!$C$1:$C$1,0))*1000)</f>
        <v>535000</v>
      </c>
      <c r="AS21" s="22">
        <f t="shared" si="35"/>
        <v>16221.25</v>
      </c>
      <c r="AT21" s="10">
        <v>0</v>
      </c>
      <c r="AU21" s="22">
        <f t="shared" si="8"/>
        <v>10700</v>
      </c>
      <c r="AV21" s="22">
        <f t="shared" si="9"/>
        <v>1538.125</v>
      </c>
      <c r="AW21" s="22">
        <f>SUM($AV$3:AV21)</f>
        <v>23791.487499999999</v>
      </c>
      <c r="AX21" s="22">
        <f t="shared" si="32"/>
        <v>484287.26250000001</v>
      </c>
      <c r="AY21" s="22">
        <f t="shared" si="10"/>
        <v>2290.8000000000002</v>
      </c>
      <c r="AZ21" s="24">
        <f t="shared" si="11"/>
        <v>1.7127476635514019E-2</v>
      </c>
      <c r="BA21" s="24">
        <f t="shared" si="12"/>
        <v>0.35000000000000003</v>
      </c>
      <c r="BB21" s="25">
        <f>IF(MortgageRate="Discounted",_xlfn.XLOOKUP(L21,'mortgage-rates'!$A:$A,'mortgage-rates'!$E:$E)/100,_xlfn.XLOOKUP(L21,'mortgage-rates'!$A:$A,'mortgage-rates'!$D:$D)/100)</f>
        <v>6.7500000000000004E-2</v>
      </c>
      <c r="BC21" s="10">
        <f t="shared" si="37"/>
        <v>251440.26377394903</v>
      </c>
      <c r="BD21" s="10">
        <f t="shared" si="13"/>
        <v>5684.2922133636139</v>
      </c>
      <c r="BE21" s="10">
        <f t="shared" si="14"/>
        <v>4243.0544511853905</v>
      </c>
      <c r="BF21" s="10">
        <f t="shared" si="36"/>
        <v>1441.2377621782234</v>
      </c>
      <c r="BG21" s="12">
        <f t="shared" si="15"/>
        <v>7975.0922133636141</v>
      </c>
      <c r="BH21" s="22">
        <f>INDEX(cpi!B:B,MATCH($L21,cpi!A:A))</f>
        <v>96.4</v>
      </c>
      <c r="BI21" s="22">
        <f t="shared" si="16"/>
        <v>113.94799054373523</v>
      </c>
      <c r="BJ21" s="22">
        <f t="shared" si="17"/>
        <v>92.224001000339641</v>
      </c>
      <c r="BK21" s="22">
        <f t="shared" si="18"/>
        <v>110.35324724491825</v>
      </c>
      <c r="BL21" s="22">
        <f t="shared" si="19"/>
        <v>97.662774873713232</v>
      </c>
      <c r="BM21" s="22">
        <f t="shared" si="20"/>
        <v>131.78319004594147</v>
      </c>
      <c r="BN21" s="22">
        <f t="shared" si="21"/>
        <v>156.66178623718886</v>
      </c>
      <c r="BO21">
        <f t="shared" si="22"/>
        <v>145.50395269720249</v>
      </c>
    </row>
    <row r="22" spans="1:67" x14ac:dyDescent="0.25">
      <c r="L22" s="1">
        <f t="shared" si="33"/>
        <v>40513</v>
      </c>
      <c r="M22" s="10">
        <f t="shared" si="0"/>
        <v>146475.63522219111</v>
      </c>
      <c r="N22" s="10">
        <f t="shared" si="23"/>
        <v>241667.61148822922</v>
      </c>
      <c r="O22" s="7">
        <f t="shared" si="24"/>
        <v>0.60610370715450801</v>
      </c>
      <c r="P22" s="7">
        <f t="shared" si="1"/>
        <v>0.81893174378755385</v>
      </c>
      <c r="Q22">
        <v>20</v>
      </c>
      <c r="R22">
        <f t="shared" si="2"/>
        <v>92</v>
      </c>
      <c r="S22" s="22"/>
      <c r="T22" s="22">
        <f>IF($B$10="3BR_H",
INDEX('3BR_H-processed'!$E:$E,MATCH($L22,'3BR_H-processed'!$B:$B,0),MATCH(Council_Area,'3BR_H-processed'!$E$1:$E$1,0)),
INDEX('2BR_F-processed'!$E:$E,MATCH($L22,'2BR_F-processed'!$B:$B,0),MATCH(Council_Area,'2BR_F-processed'!$E$1:$E$1,0)))</f>
        <v>521.90592334494772</v>
      </c>
      <c r="U22" s="22">
        <f t="shared" si="25"/>
        <v>498</v>
      </c>
      <c r="V22" s="22">
        <f t="shared" si="34"/>
        <v>6545.1428571428569</v>
      </c>
      <c r="W22" s="22">
        <f>$B$53/4*BH22/_xlfn.XLOOKUP(Q_end,cpi!A:A,cpi!B:B)</f>
        <v>134.07049067035246</v>
      </c>
      <c r="X22" s="22">
        <f t="shared" si="26"/>
        <v>6679.2133478132091</v>
      </c>
      <c r="Y22" s="22">
        <f t="shared" si="3"/>
        <v>1476.7940343428327</v>
      </c>
      <c r="Z22" s="22">
        <f t="shared" si="27"/>
        <v>0</v>
      </c>
      <c r="AA22" s="22" cm="1">
        <f t="array" ref="AA22">(Y22+Z22)*eff_invest</f>
        <v>1476.7940343428327</v>
      </c>
      <c r="AB22" s="22">
        <f>AA22*(_xlfn.XLOOKUP(Q_end,cpi!A:A,cpi!B:B)/BH22)</f>
        <v>2203.0113069011118</v>
      </c>
      <c r="AC22" s="22" cm="1">
        <f t="array" ref="AC22">INDEX('msci-indices'!C:C,MATCH($L22,'msci-indices'!$B:$B)-2)</f>
        <v>792.86985700000002</v>
      </c>
      <c r="AD22" s="22" cm="1">
        <f t="array" ref="AD22">INDEX('msci-indices'!D:D,MATCH($L22,'msci-indices'!$B:$B)-2)</f>
        <v>855.92990299999997</v>
      </c>
      <c r="AE22" s="22">
        <f t="shared" si="28"/>
        <v>135554.39851918415</v>
      </c>
      <c r="AF22" s="22" cm="1">
        <f t="array" ref="AF22">INDEX('msci-indices'!C:C,MATCH($L22,'msci-indices'!$B:$B)+1)</f>
        <v>869.423677</v>
      </c>
      <c r="AG22" s="22" cm="1">
        <f t="array" ref="AG22">INDEX('msci-indices'!D:D,MATCH($L22,'msci-indices'!$B:$B)+1)</f>
        <v>894.74693600000001</v>
      </c>
      <c r="AH22" s="22">
        <f t="shared" si="4"/>
        <v>84.721499074490097</v>
      </c>
      <c r="AI22" s="22">
        <f t="shared" si="5"/>
        <v>146475.63522219111</v>
      </c>
      <c r="AJ22" s="22">
        <f t="shared" si="29"/>
        <v>129526.9746348987</v>
      </c>
      <c r="AK22" s="22">
        <f t="shared" si="6"/>
        <v>16948.660587292412</v>
      </c>
      <c r="AL22" s="22">
        <f>AJ22*(_xlfn.XLOOKUP(Q_end,cpi!A:A,cpi!B:B)/BH22)</f>
        <v>193222.19824401895</v>
      </c>
      <c r="AM22" s="22" cm="1">
        <f t="array" ref="AM22">SUMPRODUCT($AA$3:AA22,_xlfn.SORTBY($BH$3:BH22,_xlfn.SEQUENCE(ROWS($BH$3:BH22)),-1)/$BH$3)</f>
        <v>146184.50722670401</v>
      </c>
      <c r="AN22" s="22">
        <f t="shared" si="30"/>
        <v>291.12799548709881</v>
      </c>
      <c r="AO22" s="22">
        <f t="shared" si="7"/>
        <v>0</v>
      </c>
      <c r="AP22" s="22">
        <f t="shared" si="31"/>
        <v>146475.63522219111</v>
      </c>
      <c r="AQ22" s="22"/>
      <c r="AR22" s="10">
        <f>IF($B$10="3BR_H",
INDEX('ns-combined'!$C:$C,MATCH($L22,'ns-combined'!$B:$B,0),MATCH(Council_Area,'ns-combined'!$C$1:$C$1,0))*1000,
INDEX('s-combined'!$C:$C,MATCH($L22,'s-combined'!$B:$B,0),MATCH(Council_Area,'s-combined'!$C$1:$C$1,0))*1000)</f>
        <v>545000</v>
      </c>
      <c r="AS22" s="22">
        <f t="shared" si="35"/>
        <v>17075</v>
      </c>
      <c r="AT22" s="10">
        <v>0</v>
      </c>
      <c r="AU22" s="22">
        <f t="shared" si="8"/>
        <v>10900</v>
      </c>
      <c r="AV22" s="22">
        <f t="shared" si="9"/>
        <v>1566.875</v>
      </c>
      <c r="AW22" s="22">
        <f>SUM($AV$3:AV22)</f>
        <v>25358.362499999999</v>
      </c>
      <c r="AX22" s="22">
        <f t="shared" si="32"/>
        <v>491666.63750000001</v>
      </c>
      <c r="AY22" s="22">
        <f t="shared" si="10"/>
        <v>2290.8000000000002</v>
      </c>
      <c r="AZ22" s="24">
        <f t="shared" si="11"/>
        <v>1.6813211009174312E-2</v>
      </c>
      <c r="BA22" s="24">
        <f t="shared" si="12"/>
        <v>0.35000000000000003</v>
      </c>
      <c r="BB22" s="25">
        <f>IF(MortgageRate="Discounted",_xlfn.XLOOKUP(L22,'mortgage-rates'!$A:$A,'mortgage-rates'!$E:$E)/100,_xlfn.XLOOKUP(L22,'mortgage-rates'!$A:$A,'mortgage-rates'!$D:$D)/100)</f>
        <v>7.1500000000000008E-2</v>
      </c>
      <c r="BC22" s="10">
        <f t="shared" si="37"/>
        <v>249999.02601177079</v>
      </c>
      <c r="BD22" s="10">
        <f t="shared" si="13"/>
        <v>5865.2073821560416</v>
      </c>
      <c r="BE22" s="10">
        <f t="shared" si="14"/>
        <v>4468.7325899604039</v>
      </c>
      <c r="BF22" s="10">
        <f t="shared" si="36"/>
        <v>1396.4747921956377</v>
      </c>
      <c r="BG22" s="12">
        <f>AT22+AY22+BD22</f>
        <v>8156.0073821560418</v>
      </c>
      <c r="BH22" s="22">
        <f>INDEX(cpi!B:B,MATCH($L22,cpi!A:A))</f>
        <v>97</v>
      </c>
      <c r="BI22" s="22">
        <f t="shared" si="16"/>
        <v>114.65721040189126</v>
      </c>
      <c r="BJ22" s="22">
        <f t="shared" si="17"/>
        <v>105.03262314234105</v>
      </c>
      <c r="BK22" s="22">
        <f t="shared" si="18"/>
        <v>120.0536367556367</v>
      </c>
      <c r="BL22" s="22">
        <f t="shared" si="19"/>
        <v>109.53892722632975</v>
      </c>
      <c r="BM22" s="22">
        <f t="shared" si="20"/>
        <v>149.6180677127048</v>
      </c>
      <c r="BN22" s="22">
        <f t="shared" si="21"/>
        <v>159.5900439238653</v>
      </c>
      <c r="BO22">
        <f t="shared" si="22"/>
        <v>147.72108354923461</v>
      </c>
    </row>
    <row r="23" spans="1:67" x14ac:dyDescent="0.25">
      <c r="A23" s="5" t="s">
        <v>339</v>
      </c>
      <c r="L23" s="1">
        <f t="shared" si="33"/>
        <v>40603</v>
      </c>
      <c r="M23" s="10">
        <f t="shared" si="0"/>
        <v>154350.91871724316</v>
      </c>
      <c r="N23" s="10">
        <f t="shared" si="23"/>
        <v>206444.08628042485</v>
      </c>
      <c r="O23" s="7">
        <f t="shared" si="24"/>
        <v>0.74766452020126872</v>
      </c>
      <c r="P23" s="7">
        <f t="shared" si="1"/>
        <v>0.83888495069433788</v>
      </c>
      <c r="Q23">
        <v>21</v>
      </c>
      <c r="R23">
        <f t="shared" si="2"/>
        <v>90</v>
      </c>
      <c r="S23" s="22"/>
      <c r="T23" s="22">
        <f>IF($B$10="3BR_H",
INDEX('3BR_H-processed'!$E:$E,MATCH($L23,'3BR_H-processed'!$B:$B,0),MATCH(Council_Area,'3BR_H-processed'!$E$1:$E$1,0)),
INDEX('2BR_F-processed'!$E:$E,MATCH($L23,'2BR_F-processed'!$B:$B,0),MATCH(Council_Area,'2BR_F-processed'!$E$1:$E$1,0)))</f>
        <v>525.10452961672479</v>
      </c>
      <c r="U23" s="22">
        <f t="shared" si="25"/>
        <v>525.10452961672479</v>
      </c>
      <c r="V23" s="22">
        <f t="shared" si="34"/>
        <v>6751.3439522150338</v>
      </c>
      <c r="W23" s="22">
        <f>$B$53/4*BH23/_xlfn.XLOOKUP(Q_end,cpi!A:A,cpi!B:B)</f>
        <v>136.00552868002765</v>
      </c>
      <c r="X23" s="22">
        <f t="shared" si="26"/>
        <v>6887.3494808950618</v>
      </c>
      <c r="Y23" s="22">
        <f t="shared" si="3"/>
        <v>1322.7745357468648</v>
      </c>
      <c r="Z23" s="22">
        <f t="shared" si="27"/>
        <v>0</v>
      </c>
      <c r="AA23" s="22" cm="1">
        <f t="array" ref="AA23">(Y23+Z23)*eff_invest</f>
        <v>1322.7745357468648</v>
      </c>
      <c r="AB23" s="22">
        <f>AA23*(_xlfn.XLOOKUP(Q_end,cpi!A:A,cpi!B:B)/BH23)</f>
        <v>1945.1775947415783</v>
      </c>
      <c r="AC23" s="22" cm="1">
        <f t="array" ref="AC23">INDEX('msci-indices'!C:C,MATCH($L23,'msci-indices'!$B:$B)-2)</f>
        <v>869.423677</v>
      </c>
      <c r="AD23" s="22" cm="1">
        <f t="array" ref="AD23">INDEX('msci-indices'!D:D,MATCH($L23,'msci-indices'!$B:$B)-2)</f>
        <v>894.74693600000001</v>
      </c>
      <c r="AE23" s="22">
        <f t="shared" si="28"/>
        <v>147798.40975793797</v>
      </c>
      <c r="AF23" s="22" cm="1">
        <f t="array" ref="AF23">INDEX('msci-indices'!C:C,MATCH($L23,'msci-indices'!$B:$B)+1)</f>
        <v>912.83803799999998</v>
      </c>
      <c r="AG23" s="22" cm="1">
        <f t="array" ref="AG23">INDEX('msci-indices'!D:D,MATCH($L23,'msci-indices'!$B:$B)+1)</f>
        <v>924.58628799999997</v>
      </c>
      <c r="AH23" s="22">
        <f t="shared" si="4"/>
        <v>92.374006098711234</v>
      </c>
      <c r="AI23" s="22">
        <f t="shared" si="5"/>
        <v>154350.91871724316</v>
      </c>
      <c r="AJ23" s="22">
        <f t="shared" si="29"/>
        <v>130849.74917064556</v>
      </c>
      <c r="AK23" s="22">
        <f t="shared" si="6"/>
        <v>23501.169546597594</v>
      </c>
      <c r="AL23" s="22">
        <f>AJ23*(_xlfn.XLOOKUP(Q_end,cpi!A:A,cpi!B:B)/BH23)</f>
        <v>192418.27952228059</v>
      </c>
      <c r="AM23" s="22" cm="1">
        <f t="array" ref="AM23">SUMPRODUCT($AA$3:AA23,_xlfn.SORTBY($BH$3:BH23,_xlfn.SEQUENCE(ROWS($BH$3:BH23)),-1)/$BH$3)</f>
        <v>149283.22768890357</v>
      </c>
      <c r="AN23" s="22">
        <f t="shared" si="30"/>
        <v>5067.6910283395846</v>
      </c>
      <c r="AO23" s="22">
        <f t="shared" si="7"/>
        <v>0</v>
      </c>
      <c r="AP23" s="22">
        <f t="shared" si="31"/>
        <v>154350.91871724316</v>
      </c>
      <c r="AQ23" s="22"/>
      <c r="AR23" s="10">
        <f>IF($B$10="3BR_H",
INDEX('ns-combined'!$C:$C,MATCH($L23,'ns-combined'!$B:$B,0),MATCH(Council_Area,'ns-combined'!$C$1:$C$1,0))*1000,
INDEX('s-combined'!$C:$C,MATCH($L23,'s-combined'!$B:$B,0),MATCH(Council_Area,'s-combined'!$C$1:$C$1,0))*1000)</f>
        <v>510000</v>
      </c>
      <c r="AS23" s="22">
        <f t="shared" si="35"/>
        <v>17928.75</v>
      </c>
      <c r="AT23" s="10">
        <v>0</v>
      </c>
      <c r="AU23" s="22">
        <f t="shared" si="8"/>
        <v>10200</v>
      </c>
      <c r="AV23" s="22">
        <f t="shared" si="9"/>
        <v>1466.25</v>
      </c>
      <c r="AW23" s="22">
        <f>SUM($AV$3:AV23)</f>
        <v>26824.612499999999</v>
      </c>
      <c r="AX23" s="22">
        <f t="shared" si="32"/>
        <v>455046.63750000001</v>
      </c>
      <c r="AY23" s="22">
        <f t="shared" si="10"/>
        <v>2362.9703832752621</v>
      </c>
      <c r="AZ23" s="24">
        <f t="shared" si="11"/>
        <v>1.8533101045296173E-2</v>
      </c>
      <c r="BA23" s="24">
        <f t="shared" si="12"/>
        <v>0.35000000000000003</v>
      </c>
      <c r="BB23" s="25">
        <f>IF(MortgageRate="Discounted",_xlfn.XLOOKUP(L23,'mortgage-rates'!$A:$A,'mortgage-rates'!$E:$E)/100,_xlfn.XLOOKUP(L23,'mortgage-rates'!$A:$A,'mortgage-rates'!$D:$D)/100)</f>
        <v>7.1099999999999997E-2</v>
      </c>
      <c r="BC23" s="10">
        <f t="shared" si="37"/>
        <v>248602.55121957517</v>
      </c>
      <c r="BD23" s="10">
        <f t="shared" si="13"/>
        <v>5847.1536333666636</v>
      </c>
      <c r="BE23" s="10">
        <f t="shared" si="14"/>
        <v>4418.9103479279484</v>
      </c>
      <c r="BF23" s="10">
        <f t="shared" si="36"/>
        <v>1428.2432854387152</v>
      </c>
      <c r="BG23" s="12">
        <f t="shared" si="15"/>
        <v>8210.1240166419266</v>
      </c>
      <c r="BH23" s="22">
        <f>INDEX(cpi!B:B,MATCH($L23,cpi!A:A))</f>
        <v>98.4</v>
      </c>
      <c r="BI23" s="22">
        <f t="shared" si="16"/>
        <v>116.31205673758866</v>
      </c>
      <c r="BJ23" s="22">
        <f t="shared" si="17"/>
        <v>115.17381902105713</v>
      </c>
      <c r="BK23" s="22">
        <f t="shared" si="18"/>
        <v>125.49815500810108</v>
      </c>
      <c r="BL23" s="22">
        <f t="shared" si="19"/>
        <v>118.2711198171703</v>
      </c>
      <c r="BM23" s="22">
        <f t="shared" si="20"/>
        <v>163.13238611629188</v>
      </c>
      <c r="BN23" s="22">
        <f t="shared" si="21"/>
        <v>149.34114202049781</v>
      </c>
      <c r="BO23">
        <f t="shared" si="22"/>
        <v>136.71861629402457</v>
      </c>
    </row>
    <row r="24" spans="1:67" x14ac:dyDescent="0.25">
      <c r="A24" s="6" t="s">
        <v>493</v>
      </c>
      <c r="L24" s="1">
        <f t="shared" si="33"/>
        <v>40695</v>
      </c>
      <c r="M24" s="10">
        <f t="shared" si="0"/>
        <v>153806.66548368012</v>
      </c>
      <c r="N24" s="10">
        <f t="shared" si="23"/>
        <v>195781.07956586356</v>
      </c>
      <c r="O24" s="7">
        <f t="shared" si="24"/>
        <v>0.78560535994969494</v>
      </c>
      <c r="P24" s="7">
        <f t="shared" si="1"/>
        <v>0.84868949100824187</v>
      </c>
      <c r="Q24">
        <v>22</v>
      </c>
      <c r="R24">
        <f t="shared" si="2"/>
        <v>91</v>
      </c>
      <c r="S24" s="22"/>
      <c r="T24" s="22">
        <f>IF($B$10="3BR_H",
INDEX('3BR_H-processed'!$E:$E,MATCH($L24,'3BR_H-processed'!$B:$B,0),MATCH(Council_Area,'3BR_H-processed'!$E$1:$E$1,0)),
INDEX('2BR_F-processed'!$E:$E,MATCH($L24,'2BR_F-processed'!$B:$B,0),MATCH(Council_Area,'2BR_F-processed'!$E$1:$E$1,0)))</f>
        <v>526.70383275261327</v>
      </c>
      <c r="U24" s="22">
        <f t="shared" si="25"/>
        <v>525.10452961672479</v>
      </c>
      <c r="V24" s="22">
        <f t="shared" si="34"/>
        <v>6826.3588850174219</v>
      </c>
      <c r="W24" s="22">
        <f>$B$53/4*BH24/_xlfn.XLOOKUP(Q_end,cpi!A:A,cpi!B:B)</f>
        <v>137.24948168624741</v>
      </c>
      <c r="X24" s="22">
        <f t="shared" si="26"/>
        <v>6963.6083667036692</v>
      </c>
      <c r="Y24" s="22">
        <f t="shared" si="3"/>
        <v>1241.5225327386142</v>
      </c>
      <c r="Z24" s="22">
        <f t="shared" si="27"/>
        <v>0</v>
      </c>
      <c r="AA24" s="22" cm="1">
        <f t="array" ref="AA24">(Y24+Z24)*eff_invest</f>
        <v>1241.5225327386142</v>
      </c>
      <c r="AB24" s="22">
        <f>AA24*(_xlfn.XLOOKUP(Q_end,cpi!A:A,cpi!B:B)/BH24)</f>
        <v>1809.1471348164901</v>
      </c>
      <c r="AC24" s="22" cm="1">
        <f t="array" ref="AC24">INDEX('msci-indices'!C:C,MATCH($L24,'msci-indices'!$B:$B)-2)</f>
        <v>912.83803799999998</v>
      </c>
      <c r="AD24" s="22" cm="1">
        <f t="array" ref="AD24">INDEX('msci-indices'!D:D,MATCH($L24,'msci-indices'!$B:$B)-2)</f>
        <v>924.58628799999997</v>
      </c>
      <c r="AE24" s="22">
        <f t="shared" si="28"/>
        <v>155592.44124998176</v>
      </c>
      <c r="AF24" s="22" cm="1">
        <f t="array" ref="AF24">INDEX('msci-indices'!C:C,MATCH($L24,'msci-indices'!$B:$B)+1)</f>
        <v>915.80493999999999</v>
      </c>
      <c r="AG24" s="22" cm="1">
        <f t="array" ref="AG24">INDEX('msci-indices'!D:D,MATCH($L24,'msci-indices'!$B:$B)+1)</f>
        <v>884.12823400000002</v>
      </c>
      <c r="AH24" s="22">
        <f t="shared" si="4"/>
        <v>97.245275781238604</v>
      </c>
      <c r="AI24" s="22">
        <f t="shared" si="5"/>
        <v>153806.66548368012</v>
      </c>
      <c r="AJ24" s="22">
        <f t="shared" si="29"/>
        <v>132091.27170338418</v>
      </c>
      <c r="AK24" s="22">
        <f t="shared" si="6"/>
        <v>21715.393780295941</v>
      </c>
      <c r="AL24" s="22">
        <f>AJ24*(_xlfn.XLOOKUP(Q_end,cpi!A:A,cpi!B:B)/BH24)</f>
        <v>192483.45433514289</v>
      </c>
      <c r="AM24" s="22" cm="1">
        <f t="array" ref="AM24">SUMPRODUCT($AA$3:AA24,_xlfn.SORTBY($BH$3:BH24,_xlfn.SEQUENCE(ROWS($BH$3:BH24)),-1)/$BH$3)</f>
        <v>151782.66379115259</v>
      </c>
      <c r="AN24" s="22">
        <f t="shared" si="30"/>
        <v>2024.0016925275268</v>
      </c>
      <c r="AO24" s="22">
        <f t="shared" si="7"/>
        <v>0</v>
      </c>
      <c r="AP24" s="22">
        <f t="shared" si="31"/>
        <v>153806.66548368012</v>
      </c>
      <c r="AQ24" s="22"/>
      <c r="AR24" s="10">
        <f>IF($B$10="3BR_H",
INDEX('ns-combined'!$C:$C,MATCH($L24,'ns-combined'!$B:$B,0),MATCH(Council_Area,'ns-combined'!$C$1:$C$1,0))*1000,
INDEX('s-combined'!$C:$C,MATCH($L24,'s-combined'!$B:$B,0),MATCH(Council_Area,'s-combined'!$C$1:$C$1,0))*1000)</f>
        <v>500000</v>
      </c>
      <c r="AS24" s="22">
        <f t="shared" si="35"/>
        <v>18782.5</v>
      </c>
      <c r="AT24" s="10">
        <v>0</v>
      </c>
      <c r="AU24" s="22">
        <f t="shared" si="8"/>
        <v>10000</v>
      </c>
      <c r="AV24" s="22">
        <f t="shared" si="9"/>
        <v>1437.5</v>
      </c>
      <c r="AW24" s="22">
        <f>SUM($AV$3:AV24)</f>
        <v>28262.112499999999</v>
      </c>
      <c r="AX24" s="22">
        <f t="shared" si="32"/>
        <v>442955.38750000001</v>
      </c>
      <c r="AY24" s="22">
        <f t="shared" si="10"/>
        <v>2389.225609756098</v>
      </c>
      <c r="AZ24" s="24">
        <f t="shared" si="11"/>
        <v>1.9113804878048785E-2</v>
      </c>
      <c r="BA24" s="24">
        <f t="shared" si="12"/>
        <v>0.35000000000000003</v>
      </c>
      <c r="BB24" s="25">
        <f>IF(MortgageRate="Discounted",_xlfn.XLOOKUP(L24,'mortgage-rates'!$A:$A,'mortgage-rates'!$E:$E)/100,_xlfn.XLOOKUP(L24,'mortgage-rates'!$A:$A,'mortgage-rates'!$D:$D)/100)</f>
        <v>7.0400000000000004E-2</v>
      </c>
      <c r="BC24" s="10">
        <f t="shared" si="37"/>
        <v>247174.30793413645</v>
      </c>
      <c r="BD24" s="10">
        <f t="shared" si="13"/>
        <v>5815.9052896861849</v>
      </c>
      <c r="BE24" s="10">
        <f t="shared" si="14"/>
        <v>4350.2678196408015</v>
      </c>
      <c r="BF24" s="10">
        <f t="shared" si="36"/>
        <v>1465.6374700453835</v>
      </c>
      <c r="BG24" s="12">
        <f>AT24+AY24+BD24</f>
        <v>8205.1308994422834</v>
      </c>
      <c r="BH24" s="22">
        <f>INDEX(cpi!B:B,MATCH($L24,cpi!A:A))</f>
        <v>99.3</v>
      </c>
      <c r="BI24" s="22">
        <f t="shared" si="16"/>
        <v>117.3758865248227</v>
      </c>
      <c r="BJ24" s="22">
        <f t="shared" si="17"/>
        <v>120.92498256652478</v>
      </c>
      <c r="BK24" s="22">
        <f t="shared" si="18"/>
        <v>129.68345419378869</v>
      </c>
      <c r="BL24" s="22">
        <f t="shared" si="19"/>
        <v>123.55252405470395</v>
      </c>
      <c r="BM24" s="22">
        <f t="shared" si="20"/>
        <v>171.73504264585131</v>
      </c>
      <c r="BN24" s="22">
        <f t="shared" si="21"/>
        <v>146.41288433382138</v>
      </c>
      <c r="BO24">
        <f t="shared" si="22"/>
        <v>133.08580410943804</v>
      </c>
    </row>
    <row r="25" spans="1:67" x14ac:dyDescent="0.25">
      <c r="A25" t="s">
        <v>336</v>
      </c>
      <c r="B25" s="4">
        <v>1.4999999999999999E-2</v>
      </c>
      <c r="C25" s="4">
        <v>1.4999999999999999E-2</v>
      </c>
      <c r="L25" s="1">
        <f t="shared" si="33"/>
        <v>40787</v>
      </c>
      <c r="M25" s="10">
        <f t="shared" si="0"/>
        <v>130618.30762060783</v>
      </c>
      <c r="N25" s="10">
        <f t="shared" si="23"/>
        <v>192024.09203590895</v>
      </c>
      <c r="O25" s="7">
        <f t="shared" si="24"/>
        <v>0.68021833216730898</v>
      </c>
      <c r="P25" s="7">
        <f t="shared" si="1"/>
        <v>0.8556220219429379</v>
      </c>
      <c r="Q25">
        <v>23</v>
      </c>
      <c r="R25">
        <f t="shared" si="2"/>
        <v>92</v>
      </c>
      <c r="S25" s="22"/>
      <c r="T25" s="22">
        <f>IF($B$10="3BR_H",
INDEX('3BR_H-processed'!$E:$E,MATCH($L25,'3BR_H-processed'!$B:$B,0),MATCH(Council_Area,'3BR_H-processed'!$E$1:$E$1,0)),
INDEX('2BR_F-processed'!$E:$E,MATCH($L25,'2BR_F-processed'!$B:$B,0),MATCH(Council_Area,'2BR_F-processed'!$E$1:$E$1,0)))</f>
        <v>528.83623693379786</v>
      </c>
      <c r="U25" s="22">
        <f t="shared" si="25"/>
        <v>525.10452961672479</v>
      </c>
      <c r="V25" s="22">
        <f t="shared" si="34"/>
        <v>6901.3738178198118</v>
      </c>
      <c r="W25" s="22">
        <f>$B$53/4*BH25/_xlfn.XLOOKUP(Q_end,cpi!A:A,cpi!B:B)</f>
        <v>137.80234968901175</v>
      </c>
      <c r="X25" s="22">
        <f t="shared" si="26"/>
        <v>7039.1761675088237</v>
      </c>
      <c r="Y25" s="22">
        <f t="shared" si="3"/>
        <v>1187.7932032938734</v>
      </c>
      <c r="Z25" s="22">
        <f t="shared" si="27"/>
        <v>0</v>
      </c>
      <c r="AA25" s="22" cm="1">
        <f t="array" ref="AA25">(Y25+Z25)*eff_invest</f>
        <v>1187.7932032938734</v>
      </c>
      <c r="AB25" s="22">
        <f>AA25*(_xlfn.XLOOKUP(Q_end,cpi!A:A,cpi!B:B)/BH25)</f>
        <v>1723.908490638149</v>
      </c>
      <c r="AC25" s="22" cm="1">
        <f t="array" ref="AC25">INDEX('msci-indices'!C:C,MATCH($L25,'msci-indices'!$B:$B)-2)</f>
        <v>915.80493999999999</v>
      </c>
      <c r="AD25" s="22" cm="1">
        <f t="array" ref="AD25">INDEX('msci-indices'!D:D,MATCH($L25,'msci-indices'!$B:$B)-2)</f>
        <v>884.12823400000002</v>
      </c>
      <c r="AE25" s="22">
        <f t="shared" si="28"/>
        <v>154994.45868697399</v>
      </c>
      <c r="AF25" s="22" cm="1">
        <f t="array" ref="AF25">INDEX('msci-indices'!C:C,MATCH($L25,'msci-indices'!$B:$B)+1)</f>
        <v>758.748516</v>
      </c>
      <c r="AG25" s="22" cm="1">
        <f t="array" ref="AG25">INDEX('msci-indices'!D:D,MATCH($L25,'msci-indices'!$B:$B)+1)</f>
        <v>776.26675599999999</v>
      </c>
      <c r="AH25" s="22">
        <f t="shared" si="4"/>
        <v>96.871536679358741</v>
      </c>
      <c r="AI25" s="22">
        <f t="shared" si="5"/>
        <v>130618.30762060783</v>
      </c>
      <c r="AJ25" s="22">
        <f t="shared" si="29"/>
        <v>133279.06490667805</v>
      </c>
      <c r="AK25" s="22">
        <f t="shared" si="6"/>
        <v>-2660.7572860702203</v>
      </c>
      <c r="AL25" s="22">
        <f>AJ25*(_xlfn.XLOOKUP(Q_end,cpi!A:A,cpi!B:B)/BH25)</f>
        <v>193435.11225673329</v>
      </c>
      <c r="AM25" s="22" cm="1">
        <f t="array" ref="AM25">SUMPRODUCT($AA$3:AA25,_xlfn.SORTBY($BH$3:BH25,_xlfn.SEQUENCE(ROWS($BH$3:BH25)),-1)/$BH$3)</f>
        <v>153718.37427335838</v>
      </c>
      <c r="AN25" s="22">
        <f t="shared" si="30"/>
        <v>-23100.066652750553</v>
      </c>
      <c r="AO25" s="22">
        <f t="shared" si="7"/>
        <v>0</v>
      </c>
      <c r="AP25" s="22">
        <f t="shared" si="31"/>
        <v>130618.30762060783</v>
      </c>
      <c r="AQ25" s="22"/>
      <c r="AR25" s="10">
        <f>IF($B$10="3BR_H",
INDEX('ns-combined'!$C:$C,MATCH($L25,'ns-combined'!$B:$B,0),MATCH(Council_Area,'ns-combined'!$C$1:$C$1,0))*1000,
INDEX('s-combined'!$C:$C,MATCH($L25,'s-combined'!$B:$B,0),MATCH(Council_Area,'s-combined'!$C$1:$C$1,0))*1000)</f>
        <v>497000</v>
      </c>
      <c r="AS25" s="22">
        <f t="shared" si="35"/>
        <v>19636.25</v>
      </c>
      <c r="AT25" s="10">
        <v>0</v>
      </c>
      <c r="AU25" s="22">
        <f t="shared" si="8"/>
        <v>9940</v>
      </c>
      <c r="AV25" s="22">
        <f t="shared" si="9"/>
        <v>1428.875</v>
      </c>
      <c r="AW25" s="22">
        <f>SUM($AV$3:AV25)</f>
        <v>29690.987499999999</v>
      </c>
      <c r="AX25" s="22">
        <f t="shared" si="32"/>
        <v>437732.76250000001</v>
      </c>
      <c r="AY25" s="22">
        <f t="shared" si="10"/>
        <v>2415.4808362369345</v>
      </c>
      <c r="AZ25" s="24">
        <f t="shared" si="11"/>
        <v>1.9440489627661445E-2</v>
      </c>
      <c r="BA25" s="24">
        <f t="shared" si="12"/>
        <v>0.35000000000000003</v>
      </c>
      <c r="BB25" s="25">
        <f>IF(MortgageRate="Discounted",_xlfn.XLOOKUP(L25,'mortgage-rates'!$A:$A,'mortgage-rates'!$E:$E)/100,_xlfn.XLOOKUP(L25,'mortgage-rates'!$A:$A,'mortgage-rates'!$D:$D)/100)</f>
        <v>7.0300000000000001E-2</v>
      </c>
      <c r="BC25" s="10">
        <f t="shared" si="37"/>
        <v>245708.67046409106</v>
      </c>
      <c r="BD25" s="10">
        <f t="shared" si="13"/>
        <v>5811.4885345657622</v>
      </c>
      <c r="BE25" s="10">
        <f t="shared" si="14"/>
        <v>4318.3298834064008</v>
      </c>
      <c r="BF25" s="10">
        <f t="shared" si="36"/>
        <v>1493.1586511593614</v>
      </c>
      <c r="BG25" s="12">
        <f t="shared" si="15"/>
        <v>8226.9693708026971</v>
      </c>
      <c r="BH25" s="22">
        <f>INDEX(cpi!B:B,MATCH($L25,cpi!A:A))</f>
        <v>99.7</v>
      </c>
      <c r="BI25" s="22">
        <f t="shared" si="16"/>
        <v>117.84869976359339</v>
      </c>
      <c r="BJ25" s="22">
        <f t="shared" si="17"/>
        <v>121.31801238966038</v>
      </c>
      <c r="BK25" s="22">
        <f t="shared" si="18"/>
        <v>124.0087645939373</v>
      </c>
      <c r="BL25" s="22">
        <f t="shared" si="19"/>
        <v>122.12523805094347</v>
      </c>
      <c r="BM25" s="22">
        <f t="shared" si="20"/>
        <v>171.0750198315385</v>
      </c>
      <c r="BN25" s="22">
        <f t="shared" si="21"/>
        <v>145.53440702781845</v>
      </c>
      <c r="BO25">
        <f t="shared" si="22"/>
        <v>131.51666810319171</v>
      </c>
    </row>
    <row r="26" spans="1:67" x14ac:dyDescent="0.25">
      <c r="A26" t="s">
        <v>337</v>
      </c>
      <c r="B26" s="4">
        <f>(0.065*((AR3/1000)^2)+21*(AR3/1000))/AR3</f>
        <v>4.31975E-2</v>
      </c>
      <c r="C26" s="4"/>
      <c r="L26" s="1">
        <f t="shared" si="33"/>
        <v>40878</v>
      </c>
      <c r="M26" s="10">
        <f t="shared" si="0"/>
        <v>139303.80773885481</v>
      </c>
      <c r="N26" s="10">
        <f t="shared" si="23"/>
        <v>208822.8756870683</v>
      </c>
      <c r="O26" s="7">
        <f t="shared" si="24"/>
        <v>0.66709074511361799</v>
      </c>
      <c r="P26" s="7">
        <f t="shared" si="1"/>
        <v>0.87833553221900273</v>
      </c>
      <c r="Q26">
        <v>24</v>
      </c>
      <c r="R26">
        <f t="shared" si="2"/>
        <v>92</v>
      </c>
      <c r="S26" s="22"/>
      <c r="T26" s="22">
        <f>IF($B$10="3BR_H",
INDEX('3BR_H-processed'!$E:$E,MATCH($L26,'3BR_H-processed'!$B:$B,0),MATCH(Council_Area,'3BR_H-processed'!$E$1:$E$1,0)),
INDEX('2BR_F-processed'!$E:$E,MATCH($L26,'2BR_F-processed'!$B:$B,0),MATCH(Council_Area,'2BR_F-processed'!$E$1:$E$1,0)))</f>
        <v>530.43554006968645</v>
      </c>
      <c r="U26" s="22">
        <f t="shared" si="25"/>
        <v>525.10452961672479</v>
      </c>
      <c r="V26" s="22">
        <f t="shared" si="34"/>
        <v>6901.3738178198118</v>
      </c>
      <c r="W26" s="22">
        <f>$B$53/4*BH26/_xlfn.XLOOKUP(Q_end,cpi!A:A,cpi!B:B)</f>
        <v>138.07878369039392</v>
      </c>
      <c r="X26" s="22">
        <f t="shared" si="26"/>
        <v>7039.4526015102056</v>
      </c>
      <c r="Y26" s="22">
        <f t="shared" si="3"/>
        <v>975.08437586326545</v>
      </c>
      <c r="Z26" s="22">
        <f t="shared" si="27"/>
        <v>0</v>
      </c>
      <c r="AA26" s="22" cm="1">
        <f t="array" ref="AA26">(Y26+Z26)*eff_invest</f>
        <v>975.08437586326545</v>
      </c>
      <c r="AB26" s="22">
        <f>AA26*(_xlfn.XLOOKUP(Q_end,cpi!A:A,cpi!B:B)/BH26)</f>
        <v>1412.3594513254704</v>
      </c>
      <c r="AC26" s="22" cm="1">
        <f t="array" ref="AC26">INDEX('msci-indices'!C:C,MATCH($L26,'msci-indices'!$B:$B)-2)</f>
        <v>758.748516</v>
      </c>
      <c r="AD26" s="22" cm="1">
        <f t="array" ref="AD26">INDEX('msci-indices'!D:D,MATCH($L26,'msci-indices'!$B:$B)-2)</f>
        <v>776.26675599999999</v>
      </c>
      <c r="AE26" s="22">
        <f t="shared" si="28"/>
        <v>131593.39199647109</v>
      </c>
      <c r="AF26" s="22" cm="1">
        <f t="array" ref="AF26">INDEX('msci-indices'!C:C,MATCH($L26,'msci-indices'!$B:$B)+1)</f>
        <v>816.97540400000003</v>
      </c>
      <c r="AG26" s="22" cm="1">
        <f t="array" ref="AG26">INDEX('msci-indices'!D:D,MATCH($L26,'msci-indices'!$B:$B)+1)</f>
        <v>790.49635000000001</v>
      </c>
      <c r="AH26" s="22">
        <f t="shared" si="4"/>
        <v>82.245869997794429</v>
      </c>
      <c r="AI26" s="22">
        <f t="shared" si="5"/>
        <v>139303.80773885481</v>
      </c>
      <c r="AJ26" s="22">
        <f t="shared" si="29"/>
        <v>134254.1492825413</v>
      </c>
      <c r="AK26" s="22">
        <f t="shared" si="6"/>
        <v>5049.6584563135111</v>
      </c>
      <c r="AL26" s="22">
        <f>AJ26*(_xlfn.XLOOKUP(Q_end,cpi!A:A,cpi!B:B)/BH26)</f>
        <v>194460.21422606331</v>
      </c>
      <c r="AM26" s="22" cm="1">
        <f t="array" ref="AM26">SUMPRODUCT($AA$3:AA26,_xlfn.SORTBY($BH$3:BH26,_xlfn.SEQUENCE(ROWS($BH$3:BH26)),-1)/$BH$3)</f>
        <v>155249.97177122641</v>
      </c>
      <c r="AN26" s="22">
        <f t="shared" si="30"/>
        <v>-15946.164032371598</v>
      </c>
      <c r="AO26" s="22">
        <f t="shared" si="7"/>
        <v>0</v>
      </c>
      <c r="AP26" s="22">
        <f t="shared" si="31"/>
        <v>139303.80773885481</v>
      </c>
      <c r="AQ26" s="22"/>
      <c r="AR26" s="10">
        <f>IF($B$10="3BR_H",
INDEX('ns-combined'!$C:$C,MATCH($L26,'ns-combined'!$B:$B,0),MATCH(Council_Area,'ns-combined'!$C$1:$C$1,0))*1000,
INDEX('s-combined'!$C:$C,MATCH($L26,'s-combined'!$B:$B,0),MATCH(Council_Area,'s-combined'!$C$1:$C$1,0))*1000)</f>
        <v>515000</v>
      </c>
      <c r="AS26" s="22">
        <f t="shared" si="35"/>
        <v>20490</v>
      </c>
      <c r="AT26" s="10">
        <v>0</v>
      </c>
      <c r="AU26" s="22">
        <f t="shared" si="8"/>
        <v>10300</v>
      </c>
      <c r="AV26" s="22">
        <f t="shared" si="9"/>
        <v>1480.625</v>
      </c>
      <c r="AW26" s="22">
        <f>SUM($AV$3:AV26)</f>
        <v>31171.612499999999</v>
      </c>
      <c r="AX26" s="22">
        <f t="shared" si="32"/>
        <v>453038.38750000001</v>
      </c>
      <c r="AY26" s="22">
        <f t="shared" si="10"/>
        <v>2415.4808362369345</v>
      </c>
      <c r="AZ26" s="24">
        <f t="shared" si="11"/>
        <v>1.8761016203782014E-2</v>
      </c>
      <c r="BA26" s="24">
        <f t="shared" si="12"/>
        <v>0.35000000000000003</v>
      </c>
      <c r="BB26" s="25">
        <f>IF(MortgageRate="Discounted",_xlfn.XLOOKUP(L26,'mortgage-rates'!$A:$A,'mortgage-rates'!$E:$E)/100,_xlfn.XLOOKUP(L26,'mortgage-rates'!$A:$A,'mortgage-rates'!$D:$D)/100)</f>
        <v>6.54E-2</v>
      </c>
      <c r="BC26" s="10">
        <f t="shared" si="37"/>
        <v>244215.51181293171</v>
      </c>
      <c r="BD26" s="10">
        <f t="shared" si="13"/>
        <v>5599.0561411365361</v>
      </c>
      <c r="BE26" s="10">
        <f t="shared" si="14"/>
        <v>3992.9236181414335</v>
      </c>
      <c r="BF26" s="10">
        <f t="shared" si="36"/>
        <v>1606.1325229951026</v>
      </c>
      <c r="BG26" s="12">
        <f t="shared" si="15"/>
        <v>8014.536977373471</v>
      </c>
      <c r="BH26" s="22">
        <f>INDEX(cpi!B:B,MATCH($L26,cpi!A:A))</f>
        <v>99.9</v>
      </c>
      <c r="BI26" s="22">
        <f t="shared" si="16"/>
        <v>118.08510638297874</v>
      </c>
      <c r="BJ26" s="22">
        <f t="shared" si="17"/>
        <v>100.5125194724593</v>
      </c>
      <c r="BK26" s="22">
        <f t="shared" si="18"/>
        <v>108.87999919579919</v>
      </c>
      <c r="BL26" s="22">
        <f t="shared" si="19"/>
        <v>103.02276338946128</v>
      </c>
      <c r="BM26" s="22">
        <f t="shared" si="20"/>
        <v>145.24610967519504</v>
      </c>
      <c r="BN26" s="22">
        <f t="shared" si="21"/>
        <v>150.80527086383603</v>
      </c>
      <c r="BO26">
        <f t="shared" si="22"/>
        <v>136.11523822561179</v>
      </c>
    </row>
    <row r="27" spans="1:67" x14ac:dyDescent="0.25">
      <c r="A27" s="6" t="s">
        <v>494</v>
      </c>
      <c r="L27" s="1">
        <f t="shared" si="33"/>
        <v>40969</v>
      </c>
      <c r="M27" s="10">
        <f t="shared" si="0"/>
        <v>155474.89701117913</v>
      </c>
      <c r="N27" s="10">
        <f t="shared" si="23"/>
        <v>217865.88321006339</v>
      </c>
      <c r="O27" s="7">
        <f t="shared" si="24"/>
        <v>0.71362663451657693</v>
      </c>
      <c r="P27" s="7">
        <f t="shared" si="1"/>
        <v>0.87412953735401022</v>
      </c>
      <c r="Q27">
        <v>25</v>
      </c>
      <c r="R27">
        <f t="shared" si="2"/>
        <v>91</v>
      </c>
      <c r="S27" s="22"/>
      <c r="T27" s="22">
        <f>IF($B$10="3BR_H",
INDEX('3BR_H-processed'!$E:$E,MATCH($L27,'3BR_H-processed'!$B:$B,0),MATCH(Council_Area,'3BR_H-processed'!$E$1:$E$1,0)),
INDEX('2BR_F-processed'!$E:$E,MATCH($L27,'2BR_F-processed'!$B:$B,0),MATCH(Council_Area,'2BR_F-processed'!$E$1:$E$1,0)))</f>
        <v>534.16724738675964</v>
      </c>
      <c r="U27" s="22">
        <f t="shared" si="25"/>
        <v>534.16724738675964</v>
      </c>
      <c r="V27" s="22">
        <f t="shared" si="34"/>
        <v>6944.1742160278754</v>
      </c>
      <c r="W27" s="22">
        <f>$B$53/4*BH27/_xlfn.XLOOKUP(Q_end,cpi!A:A,cpi!B:B)</f>
        <v>138.07878369039392</v>
      </c>
      <c r="X27" s="22">
        <f t="shared" si="26"/>
        <v>7082.2529997182692</v>
      </c>
      <c r="Y27" s="22">
        <f t="shared" si="3"/>
        <v>1019.8104783747449</v>
      </c>
      <c r="Z27" s="22">
        <f t="shared" si="27"/>
        <v>0</v>
      </c>
      <c r="AA27" s="22" cm="1">
        <f t="array" ref="AA27">(Y27+Z27)*eff_invest</f>
        <v>1019.8104783747449</v>
      </c>
      <c r="AB27" s="22">
        <f>AA27*(_xlfn.XLOOKUP(Q_end,cpi!A:A,cpi!B:B)/BH27)</f>
        <v>1477.1429051133691</v>
      </c>
      <c r="AC27" s="22" cm="1">
        <f t="array" ref="AC27">INDEX('msci-indices'!C:C,MATCH($L27,'msci-indices'!$B:$B)-2)</f>
        <v>816.97540400000003</v>
      </c>
      <c r="AD27" s="22" cm="1">
        <f t="array" ref="AD27">INDEX('msci-indices'!D:D,MATCH($L27,'msci-indices'!$B:$B)-2)</f>
        <v>790.49635000000001</v>
      </c>
      <c r="AE27" s="22">
        <f t="shared" si="28"/>
        <v>140323.61821722955</v>
      </c>
      <c r="AF27" s="22" cm="1">
        <f t="array" ref="AF27">INDEX('msci-indices'!C:C,MATCH($L27,'msci-indices'!$B:$B)+1)</f>
        <v>913.58723299999997</v>
      </c>
      <c r="AG27" s="22" cm="1">
        <f t="array" ref="AG27">INDEX('msci-indices'!D:D,MATCH($L27,'msci-indices'!$B:$B)+1)</f>
        <v>858.531702</v>
      </c>
      <c r="AH27" s="22">
        <f t="shared" si="4"/>
        <v>87.702261385768466</v>
      </c>
      <c r="AI27" s="22">
        <f t="shared" si="5"/>
        <v>155474.89701117913</v>
      </c>
      <c r="AJ27" s="22">
        <f t="shared" si="29"/>
        <v>135273.95976091604</v>
      </c>
      <c r="AK27" s="22">
        <f t="shared" si="6"/>
        <v>20200.937250263087</v>
      </c>
      <c r="AL27" s="22">
        <f>AJ27*(_xlfn.XLOOKUP(Q_end,cpi!A:A,cpi!B:B)/BH27)</f>
        <v>195937.35713117669</v>
      </c>
      <c r="AM27" s="22" cm="1">
        <f t="array" ref="AM27">SUMPRODUCT($AA$3:AA27,_xlfn.SORTBY($BH$3:BH27,_xlfn.SEQUENCE(ROWS($BH$3:BH27)),-1)/$BH$3)</f>
        <v>156620.48055835249</v>
      </c>
      <c r="AN27" s="22">
        <f t="shared" si="30"/>
        <v>-1145.583547173359</v>
      </c>
      <c r="AO27" s="22">
        <f t="shared" si="7"/>
        <v>0</v>
      </c>
      <c r="AP27" s="22">
        <f t="shared" si="31"/>
        <v>155474.89701117913</v>
      </c>
      <c r="AQ27" s="22"/>
      <c r="AR27" s="10">
        <f>IF($B$10="3BR_H",
INDEX('ns-combined'!$C:$C,MATCH($L27,'ns-combined'!$B:$B,0),MATCH(Council_Area,'ns-combined'!$C$1:$C$1,0))*1000,
INDEX('s-combined'!$C:$C,MATCH($L27,'s-combined'!$B:$B,0),MATCH(Council_Area,'s-combined'!$C$1:$C$1,0))*1000)</f>
        <v>525000</v>
      </c>
      <c r="AS27" s="22">
        <f t="shared" si="35"/>
        <v>21343.75</v>
      </c>
      <c r="AT27" s="10">
        <v>0</v>
      </c>
      <c r="AU27" s="22">
        <f t="shared" si="8"/>
        <v>10500</v>
      </c>
      <c r="AV27" s="22">
        <f t="shared" si="9"/>
        <v>1509.375</v>
      </c>
      <c r="AW27" s="22">
        <f>SUM($AV$3:AV27)</f>
        <v>32680.987499999999</v>
      </c>
      <c r="AX27" s="22">
        <f t="shared" si="32"/>
        <v>460475.26250000001</v>
      </c>
      <c r="AY27" s="22">
        <f t="shared" si="10"/>
        <v>2430.4609756097566</v>
      </c>
      <c r="AZ27" s="24">
        <f t="shared" si="11"/>
        <v>1.851779790940767E-2</v>
      </c>
      <c r="BA27" s="24">
        <f t="shared" si="12"/>
        <v>0.35000000000000003</v>
      </c>
      <c r="BB27" s="25">
        <f>IF(MortgageRate="Discounted",_xlfn.XLOOKUP(L27,'mortgage-rates'!$A:$A,'mortgage-rates'!$E:$E)/100,_xlfn.XLOOKUP(L27,'mortgage-rates'!$A:$A,'mortgage-rates'!$D:$D)/100)</f>
        <v>6.7099999999999993E-2</v>
      </c>
      <c r="BC27" s="10">
        <f t="shared" si="37"/>
        <v>242609.37928993662</v>
      </c>
      <c r="BD27" s="10">
        <f t="shared" si="13"/>
        <v>5671.6025024832579</v>
      </c>
      <c r="BE27" s="10">
        <f t="shared" si="14"/>
        <v>4069.7723375886862</v>
      </c>
      <c r="BF27" s="10">
        <f t="shared" si="36"/>
        <v>1601.8301648945717</v>
      </c>
      <c r="BG27" s="12">
        <f t="shared" si="15"/>
        <v>8102.0634780930141</v>
      </c>
      <c r="BH27" s="22">
        <f>INDEX(cpi!B:B,MATCH($L27,cpi!A:A))</f>
        <v>99.9</v>
      </c>
      <c r="BI27" s="22">
        <f t="shared" si="16"/>
        <v>118.08510638297874</v>
      </c>
      <c r="BJ27" s="22">
        <f t="shared" si="17"/>
        <v>108.22592001362189</v>
      </c>
      <c r="BK27" s="22">
        <f t="shared" si="18"/>
        <v>110.87585715480799</v>
      </c>
      <c r="BL27" s="22">
        <f t="shared" si="19"/>
        <v>109.02090115597773</v>
      </c>
      <c r="BM27" s="22">
        <f t="shared" si="20"/>
        <v>154.88209044832954</v>
      </c>
      <c r="BN27" s="22">
        <f t="shared" si="21"/>
        <v>153.73352855051243</v>
      </c>
      <c r="BO27">
        <f t="shared" si="22"/>
        <v>138.34964493420247</v>
      </c>
    </row>
    <row r="28" spans="1:67" x14ac:dyDescent="0.25">
      <c r="A28" t="s">
        <v>338</v>
      </c>
      <c r="B28" s="4">
        <v>1.4999999999999999E-2</v>
      </c>
      <c r="C28" s="4">
        <v>1.4999999999999999E-2</v>
      </c>
      <c r="L28" s="1">
        <f t="shared" si="33"/>
        <v>41061</v>
      </c>
      <c r="M28" s="10">
        <f t="shared" si="0"/>
        <v>147951.79591757455</v>
      </c>
      <c r="N28" s="10">
        <f t="shared" si="23"/>
        <v>235181.40087495797</v>
      </c>
      <c r="O28" s="7">
        <f t="shared" si="24"/>
        <v>0.62909649898819187</v>
      </c>
      <c r="P28" s="7">
        <f t="shared" si="1"/>
        <v>0.90128506556856269</v>
      </c>
      <c r="Q28">
        <v>26</v>
      </c>
      <c r="R28">
        <f t="shared" si="2"/>
        <v>91</v>
      </c>
      <c r="S28" s="22"/>
      <c r="T28" s="22">
        <f>IF($B$10="3BR_H",
INDEX('3BR_H-processed'!$E:$E,MATCH($L28,'3BR_H-processed'!$B:$B,0),MATCH(Council_Area,'3BR_H-processed'!$E$1:$E$1,0)),
INDEX('2BR_F-processed'!$E:$E,MATCH($L28,'2BR_F-processed'!$B:$B,0),MATCH(Council_Area,'2BR_F-processed'!$E$1:$E$1,0)))</f>
        <v>538.96515679442507</v>
      </c>
      <c r="U28" s="22">
        <f t="shared" si="25"/>
        <v>534.16724738675964</v>
      </c>
      <c r="V28" s="22">
        <f t="shared" si="34"/>
        <v>6944.1742160278754</v>
      </c>
      <c r="W28" s="22">
        <f>$B$53/4*BH28/_xlfn.XLOOKUP(Q_end,cpi!A:A,cpi!B:B)</f>
        <v>138.90808569454043</v>
      </c>
      <c r="X28" s="22">
        <f t="shared" si="26"/>
        <v>7083.0823017224157</v>
      </c>
      <c r="Y28" s="22">
        <f t="shared" si="3"/>
        <v>775.78785192220857</v>
      </c>
      <c r="Z28" s="22">
        <f t="shared" si="27"/>
        <v>0</v>
      </c>
      <c r="AA28" s="22" cm="1">
        <f t="array" ref="AA28">(Y28+Z28)*eff_invest</f>
        <v>775.78785192220857</v>
      </c>
      <c r="AB28" s="22">
        <f>AA28*(_xlfn.XLOOKUP(Q_end,cpi!A:A,cpi!B:B)/BH28)</f>
        <v>1116.9801211258068</v>
      </c>
      <c r="AC28" s="22" cm="1">
        <f t="array" ref="AC28">INDEX('msci-indices'!C:C,MATCH($L28,'msci-indices'!$B:$B)-2)</f>
        <v>913.58723299999997</v>
      </c>
      <c r="AD28" s="22" cm="1">
        <f t="array" ref="AD28">INDEX('msci-indices'!D:D,MATCH($L28,'msci-indices'!$B:$B)-2)</f>
        <v>858.531702</v>
      </c>
      <c r="AE28" s="22">
        <f t="shared" si="28"/>
        <v>156250.68486310134</v>
      </c>
      <c r="AF28" s="22" cm="1">
        <f t="array" ref="AF28">INDEX('msci-indices'!C:C,MATCH($L28,'msci-indices'!$B:$B)+1)</f>
        <v>865.80589099999997</v>
      </c>
      <c r="AG28" s="22" cm="1">
        <f t="array" ref="AG28">INDEX('msci-indices'!D:D,MATCH($L28,'msci-indices'!$B:$B)+1)</f>
        <v>813.09506399999998</v>
      </c>
      <c r="AH28" s="22">
        <f t="shared" si="4"/>
        <v>97.656678039438347</v>
      </c>
      <c r="AI28" s="22">
        <f t="shared" si="5"/>
        <v>147951.79591757455</v>
      </c>
      <c r="AJ28" s="22">
        <f t="shared" si="29"/>
        <v>136049.74761283826</v>
      </c>
      <c r="AK28" s="22">
        <f t="shared" si="6"/>
        <v>11902.048304736294</v>
      </c>
      <c r="AL28" s="22">
        <f>AJ28*(_xlfn.XLOOKUP(Q_end,cpi!A:A,cpi!B:B)/BH28)</f>
        <v>195884.56198584771</v>
      </c>
      <c r="AM28" s="22" cm="1">
        <f t="array" ref="AM28">SUMPRODUCT($AA$3:AA28,_xlfn.SORTBY($BH$3:BH28,_xlfn.SEQUENCE(ROWS($BH$3:BH28)),-1)/$BH$3)</f>
        <v>158380.13722203826</v>
      </c>
      <c r="AN28" s="22">
        <f t="shared" si="30"/>
        <v>-10428.341304463713</v>
      </c>
      <c r="AO28" s="22">
        <f t="shared" si="7"/>
        <v>0</v>
      </c>
      <c r="AP28" s="22">
        <f t="shared" si="31"/>
        <v>147951.79591757455</v>
      </c>
      <c r="AQ28" s="22"/>
      <c r="AR28" s="10">
        <f>IF($B$10="3BR_H",
INDEX('ns-combined'!$C:$C,MATCH($L28,'ns-combined'!$B:$B,0),MATCH(Council_Area,'ns-combined'!$C$1:$C$1,0))*1000,
INDEX('s-combined'!$C:$C,MATCH($L28,'s-combined'!$B:$B,0),MATCH(Council_Area,'s-combined'!$C$1:$C$1,0))*1000)</f>
        <v>543500</v>
      </c>
      <c r="AS28" s="22">
        <f t="shared" si="35"/>
        <v>22197.5</v>
      </c>
      <c r="AT28" s="10">
        <v>0</v>
      </c>
      <c r="AU28" s="22">
        <f t="shared" si="8"/>
        <v>10870</v>
      </c>
      <c r="AV28" s="22">
        <f t="shared" si="9"/>
        <v>1562.5625</v>
      </c>
      <c r="AW28" s="22">
        <f>SUM($AV$3:AV28)</f>
        <v>34243.550000000003</v>
      </c>
      <c r="AX28" s="22">
        <f t="shared" si="32"/>
        <v>476188.95</v>
      </c>
      <c r="AY28" s="22">
        <f t="shared" si="10"/>
        <v>2430.4609756097566</v>
      </c>
      <c r="AZ28" s="24">
        <f t="shared" si="11"/>
        <v>1.7887477281396554E-2</v>
      </c>
      <c r="BA28" s="24">
        <f t="shared" si="12"/>
        <v>0.35000000000000003</v>
      </c>
      <c r="BB28" s="25">
        <f>IF(MortgageRate="Discounted",_xlfn.XLOOKUP(L28,'mortgage-rates'!$A:$A,'mortgage-rates'!$E:$E)/100,_xlfn.XLOOKUP(L28,'mortgage-rates'!$A:$A,'mortgage-rates'!$D:$D)/100)</f>
        <v>6.13E-2</v>
      </c>
      <c r="BC28" s="10">
        <f t="shared" si="37"/>
        <v>241007.54912504205</v>
      </c>
      <c r="BD28" s="10">
        <f t="shared" si="13"/>
        <v>5428.4091780348681</v>
      </c>
      <c r="BE28" s="10">
        <f t="shared" si="14"/>
        <v>3693.4406903412691</v>
      </c>
      <c r="BF28" s="10">
        <f t="shared" si="36"/>
        <v>1734.9684876935989</v>
      </c>
      <c r="BG28" s="12">
        <f t="shared" si="15"/>
        <v>7858.8701536446242</v>
      </c>
      <c r="BH28" s="22">
        <f>INDEX(cpi!B:B,MATCH($L28,cpi!A:A))</f>
        <v>100.5</v>
      </c>
      <c r="BI28" s="22">
        <f t="shared" si="16"/>
        <v>118.79432624113475</v>
      </c>
      <c r="BJ28" s="22">
        <f t="shared" si="17"/>
        <v>121.02422951783765</v>
      </c>
      <c r="BK28" s="22">
        <f t="shared" si="18"/>
        <v>120.41856784515979</v>
      </c>
      <c r="BL28" s="22">
        <f t="shared" si="19"/>
        <v>120.8425310160343</v>
      </c>
      <c r="BM28" s="22">
        <f t="shared" si="20"/>
        <v>172.46157854992413</v>
      </c>
      <c r="BN28" s="22">
        <f t="shared" si="21"/>
        <v>159.15080527086383</v>
      </c>
      <c r="BO28">
        <f t="shared" si="22"/>
        <v>143.0708173038735</v>
      </c>
    </row>
    <row r="29" spans="1:67" x14ac:dyDescent="0.25">
      <c r="A29" t="s">
        <v>345</v>
      </c>
      <c r="B29" s="4">
        <v>5.0000000000000001E-3</v>
      </c>
      <c r="C29" s="4">
        <v>5.0000000000000001E-3</v>
      </c>
      <c r="L29" s="1">
        <f t="shared" si="33"/>
        <v>41153</v>
      </c>
      <c r="M29" s="10">
        <f t="shared" si="0"/>
        <v>159397.80134238928</v>
      </c>
      <c r="N29" s="10">
        <f t="shared" si="23"/>
        <v>231080.11936265157</v>
      </c>
      <c r="O29" s="7">
        <f t="shared" si="24"/>
        <v>0.68979452573431566</v>
      </c>
      <c r="P29" s="7">
        <f t="shared" si="1"/>
        <v>0.91046919625270939</v>
      </c>
      <c r="Q29">
        <v>27</v>
      </c>
      <c r="R29">
        <f t="shared" si="2"/>
        <v>92</v>
      </c>
      <c r="S29" s="22"/>
      <c r="T29" s="22">
        <f>IF($B$10="3BR_H",
INDEX('3BR_H-processed'!$E:$E,MATCH($L29,'3BR_H-processed'!$B:$B,0),MATCH(Council_Area,'3BR_H-processed'!$E$1:$E$1,0)),
INDEX('2BR_F-processed'!$E:$E,MATCH($L29,'2BR_F-processed'!$B:$B,0),MATCH(Council_Area,'2BR_F-processed'!$E$1:$E$1,0)))</f>
        <v>547.4947735191638</v>
      </c>
      <c r="U29" s="22">
        <f t="shared" si="25"/>
        <v>534.16724738675964</v>
      </c>
      <c r="V29" s="22">
        <f t="shared" si="34"/>
        <v>7020.4838227974124</v>
      </c>
      <c r="W29" s="22">
        <f>$B$53/4*BH29/_xlfn.XLOOKUP(Q_end,cpi!A:A,cpi!B:B)</f>
        <v>140.42847270214239</v>
      </c>
      <c r="X29" s="22">
        <f t="shared" si="26"/>
        <v>7160.9122954995546</v>
      </c>
      <c r="Y29" s="22">
        <f t="shared" si="3"/>
        <v>704.16685816351492</v>
      </c>
      <c r="Z29" s="22">
        <f t="shared" si="27"/>
        <v>0</v>
      </c>
      <c r="AA29" s="22" cm="1">
        <f t="array" ref="AA29">(Y29+Z29)*eff_invest</f>
        <v>704.16685816351492</v>
      </c>
      <c r="AB29" s="22">
        <f>AA29*(_xlfn.XLOOKUP(Q_end,cpi!A:A,cpi!B:B)/BH29)</f>
        <v>1002.8833107899666</v>
      </c>
      <c r="AC29" s="22" cm="1">
        <f t="array" ref="AC29">INDEX('msci-indices'!C:C,MATCH($L29,'msci-indices'!$B:$B)-2)</f>
        <v>865.80589099999997</v>
      </c>
      <c r="AD29" s="22" cm="1">
        <f t="array" ref="AD29">INDEX('msci-indices'!D:D,MATCH($L29,'msci-indices'!$B:$B)-2)</f>
        <v>813.09506399999998</v>
      </c>
      <c r="AE29" s="22">
        <f t="shared" si="28"/>
        <v>148655.96277573807</v>
      </c>
      <c r="AF29" s="22" cm="1">
        <f t="array" ref="AF29">INDEX('msci-indices'!C:C,MATCH($L29,'msci-indices'!$B:$B)+1)</f>
        <v>923.89950299999998</v>
      </c>
      <c r="AG29" s="22" cm="1">
        <f t="array" ref="AG29">INDEX('msci-indices'!D:D,MATCH($L29,'msci-indices'!$B:$B)+1)</f>
        <v>883.33647499999995</v>
      </c>
      <c r="AH29" s="22">
        <f t="shared" si="4"/>
        <v>92.909976734836292</v>
      </c>
      <c r="AI29" s="22">
        <f t="shared" si="5"/>
        <v>159397.80134238928</v>
      </c>
      <c r="AJ29" s="22">
        <f t="shared" si="29"/>
        <v>136753.91447100177</v>
      </c>
      <c r="AK29" s="22">
        <f t="shared" si="6"/>
        <v>22643.886871387513</v>
      </c>
      <c r="AL29" s="22">
        <f>AJ29*(_xlfn.XLOOKUP(Q_end,cpi!A:A,cpi!B:B)/BH29)</f>
        <v>194766.64787356256</v>
      </c>
      <c r="AM29" s="22" cm="1">
        <f t="array" ref="AM29">SUMPRODUCT($AA$3:AA29,_xlfn.SORTBY($BH$3:BH29,_xlfn.SEQUENCE(ROWS($BH$3:BH29)),-1)/$BH$3)</f>
        <v>160603.87458464631</v>
      </c>
      <c r="AN29" s="22">
        <f t="shared" si="30"/>
        <v>-1206.0732422570291</v>
      </c>
      <c r="AO29" s="22">
        <f t="shared" si="7"/>
        <v>0</v>
      </c>
      <c r="AP29" s="22">
        <f t="shared" si="31"/>
        <v>159397.80134238928</v>
      </c>
      <c r="AQ29" s="22"/>
      <c r="AR29" s="10">
        <f>IF($B$10="3BR_H",
INDEX('ns-combined'!$C:$C,MATCH($L29,'ns-combined'!$B:$B,0),MATCH(Council_Area,'ns-combined'!$C$1:$C$1,0))*1000,
INDEX('s-combined'!$C:$C,MATCH($L29,'s-combined'!$B:$B,0),MATCH(Council_Area,'s-combined'!$C$1:$C$1,0))*1000)</f>
        <v>540000</v>
      </c>
      <c r="AS29" s="22">
        <f t="shared" si="35"/>
        <v>23051.25</v>
      </c>
      <c r="AT29" s="10">
        <v>0</v>
      </c>
      <c r="AU29" s="22">
        <f t="shared" si="8"/>
        <v>10800</v>
      </c>
      <c r="AV29" s="22">
        <f t="shared" si="9"/>
        <v>1552.5</v>
      </c>
      <c r="AW29" s="22">
        <f>SUM($AV$3:AV29)</f>
        <v>35796.050000000003</v>
      </c>
      <c r="AX29" s="22">
        <f t="shared" si="32"/>
        <v>470352.7</v>
      </c>
      <c r="AY29" s="22">
        <f t="shared" si="10"/>
        <v>2457.1693379790945</v>
      </c>
      <c r="AZ29" s="24">
        <f t="shared" si="11"/>
        <v>1.8201254355400698E-2</v>
      </c>
      <c r="BA29" s="24">
        <f t="shared" si="12"/>
        <v>0.35000000000000003</v>
      </c>
      <c r="BB29" s="25">
        <f>IF(MortgageRate="Discounted",_xlfn.XLOOKUP(L29,'mortgage-rates'!$A:$A,'mortgage-rates'!$E:$E)/100,_xlfn.XLOOKUP(L29,'mortgage-rates'!$A:$A,'mortgage-rates'!$D:$D)/100)</f>
        <v>6.08E-2</v>
      </c>
      <c r="BC29" s="10">
        <f t="shared" si="37"/>
        <v>239272.58063734844</v>
      </c>
      <c r="BD29" s="10">
        <f t="shared" si="13"/>
        <v>5407.9098156839755</v>
      </c>
      <c r="BE29" s="10">
        <f t="shared" si="14"/>
        <v>3636.9432256876962</v>
      </c>
      <c r="BF29" s="10">
        <f t="shared" si="36"/>
        <v>1770.9665899962793</v>
      </c>
      <c r="BG29" s="12">
        <f t="shared" si="15"/>
        <v>7865.0791536630695</v>
      </c>
      <c r="BH29" s="22">
        <f>INDEX(cpi!B:B,MATCH($L29,cpi!A:A))</f>
        <v>101.6</v>
      </c>
      <c r="BI29" s="22">
        <f t="shared" si="16"/>
        <v>120.09456264775415</v>
      </c>
      <c r="BJ29" s="22">
        <f t="shared" si="17"/>
        <v>114.69456564776658</v>
      </c>
      <c r="BK29" s="22">
        <f t="shared" si="18"/>
        <v>114.04557676875227</v>
      </c>
      <c r="BL29" s="22">
        <f t="shared" si="19"/>
        <v>114.49986898406229</v>
      </c>
      <c r="BM29" s="22">
        <f t="shared" si="20"/>
        <v>164.07890962925845</v>
      </c>
      <c r="BN29" s="22">
        <f t="shared" si="21"/>
        <v>158.12591508052708</v>
      </c>
      <c r="BO29">
        <f t="shared" si="22"/>
        <v>141.31731786317934</v>
      </c>
    </row>
    <row r="30" spans="1:67" x14ac:dyDescent="0.25">
      <c r="L30" s="1">
        <f t="shared" si="33"/>
        <v>41244</v>
      </c>
      <c r="M30" s="10">
        <f t="shared" si="0"/>
        <v>166058.1636678559</v>
      </c>
      <c r="N30" s="10">
        <f t="shared" si="23"/>
        <v>250964.46095264785</v>
      </c>
      <c r="O30" s="7">
        <f t="shared" si="24"/>
        <v>0.66167999659197907</v>
      </c>
      <c r="P30" s="7">
        <f t="shared" si="1"/>
        <v>0.92955086187271874</v>
      </c>
      <c r="Q30">
        <v>28</v>
      </c>
      <c r="R30">
        <f t="shared" si="2"/>
        <v>92</v>
      </c>
      <c r="S30" s="22"/>
      <c r="T30" s="22">
        <f>IF($B$10="3BR_H",
INDEX('3BR_H-processed'!$E:$E,MATCH($L30,'3BR_H-processed'!$B:$B,0),MATCH(Council_Area,'3BR_H-processed'!$E$1:$E$1,0)),
INDEX('2BR_F-processed'!$E:$E,MATCH($L30,'2BR_F-processed'!$B:$B,0),MATCH(Council_Area,'2BR_F-processed'!$E$1:$E$1,0)))</f>
        <v>552.82578397212546</v>
      </c>
      <c r="U30" s="22">
        <f t="shared" si="25"/>
        <v>534.16724738675964</v>
      </c>
      <c r="V30" s="22">
        <f t="shared" si="34"/>
        <v>7020.4838227974124</v>
      </c>
      <c r="W30" s="22">
        <f>$B$53/4*BH30/_xlfn.XLOOKUP(Q_end,cpi!A:A,cpi!B:B)</f>
        <v>140.98134070490673</v>
      </c>
      <c r="X30" s="22">
        <f t="shared" si="26"/>
        <v>7161.4651635023192</v>
      </c>
      <c r="Y30" s="22">
        <f t="shared" si="3"/>
        <v>542.75572127474425</v>
      </c>
      <c r="Z30" s="22">
        <f t="shared" si="27"/>
        <v>0</v>
      </c>
      <c r="AA30" s="22" cm="1">
        <f t="array" ref="AA30">(Y30+Z30)*eff_invest</f>
        <v>542.75572127474425</v>
      </c>
      <c r="AB30" s="22">
        <f>AA30*(_xlfn.XLOOKUP(Q_end,cpi!A:A,cpi!B:B)/BH30)</f>
        <v>769.96816537701454</v>
      </c>
      <c r="AC30" s="22" cm="1">
        <f t="array" ref="AC30">INDEX('msci-indices'!C:C,MATCH($L30,'msci-indices'!$B:$B)-2)</f>
        <v>923.89950299999998</v>
      </c>
      <c r="AD30" s="22" cm="1">
        <f t="array" ref="AD30">INDEX('msci-indices'!D:D,MATCH($L30,'msci-indices'!$B:$B)-2)</f>
        <v>883.33647499999995</v>
      </c>
      <c r="AE30" s="22">
        <f t="shared" si="28"/>
        <v>159940.55706366402</v>
      </c>
      <c r="AF30" s="22" cm="1">
        <f t="array" ref="AF30">INDEX('msci-indices'!C:C,MATCH($L30,'msci-indices'!$B:$B)+1)</f>
        <v>948.15110700000002</v>
      </c>
      <c r="AG30" s="22" cm="1">
        <f t="array" ref="AG30">INDEX('msci-indices'!D:D,MATCH($L30,'msci-indices'!$B:$B)+1)</f>
        <v>943.69728799999996</v>
      </c>
      <c r="AH30" s="22">
        <f t="shared" si="4"/>
        <v>99.962848164790017</v>
      </c>
      <c r="AI30" s="22">
        <f t="shared" si="5"/>
        <v>166058.1636678559</v>
      </c>
      <c r="AJ30" s="22">
        <f t="shared" si="29"/>
        <v>137296.67019227651</v>
      </c>
      <c r="AK30" s="22">
        <f t="shared" si="6"/>
        <v>28761.493475579395</v>
      </c>
      <c r="AL30" s="22">
        <f>AJ30*(_xlfn.XLOOKUP(Q_end,cpi!A:A,cpi!B:B)/BH30)</f>
        <v>194772.82526296479</v>
      </c>
      <c r="AM30" s="22" cm="1">
        <f t="array" ref="AM30">SUMPRODUCT($AA$3:AA30,_xlfn.SORTBY($BH$3:BH30,_xlfn.SEQUENCE(ROWS($BH$3:BH30)),-1)/$BH$3)</f>
        <v>161931.76755068178</v>
      </c>
      <c r="AN30" s="22">
        <f t="shared" si="30"/>
        <v>4126.3961171741248</v>
      </c>
      <c r="AO30" s="22">
        <f t="shared" si="7"/>
        <v>0</v>
      </c>
      <c r="AP30" s="22">
        <f t="shared" si="31"/>
        <v>166058.1636678559</v>
      </c>
      <c r="AQ30" s="22"/>
      <c r="AR30" s="10">
        <f>IF($B$10="3BR_H",
INDEX('ns-combined'!$C:$C,MATCH($L30,'ns-combined'!$B:$B,0),MATCH(Council_Area,'ns-combined'!$C$1:$C$1,0))*1000,
INDEX('s-combined'!$C:$C,MATCH($L30,'s-combined'!$B:$B,0),MATCH(Council_Area,'s-combined'!$C$1:$C$1,0))*1000)</f>
        <v>561000</v>
      </c>
      <c r="AS30" s="22">
        <f t="shared" si="35"/>
        <v>23905</v>
      </c>
      <c r="AT30" s="10">
        <v>0</v>
      </c>
      <c r="AU30" s="22">
        <f t="shared" si="8"/>
        <v>11220</v>
      </c>
      <c r="AV30" s="22">
        <f t="shared" si="9"/>
        <v>1612.875</v>
      </c>
      <c r="AW30" s="22">
        <f>SUM($AV$3:AV30)</f>
        <v>37408.925000000003</v>
      </c>
      <c r="AX30" s="22">
        <f t="shared" si="32"/>
        <v>488466.07500000001</v>
      </c>
      <c r="AY30" s="22">
        <f t="shared" si="10"/>
        <v>2457.1693379790945</v>
      </c>
      <c r="AZ30" s="24">
        <f t="shared" si="11"/>
        <v>1.7519923978460566E-2</v>
      </c>
      <c r="BA30" s="24">
        <f t="shared" si="12"/>
        <v>0.35000000000000003</v>
      </c>
      <c r="BB30" s="25">
        <f>IF(MortgageRate="Discounted",_xlfn.XLOOKUP(L30,'mortgage-rates'!$A:$A,'mortgage-rates'!$E:$E)/100,_xlfn.XLOOKUP(L30,'mortgage-rates'!$A:$A,'mortgage-rates'!$D:$D)/100)</f>
        <v>5.6799999999999996E-2</v>
      </c>
      <c r="BC30" s="10">
        <f t="shared" si="37"/>
        <v>237501.61404735217</v>
      </c>
      <c r="BD30" s="10">
        <f t="shared" si="13"/>
        <v>5247.0515467979694</v>
      </c>
      <c r="BE30" s="10">
        <f t="shared" si="14"/>
        <v>3372.5229194724006</v>
      </c>
      <c r="BF30" s="10">
        <f t="shared" si="36"/>
        <v>1874.5286273255688</v>
      </c>
      <c r="BG30" s="12">
        <f t="shared" si="15"/>
        <v>7704.2208847770635</v>
      </c>
      <c r="BH30" s="22">
        <f>INDEX(cpi!B:B,MATCH($L30,cpi!A:A))</f>
        <v>102</v>
      </c>
      <c r="BI30" s="22">
        <f t="shared" si="16"/>
        <v>120.56737588652483</v>
      </c>
      <c r="BJ30" s="22">
        <f t="shared" si="17"/>
        <v>122.39031092336657</v>
      </c>
      <c r="BK30" s="22">
        <f t="shared" si="18"/>
        <v>123.89771163615318</v>
      </c>
      <c r="BL30" s="22">
        <f t="shared" si="19"/>
        <v>122.84253113720254</v>
      </c>
      <c r="BM30" s="22">
        <f t="shared" si="20"/>
        <v>176.53427227868485</v>
      </c>
      <c r="BN30" s="22">
        <f t="shared" si="21"/>
        <v>164.2752562225476</v>
      </c>
      <c r="BO30">
        <f t="shared" si="22"/>
        <v>146.75947557259607</v>
      </c>
    </row>
    <row r="31" spans="1:67" x14ac:dyDescent="0.25">
      <c r="A31" s="5" t="s">
        <v>20</v>
      </c>
      <c r="L31" s="1">
        <f t="shared" si="33"/>
        <v>41334</v>
      </c>
      <c r="M31" s="10">
        <f t="shared" si="0"/>
        <v>179809.8854516079</v>
      </c>
      <c r="N31" s="10">
        <f t="shared" si="23"/>
        <v>220081.48957997342</v>
      </c>
      <c r="O31" s="7">
        <f t="shared" si="24"/>
        <v>0.81701503290792843</v>
      </c>
      <c r="P31" s="7">
        <f t="shared" si="1"/>
        <v>0.95725029512909598</v>
      </c>
      <c r="Q31">
        <v>29</v>
      </c>
      <c r="R31">
        <f t="shared" si="2"/>
        <v>90</v>
      </c>
      <c r="S31" s="22"/>
      <c r="T31" s="22">
        <f>IF($B$10="3BR_H",
INDEX('3BR_H-processed'!$E:$E,MATCH($L31,'3BR_H-processed'!$B:$B,0),MATCH(Council_Area,'3BR_H-processed'!$E$1:$E$1,0)),
INDEX('2BR_F-processed'!$E:$E,MATCH($L31,'2BR_F-processed'!$B:$B,0),MATCH(Council_Area,'2BR_F-processed'!$E$1:$E$1,0)))</f>
        <v>568.28571428571422</v>
      </c>
      <c r="U31" s="22">
        <f t="shared" si="25"/>
        <v>568.28571428571422</v>
      </c>
      <c r="V31" s="22">
        <f t="shared" si="34"/>
        <v>7306.5306122448974</v>
      </c>
      <c r="W31" s="22">
        <f>$B$53/4*BH31/_xlfn.XLOOKUP(Q_end,cpi!A:A,cpi!B:B)</f>
        <v>141.53420870767104</v>
      </c>
      <c r="X31" s="22">
        <f t="shared" si="26"/>
        <v>7448.064820952568</v>
      </c>
      <c r="Y31" s="22">
        <f t="shared" si="3"/>
        <v>332.62206820437132</v>
      </c>
      <c r="Z31" s="22">
        <f t="shared" si="27"/>
        <v>0</v>
      </c>
      <c r="AA31" s="22" cm="1">
        <f t="array" ref="AA31">(Y31+Z31)*eff_invest</f>
        <v>332.62206820437132</v>
      </c>
      <c r="AB31" s="22">
        <f>AA31*(_xlfn.XLOOKUP(Q_end,cpi!A:A,cpi!B:B)/BH31)</f>
        <v>470.02356708176291</v>
      </c>
      <c r="AC31" s="22" cm="1">
        <f t="array" ref="AC31">INDEX('msci-indices'!C:C,MATCH($L31,'msci-indices'!$B:$B)-2)</f>
        <v>948.15110700000002</v>
      </c>
      <c r="AD31" s="22" cm="1">
        <f t="array" ref="AD31">INDEX('msci-indices'!D:D,MATCH($L31,'msci-indices'!$B:$B)-2)</f>
        <v>943.69728799999996</v>
      </c>
      <c r="AE31" s="22">
        <f t="shared" si="28"/>
        <v>166390.78573606026</v>
      </c>
      <c r="AF31" s="22" cm="1">
        <f t="array" ref="AF31">INDEX('msci-indices'!C:C,MATCH($L31,'msci-indices'!$B:$B)+1)</f>
        <v>1024.705295</v>
      </c>
      <c r="AG31" s="22" cm="1">
        <f t="array" ref="AG31">INDEX('msci-indices'!D:D,MATCH($L31,'msci-indices'!$B:$B)+1)</f>
        <v>1021.5672520000001</v>
      </c>
      <c r="AH31" s="22">
        <f t="shared" si="4"/>
        <v>103.99424108503767</v>
      </c>
      <c r="AI31" s="22">
        <f t="shared" si="5"/>
        <v>179809.8854516079</v>
      </c>
      <c r="AJ31" s="22">
        <f t="shared" si="29"/>
        <v>137629.29226048087</v>
      </c>
      <c r="AK31" s="22">
        <f t="shared" si="6"/>
        <v>42180.593191127031</v>
      </c>
      <c r="AL31" s="22">
        <f>AJ31*(_xlfn.XLOOKUP(Q_end,cpi!A:A,cpi!B:B)/BH31)</f>
        <v>194482.01748136309</v>
      </c>
      <c r="AM31" s="22" cm="1">
        <f t="array" ref="AM31">SUMPRODUCT($AA$3:AA31,_xlfn.SORTBY($BH$3:BH31,_xlfn.SEQUENCE(ROWS($BH$3:BH31)),-1)/$BH$3)</f>
        <v>163047.55165934828</v>
      </c>
      <c r="AN31" s="22">
        <f t="shared" si="30"/>
        <v>16762.333792259626</v>
      </c>
      <c r="AO31" s="22">
        <f t="shared" si="7"/>
        <v>0</v>
      </c>
      <c r="AP31" s="22">
        <f t="shared" si="31"/>
        <v>179809.8854516079</v>
      </c>
      <c r="AQ31" s="22"/>
      <c r="AR31" s="10">
        <f>IF($B$10="3BR_H",
INDEX('ns-combined'!$C:$C,MATCH($L31,'ns-combined'!$B:$B,0),MATCH(Council_Area,'ns-combined'!$C$1:$C$1,0))*1000,
INDEX('s-combined'!$C:$C,MATCH($L31,'s-combined'!$B:$B,0),MATCH(Council_Area,'s-combined'!$C$1:$C$1,0))*1000)</f>
        <v>530000</v>
      </c>
      <c r="AS31" s="22">
        <f t="shared" si="35"/>
        <v>24758.75</v>
      </c>
      <c r="AT31" s="10">
        <v>0</v>
      </c>
      <c r="AU31" s="22">
        <f t="shared" si="8"/>
        <v>10600</v>
      </c>
      <c r="AV31" s="22">
        <f t="shared" si="9"/>
        <v>1523.75</v>
      </c>
      <c r="AW31" s="22">
        <f>SUM($AV$3:AV31)</f>
        <v>38932.675000000003</v>
      </c>
      <c r="AX31" s="22">
        <f t="shared" si="32"/>
        <v>455708.57500000001</v>
      </c>
      <c r="AY31" s="22">
        <f t="shared" si="10"/>
        <v>2557.2857142857142</v>
      </c>
      <c r="AZ31" s="24">
        <f t="shared" si="11"/>
        <v>1.9300269541778974E-2</v>
      </c>
      <c r="BA31" s="24">
        <f t="shared" si="12"/>
        <v>0.35000000000000003</v>
      </c>
      <c r="BB31" s="25">
        <f>IF(MortgageRate="Discounted",_xlfn.XLOOKUP(L31,'mortgage-rates'!$A:$A,'mortgage-rates'!$E:$E)/100,_xlfn.XLOOKUP(L31,'mortgage-rates'!$A:$A,'mortgage-rates'!$D:$D)/100)</f>
        <v>5.62E-2</v>
      </c>
      <c r="BC31" s="10">
        <f t="shared" si="37"/>
        <v>235627.08542002659</v>
      </c>
      <c r="BD31" s="10">
        <f t="shared" si="13"/>
        <v>5223.4011748712246</v>
      </c>
      <c r="BE31" s="10">
        <f t="shared" si="14"/>
        <v>3310.5605501513737</v>
      </c>
      <c r="BF31" s="10">
        <f t="shared" si="36"/>
        <v>1912.8406247198509</v>
      </c>
      <c r="BG31" s="12">
        <f t="shared" si="15"/>
        <v>7780.6868891569393</v>
      </c>
      <c r="BH31" s="22">
        <f>INDEX(cpi!B:B,MATCH($L31,cpi!A:A))</f>
        <v>102.4</v>
      </c>
      <c r="BI31" s="22">
        <f t="shared" si="16"/>
        <v>121.04018912529551</v>
      </c>
      <c r="BJ31" s="22">
        <f t="shared" si="17"/>
        <v>125.60295617786929</v>
      </c>
      <c r="BK31" s="22">
        <f t="shared" si="18"/>
        <v>132.36398333992017</v>
      </c>
      <c r="BL31" s="22">
        <f t="shared" si="19"/>
        <v>127.63126432648455</v>
      </c>
      <c r="BM31" s="22">
        <f t="shared" si="20"/>
        <v>183.65370743395525</v>
      </c>
      <c r="BN31" s="22">
        <f t="shared" si="21"/>
        <v>155.19765739385065</v>
      </c>
      <c r="BO31">
        <f t="shared" si="22"/>
        <v>136.91749520360256</v>
      </c>
    </row>
    <row r="32" spans="1:67" x14ac:dyDescent="0.25">
      <c r="A32" t="s">
        <v>15</v>
      </c>
      <c r="B32" s="8">
        <v>7.0000000000000007E-2</v>
      </c>
      <c r="C32" s="8">
        <v>7.0000000000000007E-2</v>
      </c>
      <c r="L32" s="1">
        <f t="shared" si="33"/>
        <v>41426</v>
      </c>
      <c r="M32" s="10">
        <f t="shared" si="0"/>
        <v>178834.91682244226</v>
      </c>
      <c r="N32" s="10">
        <f t="shared" si="23"/>
        <v>229388.08020469328</v>
      </c>
      <c r="O32" s="7">
        <f t="shared" si="24"/>
        <v>0.77961730471286839</v>
      </c>
      <c r="P32" s="7">
        <f t="shared" si="1"/>
        <v>0.97684931209540937</v>
      </c>
      <c r="Q32">
        <v>30</v>
      </c>
      <c r="R32">
        <f t="shared" si="2"/>
        <v>91</v>
      </c>
      <c r="S32" s="22"/>
      <c r="T32" s="22">
        <f>IF($B$10="3BR_H",
INDEX('3BR_H-processed'!$E:$E,MATCH($L32,'3BR_H-processed'!$B:$B,0),MATCH(Council_Area,'3BR_H-processed'!$E$1:$E$1,0)),
INDEX('2BR_F-processed'!$E:$E,MATCH($L32,'2BR_F-processed'!$B:$B,0),MATCH(Council_Area,'2BR_F-processed'!$E$1:$E$1,0)))</f>
        <v>579.48083623693378</v>
      </c>
      <c r="U32" s="22">
        <f t="shared" si="25"/>
        <v>568.28571428571422</v>
      </c>
      <c r="V32" s="22">
        <f t="shared" si="34"/>
        <v>7387.7142857142844</v>
      </c>
      <c r="W32" s="22">
        <f>$B$53/4*BH32/_xlfn.XLOOKUP(Q_end,cpi!A:A,cpi!B:B)</f>
        <v>142.22529371112648</v>
      </c>
      <c r="X32" s="22">
        <f t="shared" si="26"/>
        <v>7529.9395794254106</v>
      </c>
      <c r="Y32" s="22">
        <f>BG32-X32</f>
        <v>178.45462855449659</v>
      </c>
      <c r="Z32" s="22">
        <f t="shared" si="27"/>
        <v>0</v>
      </c>
      <c r="AA32" s="22" cm="1">
        <f t="array" ref="AA32">(Y32+Z32)*eff_invest</f>
        <v>178.45462855449659</v>
      </c>
      <c r="AB32" s="22">
        <f>AA32*(_xlfn.XLOOKUP(Q_end,cpi!A:A,cpi!B:B)/BH32)</f>
        <v>250.94640186429206</v>
      </c>
      <c r="AC32" s="22" cm="1">
        <f t="array" ref="AC32">INDEX('msci-indices'!C:C,MATCH($L32,'msci-indices'!$B:$B)-2)</f>
        <v>1024.705295</v>
      </c>
      <c r="AD32" s="22" cm="1">
        <f t="array" ref="AD32">INDEX('msci-indices'!D:D,MATCH($L32,'msci-indices'!$B:$B)-2)</f>
        <v>1021.5672520000001</v>
      </c>
      <c r="AE32" s="22">
        <f t="shared" si="28"/>
        <v>179988.34008016239</v>
      </c>
      <c r="AF32" s="22" cm="1">
        <f t="array" ref="AF32">INDEX('msci-indices'!C:C,MATCH($L32,'msci-indices'!$B:$B)+1)</f>
        <v>1030.5183939999999</v>
      </c>
      <c r="AG32" s="22" cm="1">
        <f t="array" ref="AG32">INDEX('msci-indices'!D:D,MATCH($L32,'msci-indices'!$B:$B)+1)</f>
        <v>988.35138400000005</v>
      </c>
      <c r="AH32" s="22">
        <f t="shared" si="4"/>
        <v>112.4927125501015</v>
      </c>
      <c r="AI32" s="22">
        <f t="shared" si="5"/>
        <v>178834.91682244226</v>
      </c>
      <c r="AJ32" s="22">
        <f t="shared" si="29"/>
        <v>137807.74688903536</v>
      </c>
      <c r="AK32" s="22">
        <f t="shared" si="6"/>
        <v>41027.169933406898</v>
      </c>
      <c r="AL32" s="22">
        <f>AJ32*(_xlfn.XLOOKUP(Q_end,cpi!A:A,cpi!B:B)/BH32)</f>
        <v>193787.95893919742</v>
      </c>
      <c r="AM32" s="22" cm="1">
        <f t="array" ref="AM32">SUMPRODUCT($AA$3:AA32,_xlfn.SORTBY($BH$3:BH32,_xlfn.SEQUENCE(ROWS($BH$3:BH32)),-1)/$BH$3)</f>
        <v>164113.13600241879</v>
      </c>
      <c r="AN32" s="22">
        <f t="shared" si="30"/>
        <v>14721.780820023472</v>
      </c>
      <c r="AO32" s="22">
        <f t="shared" si="7"/>
        <v>0</v>
      </c>
      <c r="AP32" s="22">
        <f t="shared" si="31"/>
        <v>178834.91682244226</v>
      </c>
      <c r="AQ32" s="22"/>
      <c r="AR32" s="10">
        <f>IF($B$10="3BR_H",
INDEX('ns-combined'!$C:$C,MATCH($L32,'ns-combined'!$B:$B,0),MATCH(Council_Area,'ns-combined'!$C$1:$C$1,0))*1000,
INDEX('s-combined'!$C:$C,MATCH($L32,'s-combined'!$B:$B,0),MATCH(Council_Area,'s-combined'!$C$1:$C$1,0))*1000)</f>
        <v>540000</v>
      </c>
      <c r="AS32" s="22">
        <f t="shared" si="35"/>
        <v>25612.5</v>
      </c>
      <c r="AT32" s="10">
        <v>0</v>
      </c>
      <c r="AU32" s="22">
        <f t="shared" si="8"/>
        <v>10800</v>
      </c>
      <c r="AV32" s="22">
        <f t="shared" si="9"/>
        <v>1552.5</v>
      </c>
      <c r="AW32" s="22">
        <f>SUM($AV$3:AV32)</f>
        <v>40485.175000000003</v>
      </c>
      <c r="AX32" s="22">
        <f t="shared" si="32"/>
        <v>463102.32500000001</v>
      </c>
      <c r="AY32" s="22">
        <f t="shared" si="10"/>
        <v>2585.6999999999998</v>
      </c>
      <c r="AZ32" s="24">
        <f t="shared" si="11"/>
        <v>1.9153333333333331E-2</v>
      </c>
      <c r="BA32" s="24">
        <f t="shared" si="12"/>
        <v>0.35000000000000003</v>
      </c>
      <c r="BB32" s="25">
        <f>IF(MortgageRate="Discounted",_xlfn.XLOOKUP(L32,'mortgage-rates'!$A:$A,'mortgage-rates'!$E:$E)/100,_xlfn.XLOOKUP(L32,'mortgage-rates'!$A:$A,'mortgage-rates'!$D:$D)/100)</f>
        <v>5.3600000000000002E-2</v>
      </c>
      <c r="BC32" s="10">
        <f t="shared" si="37"/>
        <v>233714.24479530673</v>
      </c>
      <c r="BD32" s="10">
        <f t="shared" si="13"/>
        <v>5122.6942079799073</v>
      </c>
      <c r="BE32" s="10">
        <f t="shared" si="14"/>
        <v>3131.7708802571101</v>
      </c>
      <c r="BF32" s="10">
        <f t="shared" si="36"/>
        <v>1990.9233277227972</v>
      </c>
      <c r="BG32" s="12">
        <f t="shared" si="15"/>
        <v>7708.3942079799072</v>
      </c>
      <c r="BH32" s="22">
        <f>INDEX(cpi!B:B,MATCH($L32,cpi!A:A))</f>
        <v>102.9</v>
      </c>
      <c r="BI32" s="22">
        <f t="shared" si="16"/>
        <v>121.63120567375887</v>
      </c>
      <c r="BJ32" s="22">
        <f t="shared" si="17"/>
        <v>135.74420080608061</v>
      </c>
      <c r="BK32" s="22">
        <f t="shared" si="18"/>
        <v>143.28610714873224</v>
      </c>
      <c r="BL32" s="22">
        <f t="shared" si="19"/>
        <v>138.0067727088761</v>
      </c>
      <c r="BM32" s="22">
        <f t="shared" si="20"/>
        <v>198.66199804501301</v>
      </c>
      <c r="BN32" s="22">
        <f t="shared" si="21"/>
        <v>158.12591508052708</v>
      </c>
      <c r="BO32">
        <f t="shared" si="22"/>
        <v>139.1389450197743</v>
      </c>
    </row>
    <row r="33" spans="1:67" x14ac:dyDescent="0.25">
      <c r="A33" t="s">
        <v>17</v>
      </c>
      <c r="B33" s="8">
        <v>0.16</v>
      </c>
      <c r="C33" s="8">
        <v>0.16</v>
      </c>
      <c r="L33" s="1">
        <f t="shared" si="33"/>
        <v>41518</v>
      </c>
      <c r="M33" s="10">
        <f t="shared" si="0"/>
        <v>194978.69648679637</v>
      </c>
      <c r="N33" s="10">
        <f t="shared" si="23"/>
        <v>258286.50353241607</v>
      </c>
      <c r="O33" s="7">
        <f t="shared" si="24"/>
        <v>0.75489308895431972</v>
      </c>
      <c r="P33" s="7">
        <f t="shared" si="1"/>
        <v>0.99760953326760637</v>
      </c>
      <c r="Q33">
        <v>31</v>
      </c>
      <c r="R33">
        <f t="shared" si="2"/>
        <v>92</v>
      </c>
      <c r="S33" s="22"/>
      <c r="T33" s="22">
        <f>IF($B$10="3BR_H",
INDEX('3BR_H-processed'!$E:$E,MATCH($L33,'3BR_H-processed'!$B:$B,0),MATCH(Council_Area,'3BR_H-processed'!$E$1:$E$1,0)),
INDEX('2BR_F-processed'!$E:$E,MATCH($L33,'2BR_F-processed'!$B:$B,0),MATCH(Council_Area,'2BR_F-processed'!$E$1:$E$1,0)))</f>
        <v>590.67595818815323</v>
      </c>
      <c r="U33" s="22">
        <f t="shared" si="25"/>
        <v>568.28571428571422</v>
      </c>
      <c r="V33" s="22">
        <f t="shared" si="34"/>
        <v>7468.8979591836733</v>
      </c>
      <c r="W33" s="22">
        <f>$B$53/4*BH33/_xlfn.XLOOKUP(Q_end,cpi!A:A,cpi!B:B)</f>
        <v>143.60746371803734</v>
      </c>
      <c r="X33" s="22">
        <f t="shared" si="26"/>
        <v>7612.5054229017105</v>
      </c>
      <c r="Y33" s="22">
        <f t="shared" si="3"/>
        <v>18.241045576226497</v>
      </c>
      <c r="Z33" s="22">
        <f t="shared" si="27"/>
        <v>0</v>
      </c>
      <c r="AA33" s="22" cm="1">
        <f t="array" ref="AA33">(Y33+Z33)*eff_invest</f>
        <v>18.241045576226497</v>
      </c>
      <c r="AB33" s="22">
        <f>AA33*(_xlfn.XLOOKUP(Q_end,cpi!A:A,cpi!B:B)/BH33)</f>
        <v>25.404035561886179</v>
      </c>
      <c r="AC33" s="22" cm="1">
        <f t="array" ref="AC33">INDEX('msci-indices'!C:C,MATCH($L33,'msci-indices'!$B:$B)-2)</f>
        <v>1030.5183939999999</v>
      </c>
      <c r="AD33" s="22" cm="1">
        <f t="array" ref="AD33">INDEX('msci-indices'!D:D,MATCH($L33,'msci-indices'!$B:$B)-2)</f>
        <v>988.35138400000005</v>
      </c>
      <c r="AE33" s="22">
        <f t="shared" si="28"/>
        <v>178853.15786801849</v>
      </c>
      <c r="AF33" s="22" cm="1">
        <f t="array" ref="AF33">INDEX('msci-indices'!C:C,MATCH($L33,'msci-indices'!$B:$B)+1)</f>
        <v>1119.437079</v>
      </c>
      <c r="AG33" s="22" cm="1">
        <f t="array" ref="AG33">INDEX('msci-indices'!D:D,MATCH($L33,'msci-indices'!$B:$B)+1)</f>
        <v>1088.458187</v>
      </c>
      <c r="AH33" s="22">
        <f t="shared" si="4"/>
        <v>111.78322366751156</v>
      </c>
      <c r="AI33" s="22">
        <f t="shared" si="5"/>
        <v>194978.69648679637</v>
      </c>
      <c r="AJ33" s="22">
        <f t="shared" si="29"/>
        <v>137825.98793461159</v>
      </c>
      <c r="AK33" s="22">
        <f t="shared" si="6"/>
        <v>57152.708552184777</v>
      </c>
      <c r="AL33" s="22">
        <f>AJ33*(_xlfn.XLOOKUP(Q_end,cpi!A:A,cpi!B:B)/BH33)</f>
        <v>191948.22381268811</v>
      </c>
      <c r="AM33" s="22" cm="1">
        <f t="array" ref="AM33">SUMPRODUCT($AA$3:AA33,_xlfn.SORTBY($BH$3:BH33,_xlfn.SEQUENCE(ROWS($BH$3:BH33)),-1)/$BH$3)</f>
        <v>165543.96463991876</v>
      </c>
      <c r="AN33" s="22">
        <f t="shared" si="30"/>
        <v>29434.731846877607</v>
      </c>
      <c r="AO33" s="22">
        <f t="shared" si="7"/>
        <v>0</v>
      </c>
      <c r="AP33" s="22">
        <f t="shared" si="31"/>
        <v>194978.69648679637</v>
      </c>
      <c r="AQ33" s="22"/>
      <c r="AR33" s="10">
        <f>IF($B$10="3BR_H",
INDEX('ns-combined'!$C:$C,MATCH($L33,'ns-combined'!$B:$B,0),MATCH(Council_Area,'ns-combined'!$C$1:$C$1,0))*1000,
INDEX('s-combined'!$C:$C,MATCH($L33,'s-combined'!$B:$B,0),MATCH(Council_Area,'s-combined'!$C$1:$C$1,0))*1000)</f>
        <v>570000</v>
      </c>
      <c r="AS33" s="22">
        <f t="shared" si="35"/>
        <v>26466.25</v>
      </c>
      <c r="AT33" s="10">
        <v>0</v>
      </c>
      <c r="AU33" s="22">
        <f t="shared" si="8"/>
        <v>11400</v>
      </c>
      <c r="AV33" s="22">
        <f t="shared" si="9"/>
        <v>1638.75</v>
      </c>
      <c r="AW33" s="22">
        <f>SUM($AV$3:AV33)</f>
        <v>42123.925000000003</v>
      </c>
      <c r="AX33" s="22">
        <f t="shared" si="32"/>
        <v>490009.82500000001</v>
      </c>
      <c r="AY33" s="22">
        <f t="shared" si="10"/>
        <v>2614.1142857142859</v>
      </c>
      <c r="AZ33" s="24">
        <f t="shared" si="11"/>
        <v>1.8344661654135338E-2</v>
      </c>
      <c r="BA33" s="24">
        <f t="shared" si="12"/>
        <v>0.35000000000000003</v>
      </c>
      <c r="BB33" s="25">
        <f>IF(MortgageRate="Discounted",_xlfn.XLOOKUP(L33,'mortgage-rates'!$A:$A,'mortgage-rates'!$E:$E)/100,_xlfn.XLOOKUP(L33,'mortgage-rates'!$A:$A,'mortgage-rates'!$D:$D)/100)</f>
        <v>5.0799999999999998E-2</v>
      </c>
      <c r="BC33" s="10">
        <f t="shared" si="37"/>
        <v>231723.32146758394</v>
      </c>
      <c r="BD33" s="10">
        <f t="shared" si="13"/>
        <v>5016.6321827636511</v>
      </c>
      <c r="BE33" s="10">
        <f t="shared" si="14"/>
        <v>2942.8861826383159</v>
      </c>
      <c r="BF33" s="10">
        <f t="shared" si="36"/>
        <v>2073.7460001253353</v>
      </c>
      <c r="BG33" s="12">
        <f t="shared" si="15"/>
        <v>7630.746468477937</v>
      </c>
      <c r="BH33" s="22">
        <f>INDEX(cpi!B:B,MATCH($L33,cpi!A:A))</f>
        <v>103.9</v>
      </c>
      <c r="BI33" s="22">
        <f t="shared" si="16"/>
        <v>122.81323877068559</v>
      </c>
      <c r="BJ33" s="22">
        <f t="shared" si="17"/>
        <v>136.51427048544301</v>
      </c>
      <c r="BK33" s="22">
        <f t="shared" si="18"/>
        <v>138.62721424474736</v>
      </c>
      <c r="BL33" s="22">
        <f t="shared" si="19"/>
        <v>137.14815361323431</v>
      </c>
      <c r="BM33" s="22">
        <f t="shared" si="20"/>
        <v>197.40904151288862</v>
      </c>
      <c r="BN33" s="22">
        <f t="shared" si="21"/>
        <v>166.91068814055637</v>
      </c>
      <c r="BO33">
        <f t="shared" si="22"/>
        <v>147.22329476498356</v>
      </c>
    </row>
    <row r="34" spans="1:67" x14ac:dyDescent="0.25">
      <c r="A34" t="s">
        <v>16</v>
      </c>
      <c r="B34" s="8">
        <v>7.0000000000000007E-2</v>
      </c>
      <c r="C34" s="8">
        <v>7.0000000000000007E-2</v>
      </c>
      <c r="L34" s="1">
        <f t="shared" si="33"/>
        <v>41609</v>
      </c>
      <c r="M34" s="10">
        <f t="shared" si="0"/>
        <v>207645.20362177922</v>
      </c>
      <c r="N34" s="10">
        <f t="shared" si="23"/>
        <v>266661.87453254138</v>
      </c>
      <c r="O34" s="7">
        <f t="shared" si="24"/>
        <v>0.77868350691594568</v>
      </c>
      <c r="P34" s="7">
        <f t="shared" si="1"/>
        <v>0.99678159325369697</v>
      </c>
      <c r="Q34">
        <v>32</v>
      </c>
      <c r="R34">
        <f t="shared" si="2"/>
        <v>92</v>
      </c>
      <c r="S34" s="22"/>
      <c r="T34" s="22">
        <f>IF($B$10="3BR_H",
INDEX('3BR_H-processed'!$E:$E,MATCH($L34,'3BR_H-processed'!$B:$B,0),MATCH(Council_Area,'3BR_H-processed'!$E$1:$E$1,0)),
INDEX('2BR_F-processed'!$E:$E,MATCH($L34,'2BR_F-processed'!$B:$B,0),MATCH(Council_Area,'2BR_F-processed'!$E$1:$E$1,0)))</f>
        <v>599.20557491289208</v>
      </c>
      <c r="U34" s="22">
        <f t="shared" si="25"/>
        <v>568.28571428571422</v>
      </c>
      <c r="V34" s="22">
        <f t="shared" si="34"/>
        <v>7468.8979591836733</v>
      </c>
      <c r="W34" s="22">
        <f>$B$53/4*BH34/_xlfn.XLOOKUP(Q_end,cpi!A:A,cpi!B:B)</f>
        <v>144.71319972356602</v>
      </c>
      <c r="X34" s="22">
        <f t="shared" si="26"/>
        <v>7613.6111589072389</v>
      </c>
      <c r="Y34" s="22">
        <f t="shared" si="3"/>
        <v>24.582815015242886</v>
      </c>
      <c r="Z34" s="22">
        <f t="shared" si="27"/>
        <v>0</v>
      </c>
      <c r="AA34" s="22" cm="1">
        <f t="array" ref="AA34">(Y34+Z34)*eff_invest</f>
        <v>24.582815015242886</v>
      </c>
      <c r="AB34" s="22">
        <f>AA34*(_xlfn.XLOOKUP(Q_end,cpi!A:A,cpi!B:B)/BH34)</f>
        <v>33.974530398334721</v>
      </c>
      <c r="AC34" s="22" cm="1">
        <f t="array" ref="AC34">INDEX('msci-indices'!C:C,MATCH($L34,'msci-indices'!$B:$B)-2)</f>
        <v>1119.437079</v>
      </c>
      <c r="AD34" s="22" cm="1">
        <f t="array" ref="AD34">INDEX('msci-indices'!D:D,MATCH($L34,'msci-indices'!$B:$B)-2)</f>
        <v>1088.458187</v>
      </c>
      <c r="AE34" s="22">
        <f t="shared" si="28"/>
        <v>195003.27930181162</v>
      </c>
      <c r="AF34" s="22" cm="1">
        <f t="array" ref="AF34">INDEX('msci-indices'!C:C,MATCH($L34,'msci-indices'!$B:$B)+1)</f>
        <v>1208.107446</v>
      </c>
      <c r="AG34" s="22" cm="1">
        <f t="array" ref="AG34">INDEX('msci-indices'!D:D,MATCH($L34,'msci-indices'!$B:$B)+1)</f>
        <v>1124.7671330000001</v>
      </c>
      <c r="AH34" s="22">
        <f t="shared" si="4"/>
        <v>121.87704956363227</v>
      </c>
      <c r="AI34" s="22">
        <f t="shared" si="5"/>
        <v>207645.20362177922</v>
      </c>
      <c r="AJ34" s="22">
        <f t="shared" si="29"/>
        <v>137850.57074962684</v>
      </c>
      <c r="AK34" s="22">
        <f t="shared" si="6"/>
        <v>69794.632872152375</v>
      </c>
      <c r="AL34" s="22">
        <f>AJ34*(_xlfn.XLOOKUP(Q_end,cpi!A:A,cpi!B:B)/BH34)</f>
        <v>190515.54524805158</v>
      </c>
      <c r="AM34" s="22" cm="1">
        <f t="array" ref="AM34">SUMPRODUCT($AA$3:AA34,_xlfn.SORTBY($BH$3:BH34,_xlfn.SEQUENCE(ROWS($BH$3:BH34)),-1)/$BH$3)</f>
        <v>166763.4089441963</v>
      </c>
      <c r="AN34" s="22">
        <f t="shared" si="30"/>
        <v>40881.794677582919</v>
      </c>
      <c r="AO34" s="22">
        <f t="shared" si="7"/>
        <v>0</v>
      </c>
      <c r="AP34" s="22">
        <f t="shared" si="31"/>
        <v>207645.20362177922</v>
      </c>
      <c r="AQ34" s="22"/>
      <c r="AR34" s="10">
        <f>IF($B$10="3BR_H",
INDEX('ns-combined'!$C:$C,MATCH($L34,'ns-combined'!$B:$B,0),MATCH(Council_Area,'ns-combined'!$C$1:$C$1,0))*1000,
INDEX('s-combined'!$C:$C,MATCH($L34,'s-combined'!$B:$B,0),MATCH(Council_Area,'s-combined'!$C$1:$C$1,0))*1000)</f>
        <v>579000</v>
      </c>
      <c r="AS34" s="22">
        <f t="shared" si="35"/>
        <v>27320</v>
      </c>
      <c r="AT34" s="10">
        <v>0</v>
      </c>
      <c r="AU34" s="22">
        <f t="shared" si="8"/>
        <v>11580</v>
      </c>
      <c r="AV34" s="22">
        <f t="shared" si="9"/>
        <v>1664.625</v>
      </c>
      <c r="AW34" s="22">
        <f>SUM($AV$3:AV34)</f>
        <v>43788.55</v>
      </c>
      <c r="AX34" s="22">
        <f t="shared" si="32"/>
        <v>496311.45</v>
      </c>
      <c r="AY34" s="22">
        <f t="shared" si="10"/>
        <v>2614.1142857142859</v>
      </c>
      <c r="AZ34" s="24">
        <f t="shared" si="11"/>
        <v>1.8059511472982976E-2</v>
      </c>
      <c r="BA34" s="24">
        <f t="shared" si="12"/>
        <v>0.35000000000000003</v>
      </c>
      <c r="BB34" s="25">
        <f>IF(MortgageRate="Discounted",_xlfn.XLOOKUP(L34,'mortgage-rates'!$A:$A,'mortgage-rates'!$E:$E)/100,_xlfn.XLOOKUP(L34,'mortgage-rates'!$A:$A,'mortgage-rates'!$D:$D)/100)</f>
        <v>5.0999999999999997E-2</v>
      </c>
      <c r="BC34" s="10">
        <f t="shared" si="37"/>
        <v>229649.57546745861</v>
      </c>
      <c r="BD34" s="10">
        <f t="shared" si="13"/>
        <v>5024.0796882081959</v>
      </c>
      <c r="BE34" s="10">
        <f t="shared" si="14"/>
        <v>2928.032087210097</v>
      </c>
      <c r="BF34" s="10">
        <f t="shared" si="36"/>
        <v>2096.0476009980989</v>
      </c>
      <c r="BG34" s="12">
        <f t="shared" si="15"/>
        <v>7638.1939739224817</v>
      </c>
      <c r="BH34" s="22">
        <f>INDEX(cpi!B:B,MATCH($L34,cpi!A:A))</f>
        <v>104.7</v>
      </c>
      <c r="BI34" s="22">
        <f t="shared" si="16"/>
        <v>123.75886524822695</v>
      </c>
      <c r="BJ34" s="22">
        <f t="shared" si="17"/>
        <v>148.29345801472445</v>
      </c>
      <c r="BK34" s="22">
        <f t="shared" si="18"/>
        <v>152.66830069587706</v>
      </c>
      <c r="BL34" s="22">
        <f t="shared" si="19"/>
        <v>149.60591081907023</v>
      </c>
      <c r="BM34" s="22">
        <f t="shared" si="20"/>
        <v>215.23472617267259</v>
      </c>
      <c r="BN34" s="22">
        <f t="shared" si="21"/>
        <v>169.54612005856515</v>
      </c>
      <c r="BO34">
        <f t="shared" si="22"/>
        <v>149.11661597517235</v>
      </c>
    </row>
    <row r="35" spans="1:67" x14ac:dyDescent="0.25">
      <c r="A35" t="s">
        <v>18</v>
      </c>
      <c r="B35" s="8">
        <v>0.05</v>
      </c>
      <c r="C35" s="8">
        <v>0.05</v>
      </c>
      <c r="L35" s="1">
        <f t="shared" si="33"/>
        <v>41699</v>
      </c>
      <c r="M35" s="10">
        <f t="shared" ref="M35:M66" si="38">AP35</f>
        <v>210850.85719208728</v>
      </c>
      <c r="N35" s="10">
        <f t="shared" ref="N35:N66" si="39">AX35-BC35</f>
        <v>281873.54713353951</v>
      </c>
      <c r="O35" s="7">
        <f t="shared" si="24"/>
        <v>0.74803350415920811</v>
      </c>
      <c r="P35" s="7">
        <f t="shared" ref="P35:P66" si="40">X35/BG35</f>
        <v>1.0228453777313449</v>
      </c>
      <c r="Q35">
        <v>33</v>
      </c>
      <c r="R35">
        <f t="shared" ref="R35:R66" si="41">EOMONTH(L35,0)-EOMONTH(L35,-3)</f>
        <v>90</v>
      </c>
      <c r="S35" s="22"/>
      <c r="T35" s="22">
        <f>IF($B$10="3BR_H",
INDEX('3BR_H-processed'!$E:$E,MATCH($L35,'3BR_H-processed'!$B:$B,0),MATCH(Council_Area,'3BR_H-processed'!$E$1:$E$1,0)),
INDEX('2BR_F-processed'!$E:$E,MATCH($L35,'2BR_F-processed'!$B:$B,0),MATCH(Council_Area,'2BR_F-processed'!$E$1:$E$1,0)))</f>
        <v>604.0034843205575</v>
      </c>
      <c r="U35" s="22">
        <f t="shared" si="25"/>
        <v>604.0034843205575</v>
      </c>
      <c r="V35" s="22">
        <f t="shared" si="34"/>
        <v>7765.7590841214542</v>
      </c>
      <c r="W35" s="22">
        <f>$B$53/4*BH35/_xlfn.XLOOKUP(Q_end,cpi!A:A,cpi!B:B)</f>
        <v>145.6807187284036</v>
      </c>
      <c r="X35" s="22">
        <f t="shared" ref="X35:X66" si="42">V35+W35</f>
        <v>7911.4398028498581</v>
      </c>
      <c r="Y35" s="22">
        <f t="shared" ref="Y35:Y66" si="43">BG35-X35</f>
        <v>-176.70298427292983</v>
      </c>
      <c r="Z35" s="22">
        <f t="shared" si="27"/>
        <v>0</v>
      </c>
      <c r="AA35" s="22" cm="1">
        <f t="array" ref="AA35">(Y35+Z35)*eff_invest</f>
        <v>-176.70298427292983</v>
      </c>
      <c r="AB35" s="22">
        <f>AA35*(_xlfn.XLOOKUP(Q_end,cpi!A:A,cpi!B:B)/BH35)</f>
        <v>-242.58939112232392</v>
      </c>
      <c r="AC35" s="22" cm="1">
        <f t="array" ref="AC35">INDEX('msci-indices'!C:C,MATCH($L35,'msci-indices'!$B:$B)-2)</f>
        <v>1208.107446</v>
      </c>
      <c r="AD35" s="22" cm="1">
        <f t="array" ref="AD35">INDEX('msci-indices'!D:D,MATCH($L35,'msci-indices'!$B:$B)-2)</f>
        <v>1124.7671330000001</v>
      </c>
      <c r="AE35" s="22">
        <f t="shared" si="28"/>
        <v>207468.50063750628</v>
      </c>
      <c r="AF35" s="22" cm="1">
        <f t="array" ref="AF35">INDEX('msci-indices'!C:C,MATCH($L35,'msci-indices'!$B:$B)+1)</f>
        <v>1225.920044</v>
      </c>
      <c r="AG35" s="22" cm="1">
        <f t="array" ref="AG35">INDEX('msci-indices'!D:D,MATCH($L35,'msci-indices'!$B:$B)+1)</f>
        <v>1149.5383919999999</v>
      </c>
      <c r="AH35" s="22">
        <f t="shared" ref="AH35:AH66" si="44">(InvestFees/4)*AE35</f>
        <v>129.66781289844144</v>
      </c>
      <c r="AI35" s="22">
        <f t="shared" ref="AI35:AI66" si="45">((AF35/AC35)*GlobalPortfolio+(AG35/AD35)*AusPortfolio)*AE35-AH35</f>
        <v>210850.85719208728</v>
      </c>
      <c r="AJ35" s="22">
        <f t="shared" si="29"/>
        <v>137673.86776535391</v>
      </c>
      <c r="AK35" s="22">
        <f t="shared" ref="AK35:AK66" si="46">AI35-AJ35</f>
        <v>73176.989426733373</v>
      </c>
      <c r="AL35" s="22">
        <f>AJ35*(_xlfn.XLOOKUP(Q_end,cpi!A:A,cpi!B:B)/BH35)</f>
        <v>189007.67234958924</v>
      </c>
      <c r="AM35" s="22" cm="1">
        <f t="array" ref="AM35">SUMPRODUCT($AA$3:AA35,_xlfn.SORTBY($BH$3:BH35,_xlfn.SEQUENCE(ROWS($BH$3:BH35)),-1)/$BH$3)</f>
        <v>167666.80314357844</v>
      </c>
      <c r="AN35" s="22">
        <f t="shared" si="30"/>
        <v>43184.054048508842</v>
      </c>
      <c r="AO35" s="22">
        <f t="shared" ref="AO35:AO66" si="47">IF($B$49="Real gains",MAX($B$50*AN35,0),IF($B$49="Discounted nominal gains",MAX($B$50*AK35/2,0),0))</f>
        <v>0</v>
      </c>
      <c r="AP35" s="22">
        <f t="shared" si="31"/>
        <v>210850.85719208728</v>
      </c>
      <c r="AQ35" s="22"/>
      <c r="AR35" s="10">
        <f>IF($B$10="3BR_H",
INDEX('ns-combined'!$C:$C,MATCH($L35,'ns-combined'!$B:$B,0),MATCH(Council_Area,'ns-combined'!$C$1:$C$1,0))*1000,
INDEX('s-combined'!$C:$C,MATCH($L35,'s-combined'!$B:$B,0),MATCH(Council_Area,'s-combined'!$C$1:$C$1,0))*1000)</f>
        <v>595000</v>
      </c>
      <c r="AS35" s="22">
        <f t="shared" si="35"/>
        <v>28173.75</v>
      </c>
      <c r="AT35" s="10">
        <v>0</v>
      </c>
      <c r="AU35" s="22">
        <f t="shared" ref="AU35:AU66" si="48">SUM($B$28:$B$29)*AR35</f>
        <v>11900</v>
      </c>
      <c r="AV35" s="22">
        <f t="shared" ref="AV35:AV66" si="49">AR35*$B$15/4</f>
        <v>1710.625</v>
      </c>
      <c r="AW35" s="22">
        <f>SUM($AV$3:AV35)</f>
        <v>45499.175000000003</v>
      </c>
      <c r="AX35" s="22">
        <f t="shared" ref="AX35:AX66" si="50">AR35-AS35-AU35-AW35</f>
        <v>509427.07500000001</v>
      </c>
      <c r="AY35" s="22">
        <f t="shared" ref="AY35:AY66" si="51">$B$36*V35</f>
        <v>2718.0156794425093</v>
      </c>
      <c r="AZ35" s="24">
        <f t="shared" ref="AZ35:AZ66" si="52">SUM(AY35:AY35)*4/AR35</f>
        <v>1.8272374315579893E-2</v>
      </c>
      <c r="BA35" s="24">
        <f t="shared" ref="BA35:BA66" si="53">SUM(AY35:AY35)/V35</f>
        <v>0.35000000000000003</v>
      </c>
      <c r="BB35" s="25">
        <f>IF(MortgageRate="Discounted",_xlfn.XLOOKUP(L35,'mortgage-rates'!$A:$A,'mortgage-rates'!$E:$E)/100,_xlfn.XLOOKUP(L35,'mortgage-rates'!$A:$A,'mortgage-rates'!$D:$D)/100)</f>
        <v>5.0799999999999998E-2</v>
      </c>
      <c r="BC35" s="10">
        <f t="shared" si="37"/>
        <v>227553.5278664605</v>
      </c>
      <c r="BD35" s="10">
        <f t="shared" ref="BD35:BD66" si="54">IF($B$16*12/3-Q35+1&gt;0,-PMT($BB35/4,$B$16*12/3-Q35+1,BC35),0)</f>
        <v>5016.721139134419</v>
      </c>
      <c r="BE35" s="10">
        <f t="shared" ref="BE35:BE67" si="55">BC35*($BB35/4)</f>
        <v>2889.9298039040482</v>
      </c>
      <c r="BF35" s="10">
        <f t="shared" si="36"/>
        <v>2126.7913352303708</v>
      </c>
      <c r="BG35" s="12">
        <f t="shared" ref="BG35:BG66" si="56">AT35+AY35+BD35</f>
        <v>7734.7368185769283</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228.99320505813549</v>
      </c>
      <c r="BN35" s="22">
        <f t="shared" ref="BN35:BN66" si="62">100*AR35/AR$3</f>
        <v>174.23133235724742</v>
      </c>
      <c r="BO35">
        <f t="shared" ref="BO35:BO66" si="63">100*AX35/AX$3</f>
        <v>153.05720129997064</v>
      </c>
    </row>
    <row r="36" spans="1:67" x14ac:dyDescent="0.25">
      <c r="A36" t="s">
        <v>19</v>
      </c>
      <c r="B36" s="8">
        <f>SUM(B32:B35)</f>
        <v>0.35000000000000003</v>
      </c>
      <c r="C36" s="8">
        <v>0.35000000000000003</v>
      </c>
      <c r="L36" s="1">
        <f t="shared" si="33"/>
        <v>41791</v>
      </c>
      <c r="M36" s="10">
        <f t="shared" si="38"/>
        <v>217825.06617262025</v>
      </c>
      <c r="N36" s="10">
        <f t="shared" si="39"/>
        <v>244793.77596876989</v>
      </c>
      <c r="O36" s="7">
        <f t="shared" si="24"/>
        <v>0.88983090076771298</v>
      </c>
      <c r="P36" s="7">
        <f t="shared" si="40"/>
        <v>1.0301041130564867</v>
      </c>
      <c r="Q36">
        <v>34</v>
      </c>
      <c r="R36">
        <f t="shared" si="41"/>
        <v>91</v>
      </c>
      <c r="S36" s="22"/>
      <c r="T36" s="22">
        <f>IF($B$10="3BR_H",
INDEX('3BR_H-processed'!$E:$E,MATCH($L36,'3BR_H-processed'!$B:$B,0),MATCH(Council_Area,'3BR_H-processed'!$E$1:$E$1,0)),
INDEX('2BR_F-processed'!$E:$E,MATCH($L36,'2BR_F-processed'!$B:$B,0),MATCH(Council_Area,'2BR_F-processed'!$E$1:$E$1,0)))</f>
        <v>607.20209059233457</v>
      </c>
      <c r="U36" s="22">
        <f t="shared" si="25"/>
        <v>604.0034843205575</v>
      </c>
      <c r="V36" s="22">
        <f t="shared" si="34"/>
        <v>7852.0452961672481</v>
      </c>
      <c r="W36" s="22">
        <f>$B$53/4*BH36/_xlfn.XLOOKUP(Q_end,cpi!A:A,cpi!B:B)</f>
        <v>146.64823773324119</v>
      </c>
      <c r="X36" s="22">
        <f t="shared" si="42"/>
        <v>7998.6935339004895</v>
      </c>
      <c r="Y36" s="22">
        <f t="shared" si="43"/>
        <v>-233.75654110753476</v>
      </c>
      <c r="Z36" s="22">
        <f t="shared" ref="Z36:Z67" si="64">Y36*$B$47</f>
        <v>0</v>
      </c>
      <c r="AA36" s="22" cm="1">
        <f t="array" ref="AA36">(Y36+Z36)*eff_invest</f>
        <v>-233.75654110753476</v>
      </c>
      <c r="AB36" s="22">
        <f>AA36*(_xlfn.XLOOKUP(Q_end,cpi!A:A,cpi!B:B)/BH36)</f>
        <v>-318.79897736343338</v>
      </c>
      <c r="AC36" s="22" cm="1">
        <f t="array" ref="AC36">INDEX('msci-indices'!C:C,MATCH($L36,'msci-indices'!$B:$B)-2)</f>
        <v>1225.920044</v>
      </c>
      <c r="AD36" s="22" cm="1">
        <f t="array" ref="AD36">INDEX('msci-indices'!D:D,MATCH($L36,'msci-indices'!$B:$B)-2)</f>
        <v>1149.5383919999999</v>
      </c>
      <c r="AE36" s="22">
        <f t="shared" ref="AE36:AE67" si="65">AI35+AA36</f>
        <v>210617.10065097973</v>
      </c>
      <c r="AF36" s="22" cm="1">
        <f t="array" ref="AF36">INDEX('msci-indices'!C:C,MATCH($L36,'msci-indices'!$B:$B)+1)</f>
        <v>1282.9430809999999</v>
      </c>
      <c r="AG36" s="22" cm="1">
        <f t="array" ref="AG36">INDEX('msci-indices'!D:D,MATCH($L36,'msci-indices'!$B:$B)+1)</f>
        <v>1158.3053090000001</v>
      </c>
      <c r="AH36" s="22">
        <f t="shared" si="44"/>
        <v>131.63568790686233</v>
      </c>
      <c r="AI36" s="22">
        <f t="shared" si="45"/>
        <v>217825.06617262025</v>
      </c>
      <c r="AJ36" s="22">
        <f t="shared" ref="AJ36:AJ67" si="66">AJ35+AA36</f>
        <v>137440.11122424636</v>
      </c>
      <c r="AK36" s="22">
        <f t="shared" si="46"/>
        <v>80384.954948373896</v>
      </c>
      <c r="AL36" s="22">
        <f>AJ36*(_xlfn.XLOOKUP(Q_end,cpi!A:A,cpi!B:B)/BH36)</f>
        <v>187441.88590149337</v>
      </c>
      <c r="AM36" s="22" cm="1">
        <f t="array" ref="AM36">SUMPRODUCT($AA$3:AA36,_xlfn.SORTBY($BH$3:BH36,_xlfn.SEQUENCE(ROWS($BH$3:BH36)),-1)/$BH$3)</f>
        <v>168514.0090937014</v>
      </c>
      <c r="AN36" s="22">
        <f t="shared" si="30"/>
        <v>49311.05707891885</v>
      </c>
      <c r="AO36" s="22">
        <f t="shared" si="47"/>
        <v>0</v>
      </c>
      <c r="AP36" s="22">
        <f t="shared" si="31"/>
        <v>217825.06617262025</v>
      </c>
      <c r="AQ36" s="22"/>
      <c r="AR36" s="10">
        <f>IF($B$10="3BR_H",
INDEX('ns-combined'!$C:$C,MATCH($L36,'ns-combined'!$B:$B,0),MATCH(Council_Area,'ns-combined'!$C$1:$C$1,0))*1000,
INDEX('s-combined'!$C:$C,MATCH($L36,'s-combined'!$B:$B,0),MATCH(Council_Area,'s-combined'!$C$1:$C$1,0))*1000)</f>
        <v>557500</v>
      </c>
      <c r="AS36" s="22">
        <f t="shared" si="35"/>
        <v>29027.5</v>
      </c>
      <c r="AT36" s="10">
        <v>0</v>
      </c>
      <c r="AU36" s="22">
        <f t="shared" si="48"/>
        <v>11150</v>
      </c>
      <c r="AV36" s="22">
        <f t="shared" si="49"/>
        <v>1602.8125</v>
      </c>
      <c r="AW36" s="22">
        <f>SUM($AV$3:AV36)</f>
        <v>47101.987500000003</v>
      </c>
      <c r="AX36" s="22">
        <f t="shared" si="50"/>
        <v>470220.51250000001</v>
      </c>
      <c r="AY36" s="22">
        <f t="shared" si="51"/>
        <v>2748.2158536585371</v>
      </c>
      <c r="AZ36" s="24">
        <f t="shared" si="52"/>
        <v>1.9718140654052283E-2</v>
      </c>
      <c r="BA36" s="24">
        <f t="shared" si="53"/>
        <v>0.35000000000000003</v>
      </c>
      <c r="BB36" s="25">
        <f>IF(MortgageRate="Discounted",_xlfn.XLOOKUP(L36,'mortgage-rates'!$A:$A,'mortgage-rates'!$E:$E)/100,_xlfn.XLOOKUP(L36,'mortgage-rates'!$A:$A,'mortgage-rates'!$D:$D)/100)</f>
        <v>5.0799999999999998E-2</v>
      </c>
      <c r="BC36" s="10">
        <f t="shared" ref="BC36:BC67" si="67">BC35-BF35</f>
        <v>225426.73653123013</v>
      </c>
      <c r="BD36" s="10">
        <f t="shared" si="54"/>
        <v>5016.7211391344181</v>
      </c>
      <c r="BE36" s="10">
        <f t="shared" si="55"/>
        <v>2862.9195539466223</v>
      </c>
      <c r="BF36" s="10">
        <f t="shared" si="36"/>
        <v>2153.8015851877958</v>
      </c>
      <c r="BG36" s="12">
        <f t="shared" si="56"/>
        <v>7764.9369927929547</v>
      </c>
      <c r="BH36" s="22">
        <f>INDEX(cpi!B:B,MATCH($L36,cpi!A:A))</f>
        <v>106.1</v>
      </c>
      <c r="BI36" s="22">
        <f t="shared" si="57"/>
        <v>125.41371158392435</v>
      </c>
      <c r="BJ36" s="22">
        <f t="shared" si="58"/>
        <v>162.39941126188398</v>
      </c>
      <c r="BK36" s="22">
        <f t="shared" si="59"/>
        <v>161.2354750851913</v>
      </c>
      <c r="BL36" s="22">
        <f t="shared" si="60"/>
        <v>162.05023040887616</v>
      </c>
      <c r="BM36" s="22">
        <f t="shared" si="61"/>
        <v>232.46847000831283</v>
      </c>
      <c r="BN36" s="22">
        <f t="shared" si="62"/>
        <v>163.25036603221085</v>
      </c>
      <c r="BO36">
        <f t="shared" si="63"/>
        <v>141.27760217119962</v>
      </c>
    </row>
    <row r="37" spans="1:67" x14ac:dyDescent="0.25">
      <c r="A37" s="6" t="s">
        <v>331</v>
      </c>
      <c r="B37" s="4" cm="1">
        <f t="array" ref="B37">AVERAGE(_xlfn._xlws.FILTER($AZ$3:$AZ$82,ISNUMBER($AZ$3:$AZ$82)))</f>
        <v>1.8487542648165718E-2</v>
      </c>
      <c r="C37" s="4">
        <v>1.1405453029375102E-2</v>
      </c>
      <c r="L37" s="1">
        <f t="shared" si="33"/>
        <v>41883</v>
      </c>
      <c r="M37" s="10">
        <f t="shared" si="38"/>
        <v>212734.79427669113</v>
      </c>
      <c r="N37" s="10">
        <f t="shared" si="39"/>
        <v>256705.07755395767</v>
      </c>
      <c r="O37" s="7">
        <f t="shared" si="24"/>
        <v>0.82871284161481273</v>
      </c>
      <c r="P37" s="7">
        <f t="shared" si="40"/>
        <v>1.0372179484110351</v>
      </c>
      <c r="Q37">
        <v>35</v>
      </c>
      <c r="R37">
        <f t="shared" si="41"/>
        <v>92</v>
      </c>
      <c r="S37" s="22"/>
      <c r="T37" s="22">
        <f>IF($B$10="3BR_H",
INDEX('3BR_H-processed'!$E:$E,MATCH($L37,'3BR_H-processed'!$B:$B,0),MATCH(Council_Area,'3BR_H-processed'!$E$1:$E$1,0)),
INDEX('2BR_F-processed'!$E:$E,MATCH($L37,'2BR_F-processed'!$B:$B,0),MATCH(Council_Area,'2BR_F-processed'!$E$1:$E$1,0)))</f>
        <v>612</v>
      </c>
      <c r="U37" s="22">
        <f t="shared" si="25"/>
        <v>604.0034843205575</v>
      </c>
      <c r="V37" s="22">
        <f t="shared" si="34"/>
        <v>7938.3315082130421</v>
      </c>
      <c r="W37" s="22">
        <f>$B$53/4*BH37/_xlfn.XLOOKUP(Q_end,cpi!A:A,cpi!B:B)</f>
        <v>146.92467173462336</v>
      </c>
      <c r="X37" s="22">
        <f t="shared" si="42"/>
        <v>8085.2561799476653</v>
      </c>
      <c r="Y37" s="22">
        <f t="shared" si="43"/>
        <v>-290.11901293868232</v>
      </c>
      <c r="Z37" s="22">
        <f t="shared" si="64"/>
        <v>0</v>
      </c>
      <c r="AA37" s="22" cm="1">
        <f t="array" ref="AA37">(Y37+Z37)*eff_invest</f>
        <v>-290.11901293868232</v>
      </c>
      <c r="AB37" s="22">
        <f>AA37*(_xlfn.XLOOKUP(Q_end,cpi!A:A,cpi!B:B)/BH37)</f>
        <v>-394.92211827118842</v>
      </c>
      <c r="AC37" s="22" cm="1">
        <f t="array" ref="AC37">INDEX('msci-indices'!C:C,MATCH($L37,'msci-indices'!$B:$B)-2)</f>
        <v>1282.9430809999999</v>
      </c>
      <c r="AD37" s="22" cm="1">
        <f t="array" ref="AD37">INDEX('msci-indices'!D:D,MATCH($L37,'msci-indices'!$B:$B)-2)</f>
        <v>1158.3053090000001</v>
      </c>
      <c r="AE37" s="22">
        <f t="shared" si="65"/>
        <v>217534.94715968156</v>
      </c>
      <c r="AF37" s="22" cm="1">
        <f t="array" ref="AF37">INDEX('msci-indices'!C:C,MATCH($L37,'msci-indices'!$B:$B)+1)</f>
        <v>1247.292238</v>
      </c>
      <c r="AG37" s="22" cm="1">
        <f t="array" ref="AG37">INDEX('msci-indices'!D:D,MATCH($L37,'msci-indices'!$B:$B)+1)</f>
        <v>1150.6246120000001</v>
      </c>
      <c r="AH37" s="22">
        <f t="shared" si="44"/>
        <v>135.95934197480096</v>
      </c>
      <c r="AI37" s="22">
        <f t="shared" si="45"/>
        <v>212734.79427669113</v>
      </c>
      <c r="AJ37" s="22">
        <f t="shared" si="66"/>
        <v>137149.99221130766</v>
      </c>
      <c r="AK37" s="22">
        <f t="shared" si="46"/>
        <v>75584.802065383468</v>
      </c>
      <c r="AL37" s="22">
        <f>AJ37*(_xlfn.XLOOKUP(Q_end,cpi!A:A,cpi!B:B)/BH37)</f>
        <v>186694.29795838398</v>
      </c>
      <c r="AM37" s="22" cm="1">
        <f t="array" ref="AM37">SUMPRODUCT($AA$3:AA37,_xlfn.SORTBY($BH$3:BH37,_xlfn.SEQUENCE(ROWS($BH$3:BH37)),-1)/$BH$3)</f>
        <v>168779.24468797716</v>
      </c>
      <c r="AN37" s="22">
        <f t="shared" si="30"/>
        <v>43955.54958871397</v>
      </c>
      <c r="AO37" s="22">
        <f t="shared" si="47"/>
        <v>0</v>
      </c>
      <c r="AP37" s="22">
        <f t="shared" si="31"/>
        <v>212734.79427669113</v>
      </c>
      <c r="AQ37" s="22"/>
      <c r="AR37" s="10">
        <f>IF($B$10="3BR_H",
INDEX('ns-combined'!$C:$C,MATCH($L37,'ns-combined'!$B:$B,0),MATCH(Council_Area,'ns-combined'!$C$1:$C$1,0))*1000,
INDEX('s-combined'!$C:$C,MATCH($L37,'s-combined'!$B:$B,0),MATCH(Council_Area,'s-combined'!$C$1:$C$1,0))*1000)</f>
        <v>570000</v>
      </c>
      <c r="AS37" s="22">
        <f t="shared" si="35"/>
        <v>29881.25</v>
      </c>
      <c r="AT37" s="10">
        <v>0</v>
      </c>
      <c r="AU37" s="22">
        <f t="shared" si="48"/>
        <v>11400</v>
      </c>
      <c r="AV37" s="22">
        <f t="shared" si="49"/>
        <v>1638.75</v>
      </c>
      <c r="AW37" s="22">
        <f>SUM($AV$3:AV37)</f>
        <v>48740.737500000003</v>
      </c>
      <c r="AX37" s="22">
        <f t="shared" si="50"/>
        <v>479978.01250000001</v>
      </c>
      <c r="AY37" s="22">
        <f t="shared" si="51"/>
        <v>2778.4160278745649</v>
      </c>
      <c r="AZ37" s="24">
        <f t="shared" si="52"/>
        <v>1.9497656335961858E-2</v>
      </c>
      <c r="BA37" s="24">
        <f t="shared" si="53"/>
        <v>0.35000000000000003</v>
      </c>
      <c r="BB37" s="25">
        <f>IF(MortgageRate="Discounted",_xlfn.XLOOKUP(L37,'mortgage-rates'!$A:$A,'mortgage-rates'!$E:$E)/100,_xlfn.XLOOKUP(L37,'mortgage-rates'!$A:$A,'mortgage-rates'!$D:$D)/100)</f>
        <v>5.0799999999999998E-2</v>
      </c>
      <c r="BC37" s="10">
        <f t="shared" si="67"/>
        <v>223272.93494604234</v>
      </c>
      <c r="BD37" s="10">
        <f t="shared" si="54"/>
        <v>5016.7211391344181</v>
      </c>
      <c r="BE37" s="10">
        <f t="shared" si="55"/>
        <v>2835.5662738147375</v>
      </c>
      <c r="BF37" s="10">
        <f t="shared" si="36"/>
        <v>2181.1548653196805</v>
      </c>
      <c r="BG37" s="12">
        <f t="shared" si="56"/>
        <v>7795.1371670089829</v>
      </c>
      <c r="BH37" s="22">
        <f>INDEX(cpi!B:B,MATCH($L37,cpi!A:A))</f>
        <v>106.3</v>
      </c>
      <c r="BI37" s="22">
        <f t="shared" si="57"/>
        <v>125.6501182033097</v>
      </c>
      <c r="BJ37" s="22">
        <f t="shared" si="58"/>
        <v>169.95333591014156</v>
      </c>
      <c r="BK37" s="22">
        <f t="shared" si="59"/>
        <v>162.46513216960426</v>
      </c>
      <c r="BL37" s="22">
        <f t="shared" si="60"/>
        <v>167.70687478798038</v>
      </c>
      <c r="BM37" s="22">
        <f t="shared" si="61"/>
        <v>240.10403800663613</v>
      </c>
      <c r="BN37" s="22">
        <f t="shared" si="62"/>
        <v>166.91068814055637</v>
      </c>
      <c r="BO37">
        <f t="shared" si="63"/>
        <v>144.20923991676793</v>
      </c>
    </row>
    <row r="38" spans="1:67" x14ac:dyDescent="0.25">
      <c r="A38" s="6" t="s">
        <v>332</v>
      </c>
      <c r="B38" s="31" cm="1">
        <f t="array" ref="B38">AVERAGE(_xlfn._xlws.FILTER($BA$3:$BA$82,ISNUMBER($BA$3:$BA$82)))</f>
        <v>0.35000000000000048</v>
      </c>
      <c r="C38" s="31">
        <v>0.35000000000000048</v>
      </c>
      <c r="L38" s="1">
        <f t="shared" si="33"/>
        <v>41974</v>
      </c>
      <c r="M38" s="10">
        <f t="shared" si="38"/>
        <v>215848.52495299091</v>
      </c>
      <c r="N38" s="10">
        <f t="shared" si="39"/>
        <v>267142.10741927737</v>
      </c>
      <c r="O38" s="7">
        <f t="shared" si="24"/>
        <v>0.80799139842907053</v>
      </c>
      <c r="P38" s="7">
        <f t="shared" si="40"/>
        <v>1.0372534107762841</v>
      </c>
      <c r="Q38">
        <v>36</v>
      </c>
      <c r="R38">
        <f t="shared" si="41"/>
        <v>92</v>
      </c>
      <c r="S38" s="22"/>
      <c r="T38" s="22">
        <f>IF($B$10="3BR_H",
INDEX('3BR_H-processed'!$E:$E,MATCH($L38,'3BR_H-processed'!$B:$B,0),MATCH(Council_Area,'3BR_H-processed'!$E$1:$E$1,0)),
INDEX('2BR_F-processed'!$E:$E,MATCH($L38,'2BR_F-processed'!$B:$B,0),MATCH(Council_Area,'2BR_F-processed'!$E$1:$E$1,0)))</f>
        <v>612</v>
      </c>
      <c r="U38" s="22">
        <f t="shared" si="25"/>
        <v>604.0034843205575</v>
      </c>
      <c r="V38" s="22">
        <f t="shared" si="34"/>
        <v>7938.3315082130421</v>
      </c>
      <c r="W38" s="22">
        <f>$B$53/4*BH38/_xlfn.XLOOKUP(Q_end,cpi!A:A,cpi!B:B)</f>
        <v>147.20110573600553</v>
      </c>
      <c r="X38" s="22">
        <f t="shared" si="42"/>
        <v>8085.532613949048</v>
      </c>
      <c r="Y38" s="22">
        <f t="shared" si="43"/>
        <v>-290.39544694006509</v>
      </c>
      <c r="Z38" s="22">
        <f t="shared" si="64"/>
        <v>0</v>
      </c>
      <c r="AA38" s="22" cm="1">
        <f t="array" ref="AA38">(Y38+Z38)*eff_invest</f>
        <v>-290.39544694006509</v>
      </c>
      <c r="AB38" s="22">
        <f>AA38*(_xlfn.XLOOKUP(Q_end,cpi!A:A,cpi!B:B)/BH38)</f>
        <v>-394.55606734485838</v>
      </c>
      <c r="AC38" s="22" cm="1">
        <f t="array" ref="AC38">INDEX('msci-indices'!C:C,MATCH($L38,'msci-indices'!$B:$B)-2)</f>
        <v>1247.292238</v>
      </c>
      <c r="AD38" s="22" cm="1">
        <f t="array" ref="AD38">INDEX('msci-indices'!D:D,MATCH($L38,'msci-indices'!$B:$B)-2)</f>
        <v>1150.6246120000001</v>
      </c>
      <c r="AE38" s="22">
        <f t="shared" si="65"/>
        <v>212444.39882975107</v>
      </c>
      <c r="AF38" s="22" cm="1">
        <f t="array" ref="AF38">INDEX('msci-indices'!C:C,MATCH($L38,'msci-indices'!$B:$B)+1)</f>
        <v>1262.6926370000001</v>
      </c>
      <c r="AG38" s="22" cm="1">
        <f t="array" ref="AG38">INDEX('msci-indices'!D:D,MATCH($L38,'msci-indices'!$B:$B)+1)</f>
        <v>1181.3296580000001</v>
      </c>
      <c r="AH38" s="22">
        <f t="shared" si="44"/>
        <v>132.77774926859442</v>
      </c>
      <c r="AI38" s="22">
        <f t="shared" si="45"/>
        <v>215848.52495299091</v>
      </c>
      <c r="AJ38" s="22">
        <f t="shared" si="66"/>
        <v>136859.5967643676</v>
      </c>
      <c r="AK38" s="22">
        <f t="shared" si="46"/>
        <v>78988.928188623308</v>
      </c>
      <c r="AL38" s="22">
        <f>AJ38*(_xlfn.XLOOKUP(Q_end,cpi!A:A,cpi!B:B)/BH38)</f>
        <v>185949.14227046</v>
      </c>
      <c r="AM38" s="22" cm="1">
        <f t="array" ref="AM38">SUMPRODUCT($AA$3:AA38,_xlfn.SORTBY($BH$3:BH38,_xlfn.SEQUENCE(ROWS($BH$3:BH38)),-1)/$BH$3)</f>
        <v>169043.79690706951</v>
      </c>
      <c r="AN38" s="22">
        <f t="shared" si="30"/>
        <v>46804.728045921394</v>
      </c>
      <c r="AO38" s="22">
        <f t="shared" si="47"/>
        <v>0</v>
      </c>
      <c r="AP38" s="22">
        <f t="shared" si="31"/>
        <v>215848.52495299091</v>
      </c>
      <c r="AQ38" s="22"/>
      <c r="AR38" s="10">
        <f>IF($B$10="3BR_H",
INDEX('ns-combined'!$C:$C,MATCH($L38,'ns-combined'!$B:$B,0),MATCH(Council_Area,'ns-combined'!$C$1:$C$1,0))*1000,
INDEX('s-combined'!$C:$C,MATCH($L38,'s-combined'!$B:$B,0),MATCH(Council_Area,'s-combined'!$C$1:$C$1,0))*1000)</f>
        <v>581000</v>
      </c>
      <c r="AS38" s="22">
        <f t="shared" si="35"/>
        <v>30735</v>
      </c>
      <c r="AT38" s="10">
        <v>0</v>
      </c>
      <c r="AU38" s="22">
        <f t="shared" si="48"/>
        <v>11620</v>
      </c>
      <c r="AV38" s="22">
        <f t="shared" si="49"/>
        <v>1670.375</v>
      </c>
      <c r="AW38" s="22">
        <f>SUM($AV$3:AV38)</f>
        <v>50411.112500000003</v>
      </c>
      <c r="AX38" s="22">
        <f t="shared" si="50"/>
        <v>488233.88750000001</v>
      </c>
      <c r="AY38" s="22">
        <f t="shared" si="51"/>
        <v>2778.4160278745649</v>
      </c>
      <c r="AZ38" s="24">
        <f t="shared" si="52"/>
        <v>1.9128509658344679E-2</v>
      </c>
      <c r="BA38" s="24">
        <f t="shared" si="53"/>
        <v>0.35000000000000003</v>
      </c>
      <c r="BB38" s="25">
        <f>IF(MortgageRate="Discounted",_xlfn.XLOOKUP(L38,'mortgage-rates'!$A:$A,'mortgage-rates'!$E:$E)/100,_xlfn.XLOOKUP(L38,'mortgage-rates'!$A:$A,'mortgage-rates'!$D:$D)/100)</f>
        <v>5.0799999999999998E-2</v>
      </c>
      <c r="BC38" s="10">
        <f t="shared" si="67"/>
        <v>221091.78008072264</v>
      </c>
      <c r="BD38" s="10">
        <f t="shared" si="54"/>
        <v>5016.7211391344181</v>
      </c>
      <c r="BE38" s="10">
        <f t="shared" si="55"/>
        <v>2807.8656070251773</v>
      </c>
      <c r="BF38" s="10">
        <f t="shared" si="36"/>
        <v>2208.8555321092408</v>
      </c>
      <c r="BG38" s="12">
        <f t="shared" si="56"/>
        <v>7795.1371670089829</v>
      </c>
      <c r="BH38" s="22">
        <f>INDEX(cpi!B:B,MATCH($L38,cpi!A:A))</f>
        <v>106.5</v>
      </c>
      <c r="BI38" s="22">
        <f t="shared" si="57"/>
        <v>125.88652482269504</v>
      </c>
      <c r="BJ38" s="22">
        <f t="shared" si="58"/>
        <v>165.23061688574342</v>
      </c>
      <c r="BK38" s="22">
        <f t="shared" si="59"/>
        <v>161.38782945540277</v>
      </c>
      <c r="BL38" s="22">
        <f t="shared" si="60"/>
        <v>164.07778065664121</v>
      </c>
      <c r="BM38" s="22">
        <f t="shared" si="61"/>
        <v>234.48534902979304</v>
      </c>
      <c r="BN38" s="22">
        <f t="shared" si="62"/>
        <v>170.13177159590043</v>
      </c>
      <c r="BO38">
        <f t="shared" si="63"/>
        <v>146.68971491268837</v>
      </c>
    </row>
    <row r="39" spans="1:67" x14ac:dyDescent="0.25">
      <c r="A39" s="6"/>
      <c r="B39" s="31"/>
      <c r="C39" s="31"/>
      <c r="L39" s="1">
        <f t="shared" si="33"/>
        <v>42064</v>
      </c>
      <c r="M39" s="10">
        <f t="shared" si="38"/>
        <v>225898.7841266669</v>
      </c>
      <c r="N39" s="10">
        <f t="shared" si="39"/>
        <v>256078.46295138661</v>
      </c>
      <c r="O39" s="7">
        <f t="shared" si="24"/>
        <v>0.88214675112897345</v>
      </c>
      <c r="P39" s="7">
        <f t="shared" si="40"/>
        <v>1.0437410564336547</v>
      </c>
      <c r="Q39">
        <v>37</v>
      </c>
      <c r="R39">
        <f t="shared" si="41"/>
        <v>90</v>
      </c>
      <c r="S39" s="22"/>
      <c r="T39" s="22">
        <f>IF($B$10="3BR_H",
INDEX('3BR_H-processed'!$E:$E,MATCH($L39,'3BR_H-processed'!$B:$B,0),MATCH(Council_Area,'3BR_H-processed'!$E$1:$E$1,0)),
INDEX('2BR_F-processed'!$E:$E,MATCH($L39,'2BR_F-processed'!$B:$B,0),MATCH(Council_Area,'2BR_F-processed'!$E$1:$E$1,0)))</f>
        <v>612</v>
      </c>
      <c r="U39" s="22">
        <f t="shared" si="25"/>
        <v>612</v>
      </c>
      <c r="V39" s="22">
        <f t="shared" si="34"/>
        <v>7868.5714285714284</v>
      </c>
      <c r="W39" s="22">
        <f>$B$53/4*BH39/_xlfn.XLOOKUP(Q_end,cpi!A:A,cpi!B:B)</f>
        <v>147.6157567380788</v>
      </c>
      <c r="X39" s="22">
        <f t="shared" si="42"/>
        <v>8016.1871853095072</v>
      </c>
      <c r="Y39" s="22">
        <f t="shared" si="43"/>
        <v>-335.94203647928498</v>
      </c>
      <c r="Z39" s="22">
        <f t="shared" si="64"/>
        <v>0</v>
      </c>
      <c r="AA39" s="22" cm="1">
        <f t="array" ref="AA39">(Y39+Z39)*eff_invest</f>
        <v>-335.94203647928498</v>
      </c>
      <c r="AB39" s="22">
        <f>AA39*(_xlfn.XLOOKUP(Q_end,cpi!A:A,cpi!B:B)/BH39)</f>
        <v>-455.15742208382528</v>
      </c>
      <c r="AC39" s="22" cm="1">
        <f t="array" ref="AC39">INDEX('msci-indices'!C:C,MATCH($L39,'msci-indices'!$B:$B)-2)</f>
        <v>1262.6926370000001</v>
      </c>
      <c r="AD39" s="22" cm="1">
        <f t="array" ref="AD39">INDEX('msci-indices'!D:D,MATCH($L39,'msci-indices'!$B:$B)-2)</f>
        <v>1181.3296580000001</v>
      </c>
      <c r="AE39" s="22">
        <f t="shared" si="65"/>
        <v>215512.58291651163</v>
      </c>
      <c r="AF39" s="22" cm="1">
        <f t="array" ref="AF39">INDEX('msci-indices'!C:C,MATCH($L39,'msci-indices'!$B:$B)+1)</f>
        <v>1295.5072580000001</v>
      </c>
      <c r="AG39" s="22" cm="1">
        <f t="array" ref="AG39">INDEX('msci-indices'!D:D,MATCH($L39,'msci-indices'!$B:$B)+1)</f>
        <v>1301.9298140000001</v>
      </c>
      <c r="AH39" s="22">
        <f t="shared" si="44"/>
        <v>134.69536432281978</v>
      </c>
      <c r="AI39" s="22">
        <f t="shared" si="45"/>
        <v>225898.7841266669</v>
      </c>
      <c r="AJ39" s="22">
        <f t="shared" si="66"/>
        <v>136523.65472788832</v>
      </c>
      <c r="AK39" s="22">
        <f t="shared" si="46"/>
        <v>89375.129398778576</v>
      </c>
      <c r="AL39" s="22">
        <f>AJ39*(_xlfn.XLOOKUP(Q_end,cpi!A:A,cpi!B:B)/BH39)</f>
        <v>184971.6557970547</v>
      </c>
      <c r="AM39" s="22" cm="1">
        <f t="array" ref="AM39">SUMPRODUCT($AA$3:AA39,_xlfn.SORTBY($BH$3:BH39,_xlfn.SEQUENCE(ROWS($BH$3:BH39)),-1)/$BH$3)</f>
        <v>169362.26281284835</v>
      </c>
      <c r="AN39" s="22">
        <f t="shared" si="30"/>
        <v>56536.52131381855</v>
      </c>
      <c r="AO39" s="22">
        <f t="shared" si="47"/>
        <v>0</v>
      </c>
      <c r="AP39" s="22">
        <f t="shared" si="31"/>
        <v>225898.7841266669</v>
      </c>
      <c r="AQ39" s="22"/>
      <c r="AR39" s="10">
        <f>IF($B$10="3BR_H",
INDEX('ns-combined'!$C:$C,MATCH($L39,'ns-combined'!$B:$B,0),MATCH(Council_Area,'ns-combined'!$C$1:$C$1,0))*1000,
INDEX('s-combined'!$C:$C,MATCH($L39,'s-combined'!$B:$B,0),MATCH(Council_Area,'s-combined'!$C$1:$C$1,0))*1000)</f>
        <v>570000</v>
      </c>
      <c r="AS39" s="22">
        <f t="shared" si="35"/>
        <v>31588.75</v>
      </c>
      <c r="AT39" s="10">
        <v>0</v>
      </c>
      <c r="AU39" s="22">
        <f t="shared" si="48"/>
        <v>11400</v>
      </c>
      <c r="AV39" s="22">
        <f t="shared" si="49"/>
        <v>1638.75</v>
      </c>
      <c r="AW39" s="22">
        <f>SUM($AV$3:AV39)</f>
        <v>52049.862500000003</v>
      </c>
      <c r="AX39" s="22">
        <f t="shared" si="50"/>
        <v>474961.38750000001</v>
      </c>
      <c r="AY39" s="22">
        <f t="shared" si="51"/>
        <v>2754</v>
      </c>
      <c r="AZ39" s="24">
        <f t="shared" si="52"/>
        <v>1.9326315789473685E-2</v>
      </c>
      <c r="BA39" s="24">
        <f t="shared" si="53"/>
        <v>0.35000000000000003</v>
      </c>
      <c r="BB39" s="25">
        <f>IF(MortgageRate="Discounted",_xlfn.XLOOKUP(L39,'mortgage-rates'!$A:$A,'mortgage-rates'!$E:$E)/100,_xlfn.XLOOKUP(L39,'mortgage-rates'!$A:$A,'mortgage-rates'!$D:$D)/100)</f>
        <v>4.82E-2</v>
      </c>
      <c r="BC39" s="10">
        <f t="shared" si="67"/>
        <v>218882.9245486134</v>
      </c>
      <c r="BD39" s="10">
        <f t="shared" si="54"/>
        <v>4926.2451488302222</v>
      </c>
      <c r="BE39" s="10">
        <f t="shared" si="55"/>
        <v>2637.5392408107914</v>
      </c>
      <c r="BF39" s="10">
        <f t="shared" si="36"/>
        <v>2288.7059080194308</v>
      </c>
      <c r="BG39" s="12">
        <f t="shared" si="56"/>
        <v>7680.2451488302222</v>
      </c>
      <c r="BH39" s="22">
        <f>INDEX(cpi!B:B,MATCH($L39,cpi!A:A))</f>
        <v>106.8</v>
      </c>
      <c r="BI39" s="22">
        <f t="shared" si="57"/>
        <v>126.24113475177306</v>
      </c>
      <c r="BJ39" s="22">
        <f t="shared" si="58"/>
        <v>167.2707301403058</v>
      </c>
      <c r="BK39" s="22">
        <f t="shared" si="59"/>
        <v>165.69455180045574</v>
      </c>
      <c r="BL39" s="22">
        <f t="shared" si="60"/>
        <v>166.79787663835077</v>
      </c>
      <c r="BM39" s="22">
        <f t="shared" si="61"/>
        <v>237.87185495997886</v>
      </c>
      <c r="BN39" s="22">
        <f t="shared" si="62"/>
        <v>166.91068814055637</v>
      </c>
      <c r="BO39">
        <f t="shared" si="63"/>
        <v>142.70199654445312</v>
      </c>
    </row>
    <row r="40" spans="1:67" x14ac:dyDescent="0.25">
      <c r="A40" s="5" t="s">
        <v>347</v>
      </c>
      <c r="L40" s="1">
        <f t="shared" si="33"/>
        <v>42156</v>
      </c>
      <c r="M40" s="10">
        <f t="shared" si="38"/>
        <v>221536.19908503909</v>
      </c>
      <c r="N40" s="10">
        <f t="shared" si="39"/>
        <v>280302.79385940603</v>
      </c>
      <c r="O40" s="7">
        <f t="shared" si="24"/>
        <v>0.79034602557745814</v>
      </c>
      <c r="P40" s="7">
        <f t="shared" si="40"/>
        <v>1.0581109594150504</v>
      </c>
      <c r="Q40">
        <v>38</v>
      </c>
      <c r="R40">
        <f t="shared" si="41"/>
        <v>91</v>
      </c>
      <c r="S40" s="22"/>
      <c r="T40" s="22">
        <f>IF($B$10="3BR_H",
INDEX('3BR_H-processed'!$E:$E,MATCH($L40,'3BR_H-processed'!$B:$B,0),MATCH(Council_Area,'3BR_H-processed'!$E$1:$E$1,0)),
INDEX('2BR_F-processed'!$E:$E,MATCH($L40,'2BR_F-processed'!$B:$B,0),MATCH(Council_Area,'2BR_F-processed'!$E$1:$E$1,0)))</f>
        <v>612</v>
      </c>
      <c r="U40" s="22">
        <f t="shared" si="25"/>
        <v>612</v>
      </c>
      <c r="V40" s="22">
        <f t="shared" si="34"/>
        <v>7956</v>
      </c>
      <c r="W40" s="22">
        <f>$B$53/4*BH40/_xlfn.XLOOKUP(Q_end,cpi!A:A,cpi!B:B)</f>
        <v>148.85970974429856</v>
      </c>
      <c r="X40" s="22">
        <f t="shared" si="42"/>
        <v>8104.8597097442989</v>
      </c>
      <c r="Y40" s="22">
        <f t="shared" si="43"/>
        <v>-445.11510769910001</v>
      </c>
      <c r="Z40" s="22">
        <f t="shared" si="64"/>
        <v>0</v>
      </c>
      <c r="AA40" s="22" cm="1">
        <f t="array" ref="AA40">(Y40+Z40)*eff_invest</f>
        <v>-445.11510769910001</v>
      </c>
      <c r="AB40" s="22">
        <f>AA40*(_xlfn.XLOOKUP(Q_end,cpi!A:A,cpi!B:B)/BH40)</f>
        <v>-598.03301842209623</v>
      </c>
      <c r="AC40" s="22" cm="1">
        <f t="array" ref="AC40">INDEX('msci-indices'!C:C,MATCH($L40,'msci-indices'!$B:$B)-2)</f>
        <v>1295.5072580000001</v>
      </c>
      <c r="AD40" s="22" cm="1">
        <f t="array" ref="AD40">INDEX('msci-indices'!D:D,MATCH($L40,'msci-indices'!$B:$B)-2)</f>
        <v>1301.9298140000001</v>
      </c>
      <c r="AE40" s="22">
        <f t="shared" si="65"/>
        <v>225453.6690189678</v>
      </c>
      <c r="AF40" s="22" cm="1">
        <f t="array" ref="AF40">INDEX('msci-indices'!C:C,MATCH($L40,'msci-indices'!$B:$B)+1)</f>
        <v>1301.506973</v>
      </c>
      <c r="AG40" s="22" cm="1">
        <f t="array" ref="AG40">INDEX('msci-indices'!D:D,MATCH($L40,'msci-indices'!$B:$B)+1)</f>
        <v>1215.1659059999999</v>
      </c>
      <c r="AH40" s="22">
        <f t="shared" si="44"/>
        <v>140.90854313685489</v>
      </c>
      <c r="AI40" s="22">
        <f t="shared" si="45"/>
        <v>221536.19908503909</v>
      </c>
      <c r="AJ40" s="22">
        <f t="shared" si="66"/>
        <v>136078.53962018923</v>
      </c>
      <c r="AK40" s="22">
        <f t="shared" si="46"/>
        <v>85457.659464849858</v>
      </c>
      <c r="AL40" s="22">
        <f>AJ40*(_xlfn.XLOOKUP(Q_end,cpi!A:A,cpi!B:B)/BH40)</f>
        <v>182827.89863548169</v>
      </c>
      <c r="AM40" s="22" cm="1">
        <f t="array" ref="AM40">SUMPRODUCT($AA$3:AA40,_xlfn.SORTBY($BH$3:BH40,_xlfn.SEQUENCE(ROWS($BH$3:BH40)),-1)/$BH$3)</f>
        <v>170193.12965927675</v>
      </c>
      <c r="AN40" s="22">
        <f t="shared" si="30"/>
        <v>51343.06942576234</v>
      </c>
      <c r="AO40" s="22">
        <f t="shared" si="47"/>
        <v>0</v>
      </c>
      <c r="AP40" s="22">
        <f t="shared" si="31"/>
        <v>221536.19908503909</v>
      </c>
      <c r="AQ40" s="22"/>
      <c r="AR40" s="10">
        <f>IF($B$10="3BR_H",
INDEX('ns-combined'!$C:$C,MATCH($L40,'ns-combined'!$B:$B,0),MATCH(Council_Area,'ns-combined'!$C$1:$C$1,0))*1000,
INDEX('s-combined'!$C:$C,MATCH($L40,'s-combined'!$B:$B,0),MATCH(Council_Area,'s-combined'!$C$1:$C$1,0))*1000)</f>
        <v>595000</v>
      </c>
      <c r="AS40" s="22">
        <f t="shared" si="35"/>
        <v>32442.5</v>
      </c>
      <c r="AT40" s="10">
        <v>0</v>
      </c>
      <c r="AU40" s="22">
        <f t="shared" si="48"/>
        <v>11900</v>
      </c>
      <c r="AV40" s="22">
        <f t="shared" si="49"/>
        <v>1710.625</v>
      </c>
      <c r="AW40" s="22">
        <f>SUM($AV$3:AV40)</f>
        <v>53760.487500000003</v>
      </c>
      <c r="AX40" s="22">
        <f t="shared" si="50"/>
        <v>496897.01250000001</v>
      </c>
      <c r="AY40" s="22">
        <f t="shared" si="51"/>
        <v>2784.6000000000004</v>
      </c>
      <c r="AZ40" s="24">
        <f t="shared" si="52"/>
        <v>1.8720000000000004E-2</v>
      </c>
      <c r="BA40" s="24">
        <f t="shared" si="53"/>
        <v>0.35000000000000003</v>
      </c>
      <c r="BB40" s="25">
        <f>IF(MortgageRate="Discounted",_xlfn.XLOOKUP(L40,'mortgage-rates'!$A:$A,'mortgage-rates'!$E:$E)/100,_xlfn.XLOOKUP(L40,'mortgage-rates'!$A:$A,'mortgage-rates'!$D:$D)/100)</f>
        <v>4.6699999999999998E-2</v>
      </c>
      <c r="BC40" s="10">
        <f t="shared" si="67"/>
        <v>216594.21864059396</v>
      </c>
      <c r="BD40" s="10">
        <f t="shared" si="54"/>
        <v>4875.1446020451986</v>
      </c>
      <c r="BE40" s="10">
        <f t="shared" si="55"/>
        <v>2528.7375026289342</v>
      </c>
      <c r="BF40" s="10">
        <f t="shared" si="36"/>
        <v>2346.4070994162644</v>
      </c>
      <c r="BG40" s="12">
        <f t="shared" si="56"/>
        <v>7659.7446020451989</v>
      </c>
      <c r="BH40" s="22">
        <f>INDEX(cpi!B:B,MATCH($L40,cpi!A:A))</f>
        <v>107.7</v>
      </c>
      <c r="BI40" s="22">
        <f t="shared" si="57"/>
        <v>127.3049645390071</v>
      </c>
      <c r="BJ40" s="22">
        <f t="shared" si="58"/>
        <v>171.61773071123525</v>
      </c>
      <c r="BK40" s="22">
        <f t="shared" si="59"/>
        <v>182.61005769685053</v>
      </c>
      <c r="BL40" s="22">
        <f t="shared" si="60"/>
        <v>174.91542880691983</v>
      </c>
      <c r="BM40" s="22">
        <f t="shared" si="61"/>
        <v>248.84432143737334</v>
      </c>
      <c r="BN40" s="22">
        <f t="shared" si="62"/>
        <v>174.23133235724742</v>
      </c>
      <c r="BO40">
        <f t="shared" si="63"/>
        <v>149.29254804049535</v>
      </c>
    </row>
    <row r="41" spans="1:67" x14ac:dyDescent="0.25">
      <c r="A41" t="s">
        <v>310</v>
      </c>
      <c r="B41" s="8">
        <v>0.7</v>
      </c>
      <c r="C41" s="8">
        <v>0.7</v>
      </c>
      <c r="L41" s="1">
        <f t="shared" si="33"/>
        <v>42248</v>
      </c>
      <c r="M41" s="10">
        <f t="shared" si="38"/>
        <v>202971.70272947851</v>
      </c>
      <c r="N41" s="10">
        <f t="shared" si="39"/>
        <v>265427.95095882233</v>
      </c>
      <c r="O41" s="7">
        <f t="shared" si="24"/>
        <v>0.76469603896752725</v>
      </c>
      <c r="P41" s="7">
        <f t="shared" si="40"/>
        <v>1.065751591550514</v>
      </c>
      <c r="Q41">
        <v>39</v>
      </c>
      <c r="R41">
        <f t="shared" si="41"/>
        <v>92</v>
      </c>
      <c r="S41" s="22"/>
      <c r="T41" s="22">
        <f>IF($B$10="3BR_H",
INDEX('3BR_H-processed'!$E:$E,MATCH($L41,'3BR_H-processed'!$B:$B,0),MATCH(Council_Area,'3BR_H-processed'!$E$1:$E$1,0)),
INDEX('2BR_F-processed'!$E:$E,MATCH($L41,'2BR_F-processed'!$B:$B,0),MATCH(Council_Area,'2BR_F-processed'!$E$1:$E$1,0)))</f>
        <v>554</v>
      </c>
      <c r="U41" s="22">
        <f t="shared" si="25"/>
        <v>612</v>
      </c>
      <c r="V41" s="22">
        <f t="shared" si="34"/>
        <v>8043.4285714285716</v>
      </c>
      <c r="W41" s="22">
        <f>$B$53/4*BH41/_xlfn.XLOOKUP(Q_end,cpi!A:A,cpi!B:B)</f>
        <v>148.99792674498966</v>
      </c>
      <c r="X41" s="22">
        <f t="shared" si="42"/>
        <v>8192.4264981735614</v>
      </c>
      <c r="Y41" s="22">
        <f t="shared" si="43"/>
        <v>-505.43211493762465</v>
      </c>
      <c r="Z41" s="22">
        <f t="shared" si="64"/>
        <v>0</v>
      </c>
      <c r="AA41" s="22" cm="1">
        <f t="array" ref="AA41">(Y41+Z41)*eff_invest</f>
        <v>-505.43211493762465</v>
      </c>
      <c r="AB41" s="22">
        <f>AA41*(_xlfn.XLOOKUP(Q_end,cpi!A:A,cpi!B:B)/BH41)</f>
        <v>-678.44180919734958</v>
      </c>
      <c r="AC41" s="22" cm="1">
        <f t="array" ref="AC41">INDEX('msci-indices'!C:C,MATCH($L41,'msci-indices'!$B:$B)-2)</f>
        <v>1301.506973</v>
      </c>
      <c r="AD41" s="22" cm="1">
        <f t="array" ref="AD41">INDEX('msci-indices'!D:D,MATCH($L41,'msci-indices'!$B:$B)-2)</f>
        <v>1215.1659059999999</v>
      </c>
      <c r="AE41" s="22">
        <f t="shared" si="65"/>
        <v>221030.76697010145</v>
      </c>
      <c r="AF41" s="22" cm="1">
        <f t="array" ref="AF41">INDEX('msci-indices'!C:C,MATCH($L41,'msci-indices'!$B:$B)+1)</f>
        <v>1189.2854910000001</v>
      </c>
      <c r="AG41" s="22" cm="1">
        <f t="array" ref="AG41">INDEX('msci-indices'!D:D,MATCH($L41,'msci-indices'!$B:$B)+1)</f>
        <v>1131.230902</v>
      </c>
      <c r="AH41" s="22">
        <f t="shared" si="44"/>
        <v>138.14422935631342</v>
      </c>
      <c r="AI41" s="22">
        <f t="shared" si="45"/>
        <v>202971.70272947851</v>
      </c>
      <c r="AJ41" s="22">
        <f t="shared" si="66"/>
        <v>135573.1075052516</v>
      </c>
      <c r="AK41" s="22">
        <f t="shared" si="46"/>
        <v>67398.595224226912</v>
      </c>
      <c r="AL41" s="22">
        <f>AJ41*(_xlfn.XLOOKUP(Q_end,cpi!A:A,cpi!B:B)/BH41)</f>
        <v>181979.85766242957</v>
      </c>
      <c r="AM41" s="22" cm="1">
        <f t="array" ref="AM41">SUMPRODUCT($AA$3:AA41,_xlfn.SORTBY($BH$3:BH41,_xlfn.SEQUENCE(ROWS($BH$3:BH41)),-1)/$BH$3)</f>
        <v>170108.22747410307</v>
      </c>
      <c r="AN41" s="22">
        <f t="shared" si="30"/>
        <v>32863.475255375437</v>
      </c>
      <c r="AO41" s="22">
        <f t="shared" si="47"/>
        <v>0</v>
      </c>
      <c r="AP41" s="22">
        <f t="shared" si="31"/>
        <v>202971.70272947851</v>
      </c>
      <c r="AQ41" s="22"/>
      <c r="AR41" s="10">
        <f>IF($B$10="3BR_H",
INDEX('ns-combined'!$C:$C,MATCH($L41,'ns-combined'!$B:$B,0),MATCH(Council_Area,'ns-combined'!$C$1:$C$1,0))*1000,
INDEX('s-combined'!$C:$C,MATCH($L41,'s-combined'!$B:$B,0),MATCH(Council_Area,'s-combined'!$C$1:$C$1,0))*1000)</f>
        <v>580000</v>
      </c>
      <c r="AS41" s="22">
        <f t="shared" si="35"/>
        <v>33296.25</v>
      </c>
      <c r="AT41" s="10">
        <v>0</v>
      </c>
      <c r="AU41" s="22">
        <f t="shared" si="48"/>
        <v>11600</v>
      </c>
      <c r="AV41" s="22">
        <f t="shared" si="49"/>
        <v>1667.5</v>
      </c>
      <c r="AW41" s="22">
        <f>SUM($AV$3:AV41)</f>
        <v>55427.987500000003</v>
      </c>
      <c r="AX41" s="22">
        <f t="shared" si="50"/>
        <v>479675.76250000001</v>
      </c>
      <c r="AY41" s="22">
        <f t="shared" si="51"/>
        <v>2815.2000000000003</v>
      </c>
      <c r="AZ41" s="24">
        <f t="shared" si="52"/>
        <v>1.9415172413793105E-2</v>
      </c>
      <c r="BA41" s="24">
        <f t="shared" si="53"/>
        <v>0.35000000000000003</v>
      </c>
      <c r="BB41" s="25">
        <f>IF(MortgageRate="Discounted",_xlfn.XLOOKUP(L41,'mortgage-rates'!$A:$A,'mortgage-rates'!$E:$E)/100,_xlfn.XLOOKUP(L41,'mortgage-rates'!$A:$A,'mortgage-rates'!$D:$D)/100)</f>
        <v>4.6600000000000003E-2</v>
      </c>
      <c r="BC41" s="10">
        <f t="shared" si="67"/>
        <v>214247.81154117768</v>
      </c>
      <c r="BD41" s="10">
        <f t="shared" si="54"/>
        <v>4871.794383235936</v>
      </c>
      <c r="BE41" s="10">
        <f t="shared" si="55"/>
        <v>2495.9870044547201</v>
      </c>
      <c r="BF41" s="10">
        <f t="shared" si="36"/>
        <v>2375.8073787812159</v>
      </c>
      <c r="BG41" s="12">
        <f t="shared" si="56"/>
        <v>7686.9943832359368</v>
      </c>
      <c r="BH41" s="22">
        <f>INDEX(cpi!B:B,MATCH($L41,cpi!A:A))</f>
        <v>107.8</v>
      </c>
      <c r="BI41" s="22">
        <f t="shared" si="57"/>
        <v>127.42316784869978</v>
      </c>
      <c r="BJ41" s="22">
        <f t="shared" si="58"/>
        <v>172.41252168354035</v>
      </c>
      <c r="BK41" s="22">
        <f t="shared" si="59"/>
        <v>170.44045986176764</v>
      </c>
      <c r="BL41" s="22">
        <f t="shared" si="60"/>
        <v>171.82090313700854</v>
      </c>
      <c r="BM41" s="22">
        <f t="shared" si="61"/>
        <v>243.96254655243445</v>
      </c>
      <c r="BN41" s="22">
        <f t="shared" si="62"/>
        <v>169.83894582723281</v>
      </c>
      <c r="BO41">
        <f t="shared" si="63"/>
        <v>144.11842900120575</v>
      </c>
    </row>
    <row r="42" spans="1:67" x14ac:dyDescent="0.25">
      <c r="A42" t="s">
        <v>311</v>
      </c>
      <c r="B42" s="8">
        <f>1-GlobalPortfolio</f>
        <v>0.30000000000000004</v>
      </c>
      <c r="C42" s="8">
        <v>0.30000000000000004</v>
      </c>
      <c r="L42" s="1">
        <f t="shared" si="33"/>
        <v>42339</v>
      </c>
      <c r="M42" s="10">
        <f t="shared" si="38"/>
        <v>213865.24407128405</v>
      </c>
      <c r="N42" s="10">
        <f t="shared" si="39"/>
        <v>260396.88333760353</v>
      </c>
      <c r="O42" s="7">
        <f t="shared" si="24"/>
        <v>0.82130493011319416</v>
      </c>
      <c r="P42" s="7">
        <f t="shared" si="40"/>
        <v>1.0580865050745634</v>
      </c>
      <c r="Q42">
        <v>40</v>
      </c>
      <c r="R42">
        <f t="shared" si="41"/>
        <v>92</v>
      </c>
      <c r="S42" s="22"/>
      <c r="T42" s="22">
        <f>IF($B$10="3BR_H",
INDEX('3BR_H-processed'!$E:$E,MATCH($L42,'3BR_H-processed'!$B:$B,0),MATCH(Council_Area,'3BR_H-processed'!$E$1:$E$1,0)),
INDEX('2BR_F-processed'!$E:$E,MATCH($L42,'2BR_F-processed'!$B:$B,0),MATCH(Council_Area,'2BR_F-processed'!$E$1:$E$1,0)))</f>
        <v>554</v>
      </c>
      <c r="U42" s="22">
        <f t="shared" si="25"/>
        <v>612</v>
      </c>
      <c r="V42" s="22">
        <f t="shared" si="34"/>
        <v>8043.4285714285716</v>
      </c>
      <c r="W42" s="22">
        <f>$B$53/4*BH42/_xlfn.XLOOKUP(Q_end,cpi!A:A,cpi!B:B)</f>
        <v>149.68901174844507</v>
      </c>
      <c r="X42" s="22">
        <f t="shared" si="42"/>
        <v>8193.1175831770161</v>
      </c>
      <c r="Y42" s="22">
        <f t="shared" si="43"/>
        <v>-449.78323018888659</v>
      </c>
      <c r="Z42" s="22">
        <f t="shared" si="64"/>
        <v>0</v>
      </c>
      <c r="AA42" s="22" cm="1">
        <f t="array" ref="AA42">(Y42+Z42)*eff_invest</f>
        <v>-449.78323018888659</v>
      </c>
      <c r="AB42" s="22">
        <f>AA42*(_xlfn.XLOOKUP(Q_end,cpi!A:A,cpi!B:B)/BH42)</f>
        <v>-600.95691051091308</v>
      </c>
      <c r="AC42" s="22" cm="1">
        <f t="array" ref="AC42">INDEX('msci-indices'!C:C,MATCH($L42,'msci-indices'!$B:$B)-2)</f>
        <v>1189.2854910000001</v>
      </c>
      <c r="AD42" s="22" cm="1">
        <f t="array" ref="AD42">INDEX('msci-indices'!D:D,MATCH($L42,'msci-indices'!$B:$B)-2)</f>
        <v>1131.230902</v>
      </c>
      <c r="AE42" s="22">
        <f t="shared" si="65"/>
        <v>202521.91949928962</v>
      </c>
      <c r="AF42" s="22" cm="1">
        <f t="array" ref="AF42">INDEX('msci-indices'!C:C,MATCH($L42,'msci-indices'!$B:$B)+1)</f>
        <v>1252.64913</v>
      </c>
      <c r="AG42" s="22" cm="1">
        <f t="array" ref="AG42">INDEX('msci-indices'!D:D,MATCH($L42,'msci-indices'!$B:$B)+1)</f>
        <v>1204.1584660000001</v>
      </c>
      <c r="AH42" s="22">
        <f t="shared" si="44"/>
        <v>126.57619968705602</v>
      </c>
      <c r="AI42" s="22">
        <f t="shared" si="45"/>
        <v>213865.24407128405</v>
      </c>
      <c r="AJ42" s="22">
        <f t="shared" si="66"/>
        <v>135123.32427506271</v>
      </c>
      <c r="AK42" s="22">
        <f t="shared" si="46"/>
        <v>78741.919796221337</v>
      </c>
      <c r="AL42" s="22">
        <f>AJ42*(_xlfn.XLOOKUP(Q_end,cpi!A:A,cpi!B:B)/BH42)</f>
        <v>180538.7352040773</v>
      </c>
      <c r="AM42" s="22" cm="1">
        <f t="array" ref="AM42">SUMPRODUCT($AA$3:AA42,_xlfn.SORTBY($BH$3:BH42,_xlfn.SEQUENCE(ROWS($BH$3:BH42)),-1)/$BH$3)</f>
        <v>170493.11598077914</v>
      </c>
      <c r="AN42" s="22">
        <f t="shared" si="30"/>
        <v>43372.128090504906</v>
      </c>
      <c r="AO42" s="22">
        <f t="shared" si="47"/>
        <v>0</v>
      </c>
      <c r="AP42" s="22">
        <f t="shared" si="31"/>
        <v>213865.24407128405</v>
      </c>
      <c r="AQ42" s="22"/>
      <c r="AR42" s="10">
        <f>IF($B$10="3BR_H",
INDEX('ns-combined'!$C:$C,MATCH($L42,'ns-combined'!$B:$B,0),MATCH(Council_Area,'ns-combined'!$C$1:$C$1,0))*1000,
INDEX('s-combined'!$C:$C,MATCH($L42,'s-combined'!$B:$B,0),MATCH(Council_Area,'s-combined'!$C$1:$C$1,0))*1000)</f>
        <v>575000</v>
      </c>
      <c r="AS42" s="22">
        <f t="shared" si="35"/>
        <v>34150</v>
      </c>
      <c r="AT42" s="10">
        <v>0</v>
      </c>
      <c r="AU42" s="22">
        <f t="shared" si="48"/>
        <v>11500</v>
      </c>
      <c r="AV42" s="22">
        <f t="shared" si="49"/>
        <v>1653.125</v>
      </c>
      <c r="AW42" s="22">
        <f>SUM($AV$3:AV42)</f>
        <v>57081.112500000003</v>
      </c>
      <c r="AX42" s="22">
        <f t="shared" si="50"/>
        <v>472268.88750000001</v>
      </c>
      <c r="AY42" s="22">
        <f t="shared" si="51"/>
        <v>2815.2000000000003</v>
      </c>
      <c r="AZ42" s="24">
        <f t="shared" si="52"/>
        <v>1.9584000000000001E-2</v>
      </c>
      <c r="BA42" s="24">
        <f t="shared" si="53"/>
        <v>0.35000000000000003</v>
      </c>
      <c r="BB42" s="25">
        <f>IF(MortgageRate="Discounted",_xlfn.XLOOKUP(L42,'mortgage-rates'!$A:$A,'mortgage-rates'!$E:$E)/100,_xlfn.XLOOKUP(L42,'mortgage-rates'!$A:$A,'mortgage-rates'!$D:$D)/100)</f>
        <v>4.8300000000000003E-2</v>
      </c>
      <c r="BC42" s="10">
        <f t="shared" si="67"/>
        <v>211872.00416239648</v>
      </c>
      <c r="BD42" s="10">
        <f t="shared" si="54"/>
        <v>4928.1343529881287</v>
      </c>
      <c r="BE42" s="10">
        <f t="shared" si="55"/>
        <v>2558.3544502609375</v>
      </c>
      <c r="BF42" s="10">
        <f t="shared" si="36"/>
        <v>2369.7799027271913</v>
      </c>
      <c r="BG42" s="12">
        <f t="shared" si="56"/>
        <v>7743.3343529881295</v>
      </c>
      <c r="BH42" s="22">
        <f>INDEX(cpi!B:B,MATCH($L42,cpi!A:A))</f>
        <v>108.3</v>
      </c>
      <c r="BI42" s="22">
        <f t="shared" si="57"/>
        <v>128.01418439716312</v>
      </c>
      <c r="BJ42" s="22">
        <f t="shared" si="58"/>
        <v>157.54637874303378</v>
      </c>
      <c r="BK42" s="22">
        <f t="shared" si="59"/>
        <v>158.66764710457753</v>
      </c>
      <c r="BL42" s="22">
        <f t="shared" si="60"/>
        <v>157.88275925149691</v>
      </c>
      <c r="BM42" s="22">
        <f t="shared" si="61"/>
        <v>223.53341976330901</v>
      </c>
      <c r="BN42" s="22">
        <f t="shared" si="62"/>
        <v>168.37481698389459</v>
      </c>
      <c r="BO42">
        <f t="shared" si="63"/>
        <v>141.89303578299345</v>
      </c>
    </row>
    <row r="43" spans="1:67" x14ac:dyDescent="0.25">
      <c r="A43" t="s">
        <v>330</v>
      </c>
      <c r="B43" s="4">
        <v>2.5000000000000001E-3</v>
      </c>
      <c r="C43" s="4">
        <v>2.5000000000000001E-3</v>
      </c>
      <c r="L43" s="1">
        <f t="shared" si="33"/>
        <v>42430</v>
      </c>
      <c r="M43" s="10">
        <f t="shared" si="38"/>
        <v>211744.78185462634</v>
      </c>
      <c r="N43" s="10">
        <f t="shared" si="39"/>
        <v>255374.16324033073</v>
      </c>
      <c r="O43" s="7">
        <f t="shared" si="24"/>
        <v>0.82915506865647526</v>
      </c>
      <c r="P43" s="7">
        <f t="shared" si="40"/>
        <v>0.98693976082293333</v>
      </c>
      <c r="Q43">
        <v>41</v>
      </c>
      <c r="R43">
        <f t="shared" si="41"/>
        <v>91</v>
      </c>
      <c r="S43" s="22"/>
      <c r="T43" s="22">
        <f>IF($B$10="3BR_H",
INDEX('3BR_H-processed'!$E:$E,MATCH($L43,'3BR_H-processed'!$B:$B,0),MATCH(Council_Area,'3BR_H-processed'!$E$1:$E$1,0)),
INDEX('2BR_F-processed'!$E:$E,MATCH($L43,'2BR_F-processed'!$B:$B,0),MATCH(Council_Area,'2BR_F-processed'!$E$1:$E$1,0)))</f>
        <v>554</v>
      </c>
      <c r="U43" s="22">
        <f t="shared" si="25"/>
        <v>554</v>
      </c>
      <c r="V43" s="22">
        <f t="shared" si="34"/>
        <v>7202</v>
      </c>
      <c r="W43" s="22">
        <f>$B$53/4*BH43/_xlfn.XLOOKUP(Q_end,cpi!A:A,cpi!B:B)</f>
        <v>149.550794747754</v>
      </c>
      <c r="X43" s="22">
        <f t="shared" si="42"/>
        <v>7351.5507947477536</v>
      </c>
      <c r="Y43" s="22">
        <f t="shared" si="43"/>
        <v>97.283558240375896</v>
      </c>
      <c r="Z43" s="22">
        <f t="shared" si="64"/>
        <v>0</v>
      </c>
      <c r="AA43" s="22" cm="1">
        <f t="array" ref="AA43">(Y43+Z43)*eff_invest</f>
        <v>97.283558240375896</v>
      </c>
      <c r="AB43" s="22">
        <f>AA43*(_xlfn.XLOOKUP(Q_end,cpi!A:A,cpi!B:B)/BH43)</f>
        <v>130.10102474475408</v>
      </c>
      <c r="AC43" s="22" cm="1">
        <f t="array" ref="AC43">INDEX('msci-indices'!C:C,MATCH($L43,'msci-indices'!$B:$B)-2)</f>
        <v>1252.64913</v>
      </c>
      <c r="AD43" s="22" cm="1">
        <f t="array" ref="AD43">INDEX('msci-indices'!D:D,MATCH($L43,'msci-indices'!$B:$B)-2)</f>
        <v>1204.1584660000001</v>
      </c>
      <c r="AE43" s="22">
        <f t="shared" si="65"/>
        <v>213962.52762952441</v>
      </c>
      <c r="AF43" s="22" cm="1">
        <f t="array" ref="AF43">INDEX('msci-indices'!C:C,MATCH($L43,'msci-indices'!$B:$B)+1)</f>
        <v>1249.9268750000001</v>
      </c>
      <c r="AG43" s="22" cm="1">
        <f t="array" ref="AG43">INDEX('msci-indices'!D:D,MATCH($L43,'msci-indices'!$B:$B)+1)</f>
        <v>1171.1690430000001</v>
      </c>
      <c r="AH43" s="22">
        <f t="shared" si="44"/>
        <v>133.72657976845275</v>
      </c>
      <c r="AI43" s="22">
        <f t="shared" si="45"/>
        <v>211744.78185462634</v>
      </c>
      <c r="AJ43" s="22">
        <f t="shared" si="66"/>
        <v>135220.60783330307</v>
      </c>
      <c r="AK43" s="22">
        <f t="shared" si="46"/>
        <v>76524.17402132327</v>
      </c>
      <c r="AL43" s="22">
        <f>AJ43*(_xlfn.XLOOKUP(Q_end,cpi!A:A,cpi!B:B)/BH43)</f>
        <v>180835.6927308591</v>
      </c>
      <c r="AM43" s="22" cm="1">
        <f t="array" ref="AM43">SUMPRODUCT($AA$3:AA43,_xlfn.SORTBY($BH$3:BH43,_xlfn.SEQUENCE(ROWS($BH$3:BH43)),-1)/$BH$3)</f>
        <v>170780.25945619054</v>
      </c>
      <c r="AN43" s="22">
        <f t="shared" si="30"/>
        <v>40964.522398435802</v>
      </c>
      <c r="AO43" s="22">
        <f t="shared" si="47"/>
        <v>0</v>
      </c>
      <c r="AP43" s="22">
        <f t="shared" si="31"/>
        <v>211744.78185462634</v>
      </c>
      <c r="AQ43" s="22"/>
      <c r="AR43" s="10">
        <f>IF($B$10="3BR_H",
INDEX('ns-combined'!$C:$C,MATCH($L43,'ns-combined'!$B:$B,0),MATCH(Council_Area,'ns-combined'!$C$1:$C$1,0))*1000,
INDEX('s-combined'!$C:$C,MATCH($L43,'s-combined'!$B:$B,0),MATCH(Council_Area,'s-combined'!$C$1:$C$1,0))*1000)</f>
        <v>570000</v>
      </c>
      <c r="AS43" s="22">
        <f t="shared" si="35"/>
        <v>35003.75</v>
      </c>
      <c r="AT43" s="10">
        <v>0</v>
      </c>
      <c r="AU43" s="22">
        <f t="shared" si="48"/>
        <v>11400</v>
      </c>
      <c r="AV43" s="22">
        <f t="shared" si="49"/>
        <v>1638.75</v>
      </c>
      <c r="AW43" s="22">
        <f>SUM($AV$3:AV43)</f>
        <v>58719.862500000003</v>
      </c>
      <c r="AX43" s="22">
        <f t="shared" si="50"/>
        <v>464876.38750000001</v>
      </c>
      <c r="AY43" s="22">
        <f t="shared" si="51"/>
        <v>2520.7000000000003</v>
      </c>
      <c r="AZ43" s="24">
        <f t="shared" si="52"/>
        <v>1.7689122807017545E-2</v>
      </c>
      <c r="BA43" s="24">
        <f t="shared" si="53"/>
        <v>0.35000000000000003</v>
      </c>
      <c r="BB43" s="25">
        <f>IF(MortgageRate="Discounted",_xlfn.XLOOKUP(L43,'mortgage-rates'!$A:$A,'mortgage-rates'!$E:$E)/100,_xlfn.XLOOKUP(L43,'mortgage-rates'!$A:$A,'mortgage-rates'!$D:$D)/100)</f>
        <v>4.8300000000000003E-2</v>
      </c>
      <c r="BC43" s="10">
        <f t="shared" si="67"/>
        <v>209502.22425966928</v>
      </c>
      <c r="BD43" s="10">
        <f t="shared" si="54"/>
        <v>4928.1343529881287</v>
      </c>
      <c r="BE43" s="10">
        <f t="shared" si="55"/>
        <v>2529.7393579355066</v>
      </c>
      <c r="BF43" s="10">
        <f t="shared" si="36"/>
        <v>2398.3949950526221</v>
      </c>
      <c r="BG43" s="12">
        <f t="shared" si="56"/>
        <v>7448.8343529881295</v>
      </c>
      <c r="BH43" s="22">
        <f>INDEX(cpi!B:B,MATCH($L43,cpi!A:A))</f>
        <v>108.2</v>
      </c>
      <c r="BI43" s="22">
        <f t="shared" si="57"/>
        <v>127.89598108747046</v>
      </c>
      <c r="BJ43" s="22">
        <f t="shared" si="58"/>
        <v>165.94025216028786</v>
      </c>
      <c r="BK43" s="22">
        <f t="shared" si="59"/>
        <v>168.89654464308245</v>
      </c>
      <c r="BL43" s="22">
        <f t="shared" si="60"/>
        <v>166.82713990512624</v>
      </c>
      <c r="BM43" s="22">
        <f t="shared" si="61"/>
        <v>236.16098257649017</v>
      </c>
      <c r="BN43" s="22">
        <f t="shared" si="62"/>
        <v>166.91068814055637</v>
      </c>
      <c r="BO43">
        <f t="shared" si="63"/>
        <v>139.6719615289208</v>
      </c>
    </row>
    <row r="44" spans="1:67" x14ac:dyDescent="0.25">
      <c r="A44" s="6" t="s">
        <v>463</v>
      </c>
      <c r="B44" t="s">
        <v>341</v>
      </c>
      <c r="C44" t="s">
        <v>341</v>
      </c>
      <c r="L44" s="1">
        <f t="shared" si="33"/>
        <v>42522</v>
      </c>
      <c r="M44" s="10">
        <f t="shared" si="38"/>
        <v>215810.01435311473</v>
      </c>
      <c r="N44" s="10">
        <f t="shared" si="39"/>
        <v>233783.30823538336</v>
      </c>
      <c r="O44" s="7">
        <f t="shared" si="24"/>
        <v>0.92311985822284492</v>
      </c>
      <c r="P44" s="7">
        <f t="shared" si="40"/>
        <v>0.99739071043471972</v>
      </c>
      <c r="Q44">
        <v>42</v>
      </c>
      <c r="R44">
        <f t="shared" si="41"/>
        <v>91</v>
      </c>
      <c r="S44" s="22"/>
      <c r="T44" s="22">
        <f>IF($B$10="3BR_H",
INDEX('3BR_H-processed'!$E:$E,MATCH($L44,'3BR_H-processed'!$B:$B,0),MATCH(Council_Area,'3BR_H-processed'!$E$1:$E$1,0)),
INDEX('2BR_F-processed'!$E:$E,MATCH($L44,'2BR_F-processed'!$B:$B,0),MATCH(Council_Area,'2BR_F-processed'!$E$1:$E$1,0)))</f>
        <v>554</v>
      </c>
      <c r="U44" s="22">
        <f t="shared" si="25"/>
        <v>554</v>
      </c>
      <c r="V44" s="22">
        <f t="shared" si="34"/>
        <v>7202</v>
      </c>
      <c r="W44" s="22">
        <f>$B$53/4*BH44/_xlfn.XLOOKUP(Q_end,cpi!A:A,cpi!B:B)</f>
        <v>150.38009675190048</v>
      </c>
      <c r="X44" s="22">
        <f t="shared" si="42"/>
        <v>7352.3800967519001</v>
      </c>
      <c r="Y44" s="22">
        <f t="shared" si="43"/>
        <v>19.234677509746689</v>
      </c>
      <c r="Z44" s="22">
        <f t="shared" si="64"/>
        <v>0</v>
      </c>
      <c r="AA44" s="22" cm="1">
        <f t="array" ref="AA44">(Y44+Z44)*eff_invest</f>
        <v>19.234677509746689</v>
      </c>
      <c r="AB44" s="22">
        <f>AA44*(_xlfn.XLOOKUP(Q_end,cpi!A:A,cpi!B:B)/BH44)</f>
        <v>25.581413930701707</v>
      </c>
      <c r="AC44" s="22" cm="1">
        <f t="array" ref="AC44">INDEX('msci-indices'!C:C,MATCH($L44,'msci-indices'!$B:$B)-2)</f>
        <v>1249.9268750000001</v>
      </c>
      <c r="AD44" s="22" cm="1">
        <f t="array" ref="AD44">INDEX('msci-indices'!D:D,MATCH($L44,'msci-indices'!$B:$B)-2)</f>
        <v>1171.1690430000001</v>
      </c>
      <c r="AE44" s="22">
        <f t="shared" si="65"/>
        <v>211764.0165321361</v>
      </c>
      <c r="AF44" s="22" cm="1">
        <f t="array" ref="AF44">INDEX('msci-indices'!C:C,MATCH($L44,'msci-indices'!$B:$B)+1)</f>
        <v>1263.5195100000001</v>
      </c>
      <c r="AG44" s="22" cm="1">
        <f t="array" ref="AG44">INDEX('msci-indices'!D:D,MATCH($L44,'msci-indices'!$B:$B)+1)</f>
        <v>1218.479752</v>
      </c>
      <c r="AH44" s="22">
        <f t="shared" si="44"/>
        <v>132.35251033258507</v>
      </c>
      <c r="AI44" s="22">
        <f t="shared" si="45"/>
        <v>215810.01435311473</v>
      </c>
      <c r="AJ44" s="22">
        <f t="shared" si="66"/>
        <v>135239.84251081283</v>
      </c>
      <c r="AK44" s="22">
        <f t="shared" si="46"/>
        <v>80570.171842301905</v>
      </c>
      <c r="AL44" s="22">
        <f>AJ44*(_xlfn.XLOOKUP(Q_end,cpi!A:A,cpi!B:B)/BH44)</f>
        <v>179864.01848634757</v>
      </c>
      <c r="AM44" s="22" cm="1">
        <f t="array" ref="AM44">SUMPRODUCT($AA$3:AA44,_xlfn.SORTBY($BH$3:BH44,_xlfn.SEQUENCE(ROWS($BH$3:BH44)),-1)/$BH$3)</f>
        <v>171716.92427373628</v>
      </c>
      <c r="AN44" s="22">
        <f t="shared" si="30"/>
        <v>44093.090079378453</v>
      </c>
      <c r="AO44" s="22">
        <f t="shared" si="47"/>
        <v>0</v>
      </c>
      <c r="AP44" s="22">
        <f t="shared" si="31"/>
        <v>215810.01435311473</v>
      </c>
      <c r="AQ44" s="22"/>
      <c r="AR44" s="10">
        <f>IF($B$10="3BR_H",
INDEX('ns-combined'!$C:$C,MATCH($L44,'ns-combined'!$B:$B,0),MATCH(Council_Area,'ns-combined'!$C$1:$C$1,0))*1000,
INDEX('s-combined'!$C:$C,MATCH($L44,'s-combined'!$B:$B,0),MATCH(Council_Area,'s-combined'!$C$1:$C$1,0))*1000)</f>
        <v>548000</v>
      </c>
      <c r="AS44" s="22">
        <f t="shared" si="35"/>
        <v>35857.5</v>
      </c>
      <c r="AT44" s="10">
        <v>0</v>
      </c>
      <c r="AU44" s="22">
        <f t="shared" si="48"/>
        <v>10960</v>
      </c>
      <c r="AV44" s="22">
        <f t="shared" si="49"/>
        <v>1575.5</v>
      </c>
      <c r="AW44" s="22">
        <f>SUM($AV$3:AV44)</f>
        <v>60295.362500000003</v>
      </c>
      <c r="AX44" s="22">
        <f t="shared" si="50"/>
        <v>440887.13750000001</v>
      </c>
      <c r="AY44" s="22">
        <f t="shared" si="51"/>
        <v>2520.7000000000003</v>
      </c>
      <c r="AZ44" s="24">
        <f t="shared" si="52"/>
        <v>1.8399270072992704E-2</v>
      </c>
      <c r="BA44" s="24">
        <f t="shared" si="53"/>
        <v>0.35000000000000003</v>
      </c>
      <c r="BB44" s="25">
        <f>IF(MortgageRate="Discounted",_xlfn.XLOOKUP(L44,'mortgage-rates'!$A:$A,'mortgage-rates'!$E:$E)/100,_xlfn.XLOOKUP(L44,'mortgage-rates'!$A:$A,'mortgage-rates'!$D:$D)/100)</f>
        <v>4.5899999999999996E-2</v>
      </c>
      <c r="BC44" s="10">
        <f t="shared" si="67"/>
        <v>207103.82926461665</v>
      </c>
      <c r="BD44" s="10">
        <f t="shared" si="54"/>
        <v>4850.9147742616469</v>
      </c>
      <c r="BE44" s="10">
        <f t="shared" si="55"/>
        <v>2376.5164408114761</v>
      </c>
      <c r="BF44" s="10">
        <f t="shared" si="36"/>
        <v>2474.3983334501709</v>
      </c>
      <c r="BG44" s="12">
        <f t="shared" si="56"/>
        <v>7371.6147742616467</v>
      </c>
      <c r="BH44" s="22">
        <f>INDEX(cpi!B:B,MATCH($L44,cpi!A:A))</f>
        <v>108.8</v>
      </c>
      <c r="BI44" s="22">
        <f t="shared" si="57"/>
        <v>128.60520094562648</v>
      </c>
      <c r="BJ44" s="22">
        <f t="shared" si="58"/>
        <v>165.57963108106787</v>
      </c>
      <c r="BK44" s="22">
        <f t="shared" si="59"/>
        <v>164.2694131551666</v>
      </c>
      <c r="BL44" s="22">
        <f t="shared" si="60"/>
        <v>165.1865657032975</v>
      </c>
      <c r="BM44" s="22">
        <f t="shared" si="61"/>
        <v>233.73437756898372</v>
      </c>
      <c r="BN44" s="22">
        <f t="shared" si="62"/>
        <v>160.46852122986823</v>
      </c>
      <c r="BO44">
        <f t="shared" si="63"/>
        <v>132.46439906026851</v>
      </c>
    </row>
    <row r="45" spans="1:67" x14ac:dyDescent="0.25">
      <c r="A45" t="s">
        <v>344</v>
      </c>
      <c r="B45" s="8">
        <v>0.32</v>
      </c>
      <c r="C45" s="8">
        <v>0.32</v>
      </c>
      <c r="L45" s="1">
        <f t="shared" si="33"/>
        <v>42614</v>
      </c>
      <c r="M45" s="10">
        <f t="shared" si="38"/>
        <v>226952.74200727089</v>
      </c>
      <c r="N45" s="10">
        <f t="shared" si="39"/>
        <v>206468.95656883353</v>
      </c>
      <c r="O45" s="7">
        <f t="shared" si="24"/>
        <v>1.0992100012459181</v>
      </c>
      <c r="P45" s="7">
        <f t="shared" si="40"/>
        <v>1.0078806710814419</v>
      </c>
      <c r="Q45">
        <v>43</v>
      </c>
      <c r="R45">
        <f t="shared" si="41"/>
        <v>92</v>
      </c>
      <c r="S45" s="22"/>
      <c r="T45" s="22">
        <f>IF($B$10="3BR_H",
INDEX('3BR_H-processed'!$E:$E,MATCH($L45,'3BR_H-processed'!$B:$B,0),MATCH(Council_Area,'3BR_H-processed'!$E$1:$E$1,0)),
INDEX('2BR_F-processed'!$E:$E,MATCH($L45,'2BR_F-processed'!$B:$B,0),MATCH(Council_Area,'2BR_F-processed'!$E$1:$E$1,0)))</f>
        <v>513</v>
      </c>
      <c r="U45" s="22">
        <f t="shared" si="25"/>
        <v>554</v>
      </c>
      <c r="V45" s="22">
        <f t="shared" si="34"/>
        <v>7281.1428571428569</v>
      </c>
      <c r="W45" s="22">
        <f>$B$53/4*BH45/_xlfn.XLOOKUP(Q_end,cpi!A:A,cpi!B:B)</f>
        <v>151.07118175535592</v>
      </c>
      <c r="X45" s="22">
        <f t="shared" si="42"/>
        <v>7432.2140388982125</v>
      </c>
      <c r="Y45" s="22">
        <f t="shared" si="43"/>
        <v>-58.112865865942695</v>
      </c>
      <c r="Z45" s="22">
        <f t="shared" si="64"/>
        <v>0</v>
      </c>
      <c r="AA45" s="22" cm="1">
        <f t="array" ref="AA45">(Y45+Z45)*eff_invest</f>
        <v>-58.112865865942695</v>
      </c>
      <c r="AB45" s="22">
        <f>AA45*(_xlfn.XLOOKUP(Q_end,cpi!A:A,cpi!B:B)/BH45)</f>
        <v>-76.934416201298319</v>
      </c>
      <c r="AC45" s="22" cm="1">
        <f t="array" ref="AC45">INDEX('msci-indices'!C:C,MATCH($L45,'msci-indices'!$B:$B)-2)</f>
        <v>1263.5195100000001</v>
      </c>
      <c r="AD45" s="22" cm="1">
        <f t="array" ref="AD45">INDEX('msci-indices'!D:D,MATCH($L45,'msci-indices'!$B:$B)-2)</f>
        <v>1218.479752</v>
      </c>
      <c r="AE45" s="22">
        <f t="shared" si="65"/>
        <v>215751.9014872488</v>
      </c>
      <c r="AF45" s="22" cm="1">
        <f t="array" ref="AF45">INDEX('msci-indices'!C:C,MATCH($L45,'msci-indices'!$B:$B)+1)</f>
        <v>1329.025858</v>
      </c>
      <c r="AG45" s="22" cm="1">
        <f t="array" ref="AG45">INDEX('msci-indices'!D:D,MATCH($L45,'msci-indices'!$B:$B)+1)</f>
        <v>1284.47801</v>
      </c>
      <c r="AH45" s="22">
        <f t="shared" si="44"/>
        <v>134.84493842953052</v>
      </c>
      <c r="AI45" s="22">
        <f t="shared" si="45"/>
        <v>226952.74200727089</v>
      </c>
      <c r="AJ45" s="22">
        <f t="shared" si="66"/>
        <v>135181.7296449469</v>
      </c>
      <c r="AK45" s="22">
        <f t="shared" si="46"/>
        <v>91771.012362323992</v>
      </c>
      <c r="AL45" s="22">
        <f>AJ45*(_xlfn.XLOOKUP(Q_end,cpi!A:A,cpi!B:B)/BH45)</f>
        <v>178964.28435154451</v>
      </c>
      <c r="AM45" s="22" cm="1">
        <f t="array" ref="AM45">SUMPRODUCT($AA$3:AA45,_xlfn.SORTBY($BH$3:BH45,_xlfn.SEQUENCE(ROWS($BH$3:BH45)),-1)/$BH$3)</f>
        <v>172456.0784157787</v>
      </c>
      <c r="AN45" s="22">
        <f t="shared" si="30"/>
        <v>54496.663591492194</v>
      </c>
      <c r="AO45" s="22">
        <f t="shared" si="47"/>
        <v>0</v>
      </c>
      <c r="AP45" s="22">
        <f t="shared" si="31"/>
        <v>226952.74200727089</v>
      </c>
      <c r="AQ45" s="22"/>
      <c r="AR45" s="10">
        <f>IF($B$10="3BR_H",
INDEX('ns-combined'!$C:$C,MATCH($L45,'ns-combined'!$B:$B,0),MATCH(Council_Area,'ns-combined'!$C$1:$C$1,0))*1000,
INDEX('s-combined'!$C:$C,MATCH($L45,'s-combined'!$B:$B,0),MATCH(Council_Area,'s-combined'!$C$1:$C$1,0))*1000)</f>
        <v>520000</v>
      </c>
      <c r="AS45" s="22">
        <f t="shared" si="35"/>
        <v>36711.25</v>
      </c>
      <c r="AT45" s="10">
        <v>0</v>
      </c>
      <c r="AU45" s="22">
        <f t="shared" si="48"/>
        <v>10400</v>
      </c>
      <c r="AV45" s="22">
        <f t="shared" si="49"/>
        <v>1495</v>
      </c>
      <c r="AW45" s="22">
        <f>SUM($AV$3:AV45)</f>
        <v>61790.362500000003</v>
      </c>
      <c r="AX45" s="22">
        <f t="shared" si="50"/>
        <v>411098.38750000001</v>
      </c>
      <c r="AY45" s="22">
        <f t="shared" si="51"/>
        <v>2548.4</v>
      </c>
      <c r="AZ45" s="24">
        <f t="shared" si="52"/>
        <v>1.9603076923076924E-2</v>
      </c>
      <c r="BA45" s="24">
        <f t="shared" si="53"/>
        <v>0.35000000000000003</v>
      </c>
      <c r="BB45" s="25">
        <f>IF(MortgageRate="Discounted",_xlfn.XLOOKUP(L45,'mortgage-rates'!$A:$A,'mortgage-rates'!$E:$E)/100,_xlfn.XLOOKUP(L45,'mortgage-rates'!$A:$A,'mortgage-rates'!$D:$D)/100)</f>
        <v>4.5100000000000001E-2</v>
      </c>
      <c r="BC45" s="10">
        <f t="shared" si="67"/>
        <v>204629.43093116648</v>
      </c>
      <c r="BD45" s="10">
        <f t="shared" si="54"/>
        <v>4825.7011730322702</v>
      </c>
      <c r="BE45" s="10">
        <f t="shared" si="55"/>
        <v>2307.196833748902</v>
      </c>
      <c r="BF45" s="10">
        <f t="shared" si="36"/>
        <v>2518.5043392833682</v>
      </c>
      <c r="BG45" s="12">
        <f t="shared" si="56"/>
        <v>7374.1011730322698</v>
      </c>
      <c r="BH45" s="22">
        <f>INDEX(cpi!B:B,MATCH($L45,cpi!A:A))</f>
        <v>109.3</v>
      </c>
      <c r="BI45" s="22">
        <f t="shared" si="57"/>
        <v>129.19621749408984</v>
      </c>
      <c r="BJ45" s="22">
        <f t="shared" si="58"/>
        <v>167.38026720925703</v>
      </c>
      <c r="BK45" s="22">
        <f t="shared" si="59"/>
        <v>170.90526341934137</v>
      </c>
      <c r="BL45" s="22">
        <f t="shared" si="60"/>
        <v>168.43776607228233</v>
      </c>
      <c r="BM45" s="22">
        <f t="shared" si="61"/>
        <v>238.1360026564949</v>
      </c>
      <c r="BN45" s="22">
        <f t="shared" si="62"/>
        <v>152.26939970717424</v>
      </c>
      <c r="BO45">
        <f t="shared" si="63"/>
        <v>123.51437867663559</v>
      </c>
    </row>
    <row r="46" spans="1:67" x14ac:dyDescent="0.25">
      <c r="A46" t="s">
        <v>343</v>
      </c>
      <c r="B46" s="8">
        <v>0.15</v>
      </c>
      <c r="C46" s="8">
        <v>0.15</v>
      </c>
      <c r="L46" s="1">
        <f t="shared" si="33"/>
        <v>42705</v>
      </c>
      <c r="M46" s="10">
        <f t="shared" si="38"/>
        <v>233701.29217214457</v>
      </c>
      <c r="N46" s="10">
        <f t="shared" si="39"/>
        <v>208592.96090811689</v>
      </c>
      <c r="O46" s="7">
        <f t="shared" si="24"/>
        <v>1.1203699835062395</v>
      </c>
      <c r="P46" s="7">
        <f t="shared" si="40"/>
        <v>1.0079743889444381</v>
      </c>
      <c r="Q46">
        <v>44</v>
      </c>
      <c r="R46">
        <f t="shared" si="41"/>
        <v>92</v>
      </c>
      <c r="S46" s="22"/>
      <c r="T46" s="22">
        <f>IF($B$10="3BR_H",
INDEX('3BR_H-processed'!$E:$E,MATCH($L46,'3BR_H-processed'!$B:$B,0),MATCH(Council_Area,'3BR_H-processed'!$E$1:$E$1,0)),
INDEX('2BR_F-processed'!$E:$E,MATCH($L46,'2BR_F-processed'!$B:$B,0),MATCH(Council_Area,'2BR_F-processed'!$E$1:$E$1,0)))</f>
        <v>513</v>
      </c>
      <c r="U46" s="22">
        <f t="shared" si="25"/>
        <v>554</v>
      </c>
      <c r="V46" s="22">
        <f t="shared" si="34"/>
        <v>7281.1428571428569</v>
      </c>
      <c r="W46" s="22">
        <f>$B$53/4*BH46/_xlfn.XLOOKUP(Q_end,cpi!A:A,cpi!B:B)</f>
        <v>151.76226675881134</v>
      </c>
      <c r="X46" s="22">
        <f t="shared" si="42"/>
        <v>7432.905123901668</v>
      </c>
      <c r="Y46" s="22">
        <f t="shared" si="43"/>
        <v>-58.803950869396431</v>
      </c>
      <c r="Z46" s="22">
        <f t="shared" si="64"/>
        <v>0</v>
      </c>
      <c r="AA46" s="22" cm="1">
        <f t="array" ref="AA46">(Y46+Z46)*eff_invest</f>
        <v>-58.803950869396431</v>
      </c>
      <c r="AB46" s="22">
        <f>AA46*(_xlfn.XLOOKUP(Q_end,cpi!A:A,cpi!B:B)/BH46)</f>
        <v>-77.494824142091645</v>
      </c>
      <c r="AC46" s="22" cm="1">
        <f t="array" ref="AC46">INDEX('msci-indices'!C:C,MATCH($L46,'msci-indices'!$B:$B)-2)</f>
        <v>1329.025858</v>
      </c>
      <c r="AD46" s="22" cm="1">
        <f t="array" ref="AD46">INDEX('msci-indices'!D:D,MATCH($L46,'msci-indices'!$B:$B)-2)</f>
        <v>1284.47801</v>
      </c>
      <c r="AE46" s="22">
        <f t="shared" si="65"/>
        <v>226893.9380564015</v>
      </c>
      <c r="AF46" s="22" cm="1">
        <f t="array" ref="AF46">INDEX('msci-indices'!C:C,MATCH($L46,'msci-indices'!$B:$B)+1)</f>
        <v>1355.3009059999999</v>
      </c>
      <c r="AG46" s="22" cm="1">
        <f t="array" ref="AG46">INDEX('msci-indices'!D:D,MATCH($L46,'msci-indices'!$B:$B)+1)</f>
        <v>1356.3584840000001</v>
      </c>
      <c r="AH46" s="22">
        <f t="shared" si="44"/>
        <v>141.80871128525095</v>
      </c>
      <c r="AI46" s="22">
        <f t="shared" si="45"/>
        <v>233701.29217214457</v>
      </c>
      <c r="AJ46" s="22">
        <f t="shared" si="66"/>
        <v>135122.92569407751</v>
      </c>
      <c r="AK46" s="22">
        <f t="shared" si="46"/>
        <v>98578.366478067066</v>
      </c>
      <c r="AL46" s="22">
        <f>AJ46*(_xlfn.XLOOKUP(Q_end,cpi!A:A,cpi!B:B)/BH46)</f>
        <v>178071.83376988172</v>
      </c>
      <c r="AM46" s="22" cm="1">
        <f t="array" ref="AM46">SUMPRODUCT($AA$3:AA46,_xlfn.SORTBY($BH$3:BH46,_xlfn.SEQUENCE(ROWS($BH$3:BH46)),-1)/$BH$3)</f>
        <v>173177.26508789189</v>
      </c>
      <c r="AN46" s="22">
        <f t="shared" si="30"/>
        <v>60524.027084252681</v>
      </c>
      <c r="AO46" s="22">
        <f t="shared" si="47"/>
        <v>0</v>
      </c>
      <c r="AP46" s="22">
        <f t="shared" si="31"/>
        <v>233701.29217214457</v>
      </c>
      <c r="AQ46" s="22"/>
      <c r="AR46" s="10">
        <f>IF($B$10="3BR_H",
INDEX('ns-combined'!$C:$C,MATCH($L46,'ns-combined'!$B:$B,0),MATCH(Council_Area,'ns-combined'!$C$1:$C$1,0))*1000,
INDEX('s-combined'!$C:$C,MATCH($L46,'s-combined'!$B:$B,0),MATCH(Council_Area,'s-combined'!$C$1:$C$1,0))*1000)</f>
        <v>522000</v>
      </c>
      <c r="AS46" s="22">
        <f t="shared" si="35"/>
        <v>37565</v>
      </c>
      <c r="AT46" s="10">
        <v>0</v>
      </c>
      <c r="AU46" s="22">
        <f t="shared" si="48"/>
        <v>10440</v>
      </c>
      <c r="AV46" s="22">
        <f t="shared" si="49"/>
        <v>1500.75</v>
      </c>
      <c r="AW46" s="22">
        <f>SUM($AV$3:AV46)</f>
        <v>63291.112500000003</v>
      </c>
      <c r="AX46" s="22">
        <f t="shared" si="50"/>
        <v>410703.88750000001</v>
      </c>
      <c r="AY46" s="22">
        <f t="shared" si="51"/>
        <v>2548.4</v>
      </c>
      <c r="AZ46" s="24">
        <f t="shared" si="52"/>
        <v>1.9527969348659004E-2</v>
      </c>
      <c r="BA46" s="24">
        <f t="shared" si="53"/>
        <v>0.35000000000000003</v>
      </c>
      <c r="BB46" s="25">
        <f>IF(MortgageRate="Discounted",_xlfn.XLOOKUP(L46,'mortgage-rates'!$A:$A,'mortgage-rates'!$E:$E)/100,_xlfn.XLOOKUP(L46,'mortgage-rates'!$A:$A,'mortgage-rates'!$D:$D)/100)</f>
        <v>4.5100000000000001E-2</v>
      </c>
      <c r="BC46" s="10">
        <f t="shared" si="67"/>
        <v>202110.92659188312</v>
      </c>
      <c r="BD46" s="10">
        <f t="shared" si="54"/>
        <v>4825.7011730322711</v>
      </c>
      <c r="BE46" s="10">
        <f t="shared" si="55"/>
        <v>2278.8006973234824</v>
      </c>
      <c r="BF46" s="10">
        <f t="shared" si="36"/>
        <v>2546.9004757087887</v>
      </c>
      <c r="BG46" s="12">
        <f t="shared" si="56"/>
        <v>7374.1011730322716</v>
      </c>
      <c r="BH46" s="22">
        <f>INDEX(cpi!B:B,MATCH($L46,cpi!A:A))</f>
        <v>109.8</v>
      </c>
      <c r="BI46" s="22">
        <f t="shared" si="57"/>
        <v>129.78723404255319</v>
      </c>
      <c r="BJ46" s="22">
        <f t="shared" si="58"/>
        <v>176.05798840419337</v>
      </c>
      <c r="BK46" s="22">
        <f t="shared" si="59"/>
        <v>180.16224914289867</v>
      </c>
      <c r="BL46" s="22">
        <f t="shared" si="60"/>
        <v>177.28926662580494</v>
      </c>
      <c r="BM46" s="22">
        <f t="shared" si="61"/>
        <v>250.43401732862665</v>
      </c>
      <c r="BN46" s="22">
        <f t="shared" si="62"/>
        <v>152.85505124450953</v>
      </c>
      <c r="BO46">
        <f t="shared" si="63"/>
        <v>123.39585127815988</v>
      </c>
    </row>
    <row r="47" spans="1:67" x14ac:dyDescent="0.25">
      <c r="A47" t="s">
        <v>471</v>
      </c>
      <c r="B47" s="8">
        <f>IF(B44="Yes",B45-B46,0)</f>
        <v>0</v>
      </c>
      <c r="C47" s="8">
        <v>0</v>
      </c>
      <c r="L47" s="1">
        <f t="shared" si="33"/>
        <v>42795</v>
      </c>
      <c r="M47" s="10">
        <f t="shared" si="38"/>
        <v>247647.17690844284</v>
      </c>
      <c r="N47" s="10">
        <f t="shared" si="39"/>
        <v>216602.36138382569</v>
      </c>
      <c r="O47" s="7">
        <f t="shared" si="24"/>
        <v>1.1433263022908824</v>
      </c>
      <c r="P47" s="7">
        <f t="shared" si="40"/>
        <v>0.94511933089992917</v>
      </c>
      <c r="Q47">
        <v>45</v>
      </c>
      <c r="R47">
        <f t="shared" si="41"/>
        <v>90</v>
      </c>
      <c r="S47" s="22"/>
      <c r="T47" s="22">
        <f>IF($B$10="3BR_H",
INDEX('3BR_H-processed'!$E:$E,MATCH($L47,'3BR_H-processed'!$B:$B,0),MATCH(Council_Area,'3BR_H-processed'!$E$1:$E$1,0)),
INDEX('2BR_F-processed'!$E:$E,MATCH($L47,'2BR_F-processed'!$B:$B,0),MATCH(Council_Area,'2BR_F-processed'!$E$1:$E$1,0)))</f>
        <v>513</v>
      </c>
      <c r="U47" s="22">
        <f t="shared" si="25"/>
        <v>513</v>
      </c>
      <c r="V47" s="22">
        <f t="shared" si="34"/>
        <v>6595.7142857142853</v>
      </c>
      <c r="W47" s="22">
        <f>$B$53/4*BH47/_xlfn.XLOOKUP(Q_end,cpi!A:A,cpi!B:B)</f>
        <v>152.72978576364895</v>
      </c>
      <c r="X47" s="22">
        <f t="shared" si="42"/>
        <v>6748.4440714779339</v>
      </c>
      <c r="Y47" s="22">
        <f t="shared" si="43"/>
        <v>391.86493590652117</v>
      </c>
      <c r="Z47" s="22">
        <f t="shared" si="64"/>
        <v>0</v>
      </c>
      <c r="AA47" s="22" cm="1">
        <f t="array" ref="AA47">(Y47+Z47)*eff_invest</f>
        <v>391.86493590652117</v>
      </c>
      <c r="AB47" s="22">
        <f>AA47*(_xlfn.XLOOKUP(Q_end,cpi!A:A,cpi!B:B)/BH47)</f>
        <v>513.14802014184261</v>
      </c>
      <c r="AC47" s="22" cm="1">
        <f t="array" ref="AC47">INDEX('msci-indices'!C:C,MATCH($L47,'msci-indices'!$B:$B)-2)</f>
        <v>1355.3009059999999</v>
      </c>
      <c r="AD47" s="22" cm="1">
        <f t="array" ref="AD47">INDEX('msci-indices'!D:D,MATCH($L47,'msci-indices'!$B:$B)-2)</f>
        <v>1356.3584840000001</v>
      </c>
      <c r="AE47" s="22">
        <f t="shared" si="65"/>
        <v>234093.15710805109</v>
      </c>
      <c r="AF47" s="22" cm="1">
        <f t="array" ref="AF47">INDEX('msci-indices'!C:C,MATCH($L47,'msci-indices'!$B:$B)+1)</f>
        <v>1439.6180119999999</v>
      </c>
      <c r="AG47" s="22" cm="1">
        <f t="array" ref="AG47">INDEX('msci-indices'!D:D,MATCH($L47,'msci-indices'!$B:$B)+1)</f>
        <v>1424.068485</v>
      </c>
      <c r="AH47" s="22">
        <f t="shared" si="44"/>
        <v>146.30822319253193</v>
      </c>
      <c r="AI47" s="22">
        <f t="shared" si="45"/>
        <v>247647.17690844284</v>
      </c>
      <c r="AJ47" s="22">
        <f t="shared" si="66"/>
        <v>135514.79062998403</v>
      </c>
      <c r="AK47" s="22">
        <f t="shared" si="46"/>
        <v>112132.38627845881</v>
      </c>
      <c r="AL47" s="22">
        <f>AJ47*(_xlfn.XLOOKUP(Q_end,cpi!A:A,cpi!B:B)/BH47)</f>
        <v>177456.92492451298</v>
      </c>
      <c r="AM47" s="22" cm="1">
        <f t="array" ref="AM47">SUMPRODUCT($AA$3:AA47,_xlfn.SORTBY($BH$3:BH47,_xlfn.SEQUENCE(ROWS($BH$3:BH47)),-1)/$BH$3)</f>
        <v>174553.85370345012</v>
      </c>
      <c r="AN47" s="22">
        <f t="shared" si="30"/>
        <v>73093.323204992717</v>
      </c>
      <c r="AO47" s="22">
        <f t="shared" si="47"/>
        <v>0</v>
      </c>
      <c r="AP47" s="22">
        <f t="shared" si="31"/>
        <v>247647.17690844284</v>
      </c>
      <c r="AQ47" s="22"/>
      <c r="AR47" s="10">
        <f>IF($B$10="3BR_H",
INDEX('ns-combined'!$C:$C,MATCH($L47,'ns-combined'!$B:$B,0),MATCH(Council_Area,'ns-combined'!$C$1:$C$1,0))*1000,
INDEX('s-combined'!$C:$C,MATCH($L47,'s-combined'!$B:$B,0),MATCH(Council_Area,'s-combined'!$C$1:$C$1,0))*1000)</f>
        <v>530000</v>
      </c>
      <c r="AS47" s="22">
        <f t="shared" si="35"/>
        <v>38418.75</v>
      </c>
      <c r="AT47" s="10">
        <v>0</v>
      </c>
      <c r="AU47" s="22">
        <f t="shared" si="48"/>
        <v>10600</v>
      </c>
      <c r="AV47" s="22">
        <f t="shared" si="49"/>
        <v>1523.75</v>
      </c>
      <c r="AW47" s="22">
        <f>SUM($AV$3:AV47)</f>
        <v>64814.862500000003</v>
      </c>
      <c r="AX47" s="22">
        <f t="shared" si="50"/>
        <v>416166.38750000001</v>
      </c>
      <c r="AY47" s="22">
        <f t="shared" si="51"/>
        <v>2308.5</v>
      </c>
      <c r="AZ47" s="24">
        <f t="shared" si="52"/>
        <v>1.7422641509433963E-2</v>
      </c>
      <c r="BA47" s="24">
        <f t="shared" si="53"/>
        <v>0.35000000000000003</v>
      </c>
      <c r="BB47" s="25">
        <f>IF(MortgageRate="Discounted",_xlfn.XLOOKUP(L47,'mortgage-rates'!$A:$A,'mortgage-rates'!$E:$E)/100,_xlfn.XLOOKUP(L47,'mortgage-rates'!$A:$A,'mortgage-rates'!$D:$D)/100)</f>
        <v>4.53E-2</v>
      </c>
      <c r="BC47" s="10">
        <f t="shared" si="67"/>
        <v>199564.02611617433</v>
      </c>
      <c r="BD47" s="10">
        <f t="shared" si="54"/>
        <v>4831.8090073844551</v>
      </c>
      <c r="BE47" s="10">
        <f t="shared" si="55"/>
        <v>2260.0625957656744</v>
      </c>
      <c r="BF47" s="10">
        <f t="shared" si="36"/>
        <v>2571.7464116187807</v>
      </c>
      <c r="BG47" s="12">
        <f t="shared" si="56"/>
        <v>7140.3090073844551</v>
      </c>
      <c r="BH47" s="22">
        <f>INDEX(cpi!B:B,MATCH($L47,cpi!A:A))</f>
        <v>110.5</v>
      </c>
      <c r="BI47" s="22">
        <f t="shared" si="57"/>
        <v>130.6146572104019</v>
      </c>
      <c r="BJ47" s="22">
        <f t="shared" si="58"/>
        <v>179.53868222836397</v>
      </c>
      <c r="BK47" s="22">
        <f t="shared" si="59"/>
        <v>190.24428072652827</v>
      </c>
      <c r="BL47" s="22">
        <f t="shared" si="60"/>
        <v>182.75036177781325</v>
      </c>
      <c r="BM47" s="22">
        <f t="shared" si="61"/>
        <v>258.38015006437752</v>
      </c>
      <c r="BN47" s="22">
        <f t="shared" si="62"/>
        <v>155.19765739385065</v>
      </c>
      <c r="BO47">
        <f t="shared" si="63"/>
        <v>125.03705765122336</v>
      </c>
    </row>
    <row r="48" spans="1:67" x14ac:dyDescent="0.25">
      <c r="A48" t="s">
        <v>478</v>
      </c>
      <c r="B48" s="8">
        <v>0.32</v>
      </c>
      <c r="C48" s="8">
        <v>0.32</v>
      </c>
      <c r="L48" s="1">
        <f t="shared" si="33"/>
        <v>42887</v>
      </c>
      <c r="M48" s="10">
        <f t="shared" si="38"/>
        <v>253438.06758463179</v>
      </c>
      <c r="N48" s="10">
        <f t="shared" si="39"/>
        <v>187482.85779544446</v>
      </c>
      <c r="O48" s="7">
        <f t="shared" si="24"/>
        <v>1.3517932816084368</v>
      </c>
      <c r="P48" s="7">
        <f t="shared" si="40"/>
        <v>0.9540407179378888</v>
      </c>
      <c r="Q48">
        <v>46</v>
      </c>
      <c r="R48">
        <f t="shared" si="41"/>
        <v>91</v>
      </c>
      <c r="S48" s="22"/>
      <c r="T48" s="22">
        <f>IF($B$10="3BR_H",
INDEX('3BR_H-processed'!$E:$E,MATCH($L48,'3BR_H-processed'!$B:$B,0),MATCH(Council_Area,'3BR_H-processed'!$E$1:$E$1,0)),
INDEX('2BR_F-processed'!$E:$E,MATCH($L48,'2BR_F-processed'!$B:$B,0),MATCH(Council_Area,'2BR_F-processed'!$E$1:$E$1,0)))</f>
        <v>513</v>
      </c>
      <c r="U48" s="22">
        <f t="shared" si="25"/>
        <v>513</v>
      </c>
      <c r="V48" s="22">
        <f t="shared" si="34"/>
        <v>6669</v>
      </c>
      <c r="W48" s="22">
        <f>$B$53/4*BH48/_xlfn.XLOOKUP(Q_end,cpi!A:A,cpi!B:B)</f>
        <v>153.28265376641329</v>
      </c>
      <c r="X48" s="22">
        <f t="shared" si="42"/>
        <v>6822.2826537664132</v>
      </c>
      <c r="Y48" s="22">
        <f t="shared" si="43"/>
        <v>328.65181422195019</v>
      </c>
      <c r="Z48" s="22">
        <f t="shared" si="64"/>
        <v>0</v>
      </c>
      <c r="AA48" s="22" cm="1">
        <f t="array" ref="AA48">(Y48+Z48)*eff_invest</f>
        <v>328.65181422195019</v>
      </c>
      <c r="AB48" s="22">
        <f>AA48*(_xlfn.XLOOKUP(Q_end,cpi!A:A,cpi!B:B)/BH48)</f>
        <v>428.81801188382491</v>
      </c>
      <c r="AC48" s="22" cm="1">
        <f t="array" ref="AC48">INDEX('msci-indices'!C:C,MATCH($L48,'msci-indices'!$B:$B)-2)</f>
        <v>1439.6180119999999</v>
      </c>
      <c r="AD48" s="22" cm="1">
        <f t="array" ref="AD48">INDEX('msci-indices'!D:D,MATCH($L48,'msci-indices'!$B:$B)-2)</f>
        <v>1424.068485</v>
      </c>
      <c r="AE48" s="22">
        <f t="shared" si="65"/>
        <v>247975.8287226648</v>
      </c>
      <c r="AF48" s="22" cm="1">
        <f t="array" ref="AF48">INDEX('msci-indices'!C:C,MATCH($L48,'msci-indices'!$B:$B)+1)</f>
        <v>1498.0163219999999</v>
      </c>
      <c r="AG48" s="22" cm="1">
        <f t="array" ref="AG48">INDEX('msci-indices'!D:D,MATCH($L48,'msci-indices'!$B:$B)+1)</f>
        <v>1396.8056610000001</v>
      </c>
      <c r="AH48" s="22">
        <f t="shared" si="44"/>
        <v>154.9848929516655</v>
      </c>
      <c r="AI48" s="22">
        <f t="shared" si="45"/>
        <v>253438.06758463179</v>
      </c>
      <c r="AJ48" s="22">
        <f t="shared" si="66"/>
        <v>135843.44244420598</v>
      </c>
      <c r="AK48" s="22">
        <f t="shared" si="46"/>
        <v>117594.62514042581</v>
      </c>
      <c r="AL48" s="22">
        <f>AJ48*(_xlfn.XLOOKUP(Q_end,cpi!A:A,cpi!B:B)/BH48)</f>
        <v>177245.68189068171</v>
      </c>
      <c r="AM48" s="22" cm="1">
        <f t="array" ref="AM48">SUMPRODUCT($AA$3:AA48,_xlfn.SORTBY($BH$3:BH48,_xlfn.SEQUENCE(ROWS($BH$3:BH48)),-1)/$BH$3)</f>
        <v>175564.96303983647</v>
      </c>
      <c r="AN48" s="22">
        <f t="shared" si="30"/>
        <v>77873.104544795322</v>
      </c>
      <c r="AO48" s="22">
        <f t="shared" si="47"/>
        <v>0</v>
      </c>
      <c r="AP48" s="22">
        <f t="shared" si="31"/>
        <v>253438.06758463179</v>
      </c>
      <c r="AQ48" s="22"/>
      <c r="AR48" s="10">
        <f>IF($B$10="3BR_H",
INDEX('ns-combined'!$C:$C,MATCH($L48,'ns-combined'!$B:$B,0),MATCH(Council_Area,'ns-combined'!$C$1:$C$1,0))*1000,
INDEX('s-combined'!$C:$C,MATCH($L48,'s-combined'!$B:$B,0),MATCH(Council_Area,'s-combined'!$C$1:$C$1,0))*1000)</f>
        <v>500000</v>
      </c>
      <c r="AS48" s="22">
        <f t="shared" si="35"/>
        <v>39272.5</v>
      </c>
      <c r="AT48" s="10">
        <v>0</v>
      </c>
      <c r="AU48" s="22">
        <f t="shared" si="48"/>
        <v>10000</v>
      </c>
      <c r="AV48" s="22">
        <f t="shared" si="49"/>
        <v>1437.5</v>
      </c>
      <c r="AW48" s="22">
        <f>SUM($AV$3:AV48)</f>
        <v>66252.362500000003</v>
      </c>
      <c r="AX48" s="22">
        <f t="shared" si="50"/>
        <v>384475.13750000001</v>
      </c>
      <c r="AY48" s="22">
        <f t="shared" si="51"/>
        <v>2334.15</v>
      </c>
      <c r="AZ48" s="24">
        <f t="shared" si="52"/>
        <v>1.8673200000000001E-2</v>
      </c>
      <c r="BA48" s="24">
        <f t="shared" si="53"/>
        <v>0.35000000000000003</v>
      </c>
      <c r="BB48" s="25">
        <f>IF(MortgageRate="Discounted",_xlfn.XLOOKUP(L48,'mortgage-rates'!$A:$A,'mortgage-rates'!$E:$E)/100,_xlfn.XLOOKUP(L48,'mortgage-rates'!$A:$A,'mortgage-rates'!$D:$D)/100)</f>
        <v>4.4800000000000006E-2</v>
      </c>
      <c r="BC48" s="10">
        <f t="shared" si="67"/>
        <v>196992.27970455555</v>
      </c>
      <c r="BD48" s="10">
        <f t="shared" si="54"/>
        <v>4816.7844679883638</v>
      </c>
      <c r="BE48" s="10">
        <f t="shared" si="55"/>
        <v>2206.3135326910224</v>
      </c>
      <c r="BF48" s="10">
        <f t="shared" si="36"/>
        <v>2610.4709352973414</v>
      </c>
      <c r="BG48" s="12">
        <f t="shared" si="56"/>
        <v>7150.9344679883634</v>
      </c>
      <c r="BH48" s="22">
        <f>INDEX(cpi!B:B,MATCH($L48,cpi!A:A))</f>
        <v>110.9</v>
      </c>
      <c r="BI48" s="22">
        <f t="shared" si="57"/>
        <v>131.0874704491726</v>
      </c>
      <c r="BJ48" s="22">
        <f t="shared" si="58"/>
        <v>190.70829189477206</v>
      </c>
      <c r="BK48" s="22">
        <f t="shared" si="59"/>
        <v>199.74135734026328</v>
      </c>
      <c r="BL48" s="22">
        <f t="shared" si="60"/>
        <v>193.41821152841945</v>
      </c>
      <c r="BM48" s="22">
        <f t="shared" si="61"/>
        <v>273.70313865315836</v>
      </c>
      <c r="BN48" s="22">
        <f t="shared" si="62"/>
        <v>146.41288433382138</v>
      </c>
      <c r="BO48">
        <f t="shared" si="63"/>
        <v>115.51543175276146</v>
      </c>
    </row>
    <row r="49" spans="1:67" x14ac:dyDescent="0.25">
      <c r="A49" s="6" t="s">
        <v>642</v>
      </c>
      <c r="B49" t="s">
        <v>341</v>
      </c>
      <c r="C49" t="s">
        <v>341</v>
      </c>
      <c r="L49" s="1">
        <f t="shared" si="33"/>
        <v>42979</v>
      </c>
      <c r="M49" s="10">
        <f t="shared" si="38"/>
        <v>263260.29536608193</v>
      </c>
      <c r="N49" s="10">
        <f t="shared" si="39"/>
        <v>187802.07873074181</v>
      </c>
      <c r="O49" s="7">
        <f t="shared" si="24"/>
        <v>1.4017964931236311</v>
      </c>
      <c r="P49" s="7">
        <f t="shared" si="40"/>
        <v>0.96131538149376228</v>
      </c>
      <c r="Q49">
        <v>47</v>
      </c>
      <c r="R49">
        <f t="shared" si="41"/>
        <v>92</v>
      </c>
      <c r="S49" s="22"/>
      <c r="T49" s="22">
        <f>IF($B$10="3BR_H",
INDEX('3BR_H-processed'!$E:$E,MATCH($L49,'3BR_H-processed'!$B:$B,0),MATCH(Council_Area,'3BR_H-processed'!$E$1:$E$1,0)),
INDEX('2BR_F-processed'!$E:$E,MATCH($L49,'2BR_F-processed'!$B:$B,0),MATCH(Council_Area,'2BR_F-processed'!$E$1:$E$1,0)))</f>
        <v>499</v>
      </c>
      <c r="U49" s="22">
        <f t="shared" si="25"/>
        <v>513</v>
      </c>
      <c r="V49" s="22">
        <f t="shared" si="34"/>
        <v>6742.2857142857147</v>
      </c>
      <c r="W49" s="22">
        <f>$B$53/4*BH49/_xlfn.XLOOKUP(Q_end,cpi!A:A,cpi!B:B)</f>
        <v>153.83552176917763</v>
      </c>
      <c r="X49" s="22">
        <f t="shared" si="42"/>
        <v>6896.1212360548925</v>
      </c>
      <c r="Y49" s="22">
        <f t="shared" si="43"/>
        <v>277.50915498201539</v>
      </c>
      <c r="Z49" s="22">
        <f t="shared" si="64"/>
        <v>0</v>
      </c>
      <c r="AA49" s="22" cm="1">
        <f t="array" ref="AA49">(Y49+Z49)*eff_invest</f>
        <v>277.50915498201539</v>
      </c>
      <c r="AB49" s="22">
        <f>AA49*(_xlfn.XLOOKUP(Q_end,cpi!A:A,cpi!B:B)/BH49)</f>
        <v>360.78683491372527</v>
      </c>
      <c r="AC49" s="22" cm="1">
        <f t="array" ref="AC49">INDEX('msci-indices'!C:C,MATCH($L49,'msci-indices'!$B:$B)-2)</f>
        <v>1498.0163219999999</v>
      </c>
      <c r="AD49" s="22" cm="1">
        <f t="array" ref="AD49">INDEX('msci-indices'!D:D,MATCH($L49,'msci-indices'!$B:$B)-2)</f>
        <v>1396.8056610000001</v>
      </c>
      <c r="AE49" s="22">
        <f t="shared" si="65"/>
        <v>253715.57673961381</v>
      </c>
      <c r="AF49" s="22" cm="1">
        <f t="array" ref="AF49">INDEX('msci-indices'!C:C,MATCH($L49,'msci-indices'!$B:$B)+1)</f>
        <v>1573.3488809999999</v>
      </c>
      <c r="AG49" s="22" cm="1">
        <f t="array" ref="AG49">INDEX('msci-indices'!D:D,MATCH($L49,'msci-indices'!$B:$B)+1)</f>
        <v>1410.9739790000001</v>
      </c>
      <c r="AH49" s="22">
        <f t="shared" si="44"/>
        <v>158.57223546225865</v>
      </c>
      <c r="AI49" s="22">
        <f t="shared" si="45"/>
        <v>263260.29536608193</v>
      </c>
      <c r="AJ49" s="22">
        <f t="shared" si="66"/>
        <v>136120.951599188</v>
      </c>
      <c r="AK49" s="22">
        <f t="shared" si="46"/>
        <v>127139.34376689393</v>
      </c>
      <c r="AL49" s="22">
        <f>AJ49*(_xlfn.XLOOKUP(Q_end,cpi!A:A,cpi!B:B)/BH49)</f>
        <v>176969.46717342769</v>
      </c>
      <c r="AM49" s="22" cm="1">
        <f t="array" ref="AM49">SUMPRODUCT($AA$3:AA49,_xlfn.SORTBY($BH$3:BH49,_xlfn.SEQUENCE(ROWS($BH$3:BH49)),-1)/$BH$3)</f>
        <v>176527.61887645448</v>
      </c>
      <c r="AN49" s="22">
        <f t="shared" si="30"/>
        <v>86732.676489627454</v>
      </c>
      <c r="AO49" s="22">
        <f t="shared" si="47"/>
        <v>0</v>
      </c>
      <c r="AP49" s="22">
        <f t="shared" si="31"/>
        <v>263260.29536608193</v>
      </c>
      <c r="AQ49" s="22"/>
      <c r="AR49" s="10">
        <f>IF($B$10="3BR_H",
INDEX('ns-combined'!$C:$C,MATCH($L49,'ns-combined'!$B:$B,0),MATCH(Council_Area,'ns-combined'!$C$1:$C$1,0))*1000,
INDEX('s-combined'!$C:$C,MATCH($L49,'s-combined'!$B:$B,0),MATCH(Council_Area,'s-combined'!$C$1:$C$1,0))*1000)</f>
        <v>500000</v>
      </c>
      <c r="AS49" s="22">
        <f t="shared" si="35"/>
        <v>40126.25</v>
      </c>
      <c r="AT49" s="10">
        <v>0</v>
      </c>
      <c r="AU49" s="22">
        <f t="shared" si="48"/>
        <v>10000</v>
      </c>
      <c r="AV49" s="22">
        <f t="shared" si="49"/>
        <v>1437.5</v>
      </c>
      <c r="AW49" s="22">
        <f>SUM($AV$3:AV49)</f>
        <v>67689.862500000003</v>
      </c>
      <c r="AX49" s="22">
        <f t="shared" si="50"/>
        <v>382183.88750000001</v>
      </c>
      <c r="AY49" s="22">
        <f t="shared" si="51"/>
        <v>2359.8000000000002</v>
      </c>
      <c r="AZ49" s="24">
        <f t="shared" si="52"/>
        <v>1.88784E-2</v>
      </c>
      <c r="BA49" s="24">
        <f t="shared" si="53"/>
        <v>0.35000000000000003</v>
      </c>
      <c r="BB49" s="25">
        <f>IF(MortgageRate="Discounted",_xlfn.XLOOKUP(L49,'mortgage-rates'!$A:$A,'mortgage-rates'!$E:$E)/100,_xlfn.XLOOKUP(L49,'mortgage-rates'!$A:$A,'mortgage-rates'!$D:$D)/100)</f>
        <v>4.4699999999999997E-2</v>
      </c>
      <c r="BC49" s="10">
        <f t="shared" si="67"/>
        <v>194381.8087692582</v>
      </c>
      <c r="BD49" s="10">
        <f t="shared" si="54"/>
        <v>4813.8303910369077</v>
      </c>
      <c r="BE49" s="10">
        <f t="shared" si="55"/>
        <v>2172.2167129964605</v>
      </c>
      <c r="BF49" s="10">
        <f t="shared" si="36"/>
        <v>2641.6136780404472</v>
      </c>
      <c r="BG49" s="12">
        <f t="shared" si="56"/>
        <v>7173.6303910369079</v>
      </c>
      <c r="BH49" s="22">
        <f>INDEX(cpi!B:B,MATCH($L49,cpi!A:A))</f>
        <v>111.3</v>
      </c>
      <c r="BI49" s="22">
        <f t="shared" si="57"/>
        <v>131.56028368794327</v>
      </c>
      <c r="BJ49" s="22">
        <f t="shared" si="58"/>
        <v>198.44440095759853</v>
      </c>
      <c r="BK49" s="22">
        <f t="shared" si="59"/>
        <v>195.91744470681382</v>
      </c>
      <c r="BL49" s="22">
        <f t="shared" si="60"/>
        <v>197.68631408236314</v>
      </c>
      <c r="BM49" s="22">
        <f t="shared" si="61"/>
        <v>280.03838130728894</v>
      </c>
      <c r="BN49" s="22">
        <f t="shared" si="62"/>
        <v>146.41288433382138</v>
      </c>
      <c r="BO49">
        <f t="shared" si="63"/>
        <v>114.82702642511263</v>
      </c>
    </row>
    <row r="50" spans="1:67" x14ac:dyDescent="0.25">
      <c r="A50" t="s">
        <v>488</v>
      </c>
      <c r="B50" s="8">
        <f>IF(OR(B44="Yes",B49="No"),0,MAX(0.3,B48))</f>
        <v>0</v>
      </c>
      <c r="C50" s="8">
        <v>0</v>
      </c>
      <c r="L50" s="1">
        <f t="shared" si="33"/>
        <v>43070</v>
      </c>
      <c r="M50" s="10">
        <f>AP50</f>
        <v>279663.15794597263</v>
      </c>
      <c r="N50" s="10">
        <f t="shared" si="39"/>
        <v>201636.76740878215</v>
      </c>
      <c r="O50" s="7">
        <f t="shared" si="24"/>
        <v>1.3869650934197237</v>
      </c>
      <c r="P50" s="7">
        <f t="shared" si="40"/>
        <v>0.95991317835721812</v>
      </c>
      <c r="Q50">
        <v>48</v>
      </c>
      <c r="R50">
        <f t="shared" si="41"/>
        <v>92</v>
      </c>
      <c r="S50" s="22"/>
      <c r="T50" s="22">
        <f>IF($B$10="3BR_H",
INDEX('3BR_H-processed'!$E:$E,MATCH($L50,'3BR_H-processed'!$B:$B,0),MATCH(Council_Area,'3BR_H-processed'!$E$1:$E$1,0)),
INDEX('2BR_F-processed'!$E:$E,MATCH($L50,'2BR_F-processed'!$B:$B,0),MATCH(Council_Area,'2BR_F-processed'!$E$1:$E$1,0)))</f>
        <v>499</v>
      </c>
      <c r="U50" s="22">
        <f t="shared" si="25"/>
        <v>513</v>
      </c>
      <c r="V50" s="22">
        <f t="shared" si="34"/>
        <v>6742.2857142857147</v>
      </c>
      <c r="W50" s="22">
        <f>$B$53/4*BH50/_xlfn.XLOOKUP(Q_end,cpi!A:A,cpi!B:B)</f>
        <v>154.94125777470629</v>
      </c>
      <c r="X50" s="22">
        <f t="shared" si="42"/>
        <v>6897.2269720604208</v>
      </c>
      <c r="Y50" s="22">
        <f t="shared" si="43"/>
        <v>288.03428652990078</v>
      </c>
      <c r="Z50" s="22">
        <f t="shared" si="64"/>
        <v>0</v>
      </c>
      <c r="AA50" s="22" cm="1">
        <f t="array" ref="AA50">(Y50+Z50)*eff_invest</f>
        <v>288.03428652990078</v>
      </c>
      <c r="AB50" s="22">
        <f>AA50*(_xlfn.XLOOKUP(Q_end,cpi!A:A,cpi!B:B)/BH50)</f>
        <v>371.7980487143322</v>
      </c>
      <c r="AC50" s="22" cm="1">
        <f t="array" ref="AC50">INDEX('msci-indices'!C:C,MATCH($L50,'msci-indices'!$B:$B)-2)</f>
        <v>1573.3488809999999</v>
      </c>
      <c r="AD50" s="22" cm="1">
        <f t="array" ref="AD50">INDEX('msci-indices'!D:D,MATCH($L50,'msci-indices'!$B:$B)-2)</f>
        <v>1410.9739790000001</v>
      </c>
      <c r="AE50" s="22">
        <f t="shared" si="65"/>
        <v>263548.32965261181</v>
      </c>
      <c r="AF50" s="22" cm="1">
        <f t="array" ref="AF50">INDEX('msci-indices'!C:C,MATCH($L50,'msci-indices'!$B:$B)+1)</f>
        <v>1659.3666479999999</v>
      </c>
      <c r="AG50" s="22" cm="1">
        <f t="array" ref="AG50">INDEX('msci-indices'!D:D,MATCH($L50,'msci-indices'!$B:$B)+1)</f>
        <v>1521.502109</v>
      </c>
      <c r="AH50" s="22">
        <f t="shared" si="44"/>
        <v>164.71770603288238</v>
      </c>
      <c r="AI50" s="22">
        <f t="shared" si="45"/>
        <v>279663.15794597263</v>
      </c>
      <c r="AJ50" s="22">
        <f t="shared" si="66"/>
        <v>136408.98588571791</v>
      </c>
      <c r="AK50" s="22">
        <f t="shared" si="46"/>
        <v>143254.17206025473</v>
      </c>
      <c r="AL50" s="22">
        <f>AJ50*(_xlfn.XLOOKUP(Q_end,cpi!A:A,cpi!B:B)/BH50)</f>
        <v>176078.32522447262</v>
      </c>
      <c r="AM50" s="22" cm="1">
        <f t="array" ref="AM50">SUMPRODUCT($AA$3:AA50,_xlfn.SORTBY($BH$3:BH50,_xlfn.SEQUENCE(ROWS($BH$3:BH50)),-1)/$BH$3)</f>
        <v>177932.38344154946</v>
      </c>
      <c r="AN50" s="22">
        <f t="shared" si="30"/>
        <v>101730.77450442317</v>
      </c>
      <c r="AO50" s="22">
        <f t="shared" si="47"/>
        <v>0</v>
      </c>
      <c r="AP50" s="22">
        <f t="shared" si="31"/>
        <v>279663.15794597263</v>
      </c>
      <c r="AQ50" s="22"/>
      <c r="AR50" s="10">
        <f>IF($B$10="3BR_H",
INDEX('ns-combined'!$C:$C,MATCH($L50,'ns-combined'!$B:$B,0),MATCH(Council_Area,'ns-combined'!$C$1:$C$1,0))*1000,
INDEX('s-combined'!$C:$C,MATCH($L50,'s-combined'!$B:$B,0),MATCH(Council_Area,'s-combined'!$C$1:$C$1,0))*1000)</f>
        <v>513799.99999999994</v>
      </c>
      <c r="AS50" s="22">
        <f t="shared" si="35"/>
        <v>40980</v>
      </c>
      <c r="AT50" s="10">
        <v>0</v>
      </c>
      <c r="AU50" s="22">
        <f t="shared" si="48"/>
        <v>10275.999999999998</v>
      </c>
      <c r="AV50" s="22">
        <f t="shared" si="49"/>
        <v>1477.1749999999997</v>
      </c>
      <c r="AW50" s="22">
        <f>SUM($AV$3:AV50)</f>
        <v>69167.037500000006</v>
      </c>
      <c r="AX50" s="22">
        <f t="shared" si="50"/>
        <v>393376.96249999991</v>
      </c>
      <c r="AY50" s="22">
        <f t="shared" si="51"/>
        <v>2359.8000000000002</v>
      </c>
      <c r="AZ50" s="24">
        <f t="shared" si="52"/>
        <v>1.8371350720124566E-2</v>
      </c>
      <c r="BA50" s="24">
        <f t="shared" si="53"/>
        <v>0.35000000000000003</v>
      </c>
      <c r="BB50" s="25">
        <f>IF(MortgageRate="Discounted",_xlfn.XLOOKUP(L50,'mortgage-rates'!$A:$A,'mortgage-rates'!$E:$E)/100,_xlfn.XLOOKUP(L50,'mortgage-rates'!$A:$A,'mortgage-rates'!$D:$D)/100)</f>
        <v>4.5100000000000001E-2</v>
      </c>
      <c r="BC50" s="10">
        <f t="shared" si="67"/>
        <v>191740.19509121776</v>
      </c>
      <c r="BD50" s="10">
        <f t="shared" si="54"/>
        <v>4825.4612585903214</v>
      </c>
      <c r="BE50" s="10">
        <f t="shared" si="55"/>
        <v>2161.8706996534802</v>
      </c>
      <c r="BF50" s="10">
        <f t="shared" si="36"/>
        <v>2663.5905589368413</v>
      </c>
      <c r="BG50" s="12">
        <f t="shared" si="56"/>
        <v>7185.2612585903216</v>
      </c>
      <c r="BH50" s="22">
        <f>INDEX(cpi!B:B,MATCH($L50,cpi!A:A))</f>
        <v>112.1</v>
      </c>
      <c r="BI50" s="22">
        <f t="shared" si="57"/>
        <v>132.50591016548464</v>
      </c>
      <c r="BJ50" s="22">
        <f t="shared" si="58"/>
        <v>208.42381461538773</v>
      </c>
      <c r="BK50" s="22">
        <f t="shared" si="59"/>
        <v>197.90470802901882</v>
      </c>
      <c r="BL50" s="22">
        <f t="shared" si="60"/>
        <v>205.26808263947706</v>
      </c>
      <c r="BM50" s="22">
        <f t="shared" si="61"/>
        <v>290.89127510646006</v>
      </c>
      <c r="BN50" s="22">
        <f t="shared" si="62"/>
        <v>150.45387994143482</v>
      </c>
      <c r="BO50">
        <f t="shared" si="63"/>
        <v>118.18998221901239</v>
      </c>
    </row>
    <row r="51" spans="1:67" x14ac:dyDescent="0.25">
      <c r="L51" s="1">
        <f t="shared" si="33"/>
        <v>43160</v>
      </c>
      <c r="M51" s="10">
        <f>AP51</f>
        <v>274324.23362586449</v>
      </c>
      <c r="N51" s="10">
        <f t="shared" si="39"/>
        <v>188485.10796771912</v>
      </c>
      <c r="O51" s="7">
        <f t="shared" si="24"/>
        <v>1.4554159561128119</v>
      </c>
      <c r="P51" s="7">
        <f t="shared" si="40"/>
        <v>0.92936230381825646</v>
      </c>
      <c r="Q51">
        <v>49</v>
      </c>
      <c r="R51">
        <f t="shared" si="41"/>
        <v>90</v>
      </c>
      <c r="S51" s="22"/>
      <c r="T51" s="22">
        <f>IF($B$10="3BR_H",
INDEX('3BR_H-processed'!$E:$E,MATCH($L51,'3BR_H-processed'!$B:$B,0),MATCH(Council_Area,'3BR_H-processed'!$E$1:$E$1,0)),
INDEX('2BR_F-processed'!$E:$E,MATCH($L51,'2BR_F-processed'!$B:$B,0),MATCH(Council_Area,'2BR_F-processed'!$E$1:$E$1,0)))</f>
        <v>499</v>
      </c>
      <c r="U51" s="22">
        <f t="shared" si="25"/>
        <v>499</v>
      </c>
      <c r="V51" s="22">
        <f t="shared" si="34"/>
        <v>6415.7142857142853</v>
      </c>
      <c r="W51" s="22">
        <f>$B$53/4*BH51/_xlfn.XLOOKUP(Q_end,cpi!A:A,cpi!B:B)</f>
        <v>155.7705597788528</v>
      </c>
      <c r="X51" s="22">
        <f t="shared" si="42"/>
        <v>6571.484845493138</v>
      </c>
      <c r="Y51" s="22">
        <f t="shared" si="43"/>
        <v>499.47641309718165</v>
      </c>
      <c r="Z51" s="22">
        <f t="shared" si="64"/>
        <v>0</v>
      </c>
      <c r="AA51" s="22" cm="1">
        <f t="array" ref="AA51">(Y51+Z51)*eff_invest</f>
        <v>499.47641309718165</v>
      </c>
      <c r="AB51" s="22">
        <f>AA51*(_xlfn.XLOOKUP(Q_end,cpi!A:A,cpi!B:B)/BH51)</f>
        <v>641.29757741936271</v>
      </c>
      <c r="AC51" s="22" cm="1">
        <f t="array" ref="AC51">INDEX('msci-indices'!C:C,MATCH($L51,'msci-indices'!$B:$B)-2)</f>
        <v>1659.3666479999999</v>
      </c>
      <c r="AD51" s="22" cm="1">
        <f t="array" ref="AD51">INDEX('msci-indices'!D:D,MATCH($L51,'msci-indices'!$B:$B)-2)</f>
        <v>1521.502109</v>
      </c>
      <c r="AE51" s="22">
        <f>AI50+AA51</f>
        <v>280162.63435906981</v>
      </c>
      <c r="AF51" s="22" cm="1">
        <f t="array" ref="AF51">INDEX('msci-indices'!C:C,MATCH($L51,'msci-indices'!$B:$B)+1)</f>
        <v>1639.7568659999999</v>
      </c>
      <c r="AG51" s="22" cm="1">
        <f t="array" ref="AG51">INDEX('msci-indices'!D:D,MATCH($L51,'msci-indices'!$B:$B)+1)</f>
        <v>1460.9362550000001</v>
      </c>
      <c r="AH51" s="22">
        <f t="shared" si="44"/>
        <v>175.10164647441863</v>
      </c>
      <c r="AI51" s="22">
        <f>((AF51/AC51)*GlobalPortfolio+(AG51/AD51)*AusPortfolio)*AE51-AH51</f>
        <v>274324.23362586449</v>
      </c>
      <c r="AJ51" s="22">
        <f t="shared" si="66"/>
        <v>136908.46229881508</v>
      </c>
      <c r="AK51" s="22">
        <f t="shared" si="46"/>
        <v>137415.77132704941</v>
      </c>
      <c r="AL51" s="22">
        <f>AJ51*(_xlfn.XLOOKUP(Q_end,cpi!A:A,cpi!B:B)/BH51)</f>
        <v>175782.20492137125</v>
      </c>
      <c r="AM51" s="22" cm="1">
        <f t="array" ref="AM51">SUMPRODUCT($AA$3:AA51,_xlfn.SORTBY($BH$3:BH51,_xlfn.SEQUENCE(ROWS($BH$3:BH51)),-1)/$BH$3)</f>
        <v>179339.02391635941</v>
      </c>
      <c r="AN51" s="22">
        <f t="shared" si="30"/>
        <v>94985.209709505085</v>
      </c>
      <c r="AO51" s="22">
        <f t="shared" si="47"/>
        <v>0</v>
      </c>
      <c r="AP51" s="22">
        <f>AI51-AO51</f>
        <v>274324.23362586449</v>
      </c>
      <c r="AQ51" s="22"/>
      <c r="AR51" s="10">
        <f>IF($B$10="3BR_H",
INDEX('ns-combined'!$C:$C,MATCH($L51,'ns-combined'!$B:$B,0),MATCH(Council_Area,'ns-combined'!$C$1:$C$1,0))*1000,
INDEX('s-combined'!$C:$C,MATCH($L51,'s-combined'!$B:$B,0),MATCH(Council_Area,'s-combined'!$C$1:$C$1,0))*1000)</f>
        <v>500000</v>
      </c>
      <c r="AS51" s="22">
        <f t="shared" si="35"/>
        <v>41833.75</v>
      </c>
      <c r="AT51" s="10">
        <v>0</v>
      </c>
      <c r="AU51" s="22">
        <f t="shared" si="48"/>
        <v>10000</v>
      </c>
      <c r="AV51" s="22">
        <f t="shared" si="49"/>
        <v>1437.5</v>
      </c>
      <c r="AW51" s="22">
        <f>SUM($AV$3:AV51)</f>
        <v>70604.537500000006</v>
      </c>
      <c r="AX51" s="22">
        <f t="shared" si="50"/>
        <v>377561.71250000002</v>
      </c>
      <c r="AY51" s="22">
        <f t="shared" si="51"/>
        <v>2245.5</v>
      </c>
      <c r="AZ51" s="24">
        <f t="shared" si="52"/>
        <v>1.7964000000000001E-2</v>
      </c>
      <c r="BA51" s="24">
        <f t="shared" si="53"/>
        <v>0.35000000000000003</v>
      </c>
      <c r="BB51" s="25">
        <f>IF(MortgageRate="Discounted",_xlfn.XLOOKUP(L51,'mortgage-rates'!$A:$A,'mortgage-rates'!$E:$E)/100,_xlfn.XLOOKUP(L51,'mortgage-rates'!$A:$A,'mortgage-rates'!$D:$D)/100)</f>
        <v>4.5100000000000001E-2</v>
      </c>
      <c r="BC51" s="10">
        <f t="shared" si="67"/>
        <v>189076.60453228091</v>
      </c>
      <c r="BD51" s="10">
        <f t="shared" si="54"/>
        <v>4825.4612585903196</v>
      </c>
      <c r="BE51" s="10">
        <f t="shared" si="55"/>
        <v>2131.8387161014671</v>
      </c>
      <c r="BF51" s="10">
        <f t="shared" si="36"/>
        <v>2693.6225424888526</v>
      </c>
      <c r="BG51" s="12">
        <f t="shared" si="56"/>
        <v>7070.9612585903196</v>
      </c>
      <c r="BH51" s="22">
        <f>INDEX(cpi!B:B,MATCH($L51,cpi!A:A))</f>
        <v>112.7</v>
      </c>
      <c r="BI51" s="22">
        <f t="shared" si="57"/>
        <v>133.21513002364068</v>
      </c>
      <c r="BJ51" s="22">
        <f t="shared" si="58"/>
        <v>219.81871331798365</v>
      </c>
      <c r="BK51" s="22">
        <f t="shared" si="59"/>
        <v>213.4075008673008</v>
      </c>
      <c r="BL51" s="22">
        <f t="shared" si="60"/>
        <v>217.89534958277881</v>
      </c>
      <c r="BM51" s="22">
        <f t="shared" si="61"/>
        <v>309.22930171220344</v>
      </c>
      <c r="BN51" s="22">
        <f t="shared" si="62"/>
        <v>146.41288433382138</v>
      </c>
      <c r="BO51">
        <f t="shared" si="63"/>
        <v>113.43829542878957</v>
      </c>
    </row>
    <row r="52" spans="1:67" x14ac:dyDescent="0.25">
      <c r="A52" s="6" t="s">
        <v>348</v>
      </c>
      <c r="B52" s="8"/>
      <c r="C52" s="8"/>
      <c r="L52" s="1">
        <f t="shared" si="33"/>
        <v>43252</v>
      </c>
      <c r="M52" s="10">
        <f t="shared" si="38"/>
        <v>285666.72406309948</v>
      </c>
      <c r="N52" s="10">
        <f t="shared" si="39"/>
        <v>194750.23051020797</v>
      </c>
      <c r="O52" s="7">
        <f t="shared" si="24"/>
        <v>1.466836384813039</v>
      </c>
      <c r="P52" s="7">
        <f t="shared" si="40"/>
        <v>0.93623798306943651</v>
      </c>
      <c r="Q52">
        <v>50</v>
      </c>
      <c r="R52">
        <f t="shared" si="41"/>
        <v>91</v>
      </c>
      <c r="S52" s="22"/>
      <c r="T52" s="22">
        <f>IF($B$10="3BR_H",
INDEX('3BR_H-processed'!$E:$E,MATCH($L52,'3BR_H-processed'!$B:$B,0),MATCH(Council_Area,'3BR_H-processed'!$E$1:$E$1,0)),
INDEX('2BR_F-processed'!$E:$E,MATCH($L52,'2BR_F-processed'!$B:$B,0),MATCH(Council_Area,'2BR_F-processed'!$E$1:$E$1,0)))</f>
        <v>499</v>
      </c>
      <c r="U52" s="22">
        <f t="shared" si="25"/>
        <v>499</v>
      </c>
      <c r="V52" s="22">
        <f t="shared" si="34"/>
        <v>6487</v>
      </c>
      <c r="W52" s="22">
        <f>$B$53/4*BH52/_xlfn.XLOOKUP(Q_end,cpi!A:A,cpi!B:B)</f>
        <v>156.46164478230824</v>
      </c>
      <c r="X52" s="22">
        <f t="shared" si="42"/>
        <v>6643.4616447823082</v>
      </c>
      <c r="Y52" s="22">
        <f t="shared" si="43"/>
        <v>452.44961380801215</v>
      </c>
      <c r="Z52" s="22">
        <f t="shared" si="64"/>
        <v>0</v>
      </c>
      <c r="AA52" s="22" cm="1">
        <f t="array" ref="AA52">(Y52+Z52)*eff_invest</f>
        <v>452.44961380801215</v>
      </c>
      <c r="AB52" s="22">
        <f>AA52*(_xlfn.XLOOKUP(Q_end,cpi!A:A,cpi!B:B)/BH52)</f>
        <v>578.35211234999417</v>
      </c>
      <c r="AC52" s="22" cm="1">
        <f t="array" ref="AC52">INDEX('msci-indices'!C:C,MATCH($L52,'msci-indices'!$B:$B)-2)</f>
        <v>1639.7568659999999</v>
      </c>
      <c r="AD52" s="22" cm="1">
        <f t="array" ref="AD52">INDEX('msci-indices'!D:D,MATCH($L52,'msci-indices'!$B:$B)-2)</f>
        <v>1460.9362550000001</v>
      </c>
      <c r="AE52" s="22">
        <f t="shared" si="65"/>
        <v>274776.68323967251</v>
      </c>
      <c r="AF52" s="22" cm="1">
        <f t="array" ref="AF52">INDEX('msci-indices'!C:C,MATCH($L52,'msci-indices'!$B:$B)+1)</f>
        <v>1671.6050210000001</v>
      </c>
      <c r="AG52" s="22" cm="1">
        <f t="array" ref="AG52">INDEX('msci-indices'!D:D,MATCH($L52,'msci-indices'!$B:$B)+1)</f>
        <v>1590.772543</v>
      </c>
      <c r="AH52" s="22">
        <f t="shared" si="44"/>
        <v>171.73542702479531</v>
      </c>
      <c r="AI52" s="22">
        <f t="shared" si="45"/>
        <v>285666.72406309948</v>
      </c>
      <c r="AJ52" s="22">
        <f t="shared" si="66"/>
        <v>137360.91191262309</v>
      </c>
      <c r="AK52" s="22">
        <f t="shared" si="46"/>
        <v>148305.81215047638</v>
      </c>
      <c r="AL52" s="22">
        <f>AJ52*(_xlfn.XLOOKUP(Q_end,cpi!A:A,cpi!B:B)/BH52)</f>
        <v>175584.13386710739</v>
      </c>
      <c r="AM52" s="22" cm="1">
        <f t="array" ref="AM52">SUMPRODUCT($AA$3:AA52,_xlfn.SORTBY($BH$3:BH52,_xlfn.SEQUENCE(ROWS($BH$3:BH52)),-1)/$BH$3)</f>
        <v>180606.81322393785</v>
      </c>
      <c r="AN52" s="22">
        <f t="shared" si="30"/>
        <v>105059.91083916163</v>
      </c>
      <c r="AO52" s="22">
        <f t="shared" si="47"/>
        <v>0</v>
      </c>
      <c r="AP52" s="22">
        <f t="shared" si="31"/>
        <v>285666.72406309948</v>
      </c>
      <c r="AQ52" s="22"/>
      <c r="AR52" s="10">
        <f>IF($B$10="3BR_H",
INDEX('ns-combined'!$C:$C,MATCH($L52,'ns-combined'!$B:$B,0),MATCH(Council_Area,'ns-combined'!$C$1:$C$1,0))*1000,
INDEX('s-combined'!$C:$C,MATCH($L52,'s-combined'!$B:$B,0),MATCH(Council_Area,'s-combined'!$C$1:$C$1,0))*1000)</f>
        <v>506000</v>
      </c>
      <c r="AS52" s="22">
        <f t="shared" si="35"/>
        <v>42687.5</v>
      </c>
      <c r="AT52" s="10">
        <v>0</v>
      </c>
      <c r="AU52" s="22">
        <f t="shared" si="48"/>
        <v>10120</v>
      </c>
      <c r="AV52" s="22">
        <f t="shared" si="49"/>
        <v>1454.75</v>
      </c>
      <c r="AW52" s="22">
        <f>SUM($AV$3:AV52)</f>
        <v>72059.287500000006</v>
      </c>
      <c r="AX52" s="22">
        <f t="shared" si="50"/>
        <v>381133.21250000002</v>
      </c>
      <c r="AY52" s="22">
        <f t="shared" si="51"/>
        <v>2270.4500000000003</v>
      </c>
      <c r="AZ52" s="24">
        <f t="shared" si="52"/>
        <v>1.794822134387352E-2</v>
      </c>
      <c r="BA52" s="24">
        <f t="shared" si="53"/>
        <v>0.35000000000000003</v>
      </c>
      <c r="BB52" s="25">
        <f>IF(MortgageRate="Discounted",_xlfn.XLOOKUP(L52,'mortgage-rates'!$A:$A,'mortgage-rates'!$E:$E)/100,_xlfn.XLOOKUP(L52,'mortgage-rates'!$A:$A,'mortgage-rates'!$D:$D)/100)</f>
        <v>4.5100000000000001E-2</v>
      </c>
      <c r="BC52" s="10">
        <f t="shared" si="67"/>
        <v>186382.98198979205</v>
      </c>
      <c r="BD52" s="10">
        <f t="shared" si="54"/>
        <v>4825.4612585903196</v>
      </c>
      <c r="BE52" s="10">
        <f t="shared" si="55"/>
        <v>2101.4681219349054</v>
      </c>
      <c r="BF52" s="10">
        <f t="shared" si="36"/>
        <v>2723.9931366554142</v>
      </c>
      <c r="BG52" s="12">
        <f t="shared" si="56"/>
        <v>7095.9112585903204</v>
      </c>
      <c r="BH52" s="22">
        <f>INDEX(cpi!B:B,MATCH($L52,cpi!A:A))</f>
        <v>113.2</v>
      </c>
      <c r="BI52" s="22">
        <f t="shared" si="57"/>
        <v>133.80614657210404</v>
      </c>
      <c r="BJ52" s="22">
        <f t="shared" si="58"/>
        <v>217.22097697509543</v>
      </c>
      <c r="BK52" s="22">
        <f t="shared" si="59"/>
        <v>204.91246989522486</v>
      </c>
      <c r="BL52" s="22">
        <f t="shared" si="60"/>
        <v>213.52842485113428</v>
      </c>
      <c r="BM52" s="22">
        <f t="shared" si="61"/>
        <v>303.28456212365182</v>
      </c>
      <c r="BN52" s="22">
        <f t="shared" si="62"/>
        <v>148.16983894582722</v>
      </c>
      <c r="BO52">
        <f t="shared" si="63"/>
        <v>114.5113514583358</v>
      </c>
    </row>
    <row r="53" spans="1:67" x14ac:dyDescent="0.25">
      <c r="A53" t="s">
        <v>628</v>
      </c>
      <c r="B53" s="23">
        <v>800</v>
      </c>
      <c r="C53" s="23">
        <v>800</v>
      </c>
      <c r="L53" s="1">
        <f t="shared" si="33"/>
        <v>43344</v>
      </c>
      <c r="M53" s="10">
        <f t="shared" si="38"/>
        <v>296108.53680535569</v>
      </c>
      <c r="N53" s="10">
        <f t="shared" si="39"/>
        <v>189302.97364686339</v>
      </c>
      <c r="O53" s="7">
        <f t="shared" si="24"/>
        <v>1.5642043603484725</v>
      </c>
      <c r="P53" s="7">
        <f t="shared" si="40"/>
        <v>0.93900886684708251</v>
      </c>
      <c r="Q53">
        <v>51</v>
      </c>
      <c r="R53">
        <f t="shared" si="41"/>
        <v>92</v>
      </c>
      <c r="S53" s="22"/>
      <c r="T53" s="22">
        <f>IF($B$10="3BR_H",
INDEX('3BR_H-processed'!$E:$E,MATCH($L53,'3BR_H-processed'!$B:$B,0),MATCH(Council_Area,'3BR_H-processed'!$E$1:$E$1,0)),
INDEX('2BR_F-processed'!$E:$E,MATCH($L53,'2BR_F-processed'!$B:$B,0),MATCH(Council_Area,'2BR_F-processed'!$E$1:$E$1,0)))</f>
        <v>474</v>
      </c>
      <c r="U53" s="22">
        <f t="shared" si="25"/>
        <v>499</v>
      </c>
      <c r="V53" s="22">
        <f t="shared" si="34"/>
        <v>6558.2857142857147</v>
      </c>
      <c r="W53" s="22">
        <f>$B$53/4*BH53/_xlfn.XLOOKUP(Q_end,cpi!A:A,cpi!B:B)</f>
        <v>156.87629578438148</v>
      </c>
      <c r="X53" s="22">
        <f t="shared" si="42"/>
        <v>6715.1620100700966</v>
      </c>
      <c r="Y53" s="22">
        <f t="shared" si="43"/>
        <v>436.16770273405291</v>
      </c>
      <c r="Z53" s="22">
        <f t="shared" si="64"/>
        <v>0</v>
      </c>
      <c r="AA53" s="22" cm="1">
        <f t="array" ref="AA53">(Y53+Z53)*eff_invest</f>
        <v>436.16770273405291</v>
      </c>
      <c r="AB53" s="22">
        <f>AA53*(_xlfn.XLOOKUP(Q_end,cpi!A:A,cpi!B:B)/BH53)</f>
        <v>556.06578489530796</v>
      </c>
      <c r="AC53" s="22" cm="1">
        <f t="array" ref="AC53">INDEX('msci-indices'!C:C,MATCH($L53,'msci-indices'!$B:$B)-2)</f>
        <v>1671.6050210000001</v>
      </c>
      <c r="AD53" s="22" cm="1">
        <f t="array" ref="AD53">INDEX('msci-indices'!D:D,MATCH($L53,'msci-indices'!$B:$B)-2)</f>
        <v>1590.772543</v>
      </c>
      <c r="AE53" s="22">
        <f t="shared" si="65"/>
        <v>286102.89176583354</v>
      </c>
      <c r="AF53" s="22" cm="1">
        <f t="array" ref="AF53">INDEX('msci-indices'!C:C,MATCH($L53,'msci-indices'!$B:$B)+1)</f>
        <v>1747.837315</v>
      </c>
      <c r="AG53" s="22" cm="1">
        <f t="array" ref="AG53">INDEX('msci-indices'!D:D,MATCH($L53,'msci-indices'!$B:$B)+1)</f>
        <v>1610.255349</v>
      </c>
      <c r="AH53" s="22">
        <f t="shared" si="44"/>
        <v>178.81430735364597</v>
      </c>
      <c r="AI53" s="22">
        <f t="shared" si="45"/>
        <v>296108.53680535569</v>
      </c>
      <c r="AJ53" s="22">
        <f t="shared" si="66"/>
        <v>137797.07961535716</v>
      </c>
      <c r="AK53" s="22">
        <f t="shared" si="46"/>
        <v>158311.45718999853</v>
      </c>
      <c r="AL53" s="22">
        <f>AJ53*(_xlfn.XLOOKUP(Q_end,cpi!A:A,cpi!B:B)/BH53)</f>
        <v>175676.10061975487</v>
      </c>
      <c r="AM53" s="22" cm="1">
        <f t="array" ref="AM53">SUMPRODUCT($AA$3:AA53,_xlfn.SORTBY($BH$3:BH53,_xlfn.SEQUENCE(ROWS($BH$3:BH53)),-1)/$BH$3)</f>
        <v>181652.19401521524</v>
      </c>
      <c r="AN53" s="22">
        <f t="shared" si="30"/>
        <v>114456.34279014045</v>
      </c>
      <c r="AO53" s="22">
        <f t="shared" si="47"/>
        <v>0</v>
      </c>
      <c r="AP53" s="22">
        <f t="shared" si="31"/>
        <v>296108.53680535569</v>
      </c>
      <c r="AQ53" s="22"/>
      <c r="AR53" s="10">
        <f>IF($B$10="3BR_H",
INDEX('ns-combined'!$C:$C,MATCH($L53,'ns-combined'!$B:$B,0),MATCH(Council_Area,'ns-combined'!$C$1:$C$1,0))*1000,
INDEX('s-combined'!$C:$C,MATCH($L53,'s-combined'!$B:$B,0),MATCH(Council_Area,'s-combined'!$C$1:$C$1,0))*1000)</f>
        <v>500000</v>
      </c>
      <c r="AS53" s="22">
        <f t="shared" si="35"/>
        <v>43541.25</v>
      </c>
      <c r="AT53" s="10">
        <v>0</v>
      </c>
      <c r="AU53" s="22">
        <f t="shared" si="48"/>
        <v>10000</v>
      </c>
      <c r="AV53" s="22">
        <f t="shared" si="49"/>
        <v>1437.5</v>
      </c>
      <c r="AW53" s="22">
        <f>SUM($AV$3:AV53)</f>
        <v>73496.787500000006</v>
      </c>
      <c r="AX53" s="22">
        <f t="shared" si="50"/>
        <v>372961.96250000002</v>
      </c>
      <c r="AY53" s="22">
        <f t="shared" si="51"/>
        <v>2295.4000000000005</v>
      </c>
      <c r="AZ53" s="24">
        <f t="shared" si="52"/>
        <v>1.8363200000000003E-2</v>
      </c>
      <c r="BA53" s="24">
        <f t="shared" si="53"/>
        <v>0.35000000000000009</v>
      </c>
      <c r="BB53" s="25">
        <f>IF(MortgageRate="Discounted",_xlfn.XLOOKUP(L53,'mortgage-rates'!$A:$A,'mortgage-rates'!$E:$E)/100,_xlfn.XLOOKUP(L53,'mortgage-rates'!$A:$A,'mortgage-rates'!$D:$D)/100)</f>
        <v>4.6199999999999998E-2</v>
      </c>
      <c r="BC53" s="10">
        <f t="shared" si="67"/>
        <v>183658.98885313663</v>
      </c>
      <c r="BD53" s="10">
        <f t="shared" si="54"/>
        <v>4855.9297128041489</v>
      </c>
      <c r="BE53" s="10">
        <f t="shared" si="55"/>
        <v>2121.2613212537281</v>
      </c>
      <c r="BF53" s="10">
        <f t="shared" si="36"/>
        <v>2734.6683915504209</v>
      </c>
      <c r="BG53" s="12">
        <f t="shared" si="56"/>
        <v>7151.3297128041495</v>
      </c>
      <c r="BH53" s="22">
        <f>INDEX(cpi!B:B,MATCH($L53,cpi!A:A))</f>
        <v>113.5</v>
      </c>
      <c r="BI53" s="22">
        <f t="shared" si="57"/>
        <v>134.16075650118205</v>
      </c>
      <c r="BJ53" s="22">
        <f t="shared" si="58"/>
        <v>221.43994838933332</v>
      </c>
      <c r="BK53" s="22">
        <f t="shared" si="59"/>
        <v>223.12344546999952</v>
      </c>
      <c r="BL53" s="22">
        <f t="shared" si="60"/>
        <v>221.94499751353317</v>
      </c>
      <c r="BM53" s="22">
        <f t="shared" si="61"/>
        <v>315.78585645793743</v>
      </c>
      <c r="BN53" s="22">
        <f t="shared" si="62"/>
        <v>146.41288433382138</v>
      </c>
      <c r="BO53">
        <f t="shared" si="63"/>
        <v>112.05630201652436</v>
      </c>
    </row>
    <row r="54" spans="1:67" x14ac:dyDescent="0.25">
      <c r="A54" t="s">
        <v>629</v>
      </c>
      <c r="B54" s="8">
        <v>1</v>
      </c>
      <c r="C54" s="8">
        <v>1</v>
      </c>
      <c r="L54" s="1">
        <f t="shared" si="33"/>
        <v>43435</v>
      </c>
      <c r="M54" s="10">
        <f t="shared" si="38"/>
        <v>260004.56025494213</v>
      </c>
      <c r="N54" s="10">
        <f t="shared" si="39"/>
        <v>199517.64203841382</v>
      </c>
      <c r="O54" s="7">
        <f t="shared" si="24"/>
        <v>1.3031657631803937</v>
      </c>
      <c r="P54" s="7">
        <f t="shared" si="40"/>
        <v>0.93803224341648794</v>
      </c>
      <c r="Q54">
        <v>52</v>
      </c>
      <c r="R54">
        <f t="shared" si="41"/>
        <v>92</v>
      </c>
      <c r="S54" s="22"/>
      <c r="T54" s="22">
        <f>IF($B$10="3BR_H",
INDEX('3BR_H-processed'!$E:$E,MATCH($L54,'3BR_H-processed'!$B:$B,0),MATCH(Council_Area,'3BR_H-processed'!$E$1:$E$1,0)),
INDEX('2BR_F-processed'!$E:$E,MATCH($L54,'2BR_F-processed'!$B:$B,0),MATCH(Council_Area,'2BR_F-processed'!$E$1:$E$1,0)))</f>
        <v>474</v>
      </c>
      <c r="U54" s="22">
        <f t="shared" si="25"/>
        <v>499</v>
      </c>
      <c r="V54" s="22">
        <f t="shared" si="34"/>
        <v>6558.2857142857147</v>
      </c>
      <c r="W54" s="22">
        <f>$B$53/4*BH54/_xlfn.XLOOKUP(Q_end,cpi!A:A,cpi!B:B)</f>
        <v>157.56738078783692</v>
      </c>
      <c r="X54" s="22">
        <f t="shared" si="42"/>
        <v>6715.8530950735512</v>
      </c>
      <c r="Y54" s="22">
        <f t="shared" si="43"/>
        <v>443.6588963406939</v>
      </c>
      <c r="Z54" s="22">
        <f t="shared" si="64"/>
        <v>0</v>
      </c>
      <c r="AA54" s="22" cm="1">
        <f t="array" ref="AA54">(Y54+Z54)*eff_invest</f>
        <v>443.6588963406939</v>
      </c>
      <c r="AB54" s="22">
        <f>AA54*(_xlfn.XLOOKUP(Q_end,cpi!A:A,cpi!B:B)/BH54)</f>
        <v>563.13545877630179</v>
      </c>
      <c r="AC54" s="22" cm="1">
        <f t="array" ref="AC54">INDEX('msci-indices'!C:C,MATCH($L54,'msci-indices'!$B:$B)-2)</f>
        <v>1747.837315</v>
      </c>
      <c r="AD54" s="22" cm="1">
        <f t="array" ref="AD54">INDEX('msci-indices'!D:D,MATCH($L54,'msci-indices'!$B:$B)-2)</f>
        <v>1610.255349</v>
      </c>
      <c r="AE54" s="22">
        <f t="shared" si="65"/>
        <v>296552.19570169639</v>
      </c>
      <c r="AF54" s="22" cm="1">
        <f t="array" ref="AF54">INDEX('msci-indices'!C:C,MATCH($L54,'msci-indices'!$B:$B)+1)</f>
        <v>1503.1567950000001</v>
      </c>
      <c r="AG54" s="22" cm="1">
        <f t="array" ref="AG54">INDEX('msci-indices'!D:D,MATCH($L54,'msci-indices'!$B:$B)+1)</f>
        <v>1478.088164</v>
      </c>
      <c r="AH54" s="22">
        <f t="shared" si="44"/>
        <v>185.34512231356024</v>
      </c>
      <c r="AI54" s="22">
        <f t="shared" si="45"/>
        <v>260004.56025494213</v>
      </c>
      <c r="AJ54" s="22">
        <f t="shared" si="66"/>
        <v>138240.73851169785</v>
      </c>
      <c r="AK54" s="22">
        <f t="shared" si="46"/>
        <v>121763.82174324428</v>
      </c>
      <c r="AL54" s="22">
        <f>AJ54*(_xlfn.XLOOKUP(Q_end,cpi!A:A,cpi!B:B)/BH54)</f>
        <v>175468.72686528665</v>
      </c>
      <c r="AM54" s="22" cm="1">
        <f t="array" ref="AM54">SUMPRODUCT($AA$3:AA54,_xlfn.SORTBY($BH$3:BH54,_xlfn.SEQUENCE(ROWS($BH$3:BH54)),-1)/$BH$3)</f>
        <v>182918.02575623378</v>
      </c>
      <c r="AN54" s="22">
        <f t="shared" si="30"/>
        <v>77086.534498708352</v>
      </c>
      <c r="AO54" s="22">
        <f t="shared" si="47"/>
        <v>0</v>
      </c>
      <c r="AP54" s="22">
        <f t="shared" si="31"/>
        <v>260004.56025494213</v>
      </c>
      <c r="AQ54" s="22"/>
      <c r="AR54" s="10">
        <f>IF($B$10="3BR_H",
INDEX('ns-combined'!$C:$C,MATCH($L54,'ns-combined'!$B:$B,0),MATCH(Council_Area,'ns-combined'!$C$1:$C$1,0))*1000,
INDEX('s-combined'!$C:$C,MATCH($L54,'s-combined'!$B:$B,0),MATCH(Council_Area,'s-combined'!$C$1:$C$1,0))*1000)</f>
        <v>510000</v>
      </c>
      <c r="AS54" s="22">
        <f t="shared" si="35"/>
        <v>44395</v>
      </c>
      <c r="AT54" s="10">
        <v>0</v>
      </c>
      <c r="AU54" s="22">
        <f t="shared" si="48"/>
        <v>10200</v>
      </c>
      <c r="AV54" s="22">
        <f t="shared" si="49"/>
        <v>1466.25</v>
      </c>
      <c r="AW54" s="22">
        <f>SUM($AV$3:AV54)</f>
        <v>74963.037500000006</v>
      </c>
      <c r="AX54" s="22">
        <f t="shared" si="50"/>
        <v>380441.96250000002</v>
      </c>
      <c r="AY54" s="22">
        <f t="shared" si="51"/>
        <v>2295.4000000000005</v>
      </c>
      <c r="AZ54" s="24">
        <f t="shared" si="52"/>
        <v>1.8003137254901967E-2</v>
      </c>
      <c r="BA54" s="24">
        <f t="shared" si="53"/>
        <v>0.35000000000000009</v>
      </c>
      <c r="BB54" s="25">
        <f>IF(MortgageRate="Discounted",_xlfn.XLOOKUP(L54,'mortgage-rates'!$A:$A,'mortgage-rates'!$E:$E)/100,_xlfn.XLOOKUP(L54,'mortgage-rates'!$A:$A,'mortgage-rates'!$D:$D)/100)</f>
        <v>4.6500000000000007E-2</v>
      </c>
      <c r="BC54" s="10">
        <f t="shared" si="67"/>
        <v>180924.32046158621</v>
      </c>
      <c r="BD54" s="10">
        <f t="shared" si="54"/>
        <v>4864.1119914142446</v>
      </c>
      <c r="BE54" s="10">
        <f t="shared" si="55"/>
        <v>2103.2452253659399</v>
      </c>
      <c r="BF54" s="10">
        <f t="shared" si="36"/>
        <v>2760.8667660483047</v>
      </c>
      <c r="BG54" s="12">
        <f t="shared" si="56"/>
        <v>7159.5119914142451</v>
      </c>
      <c r="BH54" s="22">
        <f>INDEX(cpi!B:B,MATCH($L54,cpi!A:A))</f>
        <v>114</v>
      </c>
      <c r="BI54" s="22">
        <f t="shared" si="57"/>
        <v>134.75177304964541</v>
      </c>
      <c r="BJ54" s="22">
        <f t="shared" si="58"/>
        <v>231.53855125118753</v>
      </c>
      <c r="BK54" s="22">
        <f t="shared" si="59"/>
        <v>225.85612452035926</v>
      </c>
      <c r="BL54" s="22">
        <f t="shared" si="60"/>
        <v>229.83382323193905</v>
      </c>
      <c r="BM54" s="22">
        <f t="shared" si="61"/>
        <v>327.31926799533807</v>
      </c>
      <c r="BN54" s="22">
        <f t="shared" si="62"/>
        <v>149.34114202049781</v>
      </c>
      <c r="BO54">
        <f t="shared" si="63"/>
        <v>114.30366561753394</v>
      </c>
    </row>
    <row r="55" spans="1:67" x14ac:dyDescent="0.25">
      <c r="L55" s="1">
        <f t="shared" si="33"/>
        <v>43525</v>
      </c>
      <c r="M55" s="10">
        <f t="shared" si="38"/>
        <v>292100.51144894026</v>
      </c>
      <c r="N55" s="10">
        <f t="shared" si="39"/>
        <v>175530.38380446212</v>
      </c>
      <c r="O55" s="7">
        <f t="shared" si="24"/>
        <v>1.6641022774401</v>
      </c>
      <c r="P55" s="7">
        <f t="shared" si="40"/>
        <v>0.89248435518603864</v>
      </c>
      <c r="Q55">
        <v>53</v>
      </c>
      <c r="R55">
        <f t="shared" si="41"/>
        <v>90</v>
      </c>
      <c r="S55" s="22"/>
      <c r="T55" s="22">
        <f>IF($B$10="3BR_H",
INDEX('3BR_H-processed'!$E:$E,MATCH($L55,'3BR_H-processed'!$B:$B,0),MATCH(Council_Area,'3BR_H-processed'!$E$1:$E$1,0)),
INDEX('2BR_F-processed'!$E:$E,MATCH($L55,'2BR_F-processed'!$B:$B,0),MATCH(Council_Area,'2BR_F-processed'!$E$1:$E$1,0)))</f>
        <v>474</v>
      </c>
      <c r="U55" s="22">
        <f t="shared" si="25"/>
        <v>474</v>
      </c>
      <c r="V55" s="22">
        <f t="shared" si="34"/>
        <v>6094.2857142857147</v>
      </c>
      <c r="W55" s="22">
        <f>$B$53/4*BH55/_xlfn.XLOOKUP(Q_end,cpi!A:A,cpi!B:B)</f>
        <v>157.705597788528</v>
      </c>
      <c r="X55" s="22">
        <f t="shared" si="42"/>
        <v>6251.9913120742431</v>
      </c>
      <c r="Y55" s="22">
        <f t="shared" si="43"/>
        <v>753.16376514950662</v>
      </c>
      <c r="Z55" s="22">
        <f t="shared" si="64"/>
        <v>0</v>
      </c>
      <c r="AA55" s="22" cm="1">
        <f t="array" ref="AA55">(Y55+Z55)*eff_invest</f>
        <v>753.16376514950662</v>
      </c>
      <c r="AB55" s="22">
        <f>AA55*(_xlfn.XLOOKUP(Q_end,cpi!A:A,cpi!B:B)/BH55)</f>
        <v>955.15159348933912</v>
      </c>
      <c r="AC55" s="22" cm="1">
        <f t="array" ref="AC55">INDEX('msci-indices'!C:C,MATCH($L55,'msci-indices'!$B:$B)-2)</f>
        <v>1503.1567950000001</v>
      </c>
      <c r="AD55" s="22" cm="1">
        <f t="array" ref="AD55">INDEX('msci-indices'!D:D,MATCH($L55,'msci-indices'!$B:$B)-2)</f>
        <v>1478.088164</v>
      </c>
      <c r="AE55" s="22">
        <f t="shared" si="65"/>
        <v>260757.72402009164</v>
      </c>
      <c r="AF55" s="22" cm="1">
        <f t="array" ref="AF55">INDEX('msci-indices'!C:C,MATCH($L55,'msci-indices'!$B:$B)+1)</f>
        <v>1693.1497079999999</v>
      </c>
      <c r="AG55" s="22" cm="1">
        <f t="array" ref="AG55">INDEX('msci-indices'!D:D,MATCH($L55,'msci-indices'!$B:$B)+1)</f>
        <v>1637.459214</v>
      </c>
      <c r="AH55" s="22">
        <f t="shared" si="44"/>
        <v>162.97357751255728</v>
      </c>
      <c r="AI55" s="22">
        <f t="shared" si="45"/>
        <v>292100.51144894026</v>
      </c>
      <c r="AJ55" s="22">
        <f t="shared" si="66"/>
        <v>138993.90227684737</v>
      </c>
      <c r="AK55" s="22">
        <f t="shared" si="46"/>
        <v>153106.6091720929</v>
      </c>
      <c r="AL55" s="22">
        <f>AJ55*(_xlfn.XLOOKUP(Q_end,cpi!A:A,cpi!B:B)/BH55)</f>
        <v>176270.09342208423</v>
      </c>
      <c r="AM55" s="22" cm="1">
        <f t="array" ref="AM55">SUMPRODUCT($AA$3:AA55,_xlfn.SORTBY($BH$3:BH55,_xlfn.SEQUENCE(ROWS($BH$3:BH55)),-1)/$BH$3)</f>
        <v>184070.35518146335</v>
      </c>
      <c r="AN55" s="22">
        <f t="shared" si="30"/>
        <v>108030.15626747691</v>
      </c>
      <c r="AO55" s="22">
        <f t="shared" si="47"/>
        <v>0</v>
      </c>
      <c r="AP55" s="22">
        <f t="shared" si="31"/>
        <v>292100.51144894026</v>
      </c>
      <c r="AQ55" s="22"/>
      <c r="AR55" s="10">
        <f>IF($B$10="3BR_H",
INDEX('ns-combined'!$C:$C,MATCH($L55,'ns-combined'!$B:$B,0),MATCH(Council_Area,'ns-combined'!$C$1:$C$1,0))*1000,
INDEX('s-combined'!$C:$C,MATCH($L55,'s-combined'!$B:$B,0),MATCH(Council_Area,'s-combined'!$C$1:$C$1,0))*1000)</f>
        <v>485000</v>
      </c>
      <c r="AS55" s="22">
        <f t="shared" si="35"/>
        <v>45248.75</v>
      </c>
      <c r="AT55" s="10">
        <v>0</v>
      </c>
      <c r="AU55" s="22">
        <f t="shared" si="48"/>
        <v>9700</v>
      </c>
      <c r="AV55" s="22">
        <f t="shared" si="49"/>
        <v>1394.375</v>
      </c>
      <c r="AW55" s="22">
        <f>SUM($AV$3:AV55)</f>
        <v>76357.412500000006</v>
      </c>
      <c r="AX55" s="22">
        <f t="shared" si="50"/>
        <v>353693.83750000002</v>
      </c>
      <c r="AY55" s="22">
        <f t="shared" si="51"/>
        <v>2133.0000000000005</v>
      </c>
      <c r="AZ55" s="24">
        <f t="shared" si="52"/>
        <v>1.759175257731959E-2</v>
      </c>
      <c r="BA55" s="24">
        <f t="shared" si="53"/>
        <v>0.35000000000000003</v>
      </c>
      <c r="BB55" s="25">
        <f>IF(MortgageRate="Discounted",_xlfn.XLOOKUP(L55,'mortgage-rates'!$A:$A,'mortgage-rates'!$E:$E)/100,_xlfn.XLOOKUP(L55,'mortgage-rates'!$A:$A,'mortgage-rates'!$D:$D)/100)</f>
        <v>4.6799999999999994E-2</v>
      </c>
      <c r="BC55" s="10">
        <f t="shared" si="67"/>
        <v>178163.4536955379</v>
      </c>
      <c r="BD55" s="10">
        <f t="shared" si="54"/>
        <v>4872.1550772237497</v>
      </c>
      <c r="BE55" s="10">
        <f t="shared" si="55"/>
        <v>2084.5124082377934</v>
      </c>
      <c r="BF55" s="10">
        <f t="shared" si="36"/>
        <v>2787.6426689859563</v>
      </c>
      <c r="BG55" s="12">
        <f t="shared" si="56"/>
        <v>7005.1550772237497</v>
      </c>
      <c r="BH55" s="22">
        <f>INDEX(cpi!B:B,MATCH($L55,cpi!A:A))</f>
        <v>114.1</v>
      </c>
      <c r="BI55" s="22">
        <f t="shared" si="57"/>
        <v>134.86997635933807</v>
      </c>
      <c r="BJ55" s="22">
        <f t="shared" si="58"/>
        <v>199.12536689244348</v>
      </c>
      <c r="BK55" s="22">
        <f t="shared" si="59"/>
        <v>207.31821485814123</v>
      </c>
      <c r="BL55" s="22">
        <f t="shared" si="60"/>
        <v>201.58322128215281</v>
      </c>
      <c r="BM55" s="22">
        <f t="shared" si="61"/>
        <v>287.81114619108024</v>
      </c>
      <c r="BN55" s="22">
        <f t="shared" si="62"/>
        <v>142.02049780380673</v>
      </c>
      <c r="BO55">
        <f t="shared" si="63"/>
        <v>106.2672000399598</v>
      </c>
    </row>
    <row r="56" spans="1:67" x14ac:dyDescent="0.25">
      <c r="L56" s="1">
        <f t="shared" si="33"/>
        <v>43617</v>
      </c>
      <c r="M56" s="10">
        <f t="shared" si="38"/>
        <v>307285.25113932526</v>
      </c>
      <c r="N56" s="10">
        <f t="shared" si="39"/>
        <v>161413.02647344809</v>
      </c>
      <c r="O56" s="7">
        <f t="shared" si="24"/>
        <v>1.9037202749548388</v>
      </c>
      <c r="P56" s="7">
        <f t="shared" si="40"/>
        <v>0.90671315094664229</v>
      </c>
      <c r="Q56">
        <v>54</v>
      </c>
      <c r="R56">
        <f t="shared" si="41"/>
        <v>91</v>
      </c>
      <c r="S56" s="22"/>
      <c r="T56" s="22">
        <f>IF($B$10="3BR_H",
INDEX('3BR_H-processed'!$E:$E,MATCH($L56,'3BR_H-processed'!$B:$B,0),MATCH(Council_Area,'3BR_H-processed'!$E$1:$E$1,0)),
INDEX('2BR_F-processed'!$E:$E,MATCH($L56,'2BR_F-processed'!$B:$B,0),MATCH(Council_Area,'2BR_F-processed'!$E$1:$E$1,0)))</f>
        <v>474</v>
      </c>
      <c r="U56" s="22">
        <f t="shared" si="25"/>
        <v>474</v>
      </c>
      <c r="V56" s="22">
        <f t="shared" si="34"/>
        <v>6162</v>
      </c>
      <c r="W56" s="22">
        <f>$B$53/4*BH56/_xlfn.XLOOKUP(Q_end,cpi!A:A,cpi!B:B)</f>
        <v>158.81133379405668</v>
      </c>
      <c r="X56" s="22">
        <f t="shared" si="42"/>
        <v>6320.8113337940567</v>
      </c>
      <c r="Y56" s="22">
        <f t="shared" si="43"/>
        <v>650.31434933394758</v>
      </c>
      <c r="Z56" s="22">
        <f t="shared" si="64"/>
        <v>0</v>
      </c>
      <c r="AA56" s="22" cm="1">
        <f t="array" ref="AA56">(Y56+Z56)*eff_invest</f>
        <v>650.31434933394758</v>
      </c>
      <c r="AB56" s="22">
        <f>AA56*(_xlfn.XLOOKUP(Q_end,cpi!A:A,cpi!B:B)/BH56)</f>
        <v>818.97725281655528</v>
      </c>
      <c r="AC56" s="22" cm="1">
        <f t="array" ref="AC56">INDEX('msci-indices'!C:C,MATCH($L56,'msci-indices'!$B:$B)-2)</f>
        <v>1693.1497079999999</v>
      </c>
      <c r="AD56" s="22" cm="1">
        <f t="array" ref="AD56">INDEX('msci-indices'!D:D,MATCH($L56,'msci-indices'!$B:$B)-2)</f>
        <v>1637.459214</v>
      </c>
      <c r="AE56" s="22">
        <f t="shared" si="65"/>
        <v>292750.82579827419</v>
      </c>
      <c r="AF56" s="22" cm="1">
        <f t="array" ref="AF56">INDEX('msci-indices'!C:C,MATCH($L56,'msci-indices'!$B:$B)+1)</f>
        <v>1756.4484090000001</v>
      </c>
      <c r="AG56" s="22" cm="1">
        <f t="array" ref="AG56">INDEX('msci-indices'!D:D,MATCH($L56,'msci-indices'!$B:$B)+1)</f>
        <v>1769.0189379999999</v>
      </c>
      <c r="AH56" s="22">
        <f t="shared" si="44"/>
        <v>182.96926612392139</v>
      </c>
      <c r="AI56" s="22">
        <f t="shared" si="45"/>
        <v>307285.25113932526</v>
      </c>
      <c r="AJ56" s="22">
        <f t="shared" si="66"/>
        <v>139644.21662618133</v>
      </c>
      <c r="AK56" s="22">
        <f t="shared" si="46"/>
        <v>167641.03451314394</v>
      </c>
      <c r="AL56" s="22">
        <f>AJ56*(_xlfn.XLOOKUP(Q_end,cpi!A:A,cpi!B:B)/BH56)</f>
        <v>175861.77672592198</v>
      </c>
      <c r="AM56" s="22" cm="1">
        <f t="array" ref="AM56">SUMPRODUCT($AA$3:AA56,_xlfn.SORTBY($BH$3:BH56,_xlfn.SEQUENCE(ROWS($BH$3:BH56)),-1)/$BH$3)</f>
        <v>185863.13926690185</v>
      </c>
      <c r="AN56" s="22">
        <f t="shared" si="30"/>
        <v>121422.11187242341</v>
      </c>
      <c r="AO56" s="22">
        <f t="shared" si="47"/>
        <v>0</v>
      </c>
      <c r="AP56" s="22">
        <f t="shared" si="31"/>
        <v>307285.25113932526</v>
      </c>
      <c r="AQ56" s="22"/>
      <c r="AR56" s="10">
        <f>IF($B$10="3BR_H",
INDEX('ns-combined'!$C:$C,MATCH($L56,'ns-combined'!$B:$B,0),MATCH(Council_Area,'ns-combined'!$C$1:$C$1,0))*1000,
INDEX('s-combined'!$C:$C,MATCH($L56,'s-combined'!$B:$B,0),MATCH(Council_Area,'s-combined'!$C$1:$C$1,0))*1000)</f>
        <v>470000</v>
      </c>
      <c r="AS56" s="22">
        <f t="shared" si="35"/>
        <v>46102.5</v>
      </c>
      <c r="AT56" s="10">
        <v>0</v>
      </c>
      <c r="AU56" s="22">
        <f t="shared" si="48"/>
        <v>9400</v>
      </c>
      <c r="AV56" s="22">
        <f t="shared" si="49"/>
        <v>1351.25</v>
      </c>
      <c r="AW56" s="22">
        <f>SUM($AV$3:AV56)</f>
        <v>77708.662500000006</v>
      </c>
      <c r="AX56" s="22">
        <f t="shared" si="50"/>
        <v>336788.83750000002</v>
      </c>
      <c r="AY56" s="22">
        <f t="shared" si="51"/>
        <v>2156.7000000000003</v>
      </c>
      <c r="AZ56" s="24">
        <f t="shared" si="52"/>
        <v>1.8354893617021278E-2</v>
      </c>
      <c r="BA56" s="24">
        <f t="shared" si="53"/>
        <v>0.35000000000000003</v>
      </c>
      <c r="BB56" s="25">
        <f>IF(MortgageRate="Discounted",_xlfn.XLOOKUP(L56,'mortgage-rates'!$A:$A,'mortgage-rates'!$E:$E)/100,_xlfn.XLOOKUP(L56,'mortgage-rates'!$A:$A,'mortgage-rates'!$D:$D)/100)</f>
        <v>4.4600000000000001E-2</v>
      </c>
      <c r="BC56" s="10">
        <f t="shared" si="67"/>
        <v>175375.81102655194</v>
      </c>
      <c r="BD56" s="10">
        <f t="shared" si="54"/>
        <v>4814.4256831280036</v>
      </c>
      <c r="BE56" s="10">
        <f t="shared" si="55"/>
        <v>1955.4402929460541</v>
      </c>
      <c r="BF56" s="10">
        <f t="shared" si="36"/>
        <v>2858.9853901819497</v>
      </c>
      <c r="BG56" s="12">
        <f t="shared" si="56"/>
        <v>6971.1256831280043</v>
      </c>
      <c r="BH56" s="22">
        <f>INDEX(cpi!B:B,MATCH($L56,cpi!A:A))</f>
        <v>114.9</v>
      </c>
      <c r="BI56" s="22">
        <f t="shared" si="57"/>
        <v>135.81560283687944</v>
      </c>
      <c r="BJ56" s="22">
        <f t="shared" si="58"/>
        <v>224.29400441178427</v>
      </c>
      <c r="BK56" s="22">
        <f t="shared" si="59"/>
        <v>229.67176750188432</v>
      </c>
      <c r="BL56" s="22">
        <f t="shared" si="60"/>
        <v>225.90733333881428</v>
      </c>
      <c r="BM56" s="22">
        <f t="shared" si="61"/>
        <v>323.1235087590137</v>
      </c>
      <c r="BN56" s="22">
        <f t="shared" si="62"/>
        <v>137.62811127379209</v>
      </c>
      <c r="BO56">
        <f t="shared" si="63"/>
        <v>101.18809821174229</v>
      </c>
    </row>
    <row r="57" spans="1:67" x14ac:dyDescent="0.25">
      <c r="L57" s="1">
        <f t="shared" si="33"/>
        <v>43709</v>
      </c>
      <c r="M57" s="10">
        <f t="shared" si="38"/>
        <v>310962.95724186272</v>
      </c>
      <c r="N57" s="10">
        <f t="shared" si="39"/>
        <v>180632.38686363003</v>
      </c>
      <c r="O57" s="7">
        <f t="shared" si="24"/>
        <v>1.7215238232810757</v>
      </c>
      <c r="P57" s="7">
        <f t="shared" si="40"/>
        <v>0.92048764851595433</v>
      </c>
      <c r="Q57">
        <v>55</v>
      </c>
      <c r="R57">
        <f t="shared" si="41"/>
        <v>92</v>
      </c>
      <c r="S57" s="22"/>
      <c r="T57" s="22">
        <f>IF($B$10="3BR_H",
INDEX('3BR_H-processed'!$E:$E,MATCH($L57,'3BR_H-processed'!$B:$B,0),MATCH(Council_Area,'3BR_H-processed'!$E$1:$E$1,0)),
INDEX('2BR_F-processed'!$E:$E,MATCH($L57,'2BR_F-processed'!$B:$B,0),MATCH(Council_Area,'2BR_F-processed'!$E$1:$E$1,0)))</f>
        <v>458</v>
      </c>
      <c r="U57" s="22">
        <f t="shared" si="25"/>
        <v>474</v>
      </c>
      <c r="V57" s="22">
        <f t="shared" si="34"/>
        <v>6229.7142857142853</v>
      </c>
      <c r="W57" s="22">
        <f>$B$53/4*BH57/_xlfn.XLOOKUP(Q_end,cpi!A:A,cpi!B:B)</f>
        <v>159.50241879751209</v>
      </c>
      <c r="X57" s="22">
        <f t="shared" si="42"/>
        <v>6389.2167045117976</v>
      </c>
      <c r="Y57" s="22">
        <f t="shared" si="43"/>
        <v>551.90490077289996</v>
      </c>
      <c r="Z57" s="22">
        <f t="shared" si="64"/>
        <v>0</v>
      </c>
      <c r="AA57" s="22" cm="1">
        <f t="array" ref="AA57">(Y57+Z57)*eff_invest</f>
        <v>551.90490077289996</v>
      </c>
      <c r="AB57" s="22">
        <f>AA57*(_xlfn.XLOOKUP(Q_end,cpi!A:A,cpi!B:B)/BH57)</f>
        <v>692.03326812685111</v>
      </c>
      <c r="AC57" s="22" cm="1">
        <f t="array" ref="AC57">INDEX('msci-indices'!C:C,MATCH($L57,'msci-indices'!$B:$B)-2)</f>
        <v>1756.4484090000001</v>
      </c>
      <c r="AD57" s="22" cm="1">
        <f t="array" ref="AD57">INDEX('msci-indices'!D:D,MATCH($L57,'msci-indices'!$B:$B)-2)</f>
        <v>1769.0189379999999</v>
      </c>
      <c r="AE57" s="22">
        <f t="shared" si="65"/>
        <v>307837.15604009817</v>
      </c>
      <c r="AF57" s="22" cm="1">
        <f t="array" ref="AF57">INDEX('msci-indices'!C:C,MATCH($L57,'msci-indices'!$B:$B)+1)</f>
        <v>1762.7547079999999</v>
      </c>
      <c r="AG57" s="22" cm="1">
        <f t="array" ref="AG57">INDEX('msci-indices'!D:D,MATCH($L57,'msci-indices'!$B:$B)+1)</f>
        <v>1817.7602159999999</v>
      </c>
      <c r="AH57" s="22">
        <f t="shared" si="44"/>
        <v>192.39822252506136</v>
      </c>
      <c r="AI57" s="22">
        <f t="shared" si="45"/>
        <v>310962.95724186272</v>
      </c>
      <c r="AJ57" s="22">
        <f t="shared" si="66"/>
        <v>140196.12152695423</v>
      </c>
      <c r="AK57" s="22">
        <f t="shared" si="46"/>
        <v>170766.83571490849</v>
      </c>
      <c r="AL57" s="22">
        <f>AJ57*(_xlfn.XLOOKUP(Q_end,cpi!A:A,cpi!B:B)/BH57)</f>
        <v>175791.84389038366</v>
      </c>
      <c r="AM57" s="22" cm="1">
        <f t="array" ref="AM57">SUMPRODUCT($AA$3:AA57,_xlfn.SORTBY($BH$3:BH57,_xlfn.SEQUENCE(ROWS($BH$3:BH57)),-1)/$BH$3)</f>
        <v>187251.06027862307</v>
      </c>
      <c r="AN57" s="22">
        <f t="shared" si="30"/>
        <v>123711.89696323965</v>
      </c>
      <c r="AO57" s="22">
        <f t="shared" si="47"/>
        <v>0</v>
      </c>
      <c r="AP57" s="22">
        <f t="shared" si="31"/>
        <v>310962.95724186272</v>
      </c>
      <c r="AQ57" s="22"/>
      <c r="AR57" s="10">
        <f>IF($B$10="3BR_H",
INDEX('ns-combined'!$C:$C,MATCH($L57,'ns-combined'!$B:$B,0),MATCH(Council_Area,'ns-combined'!$C$1:$C$1,0))*1000,
INDEX('s-combined'!$C:$C,MATCH($L57,'s-combined'!$B:$B,0),MATCH(Council_Area,'s-combined'!$C$1:$C$1,0))*1000)</f>
        <v>489000</v>
      </c>
      <c r="AS57" s="22">
        <f t="shared" si="35"/>
        <v>46956.25</v>
      </c>
      <c r="AT57" s="10">
        <v>0</v>
      </c>
      <c r="AU57" s="22">
        <f t="shared" si="48"/>
        <v>9780</v>
      </c>
      <c r="AV57" s="22">
        <f t="shared" si="49"/>
        <v>1405.875</v>
      </c>
      <c r="AW57" s="22">
        <f>SUM($AV$3:AV57)</f>
        <v>79114.537500000006</v>
      </c>
      <c r="AX57" s="22">
        <f t="shared" si="50"/>
        <v>353149.21250000002</v>
      </c>
      <c r="AY57" s="22">
        <f t="shared" si="51"/>
        <v>2180.4</v>
      </c>
      <c r="AZ57" s="24">
        <f t="shared" si="52"/>
        <v>1.7835582822085892E-2</v>
      </c>
      <c r="BA57" s="24">
        <f t="shared" si="53"/>
        <v>0.35000000000000003</v>
      </c>
      <c r="BB57" s="25">
        <f>IF(MortgageRate="Discounted",_xlfn.XLOOKUP(L57,'mortgage-rates'!$A:$A,'mortgage-rates'!$E:$E)/100,_xlfn.XLOOKUP(L57,'mortgage-rates'!$A:$A,'mortgage-rates'!$D:$D)/100)</f>
        <v>4.2500000000000003E-2</v>
      </c>
      <c r="BC57" s="10">
        <f t="shared" si="67"/>
        <v>172516.82563636999</v>
      </c>
      <c r="BD57" s="10">
        <f t="shared" si="54"/>
        <v>4760.7216052846979</v>
      </c>
      <c r="BE57" s="10">
        <f t="shared" si="55"/>
        <v>1832.9912723864313</v>
      </c>
      <c r="BF57" s="10">
        <f t="shared" si="36"/>
        <v>2927.7303328982666</v>
      </c>
      <c r="BG57" s="12">
        <f t="shared" si="56"/>
        <v>6941.1216052846976</v>
      </c>
      <c r="BH57" s="22">
        <f>INDEX(cpi!B:B,MATCH($L57,cpi!A:A))</f>
        <v>115.4</v>
      </c>
      <c r="BI57" s="22">
        <f t="shared" si="57"/>
        <v>136.40661938534279</v>
      </c>
      <c r="BJ57" s="22">
        <f t="shared" si="58"/>
        <v>232.67927539772964</v>
      </c>
      <c r="BK57" s="22">
        <f t="shared" si="59"/>
        <v>248.12447403942869</v>
      </c>
      <c r="BL57" s="22">
        <f t="shared" si="60"/>
        <v>237.31283499023937</v>
      </c>
      <c r="BM57" s="22">
        <f t="shared" si="61"/>
        <v>339.7750346727081</v>
      </c>
      <c r="BN57" s="22">
        <f t="shared" si="62"/>
        <v>143.1918008784773</v>
      </c>
      <c r="BO57">
        <f t="shared" si="63"/>
        <v>106.10356763338228</v>
      </c>
    </row>
    <row r="58" spans="1:67" x14ac:dyDescent="0.25">
      <c r="L58" s="1">
        <f t="shared" si="33"/>
        <v>43800</v>
      </c>
      <c r="M58" s="10">
        <f t="shared" si="38"/>
        <v>330370.59756740613</v>
      </c>
      <c r="N58" s="10">
        <f t="shared" si="39"/>
        <v>162735.1171965283</v>
      </c>
      <c r="O58" s="7">
        <f t="shared" si="24"/>
        <v>2.0301125120304033</v>
      </c>
      <c r="P58" s="7">
        <f t="shared" si="40"/>
        <v>0.92394907501569601</v>
      </c>
      <c r="Q58">
        <v>56</v>
      </c>
      <c r="R58">
        <f t="shared" si="41"/>
        <v>92</v>
      </c>
      <c r="S58" s="22"/>
      <c r="T58" s="22">
        <f>IF($B$10="3BR_H",
INDEX('3BR_H-processed'!$E:$E,MATCH($L58,'3BR_H-processed'!$B:$B,0),MATCH(Council_Area,'3BR_H-processed'!$E$1:$E$1,0)),
INDEX('2BR_F-processed'!$E:$E,MATCH($L58,'2BR_F-processed'!$B:$B,0),MATCH(Council_Area,'2BR_F-processed'!$E$1:$E$1,0)))</f>
        <v>458</v>
      </c>
      <c r="U58" s="22">
        <f t="shared" si="25"/>
        <v>474</v>
      </c>
      <c r="V58" s="22">
        <f t="shared" si="34"/>
        <v>6229.7142857142853</v>
      </c>
      <c r="W58" s="22">
        <f>$B$53/4*BH58/_xlfn.XLOOKUP(Q_end,cpi!A:A,cpi!B:B)</f>
        <v>160.4699378023497</v>
      </c>
      <c r="X58" s="22">
        <f t="shared" si="42"/>
        <v>6390.184223516635</v>
      </c>
      <c r="Y58" s="22">
        <f t="shared" si="43"/>
        <v>525.98074305154842</v>
      </c>
      <c r="Z58" s="22">
        <f t="shared" si="64"/>
        <v>0</v>
      </c>
      <c r="AA58" s="22" cm="1">
        <f t="array" ref="AA58">(Y58+Z58)*eff_invest</f>
        <v>525.98074305154842</v>
      </c>
      <c r="AB58" s="22">
        <f>AA58*(_xlfn.XLOOKUP(Q_end,cpi!A:A,cpi!B:B)/BH58)</f>
        <v>655.55050404443625</v>
      </c>
      <c r="AC58" s="22" cm="1">
        <f t="array" ref="AC58">INDEX('msci-indices'!C:C,MATCH($L58,'msci-indices'!$B:$B)-2)</f>
        <v>1762.7547079999999</v>
      </c>
      <c r="AD58" s="22" cm="1">
        <f t="array" ref="AD58">INDEX('msci-indices'!D:D,MATCH($L58,'msci-indices'!$B:$B)-2)</f>
        <v>1817.7602159999999</v>
      </c>
      <c r="AE58" s="22">
        <f t="shared" si="65"/>
        <v>311488.93798491429</v>
      </c>
      <c r="AF58" s="22" cm="1">
        <f t="array" ref="AF58">INDEX('msci-indices'!C:C,MATCH($L58,'msci-indices'!$B:$B)+1)</f>
        <v>1916.2448380000001</v>
      </c>
      <c r="AG58" s="22" cm="1">
        <f t="array" ref="AG58">INDEX('msci-indices'!D:D,MATCH($L58,'msci-indices'!$B:$B)+1)</f>
        <v>1819.5211509999999</v>
      </c>
      <c r="AH58" s="22">
        <f t="shared" si="44"/>
        <v>194.68058624057144</v>
      </c>
      <c r="AI58" s="22">
        <f t="shared" si="45"/>
        <v>330370.59756740613</v>
      </c>
      <c r="AJ58" s="22">
        <f t="shared" si="66"/>
        <v>140722.10227000577</v>
      </c>
      <c r="AK58" s="22">
        <f t="shared" si="46"/>
        <v>189648.49529740037</v>
      </c>
      <c r="AL58" s="22">
        <f>AJ58*(_xlfn.XLOOKUP(Q_end,cpi!A:A,cpi!B:B)/BH58)</f>
        <v>175387.49524952483</v>
      </c>
      <c r="AM58" s="22" cm="1">
        <f t="array" ref="AM58">SUMPRODUCT($AA$3:AA58,_xlfn.SORTBY($BH$3:BH58,_xlfn.SEQUENCE(ROWS($BH$3:BH58)),-1)/$BH$3)</f>
        <v>188819.88890027578</v>
      </c>
      <c r="AN58" s="22">
        <f t="shared" si="30"/>
        <v>141550.70866713036</v>
      </c>
      <c r="AO58" s="22">
        <f t="shared" si="47"/>
        <v>0</v>
      </c>
      <c r="AP58" s="22">
        <f t="shared" si="31"/>
        <v>330370.59756740613</v>
      </c>
      <c r="AQ58" s="22"/>
      <c r="AR58" s="10">
        <f>IF($B$10="3BR_H",
INDEX('ns-combined'!$C:$C,MATCH($L58,'ns-combined'!$B:$B,0),MATCH(Council_Area,'ns-combined'!$C$1:$C$1,0))*1000,
INDEX('s-combined'!$C:$C,MATCH($L58,'s-combined'!$B:$B,0),MATCH(Council_Area,'s-combined'!$C$1:$C$1,0))*1000)</f>
        <v>470000</v>
      </c>
      <c r="AS58" s="22">
        <f t="shared" si="35"/>
        <v>47810</v>
      </c>
      <c r="AT58" s="10">
        <v>0</v>
      </c>
      <c r="AU58" s="22">
        <f t="shared" si="48"/>
        <v>9400</v>
      </c>
      <c r="AV58" s="22">
        <f t="shared" si="49"/>
        <v>1351.25</v>
      </c>
      <c r="AW58" s="22">
        <f>SUM($AV$3:AV58)</f>
        <v>80465.787500000006</v>
      </c>
      <c r="AX58" s="22">
        <f t="shared" si="50"/>
        <v>332324.21250000002</v>
      </c>
      <c r="AY58" s="22">
        <f t="shared" si="51"/>
        <v>2180.4</v>
      </c>
      <c r="AZ58" s="24">
        <f t="shared" si="52"/>
        <v>1.855659574468085E-2</v>
      </c>
      <c r="BA58" s="24">
        <f t="shared" si="53"/>
        <v>0.35000000000000003</v>
      </c>
      <c r="BB58" s="25">
        <f>IF(MortgageRate="Discounted",_xlfn.XLOOKUP(L58,'mortgage-rates'!$A:$A,'mortgage-rates'!$E:$E)/100,_xlfn.XLOOKUP(L58,'mortgage-rates'!$A:$A,'mortgage-rates'!$D:$D)/100)</f>
        <v>4.1500000000000002E-2</v>
      </c>
      <c r="BC58" s="10">
        <f t="shared" si="67"/>
        <v>169589.09530347172</v>
      </c>
      <c r="BD58" s="10">
        <f t="shared" si="54"/>
        <v>4735.7649665681829</v>
      </c>
      <c r="BE58" s="10">
        <f t="shared" si="55"/>
        <v>1759.4868637735192</v>
      </c>
      <c r="BF58" s="10">
        <f t="shared" si="36"/>
        <v>2976.2781027946639</v>
      </c>
      <c r="BG58" s="12">
        <f t="shared" si="56"/>
        <v>6916.1649665681834</v>
      </c>
      <c r="BH58" s="22">
        <f>INDEX(cpi!B:B,MATCH($L58,cpi!A:A))</f>
        <v>116.1</v>
      </c>
      <c r="BI58" s="22">
        <f t="shared" si="57"/>
        <v>137.2340425531915</v>
      </c>
      <c r="BJ58" s="22">
        <f t="shared" si="58"/>
        <v>233.51467999842427</v>
      </c>
      <c r="BK58" s="22">
        <f t="shared" si="59"/>
        <v>254.96097743007783</v>
      </c>
      <c r="BL58" s="22">
        <f t="shared" si="60"/>
        <v>239.94856922792033</v>
      </c>
      <c r="BM58" s="22">
        <f t="shared" si="61"/>
        <v>343.8056863096906</v>
      </c>
      <c r="BN58" s="22">
        <f t="shared" si="62"/>
        <v>137.62811127379209</v>
      </c>
      <c r="BO58">
        <f t="shared" si="63"/>
        <v>99.846703062389707</v>
      </c>
    </row>
    <row r="59" spans="1:67" x14ac:dyDescent="0.25">
      <c r="L59" s="1">
        <f t="shared" si="33"/>
        <v>43891</v>
      </c>
      <c r="M59" s="10">
        <f t="shared" si="38"/>
        <v>255701.7275897084</v>
      </c>
      <c r="N59" s="10">
        <f t="shared" si="39"/>
        <v>163506.39529932296</v>
      </c>
      <c r="O59" s="7">
        <f t="shared" si="24"/>
        <v>1.5638637688856638</v>
      </c>
      <c r="P59" s="7">
        <f t="shared" si="40"/>
        <v>0.90446074769490636</v>
      </c>
      <c r="Q59">
        <v>57</v>
      </c>
      <c r="R59">
        <f t="shared" si="41"/>
        <v>91</v>
      </c>
      <c r="S59" s="22"/>
      <c r="T59" s="22">
        <f>IF($B$10="3BR_H",
INDEX('3BR_H-processed'!$E:$E,MATCH($L59,'3BR_H-processed'!$B:$B,0),MATCH(Council_Area,'3BR_H-processed'!$E$1:$E$1,0)),
INDEX('2BR_F-processed'!$E:$E,MATCH($L59,'2BR_F-processed'!$B:$B,0),MATCH(Council_Area,'2BR_F-processed'!$E$1:$E$1,0)))</f>
        <v>458</v>
      </c>
      <c r="U59" s="22">
        <f t="shared" si="25"/>
        <v>458</v>
      </c>
      <c r="V59" s="22">
        <f t="shared" si="34"/>
        <v>5954</v>
      </c>
      <c r="W59" s="22">
        <f>$B$53/4*BH59/_xlfn.XLOOKUP(Q_end,cpi!A:A,cpi!B:B)</f>
        <v>161.29923980649622</v>
      </c>
      <c r="X59" s="22">
        <f t="shared" si="42"/>
        <v>6115.2992398064962</v>
      </c>
      <c r="Y59" s="22">
        <f t="shared" si="43"/>
        <v>645.9662494829463</v>
      </c>
      <c r="Z59" s="22">
        <f t="shared" si="64"/>
        <v>0</v>
      </c>
      <c r="AA59" s="22" cm="1">
        <f t="array" ref="AA59">(Y59+Z59)*eff_invest</f>
        <v>645.9662494829463</v>
      </c>
      <c r="AB59" s="22">
        <f>AA59*(_xlfn.XLOOKUP(Q_end,cpi!A:A,cpi!B:B)/BH59)</f>
        <v>800.95386718236773</v>
      </c>
      <c r="AC59" s="22" cm="1">
        <f t="array" ref="AC59">INDEX('msci-indices'!C:C,MATCH($L59,'msci-indices'!$B:$B)-2)</f>
        <v>1916.2448380000001</v>
      </c>
      <c r="AD59" s="22" cm="1">
        <f t="array" ref="AD59">INDEX('msci-indices'!D:D,MATCH($L59,'msci-indices'!$B:$B)-2)</f>
        <v>1819.5211509999999</v>
      </c>
      <c r="AE59" s="22">
        <f t="shared" si="65"/>
        <v>331016.56381688907</v>
      </c>
      <c r="AF59" s="22" cm="1">
        <f t="array" ref="AF59">INDEX('msci-indices'!C:C,MATCH($L59,'msci-indices'!$B:$B)+1)</f>
        <v>1491.44822</v>
      </c>
      <c r="AG59" s="22" cm="1">
        <f t="array" ref="AG59">INDEX('msci-indices'!D:D,MATCH($L59,'msci-indices'!$B:$B)+1)</f>
        <v>1384.5123450000001</v>
      </c>
      <c r="AH59" s="22">
        <f t="shared" si="44"/>
        <v>206.88535238555568</v>
      </c>
      <c r="AI59" s="22">
        <f t="shared" si="45"/>
        <v>255701.7275897084</v>
      </c>
      <c r="AJ59" s="22">
        <f t="shared" si="66"/>
        <v>141368.0685194887</v>
      </c>
      <c r="AK59" s="22">
        <f t="shared" si="46"/>
        <v>114333.6590702197</v>
      </c>
      <c r="AL59" s="22">
        <f>AJ59*(_xlfn.XLOOKUP(Q_end,cpi!A:A,cpi!B:B)/BH59)</f>
        <v>175286.71392262221</v>
      </c>
      <c r="AM59" s="22" cm="1">
        <f t="array" ref="AM59">SUMPRODUCT($AA$3:AA59,_xlfn.SORTBY($BH$3:BH59,_xlfn.SEQUENCE(ROWS($BH$3:BH59)),-1)/$BH$3)</f>
        <v>190409.47854240518</v>
      </c>
      <c r="AN59" s="22">
        <f t="shared" si="30"/>
        <v>65292.249047303223</v>
      </c>
      <c r="AO59" s="22">
        <f t="shared" si="47"/>
        <v>0</v>
      </c>
      <c r="AP59" s="22">
        <f t="shared" si="31"/>
        <v>255701.7275897084</v>
      </c>
      <c r="AQ59" s="22"/>
      <c r="AR59" s="10">
        <f>IF($B$10="3BR_H",
INDEX('ns-combined'!$C:$C,MATCH($L59,'ns-combined'!$B:$B,0),MATCH(Council_Area,'ns-combined'!$C$1:$C$1,0))*1000,
INDEX('s-combined'!$C:$C,MATCH($L59,'s-combined'!$B:$B,0),MATCH(Council_Area,'s-combined'!$C$1:$C$1,0))*1000)</f>
        <v>470000</v>
      </c>
      <c r="AS59" s="22">
        <f t="shared" si="35"/>
        <v>48663.75</v>
      </c>
      <c r="AT59" s="10">
        <v>0</v>
      </c>
      <c r="AU59" s="22">
        <f t="shared" si="48"/>
        <v>9400</v>
      </c>
      <c r="AV59" s="22">
        <f t="shared" si="49"/>
        <v>1351.25</v>
      </c>
      <c r="AW59" s="22">
        <f>SUM($AV$3:AV59)</f>
        <v>81817.037500000006</v>
      </c>
      <c r="AX59" s="22">
        <f t="shared" si="50"/>
        <v>330119.21250000002</v>
      </c>
      <c r="AY59" s="22">
        <f t="shared" si="51"/>
        <v>2083.9</v>
      </c>
      <c r="AZ59" s="24">
        <f t="shared" si="52"/>
        <v>1.7735319148936172E-2</v>
      </c>
      <c r="BA59" s="24">
        <f t="shared" si="53"/>
        <v>0.35000000000000003</v>
      </c>
      <c r="BB59" s="25">
        <f>IF(MortgageRate="Discounted",_xlfn.XLOOKUP(L59,'mortgage-rates'!$A:$A,'mortgage-rates'!$E:$E)/100,_xlfn.XLOOKUP(L59,'mortgage-rates'!$A:$A,'mortgage-rates'!$D:$D)/100)</f>
        <v>3.9100000000000003E-2</v>
      </c>
      <c r="BC59" s="10">
        <f t="shared" si="67"/>
        <v>166612.81720067706</v>
      </c>
      <c r="BD59" s="10">
        <f t="shared" si="54"/>
        <v>4677.3654892894419</v>
      </c>
      <c r="BE59" s="10">
        <f t="shared" si="55"/>
        <v>1628.6402881366184</v>
      </c>
      <c r="BF59" s="10">
        <f t="shared" si="36"/>
        <v>3048.7252011528235</v>
      </c>
      <c r="BG59" s="12">
        <f t="shared" si="56"/>
        <v>6761.2654892894425</v>
      </c>
      <c r="BH59" s="22">
        <f>INDEX(cpi!B:B,MATCH($L59,cpi!A:A))</f>
        <v>116.7</v>
      </c>
      <c r="BI59" s="22">
        <f t="shared" si="57"/>
        <v>137.94326241134752</v>
      </c>
      <c r="BJ59" s="22">
        <f t="shared" si="58"/>
        <v>253.84774076246714</v>
      </c>
      <c r="BK59" s="22">
        <f t="shared" si="59"/>
        <v>255.20796804239237</v>
      </c>
      <c r="BL59" s="22">
        <f t="shared" si="60"/>
        <v>254.25580894644472</v>
      </c>
      <c r="BM59" s="22">
        <f t="shared" si="61"/>
        <v>365.35928896599449</v>
      </c>
      <c r="BN59" s="22">
        <f t="shared" si="62"/>
        <v>137.62811127379209</v>
      </c>
      <c r="BO59">
        <f t="shared" si="63"/>
        <v>99.184211519578724</v>
      </c>
    </row>
    <row r="60" spans="1:67" x14ac:dyDescent="0.25">
      <c r="L60" s="1">
        <f t="shared" si="33"/>
        <v>43983</v>
      </c>
      <c r="M60" s="10">
        <f t="shared" si="38"/>
        <v>305063.29157498456</v>
      </c>
      <c r="N60" s="10">
        <f t="shared" si="39"/>
        <v>159464.49550047578</v>
      </c>
      <c r="O60" s="7">
        <f t="shared" si="24"/>
        <v>1.9130483598718961</v>
      </c>
      <c r="P60" s="7">
        <f t="shared" si="40"/>
        <v>0.91230953537502102</v>
      </c>
      <c r="Q60">
        <v>58</v>
      </c>
      <c r="R60">
        <f t="shared" si="41"/>
        <v>91</v>
      </c>
      <c r="S60" s="22"/>
      <c r="T60" s="22">
        <f>IF($B$10="3BR_H",
INDEX('3BR_H-processed'!$E:$E,MATCH($L60,'3BR_H-processed'!$B:$B,0),MATCH(Council_Area,'3BR_H-processed'!$E$1:$E$1,0)),
INDEX('2BR_F-processed'!$E:$E,MATCH($L60,'2BR_F-processed'!$B:$B,0),MATCH(Council_Area,'2BR_F-processed'!$E$1:$E$1,0)))</f>
        <v>458</v>
      </c>
      <c r="U60" s="22">
        <f t="shared" si="25"/>
        <v>458</v>
      </c>
      <c r="V60" s="22">
        <f t="shared" si="34"/>
        <v>5954</v>
      </c>
      <c r="W60" s="22">
        <f>$B$53/4*BH60/_xlfn.XLOOKUP(Q_end,cpi!A:A,cpi!B:B)</f>
        <v>158.25846579129234</v>
      </c>
      <c r="X60" s="22">
        <f t="shared" si="42"/>
        <v>6112.2584657912921</v>
      </c>
      <c r="Y60" s="22">
        <f t="shared" si="43"/>
        <v>587.50540687144348</v>
      </c>
      <c r="Z60" s="22">
        <f t="shared" si="64"/>
        <v>0</v>
      </c>
      <c r="AA60" s="22" cm="1">
        <f t="array" ref="AA60">(Y60+Z60)*eff_invest</f>
        <v>587.50540687144348</v>
      </c>
      <c r="AB60" s="22">
        <f>AA60*(_xlfn.XLOOKUP(Q_end,cpi!A:A,cpi!B:B)/BH60)</f>
        <v>742.46316484102942</v>
      </c>
      <c r="AC60" s="22" cm="1">
        <f t="array" ref="AC60">INDEX('msci-indices'!C:C,MATCH($L60,'msci-indices'!$B:$B)-2)</f>
        <v>1491.44822</v>
      </c>
      <c r="AD60" s="22" cm="1">
        <f t="array" ref="AD60">INDEX('msci-indices'!D:D,MATCH($L60,'msci-indices'!$B:$B)-2)</f>
        <v>1384.5123450000001</v>
      </c>
      <c r="AE60" s="22">
        <f t="shared" si="65"/>
        <v>256289.23299657984</v>
      </c>
      <c r="AF60" s="22" cm="1">
        <f t="array" ref="AF60">INDEX('msci-indices'!C:C,MATCH($L60,'msci-indices'!$B:$B)+1)</f>
        <v>1788.7914370000001</v>
      </c>
      <c r="AG60" s="22" cm="1">
        <f t="array" ref="AG60">INDEX('msci-indices'!D:D,MATCH($L60,'msci-indices'!$B:$B)+1)</f>
        <v>1621.623241</v>
      </c>
      <c r="AH60" s="22">
        <f t="shared" si="44"/>
        <v>160.18077062286241</v>
      </c>
      <c r="AI60" s="22">
        <f t="shared" si="45"/>
        <v>305063.29157498456</v>
      </c>
      <c r="AJ60" s="22">
        <f t="shared" si="66"/>
        <v>141955.57392636014</v>
      </c>
      <c r="AK60" s="22">
        <f t="shared" si="46"/>
        <v>163107.71764862441</v>
      </c>
      <c r="AL60" s="22">
        <f>AJ60*(_xlfn.XLOOKUP(Q_end,cpi!A:A,cpi!B:B)/BH60)</f>
        <v>179397.13141610753</v>
      </c>
      <c r="AM60" s="22" cm="1">
        <f t="array" ref="AM60">SUMPRODUCT($AA$3:AA60,_xlfn.SORTBY($BH$3:BH60,_xlfn.SEQUENCE(ROWS($BH$3:BH60)),-1)/$BH$3)</f>
        <v>188953.00418716233</v>
      </c>
      <c r="AN60" s="22">
        <f t="shared" si="30"/>
        <v>116110.28738782223</v>
      </c>
      <c r="AO60" s="22">
        <f t="shared" si="47"/>
        <v>0</v>
      </c>
      <c r="AP60" s="22">
        <f t="shared" si="31"/>
        <v>305063.29157498456</v>
      </c>
      <c r="AQ60" s="22"/>
      <c r="AR60" s="10">
        <f>IF($B$10="3BR_H",
INDEX('ns-combined'!$C:$C,MATCH($L60,'ns-combined'!$B:$B,0),MATCH(Council_Area,'ns-combined'!$C$1:$C$1,0))*1000,
INDEX('s-combined'!$C:$C,MATCH($L60,'s-combined'!$B:$B,0),MATCH(Council_Area,'s-combined'!$C$1:$C$1,0))*1000)</f>
        <v>465000</v>
      </c>
      <c r="AS60" s="22">
        <f t="shared" si="35"/>
        <v>49517.5</v>
      </c>
      <c r="AT60" s="10">
        <v>0</v>
      </c>
      <c r="AU60" s="22">
        <f t="shared" si="48"/>
        <v>9300</v>
      </c>
      <c r="AV60" s="22">
        <f t="shared" si="49"/>
        <v>1336.875</v>
      </c>
      <c r="AW60" s="22">
        <f>SUM($AV$3:AV60)</f>
        <v>83153.912500000006</v>
      </c>
      <c r="AX60" s="22">
        <f t="shared" si="50"/>
        <v>323028.58750000002</v>
      </c>
      <c r="AY60" s="22">
        <f t="shared" si="51"/>
        <v>2083.9</v>
      </c>
      <c r="AZ60" s="24">
        <f t="shared" si="52"/>
        <v>1.7926021505376345E-2</v>
      </c>
      <c r="BA60" s="24">
        <f t="shared" si="53"/>
        <v>0.35000000000000003</v>
      </c>
      <c r="BB60" s="25">
        <f>IF(MortgageRate="Discounted",_xlfn.XLOOKUP(L60,'mortgage-rates'!$A:$A,'mortgage-rates'!$E:$E)/100,_xlfn.XLOOKUP(L60,'mortgage-rates'!$A:$A,'mortgage-rates'!$D:$D)/100)</f>
        <v>3.6499999999999998E-2</v>
      </c>
      <c r="BC60" s="10">
        <f t="shared" si="67"/>
        <v>163564.09199952424</v>
      </c>
      <c r="BD60" s="10">
        <f t="shared" si="54"/>
        <v>4615.863872662736</v>
      </c>
      <c r="BE60" s="10">
        <f t="shared" si="55"/>
        <v>1492.5223394956586</v>
      </c>
      <c r="BF60" s="10">
        <f t="shared" si="36"/>
        <v>3123.3415331670776</v>
      </c>
      <c r="BG60" s="12">
        <f t="shared" si="56"/>
        <v>6699.7638726627356</v>
      </c>
      <c r="BH60" s="22">
        <f>INDEX(cpi!B:B,MATCH($L60,cpi!A:A))</f>
        <v>114.5</v>
      </c>
      <c r="BI60" s="22">
        <f t="shared" si="57"/>
        <v>135.34278959810877</v>
      </c>
      <c r="BJ60" s="22">
        <f t="shared" si="58"/>
        <v>197.57431493271579</v>
      </c>
      <c r="BK60" s="22">
        <f t="shared" si="59"/>
        <v>194.19317115542438</v>
      </c>
      <c r="BL60" s="22">
        <f t="shared" si="60"/>
        <v>196.55997179952837</v>
      </c>
      <c r="BM60" s="22">
        <f t="shared" si="61"/>
        <v>282.87905250889122</v>
      </c>
      <c r="BN60" s="22">
        <f t="shared" si="62"/>
        <v>136.16398243045387</v>
      </c>
      <c r="BO60">
        <f t="shared" si="63"/>
        <v>97.053835512438539</v>
      </c>
    </row>
    <row r="61" spans="1:67" x14ac:dyDescent="0.25">
      <c r="L61" s="1">
        <f t="shared" si="33"/>
        <v>44075</v>
      </c>
      <c r="M61" s="10">
        <f t="shared" si="38"/>
        <v>322222.85034674208</v>
      </c>
      <c r="N61" s="10">
        <f t="shared" si="39"/>
        <v>194596.58703364286</v>
      </c>
      <c r="O61" s="7">
        <f t="shared" si="24"/>
        <v>1.6558504712676925</v>
      </c>
      <c r="P61" s="7">
        <f t="shared" si="40"/>
        <v>0.91928390936847515</v>
      </c>
      <c r="Q61">
        <v>59</v>
      </c>
      <c r="R61">
        <f t="shared" si="41"/>
        <v>92</v>
      </c>
      <c r="S61" s="22"/>
      <c r="T61" s="22">
        <f>IF($B$10="3BR_H",
INDEX('3BR_H-processed'!$E:$E,MATCH($L61,'3BR_H-processed'!$B:$B,0),MATCH(Council_Area,'3BR_H-processed'!$E$1:$E$1,0)),
INDEX('2BR_F-processed'!$E:$E,MATCH($L61,'2BR_F-processed'!$B:$B,0),MATCH(Council_Area,'2BR_F-processed'!$E$1:$E$1,0)))</f>
        <v>525</v>
      </c>
      <c r="U61" s="22">
        <f t="shared" si="25"/>
        <v>458</v>
      </c>
      <c r="V61" s="22">
        <f t="shared" si="34"/>
        <v>6019.4285714285716</v>
      </c>
      <c r="W61" s="22">
        <f>$B$53/4*BH61/_xlfn.XLOOKUP(Q_end,cpi!A:A,cpi!B:B)</f>
        <v>160.60815480304078</v>
      </c>
      <c r="X61" s="22">
        <f t="shared" si="42"/>
        <v>6180.0367262316122</v>
      </c>
      <c r="Y61" s="22">
        <f t="shared" si="43"/>
        <v>542.62714643112304</v>
      </c>
      <c r="Z61" s="22">
        <f t="shared" si="64"/>
        <v>0</v>
      </c>
      <c r="AA61" s="22" cm="1">
        <f t="array" ref="AA61">(Y61+Z61)*eff_invest</f>
        <v>542.62714643112304</v>
      </c>
      <c r="AB61" s="22">
        <f>AA61*(_xlfn.XLOOKUP(Q_end,cpi!A:A,cpi!B:B)/BH61)</f>
        <v>675.71556014271516</v>
      </c>
      <c r="AC61" s="22" cm="1">
        <f t="array" ref="AC61">INDEX('msci-indices'!C:C,MATCH($L61,'msci-indices'!$B:$B)-2)</f>
        <v>1788.7914370000001</v>
      </c>
      <c r="AD61" s="22" cm="1">
        <f t="array" ref="AD61">INDEX('msci-indices'!D:D,MATCH($L61,'msci-indices'!$B:$B)-2)</f>
        <v>1621.623241</v>
      </c>
      <c r="AE61" s="22">
        <f t="shared" si="65"/>
        <v>305605.91872141568</v>
      </c>
      <c r="AF61" s="22" cm="1">
        <f t="array" ref="AF61">INDEX('msci-indices'!C:C,MATCH($L61,'msci-indices'!$B:$B)+1)</f>
        <v>1929.6383699999999</v>
      </c>
      <c r="AG61" s="22" cm="1">
        <f t="array" ref="AG61">INDEX('msci-indices'!D:D,MATCH($L61,'msci-indices'!$B:$B)+1)</f>
        <v>1620.9837990000001</v>
      </c>
      <c r="AH61" s="22">
        <f t="shared" si="44"/>
        <v>191.0036992008848</v>
      </c>
      <c r="AI61" s="22">
        <f t="shared" si="45"/>
        <v>322222.85034674208</v>
      </c>
      <c r="AJ61" s="22">
        <f t="shared" si="66"/>
        <v>142498.20107279127</v>
      </c>
      <c r="AK61" s="22">
        <f t="shared" si="46"/>
        <v>179724.64927395081</v>
      </c>
      <c r="AL61" s="22">
        <f>AJ61*(_xlfn.XLOOKUP(Q_end,cpi!A:A,cpi!B:B)/BH61)</f>
        <v>177448.27620682353</v>
      </c>
      <c r="AM61" s="22" cm="1">
        <f t="array" ref="AM61">SUMPRODUCT($AA$3:AA61,_xlfn.SORTBY($BH$3:BH61,_xlfn.SEQUENCE(ROWS($BH$3:BH61)),-1)/$BH$3)</f>
        <v>191545.7672208244</v>
      </c>
      <c r="AN61" s="22">
        <f t="shared" si="30"/>
        <v>130677.08312591768</v>
      </c>
      <c r="AO61" s="22">
        <f t="shared" si="47"/>
        <v>0</v>
      </c>
      <c r="AP61" s="22">
        <f t="shared" si="31"/>
        <v>322222.85034674208</v>
      </c>
      <c r="AQ61" s="22"/>
      <c r="AR61" s="10">
        <f>IF($B$10="3BR_H",
INDEX('ns-combined'!$C:$C,MATCH($L61,'ns-combined'!$B:$B,0),MATCH(Council_Area,'ns-combined'!$C$1:$C$1,0))*1000,
INDEX('s-combined'!$C:$C,MATCH($L61,'s-combined'!$B:$B,0),MATCH(Council_Area,'s-combined'!$C$1:$C$1,0))*1000)</f>
        <v>500000</v>
      </c>
      <c r="AS61" s="22">
        <f t="shared" si="35"/>
        <v>50371.25</v>
      </c>
      <c r="AT61" s="10">
        <v>0</v>
      </c>
      <c r="AU61" s="22">
        <f t="shared" si="48"/>
        <v>10000</v>
      </c>
      <c r="AV61" s="22">
        <f t="shared" si="49"/>
        <v>1437.5</v>
      </c>
      <c r="AW61" s="22">
        <f>SUM($AV$3:AV61)</f>
        <v>84591.412500000006</v>
      </c>
      <c r="AX61" s="22">
        <f t="shared" si="50"/>
        <v>355037.33750000002</v>
      </c>
      <c r="AY61" s="22">
        <f t="shared" si="51"/>
        <v>2106.8000000000002</v>
      </c>
      <c r="AZ61" s="24">
        <f t="shared" si="52"/>
        <v>1.6854400000000002E-2</v>
      </c>
      <c r="BA61" s="24">
        <f t="shared" si="53"/>
        <v>0.35000000000000003</v>
      </c>
      <c r="BB61" s="25">
        <f>IF(MortgageRate="Discounted",_xlfn.XLOOKUP(L61,'mortgage-rates'!$A:$A,'mortgage-rates'!$E:$E)/100,_xlfn.XLOOKUP(L61,'mortgage-rates'!$A:$A,'mortgage-rates'!$D:$D)/100)</f>
        <v>3.6499999999999998E-2</v>
      </c>
      <c r="BC61" s="10">
        <f t="shared" si="67"/>
        <v>160440.75046635716</v>
      </c>
      <c r="BD61" s="10">
        <f t="shared" si="54"/>
        <v>4615.863872662735</v>
      </c>
      <c r="BE61" s="10">
        <f t="shared" si="55"/>
        <v>1464.0218480055089</v>
      </c>
      <c r="BF61" s="10">
        <f t="shared" si="36"/>
        <v>3151.8420246572259</v>
      </c>
      <c r="BG61" s="12">
        <f t="shared" si="56"/>
        <v>6722.6638726627352</v>
      </c>
      <c r="BH61" s="22">
        <f>INDEX(cpi!B:B,MATCH($L61,cpi!A:A))</f>
        <v>116.2</v>
      </c>
      <c r="BI61" s="22">
        <f t="shared" si="57"/>
        <v>137.35224586288416</v>
      </c>
      <c r="BJ61" s="22">
        <f t="shared" si="58"/>
        <v>236.96380335804304</v>
      </c>
      <c r="BK61" s="22">
        <f t="shared" si="59"/>
        <v>227.4505971191806</v>
      </c>
      <c r="BL61" s="22">
        <f t="shared" si="60"/>
        <v>234.10984148638431</v>
      </c>
      <c r="BM61" s="22">
        <f t="shared" si="61"/>
        <v>337.31230812250686</v>
      </c>
      <c r="BN61" s="22">
        <f t="shared" si="62"/>
        <v>146.41288433382138</v>
      </c>
      <c r="BO61">
        <f t="shared" si="63"/>
        <v>106.67085418407163</v>
      </c>
    </row>
    <row r="62" spans="1:67" x14ac:dyDescent="0.25">
      <c r="L62" s="1">
        <f t="shared" si="33"/>
        <v>44166</v>
      </c>
      <c r="M62" s="10">
        <f t="shared" si="38"/>
        <v>370322.67095428833</v>
      </c>
      <c r="N62" s="10">
        <f t="shared" si="39"/>
        <v>217442.4915583001</v>
      </c>
      <c r="O62" s="7">
        <f t="shared" si="24"/>
        <v>1.7030832764119537</v>
      </c>
      <c r="P62" s="7">
        <f t="shared" si="40"/>
        <v>0.91948950792778017</v>
      </c>
      <c r="Q62">
        <v>60</v>
      </c>
      <c r="R62">
        <f t="shared" si="41"/>
        <v>92</v>
      </c>
      <c r="S62" s="22"/>
      <c r="T62" s="22">
        <f>IF($B$10="3BR_H",
INDEX('3BR_H-processed'!$E:$E,MATCH($L62,'3BR_H-processed'!$B:$B,0),MATCH(Council_Area,'3BR_H-processed'!$E$1:$E$1,0)),
INDEX('2BR_F-processed'!$E:$E,MATCH($L62,'2BR_F-processed'!$B:$B,0),MATCH(Council_Area,'2BR_F-processed'!$E$1:$E$1,0)))</f>
        <v>525</v>
      </c>
      <c r="U62" s="22">
        <f t="shared" si="25"/>
        <v>458</v>
      </c>
      <c r="V62" s="22">
        <f t="shared" si="34"/>
        <v>6019.4285714285716</v>
      </c>
      <c r="W62" s="22">
        <f>$B$53/4*BH62/_xlfn.XLOOKUP(Q_end,cpi!A:A,cpi!B:B)</f>
        <v>161.99032480995163</v>
      </c>
      <c r="X62" s="22">
        <f t="shared" si="42"/>
        <v>6181.4188962385233</v>
      </c>
      <c r="Y62" s="22">
        <f t="shared" si="43"/>
        <v>541.24497642421193</v>
      </c>
      <c r="Z62" s="22">
        <f t="shared" si="64"/>
        <v>0</v>
      </c>
      <c r="AA62" s="22" cm="1">
        <f t="array" ref="AA62">(Y62+Z62)*eff_invest</f>
        <v>541.24497642421193</v>
      </c>
      <c r="AB62" s="22">
        <f>AA62*(_xlfn.XLOOKUP(Q_end,cpi!A:A,cpi!B:B)/BH62)</f>
        <v>668.24358437357898</v>
      </c>
      <c r="AC62" s="22" cm="1">
        <f t="array" ref="AC62">INDEX('msci-indices'!C:C,MATCH($L62,'msci-indices'!$B:$B)-2)</f>
        <v>1929.6383699999999</v>
      </c>
      <c r="AD62" s="22" cm="1">
        <f t="array" ref="AD62">INDEX('msci-indices'!D:D,MATCH($L62,'msci-indices'!$B:$B)-2)</f>
        <v>1620.9837990000001</v>
      </c>
      <c r="AE62" s="22">
        <f t="shared" si="65"/>
        <v>322764.09532316629</v>
      </c>
      <c r="AF62" s="22" cm="1">
        <f t="array" ref="AF62">INDEX('msci-indices'!C:C,MATCH($L62,'msci-indices'!$B:$B)+1)</f>
        <v>2220.940302</v>
      </c>
      <c r="AG62" s="22" cm="1">
        <f t="array" ref="AG62">INDEX('msci-indices'!D:D,MATCH($L62,'msci-indices'!$B:$B)+1)</f>
        <v>1849.5394759999999</v>
      </c>
      <c r="AH62" s="22">
        <f t="shared" si="44"/>
        <v>201.72755957697893</v>
      </c>
      <c r="AI62" s="22">
        <f t="shared" si="45"/>
        <v>370322.67095428833</v>
      </c>
      <c r="AJ62" s="22">
        <f t="shared" si="66"/>
        <v>143039.44604921548</v>
      </c>
      <c r="AK62" s="22">
        <f t="shared" si="46"/>
        <v>227283.22490507286</v>
      </c>
      <c r="AL62" s="22">
        <f>AJ62*(_xlfn.XLOOKUP(Q_end,cpi!A:A,cpi!B:B)/BH62)</f>
        <v>176602.45600103651</v>
      </c>
      <c r="AM62" s="22" cm="1">
        <f t="array" ref="AM62">SUMPRODUCT($AA$3:AA62,_xlfn.SORTBY($BH$3:BH62,_xlfn.SEQUENCE(ROWS($BH$3:BH62)),-1)/$BH$3)</f>
        <v>193417.55261825144</v>
      </c>
      <c r="AN62" s="22">
        <f t="shared" si="30"/>
        <v>176905.11833603689</v>
      </c>
      <c r="AO62" s="22">
        <f t="shared" si="47"/>
        <v>0</v>
      </c>
      <c r="AP62" s="22">
        <f t="shared" si="31"/>
        <v>370322.67095428833</v>
      </c>
      <c r="AQ62" s="22"/>
      <c r="AR62" s="10">
        <f>IF($B$10="3BR_H",
INDEX('ns-combined'!$C:$C,MATCH($L62,'ns-combined'!$B:$B,0),MATCH(Council_Area,'ns-combined'!$C$1:$C$1,0))*1000,
INDEX('s-combined'!$C:$C,MATCH($L62,'s-combined'!$B:$B,0),MATCH(Council_Area,'s-combined'!$C$1:$C$1,0))*1000)</f>
        <v>522500</v>
      </c>
      <c r="AS62" s="22">
        <f t="shared" si="35"/>
        <v>51225</v>
      </c>
      <c r="AT62" s="10">
        <v>0</v>
      </c>
      <c r="AU62" s="22">
        <f t="shared" si="48"/>
        <v>10450</v>
      </c>
      <c r="AV62" s="22">
        <f t="shared" si="49"/>
        <v>1502.1875</v>
      </c>
      <c r="AW62" s="22">
        <f>SUM($AV$3:AV62)</f>
        <v>86093.6</v>
      </c>
      <c r="AX62" s="22">
        <f t="shared" si="50"/>
        <v>374731.4</v>
      </c>
      <c r="AY62" s="22">
        <f t="shared" si="51"/>
        <v>2106.8000000000002</v>
      </c>
      <c r="AZ62" s="24">
        <f t="shared" si="52"/>
        <v>1.6128612440191387E-2</v>
      </c>
      <c r="BA62" s="24">
        <f t="shared" si="53"/>
        <v>0.35000000000000003</v>
      </c>
      <c r="BB62" s="25">
        <f>IF(MortgageRate="Discounted",_xlfn.XLOOKUP(L62,'mortgage-rates'!$A:$A,'mortgage-rates'!$E:$E)/100,_xlfn.XLOOKUP(L62,'mortgage-rates'!$A:$A,'mortgage-rates'!$D:$D)/100)</f>
        <v>3.6499999999999998E-2</v>
      </c>
      <c r="BC62" s="10">
        <f t="shared" si="67"/>
        <v>157288.90844169992</v>
      </c>
      <c r="BD62" s="10">
        <f t="shared" si="54"/>
        <v>4615.863872662735</v>
      </c>
      <c r="BE62" s="10">
        <f t="shared" si="55"/>
        <v>1435.2612895305117</v>
      </c>
      <c r="BF62" s="10">
        <f t="shared" si="36"/>
        <v>3180.6025831322231</v>
      </c>
      <c r="BG62" s="12">
        <f t="shared" si="56"/>
        <v>6722.6638726627352</v>
      </c>
      <c r="BH62" s="22">
        <f>INDEX(cpi!B:B,MATCH($L62,cpi!A:A))</f>
        <v>117.2</v>
      </c>
      <c r="BI62" s="22">
        <f t="shared" si="57"/>
        <v>138.53427895981088</v>
      </c>
      <c r="BJ62" s="22">
        <f t="shared" si="58"/>
        <v>255.62200142666194</v>
      </c>
      <c r="BK62" s="22">
        <f t="shared" si="59"/>
        <v>227.36090830549944</v>
      </c>
      <c r="BL62" s="22">
        <f t="shared" si="60"/>
        <v>247.14367349031318</v>
      </c>
      <c r="BM62" s="22">
        <f t="shared" si="61"/>
        <v>356.25063293285194</v>
      </c>
      <c r="BN62" s="22">
        <f t="shared" si="62"/>
        <v>153.00146412884334</v>
      </c>
      <c r="BO62">
        <f t="shared" si="63"/>
        <v>112.58792894590422</v>
      </c>
    </row>
    <row r="63" spans="1:67" x14ac:dyDescent="0.25">
      <c r="L63" s="1">
        <f t="shared" si="33"/>
        <v>44256</v>
      </c>
      <c r="M63" s="10">
        <f t="shared" si="38"/>
        <v>389243.45555708196</v>
      </c>
      <c r="N63" s="10">
        <f t="shared" si="39"/>
        <v>230481.21914143232</v>
      </c>
      <c r="O63" s="7">
        <f t="shared" si="24"/>
        <v>1.6888293849149891</v>
      </c>
      <c r="P63" s="7">
        <f t="shared" si="40"/>
        <v>0.99060750527707475</v>
      </c>
      <c r="Q63">
        <v>61</v>
      </c>
      <c r="R63">
        <f t="shared" si="41"/>
        <v>90</v>
      </c>
      <c r="S63" s="22"/>
      <c r="T63" s="22">
        <f>IF($B$10="3BR_H",
INDEX('3BR_H-processed'!$E:$E,MATCH($L63,'3BR_H-processed'!$B:$B,0),MATCH(Council_Area,'3BR_H-processed'!$E$1:$E$1,0)),
INDEX('2BR_F-processed'!$E:$E,MATCH($L63,'2BR_F-processed'!$B:$B,0),MATCH(Council_Area,'2BR_F-processed'!$E$1:$E$1,0)))</f>
        <v>525</v>
      </c>
      <c r="U63" s="22">
        <f t="shared" si="25"/>
        <v>525</v>
      </c>
      <c r="V63" s="22">
        <f t="shared" si="34"/>
        <v>6750</v>
      </c>
      <c r="W63" s="22">
        <f>$B$53/4*BH63/_xlfn.XLOOKUP(Q_end,cpi!A:A,cpi!B:B)</f>
        <v>162.81962681409814</v>
      </c>
      <c r="X63" s="22">
        <f t="shared" si="42"/>
        <v>6912.8196268140982</v>
      </c>
      <c r="Y63" s="22">
        <f t="shared" si="43"/>
        <v>65.54424584863682</v>
      </c>
      <c r="Z63" s="22">
        <f t="shared" si="64"/>
        <v>0</v>
      </c>
      <c r="AA63" s="22" cm="1">
        <f t="array" ref="AA63">(Y63+Z63)*eff_invest</f>
        <v>65.54424584863682</v>
      </c>
      <c r="AB63" s="22">
        <f>AA63*(_xlfn.XLOOKUP(Q_end,cpi!A:A,cpi!B:B)/BH63)</f>
        <v>80.511480257196496</v>
      </c>
      <c r="AC63" s="22" cm="1">
        <f t="array" ref="AC63">INDEX('msci-indices'!C:C,MATCH($L63,'msci-indices'!$B:$B)-2)</f>
        <v>2220.940302</v>
      </c>
      <c r="AD63" s="22" cm="1">
        <f t="array" ref="AD63">INDEX('msci-indices'!D:D,MATCH($L63,'msci-indices'!$B:$B)-2)</f>
        <v>1849.5394759999999</v>
      </c>
      <c r="AE63" s="22">
        <f t="shared" si="65"/>
        <v>370388.215200137</v>
      </c>
      <c r="AF63" s="22" cm="1">
        <f t="array" ref="AF63">INDEX('msci-indices'!C:C,MATCH($L63,'msci-indices'!$B:$B)+1)</f>
        <v>2342.5854599999998</v>
      </c>
      <c r="AG63" s="22" cm="1">
        <f t="array" ref="AG63">INDEX('msci-indices'!D:D,MATCH($L63,'msci-indices'!$B:$B)+1)</f>
        <v>1930.8659110000001</v>
      </c>
      <c r="AH63" s="22">
        <f t="shared" si="44"/>
        <v>231.49263450008561</v>
      </c>
      <c r="AI63" s="22">
        <f t="shared" si="45"/>
        <v>389243.45555708196</v>
      </c>
      <c r="AJ63" s="22">
        <f t="shared" si="66"/>
        <v>143104.99029506411</v>
      </c>
      <c r="AK63" s="22">
        <f t="shared" si="46"/>
        <v>246138.46526201785</v>
      </c>
      <c r="AL63" s="22">
        <f>AJ63*(_xlfn.XLOOKUP(Q_end,cpi!A:A,cpi!B:B)/BH63)</f>
        <v>175783.46430981133</v>
      </c>
      <c r="AM63" s="22" cm="1">
        <f t="array" ref="AM63">SUMPRODUCT($AA$3:AA63,_xlfn.SORTBY($BH$3:BH63,_xlfn.SEQUENCE(ROWS($BH$3:BH63)),-1)/$BH$3)</f>
        <v>194404.1646814491</v>
      </c>
      <c r="AN63" s="22">
        <f t="shared" si="30"/>
        <v>194839.29087563287</v>
      </c>
      <c r="AO63" s="22">
        <f t="shared" si="47"/>
        <v>0</v>
      </c>
      <c r="AP63" s="22">
        <f t="shared" si="31"/>
        <v>389243.45555708196</v>
      </c>
      <c r="AQ63" s="22"/>
      <c r="AR63" s="10">
        <f>IF($B$10="3BR_H",
INDEX('ns-combined'!$C:$C,MATCH($L63,'ns-combined'!$B:$B,0),MATCH(Council_Area,'ns-combined'!$C$1:$C$1,0))*1000,
INDEX('s-combined'!$C:$C,MATCH($L63,'s-combined'!$B:$B,0),MATCH(Council_Area,'s-combined'!$C$1:$C$1,0))*1000)</f>
        <v>535000</v>
      </c>
      <c r="AS63" s="22">
        <f t="shared" si="35"/>
        <v>52078.75</v>
      </c>
      <c r="AT63" s="10">
        <v>0</v>
      </c>
      <c r="AU63" s="22">
        <f t="shared" si="48"/>
        <v>10700</v>
      </c>
      <c r="AV63" s="22">
        <f t="shared" si="49"/>
        <v>1538.125</v>
      </c>
      <c r="AW63" s="22">
        <f>SUM($AV$3:AV63)</f>
        <v>87631.725000000006</v>
      </c>
      <c r="AX63" s="22">
        <f t="shared" si="50"/>
        <v>384589.52500000002</v>
      </c>
      <c r="AY63" s="22">
        <f t="shared" si="51"/>
        <v>2362.5</v>
      </c>
      <c r="AZ63" s="24">
        <f t="shared" si="52"/>
        <v>1.7663551401869159E-2</v>
      </c>
      <c r="BA63" s="24">
        <f t="shared" si="53"/>
        <v>0.35</v>
      </c>
      <c r="BB63" s="25">
        <f>IF(MortgageRate="Discounted",_xlfn.XLOOKUP(L63,'mortgage-rates'!$A:$A,'mortgage-rates'!$E:$E)/100,_xlfn.XLOOKUP(L63,'mortgage-rates'!$A:$A,'mortgage-rates'!$D:$D)/100)</f>
        <v>3.6499999999999998E-2</v>
      </c>
      <c r="BC63" s="10">
        <f t="shared" si="67"/>
        <v>154108.30585856771</v>
      </c>
      <c r="BD63" s="10">
        <f t="shared" si="54"/>
        <v>4615.863872662735</v>
      </c>
      <c r="BE63" s="10">
        <f t="shared" si="55"/>
        <v>1406.2382909594303</v>
      </c>
      <c r="BF63" s="10">
        <f t="shared" si="36"/>
        <v>3209.6255817033048</v>
      </c>
      <c r="BG63" s="12">
        <f t="shared" si="56"/>
        <v>6978.363872662735</v>
      </c>
      <c r="BH63" s="22">
        <f>INDEX(cpi!B:B,MATCH($L63,cpi!A:A))</f>
        <v>117.8</v>
      </c>
      <c r="BI63" s="22">
        <f t="shared" si="57"/>
        <v>139.24349881796692</v>
      </c>
      <c r="BJ63" s="22">
        <f t="shared" si="58"/>
        <v>294.21119204132276</v>
      </c>
      <c r="BK63" s="22">
        <f t="shared" si="59"/>
        <v>259.41837017103796</v>
      </c>
      <c r="BL63" s="22">
        <f t="shared" si="60"/>
        <v>283.77334548023731</v>
      </c>
      <c r="BM63" s="22">
        <f t="shared" si="61"/>
        <v>408.81572023617656</v>
      </c>
      <c r="BN63" s="22">
        <f t="shared" si="62"/>
        <v>156.66178623718886</v>
      </c>
      <c r="BO63">
        <f t="shared" si="63"/>
        <v>115.54979944045003</v>
      </c>
    </row>
    <row r="64" spans="1:67" x14ac:dyDescent="0.25">
      <c r="L64" s="1">
        <f t="shared" si="33"/>
        <v>44348</v>
      </c>
      <c r="M64" s="10">
        <f t="shared" si="38"/>
        <v>419058.96935636073</v>
      </c>
      <c r="N64" s="10">
        <f t="shared" si="39"/>
        <v>260612.71972313561</v>
      </c>
      <c r="O64" s="7">
        <f t="shared" si="24"/>
        <v>1.60797588775234</v>
      </c>
      <c r="P64" s="7">
        <f t="shared" si="40"/>
        <v>0.99964411454867963</v>
      </c>
      <c r="Q64">
        <v>62</v>
      </c>
      <c r="R64">
        <f t="shared" si="41"/>
        <v>91</v>
      </c>
      <c r="S64" s="22"/>
      <c r="T64" s="22">
        <f>IF($B$10="3BR_H",
INDEX('3BR_H-processed'!$E:$E,MATCH($L64,'3BR_H-processed'!$B:$B,0),MATCH(Council_Area,'3BR_H-processed'!$E$1:$E$1,0)),
INDEX('2BR_F-processed'!$E:$E,MATCH($L64,'2BR_F-processed'!$B:$B,0),MATCH(Council_Area,'2BR_F-processed'!$E$1:$E$1,0)))</f>
        <v>525</v>
      </c>
      <c r="U64" s="22">
        <f t="shared" si="25"/>
        <v>525</v>
      </c>
      <c r="V64" s="22">
        <f t="shared" si="34"/>
        <v>6825</v>
      </c>
      <c r="W64" s="22">
        <f>$B$53/4*BH64/_xlfn.XLOOKUP(Q_end,cpi!A:A,cpi!B:B)</f>
        <v>164.201796821009</v>
      </c>
      <c r="X64" s="22">
        <f t="shared" si="42"/>
        <v>6989.2017968210093</v>
      </c>
      <c r="Y64" s="22">
        <f t="shared" si="43"/>
        <v>2.4882407645181956</v>
      </c>
      <c r="Z64" s="22">
        <f t="shared" si="64"/>
        <v>0</v>
      </c>
      <c r="AA64" s="22" cm="1">
        <f t="array" ref="AA64">(Y64+Z64)*eff_invest</f>
        <v>2.4882407645181956</v>
      </c>
      <c r="AB64" s="22">
        <f>AA64*(_xlfn.XLOOKUP(Q_end,cpi!A:A,cpi!B:B)/BH64)</f>
        <v>3.0307107628432903</v>
      </c>
      <c r="AC64" s="22" cm="1">
        <f t="array" ref="AC64">INDEX('msci-indices'!C:C,MATCH($L64,'msci-indices'!$B:$B)-2)</f>
        <v>2342.5854599999998</v>
      </c>
      <c r="AD64" s="22" cm="1">
        <f t="array" ref="AD64">INDEX('msci-indices'!D:D,MATCH($L64,'msci-indices'!$B:$B)-2)</f>
        <v>1930.8659110000001</v>
      </c>
      <c r="AE64" s="22">
        <f t="shared" si="65"/>
        <v>389245.9437978465</v>
      </c>
      <c r="AF64" s="22" cm="1">
        <f t="array" ref="AF64">INDEX('msci-indices'!C:C,MATCH($L64,'msci-indices'!$B:$B)+1)</f>
        <v>2515.6062010000001</v>
      </c>
      <c r="AG64" s="22" cm="1">
        <f t="array" ref="AG64">INDEX('msci-indices'!D:D,MATCH($L64,'msci-indices'!$B:$B)+1)</f>
        <v>2095.0894480000002</v>
      </c>
      <c r="AH64" s="22">
        <f t="shared" si="44"/>
        <v>243.27871487365405</v>
      </c>
      <c r="AI64" s="22">
        <f t="shared" si="45"/>
        <v>419058.96935636073</v>
      </c>
      <c r="AJ64" s="22">
        <f t="shared" si="66"/>
        <v>143107.47853582862</v>
      </c>
      <c r="AK64" s="22">
        <f t="shared" si="46"/>
        <v>275951.49082053208</v>
      </c>
      <c r="AL64" s="22">
        <f>AJ64*(_xlfn.XLOOKUP(Q_end,cpi!A:A,cpi!B:B)/BH64)</f>
        <v>174306.83623008756</v>
      </c>
      <c r="AM64" s="22" cm="1">
        <f t="array" ref="AM64">SUMPRODUCT($AA$3:AA64,_xlfn.SORTBY($BH$3:BH64,_xlfn.SEQUENCE(ROWS($BH$3:BH64)),-1)/$BH$3)</f>
        <v>195772.88417335838</v>
      </c>
      <c r="AN64" s="22">
        <f t="shared" si="30"/>
        <v>223286.08518300235</v>
      </c>
      <c r="AO64" s="22">
        <f t="shared" si="47"/>
        <v>0</v>
      </c>
      <c r="AP64" s="22">
        <f t="shared" si="31"/>
        <v>419058.96935636073</v>
      </c>
      <c r="AQ64" s="22"/>
      <c r="AR64" s="10">
        <f>IF($B$10="3BR_H",
INDEX('ns-combined'!$C:$C,MATCH($L64,'ns-combined'!$B:$B,0),MATCH(Council_Area,'ns-combined'!$C$1:$C$1,0))*1000,
INDEX('s-combined'!$C:$C,MATCH($L64,'s-combined'!$B:$B,0),MATCH(Council_Area,'s-combined'!$C$1:$C$1,0))*1000)</f>
        <v>565000</v>
      </c>
      <c r="AS64" s="22">
        <f t="shared" si="35"/>
        <v>52932.5</v>
      </c>
      <c r="AT64" s="10">
        <v>0</v>
      </c>
      <c r="AU64" s="22">
        <f t="shared" si="48"/>
        <v>11300</v>
      </c>
      <c r="AV64" s="22">
        <f t="shared" si="49"/>
        <v>1624.375</v>
      </c>
      <c r="AW64" s="22">
        <f>SUM($AV$3:AV64)</f>
        <v>89256.1</v>
      </c>
      <c r="AX64" s="22">
        <f t="shared" si="50"/>
        <v>411511.4</v>
      </c>
      <c r="AY64" s="22">
        <f t="shared" si="51"/>
        <v>2388.75</v>
      </c>
      <c r="AZ64" s="24">
        <f t="shared" si="52"/>
        <v>1.6911504424778762E-2</v>
      </c>
      <c r="BA64" s="24">
        <f t="shared" si="53"/>
        <v>0.35</v>
      </c>
      <c r="BB64" s="25">
        <f>IF(MortgageRate="Discounted",_xlfn.XLOOKUP(L64,'mortgage-rates'!$A:$A,'mortgage-rates'!$E:$E)/100,_xlfn.XLOOKUP(L64,'mortgage-rates'!$A:$A,'mortgage-rates'!$D:$D)/100)</f>
        <v>3.5900000000000001E-2</v>
      </c>
      <c r="BC64" s="10">
        <f t="shared" si="67"/>
        <v>150898.68027686441</v>
      </c>
      <c r="BD64" s="10">
        <f t="shared" si="54"/>
        <v>4602.9400375855275</v>
      </c>
      <c r="BE64" s="10">
        <f t="shared" si="55"/>
        <v>1354.3156554848581</v>
      </c>
      <c r="BF64" s="10">
        <f t="shared" si="36"/>
        <v>3248.6243821006692</v>
      </c>
      <c r="BG64" s="12">
        <f t="shared" si="56"/>
        <v>6991.6900375855275</v>
      </c>
      <c r="BH64" s="22">
        <f>INDEX(cpi!B:B,MATCH($L64,cpi!A:A))</f>
        <v>118.8</v>
      </c>
      <c r="BI64" s="22">
        <f t="shared" si="57"/>
        <v>140.42553191489364</v>
      </c>
      <c r="BJ64" s="22">
        <f t="shared" si="58"/>
        <v>310.32570304776715</v>
      </c>
      <c r="BK64" s="22">
        <f t="shared" si="59"/>
        <v>270.82530227131878</v>
      </c>
      <c r="BL64" s="22">
        <f t="shared" si="60"/>
        <v>298.47558281483265</v>
      </c>
      <c r="BM64" s="22">
        <f t="shared" si="61"/>
        <v>429.6299243126353</v>
      </c>
      <c r="BN64" s="22">
        <f t="shared" si="62"/>
        <v>165.44655929721816</v>
      </c>
      <c r="BO64">
        <f t="shared" si="63"/>
        <v>123.63846814979895</v>
      </c>
    </row>
    <row r="65" spans="2:67" x14ac:dyDescent="0.25">
      <c r="L65" s="1">
        <f t="shared" si="33"/>
        <v>44440</v>
      </c>
      <c r="M65" s="10">
        <f t="shared" si="38"/>
        <v>419963.0903193928</v>
      </c>
      <c r="N65" s="10">
        <f t="shared" si="39"/>
        <v>276040.09410523629</v>
      </c>
      <c r="O65" s="7">
        <f t="shared" si="24"/>
        <v>1.5213843904838258</v>
      </c>
      <c r="P65" s="7">
        <f t="shared" si="40"/>
        <v>1.0110196249657746</v>
      </c>
      <c r="Q65">
        <v>63</v>
      </c>
      <c r="R65">
        <f t="shared" si="41"/>
        <v>92</v>
      </c>
      <c r="S65" s="22"/>
      <c r="T65" s="22">
        <f>IF($B$10="3BR_H",
INDEX('3BR_H-processed'!$E:$E,MATCH($L65,'3BR_H-processed'!$B:$B,0),MATCH(Council_Area,'3BR_H-processed'!$E$1:$E$1,0)),
INDEX('2BR_F-processed'!$E:$E,MATCH($L65,'2BR_F-processed'!$B:$B,0),MATCH(Council_Area,'2BR_F-processed'!$E$1:$E$1,0)))</f>
        <v>551.17350157728708</v>
      </c>
      <c r="U65" s="22">
        <f t="shared" si="25"/>
        <v>525</v>
      </c>
      <c r="V65" s="22">
        <f t="shared" si="34"/>
        <v>6900</v>
      </c>
      <c r="W65" s="22">
        <f>$B$53/4*BH65/_xlfn.XLOOKUP(Q_end,cpi!A:A,cpi!B:B)</f>
        <v>165.58396682791985</v>
      </c>
      <c r="X65" s="22">
        <f t="shared" si="42"/>
        <v>7065.5839668279195</v>
      </c>
      <c r="Y65" s="22">
        <f t="shared" si="43"/>
        <v>-77.011448201382336</v>
      </c>
      <c r="Z65" s="22">
        <f t="shared" si="64"/>
        <v>0</v>
      </c>
      <c r="AA65" s="22" cm="1">
        <f t="array" ref="AA65">(Y65+Z65)*eff_invest</f>
        <v>-77.011448201382336</v>
      </c>
      <c r="AB65" s="22">
        <f>AA65*(_xlfn.XLOOKUP(Q_end,cpi!A:A,cpi!B:B)/BH65)</f>
        <v>-93.018001291652936</v>
      </c>
      <c r="AC65" s="22" cm="1">
        <f t="array" ref="AC65">INDEX('msci-indices'!C:C,MATCH($L65,'msci-indices'!$B:$B)-2)</f>
        <v>2515.6062010000001</v>
      </c>
      <c r="AD65" s="22" cm="1">
        <f t="array" ref="AD65">INDEX('msci-indices'!D:D,MATCH($L65,'msci-indices'!$B:$B)-2)</f>
        <v>2095.0894480000002</v>
      </c>
      <c r="AE65" s="22">
        <f t="shared" si="65"/>
        <v>418981.95790815935</v>
      </c>
      <c r="AF65" s="22" cm="1">
        <f t="array" ref="AF65">INDEX('msci-indices'!C:C,MATCH($L65,'msci-indices'!$B:$B)+1)</f>
        <v>2510.8156309999999</v>
      </c>
      <c r="AG65" s="22" cm="1">
        <f t="array" ref="AG65">INDEX('msci-indices'!D:D,MATCH($L65,'msci-indices'!$B:$B)+1)</f>
        <v>2125.1172740000002</v>
      </c>
      <c r="AH65" s="22">
        <f t="shared" si="44"/>
        <v>261.86372369259959</v>
      </c>
      <c r="AI65" s="22">
        <f t="shared" si="45"/>
        <v>419963.0903193928</v>
      </c>
      <c r="AJ65" s="22">
        <f t="shared" si="66"/>
        <v>143030.46708762724</v>
      </c>
      <c r="AK65" s="22">
        <f t="shared" si="46"/>
        <v>276932.62323176558</v>
      </c>
      <c r="AL65" s="22">
        <f>AJ65*(_xlfn.XLOOKUP(Q_end,cpi!A:A,cpi!B:B)/BH65)</f>
        <v>172758.83629031436</v>
      </c>
      <c r="AM65" s="22" cm="1">
        <f t="array" ref="AM65">SUMPRODUCT($AA$3:AA65,_xlfn.SORTBY($BH$3:BH65,_xlfn.SEQUENCE(ROWS($BH$3:BH65)),-1)/$BH$3)</f>
        <v>197077.19546903987</v>
      </c>
      <c r="AN65" s="22">
        <f t="shared" si="30"/>
        <v>222885.89485035292</v>
      </c>
      <c r="AO65" s="22">
        <f t="shared" si="47"/>
        <v>0</v>
      </c>
      <c r="AP65" s="22">
        <f t="shared" si="31"/>
        <v>419963.0903193928</v>
      </c>
      <c r="AQ65" s="22"/>
      <c r="AR65" s="10">
        <f>IF($B$10="3BR_H",
INDEX('ns-combined'!$C:$C,MATCH($L65,'ns-combined'!$B:$B,0),MATCH(Council_Area,'ns-combined'!$C$1:$C$1,0))*1000,
INDEX('s-combined'!$C:$C,MATCH($L65,'s-combined'!$B:$B,0),MATCH(Council_Area,'s-combined'!$C$1:$C$1,0))*1000)</f>
        <v>580000</v>
      </c>
      <c r="AS65" s="22">
        <f t="shared" si="35"/>
        <v>53786.25</v>
      </c>
      <c r="AT65" s="10">
        <v>0</v>
      </c>
      <c r="AU65" s="22">
        <f t="shared" si="48"/>
        <v>11600</v>
      </c>
      <c r="AV65" s="22">
        <f t="shared" si="49"/>
        <v>1667.5</v>
      </c>
      <c r="AW65" s="22">
        <f>SUM($AV$3:AV65)</f>
        <v>90923.6</v>
      </c>
      <c r="AX65" s="22">
        <f t="shared" si="50"/>
        <v>423690.15</v>
      </c>
      <c r="AY65" s="22">
        <f t="shared" si="51"/>
        <v>2415.0000000000005</v>
      </c>
      <c r="AZ65" s="24">
        <f t="shared" si="52"/>
        <v>1.6655172413793107E-2</v>
      </c>
      <c r="BA65" s="24">
        <f t="shared" si="53"/>
        <v>0.35000000000000009</v>
      </c>
      <c r="BB65" s="25">
        <f>IF(MortgageRate="Discounted",_xlfn.XLOOKUP(L65,'mortgage-rates'!$A:$A,'mortgage-rates'!$E:$E)/100,_xlfn.XLOOKUP(L65,'mortgage-rates'!$A:$A,'mortgage-rates'!$D:$D)/100)</f>
        <v>3.4500000000000003E-2</v>
      </c>
      <c r="BC65" s="10">
        <f t="shared" si="67"/>
        <v>147650.05589476373</v>
      </c>
      <c r="BD65" s="10">
        <f t="shared" si="54"/>
        <v>4573.5725186265372</v>
      </c>
      <c r="BE65" s="10">
        <f t="shared" si="55"/>
        <v>1273.4817320923373</v>
      </c>
      <c r="BF65" s="10">
        <f t="shared" si="36"/>
        <v>3300.0907865341997</v>
      </c>
      <c r="BG65" s="12">
        <f t="shared" si="56"/>
        <v>6988.5725186265372</v>
      </c>
      <c r="BH65" s="22">
        <f>INDEX(cpi!B:B,MATCH($L65,cpi!A:A))</f>
        <v>119.8</v>
      </c>
      <c r="BI65" s="22">
        <f t="shared" si="57"/>
        <v>141.60756501182033</v>
      </c>
      <c r="BJ65" s="22">
        <f t="shared" si="58"/>
        <v>333.24601225717834</v>
      </c>
      <c r="BK65" s="22">
        <f t="shared" si="59"/>
        <v>293.85946989254734</v>
      </c>
      <c r="BL65" s="22">
        <f t="shared" si="60"/>
        <v>321.43004954778905</v>
      </c>
      <c r="BM65" s="22">
        <f t="shared" si="61"/>
        <v>462.45102802645602</v>
      </c>
      <c r="BN65" s="22">
        <f t="shared" si="62"/>
        <v>169.83894582723281</v>
      </c>
      <c r="BO65">
        <f t="shared" si="63"/>
        <v>127.29756968132241</v>
      </c>
    </row>
    <row r="66" spans="2:67" x14ac:dyDescent="0.25">
      <c r="L66" s="1">
        <f t="shared" si="33"/>
        <v>44531</v>
      </c>
      <c r="M66" s="10">
        <f t="shared" si="38"/>
        <v>443225.49334027094</v>
      </c>
      <c r="N66" s="10">
        <f t="shared" si="39"/>
        <v>296361.43489177048</v>
      </c>
      <c r="O66" s="7">
        <f t="shared" si="24"/>
        <v>1.4955572525896779</v>
      </c>
      <c r="P66" s="7">
        <f t="shared" si="40"/>
        <v>1.0113360661281379</v>
      </c>
      <c r="Q66">
        <v>64</v>
      </c>
      <c r="R66">
        <f t="shared" si="41"/>
        <v>92</v>
      </c>
      <c r="S66" s="22"/>
      <c r="T66" s="22">
        <f>IF($B$10="3BR_H",
INDEX('3BR_H-processed'!$E:$E,MATCH($L66,'3BR_H-processed'!$B:$B,0),MATCH(Council_Area,'3BR_H-processed'!$E$1:$E$1,0)),
INDEX('2BR_F-processed'!$E:$E,MATCH($L66,'2BR_F-processed'!$B:$B,0),MATCH(Council_Area,'2BR_F-processed'!$E$1:$E$1,0)))</f>
        <v>568.12302839116728</v>
      </c>
      <c r="U66" s="22">
        <f t="shared" si="25"/>
        <v>525</v>
      </c>
      <c r="V66" s="22">
        <f t="shared" si="34"/>
        <v>6900</v>
      </c>
      <c r="W66" s="22">
        <f>$B$53/4*BH66/_xlfn.XLOOKUP(Q_end,cpi!A:A,cpi!B:B)</f>
        <v>167.79543883897722</v>
      </c>
      <c r="X66" s="22">
        <f t="shared" si="42"/>
        <v>7067.7954388389771</v>
      </c>
      <c r="Y66" s="22">
        <f t="shared" si="43"/>
        <v>-79.222920212438112</v>
      </c>
      <c r="Z66" s="22">
        <f t="shared" si="64"/>
        <v>0</v>
      </c>
      <c r="AA66" s="22" cm="1">
        <f t="array" ref="AA66">(Y66+Z66)*eff_invest</f>
        <v>-79.222920212438112</v>
      </c>
      <c r="AB66" s="22">
        <f>AA66*(_xlfn.XLOOKUP(Q_end,cpi!A:A,cpi!B:B)/BH66)</f>
        <v>-94.427978210377219</v>
      </c>
      <c r="AC66" s="22" cm="1">
        <f t="array" ref="AC66">INDEX('msci-indices'!C:C,MATCH($L66,'msci-indices'!$B:$B)-2)</f>
        <v>2510.8156309999999</v>
      </c>
      <c r="AD66" s="22" cm="1">
        <f t="array" ref="AD66">INDEX('msci-indices'!D:D,MATCH($L66,'msci-indices'!$B:$B)-2)</f>
        <v>2125.1172740000002</v>
      </c>
      <c r="AE66" s="22">
        <f t="shared" si="65"/>
        <v>419883.86739918037</v>
      </c>
      <c r="AF66" s="22" cm="1">
        <f t="array" ref="AF66">INDEX('msci-indices'!C:C,MATCH($L66,'msci-indices'!$B:$B)+1)</f>
        <v>2688.1915319999998</v>
      </c>
      <c r="AG66" s="22" cm="1">
        <f t="array" ref="AG66">INDEX('msci-indices'!D:D,MATCH($L66,'msci-indices'!$B:$B)+1)</f>
        <v>2173.034118</v>
      </c>
      <c r="AH66" s="22">
        <f t="shared" si="44"/>
        <v>262.42741712448776</v>
      </c>
      <c r="AI66" s="22">
        <f t="shared" si="45"/>
        <v>443225.49334027094</v>
      </c>
      <c r="AJ66" s="22">
        <f t="shared" si="66"/>
        <v>142951.24416741481</v>
      </c>
      <c r="AK66" s="22">
        <f t="shared" si="46"/>
        <v>300274.2491728561</v>
      </c>
      <c r="AL66" s="22">
        <f>AJ66*(_xlfn.XLOOKUP(Q_end,cpi!A:A,cpi!B:B)/BH66)</f>
        <v>170387.52084864021</v>
      </c>
      <c r="AM66" s="22" cm="1">
        <f t="array" ref="AM66">SUMPRODUCT($AA$3:AA66,_xlfn.SORTBY($BH$3:BH66,_xlfn.SEQUENCE(ROWS($BH$3:BH66)),-1)/$BH$3)</f>
        <v>199039.11200535097</v>
      </c>
      <c r="AN66" s="22">
        <f t="shared" si="30"/>
        <v>244186.38133491998</v>
      </c>
      <c r="AO66" s="22">
        <f t="shared" si="47"/>
        <v>0</v>
      </c>
      <c r="AP66" s="22">
        <f t="shared" si="31"/>
        <v>443225.49334027094</v>
      </c>
      <c r="AQ66" s="22"/>
      <c r="AR66" s="10">
        <f>IF($B$10="3BR_H",
INDEX('ns-combined'!$C:$C,MATCH($L66,'ns-combined'!$B:$B,0),MATCH(Council_Area,'ns-combined'!$C$1:$C$1,0))*1000,
INDEX('s-combined'!$C:$C,MATCH($L66,'s-combined'!$B:$B,0),MATCH(Council_Area,'s-combined'!$C$1:$C$1,0))*1000)</f>
        <v>600000</v>
      </c>
      <c r="AS66" s="22">
        <f t="shared" si="35"/>
        <v>54640</v>
      </c>
      <c r="AT66" s="10">
        <v>0</v>
      </c>
      <c r="AU66" s="22">
        <f t="shared" si="48"/>
        <v>12000</v>
      </c>
      <c r="AV66" s="22">
        <f t="shared" si="49"/>
        <v>1725</v>
      </c>
      <c r="AW66" s="22">
        <f>SUM($AV$3:AV66)</f>
        <v>92648.6</v>
      </c>
      <c r="AX66" s="22">
        <f t="shared" si="50"/>
        <v>440711.4</v>
      </c>
      <c r="AY66" s="22">
        <f t="shared" si="51"/>
        <v>2415.0000000000005</v>
      </c>
      <c r="AZ66" s="24">
        <f t="shared" si="52"/>
        <v>1.6100000000000003E-2</v>
      </c>
      <c r="BA66" s="24">
        <f t="shared" si="53"/>
        <v>0.35000000000000009</v>
      </c>
      <c r="BB66" s="25">
        <f>IF(MortgageRate="Discounted",_xlfn.XLOOKUP(L66,'mortgage-rates'!$A:$A,'mortgage-rates'!$E:$E)/100,_xlfn.XLOOKUP(L66,'mortgage-rates'!$A:$A,'mortgage-rates'!$D:$D)/100)</f>
        <v>3.4500000000000003E-2</v>
      </c>
      <c r="BC66" s="10">
        <f t="shared" si="67"/>
        <v>144349.96510822955</v>
      </c>
      <c r="BD66" s="10">
        <f t="shared" si="54"/>
        <v>4573.572518626539</v>
      </c>
      <c r="BE66" s="10">
        <f t="shared" si="55"/>
        <v>1245.01844905848</v>
      </c>
      <c r="BF66" s="10">
        <f t="shared" si="36"/>
        <v>3328.5540695680593</v>
      </c>
      <c r="BG66" s="12">
        <f t="shared" si="56"/>
        <v>6988.572518626539</v>
      </c>
      <c r="BH66" s="22">
        <f>INDEX(cpi!B:B,MATCH($L66,cpi!A:A))</f>
        <v>121.4</v>
      </c>
      <c r="BI66" s="22">
        <f t="shared" si="57"/>
        <v>143.49881796690309</v>
      </c>
      <c r="BJ66" s="22">
        <f t="shared" si="58"/>
        <v>332.61139848165806</v>
      </c>
      <c r="BK66" s="22">
        <f t="shared" si="59"/>
        <v>298.0712046415382</v>
      </c>
      <c r="BL66" s="22">
        <f t="shared" si="60"/>
        <v>322.2493403296221</v>
      </c>
      <c r="BM66" s="22">
        <f t="shared" si="61"/>
        <v>463.44650996413151</v>
      </c>
      <c r="BN66" s="22">
        <f t="shared" si="62"/>
        <v>175.69546120058564</v>
      </c>
      <c r="BO66">
        <f t="shared" si="63"/>
        <v>132.41159878475617</v>
      </c>
    </row>
    <row r="67" spans="2:67" x14ac:dyDescent="0.25">
      <c r="L67" s="1">
        <f t="shared" si="33"/>
        <v>44621</v>
      </c>
      <c r="M67" s="10">
        <f t="shared" ref="M67:M80" si="68">AP67</f>
        <v>429378.43299620092</v>
      </c>
      <c r="N67" s="10">
        <f t="shared" ref="N67:N82" si="69">AX67-BC67</f>
        <v>297111.23896133853</v>
      </c>
      <c r="O67" s="7">
        <f t="shared" si="24"/>
        <v>1.4451773500634004</v>
      </c>
      <c r="P67" s="7">
        <f t="shared" ref="P67:P82" si="70">X67/BG67</f>
        <v>1.0683096484730563</v>
      </c>
      <c r="Q67">
        <v>65</v>
      </c>
      <c r="R67">
        <f t="shared" ref="R67:R82" si="71">EOMONTH(L67,0)-EOMONTH(L67,-3)</f>
        <v>90</v>
      </c>
      <c r="S67" s="22"/>
      <c r="T67" s="22">
        <f>IF($B$10="3BR_H",
INDEX('3BR_H-processed'!$E:$E,MATCH($L67,'3BR_H-processed'!$B:$B,0),MATCH(Council_Area,'3BR_H-processed'!$E$1:$E$1,0)),
INDEX('2BR_F-processed'!$E:$E,MATCH($L67,'2BR_F-processed'!$B:$B,0),MATCH(Council_Area,'2BR_F-processed'!$E$1:$E$1,0)))</f>
        <v>585.70031545741324</v>
      </c>
      <c r="U67" s="22">
        <f t="shared" si="25"/>
        <v>585.70031545741324</v>
      </c>
      <c r="V67" s="22">
        <f t="shared" si="34"/>
        <v>7530.4326273095994</v>
      </c>
      <c r="W67" s="22">
        <f>$B$53/4*BH67/_xlfn.XLOOKUP(Q_end,cpi!A:A,cpi!B:B)</f>
        <v>171.25086385625434</v>
      </c>
      <c r="X67" s="22">
        <f t="shared" ref="X67:X81" si="72">V67+W67</f>
        <v>7701.6834911658534</v>
      </c>
      <c r="Y67" s="22">
        <f t="shared" ref="Y67:Y81" si="73">BG67-X67</f>
        <v>-492.45955298095396</v>
      </c>
      <c r="Z67" s="22">
        <f t="shared" si="64"/>
        <v>0</v>
      </c>
      <c r="AA67" s="22" cm="1">
        <f t="array" ref="AA67">(Y67+Z67)*eff_invest</f>
        <v>-492.45955298095396</v>
      </c>
      <c r="AB67" s="22">
        <f>AA67*(_xlfn.XLOOKUP(Q_end,cpi!A:A,cpi!B:B)/BH67)</f>
        <v>-575.13234315047634</v>
      </c>
      <c r="AC67" s="22" cm="1">
        <f t="array" ref="AC67">INDEX('msci-indices'!C:C,MATCH($L67,'msci-indices'!$B:$B)-2)</f>
        <v>2688.1915319999998</v>
      </c>
      <c r="AD67" s="22" cm="1">
        <f t="array" ref="AD67">INDEX('msci-indices'!D:D,MATCH($L67,'msci-indices'!$B:$B)-2)</f>
        <v>2173.034118</v>
      </c>
      <c r="AE67" s="22">
        <f t="shared" si="65"/>
        <v>442733.03378728998</v>
      </c>
      <c r="AF67" s="22" cm="1">
        <f t="array" ref="AF67">INDEX('msci-indices'!C:C,MATCH($L67,'msci-indices'!$B:$B)+1)</f>
        <v>2545.291346</v>
      </c>
      <c r="AG67" s="22" cm="1">
        <f t="array" ref="AG67">INDEX('msci-indices'!D:D,MATCH($L67,'msci-indices'!$B:$B)+1)</f>
        <v>2228.6053740000002</v>
      </c>
      <c r="AH67" s="22">
        <f t="shared" ref="AH67:AH82" si="74">(InvestFees/4)*AE67</f>
        <v>276.70814611705623</v>
      </c>
      <c r="AI67" s="22">
        <f t="shared" ref="AI67:AI82" si="75">((AF67/AC67)*GlobalPortfolio+(AG67/AD67)*AusPortfolio)*AE67-AH67</f>
        <v>429378.43299620092</v>
      </c>
      <c r="AJ67" s="22">
        <f t="shared" si="66"/>
        <v>142458.78461443385</v>
      </c>
      <c r="AK67" s="22">
        <f t="shared" ref="AK67:AK82" si="76">AI67-AJ67</f>
        <v>286919.6483817671</v>
      </c>
      <c r="AL67" s="22">
        <f>AJ67*(_xlfn.XLOOKUP(Q_end,cpi!A:A,cpi!B:B)/BH67)</f>
        <v>166374.38364575119</v>
      </c>
      <c r="AM67" s="22" cm="1">
        <f t="array" ref="AM67">SUMPRODUCT($AA$3:AA67,_xlfn.SORTBY($BH$3:BH67,_xlfn.SEQUENCE(ROWS($BH$3:BH67)),-1)/$BH$3)</f>
        <v>201585.76555084065</v>
      </c>
      <c r="AN67" s="22">
        <f t="shared" si="30"/>
        <v>227792.66744536028</v>
      </c>
      <c r="AO67" s="22">
        <f t="shared" ref="AO67:AO82" si="77">IF($B$49="Real gains",MAX($B$50*AN67,0),IF($B$49="Discounted nominal gains",MAX($B$50*AK67/2,0),0))</f>
        <v>0</v>
      </c>
      <c r="AP67" s="22">
        <f t="shared" si="31"/>
        <v>429378.43299620092</v>
      </c>
      <c r="AQ67" s="22"/>
      <c r="AR67" s="10">
        <f>IF($B$10="3BR_H",
INDEX('ns-combined'!$C:$C,MATCH($L67,'ns-combined'!$B:$B,0),MATCH(Council_Area,'ns-combined'!$C$1:$C$1,0))*1000,
INDEX('s-combined'!$C:$C,MATCH($L67,'s-combined'!$B:$B,0),MATCH(Council_Area,'s-combined'!$C$1:$C$1,0))*1000)</f>
        <v>600000</v>
      </c>
      <c r="AS67" s="22">
        <f t="shared" si="35"/>
        <v>55493.75</v>
      </c>
      <c r="AT67" s="10">
        <v>0</v>
      </c>
      <c r="AU67" s="22">
        <f t="shared" ref="AU67:AU82" si="78">SUM($B$28:$B$29)*AR67</f>
        <v>12000</v>
      </c>
      <c r="AV67" s="22">
        <f t="shared" ref="AV67:AV82" si="79">AR67*$B$15/4</f>
        <v>1725</v>
      </c>
      <c r="AW67" s="22">
        <f>SUM($AV$3:AV67)</f>
        <v>94373.6</v>
      </c>
      <c r="AX67" s="22">
        <f t="shared" ref="AX67:AX82" si="80">AR67-AS67-AU67-AW67</f>
        <v>438132.65</v>
      </c>
      <c r="AY67" s="22">
        <f t="shared" ref="AY67:AY82" si="81">$B$36*V67</f>
        <v>2635.65141955836</v>
      </c>
      <c r="AZ67" s="24">
        <f t="shared" ref="AZ67:AZ82" si="82">SUM(AY67:AY67)*4/AR67</f>
        <v>1.7571009463722399E-2</v>
      </c>
      <c r="BA67" s="24">
        <f t="shared" ref="BA67:BA82" si="83">SUM(AY67:AY67)/V67</f>
        <v>0.35000000000000003</v>
      </c>
      <c r="BB67" s="25">
        <f>IF(MortgageRate="Discounted",_xlfn.XLOOKUP(L67,'mortgage-rates'!$A:$A,'mortgage-rates'!$E:$E)/100,_xlfn.XLOOKUP(L67,'mortgage-rates'!$A:$A,'mortgage-rates'!$D:$D)/100)</f>
        <v>3.4500000000000003E-2</v>
      </c>
      <c r="BC67" s="10">
        <f t="shared" si="67"/>
        <v>141021.41103866149</v>
      </c>
      <c r="BD67" s="10">
        <f t="shared" ref="BD67:BD82" si="84">IF($B$16*12/3-Q67+1&gt;0,-PMT($BB67/4,$B$16*12/3-Q67+1,BC67),0)</f>
        <v>4573.572518626539</v>
      </c>
      <c r="BE67" s="10">
        <f t="shared" si="55"/>
        <v>1216.3096702084554</v>
      </c>
      <c r="BF67" s="10">
        <f t="shared" si="36"/>
        <v>3357.2628484180836</v>
      </c>
      <c r="BG67" s="12">
        <f t="shared" ref="BG67:BG82" si="85">AT67+AY67+BD67</f>
        <v>7209.2239381848995</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488.66626056743803</v>
      </c>
      <c r="BN67" s="22">
        <f t="shared" ref="BN67:BN82" si="91">100*AR67/AR$3</f>
        <v>175.69546120058564</v>
      </c>
      <c r="BO67">
        <f t="shared" ref="BO67:BO82" si="92">100*AX67/AX$3</f>
        <v>131.63681417431451</v>
      </c>
    </row>
    <row r="68" spans="2:67" x14ac:dyDescent="0.25">
      <c r="L68" s="1">
        <f t="shared" si="33"/>
        <v>44713</v>
      </c>
      <c r="M68" s="10">
        <f t="shared" si="68"/>
        <v>364194.9808142797</v>
      </c>
      <c r="N68" s="10">
        <f t="shared" si="69"/>
        <v>283232.87680975662</v>
      </c>
      <c r="O68" s="7">
        <f t="shared" ref="O68:O82" si="93">M68/N68</f>
        <v>1.2858499511654649</v>
      </c>
      <c r="P68" s="7">
        <f t="shared" si="70"/>
        <v>1.0545540737968397</v>
      </c>
      <c r="Q68">
        <v>66</v>
      </c>
      <c r="R68">
        <f t="shared" si="71"/>
        <v>91</v>
      </c>
      <c r="S68" s="22"/>
      <c r="T68" s="22">
        <f>IF($B$10="3BR_H",
INDEX('3BR_H-processed'!$E:$E,MATCH($L68,'3BR_H-processed'!$B:$B,0),MATCH(Council_Area,'3BR_H-processed'!$E$1:$E$1,0)),
INDEX('2BR_F-processed'!$E:$E,MATCH($L68,'2BR_F-processed'!$B:$B,0),MATCH(Council_Area,'2BR_F-processed'!$E$1:$E$1,0)))</f>
        <v>597</v>
      </c>
      <c r="U68" s="22">
        <f t="shared" ref="U68:U82" si="94">IF(MOD(Q68,4)=1,T68,U67)</f>
        <v>585.70031545741324</v>
      </c>
      <c r="V68" s="22">
        <f t="shared" ref="V68:V82" si="95">U68*(R68)/7</f>
        <v>7614.1041009463725</v>
      </c>
      <c r="W68" s="22">
        <f>$B$53/4*BH68/_xlfn.XLOOKUP(Q_end,cpi!A:A,cpi!B:B)</f>
        <v>174.29163787145819</v>
      </c>
      <c r="X68" s="22">
        <f t="shared" si="72"/>
        <v>7788.3957388178305</v>
      </c>
      <c r="Y68" s="22">
        <f t="shared" si="73"/>
        <v>-402.90842020521723</v>
      </c>
      <c r="Z68" s="22">
        <f t="shared" ref="Z68:Z82" si="96">Y68*$B$47</f>
        <v>0</v>
      </c>
      <c r="AA68" s="22" cm="1">
        <f t="array" ref="AA68">(Y68+Z68)*eff_invest</f>
        <v>-402.90842020521723</v>
      </c>
      <c r="AB68" s="22">
        <f>AA68*(_xlfn.XLOOKUP(Q_end,cpi!A:A,cpi!B:B)/BH68)</f>
        <v>-462.33821097299705</v>
      </c>
      <c r="AC68" s="22" cm="1">
        <f t="array" ref="AC68">INDEX('msci-indices'!C:C,MATCH($L68,'msci-indices'!$B:$B)-2)</f>
        <v>2545.291346</v>
      </c>
      <c r="AD68" s="22" cm="1">
        <f t="array" ref="AD68">INDEX('msci-indices'!D:D,MATCH($L68,'msci-indices'!$B:$B)-2)</f>
        <v>2228.6053740000002</v>
      </c>
      <c r="AE68" s="22">
        <f t="shared" ref="AE68:AE82" si="97">AI67+AA68</f>
        <v>428975.52457599569</v>
      </c>
      <c r="AF68" s="22" cm="1">
        <f t="array" ref="AF68">INDEX('msci-indices'!C:C,MATCH($L68,'msci-indices'!$B:$B)+1)</f>
        <v>2130.2472859999998</v>
      </c>
      <c r="AG68" s="22" cm="1">
        <f t="array" ref="AG68">INDEX('msci-indices'!D:D,MATCH($L68,'msci-indices'!$B:$B)+1)</f>
        <v>1959.3691980000001</v>
      </c>
      <c r="AH68" s="22">
        <f t="shared" si="74"/>
        <v>268.1097028599973</v>
      </c>
      <c r="AI68" s="22">
        <f t="shared" si="75"/>
        <v>364194.9808142797</v>
      </c>
      <c r="AJ68" s="22">
        <f t="shared" ref="AJ68:AJ82" si="98">AJ67+AA68</f>
        <v>142055.87619422865</v>
      </c>
      <c r="AK68" s="22">
        <f t="shared" si="76"/>
        <v>222139.10462005105</v>
      </c>
      <c r="AL68" s="22">
        <f>AJ68*(_xlfn.XLOOKUP(Q_end,cpi!A:A,cpi!B:B)/BH68)</f>
        <v>163009.39956625603</v>
      </c>
      <c r="AM68" s="22" cm="1">
        <f t="array" ref="AM68">SUMPRODUCT($AA$3:AA68,_xlfn.SORTBY($BH$3:BH68,_xlfn.SEQUENCE(ROWS($BH$3:BH68)),-1)/$BH$3)</f>
        <v>203948.33014870691</v>
      </c>
      <c r="AN68" s="22">
        <f t="shared" ref="AN68:AN81" si="99">AI68-AM68</f>
        <v>160246.65066557279</v>
      </c>
      <c r="AO68" s="22">
        <f t="shared" si="77"/>
        <v>0</v>
      </c>
      <c r="AP68" s="22">
        <f t="shared" ref="AP68:AP81" si="100">AI68-AO68</f>
        <v>364194.9808142797</v>
      </c>
      <c r="AQ68" s="22"/>
      <c r="AR68" s="10">
        <f>IF($B$10="3BR_H",
INDEX('ns-combined'!$C:$C,MATCH($L68,'ns-combined'!$B:$B,0),MATCH(Council_Area,'ns-combined'!$C$1:$C$1,0))*1000,
INDEX('s-combined'!$C:$C,MATCH($L68,'s-combined'!$B:$B,0),MATCH(Council_Area,'s-combined'!$C$1:$C$1,0))*1000)</f>
        <v>585000</v>
      </c>
      <c r="AS68" s="22">
        <f t="shared" si="35"/>
        <v>56347.5</v>
      </c>
      <c r="AT68" s="10">
        <v>0</v>
      </c>
      <c r="AU68" s="22">
        <f t="shared" si="78"/>
        <v>11700</v>
      </c>
      <c r="AV68" s="22">
        <f t="shared" si="79"/>
        <v>1681.875</v>
      </c>
      <c r="AW68" s="22">
        <f>SUM($AV$3:AV68)</f>
        <v>96055.475000000006</v>
      </c>
      <c r="AX68" s="22">
        <f t="shared" si="80"/>
        <v>420897.02500000002</v>
      </c>
      <c r="AY68" s="22">
        <f t="shared" si="81"/>
        <v>2664.9364353312308</v>
      </c>
      <c r="AZ68" s="24">
        <f t="shared" si="82"/>
        <v>1.8221787592008414E-2</v>
      </c>
      <c r="BA68" s="24">
        <f t="shared" si="83"/>
        <v>0.35000000000000003</v>
      </c>
      <c r="BB68" s="25">
        <f>IF(MortgageRate="Discounted",_xlfn.XLOOKUP(L68,'mortgage-rates'!$A:$A,'mortgage-rates'!$E:$E)/100,_xlfn.XLOOKUP(L68,'mortgage-rates'!$A:$A,'mortgage-rates'!$D:$D)/100)</f>
        <v>4.2000000000000003E-2</v>
      </c>
      <c r="BC68" s="10">
        <f t="shared" ref="BC68:BC82" si="101">BC67-BF67</f>
        <v>137664.1481902434</v>
      </c>
      <c r="BD68" s="10">
        <f t="shared" si="84"/>
        <v>4720.5508832813821</v>
      </c>
      <c r="BE68" s="10">
        <f t="shared" ref="BE68:BE82" si="102">BC68*($BB68/4)</f>
        <v>1445.4735559975559</v>
      </c>
      <c r="BF68" s="10">
        <f t="shared" si="36"/>
        <v>3275.077327283826</v>
      </c>
      <c r="BG68" s="12">
        <f t="shared" si="85"/>
        <v>7385.4873186126133</v>
      </c>
      <c r="BH68" s="22">
        <f>INDEX(cpi!B:B,MATCH($L68,cpi!A:A))</f>
        <v>126.1</v>
      </c>
      <c r="BI68" s="22">
        <f t="shared" si="86"/>
        <v>149.05437352245863</v>
      </c>
      <c r="BJ68" s="22">
        <f t="shared" si="87"/>
        <v>337.17844659073722</v>
      </c>
      <c r="BK68" s="22">
        <f t="shared" si="88"/>
        <v>312.58655539910018</v>
      </c>
      <c r="BL68" s="22">
        <f t="shared" si="89"/>
        <v>329.80087923324612</v>
      </c>
      <c r="BM68" s="22">
        <f t="shared" si="90"/>
        <v>473.48141988930769</v>
      </c>
      <c r="BN68" s="22">
        <f t="shared" si="91"/>
        <v>171.30307467057102</v>
      </c>
      <c r="BO68">
        <f t="shared" si="92"/>
        <v>126.45837617088526</v>
      </c>
    </row>
    <row r="69" spans="2:67" x14ac:dyDescent="0.25">
      <c r="L69" s="1">
        <f t="shared" ref="L69:L81" si="103">DATE(YEAR(L68),MONTH(L68)+3,1)</f>
        <v>44805</v>
      </c>
      <c r="M69" s="10">
        <f t="shared" si="68"/>
        <v>348800.62533648906</v>
      </c>
      <c r="N69" s="10">
        <f t="shared" si="69"/>
        <v>259544.20413704045</v>
      </c>
      <c r="O69" s="7">
        <f t="shared" si="93"/>
        <v>1.3438967997617888</v>
      </c>
      <c r="P69" s="7">
        <f t="shared" si="70"/>
        <v>1.0215732959580264</v>
      </c>
      <c r="Q69">
        <v>67</v>
      </c>
      <c r="R69">
        <f t="shared" si="71"/>
        <v>92</v>
      </c>
      <c r="S69" s="22"/>
      <c r="T69" s="22">
        <f>IF($B$10="3BR_H",
INDEX('3BR_H-processed'!$E:$E,MATCH($L69,'3BR_H-processed'!$B:$B,0),MATCH(Council_Area,'3BR_H-processed'!$E$1:$E$1,0)),
INDEX('2BR_F-processed'!$E:$E,MATCH($L69,'2BR_F-processed'!$B:$B,0),MATCH(Council_Area,'2BR_F-processed'!$E$1:$E$1,0)))</f>
        <v>592.00819672131149</v>
      </c>
      <c r="U69" s="22">
        <f t="shared" si="94"/>
        <v>585.70031545741324</v>
      </c>
      <c r="V69" s="22">
        <f t="shared" si="95"/>
        <v>7697.7755745831455</v>
      </c>
      <c r="W69" s="22">
        <f>$B$53/4*BH69/_xlfn.XLOOKUP(Q_end,cpi!A:A,cpi!B:B)</f>
        <v>177.47062888735317</v>
      </c>
      <c r="X69" s="22">
        <f t="shared" si="72"/>
        <v>7875.2462034704986</v>
      </c>
      <c r="Y69" s="22">
        <f t="shared" si="73"/>
        <v>-166.30722216604772</v>
      </c>
      <c r="Z69" s="22">
        <f t="shared" si="96"/>
        <v>0</v>
      </c>
      <c r="AA69" s="22" cm="1">
        <f t="array" ref="AA69">(Y69+Z69)*eff_invest</f>
        <v>-166.30722216604772</v>
      </c>
      <c r="AB69" s="22">
        <f>AA69*(_xlfn.XLOOKUP(Q_end,cpi!A:A,cpi!B:B)/BH69)</f>
        <v>-187.41943183354442</v>
      </c>
      <c r="AC69" s="22" cm="1">
        <f t="array" ref="AC69">INDEX('msci-indices'!C:C,MATCH($L69,'msci-indices'!$B:$B)-2)</f>
        <v>2130.2472859999998</v>
      </c>
      <c r="AD69" s="22" cm="1">
        <f t="array" ref="AD69">INDEX('msci-indices'!D:D,MATCH($L69,'msci-indices'!$B:$B)-2)</f>
        <v>1959.3691980000001</v>
      </c>
      <c r="AE69" s="22">
        <f t="shared" si="97"/>
        <v>364028.67359211366</v>
      </c>
      <c r="AF69" s="22" cm="1">
        <f t="array" ref="AF69">INDEX('msci-indices'!C:C,MATCH($L69,'msci-indices'!$B:$B)+1)</f>
        <v>2000.7468469999999</v>
      </c>
      <c r="AG69" s="22" cm="1">
        <f t="array" ref="AG69">INDEX('msci-indices'!D:D,MATCH($L69,'msci-indices'!$B:$B)+1)</f>
        <v>1968.166029</v>
      </c>
      <c r="AH69" s="22">
        <f t="shared" si="74"/>
        <v>227.51792099507105</v>
      </c>
      <c r="AI69" s="22">
        <f t="shared" si="75"/>
        <v>348800.62533648906</v>
      </c>
      <c r="AJ69" s="22">
        <f t="shared" si="98"/>
        <v>141889.56897206261</v>
      </c>
      <c r="AK69" s="22">
        <f t="shared" si="76"/>
        <v>206911.05636442645</v>
      </c>
      <c r="AL69" s="22">
        <f>AJ69*(_xlfn.XLOOKUP(Q_end,cpi!A:A,cpi!B:B)/BH69)</f>
        <v>159902.02983066556</v>
      </c>
      <c r="AM69" s="22" cm="1">
        <f t="array" ref="AM69">SUMPRODUCT($AA$3:AA69,_xlfn.SORTBY($BH$3:BH69,_xlfn.SEQUENCE(ROWS($BH$3:BH69)),-1)/$BH$3)</f>
        <v>206712.52672494674</v>
      </c>
      <c r="AN69" s="22">
        <f t="shared" si="99"/>
        <v>142088.09861154231</v>
      </c>
      <c r="AO69" s="22">
        <f t="shared" si="77"/>
        <v>0</v>
      </c>
      <c r="AP69" s="22">
        <f t="shared" si="100"/>
        <v>348800.62533648906</v>
      </c>
      <c r="AQ69" s="22"/>
      <c r="AR69" s="10">
        <f>IF($B$10="3BR_H",
INDEX('ns-combined'!$C:$C,MATCH($L69,'ns-combined'!$B:$B,0),MATCH(Council_Area,'ns-combined'!$C$1:$C$1,0))*1000,
INDEX('s-combined'!$C:$C,MATCH($L69,'s-combined'!$B:$B,0),MATCH(Council_Area,'s-combined'!$C$1:$C$1,0))*1000)</f>
        <v>560000</v>
      </c>
      <c r="AS69" s="22">
        <f t="shared" ref="AS69:AS81" si="104">AS68+$AS$3</f>
        <v>57201.25</v>
      </c>
      <c r="AT69" s="10">
        <v>0</v>
      </c>
      <c r="AU69" s="22">
        <f t="shared" si="78"/>
        <v>11200</v>
      </c>
      <c r="AV69" s="22">
        <f t="shared" si="79"/>
        <v>1610</v>
      </c>
      <c r="AW69" s="22">
        <f>SUM($AV$3:AV69)</f>
        <v>97665.475000000006</v>
      </c>
      <c r="AX69" s="22">
        <f t="shared" si="80"/>
        <v>393933.27500000002</v>
      </c>
      <c r="AY69" s="22">
        <f t="shared" si="81"/>
        <v>2694.2214511041011</v>
      </c>
      <c r="AZ69" s="24">
        <f t="shared" si="82"/>
        <v>1.9244438936457865E-2</v>
      </c>
      <c r="BA69" s="24">
        <f t="shared" si="83"/>
        <v>0.35000000000000003</v>
      </c>
      <c r="BB69" s="25">
        <f>IF(MortgageRate="Discounted",_xlfn.XLOOKUP(L69,'mortgage-rates'!$A:$A,'mortgage-rates'!$E:$E)/100,_xlfn.XLOOKUP(L69,'mortgage-rates'!$A:$A,'mortgage-rates'!$D:$D)/100)</f>
        <v>5.7000000000000002E-2</v>
      </c>
      <c r="BC69" s="10">
        <f t="shared" si="101"/>
        <v>134389.07086295958</v>
      </c>
      <c r="BD69" s="10">
        <f t="shared" si="84"/>
        <v>5014.7175302003498</v>
      </c>
      <c r="BE69" s="10">
        <f t="shared" si="102"/>
        <v>1915.0442597971739</v>
      </c>
      <c r="BF69" s="10">
        <f t="shared" ref="BF69:BF82" si="105">BD69-BE69</f>
        <v>3099.6732704031756</v>
      </c>
      <c r="BG69" s="12">
        <f t="shared" si="85"/>
        <v>7708.9389813044509</v>
      </c>
      <c r="BH69" s="22">
        <f>INDEX(cpi!B:B,MATCH($L69,cpi!A:A))</f>
        <v>128.4</v>
      </c>
      <c r="BI69" s="22">
        <f t="shared" si="86"/>
        <v>151.77304964539007</v>
      </c>
      <c r="BJ69" s="22">
        <f t="shared" si="87"/>
        <v>282.19695630380454</v>
      </c>
      <c r="BK69" s="22">
        <f t="shared" si="88"/>
        <v>274.82320356188706</v>
      </c>
      <c r="BL69" s="22">
        <f t="shared" si="89"/>
        <v>279.98483048122927</v>
      </c>
      <c r="BM69" s="22">
        <f t="shared" si="90"/>
        <v>401.79638086153915</v>
      </c>
      <c r="BN69" s="22">
        <f t="shared" si="91"/>
        <v>163.98243045387994</v>
      </c>
      <c r="BO69">
        <f t="shared" si="92"/>
        <v>118.35712613121652</v>
      </c>
    </row>
    <row r="70" spans="2:67" x14ac:dyDescent="0.25">
      <c r="L70" s="1">
        <f t="shared" si="103"/>
        <v>44896</v>
      </c>
      <c r="M70" s="10">
        <f t="shared" si="68"/>
        <v>382244.35236542654</v>
      </c>
      <c r="N70" s="10">
        <f t="shared" si="69"/>
        <v>289493.87740744359</v>
      </c>
      <c r="O70" s="7">
        <f t="shared" si="93"/>
        <v>1.3203883819188438</v>
      </c>
      <c r="P70" s="7">
        <f t="shared" si="70"/>
        <v>1.0151095995408919</v>
      </c>
      <c r="Q70">
        <v>68</v>
      </c>
      <c r="R70">
        <f t="shared" si="71"/>
        <v>92</v>
      </c>
      <c r="S70" s="22"/>
      <c r="T70" s="22">
        <f>IF($B$10="3BR_H",
INDEX('3BR_H-processed'!$E:$E,MATCH($L70,'3BR_H-processed'!$B:$B,0),MATCH(Council_Area,'3BR_H-processed'!$E$1:$E$1,0)),
INDEX('2BR_F-processed'!$E:$E,MATCH($L70,'2BR_F-processed'!$B:$B,0),MATCH(Council_Area,'2BR_F-processed'!$E$1:$E$1,0)))</f>
        <v>620</v>
      </c>
      <c r="U70" s="22">
        <f t="shared" si="94"/>
        <v>585.70031545741324</v>
      </c>
      <c r="V70" s="22">
        <f t="shared" si="95"/>
        <v>7697.7755745831455</v>
      </c>
      <c r="W70" s="22">
        <f>$B$53/4*BH70/_xlfn.XLOOKUP(Q_end,cpi!A:A,cpi!B:B)</f>
        <v>181.06427090532137</v>
      </c>
      <c r="X70" s="22">
        <f t="shared" si="72"/>
        <v>7878.8398454884673</v>
      </c>
      <c r="Y70" s="22">
        <f t="shared" si="73"/>
        <v>-117.2741494770562</v>
      </c>
      <c r="Z70" s="22">
        <f t="shared" si="96"/>
        <v>0</v>
      </c>
      <c r="AA70" s="22" cm="1">
        <f t="array" ref="AA70">(Y70+Z70)*eff_invest</f>
        <v>-117.2741494770562</v>
      </c>
      <c r="AB70" s="22">
        <f>AA70*(_xlfn.XLOOKUP(Q_end,cpi!A:A,cpi!B:B)/BH70)</f>
        <v>-129.53869793381702</v>
      </c>
      <c r="AC70" s="22" cm="1">
        <f t="array" ref="AC70">INDEX('msci-indices'!C:C,MATCH($L70,'msci-indices'!$B:$B)-2)</f>
        <v>2000.7468469999999</v>
      </c>
      <c r="AD70" s="22" cm="1">
        <f t="array" ref="AD70">INDEX('msci-indices'!D:D,MATCH($L70,'msci-indices'!$B:$B)-2)</f>
        <v>1968.166029</v>
      </c>
      <c r="AE70" s="22">
        <f t="shared" si="97"/>
        <v>348683.35118701198</v>
      </c>
      <c r="AF70" s="22" cm="1">
        <f t="array" ref="AF70">INDEX('msci-indices'!C:C,MATCH($L70,'msci-indices'!$B:$B)+1)</f>
        <v>2198.4432400000001</v>
      </c>
      <c r="AG70" s="22" cm="1">
        <f t="array" ref="AG70">INDEX('msci-indices'!D:D,MATCH($L70,'msci-indices'!$B:$B)+1)</f>
        <v>2149.944184</v>
      </c>
      <c r="AH70" s="22">
        <f t="shared" si="74"/>
        <v>217.92709449188249</v>
      </c>
      <c r="AI70" s="22">
        <f t="shared" si="75"/>
        <v>382244.35236542654</v>
      </c>
      <c r="AJ70" s="22">
        <f t="shared" si="98"/>
        <v>141772.29482258557</v>
      </c>
      <c r="AK70" s="22">
        <f t="shared" si="76"/>
        <v>240472.05754284098</v>
      </c>
      <c r="AL70" s="22">
        <f>AJ70*(_xlfn.XLOOKUP(Q_end,cpi!A:A,cpi!B:B)/BH70)</f>
        <v>156598.8630597567</v>
      </c>
      <c r="AM70" s="22" cm="1">
        <f t="array" ref="AM70">SUMPRODUCT($AA$3:AA70,_xlfn.SORTBY($BH$3:BH70,_xlfn.SEQUENCE(ROWS($BH$3:BH70)),-1)/$BH$3)</f>
        <v>209900.97818389678</v>
      </c>
      <c r="AN70" s="22">
        <f t="shared" si="99"/>
        <v>172343.37418152977</v>
      </c>
      <c r="AO70" s="22">
        <f t="shared" si="77"/>
        <v>0</v>
      </c>
      <c r="AP70" s="22">
        <f t="shared" si="100"/>
        <v>382244.35236542654</v>
      </c>
      <c r="AQ70" s="22"/>
      <c r="AR70" s="10">
        <f>IF($B$10="3BR_H",
INDEX('ns-combined'!$C:$C,MATCH($L70,'ns-combined'!$B:$B,0),MATCH(Council_Area,'ns-combined'!$C$1:$C$1,0))*1000,
INDEX('s-combined'!$C:$C,MATCH($L70,'s-combined'!$B:$B,0),MATCH(Council_Area,'s-combined'!$C$1:$C$1,0))*1000)</f>
        <v>590000</v>
      </c>
      <c r="AS70" s="22">
        <f t="shared" si="104"/>
        <v>58055</v>
      </c>
      <c r="AT70" s="10">
        <v>0</v>
      </c>
      <c r="AU70" s="22">
        <f t="shared" si="78"/>
        <v>11800</v>
      </c>
      <c r="AV70" s="22">
        <f t="shared" si="79"/>
        <v>1696.25</v>
      </c>
      <c r="AW70" s="22">
        <f>SUM($AV$3:AV70)</f>
        <v>99361.725000000006</v>
      </c>
      <c r="AX70" s="22">
        <f t="shared" si="80"/>
        <v>420783.27500000002</v>
      </c>
      <c r="AY70" s="22">
        <f t="shared" si="81"/>
        <v>2694.2214511041011</v>
      </c>
      <c r="AZ70" s="24">
        <f t="shared" si="82"/>
        <v>1.826590814307865E-2</v>
      </c>
      <c r="BA70" s="24">
        <f t="shared" si="83"/>
        <v>0.35000000000000003</v>
      </c>
      <c r="BB70" s="25">
        <f>IF(MortgageRate="Discounted",_xlfn.XLOOKUP(L70,'mortgage-rates'!$A:$A,'mortgage-rates'!$E:$E)/100,_xlfn.XLOOKUP(L70,'mortgage-rates'!$A:$A,'mortgage-rates'!$D:$D)/100)</f>
        <v>5.9699999999999996E-2</v>
      </c>
      <c r="BC70" s="10">
        <f t="shared" si="101"/>
        <v>131289.3975925564</v>
      </c>
      <c r="BD70" s="10">
        <f t="shared" si="84"/>
        <v>5067.34424490731</v>
      </c>
      <c r="BE70" s="10">
        <f t="shared" si="102"/>
        <v>1959.4942590689041</v>
      </c>
      <c r="BF70" s="10">
        <f t="shared" si="105"/>
        <v>3107.8499858384057</v>
      </c>
      <c r="BG70" s="12">
        <f t="shared" si="85"/>
        <v>7761.5656960114111</v>
      </c>
      <c r="BH70" s="22">
        <f>INDEX(cpi!B:B,MATCH($L70,cpi!A:A))</f>
        <v>131</v>
      </c>
      <c r="BI70" s="22">
        <f t="shared" si="86"/>
        <v>154.84633569739952</v>
      </c>
      <c r="BJ70" s="22">
        <f t="shared" si="87"/>
        <v>265.04184479821646</v>
      </c>
      <c r="BK70" s="22">
        <f t="shared" si="88"/>
        <v>276.05705641569335</v>
      </c>
      <c r="BL70" s="22">
        <f t="shared" si="89"/>
        <v>268.34640828345954</v>
      </c>
      <c r="BM70" s="22">
        <f t="shared" si="90"/>
        <v>384.85899253802518</v>
      </c>
      <c r="BN70" s="22">
        <f t="shared" si="91"/>
        <v>172.76720351390924</v>
      </c>
      <c r="BO70">
        <f t="shared" si="92"/>
        <v>126.42420001986723</v>
      </c>
    </row>
    <row r="71" spans="2:67" x14ac:dyDescent="0.25">
      <c r="L71" s="1">
        <f t="shared" si="103"/>
        <v>44986</v>
      </c>
      <c r="M71" s="10">
        <f t="shared" si="68"/>
        <v>404979.43740065832</v>
      </c>
      <c r="N71" s="10">
        <f t="shared" si="69"/>
        <v>275394.852393282</v>
      </c>
      <c r="O71" s="7">
        <f t="shared" si="93"/>
        <v>1.4705410572537536</v>
      </c>
      <c r="P71" s="7">
        <f t="shared" si="70"/>
        <v>1.0569617037281294</v>
      </c>
      <c r="Q71">
        <v>69</v>
      </c>
      <c r="R71">
        <f t="shared" si="71"/>
        <v>90</v>
      </c>
      <c r="S71" s="22"/>
      <c r="T71" s="22">
        <f>IF($B$10="3BR_H",
INDEX('3BR_H-processed'!$E:$E,MATCH($L71,'3BR_H-processed'!$B:$B,0),MATCH(Council_Area,'3BR_H-processed'!$E$1:$E$1,0)),
INDEX('2BR_F-processed'!$E:$E,MATCH($L71,'2BR_F-processed'!$B:$B,0),MATCH(Council_Area,'2BR_F-processed'!$E$1:$E$1,0)))</f>
        <v>650</v>
      </c>
      <c r="U71" s="22">
        <f t="shared" si="94"/>
        <v>650</v>
      </c>
      <c r="V71" s="22">
        <f t="shared" si="95"/>
        <v>8357.1428571428569</v>
      </c>
      <c r="W71" s="22">
        <f>$B$53/4*BH71/_xlfn.XLOOKUP(Q_end,cpi!A:A,cpi!B:B)</f>
        <v>183.41395991706977</v>
      </c>
      <c r="X71" s="22">
        <f t="shared" si="72"/>
        <v>8540.5568170599272</v>
      </c>
      <c r="Y71" s="22">
        <f t="shared" si="73"/>
        <v>-460.26707057662406</v>
      </c>
      <c r="Z71" s="22">
        <f t="shared" si="96"/>
        <v>0</v>
      </c>
      <c r="AA71" s="22" cm="1">
        <f t="array" ref="AA71">(Y71+Z71)*eff_invest</f>
        <v>-460.26707057662406</v>
      </c>
      <c r="AB71" s="22">
        <f>AA71*(_xlfn.XLOOKUP(Q_end,cpi!A:A,cpi!B:B)/BH71)</f>
        <v>-501.88881019169179</v>
      </c>
      <c r="AC71" s="22" cm="1">
        <f t="array" ref="AC71">INDEX('msci-indices'!C:C,MATCH($L71,'msci-indices'!$B:$B)-2)</f>
        <v>2198.4432400000001</v>
      </c>
      <c r="AD71" s="22" cm="1">
        <f t="array" ref="AD71">INDEX('msci-indices'!D:D,MATCH($L71,'msci-indices'!$B:$B)-2)</f>
        <v>2149.944184</v>
      </c>
      <c r="AE71" s="22">
        <f t="shared" si="97"/>
        <v>381784.08529484994</v>
      </c>
      <c r="AF71" s="22" cm="1">
        <f t="array" ref="AF71">INDEX('msci-indices'!C:C,MATCH($L71,'msci-indices'!$B:$B)+1)</f>
        <v>2359.7519419999999</v>
      </c>
      <c r="AG71" s="22" cm="1">
        <f t="array" ref="AG71">INDEX('msci-indices'!D:D,MATCH($L71,'msci-indices'!$B:$B)+1)</f>
        <v>2221.7402550000002</v>
      </c>
      <c r="AH71" s="22">
        <f t="shared" si="74"/>
        <v>238.61505330928122</v>
      </c>
      <c r="AI71" s="22">
        <f t="shared" si="75"/>
        <v>404979.43740065832</v>
      </c>
      <c r="AJ71" s="22">
        <f t="shared" si="98"/>
        <v>141312.02775200893</v>
      </c>
      <c r="AK71" s="22">
        <f t="shared" si="76"/>
        <v>263667.40964864939</v>
      </c>
      <c r="AL71" s="22">
        <f>AJ71*(_xlfn.XLOOKUP(Q_end,cpi!A:A,cpi!B:B)/BH71)</f>
        <v>154090.80946281608</v>
      </c>
      <c r="AM71" s="22" cm="1">
        <f t="array" ref="AM71">SUMPRODUCT($AA$3:AA71,_xlfn.SORTBY($BH$3:BH71,_xlfn.SEQUENCE(ROWS($BH$3:BH71)),-1)/$BH$3)</f>
        <v>211887.06590211467</v>
      </c>
      <c r="AN71" s="22">
        <f t="shared" si="99"/>
        <v>193092.37149854365</v>
      </c>
      <c r="AO71" s="22">
        <f t="shared" si="77"/>
        <v>0</v>
      </c>
      <c r="AP71" s="22">
        <f t="shared" si="100"/>
        <v>404979.43740065832</v>
      </c>
      <c r="AQ71" s="22"/>
      <c r="AR71" s="10">
        <f>IF($B$10="3BR_H",
INDEX('ns-combined'!$C:$C,MATCH($L71,'ns-combined'!$B:$B,0),MATCH(Council_Area,'ns-combined'!$C$1:$C$1,0))*1000,
INDEX('s-combined'!$C:$C,MATCH($L71,'s-combined'!$B:$B,0),MATCH(Council_Area,'s-combined'!$C$1:$C$1,0))*1000)</f>
        <v>575000</v>
      </c>
      <c r="AS71" s="22">
        <f t="shared" si="104"/>
        <v>58908.75</v>
      </c>
      <c r="AT71" s="10">
        <v>0</v>
      </c>
      <c r="AU71" s="22">
        <f t="shared" si="78"/>
        <v>11500</v>
      </c>
      <c r="AV71" s="22">
        <f t="shared" si="79"/>
        <v>1653.125</v>
      </c>
      <c r="AW71" s="22">
        <f>SUM($AV$3:AV71)</f>
        <v>101014.85</v>
      </c>
      <c r="AX71" s="22">
        <f t="shared" si="80"/>
        <v>403576.4</v>
      </c>
      <c r="AY71" s="22">
        <f t="shared" si="81"/>
        <v>2925</v>
      </c>
      <c r="AZ71" s="24">
        <f t="shared" si="82"/>
        <v>2.0347826086956521E-2</v>
      </c>
      <c r="BA71" s="24">
        <f t="shared" si="83"/>
        <v>0.35000000000000003</v>
      </c>
      <c r="BB71" s="25">
        <f>IF(MortgageRate="Discounted",_xlfn.XLOOKUP(L71,'mortgage-rates'!$A:$A,'mortgage-rates'!$E:$E)/100,_xlfn.XLOOKUP(L71,'mortgage-rates'!$A:$A,'mortgage-rates'!$D:$D)/100)</f>
        <v>6.4299999999999996E-2</v>
      </c>
      <c r="BC71" s="10">
        <f t="shared" si="101"/>
        <v>128181.547606718</v>
      </c>
      <c r="BD71" s="10">
        <f t="shared" si="84"/>
        <v>5155.2897464833031</v>
      </c>
      <c r="BE71" s="10">
        <f t="shared" si="102"/>
        <v>2060.5183777779916</v>
      </c>
      <c r="BF71" s="10">
        <f t="shared" si="105"/>
        <v>3094.7713687053115</v>
      </c>
      <c r="BG71" s="12">
        <f t="shared" si="85"/>
        <v>8080.2897464833031</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421.39390347553967</v>
      </c>
      <c r="BN71" s="22">
        <f t="shared" si="91"/>
        <v>168.37481698389459</v>
      </c>
      <c r="BO71">
        <f t="shared" si="92"/>
        <v>121.25439994471726</v>
      </c>
    </row>
    <row r="72" spans="2:67" x14ac:dyDescent="0.25">
      <c r="L72" s="1">
        <f t="shared" si="103"/>
        <v>45078</v>
      </c>
      <c r="M72" s="10">
        <f t="shared" si="68"/>
        <v>423816.51499365823</v>
      </c>
      <c r="N72" s="10">
        <f t="shared" si="69"/>
        <v>290639.62376198731</v>
      </c>
      <c r="O72" s="7">
        <f t="shared" si="93"/>
        <v>1.4582200097421441</v>
      </c>
      <c r="P72" s="7">
        <f t="shared" si="70"/>
        <v>1.0490422113424525</v>
      </c>
      <c r="Q72">
        <v>70</v>
      </c>
      <c r="R72">
        <f t="shared" si="71"/>
        <v>91</v>
      </c>
      <c r="S72" s="22"/>
      <c r="T72" s="22">
        <f>IF($B$10="3BR_H",
INDEX('3BR_H-processed'!$E:$E,MATCH($L72,'3BR_H-processed'!$B:$B,0),MATCH(Council_Area,'3BR_H-processed'!$E$1:$E$1,0)),
INDEX('2BR_F-processed'!$E:$E,MATCH($L72,'2BR_F-processed'!$B:$B,0),MATCH(Council_Area,'2BR_F-processed'!$E$1:$E$1,0)))</f>
        <v>650</v>
      </c>
      <c r="U72" s="22">
        <f t="shared" si="94"/>
        <v>650</v>
      </c>
      <c r="V72" s="22">
        <f t="shared" si="95"/>
        <v>8450</v>
      </c>
      <c r="W72" s="22">
        <f>$B$53/4*BH72/_xlfn.XLOOKUP(Q_end,cpi!A:A,cpi!B:B)</f>
        <v>184.93434692467179</v>
      </c>
      <c r="X72" s="22">
        <f t="shared" si="72"/>
        <v>8634.9343469246724</v>
      </c>
      <c r="Y72" s="22">
        <f t="shared" si="73"/>
        <v>-403.67896600477252</v>
      </c>
      <c r="Z72" s="22">
        <f t="shared" si="96"/>
        <v>0</v>
      </c>
      <c r="AA72" s="22" cm="1">
        <f t="array" ref="AA72">(Y72+Z72)*eff_invest</f>
        <v>-403.67896600477252</v>
      </c>
      <c r="AB72" s="22">
        <f>AA72*(_xlfn.XLOOKUP(Q_end,cpi!A:A,cpi!B:B)/BH72)</f>
        <v>-436.56462168079651</v>
      </c>
      <c r="AC72" s="22" cm="1">
        <f t="array" ref="AC72">INDEX('msci-indices'!C:C,MATCH($L72,'msci-indices'!$B:$B)-2)</f>
        <v>2359.7519419999999</v>
      </c>
      <c r="AD72" s="22" cm="1">
        <f t="array" ref="AD72">INDEX('msci-indices'!D:D,MATCH($L72,'msci-indices'!$B:$B)-2)</f>
        <v>2221.7402550000002</v>
      </c>
      <c r="AE72" s="22">
        <f t="shared" si="97"/>
        <v>404575.75843465357</v>
      </c>
      <c r="AF72" s="22" cm="1">
        <f t="array" ref="AF72">INDEX('msci-indices'!C:C,MATCH($L72,'msci-indices'!$B:$B)+1)</f>
        <v>2511.4075790000002</v>
      </c>
      <c r="AG72" s="22" cm="1">
        <f t="array" ref="AG72">INDEX('msci-indices'!D:D,MATCH($L72,'msci-indices'!$B:$B)+1)</f>
        <v>2245.4056799999998</v>
      </c>
      <c r="AH72" s="22">
        <f t="shared" si="74"/>
        <v>252.85984902165848</v>
      </c>
      <c r="AI72" s="22">
        <f t="shared" si="75"/>
        <v>423816.51499365823</v>
      </c>
      <c r="AJ72" s="22">
        <f t="shared" si="98"/>
        <v>140908.34878600415</v>
      </c>
      <c r="AK72" s="22">
        <f t="shared" si="76"/>
        <v>282908.16620765405</v>
      </c>
      <c r="AL72" s="22">
        <f>AJ72*(_xlfn.XLOOKUP(Q_end,cpi!A:A,cpi!B:B)/BH72)</f>
        <v>152387.42951670251</v>
      </c>
      <c r="AM72" s="22" cm="1">
        <f t="array" ref="AM72">SUMPRODUCT($AA$3:AA72,_xlfn.SORTBY($BH$3:BH72,_xlfn.SEQUENCE(ROWS($BH$3:BH72)),-1)/$BH$3)</f>
        <v>213326.28539599647</v>
      </c>
      <c r="AN72" s="22">
        <f t="shared" si="99"/>
        <v>210490.22959766176</v>
      </c>
      <c r="AO72" s="22">
        <f t="shared" si="77"/>
        <v>0</v>
      </c>
      <c r="AP72" s="22">
        <f t="shared" si="100"/>
        <v>423816.51499365823</v>
      </c>
      <c r="AQ72" s="22"/>
      <c r="AR72" s="10">
        <f>IF($B$10="3BR_H",
INDEX('ns-combined'!$C:$C,MATCH($L72,'ns-combined'!$B:$B,0),MATCH(Council_Area,'ns-combined'!$C$1:$C$1,0))*1000,
INDEX('s-combined'!$C:$C,MATCH($L72,'s-combined'!$B:$B,0),MATCH(Council_Area,'s-combined'!$C$1:$C$1,0))*1000)</f>
        <v>590000</v>
      </c>
      <c r="AS72" s="22">
        <f t="shared" si="104"/>
        <v>59762.5</v>
      </c>
      <c r="AT72" s="10">
        <v>0</v>
      </c>
      <c r="AU72" s="22">
        <f t="shared" si="78"/>
        <v>11800</v>
      </c>
      <c r="AV72" s="22">
        <f t="shared" si="79"/>
        <v>1696.25</v>
      </c>
      <c r="AW72" s="22">
        <f>SUM($AV$3:AV72)</f>
        <v>102711.1</v>
      </c>
      <c r="AX72" s="22">
        <f t="shared" si="80"/>
        <v>415726.4</v>
      </c>
      <c r="AY72" s="22">
        <f t="shared" si="81"/>
        <v>2957.5000000000005</v>
      </c>
      <c r="AZ72" s="24">
        <f t="shared" si="82"/>
        <v>2.005084745762712E-2</v>
      </c>
      <c r="BA72" s="24">
        <f t="shared" si="83"/>
        <v>0.35000000000000003</v>
      </c>
      <c r="BB72" s="25">
        <f>IF(MortgageRate="Discounted",_xlfn.XLOOKUP(L72,'mortgage-rates'!$A:$A,'mortgage-rates'!$E:$E)/100,_xlfn.XLOOKUP(L72,'mortgage-rates'!$A:$A,'mortgage-rates'!$D:$D)/100)</f>
        <v>7.0599999999999996E-2</v>
      </c>
      <c r="BC72" s="10">
        <f t="shared" si="101"/>
        <v>125086.77623801268</v>
      </c>
      <c r="BD72" s="10">
        <f t="shared" si="84"/>
        <v>5273.7553809198998</v>
      </c>
      <c r="BE72" s="10">
        <f t="shared" si="102"/>
        <v>2207.7816006009239</v>
      </c>
      <c r="BF72" s="10">
        <f t="shared" si="105"/>
        <v>3065.973780318976</v>
      </c>
      <c r="BG72" s="12">
        <f t="shared" si="85"/>
        <v>8231.2553809198998</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446.55019594829463</v>
      </c>
      <c r="BN72" s="22">
        <f t="shared" si="91"/>
        <v>172.76720351390924</v>
      </c>
      <c r="BO72">
        <f t="shared" si="92"/>
        <v>124.90486354796144</v>
      </c>
    </row>
    <row r="73" spans="2:67" x14ac:dyDescent="0.25">
      <c r="L73" s="1">
        <f t="shared" si="103"/>
        <v>45170</v>
      </c>
      <c r="M73" s="10">
        <f t="shared" si="68"/>
        <v>411963.29420220264</v>
      </c>
      <c r="N73" s="10">
        <f t="shared" si="69"/>
        <v>286269.97254230629</v>
      </c>
      <c r="O73" s="7">
        <f t="shared" si="93"/>
        <v>1.4390726716589908</v>
      </c>
      <c r="P73" s="7">
        <f t="shared" si="70"/>
        <v>1.0563873354658422</v>
      </c>
      <c r="Q73">
        <v>71</v>
      </c>
      <c r="R73">
        <f t="shared" si="71"/>
        <v>92</v>
      </c>
      <c r="S73" s="22"/>
      <c r="T73" s="22">
        <f>IF($B$10="3BR_H",
INDEX('3BR_H-processed'!$E:$E,MATCH($L73,'3BR_H-processed'!$B:$B,0),MATCH(Council_Area,'3BR_H-processed'!$E$1:$E$1,0)),
INDEX('2BR_F-processed'!$E:$E,MATCH($L73,'2BR_F-processed'!$B:$B,0),MATCH(Council_Area,'2BR_F-processed'!$E$1:$E$1,0)))</f>
        <v>650</v>
      </c>
      <c r="U73" s="22">
        <f t="shared" si="94"/>
        <v>650</v>
      </c>
      <c r="V73" s="22">
        <f t="shared" si="95"/>
        <v>8542.8571428571431</v>
      </c>
      <c r="W73" s="22">
        <f>$B$53/4*BH73/_xlfn.XLOOKUP(Q_end,cpi!A:A,cpi!B:B)</f>
        <v>186.86938493434693</v>
      </c>
      <c r="X73" s="22">
        <f t="shared" si="72"/>
        <v>8729.7265277914903</v>
      </c>
      <c r="Y73" s="22">
        <f t="shared" si="73"/>
        <v>-465.97114687158864</v>
      </c>
      <c r="Z73" s="22">
        <f t="shared" si="96"/>
        <v>0</v>
      </c>
      <c r="AA73" s="22" cm="1">
        <f t="array" ref="AA73">(Y73+Z73)*eff_invest</f>
        <v>-465.97114687158864</v>
      </c>
      <c r="AB73" s="22">
        <f>AA73*(_xlfn.XLOOKUP(Q_end,cpi!A:A,cpi!B:B)/BH73)</f>
        <v>-498.71320231005092</v>
      </c>
      <c r="AC73" s="22" cm="1">
        <f t="array" ref="AC73">INDEX('msci-indices'!C:C,MATCH($L73,'msci-indices'!$B:$B)-2)</f>
        <v>2511.4075790000002</v>
      </c>
      <c r="AD73" s="22" cm="1">
        <f t="array" ref="AD73">INDEX('msci-indices'!D:D,MATCH($L73,'msci-indices'!$B:$B)-2)</f>
        <v>2245.4056799999998</v>
      </c>
      <c r="AE73" s="22">
        <f t="shared" si="97"/>
        <v>423350.54384678666</v>
      </c>
      <c r="AF73" s="22" cm="1">
        <f t="array" ref="AF73">INDEX('msci-indices'!C:C,MATCH($L73,'msci-indices'!$B:$B)+1)</f>
        <v>2421.9848459999998</v>
      </c>
      <c r="AG73" s="22" cm="1">
        <f t="array" ref="AG73">INDEX('msci-indices'!D:D,MATCH($L73,'msci-indices'!$B:$B)+1)</f>
        <v>2235.3141679999999</v>
      </c>
      <c r="AH73" s="22">
        <f t="shared" si="74"/>
        <v>264.59408990424168</v>
      </c>
      <c r="AI73" s="22">
        <f t="shared" si="75"/>
        <v>411963.29420220264</v>
      </c>
      <c r="AJ73" s="22">
        <f t="shared" si="98"/>
        <v>140442.37763913255</v>
      </c>
      <c r="AK73" s="22">
        <f t="shared" si="76"/>
        <v>271520.91656307009</v>
      </c>
      <c r="AL73" s="22">
        <f>AJ73*(_xlfn.XLOOKUP(Q_end,cpi!A:A,cpi!B:B)/BH73)</f>
        <v>150310.73997324321</v>
      </c>
      <c r="AM73" s="22" cm="1">
        <f t="array" ref="AM73">SUMPRODUCT($AA$3:AA73,_xlfn.SORTBY($BH$3:BH73,_xlfn.SEQUENCE(ROWS($BH$3:BH73)),-1)/$BH$3)</f>
        <v>215032.30106637668</v>
      </c>
      <c r="AN73" s="22">
        <f t="shared" si="99"/>
        <v>196930.99313582596</v>
      </c>
      <c r="AO73" s="22">
        <f t="shared" si="77"/>
        <v>0</v>
      </c>
      <c r="AP73" s="22">
        <f t="shared" si="100"/>
        <v>411963.29420220264</v>
      </c>
      <c r="AQ73" s="22"/>
      <c r="AR73" s="10">
        <f>IF($B$10="3BR_H",
INDEX('ns-combined'!$C:$C,MATCH($L73,'ns-combined'!$B:$B,0),MATCH(Council_Area,'ns-combined'!$C$1:$C$1,0))*1000,
INDEX('s-combined'!$C:$C,MATCH($L73,'s-combined'!$B:$B,0),MATCH(Council_Area,'s-combined'!$C$1:$C$1,0))*1000)</f>
        <v>585000</v>
      </c>
      <c r="AS73" s="22">
        <f t="shared" si="104"/>
        <v>60616.25</v>
      </c>
      <c r="AT73" s="10">
        <v>0</v>
      </c>
      <c r="AU73" s="22">
        <f t="shared" si="78"/>
        <v>11700</v>
      </c>
      <c r="AV73" s="22">
        <f t="shared" si="79"/>
        <v>1681.875</v>
      </c>
      <c r="AW73" s="22">
        <f>SUM($AV$3:AV73)</f>
        <v>104392.97500000001</v>
      </c>
      <c r="AX73" s="22">
        <f t="shared" si="80"/>
        <v>408290.77500000002</v>
      </c>
      <c r="AY73" s="22">
        <f t="shared" si="81"/>
        <v>2990.0000000000005</v>
      </c>
      <c r="AZ73" s="24">
        <f t="shared" si="82"/>
        <v>2.0444444444444449E-2</v>
      </c>
      <c r="BA73" s="24">
        <f t="shared" si="83"/>
        <v>0.35000000000000003</v>
      </c>
      <c r="BB73" s="25">
        <f>IF(MortgageRate="Discounted",_xlfn.XLOOKUP(L73,'mortgage-rates'!$A:$A,'mortgage-rates'!$E:$E)/100,_xlfn.XLOOKUP(L73,'mortgage-rates'!$A:$A,'mortgage-rates'!$D:$D)/100)</f>
        <v>7.0599999999999996E-2</v>
      </c>
      <c r="BC73" s="10">
        <f t="shared" si="101"/>
        <v>122020.8024576937</v>
      </c>
      <c r="BD73" s="10">
        <f t="shared" si="84"/>
        <v>5273.7553809199007</v>
      </c>
      <c r="BE73" s="10">
        <f t="shared" si="102"/>
        <v>2153.6671633782939</v>
      </c>
      <c r="BF73" s="10">
        <f t="shared" si="105"/>
        <v>3120.0882175416068</v>
      </c>
      <c r="BG73" s="12">
        <f t="shared" si="85"/>
        <v>8263.7553809199017</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467.27285154464909</v>
      </c>
      <c r="BN73" s="22">
        <f t="shared" si="91"/>
        <v>171.30307467057102</v>
      </c>
      <c r="BO73">
        <f t="shared" si="92"/>
        <v>122.67083240146988</v>
      </c>
    </row>
    <row r="74" spans="2:67" x14ac:dyDescent="0.25">
      <c r="L74" s="1">
        <f t="shared" si="103"/>
        <v>45261</v>
      </c>
      <c r="M74" s="10">
        <f t="shared" si="68"/>
        <v>455082.93860936904</v>
      </c>
      <c r="N74" s="10">
        <f t="shared" si="69"/>
        <v>291251.49825984793</v>
      </c>
      <c r="O74" s="7">
        <f t="shared" si="93"/>
        <v>1.5625084894957499</v>
      </c>
      <c r="P74" s="7">
        <f t="shared" si="70"/>
        <v>1.0508817851825878</v>
      </c>
      <c r="Q74">
        <v>72</v>
      </c>
      <c r="R74">
        <f t="shared" si="71"/>
        <v>92</v>
      </c>
      <c r="S74" s="22"/>
      <c r="T74" s="22">
        <f>IF($B$10="3BR_H",
INDEX('3BR_H-processed'!$E:$E,MATCH($L74,'3BR_H-processed'!$B:$B,0),MATCH(Council_Area,'3BR_H-processed'!$E$1:$E$1,0)),
INDEX('2BR_F-processed'!$E:$E,MATCH($L74,'2BR_F-processed'!$B:$B,0),MATCH(Council_Area,'2BR_F-processed'!$E$1:$E$1,0)))</f>
        <v>650</v>
      </c>
      <c r="U74" s="22">
        <f t="shared" si="94"/>
        <v>650</v>
      </c>
      <c r="V74" s="22">
        <f t="shared" si="95"/>
        <v>8542.8571428571431</v>
      </c>
      <c r="W74" s="22">
        <f>$B$53/4*BH74/_xlfn.XLOOKUP(Q_end,cpi!A:A,cpi!B:B)</f>
        <v>188.38977194194891</v>
      </c>
      <c r="X74" s="22">
        <f t="shared" si="72"/>
        <v>8731.2469147990923</v>
      </c>
      <c r="Y74" s="22">
        <f t="shared" si="73"/>
        <v>-422.75109927588164</v>
      </c>
      <c r="Z74" s="22">
        <f t="shared" si="96"/>
        <v>0</v>
      </c>
      <c r="AA74" s="22" cm="1">
        <f t="array" ref="AA74">(Y74+Z74)*eff_invest</f>
        <v>-422.75109927588164</v>
      </c>
      <c r="AB74" s="22">
        <f>AA74*(_xlfn.XLOOKUP(Q_end,cpi!A:A,cpi!B:B)/BH74)</f>
        <v>-448.80472535011052</v>
      </c>
      <c r="AC74" s="22" cm="1">
        <f t="array" ref="AC74">INDEX('msci-indices'!C:C,MATCH($L74,'msci-indices'!$B:$B)-2)</f>
        <v>2421.9848459999998</v>
      </c>
      <c r="AD74" s="22" cm="1">
        <f t="array" ref="AD74">INDEX('msci-indices'!D:D,MATCH($L74,'msci-indices'!$B:$B)-2)</f>
        <v>2235.3141679999999</v>
      </c>
      <c r="AE74" s="22">
        <f t="shared" si="97"/>
        <v>411540.54310292675</v>
      </c>
      <c r="AF74" s="22" cm="1">
        <f t="array" ref="AF74">INDEX('msci-indices'!C:C,MATCH($L74,'msci-indices'!$B:$B)+1)</f>
        <v>2701.360248</v>
      </c>
      <c r="AG74" s="22" cm="1">
        <f t="array" ref="AG74">INDEX('msci-indices'!D:D,MATCH($L74,'msci-indices'!$B:$B)+1)</f>
        <v>2426.6837019999998</v>
      </c>
      <c r="AH74" s="22">
        <f t="shared" si="74"/>
        <v>257.21283943932923</v>
      </c>
      <c r="AI74" s="22">
        <f t="shared" si="75"/>
        <v>455082.93860936904</v>
      </c>
      <c r="AJ74" s="22">
        <f t="shared" si="98"/>
        <v>140019.62653985666</v>
      </c>
      <c r="AK74" s="22">
        <f t="shared" si="76"/>
        <v>315063.31206951238</v>
      </c>
      <c r="AL74" s="22">
        <f>AJ74*(_xlfn.XLOOKUP(Q_end,cpi!A:A,cpi!B:B)/BH74)</f>
        <v>148648.86251149859</v>
      </c>
      <c r="AM74" s="22" cm="1">
        <f t="array" ref="AM74">SUMPRODUCT($AA$3:AA74,_xlfn.SORTBY($BH$3:BH74,_xlfn.SEQUENCE(ROWS($BH$3:BH74)),-1)/$BH$3)</f>
        <v>216485.90395177351</v>
      </c>
      <c r="AN74" s="22">
        <f t="shared" si="99"/>
        <v>238597.03465759553</v>
      </c>
      <c r="AO74" s="22">
        <f t="shared" si="77"/>
        <v>0</v>
      </c>
      <c r="AP74" s="22">
        <f t="shared" si="100"/>
        <v>455082.93860936904</v>
      </c>
      <c r="AQ74" s="22"/>
      <c r="AR74" s="10">
        <f>IF($B$10="3BR_H",
INDEX('ns-combined'!$C:$C,MATCH($L74,'ns-combined'!$B:$B,0),MATCH(Council_Area,'ns-combined'!$C$1:$C$1,0))*1000,
INDEX('s-combined'!$C:$C,MATCH($L74,'s-combined'!$B:$B,0),MATCH(Council_Area,'s-combined'!$C$1:$C$1,0))*1000)</f>
        <v>589500</v>
      </c>
      <c r="AS74" s="22">
        <f t="shared" si="104"/>
        <v>61470</v>
      </c>
      <c r="AT74" s="10">
        <v>0</v>
      </c>
      <c r="AU74" s="22">
        <f t="shared" si="78"/>
        <v>11790</v>
      </c>
      <c r="AV74" s="22">
        <f t="shared" si="79"/>
        <v>1694.8125</v>
      </c>
      <c r="AW74" s="22">
        <f>SUM($AV$3:AV74)</f>
        <v>106087.78750000001</v>
      </c>
      <c r="AX74" s="22">
        <f t="shared" si="80"/>
        <v>410152.21250000002</v>
      </c>
      <c r="AY74" s="22">
        <f t="shared" si="81"/>
        <v>2990.0000000000005</v>
      </c>
      <c r="AZ74" s="24">
        <f t="shared" si="82"/>
        <v>2.0288379983036474E-2</v>
      </c>
      <c r="BA74" s="24">
        <f t="shared" si="83"/>
        <v>0.35000000000000003</v>
      </c>
      <c r="BB74" s="25">
        <f>IF(MortgageRate="Discounted",_xlfn.XLOOKUP(L74,'mortgage-rates'!$A:$A,'mortgage-rates'!$E:$E)/100,_xlfn.XLOOKUP(L74,'mortgage-rates'!$A:$A,'mortgage-rates'!$D:$D)/100)</f>
        <v>7.3099999999999998E-2</v>
      </c>
      <c r="BC74" s="10">
        <f t="shared" si="101"/>
        <v>118900.7142401521</v>
      </c>
      <c r="BD74" s="10">
        <f t="shared" si="84"/>
        <v>5318.4958155232098</v>
      </c>
      <c r="BE74" s="10">
        <f t="shared" si="102"/>
        <v>2172.9105527387796</v>
      </c>
      <c r="BF74" s="10">
        <f t="shared" si="105"/>
        <v>3145.5852627844301</v>
      </c>
      <c r="BG74" s="12">
        <f t="shared" si="85"/>
        <v>8308.4958155232107</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454.23757190573821</v>
      </c>
      <c r="BN74" s="22">
        <f t="shared" si="91"/>
        <v>172.6207906295754</v>
      </c>
      <c r="BO74">
        <f t="shared" si="92"/>
        <v>123.23010070134345</v>
      </c>
    </row>
    <row r="75" spans="2:67" x14ac:dyDescent="0.25">
      <c r="L75" s="1">
        <f t="shared" si="103"/>
        <v>45352</v>
      </c>
      <c r="M75" s="10">
        <f t="shared" si="68"/>
        <v>488837.10825507599</v>
      </c>
      <c r="N75" s="10">
        <f t="shared" si="69"/>
        <v>272794.58352263237</v>
      </c>
      <c r="O75" s="7">
        <f t="shared" si="93"/>
        <v>1.7919604632271582</v>
      </c>
      <c r="P75" s="7">
        <f t="shared" si="70"/>
        <v>1.043988973477268</v>
      </c>
      <c r="Q75">
        <v>73</v>
      </c>
      <c r="R75">
        <f t="shared" si="71"/>
        <v>91</v>
      </c>
      <c r="S75" s="22"/>
      <c r="T75" s="22">
        <f>IF($B$10="3BR_H",
INDEX('3BR_H-processed'!$E:$E,MATCH($L75,'3BR_H-processed'!$B:$B,0),MATCH(Council_Area,'3BR_H-processed'!$E$1:$E$1,0)),
INDEX('2BR_F-processed'!$E:$E,MATCH($L75,'2BR_F-processed'!$B:$B,0),MATCH(Council_Area,'2BR_F-processed'!$E$1:$E$1,0)))</f>
        <v>650</v>
      </c>
      <c r="U75" s="22">
        <f t="shared" si="94"/>
        <v>650</v>
      </c>
      <c r="V75" s="22">
        <f t="shared" si="95"/>
        <v>8450</v>
      </c>
      <c r="W75" s="22">
        <f>$B$53/4*BH75/_xlfn.XLOOKUP(Q_end,cpi!A:A,cpi!B:B)</f>
        <v>190.0483759502419</v>
      </c>
      <c r="X75" s="22">
        <f t="shared" si="72"/>
        <v>8640.0483759502422</v>
      </c>
      <c r="Y75" s="22">
        <f t="shared" si="73"/>
        <v>-364.05256042703149</v>
      </c>
      <c r="Z75" s="22">
        <f t="shared" si="96"/>
        <v>0</v>
      </c>
      <c r="AA75" s="22" cm="1">
        <f t="array" ref="AA75">(Y75+Z75)*eff_invest</f>
        <v>-364.05256042703149</v>
      </c>
      <c r="AB75" s="22">
        <f>AA75*(_xlfn.XLOOKUP(Q_end,cpi!A:A,cpi!B:B)/BH75)</f>
        <v>-383.11567631848334</v>
      </c>
      <c r="AC75" s="22" cm="1">
        <f t="array" ref="AC75">INDEX('msci-indices'!C:C,MATCH($L75,'msci-indices'!$B:$B)-2)</f>
        <v>2701.360248</v>
      </c>
      <c r="AD75" s="22" cm="1">
        <f t="array" ref="AD75">INDEX('msci-indices'!D:D,MATCH($L75,'msci-indices'!$B:$B)-2)</f>
        <v>2426.6837019999998</v>
      </c>
      <c r="AE75" s="22">
        <f t="shared" si="97"/>
        <v>454718.88604894199</v>
      </c>
      <c r="AF75" s="22" cm="1">
        <f t="array" ref="AF75">INDEX('msci-indices'!C:C,MATCH($L75,'msci-indices'!$B:$B)+1)</f>
        <v>2928.0916900000002</v>
      </c>
      <c r="AG75" s="22" cm="1">
        <f t="array" ref="AG75">INDEX('msci-indices'!D:D,MATCH($L75,'msci-indices'!$B:$B)+1)</f>
        <v>2563.417899</v>
      </c>
      <c r="AH75" s="22">
        <f t="shared" si="74"/>
        <v>284.19930378058876</v>
      </c>
      <c r="AI75" s="22">
        <f t="shared" si="75"/>
        <v>488837.10825507599</v>
      </c>
      <c r="AJ75" s="22">
        <f t="shared" si="98"/>
        <v>139655.57397942964</v>
      </c>
      <c r="AK75" s="22">
        <f t="shared" si="76"/>
        <v>349181.53427564632</v>
      </c>
      <c r="AL75" s="22">
        <f>AJ75*(_xlfn.XLOOKUP(Q_end,cpi!A:A,cpi!B:B)/BH75)</f>
        <v>146968.4476714434</v>
      </c>
      <c r="AM75" s="22" cm="1">
        <f t="array" ref="AM75">SUMPRODUCT($AA$3:AA75,_xlfn.SORTBY($BH$3:BH75,_xlfn.SEQUENCE(ROWS($BH$3:BH75)),-1)/$BH$3)</f>
        <v>218118.66997350848</v>
      </c>
      <c r="AN75" s="22">
        <f t="shared" si="99"/>
        <v>270718.43828156753</v>
      </c>
      <c r="AO75" s="22">
        <f t="shared" si="77"/>
        <v>0</v>
      </c>
      <c r="AP75" s="22">
        <f t="shared" si="100"/>
        <v>488837.10825507599</v>
      </c>
      <c r="AQ75" s="22"/>
      <c r="AR75" s="10">
        <f>IF($B$10="3BR_H",
INDEX('ns-combined'!$C:$C,MATCH($L75,'ns-combined'!$B:$B,0),MATCH(Council_Area,'ns-combined'!$C$1:$C$1,0))*1000,
INDEX('s-combined'!$C:$C,MATCH($L75,'s-combined'!$B:$B,0),MATCH(Council_Area,'s-combined'!$C$1:$C$1,0))*1000)</f>
        <v>570000</v>
      </c>
      <c r="AS75" s="22">
        <f t="shared" si="104"/>
        <v>62323.75</v>
      </c>
      <c r="AT75" s="10">
        <v>0</v>
      </c>
      <c r="AU75" s="22">
        <f t="shared" si="78"/>
        <v>11400</v>
      </c>
      <c r="AV75" s="22">
        <f t="shared" si="79"/>
        <v>1638.75</v>
      </c>
      <c r="AW75" s="22">
        <f>SUM($AV$3:AV75)</f>
        <v>107726.53750000001</v>
      </c>
      <c r="AX75" s="22">
        <f t="shared" si="80"/>
        <v>388549.71250000002</v>
      </c>
      <c r="AY75" s="22">
        <f t="shared" si="81"/>
        <v>2957.5000000000005</v>
      </c>
      <c r="AZ75" s="24">
        <f t="shared" si="82"/>
        <v>2.0754385964912282E-2</v>
      </c>
      <c r="BA75" s="24">
        <f t="shared" si="83"/>
        <v>0.35000000000000003</v>
      </c>
      <c r="BB75" s="25">
        <f>IF(MortgageRate="Discounted",_xlfn.XLOOKUP(L75,'mortgage-rates'!$A:$A,'mortgage-rates'!$E:$E)/100,_xlfn.XLOOKUP(L75,'mortgage-rates'!$A:$A,'mortgage-rates'!$D:$D)/100)</f>
        <v>7.3099999999999998E-2</v>
      </c>
      <c r="BC75" s="10">
        <f t="shared" si="101"/>
        <v>115755.12897736767</v>
      </c>
      <c r="BD75" s="10">
        <f t="shared" si="84"/>
        <v>5318.4958155232107</v>
      </c>
      <c r="BE75" s="10">
        <f t="shared" si="102"/>
        <v>2115.4249820613941</v>
      </c>
      <c r="BF75" s="10">
        <f t="shared" si="105"/>
        <v>3203.0708334618166</v>
      </c>
      <c r="BG75" s="12">
        <f t="shared" si="85"/>
        <v>8275.9958155232107</v>
      </c>
      <c r="BH75" s="22">
        <f>INDEX(cpi!B:B,MATCH($L75,cpi!A:A))</f>
        <v>137.5</v>
      </c>
      <c r="BI75" s="22">
        <f t="shared" si="86"/>
        <v>162.52955082742318</v>
      </c>
      <c r="BJ75" s="22">
        <f t="shared" si="87"/>
        <v>357.853121032302</v>
      </c>
      <c r="BK75" s="22">
        <f t="shared" si="88"/>
        <v>340.36923194250375</v>
      </c>
      <c r="BL75" s="22">
        <f t="shared" si="89"/>
        <v>352.60795430536251</v>
      </c>
      <c r="BM75" s="22">
        <f t="shared" si="90"/>
        <v>501.89563618983459</v>
      </c>
      <c r="BN75" s="22">
        <f t="shared" si="91"/>
        <v>166.91068814055637</v>
      </c>
      <c r="BO75">
        <f t="shared" si="92"/>
        <v>116.73963650471114</v>
      </c>
    </row>
    <row r="76" spans="2:67" x14ac:dyDescent="0.25">
      <c r="B76" s="7"/>
      <c r="L76" s="1">
        <f t="shared" si="103"/>
        <v>45444</v>
      </c>
      <c r="M76" s="10">
        <f t="shared" si="68"/>
        <v>493515.082244777</v>
      </c>
      <c r="N76" s="10">
        <f t="shared" si="69"/>
        <v>285719.21685609419</v>
      </c>
      <c r="O76" s="7">
        <f t="shared" si="93"/>
        <v>1.7272729768587516</v>
      </c>
      <c r="P76" s="7">
        <f t="shared" si="70"/>
        <v>1.0482714845645524</v>
      </c>
      <c r="Q76">
        <v>74</v>
      </c>
      <c r="R76">
        <f t="shared" si="71"/>
        <v>91</v>
      </c>
      <c r="S76" s="22"/>
      <c r="T76" s="22">
        <f>IF($B$10="3BR_H",
INDEX('3BR_H-processed'!$E:$E,MATCH($L76,'3BR_H-processed'!$B:$B,0),MATCH(Council_Area,'3BR_H-processed'!$E$1:$E$1,0)),
INDEX('2BR_F-processed'!$E:$E,MATCH($L76,'2BR_F-processed'!$B:$B,0),MATCH(Council_Area,'2BR_F-processed'!$E$1:$E$1,0)))</f>
        <v>660</v>
      </c>
      <c r="U76" s="22">
        <f t="shared" si="94"/>
        <v>650</v>
      </c>
      <c r="V76" s="22">
        <f t="shared" si="95"/>
        <v>8450</v>
      </c>
      <c r="W76" s="22">
        <f>$B$53/4*BH76/_xlfn.XLOOKUP(Q_end,cpi!A:A,cpi!B:B)</f>
        <v>191.98341395991707</v>
      </c>
      <c r="X76" s="22">
        <f t="shared" si="72"/>
        <v>8641.983413959917</v>
      </c>
      <c r="Y76" s="22">
        <f t="shared" si="73"/>
        <v>-397.9516519495628</v>
      </c>
      <c r="Z76" s="22">
        <f t="shared" si="96"/>
        <v>0</v>
      </c>
      <c r="AA76" s="22" cm="1">
        <f t="array" ref="AA76">(Y76+Z76)*eff_invest</f>
        <v>-397.9516519495628</v>
      </c>
      <c r="AB76" s="22">
        <f>AA76*(_xlfn.XLOOKUP(Q_end,cpi!A:A,cpi!B:B)/BH76)</f>
        <v>-414.5687835644473</v>
      </c>
      <c r="AC76" s="22" cm="1">
        <f t="array" ref="AC76">INDEX('msci-indices'!C:C,MATCH($L76,'msci-indices'!$B:$B)-2)</f>
        <v>2928.0916900000002</v>
      </c>
      <c r="AD76" s="22" cm="1">
        <f t="array" ref="AD76">INDEX('msci-indices'!D:D,MATCH($L76,'msci-indices'!$B:$B)-2)</f>
        <v>2563.417899</v>
      </c>
      <c r="AE76" s="22">
        <f t="shared" si="97"/>
        <v>488439.15660312644</v>
      </c>
      <c r="AF76" s="22" cm="1">
        <f t="array" ref="AF76">INDEX('msci-indices'!C:C,MATCH($L76,'msci-indices'!$B:$B)+1)</f>
        <v>2988.3970690000001</v>
      </c>
      <c r="AG76" s="22" cm="1">
        <f t="array" ref="AG76">INDEX('msci-indices'!D:D,MATCH($L76,'msci-indices'!$B:$B)+1)</f>
        <v>2534.3685369999998</v>
      </c>
      <c r="AH76" s="22">
        <f t="shared" si="74"/>
        <v>305.27447287695401</v>
      </c>
      <c r="AI76" s="22">
        <f t="shared" si="75"/>
        <v>493515.082244777</v>
      </c>
      <c r="AJ76" s="22">
        <f t="shared" si="98"/>
        <v>139257.62232748009</v>
      </c>
      <c r="AK76" s="22">
        <f t="shared" si="76"/>
        <v>354257.45991729689</v>
      </c>
      <c r="AL76" s="22">
        <f>AJ76*(_xlfn.XLOOKUP(Q_end,cpi!A:A,cpi!B:B)/BH76)</f>
        <v>145072.55544122655</v>
      </c>
      <c r="AM76" s="22" cm="1">
        <f t="array" ref="AM76">SUMPRODUCT($AA$3:AA76,_xlfn.SORTBY($BH$3:BH76,_xlfn.SEQUENCE(ROWS($BH$3:BH76)),-1)/$BH$3)</f>
        <v>219954.58915470832</v>
      </c>
      <c r="AN76" s="22">
        <f t="shared" si="99"/>
        <v>273560.49309006869</v>
      </c>
      <c r="AO76" s="22">
        <f t="shared" si="77"/>
        <v>0</v>
      </c>
      <c r="AP76" s="22">
        <f t="shared" si="100"/>
        <v>493515.082244777</v>
      </c>
      <c r="AQ76" s="22"/>
      <c r="AR76" s="10">
        <f>IF($B$10="3BR_H",
INDEX('ns-combined'!$C:$C,MATCH($L76,'ns-combined'!$B:$B,0),MATCH(Council_Area,'ns-combined'!$C$1:$C$1,0))*1000,
INDEX('s-combined'!$C:$C,MATCH($L76,'s-combined'!$B:$B,0),MATCH(Council_Area,'s-combined'!$C$1:$C$1,0))*1000)</f>
        <v>582500</v>
      </c>
      <c r="AS76" s="22">
        <f t="shared" si="104"/>
        <v>63177.5</v>
      </c>
      <c r="AT76" s="10">
        <v>0</v>
      </c>
      <c r="AU76" s="22">
        <f t="shared" si="78"/>
        <v>11650</v>
      </c>
      <c r="AV76" s="22">
        <f t="shared" si="79"/>
        <v>1674.6875</v>
      </c>
      <c r="AW76" s="22">
        <f>SUM($AV$3:AV76)</f>
        <v>109401.22500000001</v>
      </c>
      <c r="AX76" s="22">
        <f t="shared" si="80"/>
        <v>398271.27500000002</v>
      </c>
      <c r="AY76" s="22">
        <f t="shared" si="81"/>
        <v>2957.5000000000005</v>
      </c>
      <c r="AZ76" s="24">
        <f t="shared" si="82"/>
        <v>2.0309012875536485E-2</v>
      </c>
      <c r="BA76" s="24">
        <f t="shared" si="83"/>
        <v>0.35000000000000003</v>
      </c>
      <c r="BB76" s="25">
        <f>IF(MortgageRate="Discounted",_xlfn.XLOOKUP(L76,'mortgage-rates'!$A:$A,'mortgage-rates'!$E:$E)/100,_xlfn.XLOOKUP(L76,'mortgage-rates'!$A:$A,'mortgage-rates'!$D:$D)/100)</f>
        <v>7.1199999999999999E-2</v>
      </c>
      <c r="BC76" s="10">
        <f t="shared" si="101"/>
        <v>112552.05814390586</v>
      </c>
      <c r="BD76" s="10">
        <f t="shared" si="84"/>
        <v>5286.5317620103533</v>
      </c>
      <c r="BE76" s="10">
        <f t="shared" si="102"/>
        <v>2003.4266349615243</v>
      </c>
      <c r="BF76" s="10">
        <f t="shared" si="105"/>
        <v>3283.1051270488288</v>
      </c>
      <c r="BG76" s="12">
        <f t="shared" si="85"/>
        <v>8244.0317620103542</v>
      </c>
      <c r="BH76" s="22">
        <f>INDEX(cpi!B:B,MATCH($L76,cpi!A:A))</f>
        <v>138.9</v>
      </c>
      <c r="BI76" s="22">
        <f t="shared" si="86"/>
        <v>164.18439716312056</v>
      </c>
      <c r="BJ76" s="22">
        <f t="shared" si="87"/>
        <v>387.88856492244037</v>
      </c>
      <c r="BK76" s="22">
        <f t="shared" si="88"/>
        <v>359.54771555567845</v>
      </c>
      <c r="BL76" s="22">
        <f t="shared" si="89"/>
        <v>379.38631011241176</v>
      </c>
      <c r="BM76" s="22">
        <f t="shared" si="90"/>
        <v>539.11436002455162</v>
      </c>
      <c r="BN76" s="22">
        <f t="shared" si="91"/>
        <v>170.5710102489019</v>
      </c>
      <c r="BO76">
        <f t="shared" si="92"/>
        <v>119.66047683993037</v>
      </c>
    </row>
    <row r="77" spans="2:67" x14ac:dyDescent="0.25">
      <c r="B77" s="7"/>
      <c r="L77" s="1">
        <f t="shared" si="103"/>
        <v>45536</v>
      </c>
      <c r="M77" s="10">
        <f t="shared" si="68"/>
        <v>527054.3152587869</v>
      </c>
      <c r="N77" s="10">
        <f t="shared" si="69"/>
        <v>263316.02198314294</v>
      </c>
      <c r="O77" s="7">
        <f t="shared" si="93"/>
        <v>2.0016036672942294</v>
      </c>
      <c r="P77" s="7">
        <f t="shared" si="70"/>
        <v>1.0564442831413046</v>
      </c>
      <c r="Q77">
        <v>75</v>
      </c>
      <c r="R77">
        <f t="shared" si="71"/>
        <v>92</v>
      </c>
      <c r="S77" s="22"/>
      <c r="T77" s="22">
        <f>IF($B$10="3BR_H",
INDEX('3BR_H-processed'!$E:$E,MATCH($L77,'3BR_H-processed'!$B:$B,0),MATCH(Council_Area,'3BR_H-processed'!$E$1:$E$1,0)),
INDEX('2BR_F-processed'!$E:$E,MATCH($L77,'2BR_F-processed'!$B:$B,0),MATCH(Council_Area,'2BR_F-processed'!$E$1:$E$1,0)))</f>
        <v>680</v>
      </c>
      <c r="U77" s="22">
        <f t="shared" si="94"/>
        <v>650</v>
      </c>
      <c r="V77" s="22">
        <f t="shared" si="95"/>
        <v>8542.8571428571431</v>
      </c>
      <c r="W77" s="22">
        <f>$B$53/4*BH77/_xlfn.XLOOKUP(Q_end,cpi!A:A,cpi!B:B)</f>
        <v>192.25984796129924</v>
      </c>
      <c r="X77" s="22">
        <f t="shared" si="72"/>
        <v>8735.116990818442</v>
      </c>
      <c r="Y77" s="22">
        <f t="shared" si="73"/>
        <v>-466.70460957592149</v>
      </c>
      <c r="Z77" s="22">
        <f t="shared" si="96"/>
        <v>0</v>
      </c>
      <c r="AA77" s="22" cm="1">
        <f t="array" ref="AA77">(Y77+Z77)*eff_invest</f>
        <v>-466.70460957592149</v>
      </c>
      <c r="AB77" s="22">
        <f>AA77*(_xlfn.XLOOKUP(Q_end,cpi!A:A,cpi!B:B)/BH77)</f>
        <v>-485.493580198676</v>
      </c>
      <c r="AC77" s="22" cm="1">
        <f t="array" ref="AC77">INDEX('msci-indices'!C:C,MATCH($L77,'msci-indices'!$B:$B)-2)</f>
        <v>2988.3970690000001</v>
      </c>
      <c r="AD77" s="22" cm="1">
        <f t="array" ref="AD77">INDEX('msci-indices'!D:D,MATCH($L77,'msci-indices'!$B:$B)-2)</f>
        <v>2534.3685369999998</v>
      </c>
      <c r="AE77" s="22">
        <f t="shared" si="97"/>
        <v>493048.37763520109</v>
      </c>
      <c r="AF77" s="22" cm="1">
        <f t="array" ref="AF77">INDEX('msci-indices'!C:C,MATCH($L77,'msci-indices'!$B:$B)+1)</f>
        <v>3187.708345</v>
      </c>
      <c r="AG77" s="22" cm="1">
        <f t="array" ref="AG77">INDEX('msci-indices'!D:D,MATCH($L77,'msci-indices'!$B:$B)+1)</f>
        <v>2727.9035779999999</v>
      </c>
      <c r="AH77" s="22">
        <f t="shared" si="74"/>
        <v>308.15523602200068</v>
      </c>
      <c r="AI77" s="22">
        <f t="shared" si="75"/>
        <v>527054.3152587869</v>
      </c>
      <c r="AJ77" s="22">
        <f t="shared" si="98"/>
        <v>138790.91771790417</v>
      </c>
      <c r="AK77" s="22">
        <f t="shared" si="76"/>
        <v>388263.3975408827</v>
      </c>
      <c r="AL77" s="22">
        <f>AJ77*(_xlfn.XLOOKUP(Q_end,cpi!A:A,cpi!B:B)/BH77)</f>
        <v>144378.47443408147</v>
      </c>
      <c r="AM77" s="22" cm="1">
        <f t="array" ref="AM77">SUMPRODUCT($AA$3:AA77,_xlfn.SORTBY($BH$3:BH77,_xlfn.SEQUENCE(ROWS($BH$3:BH77)),-1)/$BH$3)</f>
        <v>220445.46200883406</v>
      </c>
      <c r="AN77" s="22">
        <f t="shared" si="99"/>
        <v>306608.85324995284</v>
      </c>
      <c r="AO77" s="22">
        <f t="shared" si="77"/>
        <v>0</v>
      </c>
      <c r="AP77" s="22">
        <f t="shared" si="100"/>
        <v>527054.3152587869</v>
      </c>
      <c r="AQ77" s="22"/>
      <c r="AR77" s="10">
        <f>IF($B$10="3BR_H",
INDEX('ns-combined'!$C:$C,MATCH($L77,'ns-combined'!$B:$B,0),MATCH(Council_Area,'ns-combined'!$C$1:$C$1,0))*1000,
INDEX('s-combined'!$C:$C,MATCH($L77,'s-combined'!$B:$B,0),MATCH(Council_Area,'s-combined'!$C$1:$C$1,0))*1000)</f>
        <v>558800</v>
      </c>
      <c r="AS77" s="22">
        <f t="shared" si="104"/>
        <v>64031.25</v>
      </c>
      <c r="AT77" s="10">
        <v>0</v>
      </c>
      <c r="AU77" s="22">
        <f t="shared" si="78"/>
        <v>11176</v>
      </c>
      <c r="AV77" s="22">
        <f t="shared" si="79"/>
        <v>1606.55</v>
      </c>
      <c r="AW77" s="22">
        <f>SUM($AV$3:AV77)</f>
        <v>111007.77500000001</v>
      </c>
      <c r="AX77" s="22">
        <f t="shared" si="80"/>
        <v>372584.97499999998</v>
      </c>
      <c r="AY77" s="22">
        <f t="shared" si="81"/>
        <v>2990.0000000000005</v>
      </c>
      <c r="AZ77" s="24">
        <f t="shared" si="82"/>
        <v>2.1403006442376523E-2</v>
      </c>
      <c r="BA77" s="24">
        <f t="shared" si="83"/>
        <v>0.35000000000000003</v>
      </c>
      <c r="BB77" s="25">
        <f>IF(MortgageRate="Discounted",_xlfn.XLOOKUP(L77,'mortgage-rates'!$A:$A,'mortgage-rates'!$E:$E)/100,_xlfn.XLOOKUP(L77,'mortgage-rates'!$A:$A,'mortgage-rates'!$D:$D)/100)</f>
        <v>7.0699999999999999E-2</v>
      </c>
      <c r="BC77" s="10">
        <f t="shared" si="101"/>
        <v>109268.95301685703</v>
      </c>
      <c r="BD77" s="10">
        <f t="shared" si="84"/>
        <v>5278.4123812425205</v>
      </c>
      <c r="BE77" s="10">
        <f t="shared" si="102"/>
        <v>1931.3287445729482</v>
      </c>
      <c r="BF77" s="10">
        <f t="shared" si="105"/>
        <v>3347.0836366695721</v>
      </c>
      <c r="BG77" s="12">
        <f t="shared" si="85"/>
        <v>8268.4123812425205</v>
      </c>
      <c r="BH77" s="22">
        <f>INDEX(cpi!B:B,MATCH($L77,cpi!A:A))</f>
        <v>139.1</v>
      </c>
      <c r="BI77" s="22">
        <f t="shared" si="86"/>
        <v>164.42080378250591</v>
      </c>
      <c r="BJ77" s="22">
        <f t="shared" si="87"/>
        <v>395.87730618942362</v>
      </c>
      <c r="BK77" s="22">
        <f t="shared" si="88"/>
        <v>355.47322120595709</v>
      </c>
      <c r="BL77" s="22">
        <f t="shared" si="89"/>
        <v>383.75608069438363</v>
      </c>
      <c r="BM77" s="22">
        <f t="shared" si="90"/>
        <v>544.20178435023422</v>
      </c>
      <c r="BN77" s="22">
        <f t="shared" si="91"/>
        <v>163.63103953147876</v>
      </c>
      <c r="BO77">
        <f t="shared" si="92"/>
        <v>111.94303624305704</v>
      </c>
    </row>
    <row r="78" spans="2:67" x14ac:dyDescent="0.25">
      <c r="B78" s="7"/>
      <c r="L78" s="1">
        <f t="shared" si="103"/>
        <v>45627</v>
      </c>
      <c r="M78" s="10">
        <f t="shared" si="68"/>
        <v>522992.45614994201</v>
      </c>
      <c r="N78" s="10">
        <f t="shared" si="69"/>
        <v>265375.3556198125</v>
      </c>
      <c r="O78" s="7">
        <f t="shared" si="93"/>
        <v>1.9707649752496317</v>
      </c>
      <c r="P78" s="7">
        <f t="shared" si="70"/>
        <v>1.0565111482149454</v>
      </c>
      <c r="Q78">
        <v>76</v>
      </c>
      <c r="R78">
        <f t="shared" si="71"/>
        <v>92</v>
      </c>
      <c r="S78" s="22"/>
      <c r="T78" s="22">
        <f>IF($B$10="3BR_H",
INDEX('3BR_H-processed'!$E:$E,MATCH($L78,'3BR_H-processed'!$B:$B,0),MATCH(Council_Area,'3BR_H-processed'!$E$1:$E$1,0)),
INDEX('2BR_F-processed'!$E:$E,MATCH($L78,'2BR_F-processed'!$B:$B,0),MATCH(Council_Area,'2BR_F-processed'!$E$1:$E$1,0)))</f>
        <v>680</v>
      </c>
      <c r="U78" s="22">
        <f t="shared" si="94"/>
        <v>650</v>
      </c>
      <c r="V78" s="22">
        <f t="shared" si="95"/>
        <v>8542.8571428571431</v>
      </c>
      <c r="W78" s="22">
        <f>$B$53/4*BH78/_xlfn.XLOOKUP(Q_end,cpi!A:A,cpi!B:B)</f>
        <v>192.81271596406359</v>
      </c>
      <c r="X78" s="22">
        <f t="shared" si="72"/>
        <v>8735.6698588212075</v>
      </c>
      <c r="Y78" s="22">
        <f t="shared" si="73"/>
        <v>-467.25747757868521</v>
      </c>
      <c r="Z78" s="22">
        <f t="shared" si="96"/>
        <v>0</v>
      </c>
      <c r="AA78" s="22" cm="1">
        <f t="array" ref="AA78">(Y78+Z78)*eff_invest</f>
        <v>-467.25747757868521</v>
      </c>
      <c r="AB78" s="22">
        <f>AA78*(_xlfn.XLOOKUP(Q_end,cpi!A:A,cpi!B:B)/BH78)</f>
        <v>-484.67496061387635</v>
      </c>
      <c r="AC78" s="22" cm="1">
        <f t="array" ref="AC78">INDEX('msci-indices'!C:C,MATCH($L78,'msci-indices'!$B:$B)-2)</f>
        <v>3187.708345</v>
      </c>
      <c r="AD78" s="22" cm="1">
        <f t="array" ref="AD78">INDEX('msci-indices'!D:D,MATCH($L78,'msci-indices'!$B:$B)-2)</f>
        <v>2727.9035779999999</v>
      </c>
      <c r="AE78" s="22">
        <f t="shared" si="97"/>
        <v>526587.05778120819</v>
      </c>
      <c r="AF78" s="22" cm="1">
        <f t="array" ref="AF78">INDEX('msci-indices'!C:C,MATCH($L78,'msci-indices'!$B:$B)+1)</f>
        <v>3174.5512990000002</v>
      </c>
      <c r="AG78" s="22" cm="1">
        <f t="array" ref="AG78">INDEX('msci-indices'!D:D,MATCH($L78,'msci-indices'!$B:$B)+1)</f>
        <v>2697.7873119999999</v>
      </c>
      <c r="AH78" s="22">
        <f t="shared" si="74"/>
        <v>329.11691111325513</v>
      </c>
      <c r="AI78" s="22">
        <f t="shared" si="75"/>
        <v>522992.45614994201</v>
      </c>
      <c r="AJ78" s="22">
        <f t="shared" si="98"/>
        <v>138323.66024032549</v>
      </c>
      <c r="AK78" s="22">
        <f t="shared" si="76"/>
        <v>384668.79590961651</v>
      </c>
      <c r="AL78" s="22">
        <f>AJ78*(_xlfn.XLOOKUP(Q_end,cpi!A:A,cpi!B:B)/BH78)</f>
        <v>143479.81101630896</v>
      </c>
      <c r="AM78" s="22" cm="1">
        <f t="array" ref="AM78">SUMPRODUCT($AA$3:AA78,_xlfn.SORTBY($BH$3:BH78,_xlfn.SEQUENCE(ROWS($BH$3:BH78)),-1)/$BH$3)</f>
        <v>221107.38771156038</v>
      </c>
      <c r="AN78" s="22">
        <f t="shared" si="99"/>
        <v>301885.06843838166</v>
      </c>
      <c r="AO78" s="22">
        <f t="shared" si="77"/>
        <v>0</v>
      </c>
      <c r="AP78" s="22">
        <f t="shared" si="100"/>
        <v>522992.45614994201</v>
      </c>
      <c r="AQ78" s="22"/>
      <c r="AR78" s="10">
        <f>IF($B$10="3BR_H",
INDEX('ns-combined'!$C:$C,MATCH($L78,'ns-combined'!$B:$B,0),MATCH(Council_Area,'ns-combined'!$C$1:$C$1,0))*1000,
INDEX('s-combined'!$C:$C,MATCH($L78,'s-combined'!$B:$B,0),MATCH(Council_Area,'s-combined'!$C$1:$C$1,0))*1000)</f>
        <v>560000</v>
      </c>
      <c r="AS78" s="22">
        <f t="shared" si="104"/>
        <v>64885</v>
      </c>
      <c r="AT78" s="10">
        <v>0</v>
      </c>
      <c r="AU78" s="22">
        <f t="shared" si="78"/>
        <v>11200</v>
      </c>
      <c r="AV78" s="22">
        <f t="shared" si="79"/>
        <v>1610</v>
      </c>
      <c r="AW78" s="22">
        <f>SUM($AV$3:AV78)</f>
        <v>112617.77500000001</v>
      </c>
      <c r="AX78" s="22">
        <f t="shared" si="80"/>
        <v>371297.22499999998</v>
      </c>
      <c r="AY78" s="22">
        <f t="shared" si="81"/>
        <v>2990.0000000000005</v>
      </c>
      <c r="AZ78" s="24">
        <f t="shared" si="82"/>
        <v>2.1357142857142859E-2</v>
      </c>
      <c r="BA78" s="24">
        <f t="shared" si="83"/>
        <v>0.35000000000000003</v>
      </c>
      <c r="BB78" s="25">
        <f>IF(MortgageRate="Discounted",_xlfn.XLOOKUP(L78,'mortgage-rates'!$A:$A,'mortgage-rates'!$E:$E)/100,_xlfn.XLOOKUP(L78,'mortgage-rates'!$A:$A,'mortgage-rates'!$D:$D)/100)</f>
        <v>7.0699999999999999E-2</v>
      </c>
      <c r="BC78" s="10">
        <f t="shared" si="101"/>
        <v>105921.86938018746</v>
      </c>
      <c r="BD78" s="10">
        <f t="shared" si="84"/>
        <v>5278.4123812425214</v>
      </c>
      <c r="BE78" s="10">
        <f t="shared" si="102"/>
        <v>1872.1690412948133</v>
      </c>
      <c r="BF78" s="10">
        <f t="shared" si="105"/>
        <v>3406.2433399477081</v>
      </c>
      <c r="BG78" s="12">
        <f t="shared" si="85"/>
        <v>8268.4123812425223</v>
      </c>
      <c r="BH78" s="22">
        <f>INDEX(cpi!B:B,MATCH($L78,cpi!A:A))</f>
        <v>139.5</v>
      </c>
      <c r="BI78" s="22">
        <f t="shared" si="86"/>
        <v>164.89361702127661</v>
      </c>
      <c r="BJ78" s="22">
        <f t="shared" si="87"/>
        <v>422.28036080842037</v>
      </c>
      <c r="BK78" s="22">
        <f t="shared" si="88"/>
        <v>382.61865149208802</v>
      </c>
      <c r="BL78" s="22">
        <f t="shared" si="89"/>
        <v>410.38184801352065</v>
      </c>
      <c r="BM78" s="22">
        <f t="shared" si="90"/>
        <v>581.2200779054217</v>
      </c>
      <c r="BN78" s="22">
        <f t="shared" si="91"/>
        <v>163.98243045387994</v>
      </c>
      <c r="BO78">
        <f t="shared" si="92"/>
        <v>111.55613216856504</v>
      </c>
    </row>
    <row r="79" spans="2:67" x14ac:dyDescent="0.25">
      <c r="L79" s="1">
        <f t="shared" si="103"/>
        <v>45717</v>
      </c>
      <c r="M79" s="10">
        <f t="shared" si="68"/>
        <v>510057.99134484975</v>
      </c>
      <c r="N79" s="10">
        <f t="shared" si="69"/>
        <v>305402.84895976022</v>
      </c>
      <c r="O79" s="7">
        <f t="shared" si="93"/>
        <v>1.6701153675617966</v>
      </c>
      <c r="P79" s="7">
        <f t="shared" si="70"/>
        <v>1.0958120619946397</v>
      </c>
      <c r="Q79">
        <v>77</v>
      </c>
      <c r="R79">
        <f t="shared" si="71"/>
        <v>90</v>
      </c>
      <c r="S79" s="22"/>
      <c r="T79" s="22">
        <f>IF($B$10="3BR_H",
INDEX('3BR_H-processed'!$E:$E,MATCH($L79,'3BR_H-processed'!$B:$B,0),MATCH(Council_Area,'3BR_H-processed'!$E$1:$E$1,0)),
INDEX('2BR_F-processed'!$E:$E,MATCH($L79,'2BR_F-processed'!$B:$B,0),MATCH(Council_Area,'2BR_F-processed'!$E$1:$E$1,0)))</f>
        <v>700</v>
      </c>
      <c r="U79" s="22">
        <f t="shared" si="94"/>
        <v>700</v>
      </c>
      <c r="V79" s="22">
        <f t="shared" si="95"/>
        <v>9000</v>
      </c>
      <c r="W79" s="22">
        <f>$B$53/4*BH79/_xlfn.XLOOKUP(Q_end,cpi!A:A,cpi!B:B)</f>
        <v>194.60953697304774</v>
      </c>
      <c r="X79" s="22">
        <f>V79+W79</f>
        <v>9194.6095369730483</v>
      </c>
      <c r="Y79" s="22">
        <f t="shared" si="73"/>
        <v>-803.92845591553305</v>
      </c>
      <c r="Z79" s="22">
        <f t="shared" si="96"/>
        <v>0</v>
      </c>
      <c r="AA79" s="22" cm="1">
        <f t="array" ref="AA79">(Y79+Z79)*eff_invest</f>
        <v>-803.92845591553305</v>
      </c>
      <c r="AB79" s="22">
        <f>AA79*(_xlfn.XLOOKUP(Q_end,cpi!A:A,cpi!B:B)/BH79)</f>
        <v>-826.19636058932974</v>
      </c>
      <c r="AC79" s="22" cm="1">
        <f t="array" ref="AC79">INDEX('msci-indices'!C:C,MATCH($L79,'msci-indices'!$B:$B)-2)</f>
        <v>3174.5512990000002</v>
      </c>
      <c r="AD79" s="22" cm="1">
        <f t="array" ref="AD79">INDEX('msci-indices'!D:D,MATCH($L79,'msci-indices'!$B:$B)-2)</f>
        <v>2697.7873119999999</v>
      </c>
      <c r="AE79" s="22">
        <f t="shared" si="97"/>
        <v>522188.52769402647</v>
      </c>
      <c r="AF79" s="22" cm="1">
        <f t="array" ref="AF79">INDEX('msci-indices'!C:C,MATCH($L79,'msci-indices'!$B:$B)+1)</f>
        <v>3111.4241780000002</v>
      </c>
      <c r="AG79" s="22" cm="1">
        <f t="array" ref="AG79">INDEX('msci-indices'!D:D,MATCH($L79,'msci-indices'!$B:$B)+1)</f>
        <v>2619.6825220000001</v>
      </c>
      <c r="AH79" s="22">
        <f t="shared" si="74"/>
        <v>326.36782980876654</v>
      </c>
      <c r="AI79" s="22">
        <f t="shared" si="75"/>
        <v>510057.99134484975</v>
      </c>
      <c r="AJ79" s="22">
        <f t="shared" si="98"/>
        <v>137519.73178440996</v>
      </c>
      <c r="AK79" s="22">
        <f t="shared" si="76"/>
        <v>372538.25956043979</v>
      </c>
      <c r="AL79" s="22">
        <f>AJ79*(_xlfn.XLOOKUP(Q_end,cpi!A:A,cpi!B:B)/BH79)</f>
        <v>141328.87208241562</v>
      </c>
      <c r="AM79" s="22" cm="1">
        <f t="array" ref="AM79">SUMPRODUCT($AA$3:AA79,_xlfn.SORTBY($BH$3:BH79,_xlfn.SEQUENCE(ROWS($BH$3:BH79)),-1)/$BH$3)</f>
        <v>222342.28262075823</v>
      </c>
      <c r="AN79" s="22">
        <f t="shared" si="99"/>
        <v>287715.70872409153</v>
      </c>
      <c r="AO79" s="22">
        <f t="shared" si="77"/>
        <v>0</v>
      </c>
      <c r="AP79" s="22">
        <f t="shared" si="100"/>
        <v>510057.99134484975</v>
      </c>
      <c r="AQ79" s="22"/>
      <c r="AR79" s="10">
        <f>IF($B$10="3BR_H",
INDEX('ns-combined'!$C:$C,MATCH($L79,'ns-combined'!$B:$B,0),MATCH(Council_Area,'ns-combined'!$C$1:$C$1,0))*1000,
INDEX('s-combined'!$C:$C,MATCH($L79,'s-combined'!$B:$B,0),MATCH(Council_Area,'s-combined'!$C$1:$C$1,0))*1000)</f>
        <v>600000</v>
      </c>
      <c r="AS79" s="22">
        <f t="shared" si="104"/>
        <v>65738.75</v>
      </c>
      <c r="AT79" s="10">
        <v>0</v>
      </c>
      <c r="AU79" s="22">
        <f t="shared" si="78"/>
        <v>12000</v>
      </c>
      <c r="AV79" s="22">
        <f t="shared" si="79"/>
        <v>1725</v>
      </c>
      <c r="AW79" s="22">
        <f>SUM($AV$3:AV79)</f>
        <v>114342.77500000001</v>
      </c>
      <c r="AX79" s="22">
        <f t="shared" si="80"/>
        <v>407918.47499999998</v>
      </c>
      <c r="AY79" s="22">
        <f t="shared" si="81"/>
        <v>3150.0000000000005</v>
      </c>
      <c r="AZ79" s="24">
        <f t="shared" si="82"/>
        <v>2.1000000000000001E-2</v>
      </c>
      <c r="BA79" s="24">
        <f t="shared" si="83"/>
        <v>0.35000000000000003</v>
      </c>
      <c r="BB79" s="25">
        <f>IF(MortgageRate="Discounted",_xlfn.XLOOKUP(L79,'mortgage-rates'!$A:$A,'mortgage-rates'!$E:$E)/100,_xlfn.XLOOKUP(L79,'mortgage-rates'!$A:$A,'mortgage-rates'!$D:$D)/100)</f>
        <v>6.8199999999999997E-2</v>
      </c>
      <c r="BC79" s="10">
        <f t="shared" si="101"/>
        <v>102515.62604023976</v>
      </c>
      <c r="BD79" s="10">
        <f t="shared" si="84"/>
        <v>5240.6810810575153</v>
      </c>
      <c r="BE79" s="10">
        <f t="shared" si="102"/>
        <v>1747.8914239860878</v>
      </c>
      <c r="BF79" s="10">
        <f t="shared" si="105"/>
        <v>3492.7896570714274</v>
      </c>
      <c r="BG79" s="12">
        <f t="shared" si="85"/>
        <v>8390.6810810575153</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576.36520355527523</v>
      </c>
      <c r="BN79" s="22">
        <f t="shared" si="91"/>
        <v>175.69546120058564</v>
      </c>
      <c r="BO79">
        <f t="shared" si="92"/>
        <v>122.55897498587417</v>
      </c>
    </row>
    <row r="80" spans="2:67" x14ac:dyDescent="0.25">
      <c r="B80" s="7"/>
      <c r="L80" s="1">
        <f t="shared" si="103"/>
        <v>45809</v>
      </c>
      <c r="M80" s="10">
        <f t="shared" si="68"/>
        <v>564040.78571944742</v>
      </c>
      <c r="N80" s="10">
        <f t="shared" si="69"/>
        <v>329767.88861683162</v>
      </c>
      <c r="O80" s="7">
        <f t="shared" si="93"/>
        <v>1.7104175548603076</v>
      </c>
      <c r="P80" s="7">
        <f t="shared" si="70"/>
        <v>1.1132157170432138</v>
      </c>
      <c r="Q80">
        <v>78</v>
      </c>
      <c r="R80">
        <f t="shared" si="71"/>
        <v>91</v>
      </c>
      <c r="S80" s="22"/>
      <c r="T80" s="22">
        <f>IF($B$10="3BR_H",
INDEX('3BR_H-processed'!$E:$E,MATCH($L80,'3BR_H-processed'!$B:$B,0),MATCH(Council_Area,'3BR_H-processed'!$E$1:$E$1,0)),
INDEX('2BR_F-processed'!$E:$E,MATCH($L80,'2BR_F-processed'!$B:$B,0),MATCH(Council_Area,'2BR_F-processed'!$E$1:$E$1,0)))</f>
        <v>680</v>
      </c>
      <c r="U80" s="22">
        <f t="shared" si="94"/>
        <v>700</v>
      </c>
      <c r="V80" s="22">
        <f t="shared" si="95"/>
        <v>9100</v>
      </c>
      <c r="W80" s="22">
        <f>$B$53/4*BH80/_xlfn.XLOOKUP(Q_end,cpi!A:A,cpi!B:B)</f>
        <v>195.99170697995856</v>
      </c>
      <c r="X80" s="22">
        <f t="shared" si="72"/>
        <v>9295.9917069799594</v>
      </c>
      <c r="Y80" s="22">
        <f t="shared" si="73"/>
        <v>-945.41637404194989</v>
      </c>
      <c r="Z80" s="22">
        <f t="shared" si="96"/>
        <v>0</v>
      </c>
      <c r="AA80" s="22" cm="1">
        <f t="array" ref="AA80">(Y80+Z80)*eff_invest</f>
        <v>-945.41637404194989</v>
      </c>
      <c r="AB80" s="22">
        <f>AA80*(_xlfn.XLOOKUP(Q_end,cpi!A:A,cpi!B:B)/BH80)</f>
        <v>-964.75140566904179</v>
      </c>
      <c r="AC80" s="22" cm="1">
        <f t="array" ref="AC80">INDEX('msci-indices'!C:C,MATCH($L80,'msci-indices'!$B:$B)-2)</f>
        <v>3111.4241780000002</v>
      </c>
      <c r="AD80" s="22" cm="1">
        <f t="array" ref="AD80">INDEX('msci-indices'!D:D,MATCH($L80,'msci-indices'!$B:$B)-2)</f>
        <v>2619.6825220000001</v>
      </c>
      <c r="AE80" s="22">
        <f t="shared" si="97"/>
        <v>509112.57497080782</v>
      </c>
      <c r="AF80" s="22" cm="1">
        <f t="array" ref="AF80">INDEX('msci-indices'!C:C,MATCH($L80,'msci-indices'!$B:$B)+1)</f>
        <v>3468.7668789999998</v>
      </c>
      <c r="AG80" s="22" cm="1">
        <f t="array" ref="AG80">INDEX('msci-indices'!D:D,MATCH($L80,'msci-indices'!$B:$B)+1)</f>
        <v>2865.243618</v>
      </c>
      <c r="AH80" s="22">
        <f t="shared" si="74"/>
        <v>318.19535935675492</v>
      </c>
      <c r="AI80" s="22">
        <f t="shared" si="75"/>
        <v>564040.78571944742</v>
      </c>
      <c r="AJ80" s="22">
        <f t="shared" si="98"/>
        <v>136574.315410368</v>
      </c>
      <c r="AK80" s="22">
        <f t="shared" si="76"/>
        <v>427466.47030907939</v>
      </c>
      <c r="AL80" s="22">
        <f>AJ80*(_xlfn.XLOOKUP(Q_end,cpi!A:A,cpi!B:B)/BH80)</f>
        <v>139367.44315853488</v>
      </c>
      <c r="AM80" s="22" cm="1">
        <f t="array" ref="AM80">SUMPRODUCT($AA$3:AA80,_xlfn.SORTBY($BH$3:BH80,_xlfn.SEQUENCE(ROWS($BH$3:BH80)),-1)/$BH$3)</f>
        <v>223094.24114438985</v>
      </c>
      <c r="AN80" s="22">
        <f t="shared" si="99"/>
        <v>340946.54457505757</v>
      </c>
      <c r="AO80" s="22">
        <f t="shared" si="77"/>
        <v>0</v>
      </c>
      <c r="AP80" s="22">
        <f t="shared" si="100"/>
        <v>564040.78571944742</v>
      </c>
      <c r="AQ80" s="22"/>
      <c r="AR80" s="10">
        <f>IF($B$10="3BR_H",
INDEX('ns-combined'!$C:$C,MATCH($L80,'ns-combined'!$B:$B,0),MATCH(Council_Area,'ns-combined'!$C$1:$C$1,0))*1000,
INDEX('s-combined'!$C:$C,MATCH($L80,'s-combined'!$B:$B,0),MATCH(Council_Area,'s-combined'!$C$1:$C$1,0))*1000)</f>
        <v>624000</v>
      </c>
      <c r="AS80" s="22">
        <f t="shared" si="104"/>
        <v>66592.5</v>
      </c>
      <c r="AT80" s="10">
        <v>0</v>
      </c>
      <c r="AU80" s="22">
        <f t="shared" si="78"/>
        <v>12480</v>
      </c>
      <c r="AV80" s="22">
        <f t="shared" si="79"/>
        <v>1794</v>
      </c>
      <c r="AW80" s="22">
        <f>SUM($AV$3:AV80)</f>
        <v>116136.77500000001</v>
      </c>
      <c r="AX80" s="22">
        <f t="shared" si="80"/>
        <v>428790.72499999998</v>
      </c>
      <c r="AY80" s="22">
        <f t="shared" si="81"/>
        <v>3185.0000000000005</v>
      </c>
      <c r="AZ80" s="24">
        <f t="shared" si="82"/>
        <v>2.041666666666667E-2</v>
      </c>
      <c r="BA80" s="24">
        <f t="shared" si="83"/>
        <v>0.35000000000000003</v>
      </c>
      <c r="BB80" s="25">
        <f>IF(MortgageRate="Discounted",_xlfn.XLOOKUP(L80,'mortgage-rates'!$A:$A,'mortgage-rates'!$E:$E)/100,_xlfn.XLOOKUP(L80,'mortgage-rates'!$A:$A,'mortgage-rates'!$D:$D)/100)</f>
        <v>6.3E-2</v>
      </c>
      <c r="BC80" s="10">
        <f t="shared" si="101"/>
        <v>99022.836383168338</v>
      </c>
      <c r="BD80" s="10">
        <f t="shared" si="84"/>
        <v>5165.5753329380095</v>
      </c>
      <c r="BE80" s="10">
        <f t="shared" si="102"/>
        <v>1559.6096730349013</v>
      </c>
      <c r="BF80" s="10">
        <f t="shared" si="105"/>
        <v>3605.9656599031082</v>
      </c>
      <c r="BG80" s="12">
        <f t="shared" si="85"/>
        <v>8350.5753329380095</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561.93263034981203</v>
      </c>
      <c r="BN80" s="22">
        <f t="shared" si="91"/>
        <v>182.72327964860906</v>
      </c>
      <c r="BO80">
        <f t="shared" si="92"/>
        <v>128.83003580421271</v>
      </c>
    </row>
    <row r="81" spans="2:67" x14ac:dyDescent="0.25">
      <c r="B81" s="7"/>
      <c r="L81" s="1">
        <f t="shared" si="103"/>
        <v>45901</v>
      </c>
      <c r="M81" s="10">
        <f>AP81</f>
        <v>599578.23415202729</v>
      </c>
      <c r="N81" s="10">
        <f t="shared" si="69"/>
        <v>375673.85427673475</v>
      </c>
      <c r="O81" s="7">
        <f t="shared" si="93"/>
        <v>1.5960073540554585</v>
      </c>
      <c r="P81" s="7">
        <f t="shared" si="70"/>
        <v>1.1254202364709021</v>
      </c>
      <c r="Q81">
        <v>79</v>
      </c>
      <c r="R81">
        <f t="shared" si="71"/>
        <v>92</v>
      </c>
      <c r="S81" s="22"/>
      <c r="T81" s="22">
        <f>IF($B$10="3BR_H",
INDEX('3BR_H-processed'!$E:$E,MATCH($L81,'3BR_H-processed'!$B:$B,0),MATCH(Council_Area,'3BR_H-processed'!$E$1:$E$1,0)),
INDEX('2BR_F-processed'!$E:$E,MATCH($L81,'2BR_F-processed'!$B:$B,0),MATCH(Council_Area,'2BR_F-processed'!$E$1:$E$1,0)))</f>
        <v>700</v>
      </c>
      <c r="U81" s="22">
        <f t="shared" si="94"/>
        <v>700</v>
      </c>
      <c r="V81" s="22">
        <f t="shared" si="95"/>
        <v>9200</v>
      </c>
      <c r="W81" s="22">
        <f>$B$53/4*BH81/_xlfn.XLOOKUP(Q_end,cpi!A:A,cpi!B:B)</f>
        <v>198.47961299239807</v>
      </c>
      <c r="X81" s="22">
        <f t="shared" si="72"/>
        <v>9398.479612992398</v>
      </c>
      <c r="Y81" s="22">
        <f t="shared" si="73"/>
        <v>-1047.3950061754877</v>
      </c>
      <c r="Z81" s="22">
        <f t="shared" si="96"/>
        <v>0</v>
      </c>
      <c r="AA81" s="22" cm="1">
        <f t="array" ref="AA81">(Y81+Z81)*eff_invest</f>
        <v>-1047.3950061754877</v>
      </c>
      <c r="AB81" s="22">
        <f>AA81*(_xlfn.XLOOKUP(Q_end,cpi!A:A,cpi!B:B)/BH81)</f>
        <v>-1055.4182269748819</v>
      </c>
      <c r="AC81" s="22" cm="1">
        <f t="array" ref="AC81">INDEX('msci-indices'!C:C,MATCH($L81,'msci-indices'!$B:$B)-2)</f>
        <v>3468.7668789999998</v>
      </c>
      <c r="AD81" s="22" cm="1">
        <f t="array" ref="AD81">INDEX('msci-indices'!D:D,MATCH($L81,'msci-indices'!$B:$B)-2)</f>
        <v>2865.243618</v>
      </c>
      <c r="AE81" s="22">
        <f t="shared" si="97"/>
        <v>562993.39071327192</v>
      </c>
      <c r="AF81" s="22" cm="1">
        <f t="array" ref="AF81">INDEX('msci-indices'!C:C,MATCH($L81,'msci-indices'!$B:$B)+1)</f>
        <v>3725.5302940000001</v>
      </c>
      <c r="AG81" s="22" cm="1">
        <f t="array" ref="AG81">INDEX('msci-indices'!D:D,MATCH($L81,'msci-indices'!$B:$B)+1)</f>
        <v>2996.9746749999999</v>
      </c>
      <c r="AH81" s="22">
        <f t="shared" si="74"/>
        <v>351.87086919579497</v>
      </c>
      <c r="AI81" s="22">
        <f t="shared" si="75"/>
        <v>599578.23415202729</v>
      </c>
      <c r="AJ81" s="22">
        <f t="shared" si="98"/>
        <v>135526.92040419253</v>
      </c>
      <c r="AK81" s="22">
        <f t="shared" si="76"/>
        <v>464051.31374783476</v>
      </c>
      <c r="AL81" s="22">
        <f>AJ81*(_xlfn.XLOOKUP(Q_end,cpi!A:A,cpi!B:B)/BH81)</f>
        <v>136565.07926522742</v>
      </c>
      <c r="AM81" s="22" cm="1">
        <f t="array" ref="AM81">SUMPRODUCT($AA$3:AA81,_xlfn.SORTBY($BH$3:BH81,_xlfn.SEQUENCE(ROWS($BH$3:BH81)),-1)/$BH$3)</f>
        <v>224559.59283398063</v>
      </c>
      <c r="AN81" s="22">
        <f t="shared" si="99"/>
        <v>375018.64131804666</v>
      </c>
      <c r="AO81" s="22">
        <f t="shared" si="77"/>
        <v>0</v>
      </c>
      <c r="AP81" s="22">
        <f t="shared" si="100"/>
        <v>599578.23415202729</v>
      </c>
      <c r="AQ81" s="22"/>
      <c r="AR81" s="10">
        <f>IF($B$10="3BR_H",
INDEX('ns-combined'!$C:$C,MATCH($L81,'ns-combined'!$B:$B,0),MATCH(Council_Area,'ns-combined'!$C$1:$C$1,0))*1000,
INDEX('s-combined'!$C:$C,MATCH($L81,'s-combined'!$B:$B,0),MATCH(Council_Area,'s-combined'!$C$1:$C$1,0))*1000)</f>
        <v>670000</v>
      </c>
      <c r="AS81" s="22">
        <f t="shared" si="104"/>
        <v>67446.25</v>
      </c>
      <c r="AT81" s="10">
        <v>0</v>
      </c>
      <c r="AU81" s="22">
        <f t="shared" si="78"/>
        <v>13400</v>
      </c>
      <c r="AV81" s="22">
        <f t="shared" si="79"/>
        <v>1926.25</v>
      </c>
      <c r="AW81" s="22">
        <f>SUM($AV$3:AV81)</f>
        <v>118063.02500000001</v>
      </c>
      <c r="AX81" s="22">
        <f t="shared" si="80"/>
        <v>471090.72499999998</v>
      </c>
      <c r="AY81" s="22">
        <f t="shared" si="81"/>
        <v>3220.0000000000005</v>
      </c>
      <c r="AZ81" s="24">
        <f t="shared" si="82"/>
        <v>1.9223880597014929E-2</v>
      </c>
      <c r="BA81" s="24">
        <f t="shared" si="83"/>
        <v>0.35000000000000003</v>
      </c>
      <c r="BB81" s="25">
        <f>IF(MortgageRate="Discounted",_xlfn.XLOOKUP(L81,'mortgage-rates'!$A:$A,'mortgage-rates'!$E:$E)/100,_xlfn.XLOOKUP(L81,'mortgage-rates'!$A:$A,'mortgage-rates'!$D:$D)/100)</f>
        <v>6.0499999999999998E-2</v>
      </c>
      <c r="BC81" s="10">
        <f t="shared" si="101"/>
        <v>95416.870723265223</v>
      </c>
      <c r="BD81" s="10">
        <f t="shared" si="84"/>
        <v>5131.0846068169094</v>
      </c>
      <c r="BE81" s="10">
        <f t="shared" si="102"/>
        <v>1443.1801696893865</v>
      </c>
      <c r="BF81" s="10">
        <f t="shared" si="105"/>
        <v>3687.9044371275231</v>
      </c>
      <c r="BG81" s="12">
        <f t="shared" si="85"/>
        <v>8351.0846068169103</v>
      </c>
      <c r="BH81" s="22">
        <f>INDEX(cpi!B:B,MATCH($L81,cpi!A:A))</f>
        <v>143.6</v>
      </c>
      <c r="BI81" s="22">
        <f t="shared" si="86"/>
        <v>169.73995271867614</v>
      </c>
      <c r="BJ81" s="22">
        <f t="shared" si="87"/>
        <v>459.51259359156273</v>
      </c>
      <c r="BK81" s="22">
        <f t="shared" si="88"/>
        <v>401.88211128753886</v>
      </c>
      <c r="BL81" s="22">
        <f t="shared" si="89"/>
        <v>442.22344890035555</v>
      </c>
      <c r="BM81" s="22">
        <f t="shared" si="90"/>
        <v>621.40354111506383</v>
      </c>
      <c r="BN81" s="22">
        <f t="shared" si="91"/>
        <v>196.19326500732063</v>
      </c>
      <c r="BO81">
        <f t="shared" si="92"/>
        <v>141.53905723772948</v>
      </c>
    </row>
    <row r="82" spans="2:67" x14ac:dyDescent="0.25">
      <c r="B82" s="7"/>
      <c r="L82" s="1">
        <f>DATE(YEAR(L81),MONTH(L81)+3,1)</f>
        <v>45992</v>
      </c>
      <c r="M82" s="10">
        <f>AP82</f>
        <v>609140.29532297188</v>
      </c>
      <c r="N82" s="10">
        <f t="shared" si="69"/>
        <v>416643.88371386228</v>
      </c>
      <c r="O82" s="7">
        <f t="shared" si="93"/>
        <v>1.4620166505103673</v>
      </c>
      <c r="P82" s="7">
        <f t="shared" si="70"/>
        <v>1.1256022950991142</v>
      </c>
      <c r="Q82">
        <v>80</v>
      </c>
      <c r="R82">
        <f t="shared" si="71"/>
        <v>92</v>
      </c>
      <c r="S82" s="22"/>
      <c r="T82" s="22">
        <f>IF($B$10="3BR_H",
INDEX('3BR_H-processed'!$E:$E,MATCH($L82,'3BR_H-processed'!$B:$B,0),MATCH(Council_Area,'3BR_H-processed'!$E$1:$E$1,0)),
INDEX('2BR_F-processed'!$E:$E,MATCH($L82,'2BR_F-processed'!$B:$B,0),MATCH(Council_Area,'2BR_F-processed'!$E$1:$E$1,0)))</f>
        <v>700</v>
      </c>
      <c r="U82" s="22">
        <f t="shared" si="94"/>
        <v>700</v>
      </c>
      <c r="V82" s="22">
        <f t="shared" si="95"/>
        <v>9200</v>
      </c>
      <c r="W82" s="22">
        <f>$B$53/4*BH82/_xlfn.XLOOKUP(Q_end,cpi!A:A,cpi!B:B)</f>
        <v>200</v>
      </c>
      <c r="X82" s="22">
        <f>V82+W82</f>
        <v>9400</v>
      </c>
      <c r="Y82" s="22">
        <f>BG82-X82</f>
        <v>-1048.9153931830879</v>
      </c>
      <c r="Z82" s="22">
        <f t="shared" si="96"/>
        <v>0</v>
      </c>
      <c r="AA82" s="22" cm="1">
        <f t="array" ref="AA82">(Y82+Z82)*eff_invest</f>
        <v>-1048.9153931830879</v>
      </c>
      <c r="AB82" s="22">
        <f>AA82*(_xlfn.XLOOKUP(Q_end,cpi!A:A,cpi!B:B)/BH82)</f>
        <v>-1048.9153931830879</v>
      </c>
      <c r="AC82" s="22" cm="1">
        <f t="array" ref="AC82">INDEX('msci-indices'!C:C,MATCH($L82,'msci-indices'!$B:$B)-2)</f>
        <v>3725.5302940000001</v>
      </c>
      <c r="AD82" s="22" cm="1">
        <f t="array" ref="AD82">INDEX('msci-indices'!D:D,MATCH($L82,'msci-indices'!$B:$B)-2)</f>
        <v>2996.9746749999999</v>
      </c>
      <c r="AE82" s="22">
        <f t="shared" si="97"/>
        <v>598529.31875884417</v>
      </c>
      <c r="AF82" s="22" cm="1">
        <f t="array" ref="AF82">INDEX('msci-indices'!C:C,MATCH($L82,'msci-indices'!$B:$B)+1)</f>
        <v>3840.531755</v>
      </c>
      <c r="AG82" s="22" cm="1">
        <f t="array" ref="AG82">INDEX('msci-indices'!D:D,MATCH($L82,'msci-indices'!$B:$B)+1)</f>
        <v>2964.4622850000001</v>
      </c>
      <c r="AH82" s="22">
        <f t="shared" si="74"/>
        <v>374.08082422427759</v>
      </c>
      <c r="AI82" s="22">
        <f t="shared" si="75"/>
        <v>609140.29532297188</v>
      </c>
      <c r="AJ82" s="22">
        <f t="shared" si="98"/>
        <v>134478.00501100943</v>
      </c>
      <c r="AK82" s="22">
        <f t="shared" si="76"/>
        <v>474662.29031196248</v>
      </c>
      <c r="AL82" s="22">
        <f>AJ82*(_xlfn.XLOOKUP(Q_end,cpi!A:A,cpi!B:B)/BH82)</f>
        <v>134478.00501100943</v>
      </c>
      <c r="AM82" s="22" cm="1">
        <f t="array" ref="AM82">SUMPRODUCT($AA$3:AA82,_xlfn.SORTBY($BH$3:BH82,_xlfn.SEQUENCE(ROWS($BH$3:BH82)),-1)/$BH$3)</f>
        <v>225275.9415720315</v>
      </c>
      <c r="AN82" s="22">
        <f>AI82-AM82</f>
        <v>383864.35375094041</v>
      </c>
      <c r="AO82" s="22">
        <f t="shared" si="77"/>
        <v>0</v>
      </c>
      <c r="AP82" s="22">
        <f>AI82-AO82</f>
        <v>609140.29532297188</v>
      </c>
      <c r="AQ82" s="22"/>
      <c r="AR82" s="10">
        <f>IF($B$10="3BR_H",
INDEX('ns-combined'!$C:$C,MATCH($L82,'ns-combined'!$B:$B,0),MATCH(Council_Area,'ns-combined'!$C$1:$C$1,0))*1000,
INDEX('s-combined'!$C:$C,MATCH($L82,'s-combined'!$B:$B,0),MATCH(Council_Area,'s-combined'!$C$1:$C$1,0))*1000)</f>
        <v>711000</v>
      </c>
      <c r="AS82" s="22">
        <f>AS81+$AS$3</f>
        <v>68300</v>
      </c>
      <c r="AT82" s="10">
        <v>0</v>
      </c>
      <c r="AU82" s="22">
        <f t="shared" si="78"/>
        <v>14220</v>
      </c>
      <c r="AV82" s="22">
        <f t="shared" si="79"/>
        <v>2044.125</v>
      </c>
      <c r="AW82" s="22">
        <f>SUM($AV$3:AV82)</f>
        <v>120107.15000000001</v>
      </c>
      <c r="AX82" s="22">
        <f t="shared" si="80"/>
        <v>508372.85</v>
      </c>
      <c r="AY82" s="22">
        <f t="shared" si="81"/>
        <v>3220.0000000000005</v>
      </c>
      <c r="AZ82" s="24">
        <f t="shared" si="82"/>
        <v>1.8115330520393814E-2</v>
      </c>
      <c r="BA82" s="24">
        <f t="shared" si="83"/>
        <v>0.35000000000000003</v>
      </c>
      <c r="BB82" s="25">
        <f>IF(MortgageRate="Discounted",_xlfn.XLOOKUP(L82,'mortgage-rates'!$A:$A,'mortgage-rates'!$E:$E)/100,_xlfn.XLOOKUP(L82,'mortgage-rates'!$A:$A,'mortgage-rates'!$D:$D)/100)</f>
        <v>6.0499999999999998E-2</v>
      </c>
      <c r="BC82" s="10">
        <f t="shared" si="101"/>
        <v>91728.9662861377</v>
      </c>
      <c r="BD82" s="10">
        <f t="shared" si="84"/>
        <v>5131.0846068169112</v>
      </c>
      <c r="BE82" s="10">
        <f t="shared" si="102"/>
        <v>1387.4006150778328</v>
      </c>
      <c r="BF82" s="10">
        <f t="shared" si="105"/>
        <v>3743.6839917390785</v>
      </c>
      <c r="BG82" s="12">
        <f t="shared" si="85"/>
        <v>8351.0846068169121</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660.62629557111904</v>
      </c>
      <c r="BN82" s="22">
        <f t="shared" si="91"/>
        <v>208.19912152269399</v>
      </c>
      <c r="BO82">
        <f t="shared" si="92"/>
        <v>152.74045973683238</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'2BR_F-processed'!$E$1:$E$1</xm:f>
          </x14:formula1>
          <xm:sqref>B13:C13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topLeftCell="A795" workbookViewId="0">
      <selection activeCell="H823" sqref="H823"/>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B140-3029-4A50-92A2-2EBFC006705E}">
  <sheetPr>
    <tabColor rgb="FFFF0000"/>
  </sheetPr>
  <dimension ref="A1:F14"/>
  <sheetViews>
    <sheetView workbookViewId="0">
      <selection activeCell="D10" sqref="D10"/>
    </sheetView>
  </sheetViews>
  <sheetFormatPr defaultRowHeight="15" x14ac:dyDescent="0.25"/>
  <cols>
    <col min="1" max="6" width="12.85546875" customWidth="1"/>
  </cols>
  <sheetData>
    <row r="1" spans="1:6" x14ac:dyDescent="0.25">
      <c r="A1" t="s">
        <v>632</v>
      </c>
      <c r="B1" t="s">
        <v>5</v>
      </c>
      <c r="C1" t="s">
        <v>557</v>
      </c>
      <c r="D1" t="s">
        <v>636</v>
      </c>
    </row>
    <row r="2" spans="1:6" x14ac:dyDescent="0.25">
      <c r="A2" s="1">
        <v>44896</v>
      </c>
      <c r="B2">
        <v>620</v>
      </c>
      <c r="C2">
        <v>520</v>
      </c>
      <c r="D2" s="7"/>
      <c r="E2" s="7"/>
      <c r="F2" s="7"/>
    </row>
    <row r="3" spans="1:6" x14ac:dyDescent="0.25">
      <c r="A3" s="1">
        <v>44986</v>
      </c>
      <c r="B3">
        <v>650</v>
      </c>
      <c r="C3">
        <v>525</v>
      </c>
      <c r="D3" s="7"/>
      <c r="E3" s="7"/>
      <c r="F3" s="7"/>
    </row>
    <row r="4" spans="1:6" x14ac:dyDescent="0.25">
      <c r="A4" s="1">
        <v>45078</v>
      </c>
      <c r="B4">
        <v>650</v>
      </c>
      <c r="C4">
        <v>520</v>
      </c>
      <c r="D4" s="7"/>
      <c r="E4" s="7"/>
      <c r="F4" s="7"/>
    </row>
    <row r="5" spans="1:6" x14ac:dyDescent="0.25">
      <c r="A5" s="1">
        <v>45170</v>
      </c>
      <c r="B5">
        <v>650</v>
      </c>
      <c r="C5">
        <v>520</v>
      </c>
      <c r="D5" s="7"/>
      <c r="E5" s="7"/>
      <c r="F5" s="7"/>
    </row>
    <row r="6" spans="1:6" x14ac:dyDescent="0.25">
      <c r="A6" s="1">
        <v>45261</v>
      </c>
      <c r="B6">
        <v>650</v>
      </c>
      <c r="C6">
        <v>540</v>
      </c>
      <c r="D6" s="7"/>
      <c r="E6" s="7"/>
      <c r="F6" s="7"/>
    </row>
    <row r="7" spans="1:6" x14ac:dyDescent="0.25">
      <c r="A7" s="1">
        <v>45352</v>
      </c>
      <c r="B7">
        <v>650</v>
      </c>
      <c r="C7">
        <v>550</v>
      </c>
      <c r="D7" s="7"/>
      <c r="E7" s="7"/>
      <c r="F7" s="7"/>
    </row>
    <row r="8" spans="1:6" x14ac:dyDescent="0.25">
      <c r="A8" s="1">
        <v>45444</v>
      </c>
      <c r="B8">
        <v>660</v>
      </c>
      <c r="C8">
        <v>530</v>
      </c>
      <c r="D8" s="7"/>
      <c r="E8" s="7"/>
      <c r="F8" s="7"/>
    </row>
    <row r="9" spans="1:6" x14ac:dyDescent="0.25">
      <c r="A9" s="1">
        <v>45536</v>
      </c>
      <c r="B9">
        <v>680</v>
      </c>
      <c r="C9">
        <v>550</v>
      </c>
      <c r="D9" s="7"/>
      <c r="E9" s="7"/>
      <c r="F9" s="7"/>
    </row>
    <row r="10" spans="1:6" x14ac:dyDescent="0.25">
      <c r="A10" s="1">
        <v>45627</v>
      </c>
      <c r="B10">
        <v>680</v>
      </c>
      <c r="C10">
        <v>550</v>
      </c>
      <c r="D10" s="7"/>
      <c r="E10" s="7"/>
      <c r="F10" s="7"/>
    </row>
    <row r="11" spans="1:6" x14ac:dyDescent="0.25">
      <c r="A11" s="1">
        <v>45717</v>
      </c>
      <c r="B11">
        <v>700</v>
      </c>
      <c r="C11">
        <v>560</v>
      </c>
      <c r="D11" s="7"/>
      <c r="E11" s="7"/>
      <c r="F11" s="7"/>
    </row>
    <row r="12" spans="1:6" x14ac:dyDescent="0.25">
      <c r="A12" s="1">
        <v>45809</v>
      </c>
      <c r="B12">
        <v>680</v>
      </c>
      <c r="C12">
        <v>560</v>
      </c>
      <c r="D12" s="7"/>
      <c r="E12" s="7"/>
      <c r="F12" s="7"/>
    </row>
    <row r="13" spans="1:6" x14ac:dyDescent="0.25">
      <c r="A13" s="1">
        <v>45901</v>
      </c>
      <c r="B13">
        <v>700</v>
      </c>
      <c r="C13">
        <v>580</v>
      </c>
      <c r="D13" s="7"/>
      <c r="E13" s="46"/>
      <c r="F13" s="46"/>
    </row>
    <row r="14" spans="1:6" x14ac:dyDescent="0.25">
      <c r="A14" s="1">
        <v>45992</v>
      </c>
      <c r="B14">
        <v>700</v>
      </c>
      <c r="C14">
        <v>598</v>
      </c>
      <c r="D14" s="7"/>
      <c r="E14" s="46"/>
      <c r="F14" s="4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9194-BCD9-42F8-AB42-5331A10B1A16}">
  <sheetPr>
    <tabColor rgb="FFFF0000"/>
  </sheetPr>
  <dimension ref="A1:D13"/>
  <sheetViews>
    <sheetView workbookViewId="0">
      <selection activeCell="C14" sqref="C14"/>
    </sheetView>
  </sheetViews>
  <sheetFormatPr defaultRowHeight="15" x14ac:dyDescent="0.25"/>
  <cols>
    <col min="1" max="1" width="11.85546875" customWidth="1"/>
    <col min="2" max="3" width="19.85546875" customWidth="1"/>
  </cols>
  <sheetData>
    <row r="1" spans="1:4" x14ac:dyDescent="0.25">
      <c r="A1" t="s">
        <v>637</v>
      </c>
      <c r="D1" s="47" t="s">
        <v>638</v>
      </c>
    </row>
    <row r="2" spans="1:4" x14ac:dyDescent="0.25">
      <c r="A2" t="s">
        <v>644</v>
      </c>
      <c r="B2" t="s">
        <v>639</v>
      </c>
      <c r="C2" t="s">
        <v>640</v>
      </c>
    </row>
    <row r="3" spans="1:4" x14ac:dyDescent="0.25">
      <c r="A3">
        <v>2008</v>
      </c>
      <c r="B3">
        <v>407</v>
      </c>
      <c r="C3">
        <v>328</v>
      </c>
    </row>
    <row r="4" spans="1:4" x14ac:dyDescent="0.25">
      <c r="A4">
        <v>2010</v>
      </c>
      <c r="B4">
        <v>498</v>
      </c>
      <c r="C4">
        <v>415</v>
      </c>
    </row>
    <row r="5" spans="1:4" x14ac:dyDescent="0.25">
      <c r="A5">
        <v>2015</v>
      </c>
      <c r="B5">
        <v>612</v>
      </c>
      <c r="C5">
        <v>503</v>
      </c>
    </row>
    <row r="6" spans="1:4" x14ac:dyDescent="0.25">
      <c r="A6">
        <v>2016</v>
      </c>
      <c r="B6">
        <v>554</v>
      </c>
      <c r="C6">
        <v>453</v>
      </c>
    </row>
    <row r="7" spans="1:4" x14ac:dyDescent="0.25">
      <c r="A7">
        <v>2017</v>
      </c>
      <c r="B7">
        <v>513</v>
      </c>
      <c r="C7">
        <v>408</v>
      </c>
    </row>
    <row r="8" spans="1:4" x14ac:dyDescent="0.25">
      <c r="A8">
        <v>2018</v>
      </c>
      <c r="B8">
        <v>499</v>
      </c>
      <c r="C8">
        <v>391</v>
      </c>
    </row>
    <row r="9" spans="1:4" x14ac:dyDescent="0.25">
      <c r="A9">
        <v>2019</v>
      </c>
      <c r="B9">
        <v>474</v>
      </c>
      <c r="C9">
        <v>368</v>
      </c>
    </row>
    <row r="10" spans="1:4" x14ac:dyDescent="0.25">
      <c r="A10">
        <v>2020</v>
      </c>
      <c r="B10">
        <v>458</v>
      </c>
      <c r="C10">
        <v>353</v>
      </c>
    </row>
    <row r="11" spans="1:4" x14ac:dyDescent="0.25">
      <c r="A11">
        <v>2021</v>
      </c>
      <c r="B11">
        <v>525</v>
      </c>
      <c r="C11">
        <v>397</v>
      </c>
    </row>
    <row r="12" spans="1:4" x14ac:dyDescent="0.25">
      <c r="A12" s="1">
        <v>44713</v>
      </c>
      <c r="B12">
        <v>597</v>
      </c>
      <c r="C12">
        <v>470</v>
      </c>
    </row>
    <row r="13" spans="1:4" x14ac:dyDescent="0.25">
      <c r="A13" s="1">
        <v>44896</v>
      </c>
      <c r="B13">
        <v>600</v>
      </c>
      <c r="C13">
        <v>490</v>
      </c>
    </row>
  </sheetData>
  <hyperlinks>
    <hyperlink ref="D1" r:id="rId1" xr:uid="{B15FD65B-4FD1-4A0E-8FF8-8631018504D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K109"/>
  <sheetViews>
    <sheetView workbookViewId="0">
      <pane ySplit="1" topLeftCell="A2" activePane="bottomLeft" state="frozen"/>
      <selection pane="bottomLeft" activeCell="N31" sqref="N31"/>
    </sheetView>
  </sheetViews>
  <sheetFormatPr defaultRowHeight="15" x14ac:dyDescent="0.25"/>
  <cols>
    <col min="1" max="1" width="33.42578125" bestFit="1" customWidth="1"/>
    <col min="5" max="5" width="11" bestFit="1" customWidth="1"/>
  </cols>
  <sheetData>
    <row r="1" spans="1:11" x14ac:dyDescent="0.25">
      <c r="A1" t="s">
        <v>6</v>
      </c>
      <c r="B1" s="1" t="s">
        <v>1</v>
      </c>
      <c r="C1" t="s">
        <v>641</v>
      </c>
      <c r="D1" s="1" t="s">
        <v>631</v>
      </c>
      <c r="E1" s="5" t="s">
        <v>645</v>
      </c>
      <c r="F1" t="s">
        <v>633</v>
      </c>
      <c r="G1" t="s">
        <v>634</v>
      </c>
      <c r="H1" t="s">
        <v>646</v>
      </c>
      <c r="I1" s="6" t="s">
        <v>647</v>
      </c>
      <c r="J1" s="6" t="s">
        <v>635</v>
      </c>
    </row>
    <row r="2" spans="1:11" x14ac:dyDescent="0.25">
      <c r="A2" t="s">
        <v>3</v>
      </c>
      <c r="B2" s="1">
        <v>38777</v>
      </c>
      <c r="C2">
        <v>2006</v>
      </c>
      <c r="D2" s="23">
        <f>MONTH(B2)</f>
        <v>3</v>
      </c>
      <c r="E2" cm="1">
        <f t="array" ref="E2">_xlfn.XLOOKUP(TRUE,ISNUMBER(F2:H2),F2:H2)</f>
        <v>296.54794520547944</v>
      </c>
      <c r="H2">
        <f t="shared" ref="H2:H7" si="0">$G$8*(I2/$I$8)</f>
        <v>296.54794520547944</v>
      </c>
      <c r="I2">
        <v>66</v>
      </c>
      <c r="J2">
        <v>72.900000000000006</v>
      </c>
      <c r="K2" s="7"/>
    </row>
    <row r="3" spans="1:11" x14ac:dyDescent="0.25">
      <c r="A3" t="s">
        <v>0</v>
      </c>
      <c r="B3" s="1">
        <v>38869</v>
      </c>
      <c r="C3">
        <v>2006</v>
      </c>
      <c r="D3" s="23">
        <f>MONTH(B3)</f>
        <v>6</v>
      </c>
      <c r="E3" cm="1">
        <f t="array" ref="E3">_xlfn.XLOOKUP(TRUE,ISNUMBER(F3:H3),F3:H3)</f>
        <v>299.69315068493154</v>
      </c>
      <c r="H3">
        <f t="shared" si="0"/>
        <v>299.69315068493154</v>
      </c>
      <c r="I3">
        <v>66.7</v>
      </c>
      <c r="J3">
        <v>73.5</v>
      </c>
      <c r="K3" s="7"/>
    </row>
    <row r="4" spans="1:11" x14ac:dyDescent="0.25">
      <c r="B4" s="1">
        <v>38961</v>
      </c>
      <c r="C4">
        <v>2007</v>
      </c>
      <c r="D4" s="23">
        <f>MONTH(B4)</f>
        <v>9</v>
      </c>
      <c r="E4" cm="1">
        <f t="array" ref="E4">_xlfn.XLOOKUP(TRUE,ISNUMBER(F4:H4),F4:H4)</f>
        <v>307.78082191780823</v>
      </c>
      <c r="H4">
        <f t="shared" si="0"/>
        <v>307.78082191780823</v>
      </c>
      <c r="I4">
        <v>68.5</v>
      </c>
      <c r="J4">
        <v>74.3</v>
      </c>
      <c r="K4" s="7"/>
    </row>
    <row r="5" spans="1:11" x14ac:dyDescent="0.25">
      <c r="B5" s="1">
        <v>39052</v>
      </c>
      <c r="C5">
        <v>2007</v>
      </c>
      <c r="D5" s="23">
        <f>MONTH(B5)</f>
        <v>12</v>
      </c>
      <c r="E5" cm="1">
        <f t="array" ref="E5">_xlfn.XLOOKUP(TRUE,ISNUMBER(F5:H5),F5:H5)</f>
        <v>312.27397260273972</v>
      </c>
      <c r="H5">
        <f t="shared" si="0"/>
        <v>312.27397260273972</v>
      </c>
      <c r="I5">
        <v>69.5</v>
      </c>
      <c r="J5">
        <v>75</v>
      </c>
      <c r="K5" s="7"/>
    </row>
    <row r="6" spans="1:11" x14ac:dyDescent="0.25">
      <c r="B6" s="1">
        <v>39142</v>
      </c>
      <c r="C6">
        <v>2007</v>
      </c>
      <c r="D6" s="23">
        <f t="shared" ref="D6:D37" si="1">MONTH(B6)</f>
        <v>3</v>
      </c>
      <c r="E6" cm="1">
        <f t="array" ref="E6">_xlfn.XLOOKUP(TRUE,ISNUMBER(F6:H6),F6:H6)</f>
        <v>316.76712328767121</v>
      </c>
      <c r="H6">
        <f t="shared" si="0"/>
        <v>316.76712328767121</v>
      </c>
      <c r="I6">
        <v>70.5</v>
      </c>
      <c r="J6">
        <v>76.099999999999994</v>
      </c>
      <c r="K6" s="7"/>
    </row>
    <row r="7" spans="1:11" x14ac:dyDescent="0.25">
      <c r="B7" s="1">
        <v>39234</v>
      </c>
      <c r="C7">
        <v>2007</v>
      </c>
      <c r="D7" s="23">
        <f t="shared" si="1"/>
        <v>6</v>
      </c>
      <c r="E7" cm="1">
        <f t="array" ref="E7">_xlfn.XLOOKUP(TRUE,ISNUMBER(F7:H7),F7:H7)</f>
        <v>323.9561643835616</v>
      </c>
      <c r="H7">
        <f t="shared" si="0"/>
        <v>323.9561643835616</v>
      </c>
      <c r="I7">
        <v>72.099999999999994</v>
      </c>
      <c r="J7">
        <v>77.3</v>
      </c>
      <c r="K7" s="7"/>
    </row>
    <row r="8" spans="1:11" x14ac:dyDescent="0.25">
      <c r="B8" s="1">
        <v>39326</v>
      </c>
      <c r="C8">
        <v>2008</v>
      </c>
      <c r="D8" s="23">
        <f t="shared" si="1"/>
        <v>9</v>
      </c>
      <c r="E8" cm="1">
        <f t="array" ref="E8">_xlfn.XLOOKUP(TRUE,ISNUMBER(F8:H8),F8:H8)</f>
        <v>328</v>
      </c>
      <c r="G8" s="45">
        <f>_xlfn.XLOOKUP(C8,'Ableson and Joyeux 2023'!A:A,'Ableson and Joyeux 2023'!C:C)</f>
        <v>328</v>
      </c>
      <c r="I8">
        <v>73</v>
      </c>
      <c r="J8">
        <v>78.599999999999994</v>
      </c>
      <c r="K8" s="7"/>
    </row>
    <row r="9" spans="1:11" x14ac:dyDescent="0.25">
      <c r="B9" s="1">
        <v>39417</v>
      </c>
      <c r="C9">
        <v>2008</v>
      </c>
      <c r="D9" s="23">
        <f t="shared" si="1"/>
        <v>12</v>
      </c>
      <c r="E9" cm="1">
        <f t="array" ref="E9">_xlfn.XLOOKUP(TRUE,ISNUMBER(F9:H9),F9:H9)</f>
        <v>328</v>
      </c>
      <c r="G9" s="45">
        <f>_xlfn.XLOOKUP(C9,'Ableson and Joyeux 2023'!A:A,'Ableson and Joyeux 2023'!C:C)</f>
        <v>328</v>
      </c>
      <c r="I9">
        <v>74.599999999999994</v>
      </c>
      <c r="J9">
        <v>80</v>
      </c>
      <c r="K9" s="7"/>
    </row>
    <row r="10" spans="1:11" x14ac:dyDescent="0.25">
      <c r="B10" s="1">
        <v>39508</v>
      </c>
      <c r="C10">
        <v>2008</v>
      </c>
      <c r="D10" s="23">
        <f t="shared" si="1"/>
        <v>3</v>
      </c>
      <c r="E10" cm="1">
        <f t="array" ref="E10">_xlfn.XLOOKUP(TRUE,ISNUMBER(F10:H10),F10:H10)</f>
        <v>328</v>
      </c>
      <c r="G10" s="45">
        <f>_xlfn.XLOOKUP(C10,'Ableson and Joyeux 2023'!A:A,'Ableson and Joyeux 2023'!C:C)</f>
        <v>328</v>
      </c>
      <c r="I10">
        <v>76.5</v>
      </c>
      <c r="J10">
        <v>81.400000000000006</v>
      </c>
      <c r="K10" s="7"/>
    </row>
    <row r="11" spans="1:11" x14ac:dyDescent="0.25">
      <c r="B11" s="1">
        <v>39600</v>
      </c>
      <c r="C11">
        <v>2008</v>
      </c>
      <c r="D11" s="23">
        <f t="shared" si="1"/>
        <v>6</v>
      </c>
      <c r="E11" cm="1">
        <f t="array" ref="E11">_xlfn.XLOOKUP(TRUE,ISNUMBER(F11:H11),F11:H11)</f>
        <v>328</v>
      </c>
      <c r="G11" s="45">
        <f>_xlfn.XLOOKUP(C11,'Ableson and Joyeux 2023'!A:A,'Ableson and Joyeux 2023'!C:C)</f>
        <v>328</v>
      </c>
      <c r="I11">
        <v>78.400000000000006</v>
      </c>
      <c r="J11">
        <v>83.3</v>
      </c>
      <c r="K11" s="7"/>
    </row>
    <row r="12" spans="1:11" x14ac:dyDescent="0.25">
      <c r="B12" s="1">
        <v>39692</v>
      </c>
      <c r="C12">
        <v>2009</v>
      </c>
      <c r="D12" s="23">
        <f t="shared" si="1"/>
        <v>9</v>
      </c>
      <c r="E12" cm="1">
        <f t="array" ref="E12">_xlfn.XLOOKUP(TRUE,ISNUMBER(F12:H12),F12:H12)</f>
        <v>368.88888888888886</v>
      </c>
      <c r="H12">
        <f>$G$16*(I12/$I$16)</f>
        <v>368.88888888888886</v>
      </c>
      <c r="I12">
        <v>80.8</v>
      </c>
      <c r="J12">
        <v>85</v>
      </c>
      <c r="K12" s="7"/>
    </row>
    <row r="13" spans="1:11" x14ac:dyDescent="0.25">
      <c r="B13" s="1">
        <v>39783</v>
      </c>
      <c r="C13">
        <v>2009</v>
      </c>
      <c r="D13" s="23">
        <f t="shared" si="1"/>
        <v>12</v>
      </c>
      <c r="E13" cm="1">
        <f t="array" ref="E13">_xlfn.XLOOKUP(TRUE,ISNUMBER(F13:H13),F13:H13)</f>
        <v>381.21562156215623</v>
      </c>
      <c r="H13">
        <f>$G$16*(I13/$I$16)</f>
        <v>381.21562156215623</v>
      </c>
      <c r="I13">
        <v>83.5</v>
      </c>
      <c r="J13">
        <v>86.7</v>
      </c>
      <c r="K13" s="7"/>
    </row>
    <row r="14" spans="1:11" x14ac:dyDescent="0.25">
      <c r="B14" s="1">
        <v>39873</v>
      </c>
      <c r="C14">
        <v>2009</v>
      </c>
      <c r="D14" s="23">
        <f t="shared" si="1"/>
        <v>3</v>
      </c>
      <c r="E14" cm="1">
        <f t="array" ref="E14">_xlfn.XLOOKUP(TRUE,ISNUMBER(F14:H14),F14:H14)</f>
        <v>396.28162816281622</v>
      </c>
      <c r="H14">
        <f>$G$16*(I14/$I$16)</f>
        <v>396.28162816281622</v>
      </c>
      <c r="I14">
        <v>86.8</v>
      </c>
      <c r="J14">
        <v>88</v>
      </c>
      <c r="K14" s="7"/>
    </row>
    <row r="15" spans="1:11" x14ac:dyDescent="0.25">
      <c r="B15" s="1">
        <v>39965</v>
      </c>
      <c r="C15">
        <v>2009</v>
      </c>
      <c r="D15" s="23">
        <f t="shared" si="1"/>
        <v>6</v>
      </c>
      <c r="E15" cm="1">
        <f t="array" ref="E15">_xlfn.XLOOKUP(TRUE,ISNUMBER(F15:H15),F15:H15)</f>
        <v>404.95599559955997</v>
      </c>
      <c r="H15">
        <f>$G$16*(I15/$I$16)</f>
        <v>404.95599559955997</v>
      </c>
      <c r="I15">
        <v>88.7</v>
      </c>
      <c r="J15">
        <v>89.3</v>
      </c>
      <c r="K15" s="7"/>
    </row>
    <row r="16" spans="1:11" x14ac:dyDescent="0.25">
      <c r="B16" s="1">
        <v>40057</v>
      </c>
      <c r="C16">
        <v>2010</v>
      </c>
      <c r="D16" s="23">
        <f t="shared" si="1"/>
        <v>9</v>
      </c>
      <c r="E16" cm="1">
        <f t="array" ref="E16">_xlfn.XLOOKUP(TRUE,ISNUMBER(F16:H16),F16:H16)</f>
        <v>415</v>
      </c>
      <c r="G16" s="45">
        <f>_xlfn.XLOOKUP(C16,'Ableson and Joyeux 2023'!A:A,'Ableson and Joyeux 2023'!C:C)</f>
        <v>415</v>
      </c>
      <c r="I16">
        <v>90.9</v>
      </c>
      <c r="J16">
        <v>90.3</v>
      </c>
      <c r="K16" s="7"/>
    </row>
    <row r="17" spans="2:11" x14ac:dyDescent="0.25">
      <c r="B17" s="1">
        <v>40148</v>
      </c>
      <c r="C17">
        <v>2010</v>
      </c>
      <c r="D17" s="23">
        <f t="shared" si="1"/>
        <v>12</v>
      </c>
      <c r="E17" cm="1">
        <f t="array" ref="E17">_xlfn.XLOOKUP(TRUE,ISNUMBER(F17:H17),F17:H17)</f>
        <v>415</v>
      </c>
      <c r="G17" s="45">
        <f>_xlfn.XLOOKUP(C17,'Ableson and Joyeux 2023'!A:A,'Ableson and Joyeux 2023'!C:C)</f>
        <v>415</v>
      </c>
      <c r="I17">
        <v>92.4</v>
      </c>
      <c r="J17">
        <v>91.2</v>
      </c>
      <c r="K17" s="7"/>
    </row>
    <row r="18" spans="2:11" x14ac:dyDescent="0.25">
      <c r="B18" s="1">
        <v>40238</v>
      </c>
      <c r="C18">
        <v>2010</v>
      </c>
      <c r="D18" s="23">
        <f t="shared" si="1"/>
        <v>3</v>
      </c>
      <c r="E18" cm="1">
        <f t="array" ref="E18">_xlfn.XLOOKUP(TRUE,ISNUMBER(F18:H18),F18:H18)</f>
        <v>415</v>
      </c>
      <c r="G18" s="45">
        <f>_xlfn.XLOOKUP(C18,'Ableson and Joyeux 2023'!A:A,'Ableson and Joyeux 2023'!C:C)</f>
        <v>415</v>
      </c>
      <c r="I18">
        <v>95</v>
      </c>
      <c r="J18">
        <v>92.1</v>
      </c>
      <c r="K18" s="7"/>
    </row>
    <row r="19" spans="2:11" x14ac:dyDescent="0.25">
      <c r="B19" s="1">
        <v>40330</v>
      </c>
      <c r="C19">
        <v>2010</v>
      </c>
      <c r="D19" s="23">
        <f t="shared" si="1"/>
        <v>6</v>
      </c>
      <c r="E19" cm="1">
        <f t="array" ref="E19">_xlfn.XLOOKUP(TRUE,ISNUMBER(F19:H19),F19:H19)</f>
        <v>415</v>
      </c>
      <c r="G19" s="45">
        <f>_xlfn.XLOOKUP(C19,'Ableson and Joyeux 2023'!A:A,'Ableson and Joyeux 2023'!C:C)</f>
        <v>415</v>
      </c>
      <c r="I19">
        <v>96.1</v>
      </c>
      <c r="J19">
        <v>93</v>
      </c>
      <c r="K19" s="7"/>
    </row>
    <row r="20" spans="2:11" x14ac:dyDescent="0.25">
      <c r="B20" s="1">
        <v>40422</v>
      </c>
      <c r="C20">
        <v>2011</v>
      </c>
      <c r="D20" s="23">
        <f t="shared" si="1"/>
        <v>9</v>
      </c>
      <c r="E20" cm="1">
        <f t="array" ref="E20">_xlfn.XLOOKUP(TRUE,ISNUMBER(F20:H20),F20:H20)</f>
        <v>425.88501742160281</v>
      </c>
      <c r="H20">
        <f t="shared" ref="H20:H34" si="2">$G$36*(I20/$I$36)</f>
        <v>425.88501742160281</v>
      </c>
      <c r="I20">
        <v>97.2</v>
      </c>
      <c r="J20">
        <v>94.1</v>
      </c>
      <c r="K20" s="7"/>
    </row>
    <row r="21" spans="2:11" x14ac:dyDescent="0.25">
      <c r="B21" s="1">
        <v>40513</v>
      </c>
      <c r="C21">
        <v>2011</v>
      </c>
      <c r="D21" s="23">
        <f t="shared" si="1"/>
        <v>12</v>
      </c>
      <c r="E21" cm="1">
        <f t="array" ref="E21">_xlfn.XLOOKUP(TRUE,ISNUMBER(F21:H21),F21:H21)</f>
        <v>428.95209059233451</v>
      </c>
      <c r="H21">
        <f t="shared" si="2"/>
        <v>428.95209059233451</v>
      </c>
      <c r="I21">
        <v>97.9</v>
      </c>
      <c r="J21">
        <v>95.1</v>
      </c>
      <c r="K21" s="7"/>
    </row>
    <row r="22" spans="2:11" x14ac:dyDescent="0.25">
      <c r="B22" s="1">
        <v>40603</v>
      </c>
      <c r="C22">
        <v>2011</v>
      </c>
      <c r="D22" s="23">
        <f t="shared" si="1"/>
        <v>3</v>
      </c>
      <c r="E22" cm="1">
        <f t="array" ref="E22">_xlfn.XLOOKUP(TRUE,ISNUMBER(F22:H22),F22:H22)</f>
        <v>431.58101045296166</v>
      </c>
      <c r="H22">
        <f t="shared" si="2"/>
        <v>431.58101045296166</v>
      </c>
      <c r="I22">
        <v>98.5</v>
      </c>
      <c r="J22">
        <v>96.2</v>
      </c>
      <c r="K22" s="7"/>
    </row>
    <row r="23" spans="2:11" x14ac:dyDescent="0.25">
      <c r="B23" s="1">
        <v>40695</v>
      </c>
      <c r="C23">
        <v>2011</v>
      </c>
      <c r="D23" s="23">
        <f t="shared" si="1"/>
        <v>6</v>
      </c>
      <c r="E23" cm="1">
        <f t="array" ref="E23">_xlfn.XLOOKUP(TRUE,ISNUMBER(F23:H23),F23:H23)</f>
        <v>432.89547038327527</v>
      </c>
      <c r="H23">
        <f t="shared" si="2"/>
        <v>432.89547038327527</v>
      </c>
      <c r="I23">
        <v>98.8</v>
      </c>
      <c r="J23">
        <v>97.2</v>
      </c>
      <c r="K23" s="7"/>
    </row>
    <row r="24" spans="2:11" x14ac:dyDescent="0.25">
      <c r="B24" s="1">
        <v>40787</v>
      </c>
      <c r="C24">
        <v>2012</v>
      </c>
      <c r="D24" s="23">
        <f t="shared" si="1"/>
        <v>9</v>
      </c>
      <c r="E24" cm="1">
        <f t="array" ref="E24">_xlfn.XLOOKUP(TRUE,ISNUMBER(F24:H24),F24:H24)</f>
        <v>434.64808362369337</v>
      </c>
      <c r="H24">
        <f t="shared" si="2"/>
        <v>434.64808362369337</v>
      </c>
      <c r="I24">
        <v>99.2</v>
      </c>
      <c r="J24">
        <v>98.5</v>
      </c>
      <c r="K24" s="7"/>
    </row>
    <row r="25" spans="2:11" x14ac:dyDescent="0.25">
      <c r="B25" s="1">
        <v>40878</v>
      </c>
      <c r="C25">
        <v>2012</v>
      </c>
      <c r="D25" s="23">
        <f t="shared" si="1"/>
        <v>12</v>
      </c>
      <c r="E25" cm="1">
        <f t="array" ref="E25">_xlfn.XLOOKUP(TRUE,ISNUMBER(F25:H25),F25:H25)</f>
        <v>435.96254355400697</v>
      </c>
      <c r="H25">
        <f t="shared" si="2"/>
        <v>435.96254355400697</v>
      </c>
      <c r="I25">
        <v>99.5</v>
      </c>
      <c r="J25">
        <v>99.6</v>
      </c>
      <c r="K25" s="7"/>
    </row>
    <row r="26" spans="2:11" x14ac:dyDescent="0.25">
      <c r="B26" s="1">
        <v>40969</v>
      </c>
      <c r="C26">
        <v>2012</v>
      </c>
      <c r="D26" s="23">
        <f t="shared" si="1"/>
        <v>3</v>
      </c>
      <c r="E26" cm="1">
        <f t="array" ref="E26">_xlfn.XLOOKUP(TRUE,ISNUMBER(F26:H26),F26:H26)</f>
        <v>439.02961672473867</v>
      </c>
      <c r="H26">
        <f t="shared" si="2"/>
        <v>439.02961672473867</v>
      </c>
      <c r="I26">
        <v>100.2</v>
      </c>
      <c r="J26">
        <v>100.5</v>
      </c>
      <c r="K26" s="7"/>
    </row>
    <row r="27" spans="2:11" x14ac:dyDescent="0.25">
      <c r="B27" s="1">
        <v>41061</v>
      </c>
      <c r="C27">
        <v>2012</v>
      </c>
      <c r="D27" s="23">
        <f t="shared" si="1"/>
        <v>6</v>
      </c>
      <c r="E27" cm="1">
        <f t="array" ref="E27">_xlfn.XLOOKUP(TRUE,ISNUMBER(F27:H27),F27:H27)</f>
        <v>442.97299651567943</v>
      </c>
      <c r="H27">
        <f t="shared" si="2"/>
        <v>442.97299651567943</v>
      </c>
      <c r="I27">
        <v>101.1</v>
      </c>
      <c r="J27">
        <v>101.5</v>
      </c>
      <c r="K27" s="7"/>
    </row>
    <row r="28" spans="2:11" x14ac:dyDescent="0.25">
      <c r="B28" s="1">
        <v>41153</v>
      </c>
      <c r="C28">
        <v>2013</v>
      </c>
      <c r="D28" s="23">
        <f t="shared" si="1"/>
        <v>9</v>
      </c>
      <c r="E28" cm="1">
        <f t="array" ref="E28">_xlfn.XLOOKUP(TRUE,ISNUMBER(F28:H28),F28:H28)</f>
        <v>449.98344947735194</v>
      </c>
      <c r="H28">
        <f t="shared" si="2"/>
        <v>449.98344947735194</v>
      </c>
      <c r="I28">
        <v>102.7</v>
      </c>
      <c r="J28">
        <v>102.4</v>
      </c>
      <c r="K28" s="7"/>
    </row>
    <row r="29" spans="2:11" x14ac:dyDescent="0.25">
      <c r="B29" s="1">
        <v>41244</v>
      </c>
      <c r="C29">
        <v>2013</v>
      </c>
      <c r="D29" s="23">
        <f t="shared" si="1"/>
        <v>12</v>
      </c>
      <c r="E29" cm="1">
        <f t="array" ref="E29">_xlfn.XLOOKUP(TRUE,ISNUMBER(F29:H29),F29:H29)</f>
        <v>454.36498257839725</v>
      </c>
      <c r="H29">
        <f t="shared" si="2"/>
        <v>454.36498257839725</v>
      </c>
      <c r="I29">
        <v>103.7</v>
      </c>
      <c r="J29">
        <v>103.3</v>
      </c>
      <c r="K29" s="7"/>
    </row>
    <row r="30" spans="2:11" x14ac:dyDescent="0.25">
      <c r="B30" s="1">
        <v>41334</v>
      </c>
      <c r="C30">
        <v>2013</v>
      </c>
      <c r="D30" s="23">
        <f t="shared" si="1"/>
        <v>3</v>
      </c>
      <c r="E30" cm="1">
        <f t="array" ref="E30">_xlfn.XLOOKUP(TRUE,ISNUMBER(F30:H30),F30:H30)</f>
        <v>467.07142857142856</v>
      </c>
      <c r="H30">
        <f t="shared" si="2"/>
        <v>467.07142857142856</v>
      </c>
      <c r="I30">
        <v>106.6</v>
      </c>
      <c r="J30">
        <v>104</v>
      </c>
      <c r="K30" s="7"/>
    </row>
    <row r="31" spans="2:11" x14ac:dyDescent="0.25">
      <c r="B31" s="1">
        <v>41426</v>
      </c>
      <c r="C31">
        <v>2013</v>
      </c>
      <c r="D31" s="23">
        <f t="shared" si="1"/>
        <v>6</v>
      </c>
      <c r="E31" cm="1">
        <f t="array" ref="E31">_xlfn.XLOOKUP(TRUE,ISNUMBER(F31:H31),F31:H31)</f>
        <v>476.27264808362372</v>
      </c>
      <c r="H31">
        <f t="shared" si="2"/>
        <v>476.27264808362372</v>
      </c>
      <c r="I31">
        <v>108.7</v>
      </c>
      <c r="J31">
        <v>105</v>
      </c>
      <c r="K31" s="7"/>
    </row>
    <row r="32" spans="2:11" x14ac:dyDescent="0.25">
      <c r="B32" s="1">
        <v>41518</v>
      </c>
      <c r="C32">
        <v>2014</v>
      </c>
      <c r="D32" s="23">
        <f t="shared" si="1"/>
        <v>9</v>
      </c>
      <c r="E32" cm="1">
        <f t="array" ref="E32">_xlfn.XLOOKUP(TRUE,ISNUMBER(F32:H32),F32:H32)</f>
        <v>485.47386759581877</v>
      </c>
      <c r="H32">
        <f t="shared" si="2"/>
        <v>485.47386759581877</v>
      </c>
      <c r="I32">
        <v>110.8</v>
      </c>
      <c r="J32">
        <v>105.7</v>
      </c>
      <c r="K32" s="7"/>
    </row>
    <row r="33" spans="1:11" x14ac:dyDescent="0.25">
      <c r="B33" s="1">
        <v>41609</v>
      </c>
      <c r="C33">
        <v>2014</v>
      </c>
      <c r="D33" s="23">
        <f t="shared" si="1"/>
        <v>12</v>
      </c>
      <c r="E33" cm="1">
        <f t="array" ref="E33">_xlfn.XLOOKUP(TRUE,ISNUMBER(F33:H33),F33:H33)</f>
        <v>492.48432055749134</v>
      </c>
      <c r="H33">
        <f t="shared" si="2"/>
        <v>492.48432055749134</v>
      </c>
      <c r="I33">
        <v>112.4</v>
      </c>
      <c r="J33">
        <v>106.4</v>
      </c>
      <c r="K33" s="7"/>
    </row>
    <row r="34" spans="1:11" x14ac:dyDescent="0.25">
      <c r="B34" s="1">
        <v>41699</v>
      </c>
      <c r="C34">
        <v>2014</v>
      </c>
      <c r="D34" s="23">
        <f t="shared" si="1"/>
        <v>3</v>
      </c>
      <c r="E34" cm="1">
        <f t="array" ref="E34">_xlfn.XLOOKUP(TRUE,ISNUMBER(F34:H34),F34:H34)</f>
        <v>496.4277003484321</v>
      </c>
      <c r="H34">
        <f t="shared" si="2"/>
        <v>496.4277003484321</v>
      </c>
      <c r="I34">
        <v>113.3</v>
      </c>
      <c r="J34">
        <v>107</v>
      </c>
      <c r="K34" s="7"/>
    </row>
    <row r="35" spans="1:11" x14ac:dyDescent="0.25">
      <c r="B35" s="1">
        <v>41791</v>
      </c>
      <c r="C35">
        <v>2014</v>
      </c>
      <c r="D35" s="23">
        <f t="shared" si="1"/>
        <v>6</v>
      </c>
      <c r="E35" cm="1">
        <f t="array" ref="E35">_xlfn.XLOOKUP(TRUE,ISNUMBER(F35:H35),F35:H35)</f>
        <v>499.0566202090593</v>
      </c>
      <c r="H35">
        <f>$G$36*(I35/$I$36)</f>
        <v>499.0566202090593</v>
      </c>
      <c r="I35">
        <v>113.9</v>
      </c>
      <c r="J35">
        <v>107.5</v>
      </c>
      <c r="K35" s="7"/>
    </row>
    <row r="36" spans="1:11" x14ac:dyDescent="0.25">
      <c r="B36" s="1">
        <v>41883</v>
      </c>
      <c r="C36">
        <v>2015</v>
      </c>
      <c r="D36" s="23">
        <f t="shared" si="1"/>
        <v>9</v>
      </c>
      <c r="E36" cm="1">
        <f t="array" ref="E36">_xlfn.XLOOKUP(TRUE,ISNUMBER(F36:H36),F36:H36)</f>
        <v>503</v>
      </c>
      <c r="G36" s="45">
        <f>_xlfn.XLOOKUP(C36,'Ableson and Joyeux 2023'!A:A,'Ableson and Joyeux 2023'!C:C)</f>
        <v>503</v>
      </c>
      <c r="I36">
        <v>114.8</v>
      </c>
      <c r="J36">
        <v>108.3</v>
      </c>
      <c r="K36" s="7"/>
    </row>
    <row r="37" spans="1:11" x14ac:dyDescent="0.25">
      <c r="B37" s="1">
        <v>41974</v>
      </c>
      <c r="C37">
        <v>2015</v>
      </c>
      <c r="D37" s="23">
        <f t="shared" si="1"/>
        <v>12</v>
      </c>
      <c r="E37" cm="1">
        <f t="array" ref="E37">_xlfn.XLOOKUP(TRUE,ISNUMBER(F37:H37),F37:H37)</f>
        <v>503</v>
      </c>
      <c r="G37" s="45">
        <f>_xlfn.XLOOKUP(C37,'Ableson and Joyeux 2023'!A:A,'Ableson and Joyeux 2023'!C:C)</f>
        <v>503</v>
      </c>
      <c r="I37">
        <v>115.4</v>
      </c>
      <c r="J37">
        <v>108.9</v>
      </c>
      <c r="K37" s="7"/>
    </row>
    <row r="38" spans="1:11" x14ac:dyDescent="0.25">
      <c r="B38" s="1">
        <v>42064</v>
      </c>
      <c r="C38">
        <v>2015</v>
      </c>
      <c r="D38" s="23">
        <f t="shared" ref="D38:D69" si="3">MONTH(B38)</f>
        <v>3</v>
      </c>
      <c r="E38" cm="1">
        <f t="array" ref="E38">_xlfn.XLOOKUP(TRUE,ISNUMBER(F38:H38),F38:H38)</f>
        <v>503</v>
      </c>
      <c r="G38" s="45">
        <f>_xlfn.XLOOKUP(C38,'Ableson and Joyeux 2023'!A:A,'Ableson and Joyeux 2023'!C:C)</f>
        <v>503</v>
      </c>
      <c r="I38">
        <v>115.1</v>
      </c>
      <c r="J38">
        <v>109.2</v>
      </c>
      <c r="K38" s="7"/>
    </row>
    <row r="39" spans="1:11" x14ac:dyDescent="0.25">
      <c r="B39" s="1">
        <v>42156</v>
      </c>
      <c r="C39">
        <v>2015</v>
      </c>
      <c r="D39" s="23">
        <f t="shared" si="3"/>
        <v>6</v>
      </c>
      <c r="E39" cm="1">
        <f t="array" ref="E39">_xlfn.XLOOKUP(TRUE,ISNUMBER(F39:H39),F39:H39)</f>
        <v>503</v>
      </c>
      <c r="G39" s="45">
        <f>_xlfn.XLOOKUP(C39,'Ableson and Joyeux 2023'!A:A,'Ableson and Joyeux 2023'!C:C)</f>
        <v>503</v>
      </c>
      <c r="I39">
        <v>114.9</v>
      </c>
      <c r="J39">
        <v>109.6</v>
      </c>
      <c r="K39" s="7"/>
    </row>
    <row r="40" spans="1:11" x14ac:dyDescent="0.25">
      <c r="B40" s="1">
        <v>42248</v>
      </c>
      <c r="C40">
        <v>2016</v>
      </c>
      <c r="D40" s="23">
        <f t="shared" si="3"/>
        <v>9</v>
      </c>
      <c r="E40" cm="1">
        <f t="array" ref="E40">_xlfn.XLOOKUP(TRUE,ISNUMBER(F40:H40),F40:H40)</f>
        <v>453</v>
      </c>
      <c r="G40" s="45">
        <f>_xlfn.XLOOKUP(C40,'Ableson and Joyeux 2023'!A:A,'Ableson and Joyeux 2023'!C:C)</f>
        <v>453</v>
      </c>
      <c r="I40">
        <v>113.8</v>
      </c>
      <c r="J40">
        <v>109.9</v>
      </c>
      <c r="K40" s="7"/>
    </row>
    <row r="41" spans="1:11" x14ac:dyDescent="0.25">
      <c r="B41" s="1">
        <v>42339</v>
      </c>
      <c r="C41">
        <v>2016</v>
      </c>
      <c r="D41" s="23">
        <f t="shared" si="3"/>
        <v>12</v>
      </c>
      <c r="E41" cm="1">
        <f t="array" ref="E41">_xlfn.XLOOKUP(TRUE,ISNUMBER(F41:H41),F41:H41)</f>
        <v>453</v>
      </c>
      <c r="G41" s="45">
        <f>_xlfn.XLOOKUP(C41,'Ableson and Joyeux 2023'!A:A,'Ableson and Joyeux 2023'!C:C)</f>
        <v>453</v>
      </c>
      <c r="I41">
        <v>112.3</v>
      </c>
      <c r="J41">
        <v>110.1</v>
      </c>
      <c r="K41" s="7"/>
    </row>
    <row r="42" spans="1:11" x14ac:dyDescent="0.25">
      <c r="B42" s="1">
        <v>42430</v>
      </c>
      <c r="C42">
        <v>2016</v>
      </c>
      <c r="D42" s="23">
        <f t="shared" si="3"/>
        <v>3</v>
      </c>
      <c r="E42" cm="1">
        <f t="array" ref="E42">_xlfn.XLOOKUP(TRUE,ISNUMBER(F42:H42),F42:H42)</f>
        <v>453</v>
      </c>
      <c r="G42" s="45">
        <f>_xlfn.XLOOKUP(C42,'Ableson and Joyeux 2023'!A:A,'Ableson and Joyeux 2023'!C:C)</f>
        <v>453</v>
      </c>
      <c r="I42">
        <v>109.8</v>
      </c>
      <c r="J42">
        <v>110.2</v>
      </c>
      <c r="K42" s="7"/>
    </row>
    <row r="43" spans="1:11" x14ac:dyDescent="0.25">
      <c r="B43" s="1">
        <v>42522</v>
      </c>
      <c r="C43">
        <v>2016</v>
      </c>
      <c r="D43" s="23">
        <f t="shared" si="3"/>
        <v>6</v>
      </c>
      <c r="E43" cm="1">
        <f t="array" ref="E43">_xlfn.XLOOKUP(TRUE,ISNUMBER(F43:H43),F43:H43)</f>
        <v>453</v>
      </c>
      <c r="G43" s="45">
        <f>_xlfn.XLOOKUP(C43,'Ableson and Joyeux 2023'!A:A,'Ableson and Joyeux 2023'!C:C)</f>
        <v>453</v>
      </c>
      <c r="I43">
        <v>107.6</v>
      </c>
      <c r="J43">
        <v>110.4</v>
      </c>
      <c r="K43" s="7"/>
    </row>
    <row r="44" spans="1:11" x14ac:dyDescent="0.25">
      <c r="B44" s="1">
        <v>42614</v>
      </c>
      <c r="C44">
        <v>2017</v>
      </c>
      <c r="D44" s="23">
        <f t="shared" si="3"/>
        <v>9</v>
      </c>
      <c r="E44" cm="1">
        <f t="array" ref="E44">_xlfn.XLOOKUP(TRUE,ISNUMBER(F44:H44),F44:H44)</f>
        <v>408</v>
      </c>
      <c r="G44" s="45">
        <f>_xlfn.XLOOKUP(C44,'Ableson and Joyeux 2023'!A:A,'Ableson and Joyeux 2023'!C:C)</f>
        <v>408</v>
      </c>
      <c r="I44">
        <v>105</v>
      </c>
      <c r="J44">
        <v>110.7</v>
      </c>
      <c r="K44" s="7"/>
    </row>
    <row r="45" spans="1:11" x14ac:dyDescent="0.25">
      <c r="B45" s="1">
        <v>42705</v>
      </c>
      <c r="C45">
        <v>2017</v>
      </c>
      <c r="D45" s="23">
        <f t="shared" si="3"/>
        <v>12</v>
      </c>
      <c r="E45" cm="1">
        <f t="array" ref="E45">_xlfn.XLOOKUP(TRUE,ISNUMBER(F45:H45),F45:H45)</f>
        <v>408</v>
      </c>
      <c r="G45" s="45">
        <f>_xlfn.XLOOKUP(C45,'Ableson and Joyeux 2023'!A:A,'Ableson and Joyeux 2023'!C:C)</f>
        <v>408</v>
      </c>
      <c r="I45">
        <v>103.1</v>
      </c>
      <c r="J45">
        <v>110.8</v>
      </c>
      <c r="K45" s="7"/>
    </row>
    <row r="46" spans="1:11" x14ac:dyDescent="0.25">
      <c r="A46" s="3"/>
      <c r="B46" s="1">
        <v>42795</v>
      </c>
      <c r="C46">
        <v>2017</v>
      </c>
      <c r="D46" s="23">
        <f t="shared" si="3"/>
        <v>3</v>
      </c>
      <c r="E46" cm="1">
        <f t="array" ref="E46">_xlfn.XLOOKUP(TRUE,ISNUMBER(F46:H46),F46:H46)</f>
        <v>408</v>
      </c>
      <c r="G46" s="45">
        <f>_xlfn.XLOOKUP(C46,'Ableson and Joyeux 2023'!A:A,'Ableson and Joyeux 2023'!C:C)</f>
        <v>408</v>
      </c>
      <c r="I46">
        <v>101.7</v>
      </c>
      <c r="J46">
        <v>110.9</v>
      </c>
      <c r="K46" s="7"/>
    </row>
    <row r="47" spans="1:11" x14ac:dyDescent="0.25">
      <c r="A47" s="3"/>
      <c r="B47" s="1">
        <v>42887</v>
      </c>
      <c r="C47">
        <v>2017</v>
      </c>
      <c r="D47" s="23">
        <f t="shared" si="3"/>
        <v>6</v>
      </c>
      <c r="E47" cm="1">
        <f t="array" ref="E47">_xlfn.XLOOKUP(TRUE,ISNUMBER(F47:H47),F47:H47)</f>
        <v>408</v>
      </c>
      <c r="G47" s="45">
        <f>_xlfn.XLOOKUP(C47,'Ableson and Joyeux 2023'!A:A,'Ableson and Joyeux 2023'!C:C)</f>
        <v>408</v>
      </c>
      <c r="I47">
        <v>99.8</v>
      </c>
      <c r="J47">
        <v>111.1</v>
      </c>
      <c r="K47" s="7"/>
    </row>
    <row r="48" spans="1:11" x14ac:dyDescent="0.25">
      <c r="A48" s="3"/>
      <c r="B48" s="1">
        <v>42979</v>
      </c>
      <c r="C48">
        <v>2018</v>
      </c>
      <c r="D48" s="23">
        <f t="shared" si="3"/>
        <v>9</v>
      </c>
      <c r="E48" cm="1">
        <f t="array" ref="E48">_xlfn.XLOOKUP(TRUE,ISNUMBER(F48:H48),F48:H48)</f>
        <v>391</v>
      </c>
      <c r="G48" s="45">
        <f>_xlfn.XLOOKUP(C48,'Ableson and Joyeux 2023'!A:A,'Ableson and Joyeux 2023'!C:C)</f>
        <v>391</v>
      </c>
      <c r="I48">
        <v>97.9</v>
      </c>
      <c r="J48">
        <v>111.3</v>
      </c>
      <c r="K48" s="7"/>
    </row>
    <row r="49" spans="1:11" x14ac:dyDescent="0.25">
      <c r="A49" s="3"/>
      <c r="B49" s="1">
        <v>43070</v>
      </c>
      <c r="C49">
        <v>2018</v>
      </c>
      <c r="D49" s="23">
        <f t="shared" si="3"/>
        <v>12</v>
      </c>
      <c r="E49" cm="1">
        <f t="array" ref="E49">_xlfn.XLOOKUP(TRUE,ISNUMBER(F49:H49),F49:H49)</f>
        <v>391</v>
      </c>
      <c r="G49" s="45">
        <f>_xlfn.XLOOKUP(C49,'Ableson and Joyeux 2023'!A:A,'Ableson and Joyeux 2023'!C:C)</f>
        <v>391</v>
      </c>
      <c r="I49">
        <v>97.3</v>
      </c>
      <c r="J49">
        <v>111.6</v>
      </c>
      <c r="K49" s="7"/>
    </row>
    <row r="50" spans="1:11" x14ac:dyDescent="0.25">
      <c r="A50" s="3"/>
      <c r="B50" s="1">
        <v>43160</v>
      </c>
      <c r="C50">
        <v>2018</v>
      </c>
      <c r="D50" s="23">
        <f t="shared" si="3"/>
        <v>3</v>
      </c>
      <c r="E50" cm="1">
        <f t="array" ref="E50">_xlfn.XLOOKUP(TRUE,ISNUMBER(F50:H50),F50:H50)</f>
        <v>391</v>
      </c>
      <c r="G50" s="45">
        <f>_xlfn.XLOOKUP(C50,'Ableson and Joyeux 2023'!A:A,'Ableson and Joyeux 2023'!C:C)</f>
        <v>391</v>
      </c>
      <c r="I50">
        <v>95.6</v>
      </c>
      <c r="J50">
        <v>111.8</v>
      </c>
    </row>
    <row r="51" spans="1:11" x14ac:dyDescent="0.25">
      <c r="A51" s="3"/>
      <c r="B51" s="1">
        <v>43252</v>
      </c>
      <c r="C51">
        <v>2018</v>
      </c>
      <c r="D51" s="23">
        <f t="shared" si="3"/>
        <v>6</v>
      </c>
      <c r="E51" cm="1">
        <f t="array" ref="E51">_xlfn.XLOOKUP(TRUE,ISNUMBER(F51:H51),F51:H51)</f>
        <v>391</v>
      </c>
      <c r="G51" s="45">
        <f>_xlfn.XLOOKUP(C51,'Ableson and Joyeux 2023'!A:A,'Ableson and Joyeux 2023'!C:C)</f>
        <v>391</v>
      </c>
      <c r="I51">
        <v>94</v>
      </c>
      <c r="J51">
        <v>111.8</v>
      </c>
    </row>
    <row r="52" spans="1:11" x14ac:dyDescent="0.25">
      <c r="A52" s="3"/>
      <c r="B52" s="1">
        <v>43344</v>
      </c>
      <c r="C52">
        <v>2019</v>
      </c>
      <c r="D52" s="23">
        <f t="shared" si="3"/>
        <v>9</v>
      </c>
      <c r="E52" cm="1">
        <f t="array" ref="E52">_xlfn.XLOOKUP(TRUE,ISNUMBER(F52:H52),F52:H52)</f>
        <v>368</v>
      </c>
      <c r="G52" s="45">
        <f>_xlfn.XLOOKUP(C52,'Ableson and Joyeux 2023'!A:A,'Ableson and Joyeux 2023'!C:C)</f>
        <v>368</v>
      </c>
      <c r="I52">
        <v>93.4</v>
      </c>
      <c r="J52">
        <v>112</v>
      </c>
    </row>
    <row r="53" spans="1:11" x14ac:dyDescent="0.25">
      <c r="A53" s="3"/>
      <c r="B53" s="1">
        <v>43435</v>
      </c>
      <c r="C53">
        <v>2019</v>
      </c>
      <c r="D53" s="23">
        <f t="shared" si="3"/>
        <v>12</v>
      </c>
      <c r="E53" cm="1">
        <f t="array" ref="E53">_xlfn.XLOOKUP(TRUE,ISNUMBER(F53:H53),F53:H53)</f>
        <v>368</v>
      </c>
      <c r="G53" s="45">
        <f>_xlfn.XLOOKUP(C53,'Ableson and Joyeux 2023'!A:A,'Ableson and Joyeux 2023'!C:C)</f>
        <v>368</v>
      </c>
      <c r="I53">
        <v>93</v>
      </c>
      <c r="J53">
        <v>112.2</v>
      </c>
    </row>
    <row r="54" spans="1:11" x14ac:dyDescent="0.25">
      <c r="A54" s="3"/>
      <c r="B54" s="1">
        <v>43525</v>
      </c>
      <c r="C54">
        <v>2019</v>
      </c>
      <c r="D54" s="23">
        <f t="shared" si="3"/>
        <v>3</v>
      </c>
      <c r="E54" cm="1">
        <f t="array" ref="E54">_xlfn.XLOOKUP(TRUE,ISNUMBER(F54:H54),F54:H54)</f>
        <v>368</v>
      </c>
      <c r="G54" s="45">
        <f>_xlfn.XLOOKUP(C54,'Ableson and Joyeux 2023'!A:A,'Ableson and Joyeux 2023'!C:C)</f>
        <v>368</v>
      </c>
      <c r="I54">
        <v>91.4</v>
      </c>
      <c r="J54">
        <v>112.3</v>
      </c>
    </row>
    <row r="55" spans="1:11" x14ac:dyDescent="0.25">
      <c r="A55" s="3"/>
      <c r="B55" s="1">
        <v>43617</v>
      </c>
      <c r="C55">
        <v>2019</v>
      </c>
      <c r="D55" s="23">
        <f t="shared" si="3"/>
        <v>6</v>
      </c>
      <c r="E55" cm="1">
        <f t="array" ref="E55">_xlfn.XLOOKUP(TRUE,ISNUMBER(F55:H55),F55:H55)</f>
        <v>368</v>
      </c>
      <c r="G55" s="45">
        <f>_xlfn.XLOOKUP(C55,'Ableson and Joyeux 2023'!A:A,'Ableson and Joyeux 2023'!C:C)</f>
        <v>368</v>
      </c>
      <c r="I55">
        <v>89.8</v>
      </c>
      <c r="J55">
        <v>112.3</v>
      </c>
    </row>
    <row r="56" spans="1:11" x14ac:dyDescent="0.25">
      <c r="A56" s="3"/>
      <c r="B56" s="1">
        <v>43709</v>
      </c>
      <c r="C56">
        <v>2020</v>
      </c>
      <c r="D56" s="23">
        <f t="shared" si="3"/>
        <v>9</v>
      </c>
      <c r="E56" cm="1">
        <f t="array" ref="E56">_xlfn.XLOOKUP(TRUE,ISNUMBER(F56:H56),F56:H56)</f>
        <v>353</v>
      </c>
      <c r="G56" s="45">
        <f>_xlfn.XLOOKUP(C56,'Ableson and Joyeux 2023'!A:A,'Ableson and Joyeux 2023'!C:C)</f>
        <v>353</v>
      </c>
      <c r="I56">
        <v>88.2</v>
      </c>
      <c r="J56">
        <v>112.4</v>
      </c>
    </row>
    <row r="57" spans="1:11" x14ac:dyDescent="0.25">
      <c r="A57" s="3"/>
      <c r="B57" s="1">
        <v>43800</v>
      </c>
      <c r="C57">
        <v>2020</v>
      </c>
      <c r="D57" s="23">
        <f t="shared" si="3"/>
        <v>12</v>
      </c>
      <c r="E57" cm="1">
        <f t="array" ref="E57">_xlfn.XLOOKUP(TRUE,ISNUMBER(F57:H57),F57:H57)</f>
        <v>353</v>
      </c>
      <c r="G57" s="45">
        <f>_xlfn.XLOOKUP(C57,'Ableson and Joyeux 2023'!A:A,'Ableson and Joyeux 2023'!C:C)</f>
        <v>353</v>
      </c>
      <c r="I57">
        <v>86.9</v>
      </c>
      <c r="J57">
        <v>112.4</v>
      </c>
    </row>
    <row r="58" spans="1:11" x14ac:dyDescent="0.25">
      <c r="A58" s="3"/>
      <c r="B58" s="1">
        <v>43891</v>
      </c>
      <c r="C58">
        <v>2020</v>
      </c>
      <c r="D58" s="23">
        <f t="shared" si="3"/>
        <v>3</v>
      </c>
      <c r="E58" cm="1">
        <f t="array" ref="E58">_xlfn.XLOOKUP(TRUE,ISNUMBER(F58:H58),F58:H58)</f>
        <v>353</v>
      </c>
      <c r="G58" s="45">
        <f>_xlfn.XLOOKUP(C58,'Ableson and Joyeux 2023'!A:A,'Ableson and Joyeux 2023'!C:C)</f>
        <v>353</v>
      </c>
      <c r="I58">
        <v>85.8</v>
      </c>
      <c r="J58">
        <v>112.5</v>
      </c>
    </row>
    <row r="59" spans="1:11" x14ac:dyDescent="0.25">
      <c r="A59" s="3"/>
      <c r="B59" s="1">
        <v>43983</v>
      </c>
      <c r="C59">
        <v>2020</v>
      </c>
      <c r="D59" s="23">
        <f t="shared" si="3"/>
        <v>6</v>
      </c>
      <c r="E59" cm="1">
        <f t="array" ref="E59">_xlfn.XLOOKUP(TRUE,ISNUMBER(F59:H59),F59:H59)</f>
        <v>353</v>
      </c>
      <c r="G59" s="45">
        <f>_xlfn.XLOOKUP(C59,'Ableson and Joyeux 2023'!A:A,'Ableson and Joyeux 2023'!C:C)</f>
        <v>353</v>
      </c>
      <c r="I59">
        <v>84.2</v>
      </c>
      <c r="J59">
        <v>111</v>
      </c>
    </row>
    <row r="60" spans="1:11" x14ac:dyDescent="0.25">
      <c r="A60" s="3"/>
      <c r="B60" s="1">
        <v>44075</v>
      </c>
      <c r="C60">
        <v>2021</v>
      </c>
      <c r="D60" s="23">
        <f t="shared" si="3"/>
        <v>9</v>
      </c>
      <c r="E60" cm="1">
        <f t="array" ref="E60">_xlfn.XLOOKUP(TRUE,ISNUMBER(F60:H60),F60:H60)</f>
        <v>397</v>
      </c>
      <c r="G60" s="45">
        <f>_xlfn.XLOOKUP(C60,'Ableson and Joyeux 2023'!A:A,'Ableson and Joyeux 2023'!C:C)</f>
        <v>397</v>
      </c>
      <c r="I60">
        <v>83.6</v>
      </c>
      <c r="J60">
        <v>110.8</v>
      </c>
    </row>
    <row r="61" spans="1:11" x14ac:dyDescent="0.25">
      <c r="A61" s="3"/>
      <c r="B61" s="1">
        <v>44166</v>
      </c>
      <c r="C61">
        <v>2021</v>
      </c>
      <c r="D61" s="23">
        <f t="shared" si="3"/>
        <v>12</v>
      </c>
      <c r="E61" cm="1">
        <f t="array" ref="E61">_xlfn.XLOOKUP(TRUE,ISNUMBER(F61:H61),F61:H61)</f>
        <v>397</v>
      </c>
      <c r="G61" s="45">
        <f>_xlfn.XLOOKUP(C61,'Ableson and Joyeux 2023'!A:A,'Ableson and Joyeux 2023'!C:C)</f>
        <v>397</v>
      </c>
      <c r="I61">
        <v>83.8</v>
      </c>
      <c r="J61">
        <v>110.9</v>
      </c>
    </row>
    <row r="62" spans="1:11" x14ac:dyDescent="0.25">
      <c r="A62" s="3"/>
      <c r="B62" s="1">
        <v>44256</v>
      </c>
      <c r="C62">
        <v>2021</v>
      </c>
      <c r="D62" s="23">
        <f t="shared" si="3"/>
        <v>3</v>
      </c>
      <c r="E62" cm="1">
        <f t="array" ref="E62">_xlfn.XLOOKUP(TRUE,ISNUMBER(F62:H62),F62:H62)</f>
        <v>397</v>
      </c>
      <c r="G62" s="45">
        <f>_xlfn.XLOOKUP(C62,'Ableson and Joyeux 2023'!A:A,'Ableson and Joyeux 2023'!C:C)</f>
        <v>397</v>
      </c>
      <c r="I62">
        <v>83.8</v>
      </c>
      <c r="J62">
        <v>110.9</v>
      </c>
    </row>
    <row r="63" spans="1:11" x14ac:dyDescent="0.25">
      <c r="A63" s="3"/>
      <c r="B63" s="1">
        <v>44348</v>
      </c>
      <c r="C63">
        <v>2021</v>
      </c>
      <c r="D63" s="23">
        <f t="shared" si="3"/>
        <v>6</v>
      </c>
      <c r="E63" cm="1">
        <f t="array" ref="E63">_xlfn.XLOOKUP(TRUE,ISNUMBER(F63:H63),F63:H63)</f>
        <v>397</v>
      </c>
      <c r="G63" s="45">
        <f>_xlfn.XLOOKUP(C63,'Ableson and Joyeux 2023'!A:A,'Ableson and Joyeux 2023'!C:C)</f>
        <v>397</v>
      </c>
      <c r="I63">
        <v>85.4</v>
      </c>
      <c r="J63">
        <v>111</v>
      </c>
    </row>
    <row r="64" spans="1:11" x14ac:dyDescent="0.25">
      <c r="A64" s="3"/>
      <c r="B64" s="1">
        <v>44440</v>
      </c>
      <c r="C64">
        <v>2022</v>
      </c>
      <c r="D64" s="23">
        <f t="shared" si="3"/>
        <v>9</v>
      </c>
      <c r="E64" cm="1">
        <f t="array" ref="E64">_xlfn.XLOOKUP(TRUE,ISNUMBER(F64:H64),F64:H64)</f>
        <v>433.92218717139855</v>
      </c>
      <c r="H64">
        <f t="shared" ref="H64:H65" si="4">$G$67*(I64/$I$67)</f>
        <v>433.92218717139855</v>
      </c>
      <c r="I64">
        <v>87.8</v>
      </c>
      <c r="J64">
        <v>111.2</v>
      </c>
    </row>
    <row r="65" spans="1:10" x14ac:dyDescent="0.25">
      <c r="A65" s="3"/>
      <c r="B65" s="1">
        <v>44531</v>
      </c>
      <c r="C65">
        <v>2022</v>
      </c>
      <c r="D65" s="23">
        <f t="shared" si="3"/>
        <v>12</v>
      </c>
      <c r="E65" cm="1">
        <f t="array" ref="E65">_xlfn.XLOOKUP(TRUE,ISNUMBER(F65:H65),F65:H65)</f>
        <v>447.26603575184021</v>
      </c>
      <c r="H65">
        <f t="shared" si="4"/>
        <v>447.26603575184021</v>
      </c>
      <c r="I65">
        <v>90.5</v>
      </c>
      <c r="J65">
        <v>111.3</v>
      </c>
    </row>
    <row r="66" spans="1:10" x14ac:dyDescent="0.25">
      <c r="A66" s="3"/>
      <c r="B66" s="1">
        <v>44621</v>
      </c>
      <c r="C66">
        <v>2022</v>
      </c>
      <c r="D66" s="23">
        <f t="shared" si="3"/>
        <v>3</v>
      </c>
      <c r="E66" cm="1">
        <f t="array" ref="E66">_xlfn.XLOOKUP(TRUE,ISNUMBER(F66:H66),F66:H66)</f>
        <v>461.10410094637223</v>
      </c>
      <c r="H66">
        <f>$G$67*(I66/$I$67)</f>
        <v>461.10410094637223</v>
      </c>
      <c r="I66">
        <v>93.3</v>
      </c>
      <c r="J66">
        <v>112.1</v>
      </c>
    </row>
    <row r="67" spans="1:10" x14ac:dyDescent="0.25">
      <c r="A67" s="3"/>
      <c r="B67" s="1">
        <v>44713</v>
      </c>
      <c r="C67">
        <v>2022</v>
      </c>
      <c r="D67" s="23">
        <f t="shared" si="3"/>
        <v>6</v>
      </c>
      <c r="E67" cm="1">
        <f t="array" ref="E67">_xlfn.XLOOKUP(TRUE,ISNUMBER(F67:H67),F67:H67)</f>
        <v>470</v>
      </c>
      <c r="G67" s="45">
        <f>_xlfn.XLOOKUP(B67,'Ableson and Joyeux 2023'!A:A,'Ableson and Joyeux 2023'!C:C)</f>
        <v>470</v>
      </c>
      <c r="I67">
        <v>95.1</v>
      </c>
      <c r="J67">
        <v>112.7</v>
      </c>
    </row>
    <row r="68" spans="1:10" x14ac:dyDescent="0.25">
      <c r="A68" s="3"/>
      <c r="B68" s="1">
        <v>44805</v>
      </c>
      <c r="C68">
        <v>2023</v>
      </c>
      <c r="D68" s="23">
        <f t="shared" si="3"/>
        <v>9</v>
      </c>
      <c r="E68" cm="1">
        <f t="array" ref="E68">_xlfn.XLOOKUP(TRUE,ISNUMBER(F68:H68),F68:H68)</f>
        <v>483.47336065573774</v>
      </c>
      <c r="H68">
        <f>$G$69*(I68/$I$69)</f>
        <v>483.47336065573774</v>
      </c>
      <c r="I68">
        <v>96.3</v>
      </c>
      <c r="J68">
        <v>114.2</v>
      </c>
    </row>
    <row r="69" spans="1:10" x14ac:dyDescent="0.25">
      <c r="A69" s="3"/>
      <c r="B69" s="1">
        <v>44896</v>
      </c>
      <c r="C69">
        <v>2023</v>
      </c>
      <c r="D69" s="23">
        <f t="shared" si="3"/>
        <v>12</v>
      </c>
      <c r="E69" cm="1">
        <f t="array" ref="E69">_xlfn.XLOOKUP(TRUE,ISNUMBER(F69:H69),F69:H69)</f>
        <v>520</v>
      </c>
      <c r="F69">
        <f>_xlfn.XLOOKUP(B69,'domain-values'!A:A,'domain-values'!C:C)</f>
        <v>520</v>
      </c>
      <c r="G69" s="45">
        <f>_xlfn.XLOOKUP(B69,'Ableson and Joyeux 2023'!A:A,'Ableson and Joyeux 2023'!C:C)</f>
        <v>490</v>
      </c>
      <c r="I69">
        <v>97.6</v>
      </c>
      <c r="J69">
        <v>115.8</v>
      </c>
    </row>
    <row r="70" spans="1:10" x14ac:dyDescent="0.25">
      <c r="A70" s="3"/>
      <c r="B70" s="1">
        <v>44986</v>
      </c>
      <c r="C70">
        <v>2023</v>
      </c>
      <c r="D70" s="23">
        <f t="shared" ref="D70:D81" si="5">MONTH(B70)</f>
        <v>3</v>
      </c>
      <c r="E70" cm="1">
        <f t="array" ref="E70">_xlfn.XLOOKUP(TRUE,ISNUMBER(F70:H70),F70:H70)</f>
        <v>525</v>
      </c>
      <c r="F70">
        <f>_xlfn.XLOOKUP(B70,'domain-values'!A:A,'domain-values'!C:C)</f>
        <v>525</v>
      </c>
      <c r="I70">
        <v>99.2</v>
      </c>
      <c r="J70">
        <v>117.7</v>
      </c>
    </row>
    <row r="71" spans="1:10" x14ac:dyDescent="0.25">
      <c r="A71" s="3"/>
      <c r="B71" s="1">
        <v>45078</v>
      </c>
      <c r="C71">
        <v>2023</v>
      </c>
      <c r="D71" s="23">
        <f t="shared" si="5"/>
        <v>6</v>
      </c>
      <c r="E71" cm="1">
        <f t="array" ref="E71">_xlfn.XLOOKUP(TRUE,ISNUMBER(F71:H71),F71:H71)</f>
        <v>520</v>
      </c>
      <c r="F71">
        <f>_xlfn.XLOOKUP(B71,'domain-values'!A:A,'domain-values'!C:C)</f>
        <v>520</v>
      </c>
      <c r="I71">
        <v>100.6</v>
      </c>
      <c r="J71">
        <v>120.3</v>
      </c>
    </row>
    <row r="72" spans="1:10" x14ac:dyDescent="0.25">
      <c r="A72" s="3"/>
      <c r="B72" s="1">
        <v>45170</v>
      </c>
      <c r="C72">
        <v>2024</v>
      </c>
      <c r="D72" s="23">
        <f t="shared" si="5"/>
        <v>9</v>
      </c>
      <c r="E72" cm="1">
        <f t="array" ref="E72">_xlfn.XLOOKUP(TRUE,ISNUMBER(F72:H72),F72:H72)</f>
        <v>520</v>
      </c>
      <c r="F72">
        <f>_xlfn.XLOOKUP(B72,'domain-values'!A:A,'domain-values'!C:C)</f>
        <v>520</v>
      </c>
      <c r="I72">
        <v>101.7</v>
      </c>
      <c r="J72">
        <v>122.9</v>
      </c>
    </row>
    <row r="73" spans="1:10" x14ac:dyDescent="0.25">
      <c r="A73" s="3"/>
      <c r="B73" s="1">
        <v>45261</v>
      </c>
      <c r="C73">
        <v>2024</v>
      </c>
      <c r="D73" s="23">
        <f t="shared" si="5"/>
        <v>12</v>
      </c>
      <c r="E73" cm="1">
        <f t="array" ref="E73">_xlfn.XLOOKUP(TRUE,ISNUMBER(F73:H73),F73:H73)</f>
        <v>540</v>
      </c>
      <c r="F73">
        <f>_xlfn.XLOOKUP(B73,'domain-values'!A:A,'domain-values'!C:C)</f>
        <v>540</v>
      </c>
      <c r="I73">
        <v>102</v>
      </c>
      <c r="J73">
        <v>124.2</v>
      </c>
    </row>
    <row r="74" spans="1:10" x14ac:dyDescent="0.25">
      <c r="A74" s="3"/>
      <c r="B74" s="1">
        <v>45352</v>
      </c>
      <c r="C74">
        <v>2024</v>
      </c>
      <c r="D74" s="23">
        <f t="shared" si="5"/>
        <v>3</v>
      </c>
      <c r="E74" cm="1">
        <f t="array" ref="E74">_xlfn.XLOOKUP(TRUE,ISNUMBER(F74:H74),F74:H74)</f>
        <v>550</v>
      </c>
      <c r="F74">
        <f>_xlfn.XLOOKUP(B74,'domain-values'!A:A,'domain-values'!C:C)</f>
        <v>550</v>
      </c>
      <c r="I74">
        <v>102.8</v>
      </c>
      <c r="J74">
        <v>126.9</v>
      </c>
    </row>
    <row r="75" spans="1:10" x14ac:dyDescent="0.25">
      <c r="A75" s="3"/>
      <c r="B75" s="1">
        <v>45444</v>
      </c>
      <c r="C75">
        <v>2024</v>
      </c>
      <c r="D75" s="23">
        <f t="shared" si="5"/>
        <v>6</v>
      </c>
      <c r="E75" cm="1">
        <f t="array" ref="E75">_xlfn.XLOOKUP(TRUE,ISNUMBER(F75:H75),F75:H75)</f>
        <v>530</v>
      </c>
      <c r="F75">
        <f>_xlfn.XLOOKUP(B75,'domain-values'!A:A,'domain-values'!C:C)</f>
        <v>530</v>
      </c>
      <c r="I75">
        <v>104</v>
      </c>
      <c r="J75">
        <v>129.1</v>
      </c>
    </row>
    <row r="76" spans="1:10" x14ac:dyDescent="0.25">
      <c r="A76" s="3"/>
      <c r="B76" s="1">
        <v>45536</v>
      </c>
      <c r="C76">
        <v>2025</v>
      </c>
      <c r="D76" s="23">
        <f t="shared" si="5"/>
        <v>9</v>
      </c>
      <c r="E76" cm="1">
        <f t="array" ref="E76">_xlfn.XLOOKUP(TRUE,ISNUMBER(F76:H76),F76:H76)</f>
        <v>550</v>
      </c>
      <c r="F76">
        <f>_xlfn.XLOOKUP(B76,'domain-values'!A:A,'domain-values'!C:C)</f>
        <v>550</v>
      </c>
      <c r="I76">
        <v>104.6</v>
      </c>
      <c r="J76">
        <v>131.19999999999999</v>
      </c>
    </row>
    <row r="77" spans="1:10" x14ac:dyDescent="0.25">
      <c r="A77" s="3"/>
      <c r="B77" s="1">
        <v>45627</v>
      </c>
      <c r="C77">
        <v>2025</v>
      </c>
      <c r="D77" s="23">
        <f t="shared" si="5"/>
        <v>12</v>
      </c>
      <c r="E77" cm="1">
        <f t="array" ref="E77">_xlfn.XLOOKUP(TRUE,ISNUMBER(F77:H77),F77:H77)</f>
        <v>550</v>
      </c>
      <c r="F77">
        <f>_xlfn.XLOOKUP(B77,'domain-values'!A:A,'domain-values'!C:C)</f>
        <v>550</v>
      </c>
      <c r="I77">
        <v>104.7</v>
      </c>
      <c r="J77">
        <v>132.19999999999999</v>
      </c>
    </row>
    <row r="78" spans="1:10" x14ac:dyDescent="0.25">
      <c r="A78" s="3"/>
      <c r="B78" s="1">
        <v>45717</v>
      </c>
      <c r="C78">
        <v>2025</v>
      </c>
      <c r="D78" s="23">
        <f t="shared" si="5"/>
        <v>3</v>
      </c>
      <c r="E78" cm="1">
        <f t="array" ref="E78">_xlfn.XLOOKUP(TRUE,ISNUMBER(F78:H78),F78:H78)</f>
        <v>560</v>
      </c>
      <c r="F78">
        <f>_xlfn.XLOOKUP(B78,'domain-values'!A:A,'domain-values'!C:C)</f>
        <v>560</v>
      </c>
      <c r="I78">
        <v>105.6</v>
      </c>
      <c r="J78">
        <v>133.9</v>
      </c>
    </row>
    <row r="79" spans="1:10" x14ac:dyDescent="0.25">
      <c r="A79" s="3"/>
      <c r="B79" s="1">
        <v>45809</v>
      </c>
      <c r="C79">
        <v>2025</v>
      </c>
      <c r="D79" s="23">
        <f t="shared" si="5"/>
        <v>6</v>
      </c>
      <c r="E79" cm="1">
        <f t="array" ref="E79">_xlfn.XLOOKUP(TRUE,ISNUMBER(F79:H79),F79:H79)</f>
        <v>560</v>
      </c>
      <c r="F79">
        <f>_xlfn.XLOOKUP(B79,'domain-values'!A:A,'domain-values'!C:C)</f>
        <v>560</v>
      </c>
      <c r="I79">
        <v>106.4</v>
      </c>
      <c r="J79">
        <v>134.9</v>
      </c>
    </row>
    <row r="80" spans="1:10" x14ac:dyDescent="0.25">
      <c r="A80" s="3"/>
      <c r="B80" s="1">
        <v>45901</v>
      </c>
      <c r="C80">
        <v>2026</v>
      </c>
      <c r="D80" s="23">
        <f t="shared" si="5"/>
        <v>9</v>
      </c>
      <c r="E80" cm="1">
        <f t="array" ref="E80">_xlfn.XLOOKUP(TRUE,ISNUMBER(F80:H80),F80:H80)</f>
        <v>580</v>
      </c>
      <c r="F80">
        <f>_xlfn.XLOOKUP(B80,'domain-values'!A:A,'domain-values'!C:C)</f>
        <v>580</v>
      </c>
      <c r="I80">
        <v>107.5</v>
      </c>
      <c r="J80">
        <v>136.1</v>
      </c>
    </row>
    <row r="81" spans="1:10" x14ac:dyDescent="0.25">
      <c r="A81" s="3"/>
      <c r="B81" s="1">
        <v>45992</v>
      </c>
      <c r="C81">
        <v>2026</v>
      </c>
      <c r="D81" s="23">
        <f t="shared" si="5"/>
        <v>12</v>
      </c>
      <c r="E81" cm="1">
        <f t="array" ref="E81">_xlfn.XLOOKUP(TRUE,ISNUMBER(F81:H81),F81:H81)</f>
        <v>598</v>
      </c>
      <c r="F81">
        <f>_xlfn.XLOOKUP(B81,'domain-values'!A:A,'domain-values'!C:C)</f>
        <v>598</v>
      </c>
      <c r="J81">
        <v>137.5</v>
      </c>
    </row>
    <row r="82" spans="1:10" x14ac:dyDescent="0.25">
      <c r="A82" s="3"/>
      <c r="E82" s="7"/>
    </row>
    <row r="83" spans="1:10" x14ac:dyDescent="0.25">
      <c r="A83" s="3"/>
      <c r="E83" s="7"/>
    </row>
    <row r="84" spans="1:10" x14ac:dyDescent="0.25">
      <c r="A84" s="3"/>
      <c r="E84" s="7"/>
    </row>
    <row r="85" spans="1:10" x14ac:dyDescent="0.25">
      <c r="A85" s="3"/>
      <c r="E85" s="7"/>
    </row>
    <row r="86" spans="1:10" x14ac:dyDescent="0.25">
      <c r="A86" s="3"/>
      <c r="E86" s="7"/>
    </row>
    <row r="87" spans="1:10" x14ac:dyDescent="0.25">
      <c r="A87" s="3"/>
      <c r="E87" s="7"/>
    </row>
    <row r="88" spans="1:10" x14ac:dyDescent="0.25">
      <c r="A88" s="3"/>
      <c r="E88" s="7"/>
    </row>
    <row r="89" spans="1:10" x14ac:dyDescent="0.25">
      <c r="A89" s="3"/>
      <c r="E89" s="7"/>
    </row>
    <row r="90" spans="1:10" x14ac:dyDescent="0.25">
      <c r="A90" s="3"/>
      <c r="E90" s="7"/>
    </row>
    <row r="91" spans="1:10" x14ac:dyDescent="0.25">
      <c r="A91" s="3"/>
      <c r="E91" s="7"/>
    </row>
    <row r="92" spans="1:10" x14ac:dyDescent="0.25">
      <c r="A92" s="3"/>
      <c r="E92" s="7"/>
    </row>
    <row r="93" spans="1:10" x14ac:dyDescent="0.25">
      <c r="A93" s="3"/>
      <c r="E93" s="7"/>
    </row>
    <row r="94" spans="1:10" x14ac:dyDescent="0.25">
      <c r="A94" s="3"/>
      <c r="E94" s="7"/>
    </row>
    <row r="95" spans="1:10" x14ac:dyDescent="0.25">
      <c r="A95" s="3"/>
      <c r="E95" s="7"/>
    </row>
    <row r="96" spans="1:10"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J109"/>
  <sheetViews>
    <sheetView workbookViewId="0">
      <pane ySplit="1" topLeftCell="A50" activePane="bottomLeft" state="frozen"/>
      <selection pane="bottomLeft" activeCell="G58" sqref="G58"/>
    </sheetView>
  </sheetViews>
  <sheetFormatPr defaultRowHeight="15" x14ac:dyDescent="0.25"/>
  <cols>
    <col min="1" max="1" width="33.42578125" bestFit="1" customWidth="1"/>
    <col min="5" max="5" width="11" bestFit="1" customWidth="1"/>
  </cols>
  <sheetData>
    <row r="1" spans="1:10" x14ac:dyDescent="0.25">
      <c r="A1" t="s">
        <v>5</v>
      </c>
      <c r="B1" s="1" t="s">
        <v>1</v>
      </c>
      <c r="C1" t="s">
        <v>641</v>
      </c>
      <c r="D1" s="1" t="s">
        <v>631</v>
      </c>
      <c r="E1" s="5" t="s">
        <v>645</v>
      </c>
      <c r="F1" t="s">
        <v>633</v>
      </c>
      <c r="G1" t="s">
        <v>634</v>
      </c>
      <c r="H1" t="s">
        <v>646</v>
      </c>
      <c r="I1" s="6" t="s">
        <v>647</v>
      </c>
      <c r="J1" s="6" t="s">
        <v>635</v>
      </c>
    </row>
    <row r="2" spans="1:10" x14ac:dyDescent="0.25">
      <c r="A2" t="s">
        <v>4</v>
      </c>
      <c r="B2" s="1">
        <v>38777</v>
      </c>
      <c r="C2">
        <v>2006</v>
      </c>
      <c r="D2" s="23">
        <f>MONTH(B2)</f>
        <v>3</v>
      </c>
      <c r="E2" cm="1">
        <f t="array" ref="E2">_xlfn.XLOOKUP(TRUE,ISNUMBER(F2:H2),F2:H2)</f>
        <v>367.97260273972603</v>
      </c>
      <c r="H2">
        <f t="shared" ref="H2:H7" si="0">$G$8*(I2/$I$8)</f>
        <v>367.97260273972603</v>
      </c>
      <c r="I2">
        <v>66</v>
      </c>
      <c r="J2">
        <v>72.900000000000006</v>
      </c>
    </row>
    <row r="3" spans="1:10" x14ac:dyDescent="0.25">
      <c r="A3" t="s">
        <v>0</v>
      </c>
      <c r="B3" s="1">
        <v>38869</v>
      </c>
      <c r="C3">
        <v>2006</v>
      </c>
      <c r="D3" s="23">
        <f>MONTH(B3)</f>
        <v>6</v>
      </c>
      <c r="E3" cm="1">
        <f t="array" ref="E3">_xlfn.XLOOKUP(TRUE,ISNUMBER(F3:H3),F3:H3)</f>
        <v>371.87534246575348</v>
      </c>
      <c r="H3">
        <f t="shared" si="0"/>
        <v>371.87534246575348</v>
      </c>
      <c r="I3">
        <v>66.7</v>
      </c>
      <c r="J3">
        <v>73.5</v>
      </c>
    </row>
    <row r="4" spans="1:10" x14ac:dyDescent="0.25">
      <c r="B4" s="1">
        <v>38961</v>
      </c>
      <c r="C4">
        <v>2007</v>
      </c>
      <c r="D4" s="23">
        <f>MONTH(B4)</f>
        <v>9</v>
      </c>
      <c r="E4" cm="1">
        <f t="array" ref="E4">_xlfn.XLOOKUP(TRUE,ISNUMBER(F4:H4),F4:H4)</f>
        <v>381.91095890410958</v>
      </c>
      <c r="H4">
        <f t="shared" si="0"/>
        <v>381.91095890410958</v>
      </c>
      <c r="I4">
        <v>68.5</v>
      </c>
      <c r="J4">
        <v>74.3</v>
      </c>
    </row>
    <row r="5" spans="1:10" x14ac:dyDescent="0.25">
      <c r="B5" s="1">
        <v>39052</v>
      </c>
      <c r="C5">
        <v>2007</v>
      </c>
      <c r="D5" s="23">
        <f>MONTH(B5)</f>
        <v>12</v>
      </c>
      <c r="E5" cm="1">
        <f t="array" ref="E5">_xlfn.XLOOKUP(TRUE,ISNUMBER(F5:H5),F5:H5)</f>
        <v>387.48630136986304</v>
      </c>
      <c r="H5">
        <f t="shared" si="0"/>
        <v>387.48630136986304</v>
      </c>
      <c r="I5">
        <v>69.5</v>
      </c>
      <c r="J5">
        <v>75</v>
      </c>
    </row>
    <row r="6" spans="1:10" x14ac:dyDescent="0.25">
      <c r="B6" s="1">
        <v>39142</v>
      </c>
      <c r="C6">
        <v>2007</v>
      </c>
      <c r="D6" s="23">
        <f t="shared" ref="D6:D37" si="1">MONTH(B6)</f>
        <v>3</v>
      </c>
      <c r="E6" cm="1">
        <f t="array" ref="E6">_xlfn.XLOOKUP(TRUE,ISNUMBER(F6:H6),F6:H6)</f>
        <v>393.06164383561645</v>
      </c>
      <c r="H6">
        <f t="shared" si="0"/>
        <v>393.06164383561645</v>
      </c>
      <c r="I6">
        <v>70.5</v>
      </c>
      <c r="J6">
        <v>76.099999999999994</v>
      </c>
    </row>
    <row r="7" spans="1:10" x14ac:dyDescent="0.25">
      <c r="B7" s="1">
        <v>39234</v>
      </c>
      <c r="C7">
        <v>2007</v>
      </c>
      <c r="D7" s="23">
        <f t="shared" si="1"/>
        <v>6</v>
      </c>
      <c r="E7" cm="1">
        <f t="array" ref="E7">_xlfn.XLOOKUP(TRUE,ISNUMBER(F7:H7),F7:H7)</f>
        <v>401.98219178082189</v>
      </c>
      <c r="H7">
        <f t="shared" si="0"/>
        <v>401.98219178082189</v>
      </c>
      <c r="I7">
        <v>72.099999999999994</v>
      </c>
      <c r="J7">
        <v>77.3</v>
      </c>
    </row>
    <row r="8" spans="1:10" x14ac:dyDescent="0.25">
      <c r="B8" s="1">
        <v>39326</v>
      </c>
      <c r="C8">
        <v>2008</v>
      </c>
      <c r="D8" s="23">
        <f t="shared" si="1"/>
        <v>9</v>
      </c>
      <c r="E8" cm="1">
        <f t="array" ref="E8">_xlfn.XLOOKUP(TRUE,ISNUMBER(F8:H8),F8:H8)</f>
        <v>407</v>
      </c>
      <c r="G8" s="45">
        <f>_xlfn.XLOOKUP(C8,'Ableson and Joyeux 2023'!A:A,'Ableson and Joyeux 2023'!B:B)</f>
        <v>407</v>
      </c>
      <c r="I8">
        <v>73</v>
      </c>
      <c r="J8">
        <v>78.599999999999994</v>
      </c>
    </row>
    <row r="9" spans="1:10" x14ac:dyDescent="0.25">
      <c r="B9" s="1">
        <v>39417</v>
      </c>
      <c r="C9">
        <v>2008</v>
      </c>
      <c r="D9" s="23">
        <f t="shared" si="1"/>
        <v>12</v>
      </c>
      <c r="E9" cm="1">
        <f t="array" ref="E9">_xlfn.XLOOKUP(TRUE,ISNUMBER(F9:H9),F9:H9)</f>
        <v>407</v>
      </c>
      <c r="G9" s="45">
        <f>_xlfn.XLOOKUP(C9,'Ableson and Joyeux 2023'!A:A,'Ableson and Joyeux 2023'!B:B)</f>
        <v>407</v>
      </c>
      <c r="I9">
        <v>74.599999999999994</v>
      </c>
      <c r="J9">
        <v>80</v>
      </c>
    </row>
    <row r="10" spans="1:10" x14ac:dyDescent="0.25">
      <c r="B10" s="1">
        <v>39508</v>
      </c>
      <c r="C10">
        <v>2008</v>
      </c>
      <c r="D10" s="23">
        <f t="shared" si="1"/>
        <v>3</v>
      </c>
      <c r="E10" cm="1">
        <f t="array" ref="E10">_xlfn.XLOOKUP(TRUE,ISNUMBER(F10:H10),F10:H10)</f>
        <v>407</v>
      </c>
      <c r="G10" s="45">
        <f>_xlfn.XLOOKUP(C10,'Ableson and Joyeux 2023'!A:A,'Ableson and Joyeux 2023'!B:B)</f>
        <v>407</v>
      </c>
      <c r="I10">
        <v>76.5</v>
      </c>
      <c r="J10">
        <v>81.400000000000006</v>
      </c>
    </row>
    <row r="11" spans="1:10" x14ac:dyDescent="0.25">
      <c r="B11" s="1">
        <v>39600</v>
      </c>
      <c r="C11">
        <v>2008</v>
      </c>
      <c r="D11" s="23">
        <f t="shared" si="1"/>
        <v>6</v>
      </c>
      <c r="E11" cm="1">
        <f t="array" ref="E11">_xlfn.XLOOKUP(TRUE,ISNUMBER(F11:H11),F11:H11)</f>
        <v>407</v>
      </c>
      <c r="G11" s="45">
        <f>_xlfn.XLOOKUP(C11,'Ableson and Joyeux 2023'!A:A,'Ableson and Joyeux 2023'!B:B)</f>
        <v>407</v>
      </c>
      <c r="I11">
        <v>78.400000000000006</v>
      </c>
      <c r="J11">
        <v>83.3</v>
      </c>
    </row>
    <row r="12" spans="1:10" x14ac:dyDescent="0.25">
      <c r="B12" s="1">
        <v>39692</v>
      </c>
      <c r="C12">
        <v>2009</v>
      </c>
      <c r="D12" s="23">
        <f t="shared" si="1"/>
        <v>9</v>
      </c>
      <c r="E12" cm="1">
        <f t="array" ref="E12">_xlfn.XLOOKUP(TRUE,ISNUMBER(F12:H12),F12:H12)</f>
        <v>442.66666666666663</v>
      </c>
      <c r="H12">
        <f>$G$16*(I12/$I$16)</f>
        <v>442.66666666666663</v>
      </c>
      <c r="I12">
        <v>80.8</v>
      </c>
      <c r="J12">
        <v>85</v>
      </c>
    </row>
    <row r="13" spans="1:10" x14ac:dyDescent="0.25">
      <c r="B13" s="1">
        <v>39783</v>
      </c>
      <c r="C13">
        <v>2009</v>
      </c>
      <c r="D13" s="23">
        <f t="shared" si="1"/>
        <v>12</v>
      </c>
      <c r="E13" cm="1">
        <f t="array" ref="E13">_xlfn.XLOOKUP(TRUE,ISNUMBER(F13:H13),F13:H13)</f>
        <v>457.45874587458746</v>
      </c>
      <c r="H13">
        <f>$G$16*(I13/$I$16)</f>
        <v>457.45874587458746</v>
      </c>
      <c r="I13">
        <v>83.5</v>
      </c>
      <c r="J13">
        <v>86.7</v>
      </c>
    </row>
    <row r="14" spans="1:10" x14ac:dyDescent="0.25">
      <c r="B14" s="1">
        <v>39873</v>
      </c>
      <c r="C14">
        <v>2009</v>
      </c>
      <c r="D14" s="23">
        <f t="shared" si="1"/>
        <v>3</v>
      </c>
      <c r="E14" cm="1">
        <f t="array" ref="E14">_xlfn.XLOOKUP(TRUE,ISNUMBER(F14:H14),F14:H14)</f>
        <v>475.53795379537945</v>
      </c>
      <c r="H14">
        <f>$G$16*(I14/$I$16)</f>
        <v>475.53795379537945</v>
      </c>
      <c r="I14">
        <v>86.8</v>
      </c>
      <c r="J14">
        <v>88</v>
      </c>
    </row>
    <row r="15" spans="1:10" x14ac:dyDescent="0.25">
      <c r="B15" s="1">
        <v>39965</v>
      </c>
      <c r="C15">
        <v>2009</v>
      </c>
      <c r="D15" s="23">
        <f t="shared" si="1"/>
        <v>6</v>
      </c>
      <c r="E15" cm="1">
        <f t="array" ref="E15">_xlfn.XLOOKUP(TRUE,ISNUMBER(F15:H15),F15:H15)</f>
        <v>485.94719471947195</v>
      </c>
      <c r="H15">
        <f>$G$16*(I15/$I$16)</f>
        <v>485.94719471947195</v>
      </c>
      <c r="I15">
        <v>88.7</v>
      </c>
      <c r="J15">
        <v>89.3</v>
      </c>
    </row>
    <row r="16" spans="1:10" x14ac:dyDescent="0.25">
      <c r="B16" s="1">
        <v>40057</v>
      </c>
      <c r="C16">
        <v>2010</v>
      </c>
      <c r="D16" s="23">
        <f t="shared" si="1"/>
        <v>9</v>
      </c>
      <c r="E16" cm="1">
        <f t="array" ref="E16">_xlfn.XLOOKUP(TRUE,ISNUMBER(F16:H16),F16:H16)</f>
        <v>498</v>
      </c>
      <c r="G16" s="45">
        <f>_xlfn.XLOOKUP(C16,'Ableson and Joyeux 2023'!A:A,'Ableson and Joyeux 2023'!B:B)</f>
        <v>498</v>
      </c>
      <c r="I16">
        <v>90.9</v>
      </c>
      <c r="J16">
        <v>90.3</v>
      </c>
    </row>
    <row r="17" spans="2:10" x14ac:dyDescent="0.25">
      <c r="B17" s="1">
        <v>40148</v>
      </c>
      <c r="C17">
        <v>2010</v>
      </c>
      <c r="D17" s="23">
        <f t="shared" si="1"/>
        <v>12</v>
      </c>
      <c r="E17" cm="1">
        <f t="array" ref="E17">_xlfn.XLOOKUP(TRUE,ISNUMBER(F17:H17),F17:H17)</f>
        <v>498</v>
      </c>
      <c r="G17" s="45">
        <f>_xlfn.XLOOKUP(C17,'Ableson and Joyeux 2023'!A:A,'Ableson and Joyeux 2023'!B:B)</f>
        <v>498</v>
      </c>
      <c r="I17">
        <v>92.4</v>
      </c>
      <c r="J17">
        <v>91.2</v>
      </c>
    </row>
    <row r="18" spans="2:10" x14ac:dyDescent="0.25">
      <c r="B18" s="1">
        <v>40238</v>
      </c>
      <c r="C18">
        <v>2010</v>
      </c>
      <c r="D18" s="23">
        <f t="shared" si="1"/>
        <v>3</v>
      </c>
      <c r="E18" cm="1">
        <f t="array" ref="E18">_xlfn.XLOOKUP(TRUE,ISNUMBER(F18:H18),F18:H18)</f>
        <v>498</v>
      </c>
      <c r="G18" s="45">
        <f>_xlfn.XLOOKUP(C18,'Ableson and Joyeux 2023'!A:A,'Ableson and Joyeux 2023'!B:B)</f>
        <v>498</v>
      </c>
      <c r="I18">
        <v>95</v>
      </c>
      <c r="J18">
        <v>92.1</v>
      </c>
    </row>
    <row r="19" spans="2:10" x14ac:dyDescent="0.25">
      <c r="B19" s="1">
        <v>40330</v>
      </c>
      <c r="C19">
        <v>2010</v>
      </c>
      <c r="D19" s="23">
        <f t="shared" si="1"/>
        <v>6</v>
      </c>
      <c r="E19" cm="1">
        <f t="array" ref="E19">_xlfn.XLOOKUP(TRUE,ISNUMBER(F19:H19),F19:H19)</f>
        <v>498</v>
      </c>
      <c r="G19" s="45">
        <f>_xlfn.XLOOKUP(C19,'Ableson and Joyeux 2023'!A:A,'Ableson and Joyeux 2023'!B:B)</f>
        <v>498</v>
      </c>
      <c r="I19">
        <v>96.1</v>
      </c>
      <c r="J19">
        <v>93</v>
      </c>
    </row>
    <row r="20" spans="2:10" x14ac:dyDescent="0.25">
      <c r="B20" s="1">
        <v>40422</v>
      </c>
      <c r="C20">
        <v>2011</v>
      </c>
      <c r="D20" s="23">
        <f t="shared" si="1"/>
        <v>9</v>
      </c>
      <c r="E20" cm="1">
        <f t="array" ref="E20">_xlfn.XLOOKUP(TRUE,ISNUMBER(F20:H20),F20:H20)</f>
        <v>518.17421602787454</v>
      </c>
      <c r="H20">
        <f t="shared" ref="H20:H34" si="2">$G$36*(I20/$I$36)</f>
        <v>518.17421602787454</v>
      </c>
      <c r="I20">
        <v>97.2</v>
      </c>
      <c r="J20">
        <v>94.1</v>
      </c>
    </row>
    <row r="21" spans="2:10" x14ac:dyDescent="0.25">
      <c r="B21" s="1">
        <v>40513</v>
      </c>
      <c r="C21">
        <v>2011</v>
      </c>
      <c r="D21" s="23">
        <f t="shared" si="1"/>
        <v>12</v>
      </c>
      <c r="E21" cm="1">
        <f t="array" ref="E21">_xlfn.XLOOKUP(TRUE,ISNUMBER(F21:H21),F21:H21)</f>
        <v>521.90592334494772</v>
      </c>
      <c r="H21">
        <f t="shared" si="2"/>
        <v>521.90592334494772</v>
      </c>
      <c r="I21">
        <v>97.9</v>
      </c>
      <c r="J21">
        <v>95.1</v>
      </c>
    </row>
    <row r="22" spans="2:10" x14ac:dyDescent="0.25">
      <c r="B22" s="1">
        <v>40603</v>
      </c>
      <c r="C22">
        <v>2011</v>
      </c>
      <c r="D22" s="23">
        <f t="shared" si="1"/>
        <v>3</v>
      </c>
      <c r="E22" cm="1">
        <f t="array" ref="E22">_xlfn.XLOOKUP(TRUE,ISNUMBER(F22:H22),F22:H22)</f>
        <v>525.10452961672479</v>
      </c>
      <c r="H22">
        <f t="shared" si="2"/>
        <v>525.10452961672479</v>
      </c>
      <c r="I22">
        <v>98.5</v>
      </c>
      <c r="J22">
        <v>96.2</v>
      </c>
    </row>
    <row r="23" spans="2:10" x14ac:dyDescent="0.25">
      <c r="B23" s="1">
        <v>40695</v>
      </c>
      <c r="C23">
        <v>2011</v>
      </c>
      <c r="D23" s="23">
        <f t="shared" si="1"/>
        <v>6</v>
      </c>
      <c r="E23" cm="1">
        <f t="array" ref="E23">_xlfn.XLOOKUP(TRUE,ISNUMBER(F23:H23),F23:H23)</f>
        <v>526.70383275261327</v>
      </c>
      <c r="H23">
        <f t="shared" si="2"/>
        <v>526.70383275261327</v>
      </c>
      <c r="I23">
        <v>98.8</v>
      </c>
      <c r="J23">
        <v>97.2</v>
      </c>
    </row>
    <row r="24" spans="2:10" x14ac:dyDescent="0.25">
      <c r="B24" s="1">
        <v>40787</v>
      </c>
      <c r="C24">
        <v>2012</v>
      </c>
      <c r="D24" s="23">
        <f t="shared" si="1"/>
        <v>9</v>
      </c>
      <c r="E24" cm="1">
        <f t="array" ref="E24">_xlfn.XLOOKUP(TRUE,ISNUMBER(F24:H24),F24:H24)</f>
        <v>528.83623693379786</v>
      </c>
      <c r="H24">
        <f t="shared" si="2"/>
        <v>528.83623693379786</v>
      </c>
      <c r="I24">
        <v>99.2</v>
      </c>
      <c r="J24">
        <v>98.5</v>
      </c>
    </row>
    <row r="25" spans="2:10" x14ac:dyDescent="0.25">
      <c r="B25" s="1">
        <v>40878</v>
      </c>
      <c r="C25">
        <v>2012</v>
      </c>
      <c r="D25" s="23">
        <f t="shared" si="1"/>
        <v>12</v>
      </c>
      <c r="E25" cm="1">
        <f t="array" ref="E25">_xlfn.XLOOKUP(TRUE,ISNUMBER(F25:H25),F25:H25)</f>
        <v>530.43554006968645</v>
      </c>
      <c r="H25">
        <f t="shared" si="2"/>
        <v>530.43554006968645</v>
      </c>
      <c r="I25">
        <v>99.5</v>
      </c>
      <c r="J25">
        <v>99.6</v>
      </c>
    </row>
    <row r="26" spans="2:10" x14ac:dyDescent="0.25">
      <c r="B26" s="1">
        <v>40969</v>
      </c>
      <c r="C26">
        <v>2012</v>
      </c>
      <c r="D26" s="23">
        <f t="shared" si="1"/>
        <v>3</v>
      </c>
      <c r="E26" cm="1">
        <f t="array" ref="E26">_xlfn.XLOOKUP(TRUE,ISNUMBER(F26:H26),F26:H26)</f>
        <v>534.16724738675964</v>
      </c>
      <c r="H26">
        <f t="shared" si="2"/>
        <v>534.16724738675964</v>
      </c>
      <c r="I26">
        <v>100.2</v>
      </c>
      <c r="J26">
        <v>100.5</v>
      </c>
    </row>
    <row r="27" spans="2:10" x14ac:dyDescent="0.25">
      <c r="B27" s="1">
        <v>41061</v>
      </c>
      <c r="C27">
        <v>2012</v>
      </c>
      <c r="D27" s="23">
        <f t="shared" si="1"/>
        <v>6</v>
      </c>
      <c r="E27" cm="1">
        <f t="array" ref="E27">_xlfn.XLOOKUP(TRUE,ISNUMBER(F27:H27),F27:H27)</f>
        <v>538.96515679442507</v>
      </c>
      <c r="H27">
        <f t="shared" si="2"/>
        <v>538.96515679442507</v>
      </c>
      <c r="I27">
        <v>101.1</v>
      </c>
      <c r="J27">
        <v>101.5</v>
      </c>
    </row>
    <row r="28" spans="2:10" x14ac:dyDescent="0.25">
      <c r="B28" s="1">
        <v>41153</v>
      </c>
      <c r="C28">
        <v>2013</v>
      </c>
      <c r="D28" s="23">
        <f t="shared" si="1"/>
        <v>9</v>
      </c>
      <c r="E28" cm="1">
        <f t="array" ref="E28">_xlfn.XLOOKUP(TRUE,ISNUMBER(F28:H28),F28:H28)</f>
        <v>547.4947735191638</v>
      </c>
      <c r="H28">
        <f t="shared" si="2"/>
        <v>547.4947735191638</v>
      </c>
      <c r="I28">
        <v>102.7</v>
      </c>
      <c r="J28">
        <v>102.4</v>
      </c>
    </row>
    <row r="29" spans="2:10" x14ac:dyDescent="0.25">
      <c r="B29" s="1">
        <v>41244</v>
      </c>
      <c r="C29">
        <v>2013</v>
      </c>
      <c r="D29" s="23">
        <f t="shared" si="1"/>
        <v>12</v>
      </c>
      <c r="E29" cm="1">
        <f t="array" ref="E29">_xlfn.XLOOKUP(TRUE,ISNUMBER(F29:H29),F29:H29)</f>
        <v>552.82578397212546</v>
      </c>
      <c r="H29">
        <f t="shared" si="2"/>
        <v>552.82578397212546</v>
      </c>
      <c r="I29">
        <v>103.7</v>
      </c>
      <c r="J29">
        <v>103.3</v>
      </c>
    </row>
    <row r="30" spans="2:10" x14ac:dyDescent="0.25">
      <c r="B30" s="1">
        <v>41334</v>
      </c>
      <c r="C30">
        <v>2013</v>
      </c>
      <c r="D30" s="23">
        <f t="shared" si="1"/>
        <v>3</v>
      </c>
      <c r="E30" cm="1">
        <f t="array" ref="E30">_xlfn.XLOOKUP(TRUE,ISNUMBER(F30:H30),F30:H30)</f>
        <v>568.28571428571422</v>
      </c>
      <c r="H30">
        <f t="shared" si="2"/>
        <v>568.28571428571422</v>
      </c>
      <c r="I30">
        <v>106.6</v>
      </c>
      <c r="J30">
        <v>104</v>
      </c>
    </row>
    <row r="31" spans="2:10" x14ac:dyDescent="0.25">
      <c r="B31" s="1">
        <v>41426</v>
      </c>
      <c r="C31">
        <v>2013</v>
      </c>
      <c r="D31" s="23">
        <f t="shared" si="1"/>
        <v>6</v>
      </c>
      <c r="E31" cm="1">
        <f t="array" ref="E31">_xlfn.XLOOKUP(TRUE,ISNUMBER(F31:H31),F31:H31)</f>
        <v>579.48083623693378</v>
      </c>
      <c r="H31">
        <f t="shared" si="2"/>
        <v>579.48083623693378</v>
      </c>
      <c r="I31">
        <v>108.7</v>
      </c>
      <c r="J31">
        <v>105</v>
      </c>
    </row>
    <row r="32" spans="2:10" x14ac:dyDescent="0.25">
      <c r="B32" s="1">
        <v>41518</v>
      </c>
      <c r="C32">
        <v>2014</v>
      </c>
      <c r="D32" s="23">
        <f t="shared" si="1"/>
        <v>9</v>
      </c>
      <c r="E32" cm="1">
        <f t="array" ref="E32">_xlfn.XLOOKUP(TRUE,ISNUMBER(F32:H32),F32:H32)</f>
        <v>590.67595818815323</v>
      </c>
      <c r="H32">
        <f t="shared" si="2"/>
        <v>590.67595818815323</v>
      </c>
      <c r="I32">
        <v>110.8</v>
      </c>
      <c r="J32">
        <v>105.7</v>
      </c>
    </row>
    <row r="33" spans="1:10" x14ac:dyDescent="0.25">
      <c r="B33" s="1">
        <v>41609</v>
      </c>
      <c r="C33">
        <v>2014</v>
      </c>
      <c r="D33" s="23">
        <f t="shared" si="1"/>
        <v>12</v>
      </c>
      <c r="E33" cm="1">
        <f t="array" ref="E33">_xlfn.XLOOKUP(TRUE,ISNUMBER(F33:H33),F33:H33)</f>
        <v>599.20557491289208</v>
      </c>
      <c r="H33">
        <f t="shared" si="2"/>
        <v>599.20557491289208</v>
      </c>
      <c r="I33">
        <v>112.4</v>
      </c>
      <c r="J33">
        <v>106.4</v>
      </c>
    </row>
    <row r="34" spans="1:10" x14ac:dyDescent="0.25">
      <c r="B34" s="1">
        <v>41699</v>
      </c>
      <c r="C34">
        <v>2014</v>
      </c>
      <c r="D34" s="23">
        <f t="shared" si="1"/>
        <v>3</v>
      </c>
      <c r="E34" cm="1">
        <f t="array" ref="E34">_xlfn.XLOOKUP(TRUE,ISNUMBER(F34:H34),F34:H34)</f>
        <v>604.0034843205575</v>
      </c>
      <c r="H34">
        <f t="shared" si="2"/>
        <v>604.0034843205575</v>
      </c>
      <c r="I34">
        <v>113.3</v>
      </c>
      <c r="J34">
        <v>107</v>
      </c>
    </row>
    <row r="35" spans="1:10" x14ac:dyDescent="0.25">
      <c r="B35" s="1">
        <v>41791</v>
      </c>
      <c r="C35">
        <v>2014</v>
      </c>
      <c r="D35" s="23">
        <f t="shared" si="1"/>
        <v>6</v>
      </c>
      <c r="E35" cm="1">
        <f t="array" ref="E35">_xlfn.XLOOKUP(TRUE,ISNUMBER(F35:H35),F35:H35)</f>
        <v>607.20209059233457</v>
      </c>
      <c r="H35">
        <f>$G$36*(I35/$I$36)</f>
        <v>607.20209059233457</v>
      </c>
      <c r="I35">
        <v>113.9</v>
      </c>
      <c r="J35">
        <v>107.5</v>
      </c>
    </row>
    <row r="36" spans="1:10" x14ac:dyDescent="0.25">
      <c r="B36" s="1">
        <v>41883</v>
      </c>
      <c r="C36">
        <v>2015</v>
      </c>
      <c r="D36" s="23">
        <f t="shared" si="1"/>
        <v>9</v>
      </c>
      <c r="E36" cm="1">
        <f t="array" ref="E36">_xlfn.XLOOKUP(TRUE,ISNUMBER(F36:H36),F36:H36)</f>
        <v>612</v>
      </c>
      <c r="G36" s="45">
        <f>_xlfn.XLOOKUP(C36,'Ableson and Joyeux 2023'!A:A,'Ableson and Joyeux 2023'!B:B)</f>
        <v>612</v>
      </c>
      <c r="I36">
        <v>114.8</v>
      </c>
      <c r="J36">
        <v>108.3</v>
      </c>
    </row>
    <row r="37" spans="1:10" x14ac:dyDescent="0.25">
      <c r="B37" s="1">
        <v>41974</v>
      </c>
      <c r="C37">
        <v>2015</v>
      </c>
      <c r="D37" s="23">
        <f t="shared" si="1"/>
        <v>12</v>
      </c>
      <c r="E37" cm="1">
        <f t="array" ref="E37">_xlfn.XLOOKUP(TRUE,ISNUMBER(F37:H37),F37:H37)</f>
        <v>612</v>
      </c>
      <c r="G37" s="45">
        <f>_xlfn.XLOOKUP(C37,'Ableson and Joyeux 2023'!A:A,'Ableson and Joyeux 2023'!B:B)</f>
        <v>612</v>
      </c>
      <c r="I37">
        <v>115.4</v>
      </c>
      <c r="J37">
        <v>108.9</v>
      </c>
    </row>
    <row r="38" spans="1:10" x14ac:dyDescent="0.25">
      <c r="B38" s="1">
        <v>42064</v>
      </c>
      <c r="C38">
        <v>2015</v>
      </c>
      <c r="D38" s="23">
        <f t="shared" ref="D38:D69" si="3">MONTH(B38)</f>
        <v>3</v>
      </c>
      <c r="E38" cm="1">
        <f t="array" ref="E38">_xlfn.XLOOKUP(TRUE,ISNUMBER(F38:H38),F38:H38)</f>
        <v>612</v>
      </c>
      <c r="G38" s="45">
        <f>_xlfn.XLOOKUP(C38,'Ableson and Joyeux 2023'!A:A,'Ableson and Joyeux 2023'!B:B)</f>
        <v>612</v>
      </c>
      <c r="I38">
        <v>115.1</v>
      </c>
      <c r="J38">
        <v>109.2</v>
      </c>
    </row>
    <row r="39" spans="1:10" x14ac:dyDescent="0.25">
      <c r="B39" s="1">
        <v>42156</v>
      </c>
      <c r="C39">
        <v>2015</v>
      </c>
      <c r="D39" s="23">
        <f t="shared" si="3"/>
        <v>6</v>
      </c>
      <c r="E39" cm="1">
        <f t="array" ref="E39">_xlfn.XLOOKUP(TRUE,ISNUMBER(F39:H39),F39:H39)</f>
        <v>612</v>
      </c>
      <c r="G39" s="45">
        <f>_xlfn.XLOOKUP(C39,'Ableson and Joyeux 2023'!A:A,'Ableson and Joyeux 2023'!B:B)</f>
        <v>612</v>
      </c>
      <c r="I39">
        <v>114.9</v>
      </c>
      <c r="J39">
        <v>109.6</v>
      </c>
    </row>
    <row r="40" spans="1:10" x14ac:dyDescent="0.25">
      <c r="B40" s="1">
        <v>42248</v>
      </c>
      <c r="C40">
        <v>2016</v>
      </c>
      <c r="D40" s="23">
        <f t="shared" si="3"/>
        <v>9</v>
      </c>
      <c r="E40" cm="1">
        <f t="array" ref="E40">_xlfn.XLOOKUP(TRUE,ISNUMBER(F40:H40),F40:H40)</f>
        <v>554</v>
      </c>
      <c r="G40" s="45">
        <f>_xlfn.XLOOKUP(C40,'Ableson and Joyeux 2023'!A:A,'Ableson and Joyeux 2023'!B:B)</f>
        <v>554</v>
      </c>
      <c r="I40">
        <v>113.8</v>
      </c>
      <c r="J40">
        <v>109.9</v>
      </c>
    </row>
    <row r="41" spans="1:10" x14ac:dyDescent="0.25">
      <c r="B41" s="1">
        <v>42339</v>
      </c>
      <c r="C41">
        <v>2016</v>
      </c>
      <c r="D41" s="23">
        <f t="shared" si="3"/>
        <v>12</v>
      </c>
      <c r="E41" cm="1">
        <f t="array" ref="E41">_xlfn.XLOOKUP(TRUE,ISNUMBER(F41:H41),F41:H41)</f>
        <v>554</v>
      </c>
      <c r="G41" s="45">
        <f>_xlfn.XLOOKUP(C41,'Ableson and Joyeux 2023'!A:A,'Ableson and Joyeux 2023'!B:B)</f>
        <v>554</v>
      </c>
      <c r="I41">
        <v>112.3</v>
      </c>
      <c r="J41">
        <v>110.1</v>
      </c>
    </row>
    <row r="42" spans="1:10" x14ac:dyDescent="0.25">
      <c r="B42" s="1">
        <v>42430</v>
      </c>
      <c r="C42">
        <v>2016</v>
      </c>
      <c r="D42" s="23">
        <f t="shared" si="3"/>
        <v>3</v>
      </c>
      <c r="E42" cm="1">
        <f t="array" ref="E42">_xlfn.XLOOKUP(TRUE,ISNUMBER(F42:H42),F42:H42)</f>
        <v>554</v>
      </c>
      <c r="G42" s="45">
        <f>_xlfn.XLOOKUP(C42,'Ableson and Joyeux 2023'!A:A,'Ableson and Joyeux 2023'!B:B)</f>
        <v>554</v>
      </c>
      <c r="I42">
        <v>109.8</v>
      </c>
      <c r="J42">
        <v>110.2</v>
      </c>
    </row>
    <row r="43" spans="1:10" x14ac:dyDescent="0.25">
      <c r="B43" s="1">
        <v>42522</v>
      </c>
      <c r="C43">
        <v>2016</v>
      </c>
      <c r="D43" s="23">
        <f t="shared" si="3"/>
        <v>6</v>
      </c>
      <c r="E43" cm="1">
        <f t="array" ref="E43">_xlfn.XLOOKUP(TRUE,ISNUMBER(F43:H43),F43:H43)</f>
        <v>554</v>
      </c>
      <c r="G43" s="45">
        <f>_xlfn.XLOOKUP(C43,'Ableson and Joyeux 2023'!A:A,'Ableson and Joyeux 2023'!B:B)</f>
        <v>554</v>
      </c>
      <c r="I43">
        <v>107.6</v>
      </c>
      <c r="J43">
        <v>110.4</v>
      </c>
    </row>
    <row r="44" spans="1:10" x14ac:dyDescent="0.25">
      <c r="B44" s="1">
        <v>42614</v>
      </c>
      <c r="C44">
        <v>2017</v>
      </c>
      <c r="D44" s="23">
        <f t="shared" si="3"/>
        <v>9</v>
      </c>
      <c r="E44" cm="1">
        <f t="array" ref="E44">_xlfn.XLOOKUP(TRUE,ISNUMBER(F44:H44),F44:H44)</f>
        <v>513</v>
      </c>
      <c r="G44" s="45">
        <f>_xlfn.XLOOKUP(C44,'Ableson and Joyeux 2023'!A:A,'Ableson and Joyeux 2023'!B:B)</f>
        <v>513</v>
      </c>
      <c r="I44">
        <v>105</v>
      </c>
      <c r="J44">
        <v>110.7</v>
      </c>
    </row>
    <row r="45" spans="1:10" x14ac:dyDescent="0.25">
      <c r="B45" s="1">
        <v>42705</v>
      </c>
      <c r="C45">
        <v>2017</v>
      </c>
      <c r="D45" s="23">
        <f t="shared" si="3"/>
        <v>12</v>
      </c>
      <c r="E45" cm="1">
        <f t="array" ref="E45">_xlfn.XLOOKUP(TRUE,ISNUMBER(F45:H45),F45:H45)</f>
        <v>513</v>
      </c>
      <c r="G45" s="45">
        <f>_xlfn.XLOOKUP(C45,'Ableson and Joyeux 2023'!A:A,'Ableson and Joyeux 2023'!B:B)</f>
        <v>513</v>
      </c>
      <c r="I45">
        <v>103.1</v>
      </c>
      <c r="J45">
        <v>110.8</v>
      </c>
    </row>
    <row r="46" spans="1:10" x14ac:dyDescent="0.25">
      <c r="A46" s="3"/>
      <c r="B46" s="1">
        <v>42795</v>
      </c>
      <c r="C46">
        <v>2017</v>
      </c>
      <c r="D46" s="23">
        <f t="shared" si="3"/>
        <v>3</v>
      </c>
      <c r="E46" cm="1">
        <f t="array" ref="E46">_xlfn.XLOOKUP(TRUE,ISNUMBER(F46:H46),F46:H46)</f>
        <v>513</v>
      </c>
      <c r="G46" s="45">
        <f>_xlfn.XLOOKUP(C46,'Ableson and Joyeux 2023'!A:A,'Ableson and Joyeux 2023'!B:B)</f>
        <v>513</v>
      </c>
      <c r="I46">
        <v>101.7</v>
      </c>
      <c r="J46">
        <v>110.9</v>
      </c>
    </row>
    <row r="47" spans="1:10" x14ac:dyDescent="0.25">
      <c r="A47" s="3"/>
      <c r="B47" s="1">
        <v>42887</v>
      </c>
      <c r="C47">
        <v>2017</v>
      </c>
      <c r="D47" s="23">
        <f t="shared" si="3"/>
        <v>6</v>
      </c>
      <c r="E47" cm="1">
        <f t="array" ref="E47">_xlfn.XLOOKUP(TRUE,ISNUMBER(F47:H47),F47:H47)</f>
        <v>513</v>
      </c>
      <c r="G47" s="45">
        <f>_xlfn.XLOOKUP(C47,'Ableson and Joyeux 2023'!A:A,'Ableson and Joyeux 2023'!B:B)</f>
        <v>513</v>
      </c>
      <c r="I47">
        <v>99.8</v>
      </c>
      <c r="J47">
        <v>111.1</v>
      </c>
    </row>
    <row r="48" spans="1:10" x14ac:dyDescent="0.25">
      <c r="A48" s="3"/>
      <c r="B48" s="1">
        <v>42979</v>
      </c>
      <c r="C48">
        <v>2018</v>
      </c>
      <c r="D48" s="23">
        <f t="shared" si="3"/>
        <v>9</v>
      </c>
      <c r="E48" cm="1">
        <f t="array" ref="E48">_xlfn.XLOOKUP(TRUE,ISNUMBER(F48:H48),F48:H48)</f>
        <v>499</v>
      </c>
      <c r="G48" s="45">
        <f>_xlfn.XLOOKUP(C48,'Ableson and Joyeux 2023'!A:A,'Ableson and Joyeux 2023'!B:B)</f>
        <v>499</v>
      </c>
      <c r="I48">
        <v>97.9</v>
      </c>
      <c r="J48">
        <v>111.3</v>
      </c>
    </row>
    <row r="49" spans="1:10" x14ac:dyDescent="0.25">
      <c r="A49" s="3"/>
      <c r="B49" s="1">
        <v>43070</v>
      </c>
      <c r="C49">
        <v>2018</v>
      </c>
      <c r="D49" s="23">
        <f t="shared" si="3"/>
        <v>12</v>
      </c>
      <c r="E49" cm="1">
        <f t="array" ref="E49">_xlfn.XLOOKUP(TRUE,ISNUMBER(F49:H49),F49:H49)</f>
        <v>499</v>
      </c>
      <c r="G49" s="45">
        <f>_xlfn.XLOOKUP(C49,'Ableson and Joyeux 2023'!A:A,'Ableson and Joyeux 2023'!B:B)</f>
        <v>499</v>
      </c>
      <c r="I49">
        <v>97.3</v>
      </c>
      <c r="J49">
        <v>111.6</v>
      </c>
    </row>
    <row r="50" spans="1:10" x14ac:dyDescent="0.25">
      <c r="A50" s="3"/>
      <c r="B50" s="1">
        <v>43160</v>
      </c>
      <c r="C50">
        <v>2018</v>
      </c>
      <c r="D50" s="23">
        <f t="shared" si="3"/>
        <v>3</v>
      </c>
      <c r="E50" cm="1">
        <f t="array" ref="E50">_xlfn.XLOOKUP(TRUE,ISNUMBER(F50:H50),F50:H50)</f>
        <v>499</v>
      </c>
      <c r="G50" s="45">
        <f>_xlfn.XLOOKUP(C50,'Ableson and Joyeux 2023'!A:A,'Ableson and Joyeux 2023'!B:B)</f>
        <v>499</v>
      </c>
      <c r="I50">
        <v>95.6</v>
      </c>
      <c r="J50">
        <v>111.8</v>
      </c>
    </row>
    <row r="51" spans="1:10" x14ac:dyDescent="0.25">
      <c r="A51" s="3"/>
      <c r="B51" s="1">
        <v>43252</v>
      </c>
      <c r="C51">
        <v>2018</v>
      </c>
      <c r="D51" s="23">
        <f t="shared" si="3"/>
        <v>6</v>
      </c>
      <c r="E51" cm="1">
        <f t="array" ref="E51">_xlfn.XLOOKUP(TRUE,ISNUMBER(F51:H51),F51:H51)</f>
        <v>499</v>
      </c>
      <c r="G51" s="45">
        <f>_xlfn.XLOOKUP(C51,'Ableson and Joyeux 2023'!A:A,'Ableson and Joyeux 2023'!B:B)</f>
        <v>499</v>
      </c>
      <c r="I51">
        <v>94</v>
      </c>
      <c r="J51">
        <v>111.8</v>
      </c>
    </row>
    <row r="52" spans="1:10" x14ac:dyDescent="0.25">
      <c r="A52" s="3"/>
      <c r="B52" s="1">
        <v>43344</v>
      </c>
      <c r="C52">
        <v>2019</v>
      </c>
      <c r="D52" s="23">
        <f t="shared" si="3"/>
        <v>9</v>
      </c>
      <c r="E52" cm="1">
        <f t="array" ref="E52">_xlfn.XLOOKUP(TRUE,ISNUMBER(F52:H52),F52:H52)</f>
        <v>474</v>
      </c>
      <c r="G52" s="45">
        <f>_xlfn.XLOOKUP(C52,'Ableson and Joyeux 2023'!A:A,'Ableson and Joyeux 2023'!B:B)</f>
        <v>474</v>
      </c>
      <c r="I52">
        <v>93.4</v>
      </c>
      <c r="J52">
        <v>112</v>
      </c>
    </row>
    <row r="53" spans="1:10" x14ac:dyDescent="0.25">
      <c r="A53" s="3"/>
      <c r="B53" s="1">
        <v>43435</v>
      </c>
      <c r="C53">
        <v>2019</v>
      </c>
      <c r="D53" s="23">
        <f t="shared" si="3"/>
        <v>12</v>
      </c>
      <c r="E53" cm="1">
        <f t="array" ref="E53">_xlfn.XLOOKUP(TRUE,ISNUMBER(F53:H53),F53:H53)</f>
        <v>474</v>
      </c>
      <c r="G53" s="45">
        <f>_xlfn.XLOOKUP(C53,'Ableson and Joyeux 2023'!A:A,'Ableson and Joyeux 2023'!B:B)</f>
        <v>474</v>
      </c>
      <c r="I53">
        <v>93</v>
      </c>
      <c r="J53">
        <v>112.2</v>
      </c>
    </row>
    <row r="54" spans="1:10" x14ac:dyDescent="0.25">
      <c r="A54" s="3"/>
      <c r="B54" s="1">
        <v>43525</v>
      </c>
      <c r="C54">
        <v>2019</v>
      </c>
      <c r="D54" s="23">
        <f t="shared" si="3"/>
        <v>3</v>
      </c>
      <c r="E54" cm="1">
        <f t="array" ref="E54">_xlfn.XLOOKUP(TRUE,ISNUMBER(F54:H54),F54:H54)</f>
        <v>474</v>
      </c>
      <c r="G54" s="45">
        <f>_xlfn.XLOOKUP(C54,'Ableson and Joyeux 2023'!A:A,'Ableson and Joyeux 2023'!B:B)</f>
        <v>474</v>
      </c>
      <c r="I54">
        <v>91.4</v>
      </c>
      <c r="J54">
        <v>112.3</v>
      </c>
    </row>
    <row r="55" spans="1:10" x14ac:dyDescent="0.25">
      <c r="A55" s="3"/>
      <c r="B55" s="1">
        <v>43617</v>
      </c>
      <c r="C55">
        <v>2019</v>
      </c>
      <c r="D55" s="23">
        <f t="shared" si="3"/>
        <v>6</v>
      </c>
      <c r="E55" cm="1">
        <f t="array" ref="E55">_xlfn.XLOOKUP(TRUE,ISNUMBER(F55:H55),F55:H55)</f>
        <v>474</v>
      </c>
      <c r="G55" s="45">
        <f>_xlfn.XLOOKUP(C55,'Ableson and Joyeux 2023'!A:A,'Ableson and Joyeux 2023'!B:B)</f>
        <v>474</v>
      </c>
      <c r="I55">
        <v>89.8</v>
      </c>
      <c r="J55">
        <v>112.3</v>
      </c>
    </row>
    <row r="56" spans="1:10" x14ac:dyDescent="0.25">
      <c r="A56" s="3"/>
      <c r="B56" s="1">
        <v>43709</v>
      </c>
      <c r="C56">
        <v>2020</v>
      </c>
      <c r="D56" s="23">
        <f t="shared" si="3"/>
        <v>9</v>
      </c>
      <c r="E56" cm="1">
        <f t="array" ref="E56">_xlfn.XLOOKUP(TRUE,ISNUMBER(F56:H56),F56:H56)</f>
        <v>458</v>
      </c>
      <c r="G56" s="45">
        <f>_xlfn.XLOOKUP(C56,'Ableson and Joyeux 2023'!A:A,'Ableson and Joyeux 2023'!B:B)</f>
        <v>458</v>
      </c>
      <c r="I56">
        <v>88.2</v>
      </c>
      <c r="J56">
        <v>112.4</v>
      </c>
    </row>
    <row r="57" spans="1:10" x14ac:dyDescent="0.25">
      <c r="A57" s="3"/>
      <c r="B57" s="1">
        <v>43800</v>
      </c>
      <c r="C57">
        <v>2020</v>
      </c>
      <c r="D57" s="23">
        <f t="shared" si="3"/>
        <v>12</v>
      </c>
      <c r="E57" cm="1">
        <f t="array" ref="E57">_xlfn.XLOOKUP(TRUE,ISNUMBER(F57:H57),F57:H57)</f>
        <v>458</v>
      </c>
      <c r="G57" s="45">
        <f>_xlfn.XLOOKUP(C57,'Ableson and Joyeux 2023'!A:A,'Ableson and Joyeux 2023'!B:B)</f>
        <v>458</v>
      </c>
      <c r="I57">
        <v>86.9</v>
      </c>
      <c r="J57">
        <v>112.4</v>
      </c>
    </row>
    <row r="58" spans="1:10" x14ac:dyDescent="0.25">
      <c r="A58" s="3"/>
      <c r="B58" s="1">
        <v>43891</v>
      </c>
      <c r="C58">
        <v>2020</v>
      </c>
      <c r="D58" s="23">
        <f t="shared" si="3"/>
        <v>3</v>
      </c>
      <c r="E58" cm="1">
        <f t="array" ref="E58">_xlfn.XLOOKUP(TRUE,ISNUMBER(F58:H58),F58:H58)</f>
        <v>458</v>
      </c>
      <c r="G58" s="45">
        <f>_xlfn.XLOOKUP(C58,'Ableson and Joyeux 2023'!A:A,'Ableson and Joyeux 2023'!B:B)</f>
        <v>458</v>
      </c>
      <c r="I58">
        <v>85.8</v>
      </c>
      <c r="J58">
        <v>112.5</v>
      </c>
    </row>
    <row r="59" spans="1:10" x14ac:dyDescent="0.25">
      <c r="A59" s="3"/>
      <c r="B59" s="1">
        <v>43983</v>
      </c>
      <c r="C59">
        <v>2020</v>
      </c>
      <c r="D59" s="23">
        <f t="shared" si="3"/>
        <v>6</v>
      </c>
      <c r="E59" cm="1">
        <f t="array" ref="E59">_xlfn.XLOOKUP(TRUE,ISNUMBER(F59:H59),F59:H59)</f>
        <v>458</v>
      </c>
      <c r="G59" s="45">
        <f>_xlfn.XLOOKUP(C59,'Ableson and Joyeux 2023'!A:A,'Ableson and Joyeux 2023'!B:B)</f>
        <v>458</v>
      </c>
      <c r="I59">
        <v>84.2</v>
      </c>
      <c r="J59">
        <v>111</v>
      </c>
    </row>
    <row r="60" spans="1:10" x14ac:dyDescent="0.25">
      <c r="A60" s="3"/>
      <c r="B60" s="1">
        <v>44075</v>
      </c>
      <c r="C60">
        <v>2021</v>
      </c>
      <c r="D60" s="23">
        <f t="shared" si="3"/>
        <v>9</v>
      </c>
      <c r="E60" cm="1">
        <f t="array" ref="E60">_xlfn.XLOOKUP(TRUE,ISNUMBER(F60:H60),F60:H60)</f>
        <v>525</v>
      </c>
      <c r="G60" s="45">
        <f>_xlfn.XLOOKUP(C60,'Ableson and Joyeux 2023'!A:A,'Ableson and Joyeux 2023'!B:B)</f>
        <v>525</v>
      </c>
      <c r="I60">
        <v>83.6</v>
      </c>
      <c r="J60">
        <v>110.8</v>
      </c>
    </row>
    <row r="61" spans="1:10" x14ac:dyDescent="0.25">
      <c r="A61" s="3"/>
      <c r="B61" s="1">
        <v>44166</v>
      </c>
      <c r="C61">
        <v>2021</v>
      </c>
      <c r="D61" s="23">
        <f t="shared" si="3"/>
        <v>12</v>
      </c>
      <c r="E61" cm="1">
        <f t="array" ref="E61">_xlfn.XLOOKUP(TRUE,ISNUMBER(F61:H61),F61:H61)</f>
        <v>525</v>
      </c>
      <c r="G61" s="45">
        <f>_xlfn.XLOOKUP(C61,'Ableson and Joyeux 2023'!A:A,'Ableson and Joyeux 2023'!B:B)</f>
        <v>525</v>
      </c>
      <c r="I61">
        <v>83.8</v>
      </c>
      <c r="J61">
        <v>110.9</v>
      </c>
    </row>
    <row r="62" spans="1:10" x14ac:dyDescent="0.25">
      <c r="A62" s="3"/>
      <c r="B62" s="1">
        <v>44256</v>
      </c>
      <c r="C62">
        <v>2021</v>
      </c>
      <c r="D62" s="23">
        <f t="shared" si="3"/>
        <v>3</v>
      </c>
      <c r="E62" cm="1">
        <f t="array" ref="E62">_xlfn.XLOOKUP(TRUE,ISNUMBER(F62:H62),F62:H62)</f>
        <v>525</v>
      </c>
      <c r="G62" s="45">
        <f>_xlfn.XLOOKUP(C62,'Ableson and Joyeux 2023'!A:A,'Ableson and Joyeux 2023'!B:B)</f>
        <v>525</v>
      </c>
      <c r="I62">
        <v>83.8</v>
      </c>
      <c r="J62">
        <v>110.9</v>
      </c>
    </row>
    <row r="63" spans="1:10" x14ac:dyDescent="0.25">
      <c r="A63" s="3"/>
      <c r="B63" s="1">
        <v>44348</v>
      </c>
      <c r="C63">
        <v>2021</v>
      </c>
      <c r="D63" s="23">
        <f t="shared" si="3"/>
        <v>6</v>
      </c>
      <c r="E63" cm="1">
        <f t="array" ref="E63">_xlfn.XLOOKUP(TRUE,ISNUMBER(F63:H63),F63:H63)</f>
        <v>525</v>
      </c>
      <c r="G63" s="45">
        <f>_xlfn.XLOOKUP(C63,'Ableson and Joyeux 2023'!A:A,'Ableson and Joyeux 2023'!B:B)</f>
        <v>525</v>
      </c>
      <c r="I63">
        <v>85.4</v>
      </c>
      <c r="J63">
        <v>111</v>
      </c>
    </row>
    <row r="64" spans="1:10" x14ac:dyDescent="0.25">
      <c r="A64" s="3"/>
      <c r="B64" s="1">
        <v>44440</v>
      </c>
      <c r="C64">
        <v>2022</v>
      </c>
      <c r="D64" s="23">
        <f t="shared" si="3"/>
        <v>9</v>
      </c>
      <c r="E64" cm="1">
        <f t="array" ref="E64">_xlfn.XLOOKUP(TRUE,ISNUMBER(F64:H64),F64:H64)</f>
        <v>551.17350157728708</v>
      </c>
      <c r="H64">
        <f t="shared" ref="H64:H65" si="4">$G$67*(I64/$I$67)</f>
        <v>551.17350157728708</v>
      </c>
      <c r="I64">
        <v>87.8</v>
      </c>
      <c r="J64">
        <v>111.2</v>
      </c>
    </row>
    <row r="65" spans="1:10" x14ac:dyDescent="0.25">
      <c r="A65" s="3"/>
      <c r="B65" s="1">
        <v>44531</v>
      </c>
      <c r="C65">
        <v>2022</v>
      </c>
      <c r="D65" s="23">
        <f t="shared" si="3"/>
        <v>12</v>
      </c>
      <c r="E65" cm="1">
        <f t="array" ref="E65">_xlfn.XLOOKUP(TRUE,ISNUMBER(F65:H65),F65:H65)</f>
        <v>568.12302839116728</v>
      </c>
      <c r="H65">
        <f t="shared" si="4"/>
        <v>568.12302839116728</v>
      </c>
      <c r="I65">
        <v>90.5</v>
      </c>
      <c r="J65">
        <v>111.3</v>
      </c>
    </row>
    <row r="66" spans="1:10" x14ac:dyDescent="0.25">
      <c r="A66" s="3"/>
      <c r="B66" s="1">
        <v>44621</v>
      </c>
      <c r="C66">
        <v>2022</v>
      </c>
      <c r="D66" s="23">
        <f t="shared" si="3"/>
        <v>3</v>
      </c>
      <c r="E66" cm="1">
        <f t="array" ref="E66">_xlfn.XLOOKUP(TRUE,ISNUMBER(F66:H66),F66:H66)</f>
        <v>585.70031545741324</v>
      </c>
      <c r="H66">
        <f>$G$67*(I66/$I$67)</f>
        <v>585.70031545741324</v>
      </c>
      <c r="I66">
        <v>93.3</v>
      </c>
      <c r="J66">
        <v>112.1</v>
      </c>
    </row>
    <row r="67" spans="1:10" x14ac:dyDescent="0.25">
      <c r="A67" s="3"/>
      <c r="B67" s="1">
        <v>44713</v>
      </c>
      <c r="C67">
        <v>2022</v>
      </c>
      <c r="D67" s="23">
        <f t="shared" si="3"/>
        <v>6</v>
      </c>
      <c r="E67" cm="1">
        <f t="array" ref="E67">_xlfn.XLOOKUP(TRUE,ISNUMBER(F67:H67),F67:H67)</f>
        <v>597</v>
      </c>
      <c r="G67" s="45">
        <f>_xlfn.XLOOKUP(B67,'Ableson and Joyeux 2023'!A:A,'Ableson and Joyeux 2023'!B:B)</f>
        <v>597</v>
      </c>
      <c r="I67">
        <v>95.1</v>
      </c>
      <c r="J67">
        <v>112.7</v>
      </c>
    </row>
    <row r="68" spans="1:10" x14ac:dyDescent="0.25">
      <c r="A68" s="3"/>
      <c r="B68" s="1">
        <v>44805</v>
      </c>
      <c r="C68">
        <v>2023</v>
      </c>
      <c r="D68" s="23">
        <f t="shared" si="3"/>
        <v>9</v>
      </c>
      <c r="E68" cm="1">
        <f t="array" ref="E68">_xlfn.XLOOKUP(TRUE,ISNUMBER(F68:H68),F68:H68)</f>
        <v>592.00819672131149</v>
      </c>
      <c r="H68">
        <f>$G$69*(I68/$I$69)</f>
        <v>592.00819672131149</v>
      </c>
      <c r="I68">
        <v>96.3</v>
      </c>
      <c r="J68">
        <v>114.2</v>
      </c>
    </row>
    <row r="69" spans="1:10" x14ac:dyDescent="0.25">
      <c r="A69" s="3"/>
      <c r="B69" s="1">
        <v>44896</v>
      </c>
      <c r="C69">
        <v>2023</v>
      </c>
      <c r="D69" s="23">
        <f t="shared" si="3"/>
        <v>12</v>
      </c>
      <c r="E69" cm="1">
        <f t="array" ref="E69">_xlfn.XLOOKUP(TRUE,ISNUMBER(F69:H69),F69:H69)</f>
        <v>620</v>
      </c>
      <c r="F69">
        <f>_xlfn.XLOOKUP(B69,'domain-values'!A:A,'domain-values'!B:B)</f>
        <v>620</v>
      </c>
      <c r="G69" s="45">
        <f>_xlfn.XLOOKUP(B69,'Ableson and Joyeux 2023'!A:A,'Ableson and Joyeux 2023'!B:B)</f>
        <v>600</v>
      </c>
      <c r="I69">
        <v>97.6</v>
      </c>
      <c r="J69">
        <v>115.8</v>
      </c>
    </row>
    <row r="70" spans="1:10" x14ac:dyDescent="0.25">
      <c r="A70" s="3"/>
      <c r="B70" s="1">
        <v>44986</v>
      </c>
      <c r="C70">
        <v>2023</v>
      </c>
      <c r="D70" s="23">
        <f t="shared" ref="D70:D81" si="5">MONTH(B70)</f>
        <v>3</v>
      </c>
      <c r="E70" cm="1">
        <f t="array" ref="E70">_xlfn.XLOOKUP(TRUE,ISNUMBER(F70:H70),F70:H70)</f>
        <v>650</v>
      </c>
      <c r="F70">
        <f>_xlfn.XLOOKUP(B70,'domain-values'!A:A,'domain-values'!B:B)</f>
        <v>650</v>
      </c>
      <c r="I70">
        <v>99.2</v>
      </c>
      <c r="J70">
        <v>117.7</v>
      </c>
    </row>
    <row r="71" spans="1:10" x14ac:dyDescent="0.25">
      <c r="A71" s="3"/>
      <c r="B71" s="1">
        <v>45078</v>
      </c>
      <c r="C71">
        <v>2023</v>
      </c>
      <c r="D71" s="23">
        <f t="shared" si="5"/>
        <v>6</v>
      </c>
      <c r="E71" cm="1">
        <f t="array" ref="E71">_xlfn.XLOOKUP(TRUE,ISNUMBER(F71:H71),F71:H71)</f>
        <v>650</v>
      </c>
      <c r="F71">
        <f>_xlfn.XLOOKUP(B71,'domain-values'!A:A,'domain-values'!B:B)</f>
        <v>650</v>
      </c>
      <c r="I71">
        <v>100.6</v>
      </c>
      <c r="J71">
        <v>120.3</v>
      </c>
    </row>
    <row r="72" spans="1:10" x14ac:dyDescent="0.25">
      <c r="A72" s="3"/>
      <c r="B72" s="1">
        <v>45170</v>
      </c>
      <c r="C72">
        <v>2024</v>
      </c>
      <c r="D72" s="23">
        <f t="shared" si="5"/>
        <v>9</v>
      </c>
      <c r="E72" cm="1">
        <f t="array" ref="E72">_xlfn.XLOOKUP(TRUE,ISNUMBER(F72:H72),F72:H72)</f>
        <v>650</v>
      </c>
      <c r="F72">
        <f>_xlfn.XLOOKUP(B72,'domain-values'!A:A,'domain-values'!B:B)</f>
        <v>650</v>
      </c>
      <c r="I72">
        <v>101.7</v>
      </c>
      <c r="J72">
        <v>122.9</v>
      </c>
    </row>
    <row r="73" spans="1:10" x14ac:dyDescent="0.25">
      <c r="A73" s="3"/>
      <c r="B73" s="1">
        <v>45261</v>
      </c>
      <c r="C73">
        <v>2024</v>
      </c>
      <c r="D73" s="23">
        <f t="shared" si="5"/>
        <v>12</v>
      </c>
      <c r="E73" cm="1">
        <f t="array" ref="E73">_xlfn.XLOOKUP(TRUE,ISNUMBER(F73:H73),F73:H73)</f>
        <v>650</v>
      </c>
      <c r="F73">
        <f>_xlfn.XLOOKUP(B73,'domain-values'!A:A,'domain-values'!B:B)</f>
        <v>650</v>
      </c>
      <c r="I73">
        <v>102</v>
      </c>
      <c r="J73">
        <v>124.2</v>
      </c>
    </row>
    <row r="74" spans="1:10" x14ac:dyDescent="0.25">
      <c r="A74" s="3"/>
      <c r="B74" s="1">
        <v>45352</v>
      </c>
      <c r="C74">
        <v>2024</v>
      </c>
      <c r="D74" s="23">
        <f t="shared" si="5"/>
        <v>3</v>
      </c>
      <c r="E74" cm="1">
        <f t="array" ref="E74">_xlfn.XLOOKUP(TRUE,ISNUMBER(F74:H74),F74:H74)</f>
        <v>650</v>
      </c>
      <c r="F74">
        <f>_xlfn.XLOOKUP(B74,'domain-values'!A:A,'domain-values'!B:B)</f>
        <v>650</v>
      </c>
      <c r="I74">
        <v>102.8</v>
      </c>
      <c r="J74">
        <v>126.9</v>
      </c>
    </row>
    <row r="75" spans="1:10" x14ac:dyDescent="0.25">
      <c r="A75" s="3"/>
      <c r="B75" s="1">
        <v>45444</v>
      </c>
      <c r="C75">
        <v>2024</v>
      </c>
      <c r="D75" s="23">
        <f t="shared" si="5"/>
        <v>6</v>
      </c>
      <c r="E75" cm="1">
        <f t="array" ref="E75">_xlfn.XLOOKUP(TRUE,ISNUMBER(F75:H75),F75:H75)</f>
        <v>660</v>
      </c>
      <c r="F75">
        <f>_xlfn.XLOOKUP(B75,'domain-values'!A:A,'domain-values'!B:B)</f>
        <v>660</v>
      </c>
      <c r="I75">
        <v>104</v>
      </c>
      <c r="J75">
        <v>129.1</v>
      </c>
    </row>
    <row r="76" spans="1:10" x14ac:dyDescent="0.25">
      <c r="A76" s="3"/>
      <c r="B76" s="1">
        <v>45536</v>
      </c>
      <c r="C76">
        <v>2025</v>
      </c>
      <c r="D76" s="23">
        <f t="shared" si="5"/>
        <v>9</v>
      </c>
      <c r="E76" cm="1">
        <f t="array" ref="E76">_xlfn.XLOOKUP(TRUE,ISNUMBER(F76:H76),F76:H76)</f>
        <v>680</v>
      </c>
      <c r="F76">
        <f>_xlfn.XLOOKUP(B76,'domain-values'!A:A,'domain-values'!B:B)</f>
        <v>680</v>
      </c>
      <c r="I76">
        <v>104.6</v>
      </c>
      <c r="J76">
        <v>131.19999999999999</v>
      </c>
    </row>
    <row r="77" spans="1:10" x14ac:dyDescent="0.25">
      <c r="A77" s="3"/>
      <c r="B77" s="1">
        <v>45627</v>
      </c>
      <c r="C77">
        <v>2025</v>
      </c>
      <c r="D77" s="23">
        <f t="shared" si="5"/>
        <v>12</v>
      </c>
      <c r="E77" cm="1">
        <f t="array" ref="E77">_xlfn.XLOOKUP(TRUE,ISNUMBER(F77:H77),F77:H77)</f>
        <v>680</v>
      </c>
      <c r="F77">
        <f>_xlfn.XLOOKUP(B77,'domain-values'!A:A,'domain-values'!B:B)</f>
        <v>680</v>
      </c>
      <c r="I77">
        <v>104.7</v>
      </c>
      <c r="J77">
        <v>132.19999999999999</v>
      </c>
    </row>
    <row r="78" spans="1:10" x14ac:dyDescent="0.25">
      <c r="A78" s="3"/>
      <c r="B78" s="1">
        <v>45717</v>
      </c>
      <c r="C78">
        <v>2025</v>
      </c>
      <c r="D78" s="23">
        <f t="shared" si="5"/>
        <v>3</v>
      </c>
      <c r="E78" cm="1">
        <f t="array" ref="E78">_xlfn.XLOOKUP(TRUE,ISNUMBER(F78:H78),F78:H78)</f>
        <v>700</v>
      </c>
      <c r="F78">
        <f>_xlfn.XLOOKUP(B78,'domain-values'!A:A,'domain-values'!B:B)</f>
        <v>700</v>
      </c>
      <c r="I78">
        <v>105.6</v>
      </c>
      <c r="J78">
        <v>133.9</v>
      </c>
    </row>
    <row r="79" spans="1:10" x14ac:dyDescent="0.25">
      <c r="A79" s="3"/>
      <c r="B79" s="1">
        <v>45809</v>
      </c>
      <c r="C79">
        <v>2025</v>
      </c>
      <c r="D79" s="23">
        <f t="shared" si="5"/>
        <v>6</v>
      </c>
      <c r="E79" cm="1">
        <f t="array" ref="E79">_xlfn.XLOOKUP(TRUE,ISNUMBER(F79:H79),F79:H79)</f>
        <v>680</v>
      </c>
      <c r="F79">
        <f>_xlfn.XLOOKUP(B79,'domain-values'!A:A,'domain-values'!B:B)</f>
        <v>680</v>
      </c>
      <c r="I79">
        <v>106.4</v>
      </c>
      <c r="J79">
        <v>134.9</v>
      </c>
    </row>
    <row r="80" spans="1:10" x14ac:dyDescent="0.25">
      <c r="A80" s="3"/>
      <c r="B80" s="1">
        <v>45901</v>
      </c>
      <c r="C80">
        <v>2026</v>
      </c>
      <c r="D80" s="23">
        <f t="shared" si="5"/>
        <v>9</v>
      </c>
      <c r="E80" cm="1">
        <f t="array" ref="E80">_xlfn.XLOOKUP(TRUE,ISNUMBER(F80:H80),F80:H80)</f>
        <v>700</v>
      </c>
      <c r="F80">
        <f>_xlfn.XLOOKUP(B80,'domain-values'!A:A,'domain-values'!B:B)</f>
        <v>700</v>
      </c>
      <c r="I80">
        <v>107.5</v>
      </c>
      <c r="J80">
        <v>136.1</v>
      </c>
    </row>
    <row r="81" spans="1:10" x14ac:dyDescent="0.25">
      <c r="A81" s="3"/>
      <c r="B81" s="1">
        <v>45992</v>
      </c>
      <c r="C81">
        <v>2026</v>
      </c>
      <c r="D81" s="23">
        <f t="shared" si="5"/>
        <v>12</v>
      </c>
      <c r="E81" cm="1">
        <f t="array" ref="E81">_xlfn.XLOOKUP(TRUE,ISNUMBER(F81:H81),F81:H81)</f>
        <v>700</v>
      </c>
      <c r="F81">
        <f>_xlfn.XLOOKUP(B81,'domain-values'!A:A,'domain-values'!B:B)</f>
        <v>700</v>
      </c>
      <c r="J81">
        <v>137.5</v>
      </c>
    </row>
    <row r="82" spans="1:10" x14ac:dyDescent="0.25">
      <c r="A82" s="3"/>
      <c r="E82" s="7"/>
    </row>
    <row r="83" spans="1:10" x14ac:dyDescent="0.25">
      <c r="A83" s="3"/>
      <c r="E83" s="7"/>
    </row>
    <row r="84" spans="1:10" x14ac:dyDescent="0.25">
      <c r="A84" s="3"/>
      <c r="E84" s="7"/>
    </row>
    <row r="85" spans="1:10" x14ac:dyDescent="0.25">
      <c r="A85" s="3"/>
      <c r="E85" s="7"/>
    </row>
    <row r="86" spans="1:10" x14ac:dyDescent="0.25">
      <c r="A86" s="3"/>
      <c r="E86" s="7"/>
    </row>
    <row r="87" spans="1:10" x14ac:dyDescent="0.25">
      <c r="A87" s="3"/>
      <c r="E87" s="7"/>
    </row>
    <row r="88" spans="1:10" x14ac:dyDescent="0.25">
      <c r="A88" s="3"/>
      <c r="E88" s="7"/>
    </row>
    <row r="89" spans="1:10" x14ac:dyDescent="0.25">
      <c r="A89" s="3"/>
      <c r="E89" s="7"/>
    </row>
    <row r="90" spans="1:10" x14ac:dyDescent="0.25">
      <c r="A90" s="3"/>
      <c r="E90" s="7"/>
    </row>
    <row r="91" spans="1:10" x14ac:dyDescent="0.25">
      <c r="A91" s="3"/>
      <c r="E91" s="7"/>
    </row>
    <row r="92" spans="1:10" x14ac:dyDescent="0.25">
      <c r="A92" s="3"/>
      <c r="E92" s="7"/>
    </row>
    <row r="93" spans="1:10" x14ac:dyDescent="0.25">
      <c r="A93" s="3"/>
      <c r="E93" s="7"/>
    </row>
    <row r="94" spans="1:10" x14ac:dyDescent="0.25">
      <c r="A94" s="3"/>
      <c r="E94" s="7"/>
    </row>
    <row r="95" spans="1:10" x14ac:dyDescent="0.25">
      <c r="A95" s="3"/>
      <c r="E95" s="7"/>
    </row>
    <row r="96" spans="1:10" x14ac:dyDescent="0.25">
      <c r="A96" s="3"/>
      <c r="E96" s="7"/>
    </row>
    <row r="97" spans="1:5" x14ac:dyDescent="0.25">
      <c r="A97" s="3"/>
      <c r="E97" s="7"/>
    </row>
    <row r="98" spans="1:5" x14ac:dyDescent="0.25">
      <c r="E98" s="7"/>
    </row>
    <row r="99" spans="1:5" x14ac:dyDescent="0.25">
      <c r="E99" s="7"/>
    </row>
    <row r="100" spans="1:5" x14ac:dyDescent="0.25">
      <c r="E100" s="7"/>
    </row>
    <row r="101" spans="1:5" x14ac:dyDescent="0.25">
      <c r="E101" s="7"/>
    </row>
    <row r="102" spans="1:5" x14ac:dyDescent="0.25">
      <c r="E102" s="7"/>
    </row>
    <row r="103" spans="1:5" x14ac:dyDescent="0.25">
      <c r="E103" s="7"/>
    </row>
    <row r="104" spans="1:5" x14ac:dyDescent="0.25">
      <c r="E104" s="7"/>
    </row>
    <row r="105" spans="1:5" x14ac:dyDescent="0.25">
      <c r="E105" s="7"/>
    </row>
    <row r="106" spans="1:5" x14ac:dyDescent="0.25">
      <c r="E106" s="7"/>
    </row>
    <row r="107" spans="1:5" x14ac:dyDescent="0.25">
      <c r="E107" s="7"/>
    </row>
    <row r="108" spans="1:5" x14ac:dyDescent="0.25">
      <c r="E108" s="7"/>
    </row>
    <row r="109" spans="1:5" x14ac:dyDescent="0.25">
      <c r="E109" s="7"/>
    </row>
  </sheetData>
  <autoFilter ref="A1:E97" xr:uid="{57ABFE4F-8ED8-46E2-A3E7-D09420486E88}"/>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B36" sqref="B36"/>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W11" activePane="bottomRight" state="frozen"/>
      <selection pane="topRight" activeCell="B1" sqref="B1"/>
      <selection pane="bottomLeft" activeCell="A11" sqref="A11"/>
      <selection pane="bottomRight" activeCell="AE1" sqref="AE1"/>
    </sheetView>
  </sheetViews>
  <sheetFormatPr defaultColWidth="14.7109375" defaultRowHeight="11.25" x14ac:dyDescent="0.2"/>
  <cols>
    <col min="1" max="16384" width="14.7109375" style="39"/>
  </cols>
  <sheetData>
    <row r="1" spans="1:61" s="35" customFormat="1" ht="99.95" customHeight="1" x14ac:dyDescent="0.2">
      <c r="B1" s="36" t="s">
        <v>497</v>
      </c>
      <c r="C1" s="36" t="s">
        <v>498</v>
      </c>
      <c r="D1" s="36" t="s">
        <v>499</v>
      </c>
      <c r="E1" s="36" t="s">
        <v>500</v>
      </c>
      <c r="F1" s="36" t="s">
        <v>501</v>
      </c>
      <c r="G1" s="36" t="s">
        <v>502</v>
      </c>
      <c r="H1" s="36" t="s">
        <v>503</v>
      </c>
      <c r="I1" s="36" t="s">
        <v>504</v>
      </c>
      <c r="J1" s="36" t="s">
        <v>505</v>
      </c>
      <c r="K1" s="36" t="s">
        <v>506</v>
      </c>
      <c r="L1" s="36" t="s">
        <v>507</v>
      </c>
      <c r="M1" s="36" t="s">
        <v>508</v>
      </c>
      <c r="N1" s="36" t="s">
        <v>509</v>
      </c>
      <c r="O1" s="36" t="s">
        <v>510</v>
      </c>
      <c r="P1" s="36" t="s">
        <v>511</v>
      </c>
      <c r="Q1" s="36" t="s">
        <v>512</v>
      </c>
      <c r="R1" s="36" t="s">
        <v>513</v>
      </c>
      <c r="S1" s="36" t="s">
        <v>514</v>
      </c>
      <c r="T1" s="36" t="s">
        <v>515</v>
      </c>
      <c r="U1" s="36" t="s">
        <v>516</v>
      </c>
      <c r="V1" s="36" t="s">
        <v>517</v>
      </c>
      <c r="W1" s="36" t="s">
        <v>518</v>
      </c>
      <c r="X1" s="36" t="s">
        <v>519</v>
      </c>
      <c r="Y1" s="36" t="s">
        <v>520</v>
      </c>
      <c r="Z1" s="36" t="s">
        <v>521</v>
      </c>
      <c r="AA1" s="36" t="s">
        <v>522</v>
      </c>
      <c r="AB1" s="36" t="s">
        <v>523</v>
      </c>
      <c r="AC1" s="36" t="s">
        <v>524</v>
      </c>
      <c r="AD1" s="36" t="s">
        <v>525</v>
      </c>
      <c r="AE1" s="36" t="s">
        <v>526</v>
      </c>
      <c r="AF1" s="36" t="s">
        <v>527</v>
      </c>
      <c r="AG1" s="36" t="s">
        <v>528</v>
      </c>
      <c r="AH1" s="36" t="s">
        <v>529</v>
      </c>
      <c r="AI1" s="36" t="s">
        <v>530</v>
      </c>
      <c r="AJ1" s="36" t="s">
        <v>531</v>
      </c>
      <c r="AK1" s="36" t="s">
        <v>532</v>
      </c>
      <c r="AL1" s="36" t="s">
        <v>533</v>
      </c>
      <c r="AM1" s="36" t="s">
        <v>534</v>
      </c>
      <c r="AN1" s="36" t="s">
        <v>535</v>
      </c>
      <c r="AO1" s="36" t="s">
        <v>536</v>
      </c>
      <c r="AP1" s="36" t="s">
        <v>537</v>
      </c>
      <c r="AQ1" s="36" t="s">
        <v>538</v>
      </c>
      <c r="AR1" s="36" t="s">
        <v>539</v>
      </c>
      <c r="AS1" s="36" t="s">
        <v>540</v>
      </c>
      <c r="AT1" s="36" t="s">
        <v>541</v>
      </c>
      <c r="AU1" s="36" t="s">
        <v>542</v>
      </c>
      <c r="AV1" s="36" t="s">
        <v>543</v>
      </c>
      <c r="AW1" s="36" t="s">
        <v>544</v>
      </c>
      <c r="AX1" s="36" t="s">
        <v>545</v>
      </c>
      <c r="AY1" s="36" t="s">
        <v>546</v>
      </c>
      <c r="AZ1" s="36" t="s">
        <v>547</v>
      </c>
      <c r="BA1" s="36" t="s">
        <v>548</v>
      </c>
      <c r="BB1" s="36" t="s">
        <v>549</v>
      </c>
      <c r="BC1" s="36" t="s">
        <v>550</v>
      </c>
      <c r="BD1" s="36" t="s">
        <v>551</v>
      </c>
      <c r="BE1" s="36" t="s">
        <v>552</v>
      </c>
      <c r="BF1" s="36" t="s">
        <v>553</v>
      </c>
      <c r="BG1" s="36" t="s">
        <v>554</v>
      </c>
      <c r="BH1" s="36" t="s">
        <v>555</v>
      </c>
      <c r="BI1" s="36" t="s">
        <v>556</v>
      </c>
    </row>
    <row r="2" spans="1:61" x14ac:dyDescent="0.2">
      <c r="A2" s="37" t="s">
        <v>557</v>
      </c>
      <c r="B2" s="38" t="s">
        <v>558</v>
      </c>
      <c r="C2" s="38" t="s">
        <v>558</v>
      </c>
      <c r="D2" s="38" t="s">
        <v>558</v>
      </c>
      <c r="E2" s="38" t="s">
        <v>558</v>
      </c>
      <c r="F2" s="38" t="s">
        <v>558</v>
      </c>
      <c r="G2" s="38" t="s">
        <v>558</v>
      </c>
      <c r="H2" s="38" t="s">
        <v>558</v>
      </c>
      <c r="I2" s="38" t="s">
        <v>558</v>
      </c>
      <c r="J2" s="38" t="s">
        <v>558</v>
      </c>
      <c r="K2" s="38" t="s">
        <v>558</v>
      </c>
      <c r="L2" s="38" t="s">
        <v>558</v>
      </c>
      <c r="M2" s="38" t="s">
        <v>558</v>
      </c>
      <c r="N2" s="38" t="s">
        <v>558</v>
      </c>
      <c r="O2" s="38" t="s">
        <v>558</v>
      </c>
      <c r="P2" s="38" t="s">
        <v>558</v>
      </c>
      <c r="Q2" s="38" t="s">
        <v>558</v>
      </c>
      <c r="R2" s="38" t="s">
        <v>558</v>
      </c>
      <c r="S2" s="38" t="s">
        <v>558</v>
      </c>
      <c r="T2" s="38" t="s">
        <v>558</v>
      </c>
      <c r="U2" s="38" t="s">
        <v>558</v>
      </c>
      <c r="V2" s="38" t="s">
        <v>558</v>
      </c>
      <c r="W2" s="38" t="s">
        <v>558</v>
      </c>
      <c r="X2" s="38" t="s">
        <v>558</v>
      </c>
      <c r="Y2" s="38" t="s">
        <v>558</v>
      </c>
      <c r="Z2" s="38" t="s">
        <v>558</v>
      </c>
      <c r="AA2" s="38" t="s">
        <v>558</v>
      </c>
      <c r="AB2" s="38" t="s">
        <v>558</v>
      </c>
      <c r="AC2" s="38" t="s">
        <v>558</v>
      </c>
      <c r="AD2" s="38" t="s">
        <v>558</v>
      </c>
      <c r="AE2" s="38" t="s">
        <v>558</v>
      </c>
      <c r="AF2" s="38" t="s">
        <v>559</v>
      </c>
      <c r="AG2" s="38" t="s">
        <v>559</v>
      </c>
      <c r="AH2" s="38" t="s">
        <v>559</v>
      </c>
      <c r="AI2" s="38" t="s">
        <v>559</v>
      </c>
      <c r="AJ2" s="38" t="s">
        <v>559</v>
      </c>
      <c r="AK2" s="38" t="s">
        <v>559</v>
      </c>
      <c r="AL2" s="38" t="s">
        <v>559</v>
      </c>
      <c r="AM2" s="38" t="s">
        <v>559</v>
      </c>
      <c r="AN2" s="38" t="s">
        <v>559</v>
      </c>
      <c r="AO2" s="38" t="s">
        <v>559</v>
      </c>
      <c r="AP2" s="38" t="s">
        <v>559</v>
      </c>
      <c r="AQ2" s="38" t="s">
        <v>559</v>
      </c>
      <c r="AR2" s="38" t="s">
        <v>559</v>
      </c>
      <c r="AS2" s="38" t="s">
        <v>559</v>
      </c>
      <c r="AT2" s="38" t="s">
        <v>559</v>
      </c>
      <c r="AU2" s="38" t="s">
        <v>559</v>
      </c>
      <c r="AV2" s="38" t="s">
        <v>559</v>
      </c>
      <c r="AW2" s="38" t="s">
        <v>559</v>
      </c>
      <c r="AX2" s="38" t="s">
        <v>559</v>
      </c>
      <c r="AY2" s="38" t="s">
        <v>559</v>
      </c>
      <c r="AZ2" s="38" t="s">
        <v>559</v>
      </c>
      <c r="BA2" s="38" t="s">
        <v>559</v>
      </c>
      <c r="BB2" s="38" t="s">
        <v>559</v>
      </c>
      <c r="BC2" s="38" t="s">
        <v>559</v>
      </c>
      <c r="BD2" s="38" t="s">
        <v>559</v>
      </c>
      <c r="BE2" s="38" t="s">
        <v>559</v>
      </c>
      <c r="BF2" s="38" t="s">
        <v>559</v>
      </c>
      <c r="BG2" s="38" t="s">
        <v>559</v>
      </c>
      <c r="BH2" s="38" t="s">
        <v>559</v>
      </c>
      <c r="BI2" s="38" t="s">
        <v>559</v>
      </c>
    </row>
    <row r="3" spans="1:61" x14ac:dyDescent="0.2">
      <c r="A3" s="37" t="s">
        <v>560</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561</v>
      </c>
      <c r="B4" s="38" t="s">
        <v>562</v>
      </c>
      <c r="C4" s="38" t="s">
        <v>562</v>
      </c>
      <c r="D4" s="38" t="s">
        <v>562</v>
      </c>
      <c r="E4" s="38" t="s">
        <v>562</v>
      </c>
      <c r="F4" s="38" t="s">
        <v>562</v>
      </c>
      <c r="G4" s="38" t="s">
        <v>562</v>
      </c>
      <c r="H4" s="38" t="s">
        <v>562</v>
      </c>
      <c r="I4" s="38" t="s">
        <v>562</v>
      </c>
      <c r="J4" s="38" t="s">
        <v>562</v>
      </c>
      <c r="K4" s="38" t="s">
        <v>562</v>
      </c>
      <c r="L4" s="38" t="s">
        <v>562</v>
      </c>
      <c r="M4" s="38" t="s">
        <v>562</v>
      </c>
      <c r="N4" s="38" t="s">
        <v>562</v>
      </c>
      <c r="O4" s="38" t="s">
        <v>562</v>
      </c>
      <c r="P4" s="38" t="s">
        <v>562</v>
      </c>
      <c r="Q4" s="38" t="s">
        <v>562</v>
      </c>
      <c r="R4" s="38" t="s">
        <v>562</v>
      </c>
      <c r="S4" s="38" t="s">
        <v>562</v>
      </c>
      <c r="T4" s="38" t="s">
        <v>562</v>
      </c>
      <c r="U4" s="38" t="s">
        <v>562</v>
      </c>
      <c r="V4" s="38" t="s">
        <v>562</v>
      </c>
      <c r="W4" s="38" t="s">
        <v>562</v>
      </c>
      <c r="X4" s="38" t="s">
        <v>562</v>
      </c>
      <c r="Y4" s="38" t="s">
        <v>562</v>
      </c>
      <c r="Z4" s="38" t="s">
        <v>562</v>
      </c>
      <c r="AA4" s="38" t="s">
        <v>562</v>
      </c>
      <c r="AB4" s="38" t="s">
        <v>562</v>
      </c>
      <c r="AC4" s="38" t="s">
        <v>562</v>
      </c>
      <c r="AD4" s="38" t="s">
        <v>562</v>
      </c>
      <c r="AE4" s="38" t="s">
        <v>562</v>
      </c>
      <c r="AF4" s="38" t="s">
        <v>562</v>
      </c>
      <c r="AG4" s="38" t="s">
        <v>562</v>
      </c>
      <c r="AH4" s="38" t="s">
        <v>562</v>
      </c>
      <c r="AI4" s="38" t="s">
        <v>562</v>
      </c>
      <c r="AJ4" s="38" t="s">
        <v>562</v>
      </c>
      <c r="AK4" s="38" t="s">
        <v>562</v>
      </c>
      <c r="AL4" s="38" t="s">
        <v>562</v>
      </c>
      <c r="AM4" s="38" t="s">
        <v>562</v>
      </c>
      <c r="AN4" s="38" t="s">
        <v>562</v>
      </c>
      <c r="AO4" s="38" t="s">
        <v>562</v>
      </c>
      <c r="AP4" s="38" t="s">
        <v>562</v>
      </c>
      <c r="AQ4" s="38" t="s">
        <v>562</v>
      </c>
      <c r="AR4" s="38" t="s">
        <v>562</v>
      </c>
      <c r="AS4" s="38" t="s">
        <v>562</v>
      </c>
      <c r="AT4" s="38" t="s">
        <v>562</v>
      </c>
      <c r="AU4" s="38" t="s">
        <v>562</v>
      </c>
      <c r="AV4" s="38" t="s">
        <v>562</v>
      </c>
      <c r="AW4" s="38" t="s">
        <v>562</v>
      </c>
      <c r="AX4" s="38" t="s">
        <v>562</v>
      </c>
      <c r="AY4" s="38" t="s">
        <v>562</v>
      </c>
      <c r="AZ4" s="38" t="s">
        <v>562</v>
      </c>
      <c r="BA4" s="38" t="s">
        <v>562</v>
      </c>
      <c r="BB4" s="38" t="s">
        <v>562</v>
      </c>
      <c r="BC4" s="38" t="s">
        <v>562</v>
      </c>
      <c r="BD4" s="38" t="s">
        <v>562</v>
      </c>
      <c r="BE4" s="38" t="s">
        <v>562</v>
      </c>
      <c r="BF4" s="38" t="s">
        <v>562</v>
      </c>
      <c r="BG4" s="38" t="s">
        <v>562</v>
      </c>
      <c r="BH4" s="38" t="s">
        <v>562</v>
      </c>
      <c r="BI4" s="38" t="s">
        <v>562</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563</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564</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565</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566</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567</v>
      </c>
      <c r="C10" s="38" t="s">
        <v>568</v>
      </c>
      <c r="D10" s="38" t="s">
        <v>569</v>
      </c>
      <c r="E10" s="38" t="s">
        <v>570</v>
      </c>
      <c r="F10" s="38" t="s">
        <v>571</v>
      </c>
      <c r="G10" s="38" t="s">
        <v>572</v>
      </c>
      <c r="H10" s="38" t="s">
        <v>573</v>
      </c>
      <c r="I10" s="38" t="s">
        <v>574</v>
      </c>
      <c r="J10" s="38" t="s">
        <v>575</v>
      </c>
      <c r="K10" s="38" t="s">
        <v>576</v>
      </c>
      <c r="L10" s="38" t="s">
        <v>577</v>
      </c>
      <c r="M10" s="38" t="s">
        <v>578</v>
      </c>
      <c r="N10" s="38" t="s">
        <v>579</v>
      </c>
      <c r="O10" s="38" t="s">
        <v>580</v>
      </c>
      <c r="P10" s="38" t="s">
        <v>581</v>
      </c>
      <c r="Q10" s="38" t="s">
        <v>582</v>
      </c>
      <c r="R10" s="38" t="s">
        <v>583</v>
      </c>
      <c r="S10" s="38" t="s">
        <v>584</v>
      </c>
      <c r="T10" s="38" t="s">
        <v>585</v>
      </c>
      <c r="U10" s="38" t="s">
        <v>586</v>
      </c>
      <c r="V10" s="38" t="s">
        <v>587</v>
      </c>
      <c r="W10" s="38" t="s">
        <v>588</v>
      </c>
      <c r="X10" s="38" t="s">
        <v>589</v>
      </c>
      <c r="Y10" s="38" t="s">
        <v>590</v>
      </c>
      <c r="Z10" s="38" t="s">
        <v>591</v>
      </c>
      <c r="AA10" s="38" t="s">
        <v>592</v>
      </c>
      <c r="AB10" s="38" t="s">
        <v>593</v>
      </c>
      <c r="AC10" s="38" t="s">
        <v>594</v>
      </c>
      <c r="AD10" s="38" t="s">
        <v>595</v>
      </c>
      <c r="AE10" s="38" t="s">
        <v>596</v>
      </c>
      <c r="AF10" s="38" t="s">
        <v>597</v>
      </c>
      <c r="AG10" s="38" t="s">
        <v>598</v>
      </c>
      <c r="AH10" s="38" t="s">
        <v>599</v>
      </c>
      <c r="AI10" s="38" t="s">
        <v>600</v>
      </c>
      <c r="AJ10" s="38" t="s">
        <v>601</v>
      </c>
      <c r="AK10" s="38" t="s">
        <v>602</v>
      </c>
      <c r="AL10" s="38" t="s">
        <v>603</v>
      </c>
      <c r="AM10" s="38" t="s">
        <v>604</v>
      </c>
      <c r="AN10" s="38" t="s">
        <v>605</v>
      </c>
      <c r="AO10" s="38" t="s">
        <v>606</v>
      </c>
      <c r="AP10" s="38" t="s">
        <v>607</v>
      </c>
      <c r="AQ10" s="38" t="s">
        <v>608</v>
      </c>
      <c r="AR10" s="38" t="s">
        <v>609</v>
      </c>
      <c r="AS10" s="38" t="s">
        <v>610</v>
      </c>
      <c r="AT10" s="38" t="s">
        <v>611</v>
      </c>
      <c r="AU10" s="38" t="s">
        <v>612</v>
      </c>
      <c r="AV10" s="38" t="s">
        <v>613</v>
      </c>
      <c r="AW10" s="38" t="s">
        <v>614</v>
      </c>
      <c r="AX10" s="38" t="s">
        <v>615</v>
      </c>
      <c r="AY10" s="38" t="s">
        <v>616</v>
      </c>
      <c r="AZ10" s="38" t="s">
        <v>617</v>
      </c>
      <c r="BA10" s="38" t="s">
        <v>618</v>
      </c>
      <c r="BB10" s="38" t="s">
        <v>619</v>
      </c>
      <c r="BC10" s="38" t="s">
        <v>620</v>
      </c>
      <c r="BD10" s="38" t="s">
        <v>621</v>
      </c>
      <c r="BE10" s="38" t="s">
        <v>622</v>
      </c>
      <c r="BF10" s="38" t="s">
        <v>623</v>
      </c>
      <c r="BG10" s="38" t="s">
        <v>624</v>
      </c>
      <c r="BH10" s="38" t="s">
        <v>625</v>
      </c>
      <c r="BI10" s="38" t="s">
        <v>626</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C102"/>
  <sheetViews>
    <sheetView zoomScaleNormal="100" workbookViewId="0">
      <selection activeCell="C12" sqref="C12"/>
    </sheetView>
  </sheetViews>
  <sheetFormatPr defaultRowHeight="15" x14ac:dyDescent="0.25"/>
  <cols>
    <col min="1" max="1" width="24.28515625" bestFit="1" customWidth="1"/>
    <col min="2" max="2" width="20" bestFit="1" customWidth="1"/>
  </cols>
  <sheetData>
    <row r="1" spans="1:3" x14ac:dyDescent="0.25">
      <c r="A1" t="s">
        <v>23</v>
      </c>
      <c r="B1" s="1" t="s">
        <v>1</v>
      </c>
      <c r="C1" t="s">
        <v>645</v>
      </c>
    </row>
    <row r="2" spans="1:3" x14ac:dyDescent="0.25">
      <c r="A2" t="s">
        <v>11</v>
      </c>
      <c r="B2" s="2">
        <v>37316</v>
      </c>
      <c r="C2" cm="1">
        <f t="array" ref="C2:C97">_xlfn.XLOOKUP("Median Price of Established House*Darwin*",'ABS-total-value-dwellings'!1:1,'ABS-total-value-dwellings'!11:106,"na",2)</f>
        <v>190</v>
      </c>
    </row>
    <row r="3" spans="1:3" x14ac:dyDescent="0.25">
      <c r="A3" t="s">
        <v>13</v>
      </c>
      <c r="B3" s="2">
        <v>37408</v>
      </c>
      <c r="C3">
        <v>188.3</v>
      </c>
    </row>
    <row r="4" spans="1:3" x14ac:dyDescent="0.25">
      <c r="B4" s="2">
        <v>37500</v>
      </c>
      <c r="C4">
        <v>190</v>
      </c>
    </row>
    <row r="5" spans="1:3" x14ac:dyDescent="0.25">
      <c r="B5" s="2">
        <v>37591</v>
      </c>
      <c r="C5">
        <v>195</v>
      </c>
    </row>
    <row r="6" spans="1:3" x14ac:dyDescent="0.25">
      <c r="B6" s="2">
        <v>37681</v>
      </c>
      <c r="C6">
        <v>198</v>
      </c>
    </row>
    <row r="7" spans="1:3" x14ac:dyDescent="0.25">
      <c r="B7" s="2">
        <v>37773</v>
      </c>
      <c r="C7">
        <v>200.5</v>
      </c>
    </row>
    <row r="8" spans="1:3" x14ac:dyDescent="0.25">
      <c r="B8" s="2">
        <v>37865</v>
      </c>
      <c r="C8">
        <v>214</v>
      </c>
    </row>
    <row r="9" spans="1:3" x14ac:dyDescent="0.25">
      <c r="B9" s="2">
        <v>37956</v>
      </c>
      <c r="C9">
        <v>226</v>
      </c>
    </row>
    <row r="10" spans="1:3" x14ac:dyDescent="0.25">
      <c r="B10" s="2">
        <v>38047</v>
      </c>
      <c r="C10">
        <v>239.5</v>
      </c>
    </row>
    <row r="11" spans="1:3" x14ac:dyDescent="0.25">
      <c r="B11" s="2">
        <v>38139</v>
      </c>
      <c r="C11">
        <v>248.8</v>
      </c>
    </row>
    <row r="12" spans="1:3" x14ac:dyDescent="0.25">
      <c r="B12" s="2">
        <v>38231</v>
      </c>
      <c r="C12">
        <v>245</v>
      </c>
    </row>
    <row r="13" spans="1:3" x14ac:dyDescent="0.25">
      <c r="B13" s="2">
        <v>38322</v>
      </c>
      <c r="C13">
        <v>259</v>
      </c>
    </row>
    <row r="14" spans="1:3" x14ac:dyDescent="0.25">
      <c r="B14" s="2">
        <v>38412</v>
      </c>
      <c r="C14">
        <v>275</v>
      </c>
    </row>
    <row r="15" spans="1:3" x14ac:dyDescent="0.25">
      <c r="B15" s="2">
        <v>38504</v>
      </c>
      <c r="C15">
        <v>280</v>
      </c>
    </row>
    <row r="16" spans="1:3" x14ac:dyDescent="0.25">
      <c r="B16" s="2">
        <v>38596</v>
      </c>
      <c r="C16">
        <v>295</v>
      </c>
    </row>
    <row r="17" spans="2:3" x14ac:dyDescent="0.25">
      <c r="B17" s="2">
        <v>38687</v>
      </c>
      <c r="C17">
        <v>320</v>
      </c>
    </row>
    <row r="18" spans="2:3" x14ac:dyDescent="0.25">
      <c r="B18" s="2">
        <v>38777</v>
      </c>
      <c r="C18">
        <v>341.5</v>
      </c>
    </row>
    <row r="19" spans="2:3" x14ac:dyDescent="0.25">
      <c r="B19" s="2">
        <v>38869</v>
      </c>
      <c r="C19">
        <v>349.5</v>
      </c>
    </row>
    <row r="20" spans="2:3" x14ac:dyDescent="0.25">
      <c r="B20" s="2">
        <v>38961</v>
      </c>
      <c r="C20">
        <v>360</v>
      </c>
    </row>
    <row r="21" spans="2:3" x14ac:dyDescent="0.25">
      <c r="B21" s="2">
        <v>39052</v>
      </c>
      <c r="C21">
        <v>380</v>
      </c>
    </row>
    <row r="22" spans="2:3" x14ac:dyDescent="0.25">
      <c r="B22" s="2">
        <v>39142</v>
      </c>
      <c r="C22">
        <v>389.5</v>
      </c>
    </row>
    <row r="23" spans="2:3" x14ac:dyDescent="0.25">
      <c r="B23" s="2">
        <v>39234</v>
      </c>
      <c r="C23">
        <v>395</v>
      </c>
    </row>
    <row r="24" spans="2:3" x14ac:dyDescent="0.25">
      <c r="B24" s="2">
        <v>39326</v>
      </c>
      <c r="C24">
        <v>400</v>
      </c>
    </row>
    <row r="25" spans="2:3" x14ac:dyDescent="0.25">
      <c r="B25" s="2">
        <v>39417</v>
      </c>
      <c r="C25">
        <v>418.5</v>
      </c>
    </row>
    <row r="26" spans="2:3" x14ac:dyDescent="0.25">
      <c r="B26" s="2">
        <v>39508</v>
      </c>
      <c r="C26">
        <v>420</v>
      </c>
    </row>
    <row r="27" spans="2:3" x14ac:dyDescent="0.25">
      <c r="B27" s="2">
        <v>39600</v>
      </c>
      <c r="C27">
        <v>422.3</v>
      </c>
    </row>
    <row r="28" spans="2:3" x14ac:dyDescent="0.25">
      <c r="B28" s="2">
        <v>39692</v>
      </c>
      <c r="C28">
        <v>430</v>
      </c>
    </row>
    <row r="29" spans="2:3" x14ac:dyDescent="0.25">
      <c r="B29" s="2">
        <v>39783</v>
      </c>
      <c r="C29">
        <v>445</v>
      </c>
    </row>
    <row r="30" spans="2:3" x14ac:dyDescent="0.25">
      <c r="B30" s="2">
        <v>39873</v>
      </c>
      <c r="C30">
        <v>455</v>
      </c>
    </row>
    <row r="31" spans="2:3" x14ac:dyDescent="0.25">
      <c r="B31" s="2">
        <v>39965</v>
      </c>
      <c r="C31">
        <v>465</v>
      </c>
    </row>
    <row r="32" spans="2:3" x14ac:dyDescent="0.25">
      <c r="B32" s="2">
        <v>40057</v>
      </c>
      <c r="C32">
        <v>490</v>
      </c>
    </row>
    <row r="33" spans="2:3" x14ac:dyDescent="0.25">
      <c r="B33" s="2">
        <v>40148</v>
      </c>
      <c r="C33">
        <v>520</v>
      </c>
    </row>
    <row r="34" spans="2:3" x14ac:dyDescent="0.25">
      <c r="B34" s="2">
        <v>40238</v>
      </c>
      <c r="C34">
        <v>529</v>
      </c>
    </row>
    <row r="35" spans="2:3" x14ac:dyDescent="0.25">
      <c r="B35" s="2">
        <v>40330</v>
      </c>
      <c r="C35">
        <v>530</v>
      </c>
    </row>
    <row r="36" spans="2:3" x14ac:dyDescent="0.25">
      <c r="B36" s="2">
        <v>40422</v>
      </c>
      <c r="C36">
        <v>535</v>
      </c>
    </row>
    <row r="37" spans="2:3" x14ac:dyDescent="0.25">
      <c r="B37" s="2">
        <v>40513</v>
      </c>
      <c r="C37">
        <v>545</v>
      </c>
    </row>
    <row r="38" spans="2:3" x14ac:dyDescent="0.25">
      <c r="B38" s="2">
        <v>40603</v>
      </c>
      <c r="C38">
        <v>510</v>
      </c>
    </row>
    <row r="39" spans="2:3" x14ac:dyDescent="0.25">
      <c r="B39" s="2">
        <v>40695</v>
      </c>
      <c r="C39">
        <v>500</v>
      </c>
    </row>
    <row r="40" spans="2:3" x14ac:dyDescent="0.25">
      <c r="B40" s="2">
        <v>40787</v>
      </c>
      <c r="C40">
        <v>497</v>
      </c>
    </row>
    <row r="41" spans="2:3" x14ac:dyDescent="0.25">
      <c r="B41" s="2">
        <v>40878</v>
      </c>
      <c r="C41">
        <v>515</v>
      </c>
    </row>
    <row r="42" spans="2:3" x14ac:dyDescent="0.25">
      <c r="B42" s="2">
        <v>40969</v>
      </c>
      <c r="C42">
        <v>525</v>
      </c>
    </row>
    <row r="43" spans="2:3" x14ac:dyDescent="0.25">
      <c r="B43" s="2">
        <v>41061</v>
      </c>
      <c r="C43">
        <v>543.5</v>
      </c>
    </row>
    <row r="44" spans="2:3" x14ac:dyDescent="0.25">
      <c r="B44" s="2">
        <v>41153</v>
      </c>
      <c r="C44">
        <v>540</v>
      </c>
    </row>
    <row r="45" spans="2:3" x14ac:dyDescent="0.25">
      <c r="B45" s="2">
        <v>41244</v>
      </c>
      <c r="C45">
        <v>561</v>
      </c>
    </row>
    <row r="46" spans="2:3" x14ac:dyDescent="0.25">
      <c r="B46" s="2">
        <v>41334</v>
      </c>
      <c r="C46">
        <v>530</v>
      </c>
    </row>
    <row r="47" spans="2:3" x14ac:dyDescent="0.25">
      <c r="B47" s="2">
        <v>41426</v>
      </c>
      <c r="C47">
        <v>540</v>
      </c>
    </row>
    <row r="48" spans="2:3" x14ac:dyDescent="0.25">
      <c r="B48" s="2">
        <v>41518</v>
      </c>
      <c r="C48">
        <v>570</v>
      </c>
    </row>
    <row r="49" spans="2:3" x14ac:dyDescent="0.25">
      <c r="B49" s="2">
        <v>41609</v>
      </c>
      <c r="C49">
        <v>579</v>
      </c>
    </row>
    <row r="50" spans="2:3" x14ac:dyDescent="0.25">
      <c r="B50" s="2">
        <v>41699</v>
      </c>
      <c r="C50">
        <v>595</v>
      </c>
    </row>
    <row r="51" spans="2:3" x14ac:dyDescent="0.25">
      <c r="B51" s="2">
        <v>41791</v>
      </c>
      <c r="C51">
        <v>557.5</v>
      </c>
    </row>
    <row r="52" spans="2:3" x14ac:dyDescent="0.25">
      <c r="B52" s="2">
        <v>41883</v>
      </c>
      <c r="C52">
        <v>570</v>
      </c>
    </row>
    <row r="53" spans="2:3" x14ac:dyDescent="0.25">
      <c r="B53" s="2">
        <v>41974</v>
      </c>
      <c r="C53">
        <v>581</v>
      </c>
    </row>
    <row r="54" spans="2:3" x14ac:dyDescent="0.25">
      <c r="B54" s="2">
        <v>42064</v>
      </c>
      <c r="C54">
        <v>570</v>
      </c>
    </row>
    <row r="55" spans="2:3" x14ac:dyDescent="0.25">
      <c r="B55" s="2">
        <v>42156</v>
      </c>
      <c r="C55">
        <v>595</v>
      </c>
    </row>
    <row r="56" spans="2:3" x14ac:dyDescent="0.25">
      <c r="B56" s="2">
        <v>42248</v>
      </c>
      <c r="C56">
        <v>580</v>
      </c>
    </row>
    <row r="57" spans="2:3" x14ac:dyDescent="0.25">
      <c r="B57" s="2">
        <v>42339</v>
      </c>
      <c r="C57">
        <v>575</v>
      </c>
    </row>
    <row r="58" spans="2:3" x14ac:dyDescent="0.25">
      <c r="B58" s="2">
        <v>42430</v>
      </c>
      <c r="C58">
        <v>570</v>
      </c>
    </row>
    <row r="59" spans="2:3" x14ac:dyDescent="0.25">
      <c r="B59" s="2">
        <v>42522</v>
      </c>
      <c r="C59">
        <v>548</v>
      </c>
    </row>
    <row r="60" spans="2:3" x14ac:dyDescent="0.25">
      <c r="B60" s="2">
        <v>42614</v>
      </c>
      <c r="C60">
        <v>520</v>
      </c>
    </row>
    <row r="61" spans="2:3" x14ac:dyDescent="0.25">
      <c r="B61" s="2">
        <v>42705</v>
      </c>
      <c r="C61">
        <v>522</v>
      </c>
    </row>
    <row r="62" spans="2:3" x14ac:dyDescent="0.25">
      <c r="B62" s="2">
        <v>42795</v>
      </c>
      <c r="C62">
        <v>530</v>
      </c>
    </row>
    <row r="63" spans="2:3" x14ac:dyDescent="0.25">
      <c r="B63" s="2">
        <v>42887</v>
      </c>
      <c r="C63">
        <v>500</v>
      </c>
    </row>
    <row r="64" spans="2:3" x14ac:dyDescent="0.25">
      <c r="B64" s="2">
        <v>42979</v>
      </c>
      <c r="C64">
        <v>500</v>
      </c>
    </row>
    <row r="65" spans="2:3" x14ac:dyDescent="0.25">
      <c r="B65" s="2">
        <v>43070</v>
      </c>
      <c r="C65">
        <v>513.79999999999995</v>
      </c>
    </row>
    <row r="66" spans="2:3" x14ac:dyDescent="0.25">
      <c r="B66" s="2">
        <v>43160</v>
      </c>
      <c r="C66">
        <v>500</v>
      </c>
    </row>
    <row r="67" spans="2:3" x14ac:dyDescent="0.25">
      <c r="B67" s="2">
        <v>43252</v>
      </c>
      <c r="C67">
        <v>506</v>
      </c>
    </row>
    <row r="68" spans="2:3" x14ac:dyDescent="0.25">
      <c r="B68" s="2">
        <v>43344</v>
      </c>
      <c r="C68">
        <v>500</v>
      </c>
    </row>
    <row r="69" spans="2:3" x14ac:dyDescent="0.25">
      <c r="B69" s="2">
        <v>43435</v>
      </c>
      <c r="C69">
        <v>510</v>
      </c>
    </row>
    <row r="70" spans="2:3" x14ac:dyDescent="0.25">
      <c r="B70" s="2">
        <v>43525</v>
      </c>
      <c r="C70">
        <v>485</v>
      </c>
    </row>
    <row r="71" spans="2:3" x14ac:dyDescent="0.25">
      <c r="B71" s="2">
        <v>43617</v>
      </c>
      <c r="C71">
        <v>470</v>
      </c>
    </row>
    <row r="72" spans="2:3" x14ac:dyDescent="0.25">
      <c r="B72" s="2">
        <v>43709</v>
      </c>
      <c r="C72">
        <v>489</v>
      </c>
    </row>
    <row r="73" spans="2:3" x14ac:dyDescent="0.25">
      <c r="B73" s="2">
        <v>43800</v>
      </c>
      <c r="C73">
        <v>470</v>
      </c>
    </row>
    <row r="74" spans="2:3" x14ac:dyDescent="0.25">
      <c r="B74" s="2">
        <v>43891</v>
      </c>
      <c r="C74">
        <v>470</v>
      </c>
    </row>
    <row r="75" spans="2:3" x14ac:dyDescent="0.25">
      <c r="B75" s="2">
        <v>43983</v>
      </c>
      <c r="C75">
        <v>465</v>
      </c>
    </row>
    <row r="76" spans="2:3" x14ac:dyDescent="0.25">
      <c r="B76" s="2">
        <v>44075</v>
      </c>
      <c r="C76">
        <v>500</v>
      </c>
    </row>
    <row r="77" spans="2:3" x14ac:dyDescent="0.25">
      <c r="B77" s="2">
        <v>44166</v>
      </c>
      <c r="C77">
        <v>522.5</v>
      </c>
    </row>
    <row r="78" spans="2:3" x14ac:dyDescent="0.25">
      <c r="B78" s="2">
        <v>44256</v>
      </c>
      <c r="C78">
        <v>535</v>
      </c>
    </row>
    <row r="79" spans="2:3" x14ac:dyDescent="0.25">
      <c r="B79" s="2">
        <v>44348</v>
      </c>
      <c r="C79">
        <v>565</v>
      </c>
    </row>
    <row r="80" spans="2:3" x14ac:dyDescent="0.25">
      <c r="B80" s="2">
        <v>44440</v>
      </c>
      <c r="C80">
        <v>580</v>
      </c>
    </row>
    <row r="81" spans="2:3" x14ac:dyDescent="0.25">
      <c r="B81" s="2">
        <v>44531</v>
      </c>
      <c r="C81">
        <v>600</v>
      </c>
    </row>
    <row r="82" spans="2:3" x14ac:dyDescent="0.25">
      <c r="B82" s="2">
        <v>44621</v>
      </c>
      <c r="C82">
        <v>600</v>
      </c>
    </row>
    <row r="83" spans="2:3" x14ac:dyDescent="0.25">
      <c r="B83" s="2">
        <v>44713</v>
      </c>
      <c r="C83">
        <v>585</v>
      </c>
    </row>
    <row r="84" spans="2:3" x14ac:dyDescent="0.25">
      <c r="B84" s="2">
        <v>44805</v>
      </c>
      <c r="C84">
        <v>560</v>
      </c>
    </row>
    <row r="85" spans="2:3" x14ac:dyDescent="0.25">
      <c r="B85" s="2">
        <v>44896</v>
      </c>
      <c r="C85">
        <v>590</v>
      </c>
    </row>
    <row r="86" spans="2:3" x14ac:dyDescent="0.25">
      <c r="B86" s="2">
        <v>44986</v>
      </c>
      <c r="C86">
        <v>575</v>
      </c>
    </row>
    <row r="87" spans="2:3" x14ac:dyDescent="0.25">
      <c r="B87" s="2">
        <v>45078</v>
      </c>
      <c r="C87">
        <v>590</v>
      </c>
    </row>
    <row r="88" spans="2:3" x14ac:dyDescent="0.25">
      <c r="B88" s="2">
        <v>45170</v>
      </c>
      <c r="C88">
        <v>585</v>
      </c>
    </row>
    <row r="89" spans="2:3" x14ac:dyDescent="0.25">
      <c r="B89" s="2">
        <v>45261</v>
      </c>
      <c r="C89">
        <v>589.5</v>
      </c>
    </row>
    <row r="90" spans="2:3" x14ac:dyDescent="0.25">
      <c r="B90" s="2">
        <v>45352</v>
      </c>
      <c r="C90">
        <v>570</v>
      </c>
    </row>
    <row r="91" spans="2:3" x14ac:dyDescent="0.25">
      <c r="B91" s="2">
        <v>45444</v>
      </c>
      <c r="C91">
        <v>582.5</v>
      </c>
    </row>
    <row r="92" spans="2:3" x14ac:dyDescent="0.25">
      <c r="B92" s="2">
        <v>45536</v>
      </c>
      <c r="C92">
        <v>558.79999999999995</v>
      </c>
    </row>
    <row r="93" spans="2:3" x14ac:dyDescent="0.25">
      <c r="B93" s="2">
        <v>45627</v>
      </c>
      <c r="C93">
        <v>560</v>
      </c>
    </row>
    <row r="94" spans="2:3" x14ac:dyDescent="0.25">
      <c r="B94" s="2">
        <v>45717</v>
      </c>
      <c r="C94">
        <v>600</v>
      </c>
    </row>
    <row r="95" spans="2:3" x14ac:dyDescent="0.25">
      <c r="B95" s="2">
        <v>45809</v>
      </c>
      <c r="C95">
        <v>624</v>
      </c>
    </row>
    <row r="96" spans="2:3" x14ac:dyDescent="0.25">
      <c r="B96" s="2">
        <v>45901</v>
      </c>
      <c r="C96">
        <v>670</v>
      </c>
    </row>
    <row r="97" spans="2:3" x14ac:dyDescent="0.25">
      <c r="B97" s="2">
        <v>45992</v>
      </c>
      <c r="C97">
        <v>711</v>
      </c>
    </row>
    <row r="98" spans="2:3" x14ac:dyDescent="0.25">
      <c r="B98" s="2"/>
    </row>
    <row r="99" spans="2:3" x14ac:dyDescent="0.25">
      <c r="B99" s="2"/>
    </row>
    <row r="100" spans="2:3" x14ac:dyDescent="0.25">
      <c r="B100" s="2"/>
    </row>
    <row r="101" spans="2:3" x14ac:dyDescent="0.25">
      <c r="B101" s="2"/>
    </row>
    <row r="102" spans="2:3" x14ac:dyDescent="0.25">
      <c r="B102" s="2"/>
    </row>
  </sheetData>
  <autoFilter ref="B1:C102" xr:uid="{01F0EFC7-7237-4430-B607-A7F5094CDFD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C97"/>
  <sheetViews>
    <sheetView zoomScaleNormal="100" workbookViewId="0">
      <selection activeCell="C3" sqref="C3"/>
    </sheetView>
  </sheetViews>
  <sheetFormatPr defaultRowHeight="15" x14ac:dyDescent="0.25"/>
  <cols>
    <col min="1" max="1" width="24.28515625" bestFit="1" customWidth="1"/>
    <col min="2" max="2" width="20" bestFit="1" customWidth="1"/>
  </cols>
  <sheetData>
    <row r="1" spans="1:3" x14ac:dyDescent="0.25">
      <c r="A1" t="s">
        <v>23</v>
      </c>
      <c r="B1" s="1" t="s">
        <v>1</v>
      </c>
      <c r="C1" t="s">
        <v>645</v>
      </c>
    </row>
    <row r="2" spans="1:3" x14ac:dyDescent="0.25">
      <c r="A2" t="s">
        <v>12</v>
      </c>
      <c r="B2" s="2">
        <v>37316</v>
      </c>
      <c r="C2" cm="1">
        <f t="array" ref="C2:C97">_xlfn.XLOOKUP("Median Price of Attached Dwelling*Darwin*",'ABS-total-value-dwellings'!1:1,'ABS-total-value-dwellings'!11:106,"na",2)</f>
        <v>0</v>
      </c>
    </row>
    <row r="3" spans="1:3" x14ac:dyDescent="0.25">
      <c r="A3" t="s">
        <v>13</v>
      </c>
      <c r="B3" s="2">
        <v>37408</v>
      </c>
      <c r="C3">
        <v>0</v>
      </c>
    </row>
    <row r="4" spans="1:3" x14ac:dyDescent="0.25">
      <c r="B4" s="2">
        <v>37500</v>
      </c>
      <c r="C4">
        <v>0</v>
      </c>
    </row>
    <row r="5" spans="1:3" x14ac:dyDescent="0.25">
      <c r="B5" s="2">
        <v>37591</v>
      </c>
      <c r="C5">
        <v>0</v>
      </c>
    </row>
    <row r="6" spans="1:3" x14ac:dyDescent="0.25">
      <c r="B6" s="2">
        <v>37681</v>
      </c>
      <c r="C6">
        <v>0</v>
      </c>
    </row>
    <row r="7" spans="1:3" x14ac:dyDescent="0.25">
      <c r="B7" s="2">
        <v>37773</v>
      </c>
      <c r="C7">
        <v>0</v>
      </c>
    </row>
    <row r="8" spans="1:3" x14ac:dyDescent="0.25">
      <c r="B8" s="2">
        <v>37865</v>
      </c>
      <c r="C8">
        <v>130</v>
      </c>
    </row>
    <row r="9" spans="1:3" x14ac:dyDescent="0.25">
      <c r="B9" s="2">
        <v>37956</v>
      </c>
      <c r="C9">
        <v>135.5</v>
      </c>
    </row>
    <row r="10" spans="1:3" x14ac:dyDescent="0.25">
      <c r="B10" s="2">
        <v>38047</v>
      </c>
      <c r="C10">
        <v>147.1</v>
      </c>
    </row>
    <row r="11" spans="1:3" x14ac:dyDescent="0.25">
      <c r="B11" s="2">
        <v>38139</v>
      </c>
      <c r="C11">
        <v>152</v>
      </c>
    </row>
    <row r="12" spans="1:3" x14ac:dyDescent="0.25">
      <c r="B12" s="2">
        <v>38231</v>
      </c>
      <c r="C12">
        <v>156.5</v>
      </c>
    </row>
    <row r="13" spans="1:3" x14ac:dyDescent="0.25">
      <c r="B13" s="2">
        <v>38322</v>
      </c>
      <c r="C13">
        <v>171</v>
      </c>
    </row>
    <row r="14" spans="1:3" x14ac:dyDescent="0.25">
      <c r="B14" s="2">
        <v>38412</v>
      </c>
      <c r="C14">
        <v>175</v>
      </c>
    </row>
    <row r="15" spans="1:3" x14ac:dyDescent="0.25">
      <c r="B15" s="2">
        <v>38504</v>
      </c>
      <c r="C15">
        <v>207</v>
      </c>
    </row>
    <row r="16" spans="1:3" x14ac:dyDescent="0.25">
      <c r="B16" s="2">
        <v>38596</v>
      </c>
      <c r="C16">
        <v>195</v>
      </c>
    </row>
    <row r="17" spans="2:3" x14ac:dyDescent="0.25">
      <c r="B17" s="2">
        <v>38687</v>
      </c>
      <c r="C17">
        <v>225</v>
      </c>
    </row>
    <row r="18" spans="2:3" x14ac:dyDescent="0.25">
      <c r="B18" s="2">
        <v>38777</v>
      </c>
      <c r="C18">
        <v>235</v>
      </c>
    </row>
    <row r="19" spans="2:3" x14ac:dyDescent="0.25">
      <c r="B19" s="2">
        <v>38869</v>
      </c>
      <c r="C19">
        <v>245</v>
      </c>
    </row>
    <row r="20" spans="2:3" x14ac:dyDescent="0.25">
      <c r="B20" s="2">
        <v>38961</v>
      </c>
      <c r="C20">
        <v>246.5</v>
      </c>
    </row>
    <row r="21" spans="2:3" x14ac:dyDescent="0.25">
      <c r="B21" s="2">
        <v>39052</v>
      </c>
      <c r="C21">
        <v>260</v>
      </c>
    </row>
    <row r="22" spans="2:3" x14ac:dyDescent="0.25">
      <c r="B22" s="2">
        <v>39142</v>
      </c>
      <c r="C22">
        <v>280</v>
      </c>
    </row>
    <row r="23" spans="2:3" x14ac:dyDescent="0.25">
      <c r="B23" s="2">
        <v>39234</v>
      </c>
      <c r="C23">
        <v>302.5</v>
      </c>
    </row>
    <row r="24" spans="2:3" x14ac:dyDescent="0.25">
      <c r="B24" s="2">
        <v>39326</v>
      </c>
      <c r="C24">
        <v>310</v>
      </c>
    </row>
    <row r="25" spans="2:3" x14ac:dyDescent="0.25">
      <c r="B25" s="2">
        <v>39417</v>
      </c>
      <c r="C25">
        <v>307.5</v>
      </c>
    </row>
    <row r="26" spans="2:3" x14ac:dyDescent="0.25">
      <c r="B26" s="2">
        <v>39508</v>
      </c>
      <c r="C26">
        <v>306.3</v>
      </c>
    </row>
    <row r="27" spans="2:3" x14ac:dyDescent="0.25">
      <c r="B27" s="2">
        <v>39600</v>
      </c>
      <c r="C27">
        <v>310</v>
      </c>
    </row>
    <row r="28" spans="2:3" x14ac:dyDescent="0.25">
      <c r="B28" s="2">
        <v>39692</v>
      </c>
      <c r="C28">
        <v>348</v>
      </c>
    </row>
    <row r="29" spans="2:3" x14ac:dyDescent="0.25">
      <c r="B29" s="2">
        <v>39783</v>
      </c>
      <c r="C29">
        <v>329</v>
      </c>
    </row>
    <row r="30" spans="2:3" x14ac:dyDescent="0.25">
      <c r="B30" s="2">
        <v>39873</v>
      </c>
      <c r="C30">
        <v>370</v>
      </c>
    </row>
    <row r="31" spans="2:3" x14ac:dyDescent="0.25">
      <c r="B31" s="2">
        <v>39965</v>
      </c>
      <c r="C31">
        <v>360</v>
      </c>
    </row>
    <row r="32" spans="2:3" x14ac:dyDescent="0.25">
      <c r="B32" s="2">
        <v>40057</v>
      </c>
      <c r="C32">
        <v>377</v>
      </c>
    </row>
    <row r="33" spans="2:3" x14ac:dyDescent="0.25">
      <c r="B33" s="2">
        <v>40148</v>
      </c>
      <c r="C33">
        <v>400</v>
      </c>
    </row>
    <row r="34" spans="2:3" x14ac:dyDescent="0.25">
      <c r="B34" s="2">
        <v>40238</v>
      </c>
      <c r="C34">
        <v>430.2</v>
      </c>
    </row>
    <row r="35" spans="2:3" x14ac:dyDescent="0.25">
      <c r="B35" s="2">
        <v>40330</v>
      </c>
      <c r="C35">
        <v>430</v>
      </c>
    </row>
    <row r="36" spans="2:3" x14ac:dyDescent="0.25">
      <c r="B36" s="2">
        <v>40422</v>
      </c>
      <c r="C36">
        <v>400</v>
      </c>
    </row>
    <row r="37" spans="2:3" x14ac:dyDescent="0.25">
      <c r="B37" s="2">
        <v>40513</v>
      </c>
      <c r="C37">
        <v>420.5</v>
      </c>
    </row>
    <row r="38" spans="2:3" x14ac:dyDescent="0.25">
      <c r="B38" s="2">
        <v>40603</v>
      </c>
      <c r="C38">
        <v>415</v>
      </c>
    </row>
    <row r="39" spans="2:3" x14ac:dyDescent="0.25">
      <c r="B39" s="2">
        <v>40695</v>
      </c>
      <c r="C39">
        <v>415</v>
      </c>
    </row>
    <row r="40" spans="2:3" x14ac:dyDescent="0.25">
      <c r="B40" s="2">
        <v>40787</v>
      </c>
      <c r="C40">
        <v>398</v>
      </c>
    </row>
    <row r="41" spans="2:3" x14ac:dyDescent="0.25">
      <c r="B41" s="2">
        <v>40878</v>
      </c>
      <c r="C41">
        <v>399.5</v>
      </c>
    </row>
    <row r="42" spans="2:3" x14ac:dyDescent="0.25">
      <c r="B42" s="2">
        <v>40969</v>
      </c>
      <c r="C42">
        <v>420</v>
      </c>
    </row>
    <row r="43" spans="2:3" x14ac:dyDescent="0.25">
      <c r="B43" s="2">
        <v>41061</v>
      </c>
      <c r="C43">
        <v>435</v>
      </c>
    </row>
    <row r="44" spans="2:3" x14ac:dyDescent="0.25">
      <c r="B44" s="2">
        <v>41153</v>
      </c>
      <c r="C44">
        <v>410</v>
      </c>
    </row>
    <row r="45" spans="2:3" x14ac:dyDescent="0.25">
      <c r="B45" s="2">
        <v>41244</v>
      </c>
      <c r="C45">
        <v>410.5</v>
      </c>
    </row>
    <row r="46" spans="2:3" x14ac:dyDescent="0.25">
      <c r="B46" s="2">
        <v>41334</v>
      </c>
      <c r="C46">
        <v>445</v>
      </c>
    </row>
    <row r="47" spans="2:3" x14ac:dyDescent="0.25">
      <c r="B47" s="2">
        <v>41426</v>
      </c>
      <c r="C47">
        <v>450</v>
      </c>
    </row>
    <row r="48" spans="2:3" x14ac:dyDescent="0.25">
      <c r="B48" s="2">
        <v>41518</v>
      </c>
      <c r="C48">
        <v>459.8</v>
      </c>
    </row>
    <row r="49" spans="2:3" x14ac:dyDescent="0.25">
      <c r="B49" s="2">
        <v>41609</v>
      </c>
      <c r="C49">
        <v>481</v>
      </c>
    </row>
    <row r="50" spans="2:3" x14ac:dyDescent="0.25">
      <c r="B50" s="2">
        <v>41699</v>
      </c>
      <c r="C50">
        <v>496.1</v>
      </c>
    </row>
    <row r="51" spans="2:3" x14ac:dyDescent="0.25">
      <c r="B51" s="2">
        <v>41791</v>
      </c>
      <c r="C51">
        <v>465</v>
      </c>
    </row>
    <row r="52" spans="2:3" x14ac:dyDescent="0.25">
      <c r="B52" s="2">
        <v>41883</v>
      </c>
      <c r="C52">
        <v>485</v>
      </c>
    </row>
    <row r="53" spans="2:3" x14ac:dyDescent="0.25">
      <c r="B53" s="2">
        <v>41974</v>
      </c>
      <c r="C53">
        <v>465</v>
      </c>
    </row>
    <row r="54" spans="2:3" x14ac:dyDescent="0.25">
      <c r="B54" s="2">
        <v>42064</v>
      </c>
      <c r="C54">
        <v>485</v>
      </c>
    </row>
    <row r="55" spans="2:3" x14ac:dyDescent="0.25">
      <c r="B55" s="2">
        <v>42156</v>
      </c>
      <c r="C55">
        <v>450</v>
      </c>
    </row>
    <row r="56" spans="2:3" x14ac:dyDescent="0.25">
      <c r="B56" s="2">
        <v>42248</v>
      </c>
      <c r="C56">
        <v>475</v>
      </c>
    </row>
    <row r="57" spans="2:3" x14ac:dyDescent="0.25">
      <c r="B57" s="2">
        <v>42339</v>
      </c>
      <c r="C57">
        <v>460</v>
      </c>
    </row>
    <row r="58" spans="2:3" x14ac:dyDescent="0.25">
      <c r="B58" s="2">
        <v>42430</v>
      </c>
      <c r="C58">
        <v>469.6</v>
      </c>
    </row>
    <row r="59" spans="2:3" x14ac:dyDescent="0.25">
      <c r="B59" s="2">
        <v>42522</v>
      </c>
      <c r="C59">
        <v>437.5</v>
      </c>
    </row>
    <row r="60" spans="2:3" x14ac:dyDescent="0.25">
      <c r="B60" s="2">
        <v>42614</v>
      </c>
      <c r="C60">
        <v>342.5</v>
      </c>
    </row>
    <row r="61" spans="2:3" x14ac:dyDescent="0.25">
      <c r="B61" s="2">
        <v>42705</v>
      </c>
      <c r="C61">
        <v>381.1</v>
      </c>
    </row>
    <row r="62" spans="2:3" x14ac:dyDescent="0.25">
      <c r="B62" s="2">
        <v>42795</v>
      </c>
      <c r="C62">
        <v>375</v>
      </c>
    </row>
    <row r="63" spans="2:3" x14ac:dyDescent="0.25">
      <c r="B63" s="2">
        <v>42887</v>
      </c>
      <c r="C63">
        <v>375</v>
      </c>
    </row>
    <row r="64" spans="2:3" x14ac:dyDescent="0.25">
      <c r="B64" s="2">
        <v>42979</v>
      </c>
      <c r="C64">
        <v>375</v>
      </c>
    </row>
    <row r="65" spans="2:3" x14ac:dyDescent="0.25">
      <c r="B65" s="2">
        <v>43070</v>
      </c>
      <c r="C65">
        <v>340</v>
      </c>
    </row>
    <row r="66" spans="2:3" x14ac:dyDescent="0.25">
      <c r="B66" s="2">
        <v>43160</v>
      </c>
      <c r="C66">
        <v>328</v>
      </c>
    </row>
    <row r="67" spans="2:3" x14ac:dyDescent="0.25">
      <c r="B67" s="2">
        <v>43252</v>
      </c>
      <c r="C67">
        <v>338</v>
      </c>
    </row>
    <row r="68" spans="2:3" x14ac:dyDescent="0.25">
      <c r="B68" s="2">
        <v>43344</v>
      </c>
      <c r="C68">
        <v>335</v>
      </c>
    </row>
    <row r="69" spans="2:3" x14ac:dyDescent="0.25">
      <c r="B69" s="2">
        <v>43435</v>
      </c>
      <c r="C69">
        <v>340</v>
      </c>
    </row>
    <row r="70" spans="2:3" x14ac:dyDescent="0.25">
      <c r="B70" s="2">
        <v>43525</v>
      </c>
      <c r="C70">
        <v>292.5</v>
      </c>
    </row>
    <row r="71" spans="2:3" x14ac:dyDescent="0.25">
      <c r="B71" s="2">
        <v>43617</v>
      </c>
      <c r="C71">
        <v>306.5</v>
      </c>
    </row>
    <row r="72" spans="2:3" x14ac:dyDescent="0.25">
      <c r="B72" s="2">
        <v>43709</v>
      </c>
      <c r="C72">
        <v>285</v>
      </c>
    </row>
    <row r="73" spans="2:3" x14ac:dyDescent="0.25">
      <c r="B73" s="2">
        <v>43800</v>
      </c>
      <c r="C73">
        <v>320</v>
      </c>
    </row>
    <row r="74" spans="2:3" x14ac:dyDescent="0.25">
      <c r="B74" s="2">
        <v>43891</v>
      </c>
      <c r="C74">
        <v>299</v>
      </c>
    </row>
    <row r="75" spans="2:3" x14ac:dyDescent="0.25">
      <c r="B75" s="2">
        <v>43983</v>
      </c>
      <c r="C75">
        <v>272</v>
      </c>
    </row>
    <row r="76" spans="2:3" x14ac:dyDescent="0.25">
      <c r="B76" s="2">
        <v>44075</v>
      </c>
      <c r="C76">
        <v>285</v>
      </c>
    </row>
    <row r="77" spans="2:3" x14ac:dyDescent="0.25">
      <c r="B77" s="2">
        <v>44166</v>
      </c>
      <c r="C77">
        <v>292.5</v>
      </c>
    </row>
    <row r="78" spans="2:3" x14ac:dyDescent="0.25">
      <c r="B78" s="2">
        <v>44256</v>
      </c>
      <c r="C78">
        <v>340</v>
      </c>
    </row>
    <row r="79" spans="2:3" x14ac:dyDescent="0.25">
      <c r="B79" s="2">
        <v>44348</v>
      </c>
      <c r="C79">
        <v>375</v>
      </c>
    </row>
    <row r="80" spans="2:3" x14ac:dyDescent="0.25">
      <c r="B80" s="2">
        <v>44440</v>
      </c>
      <c r="C80">
        <v>360</v>
      </c>
    </row>
    <row r="81" spans="2:3" x14ac:dyDescent="0.25">
      <c r="B81" s="2">
        <v>44531</v>
      </c>
      <c r="C81">
        <v>382</v>
      </c>
    </row>
    <row r="82" spans="2:3" x14ac:dyDescent="0.25">
      <c r="B82" s="2">
        <v>44621</v>
      </c>
      <c r="C82">
        <v>402</v>
      </c>
    </row>
    <row r="83" spans="2:3" x14ac:dyDescent="0.25">
      <c r="B83" s="2">
        <v>44713</v>
      </c>
      <c r="C83">
        <v>400</v>
      </c>
    </row>
    <row r="84" spans="2:3" x14ac:dyDescent="0.25">
      <c r="B84" s="2">
        <v>44805</v>
      </c>
      <c r="C84">
        <v>360</v>
      </c>
    </row>
    <row r="85" spans="2:3" x14ac:dyDescent="0.25">
      <c r="B85" s="2">
        <v>44896</v>
      </c>
      <c r="C85">
        <v>382.5</v>
      </c>
    </row>
    <row r="86" spans="2:3" x14ac:dyDescent="0.25">
      <c r="B86" s="2">
        <v>44986</v>
      </c>
      <c r="C86">
        <v>370</v>
      </c>
    </row>
    <row r="87" spans="2:3" x14ac:dyDescent="0.25">
      <c r="B87" s="2">
        <v>45078</v>
      </c>
      <c r="C87">
        <v>387.5</v>
      </c>
    </row>
    <row r="88" spans="2:3" x14ac:dyDescent="0.25">
      <c r="B88" s="2">
        <v>45170</v>
      </c>
      <c r="C88">
        <v>376</v>
      </c>
    </row>
    <row r="89" spans="2:3" x14ac:dyDescent="0.25">
      <c r="B89" s="2">
        <v>45261</v>
      </c>
      <c r="C89">
        <v>375</v>
      </c>
    </row>
    <row r="90" spans="2:3" x14ac:dyDescent="0.25">
      <c r="B90" s="2">
        <v>45352</v>
      </c>
      <c r="C90">
        <v>390</v>
      </c>
    </row>
    <row r="91" spans="2:3" x14ac:dyDescent="0.25">
      <c r="B91" s="2">
        <v>45444</v>
      </c>
      <c r="C91">
        <v>356</v>
      </c>
    </row>
    <row r="92" spans="2:3" x14ac:dyDescent="0.25">
      <c r="B92" s="2">
        <v>45536</v>
      </c>
      <c r="C92">
        <v>350</v>
      </c>
    </row>
    <row r="93" spans="2:3" x14ac:dyDescent="0.25">
      <c r="B93" s="2">
        <v>45627</v>
      </c>
      <c r="C93">
        <v>341</v>
      </c>
    </row>
    <row r="94" spans="2:3" x14ac:dyDescent="0.25">
      <c r="B94" s="2">
        <v>45717</v>
      </c>
      <c r="C94">
        <v>360</v>
      </c>
    </row>
    <row r="95" spans="2:3" x14ac:dyDescent="0.25">
      <c r="B95" s="2">
        <v>45809</v>
      </c>
      <c r="C95">
        <v>389</v>
      </c>
    </row>
    <row r="96" spans="2:3" x14ac:dyDescent="0.25">
      <c r="B96" s="2">
        <v>45901</v>
      </c>
      <c r="C96">
        <v>405</v>
      </c>
    </row>
    <row r="97" spans="2:3" x14ac:dyDescent="0.25">
      <c r="B97" s="2">
        <v>45992</v>
      </c>
      <c r="C97">
        <v>433.2</v>
      </c>
    </row>
  </sheetData>
  <autoFilter ref="B1:C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13</vt:i4>
      </vt:variant>
      <vt:variant>
        <vt:lpstr>Charts</vt:lpstr>
      </vt:variant>
      <vt:variant>
        <vt:i4>2</vt:i4>
      </vt:variant>
      <vt:variant>
        <vt:lpstr>Named Ranges</vt:lpstr>
      </vt:variant>
      <vt:variant>
        <vt:i4>196</vt:i4>
      </vt:variant>
    </vt:vector>
  </HeadingPairs>
  <TitlesOfParts>
    <vt:vector size="211" baseType="lpstr">
      <vt:lpstr>analysis</vt:lpstr>
      <vt:lpstr>cpi</vt:lpstr>
      <vt:lpstr>msci-indices</vt:lpstr>
      <vt:lpstr>mortgage-rates</vt:lpstr>
      <vt:lpstr>nt-rent &gt;&gt;</vt:lpstr>
      <vt:lpstr>domain-values</vt:lpstr>
      <vt:lpstr>Ableson and Joyeux 2023</vt:lpstr>
      <vt:lpstr>2BR_F-processed</vt:lpstr>
      <vt:lpstr>3BR_H-processed</vt:lpstr>
      <vt:lpstr>nt-buy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2026-09-06T01:20:42Z</dcterms:modified>
</cp:coreProperties>
</file>