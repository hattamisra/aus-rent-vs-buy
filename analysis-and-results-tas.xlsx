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300" documentId="8_{DFB0C979-C3C2-4369-8E48-C207D34CA741}" xr6:coauthVersionLast="47" xr6:coauthVersionMax="47" xr10:uidLastSave="{DA6DED74-966A-45E7-8536-83713F41522C}"/>
  <bookViews>
    <workbookView xWindow="-105" yWindow="0" windowWidth="14610" windowHeight="17385" tabRatio="665" xr2:uid="{D8AAAA89-5358-4611-B113-99C6929A3BCB}"/>
  </bookViews>
  <sheets>
    <sheet name="analysis" sheetId="13" r:id="rId1"/>
    <sheet name="cpi" sheetId="23" r:id="rId2"/>
    <sheet name="msci-indices" sheetId="20" r:id="rId3"/>
    <sheet name="mortgage-rates" sheetId="19" r:id="rId4"/>
    <sheet name="tas-rent &gt;&gt;" sheetId="6" r:id="rId5"/>
    <sheet name="domain-values" sheetId="34" r:id="rId6"/>
    <sheet name="Ableson and Joyeux 2023" sheetId="35" r:id="rId7"/>
    <sheet name="rai-values-2bf" sheetId="38" r:id="rId8"/>
    <sheet name="rai-values-3bh" sheetId="36" r:id="rId9"/>
    <sheet name="2BR_F-processed" sheetId="2" r:id="rId10"/>
    <sheet name="3BR_H-processed" sheetId="11" r:id="rId11"/>
    <sheet name="chart-2bflat" sheetId="3" r:id="rId12"/>
    <sheet name="chart-3bhouse" sheetId="12" r:id="rId13"/>
    <sheet name="tas-buy &gt;&gt;" sheetId="14" r:id="rId14"/>
    <sheet name="ABS-total-value-dwellings" sheetId="24" r:id="rId15"/>
    <sheet name="ns-combined" sheetId="18" r:id="rId16"/>
    <sheet name="s-combined" sheetId="22" r:id="rId17"/>
  </sheets>
  <definedNames>
    <definedName name="_xlnm._FilterDatabase" localSheetId="9" hidden="1">'2BR_F-processed'!$A$1:$E$97</definedName>
    <definedName name="_xlnm._FilterDatabase" localSheetId="10" hidden="1">'3BR_H-processed'!$A$1:$E$97</definedName>
    <definedName name="_xlnm._FilterDatabase" localSheetId="15" hidden="1">'ns-combined'!$B$1:$D$102</definedName>
    <definedName name="_xlnm._FilterDatabase" localSheetId="16" hidden="1">'s-combined'!$B$1:$D$97</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analysis!$B$42</definedName>
    <definedName name="CGT">analysis!$B$49</definedName>
    <definedName name="Council_Area">analysis!$B$13</definedName>
    <definedName name="Date_Range">'ABS-total-value-dwellings'!$A$2:$A$10,'ABS-total-value-dwellings'!$A$11:$A$106</definedName>
    <definedName name="Date_Range_Data">'ABS-total-value-dwellings'!$A$11:$A$106</definedName>
    <definedName name="eff_invest">analysis!$B$54</definedName>
    <definedName name="FlatDwellingType">'2BR_F-processed'!$A$1</definedName>
    <definedName name="FlatNumberOfBedrooms">'2BR_F-processed'!$A$2</definedName>
    <definedName name="GlobalPortfolio">analysis!$B$41</definedName>
    <definedName name="HouseDwellingType" localSheetId="10">'3BR_H-processed'!$A$1</definedName>
    <definedName name="HouseNumberOfBedrooms" localSheetId="10">'3BR_H-processed'!$A$2</definedName>
    <definedName name="InvestFees">analysis!$B$43</definedName>
    <definedName name="MortgageRate">analysis!$B$19</definedName>
    <definedName name="Q_end">analysis!$B$12</definedName>
    <definedName name="Q_start">analysis!$B$11</definedName>
    <definedName name="Qstart">analysis!$B$11</definedName>
    <definedName name="TopOfTable_Table_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2" l="1" a="1"/>
  <c r="C2" i="22" a="1"/>
  <c r="D2" i="18" a="1"/>
  <c r="C2" i="18" a="1"/>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22" i="2"/>
  <c r="H66"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7" i="11"/>
  <c r="H68" i="11"/>
  <c r="H69" i="11"/>
  <c r="H70" i="11"/>
  <c r="H71" i="11"/>
  <c r="H72" i="11"/>
  <c r="H73" i="11"/>
  <c r="H74" i="11"/>
  <c r="H75" i="11"/>
  <c r="H76" i="11"/>
  <c r="H77" i="11"/>
  <c r="H78" i="11"/>
  <c r="H79" i="11"/>
  <c r="H22" i="11"/>
  <c r="I21" i="2"/>
  <c r="F63" i="38"/>
  <c r="H63" i="38" s="1"/>
  <c r="F62" i="38"/>
  <c r="H62" i="38" s="1"/>
  <c r="F61" i="38"/>
  <c r="H61" i="38" s="1"/>
  <c r="F60" i="38"/>
  <c r="H60" i="38" s="1"/>
  <c r="F59" i="38"/>
  <c r="H59" i="38" s="1"/>
  <c r="F58" i="38"/>
  <c r="H58" i="38" s="1"/>
  <c r="F57" i="38"/>
  <c r="H57" i="38" s="1"/>
  <c r="F56" i="38"/>
  <c r="H56" i="38" s="1"/>
  <c r="F55" i="38"/>
  <c r="H55" i="38" s="1"/>
  <c r="F54" i="38"/>
  <c r="H54" i="38" s="1"/>
  <c r="F53" i="38"/>
  <c r="H53" i="38" s="1"/>
  <c r="F52" i="38"/>
  <c r="H52" i="38" s="1"/>
  <c r="F51" i="38"/>
  <c r="H51" i="38" s="1"/>
  <c r="F50" i="38"/>
  <c r="H50" i="38" s="1"/>
  <c r="F49" i="38"/>
  <c r="H49" i="38" s="1"/>
  <c r="F48" i="38"/>
  <c r="H48" i="38" s="1"/>
  <c r="F47" i="38"/>
  <c r="H47" i="38" s="1"/>
  <c r="F46" i="38"/>
  <c r="H46" i="38" s="1"/>
  <c r="F45" i="38"/>
  <c r="H45" i="38" s="1"/>
  <c r="F44" i="38"/>
  <c r="H44" i="38" s="1"/>
  <c r="F43" i="38"/>
  <c r="H43" i="38" s="1"/>
  <c r="F42" i="38"/>
  <c r="H42" i="38" s="1"/>
  <c r="F41" i="38"/>
  <c r="H41" i="38" s="1"/>
  <c r="F40" i="38"/>
  <c r="H40" i="38" s="1"/>
  <c r="F39" i="38"/>
  <c r="H39" i="38" s="1"/>
  <c r="H38" i="38"/>
  <c r="F38" i="38"/>
  <c r="F37" i="38"/>
  <c r="H37" i="38" s="1"/>
  <c r="H36" i="38"/>
  <c r="F36" i="38"/>
  <c r="F35" i="38"/>
  <c r="H35" i="38" s="1"/>
  <c r="F34" i="38"/>
  <c r="H34" i="38" s="1"/>
  <c r="F33" i="38"/>
  <c r="H33" i="38" s="1"/>
  <c r="F32" i="38"/>
  <c r="H32" i="38" s="1"/>
  <c r="F31" i="38"/>
  <c r="H31" i="38" s="1"/>
  <c r="F30" i="38"/>
  <c r="H30" i="38" s="1"/>
  <c r="H29" i="38"/>
  <c r="F29" i="38"/>
  <c r="F28" i="38"/>
  <c r="H28" i="38" s="1"/>
  <c r="F27" i="38"/>
  <c r="H27" i="38" s="1"/>
  <c r="F26" i="38"/>
  <c r="H26" i="38" s="1"/>
  <c r="F25" i="38"/>
  <c r="H25" i="38" s="1"/>
  <c r="F24" i="38"/>
  <c r="H24" i="38" s="1"/>
  <c r="F23" i="38"/>
  <c r="H23" i="38" s="1"/>
  <c r="F22" i="38"/>
  <c r="H22" i="38" s="1"/>
  <c r="F21" i="38"/>
  <c r="H21" i="38" s="1"/>
  <c r="F20" i="38"/>
  <c r="H20" i="38" s="1"/>
  <c r="H19" i="38"/>
  <c r="F19" i="38"/>
  <c r="F18" i="38"/>
  <c r="H18" i="38" s="1"/>
  <c r="F17" i="38"/>
  <c r="H17" i="38" s="1"/>
  <c r="F16" i="38"/>
  <c r="H16" i="38" s="1"/>
  <c r="F15" i="38"/>
  <c r="H15" i="38" s="1"/>
  <c r="F14" i="38"/>
  <c r="H14" i="38" s="1"/>
  <c r="F13" i="38"/>
  <c r="H13" i="38" s="1"/>
  <c r="F12" i="38"/>
  <c r="H12" i="38" s="1"/>
  <c r="F11" i="38"/>
  <c r="H11" i="38" s="1"/>
  <c r="F10" i="38"/>
  <c r="H10" i="38" s="1"/>
  <c r="F9" i="38"/>
  <c r="H9" i="38" s="1"/>
  <c r="F8" i="38"/>
  <c r="H8" i="38" s="1"/>
  <c r="F7" i="38"/>
  <c r="H7" i="38" s="1"/>
  <c r="F6" i="38"/>
  <c r="H6" i="38" s="1"/>
  <c r="F5" i="38"/>
  <c r="H5" i="38" s="1"/>
  <c r="F4" i="38"/>
  <c r="H4" i="38" s="1"/>
  <c r="F70" i="11"/>
  <c r="F71" i="11"/>
  <c r="E71" i="11" s="1" a="1"/>
  <c r="F72" i="11"/>
  <c r="E72" i="11" s="1" a="1"/>
  <c r="F73" i="11"/>
  <c r="F74" i="11"/>
  <c r="F75" i="11"/>
  <c r="F76" i="11"/>
  <c r="F77" i="11"/>
  <c r="F78" i="11"/>
  <c r="E78" i="11" s="1" a="1"/>
  <c r="F79" i="11"/>
  <c r="E79" i="11" s="1" a="1"/>
  <c r="F80" i="11"/>
  <c r="E80" i="11" s="1" a="1"/>
  <c r="F81" i="11"/>
  <c r="E81" i="11" s="1" a="1"/>
  <c r="F69" i="11"/>
  <c r="E69" i="11" s="1" a="1"/>
  <c r="F70" i="2"/>
  <c r="E70" i="2" s="1" a="1"/>
  <c r="F71" i="2"/>
  <c r="E71" i="2" s="1" a="1"/>
  <c r="F72" i="2"/>
  <c r="E72" i="2" s="1" a="1"/>
  <c r="F73" i="2"/>
  <c r="E73" i="2" s="1" a="1"/>
  <c r="F74" i="2"/>
  <c r="E74" i="2" s="1" a="1"/>
  <c r="F75" i="2"/>
  <c r="E75" i="2" s="1" a="1"/>
  <c r="F76" i="2"/>
  <c r="E76" i="2" s="1" a="1"/>
  <c r="F77" i="2"/>
  <c r="E77" i="2" s="1" a="1"/>
  <c r="F78" i="2"/>
  <c r="E78" i="2" s="1" a="1"/>
  <c r="F79" i="2"/>
  <c r="E79" i="2" s="1" a="1"/>
  <c r="F80" i="2"/>
  <c r="E80" i="2" s="1" a="1"/>
  <c r="F81" i="2"/>
  <c r="E81" i="2" s="1" a="1"/>
  <c r="F69" i="2"/>
  <c r="E69" i="2" s="1" a="1"/>
  <c r="G69" i="11"/>
  <c r="G67" i="11"/>
  <c r="E67" i="11" s="1" a="1"/>
  <c r="G63" i="11"/>
  <c r="E63" i="11" s="1" a="1"/>
  <c r="G62" i="11"/>
  <c r="E62" i="11" s="1" a="1"/>
  <c r="G61" i="11"/>
  <c r="E61" i="11" s="1" a="1"/>
  <c r="G60" i="11"/>
  <c r="E60" i="11" s="1" a="1"/>
  <c r="G59" i="11"/>
  <c r="E59" i="11" s="1" a="1"/>
  <c r="G58" i="11"/>
  <c r="E58" i="11" s="1" a="1"/>
  <c r="G57" i="11"/>
  <c r="E57" i="11" s="1" a="1"/>
  <c r="G56" i="11"/>
  <c r="G55" i="11"/>
  <c r="E55" i="11" s="1" a="1"/>
  <c r="G54" i="11"/>
  <c r="E54" i="11" s="1" a="1"/>
  <c r="G53" i="11"/>
  <c r="E53" i="11" s="1" a="1"/>
  <c r="G52" i="11"/>
  <c r="E52" i="11" s="1" a="1"/>
  <c r="G51" i="11"/>
  <c r="E51" i="11" s="1" a="1"/>
  <c r="G50" i="11"/>
  <c r="G49" i="11"/>
  <c r="E49" i="11" s="1" a="1"/>
  <c r="G48" i="11"/>
  <c r="G47" i="11"/>
  <c r="G46" i="11"/>
  <c r="G45" i="11"/>
  <c r="E45" i="11" s="1" a="1"/>
  <c r="G44" i="11"/>
  <c r="E44" i="11" s="1" a="1"/>
  <c r="G43" i="11"/>
  <c r="E43" i="11" s="1" a="1"/>
  <c r="G42" i="11"/>
  <c r="G41" i="11"/>
  <c r="G40" i="11"/>
  <c r="G39" i="11"/>
  <c r="E39" i="11" s="1" a="1"/>
  <c r="G38" i="11"/>
  <c r="E38" i="11" s="1" a="1"/>
  <c r="G37" i="11"/>
  <c r="E37" i="11" s="1" a="1"/>
  <c r="G36" i="11"/>
  <c r="E36" i="11" s="1" a="1"/>
  <c r="G19" i="11"/>
  <c r="E19" i="11" s="1" a="1"/>
  <c r="G18" i="11"/>
  <c r="E18" i="11" s="1" a="1"/>
  <c r="G17" i="11"/>
  <c r="E17" i="11" s="1" a="1"/>
  <c r="G16" i="11"/>
  <c r="G9" i="11"/>
  <c r="E9" i="11" s="1" a="1"/>
  <c r="G10" i="11"/>
  <c r="E10" i="11" s="1" a="1"/>
  <c r="G11" i="11"/>
  <c r="E11" i="11" s="1" a="1"/>
  <c r="G8" i="11"/>
  <c r="E77" i="11" a="1"/>
  <c r="E76" i="11" a="1"/>
  <c r="E75" i="11" a="1"/>
  <c r="E74" i="11" a="1"/>
  <c r="E73" i="11" a="1"/>
  <c r="E70" i="11" a="1"/>
  <c r="E56" i="11" a="1"/>
  <c r="E50" i="11" a="1"/>
  <c r="E48" i="11" a="1"/>
  <c r="E47" i="11" a="1"/>
  <c r="E46" i="11" a="1"/>
  <c r="E42" i="11" a="1"/>
  <c r="E41" i="11" a="1"/>
  <c r="E40" i="11" a="1"/>
  <c r="G69" i="2"/>
  <c r="G67" i="2"/>
  <c r="E67" i="2" s="1" a="1"/>
  <c r="G63" i="2"/>
  <c r="E63" i="2" s="1" a="1"/>
  <c r="G62" i="2"/>
  <c r="E62" i="2" s="1" a="1"/>
  <c r="G61" i="2"/>
  <c r="E61" i="2" s="1" a="1"/>
  <c r="G60" i="2"/>
  <c r="E60" i="2" s="1" a="1"/>
  <c r="G59" i="2"/>
  <c r="E59" i="2" s="1" a="1"/>
  <c r="G58" i="2"/>
  <c r="E58" i="2" s="1" a="1"/>
  <c r="G57" i="2"/>
  <c r="E57" i="2" s="1" a="1"/>
  <c r="G56" i="2"/>
  <c r="E56" i="2" s="1" a="1"/>
  <c r="G55" i="2"/>
  <c r="E55" i="2" s="1" a="1"/>
  <c r="G54" i="2"/>
  <c r="E54" i="2" s="1" a="1"/>
  <c r="G53" i="2"/>
  <c r="E53" i="2" s="1" a="1"/>
  <c r="G52" i="2"/>
  <c r="E52" i="2" s="1" a="1"/>
  <c r="G51" i="2"/>
  <c r="E51" i="2" s="1" a="1"/>
  <c r="G50" i="2"/>
  <c r="E50" i="2" s="1" a="1"/>
  <c r="G49" i="2"/>
  <c r="E49" i="2" s="1" a="1"/>
  <c r="G48" i="2"/>
  <c r="E48" i="2" s="1" a="1"/>
  <c r="G47" i="2"/>
  <c r="E47" i="2" s="1" a="1"/>
  <c r="G46" i="2"/>
  <c r="E46" i="2" s="1" a="1"/>
  <c r="G45" i="2"/>
  <c r="E45" i="2" s="1" a="1"/>
  <c r="G44" i="2"/>
  <c r="E44" i="2" s="1" a="1"/>
  <c r="G43" i="2"/>
  <c r="E43" i="2" s="1" a="1"/>
  <c r="G42" i="2"/>
  <c r="E42" i="2" s="1" a="1"/>
  <c r="G41" i="2"/>
  <c r="E41" i="2" s="1" a="1"/>
  <c r="G40" i="2"/>
  <c r="E40" i="2" s="1" a="1"/>
  <c r="G39" i="2"/>
  <c r="E39" i="2" s="1" a="1"/>
  <c r="G38" i="2"/>
  <c r="E38" i="2" s="1" a="1"/>
  <c r="G37" i="2"/>
  <c r="E37" i="2" s="1" a="1"/>
  <c r="G36" i="2"/>
  <c r="E36" i="2" s="1" a="1"/>
  <c r="G19" i="2"/>
  <c r="E19" i="2" s="1" a="1"/>
  <c r="G18" i="2"/>
  <c r="E18" i="2" s="1" a="1"/>
  <c r="G17" i="2"/>
  <c r="E17" i="2" s="1" a="1"/>
  <c r="G16" i="2"/>
  <c r="G9" i="2"/>
  <c r="E9" i="2" s="1" a="1"/>
  <c r="G10" i="2"/>
  <c r="E10" i="2" s="1" a="1"/>
  <c r="G11" i="2"/>
  <c r="E11" i="2" s="1" a="1"/>
  <c r="G8" i="2"/>
  <c r="F63" i="36"/>
  <c r="H63" i="36" s="1"/>
  <c r="D14" i="34" s="1"/>
  <c r="F62" i="36"/>
  <c r="H62" i="36" s="1"/>
  <c r="D13" i="34" s="1"/>
  <c r="F61" i="36"/>
  <c r="H61" i="36" s="1"/>
  <c r="F60" i="36"/>
  <c r="H60" i="36" s="1"/>
  <c r="F59" i="36"/>
  <c r="H59" i="36" s="1"/>
  <c r="F58" i="36"/>
  <c r="H58" i="36" s="1"/>
  <c r="F57" i="36"/>
  <c r="H57" i="36" s="1"/>
  <c r="F56" i="36"/>
  <c r="H56" i="36" s="1"/>
  <c r="F55" i="36"/>
  <c r="H55" i="36" s="1"/>
  <c r="F54" i="36"/>
  <c r="H54" i="36" s="1"/>
  <c r="F53" i="36"/>
  <c r="H53" i="36" s="1"/>
  <c r="F52" i="36"/>
  <c r="H52" i="36" s="1"/>
  <c r="H51" i="36"/>
  <c r="D2" i="34" s="1"/>
  <c r="F51" i="36"/>
  <c r="F50" i="36"/>
  <c r="H50" i="36" s="1"/>
  <c r="F49" i="36"/>
  <c r="H49" i="36" s="1"/>
  <c r="F48" i="36"/>
  <c r="H48" i="36" s="1"/>
  <c r="F47" i="36"/>
  <c r="H47" i="36" s="1"/>
  <c r="F46" i="36"/>
  <c r="H46" i="36" s="1"/>
  <c r="F45" i="36"/>
  <c r="H45" i="36" s="1"/>
  <c r="F44" i="36"/>
  <c r="H44" i="36" s="1"/>
  <c r="F43" i="36"/>
  <c r="H43" i="36" s="1"/>
  <c r="F42" i="36"/>
  <c r="H42" i="36" s="1"/>
  <c r="F41" i="36"/>
  <c r="H41" i="36" s="1"/>
  <c r="F40" i="36"/>
  <c r="H40" i="36" s="1"/>
  <c r="F39" i="36"/>
  <c r="H39" i="36" s="1"/>
  <c r="F38" i="36"/>
  <c r="H38" i="36" s="1"/>
  <c r="F37" i="36"/>
  <c r="H37" i="36" s="1"/>
  <c r="F36" i="36"/>
  <c r="H36" i="36" s="1"/>
  <c r="F35" i="36"/>
  <c r="H35" i="36" s="1"/>
  <c r="F34" i="36"/>
  <c r="H34" i="36" s="1"/>
  <c r="F33" i="36"/>
  <c r="H33" i="36" s="1"/>
  <c r="F32" i="36"/>
  <c r="H32" i="36" s="1"/>
  <c r="F31" i="36"/>
  <c r="H31" i="36" s="1"/>
  <c r="F30" i="36"/>
  <c r="H30" i="36" s="1"/>
  <c r="H29" i="36"/>
  <c r="F29" i="36"/>
  <c r="F28" i="36"/>
  <c r="H28" i="36" s="1"/>
  <c r="F27" i="36"/>
  <c r="H27" i="36" s="1"/>
  <c r="F26" i="36"/>
  <c r="H26" i="36" s="1"/>
  <c r="F25" i="36"/>
  <c r="H25" i="36" s="1"/>
  <c r="F24" i="36"/>
  <c r="H24" i="36" s="1"/>
  <c r="F23" i="36"/>
  <c r="H23" i="36" s="1"/>
  <c r="F22" i="36"/>
  <c r="H22" i="36" s="1"/>
  <c r="F21" i="36"/>
  <c r="H21" i="36" s="1"/>
  <c r="H20" i="36"/>
  <c r="F20" i="36"/>
  <c r="F19" i="36"/>
  <c r="H19" i="36" s="1"/>
  <c r="F18" i="36"/>
  <c r="H18" i="36" s="1"/>
  <c r="F17" i="36"/>
  <c r="H17" i="36" s="1"/>
  <c r="F16" i="36"/>
  <c r="H16" i="36" s="1"/>
  <c r="F15" i="36"/>
  <c r="H15" i="36" s="1"/>
  <c r="F14" i="36"/>
  <c r="H14" i="36" s="1"/>
  <c r="F13" i="36"/>
  <c r="H13" i="36" s="1"/>
  <c r="F12" i="36"/>
  <c r="H12" i="36" s="1"/>
  <c r="F11" i="36"/>
  <c r="H11" i="36" s="1"/>
  <c r="F10" i="36"/>
  <c r="H10" i="36" s="1"/>
  <c r="F9" i="36"/>
  <c r="H9" i="36" s="1"/>
  <c r="F8" i="36"/>
  <c r="H8" i="36" s="1"/>
  <c r="F7" i="36"/>
  <c r="H7" i="36" s="1"/>
  <c r="F6" i="36"/>
  <c r="H6" i="36" s="1"/>
  <c r="F5" i="36"/>
  <c r="H5" i="36" s="1"/>
  <c r="F4" i="36"/>
  <c r="H4" i="36" s="1"/>
  <c r="E2" i="13"/>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50" i="13"/>
  <c r="B47" i="13"/>
  <c r="B42" i="13"/>
  <c r="B36" i="13"/>
  <c r="E64" i="2" l="1" a="1"/>
  <c r="I6" i="11"/>
  <c r="E6" i="11" s="1" a="1"/>
  <c r="I5" i="11"/>
  <c r="E5" i="11" s="1" a="1"/>
  <c r="I4" i="11"/>
  <c r="E4" i="11" s="1" a="1"/>
  <c r="I3" i="11"/>
  <c r="E3" i="11" s="1" a="1"/>
  <c r="I2" i="11"/>
  <c r="E2" i="11" s="1" a="1"/>
  <c r="I15" i="2"/>
  <c r="E15" i="2" s="1" a="1"/>
  <c r="I12" i="2"/>
  <c r="E12" i="2" s="1" a="1"/>
  <c r="I13" i="2"/>
  <c r="E13" i="2" s="1" a="1"/>
  <c r="I14" i="2"/>
  <c r="E14" i="2" s="1" a="1"/>
  <c r="I4" i="2"/>
  <c r="E4" i="2" s="1" a="1"/>
  <c r="I5" i="2"/>
  <c r="E5" i="2" s="1" a="1"/>
  <c r="I6" i="2"/>
  <c r="E6" i="2" s="1" a="1"/>
  <c r="I7" i="2"/>
  <c r="E7" i="2" s="1" a="1"/>
  <c r="I3" i="2"/>
  <c r="E3" i="2" s="1" a="1"/>
  <c r="I2" i="2"/>
  <c r="E2" i="2" s="1" a="1"/>
  <c r="D5" i="34"/>
  <c r="D4" i="34"/>
  <c r="D3" i="34"/>
  <c r="E68" i="11" a="1"/>
  <c r="E68" i="2" a="1"/>
  <c r="E66" i="11" a="1"/>
  <c r="E66" i="2" a="1"/>
  <c r="E65" i="2" a="1"/>
  <c r="E65" i="11" a="1"/>
  <c r="D12" i="34"/>
  <c r="D11" i="34"/>
  <c r="D10" i="34"/>
  <c r="D9" i="34"/>
  <c r="D8" i="34"/>
  <c r="D7" i="34"/>
  <c r="D6" i="34"/>
  <c r="E64" i="11" a="1"/>
  <c r="E35" i="2" a="1"/>
  <c r="E35" i="11" a="1"/>
  <c r="E34" i="11" a="1"/>
  <c r="E34" i="2" a="1"/>
  <c r="E33" i="2" a="1"/>
  <c r="E33" i="11" a="1"/>
  <c r="E32" i="11" a="1"/>
  <c r="E32" i="2" a="1"/>
  <c r="E31" i="2" a="1"/>
  <c r="E31" i="11" a="1"/>
  <c r="E30" i="2" a="1"/>
  <c r="E30" i="11" a="1"/>
  <c r="E29" i="11" a="1"/>
  <c r="E29" i="2" a="1"/>
  <c r="E28" i="11" a="1"/>
  <c r="E28" i="2" a="1"/>
  <c r="E27" i="2" a="1"/>
  <c r="E27" i="11" a="1"/>
  <c r="E26" i="11" a="1"/>
  <c r="E26" i="2" a="1"/>
  <c r="E25" i="11" a="1"/>
  <c r="E25" i="2" a="1"/>
  <c r="E24" i="2" a="1"/>
  <c r="E24" i="11" a="1"/>
  <c r="E23" i="11" a="1"/>
  <c r="E23" i="2" a="1"/>
  <c r="E22" i="2" a="1"/>
  <c r="E8" i="11" a="1"/>
  <c r="I7" i="11"/>
  <c r="E7" i="11" s="1" a="1"/>
  <c r="I13" i="11"/>
  <c r="E13" i="11" s="1" a="1"/>
  <c r="I15" i="11"/>
  <c r="E15" i="11" s="1" a="1"/>
  <c r="I14" i="11"/>
  <c r="E14" i="11" s="1" a="1"/>
  <c r="E16" i="11" a="1"/>
  <c r="I12" i="11"/>
  <c r="E12" i="11" s="1" a="1"/>
  <c r="E14" i="34"/>
  <c r="F14" i="34"/>
  <c r="E13" i="34"/>
  <c r="F13" i="34"/>
  <c r="E2" i="34"/>
  <c r="F2" i="34"/>
  <c r="E16" i="2" a="1"/>
  <c r="E8" i="2" a="1"/>
  <c r="L3" i="13"/>
  <c r="BB3" i="13" s="1"/>
  <c r="F5" i="34" l="1"/>
  <c r="E5" i="34"/>
  <c r="E4" i="34"/>
  <c r="F4" i="34"/>
  <c r="E3" i="34"/>
  <c r="F3" i="34"/>
  <c r="E12" i="34"/>
  <c r="F12" i="34"/>
  <c r="E11" i="34"/>
  <c r="F11" i="34"/>
  <c r="E10" i="34"/>
  <c r="F10" i="34"/>
  <c r="F9" i="34"/>
  <c r="E9" i="34"/>
  <c r="E8" i="34"/>
  <c r="F8" i="34"/>
  <c r="E7" i="34"/>
  <c r="F7" i="34"/>
  <c r="E6" i="34"/>
  <c r="F6" i="34"/>
  <c r="I20" i="2"/>
  <c r="E20" i="2" s="1" a="1"/>
  <c r="E21" i="2" a="1"/>
  <c r="I21" i="11"/>
  <c r="E21" i="11" s="1" a="1"/>
  <c r="E22" i="11" a="1"/>
  <c r="I20" i="11"/>
  <c r="E20" i="11" s="1" a="1"/>
  <c r="AG3" i="13" a="1"/>
  <c r="AF3" i="13" a="1"/>
  <c r="BH3" i="13"/>
  <c r="L4" i="13"/>
  <c r="BB4" i="13" s="1"/>
  <c r="AR3" i="13"/>
  <c r="B26" i="13" s="1"/>
  <c r="T3" i="13"/>
  <c r="U3" i="13" s="1"/>
  <c r="AC3" i="13" a="1"/>
  <c r="BJ3" i="13" s="1"/>
  <c r="AD3" i="13" a="1"/>
  <c r="BK3" i="13" s="1"/>
  <c r="R3" i="13"/>
  <c r="V3" i="13" l="1"/>
  <c r="BC3" i="13"/>
  <c r="BI3" i="13"/>
  <c r="W3" i="13"/>
  <c r="AV3" i="13"/>
  <c r="BN3" i="13"/>
  <c r="L5" i="13"/>
  <c r="BB5" i="13" s="1"/>
  <c r="AF4" i="13" a="1"/>
  <c r="AG4" i="13" a="1"/>
  <c r="BL3" i="13"/>
  <c r="AR4" i="13"/>
  <c r="AV4" i="13" s="1"/>
  <c r="BH4" i="13"/>
  <c r="AU3" i="13"/>
  <c r="AS3" i="13"/>
  <c r="T4" i="13"/>
  <c r="AC4" i="13" a="1"/>
  <c r="BJ4" i="13" s="1"/>
  <c r="AD4" i="13" a="1"/>
  <c r="BK4" i="13" s="1"/>
  <c r="U4" i="13"/>
  <c r="R4" i="13"/>
  <c r="X3" i="13" l="1"/>
  <c r="BI4" i="13"/>
  <c r="W4" i="13"/>
  <c r="AW3" i="13"/>
  <c r="BD3" i="13"/>
  <c r="AW4" i="13"/>
  <c r="AS4" i="13"/>
  <c r="AT3" i="13"/>
  <c r="BH5" i="13"/>
  <c r="AU4" i="13"/>
  <c r="BN4" i="13"/>
  <c r="AG5" i="13" a="1"/>
  <c r="AF5" i="13" a="1"/>
  <c r="L6" i="13"/>
  <c r="BB6" i="13" s="1"/>
  <c r="BL4" i="13"/>
  <c r="BE3" i="13"/>
  <c r="AR5" i="13"/>
  <c r="AV5" i="13" s="1"/>
  <c r="T5" i="13"/>
  <c r="V4" i="13"/>
  <c r="AC5" i="13" a="1"/>
  <c r="BJ5" i="13" s="1"/>
  <c r="R5" i="13"/>
  <c r="AD5" i="13" a="1"/>
  <c r="BK5" i="13" s="1"/>
  <c r="U5" i="13"/>
  <c r="AY3" i="13"/>
  <c r="BI5" i="13" l="1"/>
  <c r="W5" i="13"/>
  <c r="AX3" i="13"/>
  <c r="N3" i="13" s="1"/>
  <c r="BG3" i="13"/>
  <c r="AW5" i="13"/>
  <c r="AX4" i="13"/>
  <c r="AU5" i="13"/>
  <c r="BN5" i="13"/>
  <c r="AG6" i="13" a="1"/>
  <c r="AF6" i="13" a="1"/>
  <c r="L7" i="13"/>
  <c r="BB7" i="13" s="1"/>
  <c r="BL5" i="13"/>
  <c r="AR6" i="13"/>
  <c r="AV6" i="13" s="1"/>
  <c r="BH6" i="13"/>
  <c r="AS5" i="13"/>
  <c r="BA3" i="13"/>
  <c r="AZ3" i="13"/>
  <c r="BF3" i="13"/>
  <c r="BC4" i="13" s="1"/>
  <c r="T6" i="13"/>
  <c r="AD6" i="13" a="1"/>
  <c r="BK6" i="13" s="1"/>
  <c r="AC6" i="13" a="1"/>
  <c r="BJ6" i="13" s="1"/>
  <c r="R6" i="13"/>
  <c r="V5" i="13"/>
  <c r="U6" i="13"/>
  <c r="AY4" i="13"/>
  <c r="X4" i="13"/>
  <c r="X5" i="13" l="1"/>
  <c r="BI6" i="13"/>
  <c r="W6" i="13"/>
  <c r="BO3" i="13"/>
  <c r="Y3" i="13"/>
  <c r="AW6" i="13"/>
  <c r="AX5" i="13"/>
  <c r="BO4" i="13"/>
  <c r="AU6" i="13"/>
  <c r="BN6" i="13"/>
  <c r="AG7" i="13" a="1"/>
  <c r="AF7" i="13" a="1"/>
  <c r="L8" i="13"/>
  <c r="BB8" i="13" s="1"/>
  <c r="BL6" i="13"/>
  <c r="AR7" i="13"/>
  <c r="AV7" i="13" s="1"/>
  <c r="BH7" i="13"/>
  <c r="AS6" i="13"/>
  <c r="BD4" i="13"/>
  <c r="BG4" i="13" s="1"/>
  <c r="BE4" i="13"/>
  <c r="P3" i="13"/>
  <c r="AD7" i="13" a="1"/>
  <c r="BK7" i="13" s="1"/>
  <c r="R7" i="13"/>
  <c r="T7" i="13"/>
  <c r="U7" i="13" s="1"/>
  <c r="AZ4" i="13"/>
  <c r="BA4" i="13"/>
  <c r="AC7" i="13" a="1"/>
  <c r="BJ7" i="13" s="1"/>
  <c r="V6" i="13"/>
  <c r="AY6" i="13" s="1"/>
  <c r="AY5" i="13"/>
  <c r="BI7" i="13" l="1"/>
  <c r="W7" i="13"/>
  <c r="Y4" i="13"/>
  <c r="Z3" i="13"/>
  <c r="AA3" i="13" s="1" a="1"/>
  <c r="AE3" i="13" s="1"/>
  <c r="BM3" i="13" s="1"/>
  <c r="AX6" i="13"/>
  <c r="AW7" i="13"/>
  <c r="BO5" i="13"/>
  <c r="AU7" i="13"/>
  <c r="BN7" i="13"/>
  <c r="AG8" i="13" a="1"/>
  <c r="AF8" i="13" a="1"/>
  <c r="L9" i="13"/>
  <c r="BB9" i="13" s="1"/>
  <c r="BL7" i="13"/>
  <c r="AR8" i="13"/>
  <c r="AV8" i="13" s="1"/>
  <c r="BH8" i="13"/>
  <c r="BF4" i="13"/>
  <c r="BC5" i="13" s="1"/>
  <c r="BD5" i="13" s="1"/>
  <c r="BG5" i="13" s="1"/>
  <c r="AS7" i="13"/>
  <c r="V7" i="13"/>
  <c r="AY7" i="13" s="1"/>
  <c r="T8" i="13"/>
  <c r="R8" i="13"/>
  <c r="AZ5" i="13"/>
  <c r="BA5" i="13"/>
  <c r="AC8" i="13" a="1"/>
  <c r="BJ8" i="13" s="1"/>
  <c r="BA6" i="13"/>
  <c r="AD8" i="13" a="1"/>
  <c r="BK8" i="13" s="1"/>
  <c r="AZ6" i="13"/>
  <c r="U8" i="13"/>
  <c r="U9" i="13" s="1"/>
  <c r="P4" i="13"/>
  <c r="X6" i="13"/>
  <c r="N4" i="13"/>
  <c r="BI8" i="13" l="1"/>
  <c r="W8" i="13"/>
  <c r="Y5" i="13"/>
  <c r="Z4" i="13"/>
  <c r="AA4" i="13" s="1" a="1"/>
  <c r="AJ3" i="13"/>
  <c r="AL3" i="13" s="1"/>
  <c r="AH3" i="13"/>
  <c r="AM3" i="13"/>
  <c r="AB3" i="13"/>
  <c r="AX7" i="13"/>
  <c r="AW8" i="13"/>
  <c r="BN8" i="13"/>
  <c r="BO6" i="13"/>
  <c r="AG9" i="13" a="1"/>
  <c r="AF9" i="13" a="1"/>
  <c r="L10" i="13"/>
  <c r="BB10" i="13" s="1"/>
  <c r="BL8" i="13"/>
  <c r="AU8" i="13"/>
  <c r="AD9" i="13" a="1"/>
  <c r="BK9" i="13" s="1"/>
  <c r="BH9" i="13"/>
  <c r="AS8" i="13"/>
  <c r="BE5" i="13"/>
  <c r="BF5" i="13" s="1"/>
  <c r="BC6" i="13" s="1"/>
  <c r="BE6" i="13" s="1"/>
  <c r="R9" i="13"/>
  <c r="V9" i="13" s="1"/>
  <c r="AC9" i="13" a="1"/>
  <c r="BJ9" i="13" s="1"/>
  <c r="AR9" i="13"/>
  <c r="AV9" i="13" s="1"/>
  <c r="X7" i="13"/>
  <c r="T9" i="13"/>
  <c r="BA7" i="13"/>
  <c r="AZ7" i="13"/>
  <c r="V8" i="13"/>
  <c r="AY8" i="13" s="1"/>
  <c r="P5" i="13"/>
  <c r="U10" i="13"/>
  <c r="N5" i="13"/>
  <c r="BI9" i="13" l="1"/>
  <c r="W9" i="13"/>
  <c r="X9" i="13" s="1"/>
  <c r="Z5" i="13"/>
  <c r="AA5" i="13" s="1" a="1"/>
  <c r="AB4" i="13"/>
  <c r="AM4" i="13" a="1"/>
  <c r="AJ4" i="13"/>
  <c r="AL4" i="13" s="1"/>
  <c r="AI3" i="13"/>
  <c r="AW9" i="13"/>
  <c r="AX8" i="13"/>
  <c r="BN9" i="13"/>
  <c r="BO7" i="13"/>
  <c r="AG10" i="13" a="1"/>
  <c r="AF10" i="13" a="1"/>
  <c r="L11" i="13"/>
  <c r="BB11" i="13" s="1"/>
  <c r="BL9" i="13"/>
  <c r="AR10" i="13"/>
  <c r="AV10" i="13" s="1"/>
  <c r="BH10" i="13"/>
  <c r="AS9" i="13"/>
  <c r="BD6" i="13"/>
  <c r="BG6" i="13" s="1"/>
  <c r="AU9" i="13"/>
  <c r="AD10" i="13" a="1"/>
  <c r="BK10" i="13" s="1"/>
  <c r="AC10" i="13" a="1"/>
  <c r="BJ10" i="13" s="1"/>
  <c r="R10" i="13"/>
  <c r="V10" i="13" s="1"/>
  <c r="T10" i="13"/>
  <c r="AZ8" i="13"/>
  <c r="BA8" i="13"/>
  <c r="X8" i="13"/>
  <c r="AY9" i="13"/>
  <c r="BI10" i="13" l="1"/>
  <c r="W10" i="13"/>
  <c r="X10" i="13" s="1"/>
  <c r="AB5" i="13"/>
  <c r="AM5" i="13" a="1"/>
  <c r="Y6" i="13"/>
  <c r="AN3" i="13"/>
  <c r="AO3" i="13" s="1"/>
  <c r="AP3" i="13" s="1"/>
  <c r="M3" i="13" s="1"/>
  <c r="O3" i="13" s="1"/>
  <c r="AE4" i="13"/>
  <c r="AJ5" i="13"/>
  <c r="AL5" i="13" s="1"/>
  <c r="AK3" i="13"/>
  <c r="AX9" i="13"/>
  <c r="AW10" i="13"/>
  <c r="BO8" i="13"/>
  <c r="BN10" i="13"/>
  <c r="AG11" i="13" a="1"/>
  <c r="AF11" i="13" a="1"/>
  <c r="L12" i="13"/>
  <c r="BB12" i="13" s="1"/>
  <c r="BL10" i="13"/>
  <c r="AU10" i="13"/>
  <c r="AR11" i="13"/>
  <c r="AV11" i="13" s="1"/>
  <c r="BH11" i="13"/>
  <c r="AS10" i="13"/>
  <c r="BF6" i="13"/>
  <c r="BC7" i="13" s="1"/>
  <c r="BE7" i="13" s="1"/>
  <c r="T11" i="13"/>
  <c r="U11" i="13" s="1"/>
  <c r="U12" i="13" s="1"/>
  <c r="AD11" i="13" a="1"/>
  <c r="BK11" i="13" s="1"/>
  <c r="R11" i="13"/>
  <c r="AC11" i="13" a="1"/>
  <c r="BJ11" i="13" s="1"/>
  <c r="AZ9" i="13"/>
  <c r="BA9" i="13"/>
  <c r="P6" i="13"/>
  <c r="AY10" i="13"/>
  <c r="N6" i="13"/>
  <c r="BI11" i="13" l="1"/>
  <c r="W11" i="13"/>
  <c r="Z6" i="13"/>
  <c r="AA6" i="13" s="1" a="1"/>
  <c r="AH4" i="13"/>
  <c r="AI4" i="13" s="1"/>
  <c r="AE5" i="13" s="1"/>
  <c r="BM5" i="13" s="1"/>
  <c r="BM4" i="13"/>
  <c r="AX10" i="13"/>
  <c r="AW11" i="13"/>
  <c r="BO9" i="13"/>
  <c r="BN11" i="13"/>
  <c r="AG12" i="13" a="1"/>
  <c r="AF12" i="13" a="1"/>
  <c r="L13" i="13"/>
  <c r="BB13" i="13" s="1"/>
  <c r="BL11" i="13"/>
  <c r="AU11" i="13"/>
  <c r="AR12" i="13"/>
  <c r="AV12" i="13" s="1"/>
  <c r="BH12" i="13"/>
  <c r="BD7" i="13"/>
  <c r="BG7" i="13" s="1"/>
  <c r="AS11" i="13"/>
  <c r="T12" i="13"/>
  <c r="R12" i="13"/>
  <c r="V12" i="13" s="1"/>
  <c r="AD12" i="13" a="1"/>
  <c r="BK12" i="13" s="1"/>
  <c r="AC12" i="13" a="1"/>
  <c r="BJ12" i="13" s="1"/>
  <c r="V11" i="13"/>
  <c r="AZ10" i="13"/>
  <c r="BA10" i="13"/>
  <c r="U13" i="13"/>
  <c r="N7" i="13"/>
  <c r="X11" i="13" l="1"/>
  <c r="BI12" i="13"/>
  <c r="W12" i="13"/>
  <c r="X12" i="13" s="1"/>
  <c r="AM6" i="13" a="1"/>
  <c r="AB6" i="13"/>
  <c r="AJ6" i="13"/>
  <c r="AL6" i="13" s="1"/>
  <c r="Y7" i="13"/>
  <c r="AN4" i="13"/>
  <c r="AO4" i="13" s="1"/>
  <c r="AP4" i="13" s="1"/>
  <c r="AK4" i="13"/>
  <c r="AW12" i="13"/>
  <c r="AX11" i="13"/>
  <c r="BN12" i="13"/>
  <c r="BO10" i="13"/>
  <c r="AG13" i="13" a="1"/>
  <c r="AF13" i="13" a="1"/>
  <c r="L14" i="13"/>
  <c r="BB14" i="13" s="1"/>
  <c r="BL12" i="13"/>
  <c r="AH5" i="13"/>
  <c r="AU12" i="13"/>
  <c r="AR13" i="13"/>
  <c r="AV13" i="13" s="1"/>
  <c r="BH13" i="13"/>
  <c r="BF7" i="13"/>
  <c r="BC8" i="13" s="1"/>
  <c r="N8" i="13" s="1"/>
  <c r="AS12" i="13"/>
  <c r="AD13" i="13" a="1"/>
  <c r="BK13" i="13" s="1"/>
  <c r="AC13" i="13" a="1"/>
  <c r="BJ13" i="13" s="1"/>
  <c r="T13" i="13"/>
  <c r="R13" i="13"/>
  <c r="V13" i="13" s="1"/>
  <c r="AY11" i="13"/>
  <c r="P7" i="13"/>
  <c r="U14" i="13"/>
  <c r="AY12" i="13"/>
  <c r="BI13" i="13" l="1"/>
  <c r="W13" i="13"/>
  <c r="X13" i="13" s="1"/>
  <c r="Z7" i="13"/>
  <c r="AA7" i="13" s="1" a="1"/>
  <c r="M4" i="13"/>
  <c r="O4" i="13" s="1"/>
  <c r="AW13" i="13"/>
  <c r="AX12" i="13"/>
  <c r="BN13" i="13"/>
  <c r="BO11" i="13"/>
  <c r="AZ11" i="13"/>
  <c r="AG14" i="13" a="1"/>
  <c r="AF14" i="13" a="1"/>
  <c r="L15" i="13"/>
  <c r="BB15" i="13" s="1"/>
  <c r="BL13" i="13"/>
  <c r="AI5" i="13"/>
  <c r="AE6" i="13" s="1"/>
  <c r="BM6" i="13" s="1"/>
  <c r="AU13" i="13"/>
  <c r="AR14" i="13"/>
  <c r="AV14" i="13" s="1"/>
  <c r="BH14" i="13"/>
  <c r="BD8" i="13"/>
  <c r="BG8" i="13" s="1"/>
  <c r="Y8" i="13" s="1"/>
  <c r="BE8" i="13"/>
  <c r="AS13" i="13"/>
  <c r="AC14" i="13" a="1"/>
  <c r="BJ14" i="13" s="1"/>
  <c r="T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B16" i="13" s="1"/>
  <c r="BL14" i="13"/>
  <c r="AN5" i="13"/>
  <c r="AO5" i="13" s="1"/>
  <c r="AP5" i="13" s="1"/>
  <c r="Z8" i="13"/>
  <c r="AA8" i="13" s="1" a="1"/>
  <c r="AK5" i="13"/>
  <c r="AU14" i="13"/>
  <c r="AR15" i="13"/>
  <c r="AV15" i="13" s="1"/>
  <c r="BH15" i="13"/>
  <c r="BF8" i="13"/>
  <c r="BC9" i="13" s="1"/>
  <c r="BE9" i="13" s="1"/>
  <c r="AS14" i="13"/>
  <c r="T15" i="13"/>
  <c r="U15" i="13" s="1"/>
  <c r="U16" i="13" s="1"/>
  <c r="R15" i="13"/>
  <c r="AC15" i="13" a="1"/>
  <c r="BJ15" i="13" s="1"/>
  <c r="AD15" i="13" a="1"/>
  <c r="BK15" i="13" s="1"/>
  <c r="AZ13" i="13"/>
  <c r="BA13" i="13"/>
  <c r="P8" i="13"/>
  <c r="AY14" i="13"/>
  <c r="BI15" i="13" l="1"/>
  <c r="W15" i="13"/>
  <c r="AW15" i="13"/>
  <c r="AX14" i="13"/>
  <c r="BN15" i="13"/>
  <c r="BO13" i="13"/>
  <c r="AG16" i="13" a="1"/>
  <c r="AF16" i="13" a="1"/>
  <c r="L17" i="13"/>
  <c r="BB17" i="13" s="1"/>
  <c r="BL15" i="13"/>
  <c r="AJ8" i="13"/>
  <c r="AL8" i="13" s="1"/>
  <c r="M5" i="13"/>
  <c r="O5" i="13" s="1"/>
  <c r="AH6" i="13"/>
  <c r="AM8" i="13" a="1"/>
  <c r="AB8" i="13"/>
  <c r="AU15" i="13"/>
  <c r="AR16" i="13"/>
  <c r="AV16" i="13" s="1"/>
  <c r="BH16" i="13"/>
  <c r="BD9" i="13"/>
  <c r="BG9" i="13" s="1"/>
  <c r="Y9" i="13" s="1"/>
  <c r="AS15" i="13"/>
  <c r="V15" i="13"/>
  <c r="AC16" i="13" a="1"/>
  <c r="BJ16" i="13" s="1"/>
  <c r="T16" i="13"/>
  <c r="AD16" i="13" a="1"/>
  <c r="BK16" i="13" s="1"/>
  <c r="R16" i="13"/>
  <c r="V16" i="13" s="1"/>
  <c r="AZ14" i="13"/>
  <c r="BA14" i="13"/>
  <c r="U17" i="13"/>
  <c r="N9" i="13"/>
  <c r="X15" i="13" l="1"/>
  <c r="BI16" i="13"/>
  <c r="W16" i="13"/>
  <c r="X16" i="13" s="1"/>
  <c r="AX15" i="13"/>
  <c r="AW16" i="13"/>
  <c r="BN16" i="13"/>
  <c r="BO14" i="13"/>
  <c r="AG17" i="13" a="1"/>
  <c r="AF17" i="13" a="1"/>
  <c r="L18" i="13"/>
  <c r="BB18" i="13" s="1"/>
  <c r="BL16" i="13"/>
  <c r="Z9" i="13"/>
  <c r="AA9" i="13" s="1" a="1"/>
  <c r="AI6" i="13"/>
  <c r="AE7" i="13" s="1"/>
  <c r="BM7" i="13" s="1"/>
  <c r="AU16" i="13"/>
  <c r="AR17" i="13"/>
  <c r="AV17" i="13" s="1"/>
  <c r="BH17" i="13"/>
  <c r="BF9" i="13"/>
  <c r="BC10" i="13" s="1"/>
  <c r="BD10" i="13" s="1"/>
  <c r="BG10" i="13" s="1"/>
  <c r="Y10" i="13" s="1"/>
  <c r="AY15" i="13"/>
  <c r="AS16" i="13"/>
  <c r="AC17" i="13" a="1"/>
  <c r="BJ17" i="13" s="1"/>
  <c r="T17" i="13"/>
  <c r="R17" i="13"/>
  <c r="V17" i="13" s="1"/>
  <c r="AD17" i="13" a="1"/>
  <c r="BK17" i="13" s="1"/>
  <c r="P9" i="13"/>
  <c r="U18" i="13"/>
  <c r="AY16" i="13"/>
  <c r="BI17" i="13" l="1"/>
  <c r="W17" i="13"/>
  <c r="X17" i="13" s="1"/>
  <c r="AX16" i="13"/>
  <c r="AW17" i="13"/>
  <c r="BN17" i="13"/>
  <c r="BO15" i="13"/>
  <c r="AZ15" i="13"/>
  <c r="AG18" i="13" a="1"/>
  <c r="AF18" i="13" a="1"/>
  <c r="L19" i="13"/>
  <c r="BB19" i="13" s="1"/>
  <c r="BL17" i="13"/>
  <c r="AK6" i="13"/>
  <c r="AN6" i="13"/>
  <c r="AO6" i="13" s="1"/>
  <c r="AP6" i="13" s="1"/>
  <c r="AM9" i="13" a="1"/>
  <c r="AB9" i="13"/>
  <c r="AJ9" i="13"/>
  <c r="AL9" i="13" s="1"/>
  <c r="AU17" i="13"/>
  <c r="BH18" i="13"/>
  <c r="BE10" i="13"/>
  <c r="BF10" i="13" s="1"/>
  <c r="BC11" i="13" s="1"/>
  <c r="BA15" i="13"/>
  <c r="AS17" i="13"/>
  <c r="Z10" i="13"/>
  <c r="AA10" i="13" s="1" a="1"/>
  <c r="T18" i="13"/>
  <c r="AR18" i="13"/>
  <c r="AV18" i="13" s="1"/>
  <c r="R18" i="13"/>
  <c r="V18" i="13" s="1"/>
  <c r="AY18" i="13" s="1"/>
  <c r="AD18" i="13" a="1"/>
  <c r="BK18" i="13" s="1"/>
  <c r="AC18" i="13" a="1"/>
  <c r="BJ18" i="13" s="1"/>
  <c r="AZ16" i="13"/>
  <c r="BA16" i="13"/>
  <c r="AY17" i="13"/>
  <c r="N10" i="13"/>
  <c r="BI18" i="13" l="1"/>
  <c r="W18" i="13"/>
  <c r="X18" i="13" s="1"/>
  <c r="AW18" i="13"/>
  <c r="AX17" i="13"/>
  <c r="BN18" i="13"/>
  <c r="BO16" i="13"/>
  <c r="BL18" i="13"/>
  <c r="AG19" i="13" a="1"/>
  <c r="AF19" i="13" a="1"/>
  <c r="L20" i="13"/>
  <c r="BB20" i="13" s="1"/>
  <c r="AH7" i="13"/>
  <c r="M6" i="13"/>
  <c r="O6" i="13" s="1"/>
  <c r="AM10" i="13" a="1"/>
  <c r="AB10" i="13"/>
  <c r="AJ10" i="13"/>
  <c r="AL10" i="13" s="1"/>
  <c r="AD19" i="13" a="1"/>
  <c r="BK19" i="13" s="1"/>
  <c r="BH19" i="13"/>
  <c r="AS18" i="13"/>
  <c r="BE11" i="13"/>
  <c r="BD11" i="13"/>
  <c r="BG11" i="13" s="1"/>
  <c r="Y11" i="13" s="1"/>
  <c r="AC19" i="13" a="1"/>
  <c r="BJ19" i="13" s="1"/>
  <c r="T19" i="13"/>
  <c r="U19" i="13" s="1"/>
  <c r="U20" i="13" s="1"/>
  <c r="AR19" i="13"/>
  <c r="AV19" i="13" s="1"/>
  <c r="AU18" i="13"/>
  <c r="R19" i="13"/>
  <c r="AZ17" i="13"/>
  <c r="BA17" i="13"/>
  <c r="P10" i="13"/>
  <c r="BI19" i="13" l="1"/>
  <c r="W19" i="13"/>
  <c r="AW19" i="13"/>
  <c r="AX18" i="13"/>
  <c r="BO17" i="13"/>
  <c r="AU19" i="13"/>
  <c r="BN19" i="13"/>
  <c r="AG20" i="13" a="1"/>
  <c r="AF20" i="13" a="1"/>
  <c r="L21" i="13"/>
  <c r="BL19" i="13"/>
  <c r="AI7" i="13"/>
  <c r="AE8" i="13" s="1"/>
  <c r="BM8" i="13" s="1"/>
  <c r="AR20" i="13"/>
  <c r="AV20" i="13" s="1"/>
  <c r="BH20" i="13"/>
  <c r="AS19" i="13"/>
  <c r="Z11" i="13"/>
  <c r="AA11" i="13" s="1" a="1"/>
  <c r="V19" i="13"/>
  <c r="AC20" i="13" a="1"/>
  <c r="BJ20" i="13" s="1"/>
  <c r="AD20" i="13" a="1"/>
  <c r="BK20" i="13" s="1"/>
  <c r="T20" i="13"/>
  <c r="R20" i="13"/>
  <c r="V20" i="13" s="1"/>
  <c r="AZ18" i="13"/>
  <c r="BA18" i="13"/>
  <c r="BF11" i="13"/>
  <c r="BC12" i="13" s="1"/>
  <c r="U21" i="13"/>
  <c r="N11" i="13"/>
  <c r="BH21" i="13" l="1"/>
  <c r="BB21" i="13"/>
  <c r="X19" i="13"/>
  <c r="BI21" i="13"/>
  <c r="W21" i="13"/>
  <c r="BI20" i="13"/>
  <c r="W20" i="13"/>
  <c r="X20" i="13" s="1"/>
  <c r="AX19" i="13"/>
  <c r="AW20" i="13"/>
  <c r="BO18" i="13"/>
  <c r="BN20" i="13"/>
  <c r="AG21" i="13" a="1"/>
  <c r="AF21" i="13" a="1"/>
  <c r="L22" i="13"/>
  <c r="BB22" i="13" s="1"/>
  <c r="BL20" i="13"/>
  <c r="AK7" i="13"/>
  <c r="AN7" i="13"/>
  <c r="AO7" i="13" s="1"/>
  <c r="AP7" i="13" s="1"/>
  <c r="AM11" i="13" a="1"/>
  <c r="AB11" i="13"/>
  <c r="AJ11" i="13"/>
  <c r="AL11" i="13" s="1"/>
  <c r="AU20" i="13"/>
  <c r="AR21" i="13"/>
  <c r="AV21" i="13" s="1"/>
  <c r="AS20" i="13"/>
  <c r="AY19" i="13"/>
  <c r="BE12" i="13"/>
  <c r="BD12" i="13"/>
  <c r="BG12" i="13" s="1"/>
  <c r="T21" i="13"/>
  <c r="R21" i="13"/>
  <c r="V21" i="13" s="1"/>
  <c r="AD21" i="13" a="1"/>
  <c r="BK21" i="13" s="1"/>
  <c r="AC21" i="13" a="1"/>
  <c r="BJ21" i="13" s="1"/>
  <c r="P11" i="13"/>
  <c r="U22" i="13"/>
  <c r="AY20" i="13"/>
  <c r="AX20" i="13" l="1"/>
  <c r="AW21" i="13"/>
  <c r="BN21" i="13"/>
  <c r="BO19" i="13"/>
  <c r="AZ19" i="13"/>
  <c r="AG22" i="13" a="1"/>
  <c r="AF22" i="13" a="1"/>
  <c r="L23" i="13"/>
  <c r="BB23" i="13" s="1"/>
  <c r="BL21" i="13"/>
  <c r="AH8" i="13"/>
  <c r="M7" i="13"/>
  <c r="O7" i="13" s="1"/>
  <c r="AR22" i="13"/>
  <c r="AV22" i="13" s="1"/>
  <c r="BH22" i="13"/>
  <c r="AU21" i="13"/>
  <c r="AS21" i="13"/>
  <c r="BA19" i="13"/>
  <c r="T22" i="13"/>
  <c r="R22" i="13"/>
  <c r="V22" i="13" s="1"/>
  <c r="AD22" i="13" a="1"/>
  <c r="BK22" i="13" s="1"/>
  <c r="AC22" i="13" a="1"/>
  <c r="BJ22" i="13" s="1"/>
  <c r="BF12" i="13"/>
  <c r="BC13" i="13" s="1"/>
  <c r="Y12" i="13"/>
  <c r="AZ20" i="13"/>
  <c r="BA20" i="13"/>
  <c r="AY21" i="13"/>
  <c r="X21" i="13"/>
  <c r="N12" i="13"/>
  <c r="BI22" i="13" l="1"/>
  <c r="W22" i="13"/>
  <c r="X22" i="13" s="1"/>
  <c r="AW22" i="13"/>
  <c r="AX21" i="13"/>
  <c r="BN22" i="13"/>
  <c r="BO20" i="13"/>
  <c r="AG23" i="13" a="1"/>
  <c r="AF23" i="13" a="1"/>
  <c r="L24" i="13"/>
  <c r="BB24" i="13" s="1"/>
  <c r="BL22" i="13"/>
  <c r="AI8" i="13"/>
  <c r="AE9" i="13" s="1"/>
  <c r="BM9" i="13" s="1"/>
  <c r="AU22" i="13"/>
  <c r="AR23" i="13"/>
  <c r="AV23" i="13" s="1"/>
  <c r="BH23" i="13"/>
  <c r="AS22" i="13"/>
  <c r="BE13" i="13"/>
  <c r="BD13" i="13"/>
  <c r="BG13" i="13" s="1"/>
  <c r="Y13" i="13" s="1"/>
  <c r="Z12" i="13"/>
  <c r="AA12" i="13" s="1" a="1"/>
  <c r="AD23" i="13" a="1"/>
  <c r="BK23" i="13" s="1"/>
  <c r="T23" i="13"/>
  <c r="U23" i="13" s="1"/>
  <c r="U24" i="13" s="1"/>
  <c r="R23" i="13"/>
  <c r="AC23" i="13" a="1"/>
  <c r="BJ23" i="13" s="1"/>
  <c r="AZ21" i="13"/>
  <c r="BA21" i="13"/>
  <c r="P12" i="13"/>
  <c r="AY22" i="13"/>
  <c r="BI23" i="13" l="1"/>
  <c r="W23" i="13"/>
  <c r="AX22" i="13"/>
  <c r="AW23" i="13"/>
  <c r="BN23" i="13"/>
  <c r="BO21" i="13"/>
  <c r="AG24" i="13" a="1"/>
  <c r="AF24" i="13" a="1"/>
  <c r="L25" i="13"/>
  <c r="BB25" i="13" s="1"/>
  <c r="BL23" i="13"/>
  <c r="AK8" i="13"/>
  <c r="AN8" i="13"/>
  <c r="AO8" i="13" s="1"/>
  <c r="AP8" i="13" s="1"/>
  <c r="AM12" i="13" a="1"/>
  <c r="AB12" i="13"/>
  <c r="AJ12" i="13"/>
  <c r="AL12" i="13" s="1"/>
  <c r="AU23" i="13"/>
  <c r="AR24" i="13"/>
  <c r="AV24" i="13" s="1"/>
  <c r="BH24" i="13"/>
  <c r="AS23" i="13"/>
  <c r="Z13" i="13"/>
  <c r="AA13" i="13" s="1" a="1"/>
  <c r="V23" i="13"/>
  <c r="T24" i="13"/>
  <c r="R24" i="13"/>
  <c r="V24" i="13" s="1"/>
  <c r="AC24" i="13" a="1"/>
  <c r="BJ24" i="13" s="1"/>
  <c r="AD24" i="13" a="1"/>
  <c r="BK24" i="13" s="1"/>
  <c r="BF13" i="13"/>
  <c r="BC14" i="13" s="1"/>
  <c r="BD14" i="13" s="1"/>
  <c r="BG14" i="13" s="1"/>
  <c r="AZ22" i="13"/>
  <c r="BA22" i="13"/>
  <c r="P13" i="13"/>
  <c r="U25" i="13"/>
  <c r="N13" i="13"/>
  <c r="X23" i="13" l="1"/>
  <c r="BI24" i="13"/>
  <c r="W24" i="13"/>
  <c r="X24" i="13" s="1"/>
  <c r="AX23" i="13"/>
  <c r="AW24" i="13"/>
  <c r="BO22" i="13"/>
  <c r="BN24" i="13"/>
  <c r="AG25" i="13" a="1"/>
  <c r="AF25" i="13" a="1"/>
  <c r="L26" i="13"/>
  <c r="BB26" i="13" s="1"/>
  <c r="BL24" i="13"/>
  <c r="M8" i="13"/>
  <c r="O8" i="13" s="1"/>
  <c r="AM13" i="13" a="1"/>
  <c r="AJ13" i="13"/>
  <c r="AL13" i="13" s="1"/>
  <c r="AB13" i="13"/>
  <c r="AU24" i="13"/>
  <c r="AR25" i="13"/>
  <c r="AV25" i="13" s="1"/>
  <c r="BH25" i="13"/>
  <c r="AS24" i="13"/>
  <c r="BE14" i="13"/>
  <c r="Y14" i="13"/>
  <c r="AY23" i="13"/>
  <c r="T25" i="13"/>
  <c r="R25" i="13"/>
  <c r="V25" i="13" s="1"/>
  <c r="AD25" i="13" a="1"/>
  <c r="BK25" i="13" s="1"/>
  <c r="AC25" i="13" a="1"/>
  <c r="BJ25" i="13" s="1"/>
  <c r="U26" i="13"/>
  <c r="AY24" i="13"/>
  <c r="BI25" i="13" l="1"/>
  <c r="W25" i="13"/>
  <c r="X25" i="13" s="1"/>
  <c r="AX24" i="13"/>
  <c r="AW25" i="13"/>
  <c r="BN25" i="13"/>
  <c r="BO23" i="13"/>
  <c r="AF26" i="13" a="1"/>
  <c r="AG26" i="13" a="1"/>
  <c r="L27" i="13"/>
  <c r="BL25" i="13"/>
  <c r="AH9" i="13"/>
  <c r="AI9" i="13" s="1"/>
  <c r="AE10" i="13" s="1"/>
  <c r="BM10" i="13" s="1"/>
  <c r="AU25" i="13"/>
  <c r="AR26" i="13"/>
  <c r="AV26" i="13" s="1"/>
  <c r="BH26" i="13"/>
  <c r="AZ23" i="13"/>
  <c r="BA23" i="13"/>
  <c r="AS25" i="13"/>
  <c r="Z14" i="13"/>
  <c r="AA14" i="13" s="1" a="1"/>
  <c r="R26" i="13"/>
  <c r="V26" i="13" s="1"/>
  <c r="AC26" i="13" a="1"/>
  <c r="BJ26" i="13" s="1"/>
  <c r="T26" i="13"/>
  <c r="AD26" i="13" a="1"/>
  <c r="BK26" i="13" s="1"/>
  <c r="BF14" i="13"/>
  <c r="BC15" i="13" s="1"/>
  <c r="AZ24" i="13"/>
  <c r="BA24" i="13"/>
  <c r="P14" i="13"/>
  <c r="AY25" i="13"/>
  <c r="N14" i="13"/>
  <c r="BH27" i="13" l="1"/>
  <c r="BI27" i="13" s="1"/>
  <c r="BB27" i="13"/>
  <c r="W27" i="13"/>
  <c r="BI26" i="13"/>
  <c r="W26" i="13"/>
  <c r="X26" i="13" s="1"/>
  <c r="AX25" i="13"/>
  <c r="AW26" i="13"/>
  <c r="BO24" i="13"/>
  <c r="BN26" i="13"/>
  <c r="AG27" i="13" a="1"/>
  <c r="AF27" i="13" a="1"/>
  <c r="L28" i="13"/>
  <c r="BB28" i="13" s="1"/>
  <c r="BL26" i="13"/>
  <c r="AN9" i="13"/>
  <c r="AO9" i="13" s="1"/>
  <c r="AP9" i="13" s="1"/>
  <c r="AK9" i="13"/>
  <c r="AM14" i="13" a="1"/>
  <c r="AB14" i="13"/>
  <c r="AJ14" i="13"/>
  <c r="AL14" i="13" s="1"/>
  <c r="AU26" i="13"/>
  <c r="AR27" i="13"/>
  <c r="AV27" i="13" s="1"/>
  <c r="T27" i="13"/>
  <c r="AS26" i="13"/>
  <c r="R27" i="13"/>
  <c r="BE15" i="13"/>
  <c r="BD15" i="13"/>
  <c r="BG15" i="13" s="1"/>
  <c r="Y15" i="13" s="1"/>
  <c r="AC27" i="13" a="1"/>
  <c r="BJ27" i="13" s="1"/>
  <c r="AD27" i="13" a="1"/>
  <c r="BK27" i="13" s="1"/>
  <c r="AZ25" i="13"/>
  <c r="BA25" i="13"/>
  <c r="AY26" i="13"/>
  <c r="AW27" i="13" l="1"/>
  <c r="AX26" i="13"/>
  <c r="BN27" i="13"/>
  <c r="BO25" i="13"/>
  <c r="AF28" i="13" a="1"/>
  <c r="AG28" i="13" a="1"/>
  <c r="L29" i="13"/>
  <c r="BB29" i="13" s="1"/>
  <c r="BL27" i="13"/>
  <c r="M9" i="13"/>
  <c r="O9" i="13" s="1"/>
  <c r="AR28" i="13"/>
  <c r="AV28" i="13" s="1"/>
  <c r="BH28" i="13"/>
  <c r="AU27" i="13"/>
  <c r="AS27" i="13"/>
  <c r="AD28" i="13" a="1"/>
  <c r="BK28" i="13" s="1"/>
  <c r="AC28" i="13" a="1"/>
  <c r="BJ28" i="13" s="1"/>
  <c r="T28" i="13"/>
  <c r="R28" i="13"/>
  <c r="P15" i="13"/>
  <c r="BF15" i="13"/>
  <c r="BC16" i="13" s="1"/>
  <c r="AZ26" i="13"/>
  <c r="BA26" i="13"/>
  <c r="N15" i="13"/>
  <c r="BI28" i="13" l="1"/>
  <c r="W28" i="13"/>
  <c r="AW28" i="13"/>
  <c r="AX27" i="13"/>
  <c r="BN28" i="13"/>
  <c r="BO26" i="13"/>
  <c r="AF29" i="13" a="1"/>
  <c r="AG29" i="13" a="1"/>
  <c r="L30" i="13"/>
  <c r="BB30" i="13" s="1"/>
  <c r="BL28" i="13"/>
  <c r="AH10" i="13"/>
  <c r="AI10" i="13" s="1"/>
  <c r="AE11" i="13" s="1"/>
  <c r="BM11" i="13" s="1"/>
  <c r="AU28" i="13"/>
  <c r="AR29" i="13"/>
  <c r="AV29" i="13" s="1"/>
  <c r="BH29" i="13"/>
  <c r="AS28" i="13"/>
  <c r="T29" i="13"/>
  <c r="AC29" i="13" a="1"/>
  <c r="BJ29" i="13" s="1"/>
  <c r="R29" i="13"/>
  <c r="AD29" i="13" a="1"/>
  <c r="BK29" i="13" s="1"/>
  <c r="BE16" i="13"/>
  <c r="BD16" i="13"/>
  <c r="BG16" i="13" s="1"/>
  <c r="Y16" i="13" s="1"/>
  <c r="Z15" i="13"/>
  <c r="AA15" i="13" s="1" a="1"/>
  <c r="BI29" i="13" l="1"/>
  <c r="W29" i="13"/>
  <c r="AW29" i="13"/>
  <c r="AX28" i="13"/>
  <c r="BN29" i="13"/>
  <c r="BO27" i="13"/>
  <c r="AF30" i="13" a="1"/>
  <c r="AG30" i="13" a="1"/>
  <c r="L31" i="13"/>
  <c r="BB31" i="13" s="1"/>
  <c r="BL29" i="13"/>
  <c r="AK10" i="13"/>
  <c r="AN10" i="13"/>
  <c r="AO10" i="13" s="1"/>
  <c r="AP10" i="13" s="1"/>
  <c r="AM15" i="13" a="1"/>
  <c r="AB15" i="13"/>
  <c r="AJ15" i="13"/>
  <c r="AL15" i="13" s="1"/>
  <c r="AU29" i="13"/>
  <c r="AR30" i="13"/>
  <c r="AV30" i="13" s="1"/>
  <c r="BH30" i="13"/>
  <c r="AS29" i="13"/>
  <c r="AC30" i="13" a="1"/>
  <c r="BJ30" i="13" s="1"/>
  <c r="AD30" i="13" a="1"/>
  <c r="BK30" i="13" s="1"/>
  <c r="T30" i="13"/>
  <c r="R30" i="13"/>
  <c r="Z16" i="13"/>
  <c r="AA16" i="13" s="1" a="1"/>
  <c r="BF16" i="13"/>
  <c r="BC17" i="13" s="1"/>
  <c r="P16" i="13"/>
  <c r="N16" i="13"/>
  <c r="BI30" i="13" l="1"/>
  <c r="W30" i="13"/>
  <c r="AX29" i="13"/>
  <c r="AW30" i="13"/>
  <c r="BN30" i="13"/>
  <c r="BO28" i="13"/>
  <c r="AG31" i="13" a="1"/>
  <c r="AF31" i="13" a="1"/>
  <c r="L32" i="13"/>
  <c r="BB32" i="13" s="1"/>
  <c r="BL30" i="13"/>
  <c r="M10" i="13"/>
  <c r="O10" i="13" s="1"/>
  <c r="AM16" i="13" a="1"/>
  <c r="AJ16" i="13"/>
  <c r="AL16" i="13" s="1"/>
  <c r="AB16" i="13"/>
  <c r="AU30" i="13"/>
  <c r="AR31" i="13"/>
  <c r="AV31" i="13" s="1"/>
  <c r="BH31" i="13"/>
  <c r="R31" i="13"/>
  <c r="AS30" i="13"/>
  <c r="AD31" i="13" a="1"/>
  <c r="BK31" i="13" s="1"/>
  <c r="T31" i="13"/>
  <c r="U31" i="13" s="1"/>
  <c r="U32" i="13" s="1"/>
  <c r="AC31" i="13" a="1"/>
  <c r="BJ31" i="13" s="1"/>
  <c r="BE17" i="13"/>
  <c r="BD17" i="13"/>
  <c r="BG17" i="13" s="1"/>
  <c r="BI31" i="13" l="1"/>
  <c r="W31" i="13"/>
  <c r="AW31" i="13"/>
  <c r="AX30" i="13"/>
  <c r="BO29" i="13"/>
  <c r="BN31" i="13"/>
  <c r="AF32" i="13" a="1"/>
  <c r="AG32" i="13" a="1"/>
  <c r="L33" i="13"/>
  <c r="BB33" i="13" s="1"/>
  <c r="BL31" i="13"/>
  <c r="AH11" i="13"/>
  <c r="AI11" i="13" s="1"/>
  <c r="AE12" i="13" s="1"/>
  <c r="BM12" i="13" s="1"/>
  <c r="AU31" i="13"/>
  <c r="AR32" i="13"/>
  <c r="AV32" i="13" s="1"/>
  <c r="BH32" i="13"/>
  <c r="AS31" i="13"/>
  <c r="R32" i="13"/>
  <c r="V32" i="13" s="1"/>
  <c r="AD32" i="13" a="1"/>
  <c r="BK32" i="13" s="1"/>
  <c r="AC32" i="13" a="1"/>
  <c r="BJ32" i="13" s="1"/>
  <c r="T32" i="13"/>
  <c r="V31" i="13"/>
  <c r="AY31" i="13" s="1"/>
  <c r="BF17" i="13"/>
  <c r="BC18" i="13" s="1"/>
  <c r="BE18" i="13" s="1"/>
  <c r="Y17" i="13"/>
  <c r="U33" i="13"/>
  <c r="N17" i="13"/>
  <c r="BI32" i="13" l="1"/>
  <c r="W32" i="13"/>
  <c r="X32" i="13" s="1"/>
  <c r="AX31" i="13"/>
  <c r="AW32" i="13"/>
  <c r="BN32" i="13"/>
  <c r="BO30" i="13"/>
  <c r="AG33" i="13" a="1"/>
  <c r="AF33" i="13" a="1"/>
  <c r="L34" i="13"/>
  <c r="BL32" i="13"/>
  <c r="AK11" i="13"/>
  <c r="AN11" i="13"/>
  <c r="AO11" i="13" s="1"/>
  <c r="AP11" i="13" s="1"/>
  <c r="AU32" i="13"/>
  <c r="AR33" i="13"/>
  <c r="AV33" i="13" s="1"/>
  <c r="BH33" i="13"/>
  <c r="AS32" i="13"/>
  <c r="AD33" i="13" a="1"/>
  <c r="BK33" i="13" s="1"/>
  <c r="R33" i="13"/>
  <c r="V33" i="13" s="1"/>
  <c r="AC33" i="13" a="1"/>
  <c r="BJ33" i="13" s="1"/>
  <c r="T33" i="13"/>
  <c r="X31" i="13"/>
  <c r="BD18" i="13"/>
  <c r="BG18" i="13" s="1"/>
  <c r="Y18" i="13" s="1"/>
  <c r="P17" i="13"/>
  <c r="AZ31" i="13"/>
  <c r="BA31" i="13"/>
  <c r="U34" i="13"/>
  <c r="AY32" i="13"/>
  <c r="BH34" i="13" l="1"/>
  <c r="BB34" i="13"/>
  <c r="BI34" i="13"/>
  <c r="W34" i="13"/>
  <c r="BI33" i="13"/>
  <c r="W33" i="13"/>
  <c r="X33" i="13" s="1"/>
  <c r="AW33" i="13"/>
  <c r="AX32" i="13"/>
  <c r="BO31" i="13"/>
  <c r="BN33" i="13"/>
  <c r="AG34" i="13" a="1"/>
  <c r="AF34" i="13" a="1"/>
  <c r="L35" i="13"/>
  <c r="BB35" i="13" s="1"/>
  <c r="BL33" i="13"/>
  <c r="M11" i="13"/>
  <c r="O11" i="13" s="1"/>
  <c r="Z18" i="13"/>
  <c r="AA18" i="13" s="1" a="1"/>
  <c r="AU33" i="13"/>
  <c r="AR34" i="13"/>
  <c r="AV34" i="13" s="1"/>
  <c r="T34" i="13"/>
  <c r="AS33" i="13"/>
  <c r="R34" i="13"/>
  <c r="V34" i="13" s="1"/>
  <c r="AC34" i="13" a="1"/>
  <c r="BJ34" i="13" s="1"/>
  <c r="AD34" i="13" a="1"/>
  <c r="BK34" i="13" s="1"/>
  <c r="P18" i="13"/>
  <c r="BF18" i="13"/>
  <c r="BC19" i="13" s="1"/>
  <c r="BD19" i="13" s="1"/>
  <c r="BG19" i="13" s="1"/>
  <c r="Y19" i="13" s="1"/>
  <c r="Z17" i="13"/>
  <c r="AA17" i="13" s="1" a="1"/>
  <c r="AZ32" i="13"/>
  <c r="BA32" i="13"/>
  <c r="AY33" i="13"/>
  <c r="N18" i="13"/>
  <c r="AX33" i="13" l="1"/>
  <c r="AW34" i="13"/>
  <c r="BO32" i="13"/>
  <c r="BN34" i="13"/>
  <c r="AF35" i="13" a="1"/>
  <c r="AG35" i="13" a="1"/>
  <c r="L36" i="13"/>
  <c r="BL34" i="13"/>
  <c r="AH12" i="13"/>
  <c r="AI12" i="13" s="1"/>
  <c r="AE13" i="13" s="1"/>
  <c r="BM13" i="13" s="1"/>
  <c r="AB18" i="13"/>
  <c r="AM18" i="13" a="1"/>
  <c r="AM17" i="13" a="1"/>
  <c r="AB17" i="13"/>
  <c r="AJ17" i="13"/>
  <c r="AC35" i="13" a="1"/>
  <c r="BJ35" i="13" s="1"/>
  <c r="BH35" i="13"/>
  <c r="AU34" i="13"/>
  <c r="AR35" i="13"/>
  <c r="AV35" i="13" s="1"/>
  <c r="T35" i="13"/>
  <c r="U35" i="13" s="1"/>
  <c r="U36" i="13" s="1"/>
  <c r="R35" i="13"/>
  <c r="AD35" i="13" a="1"/>
  <c r="BK35" i="13" s="1"/>
  <c r="AS34" i="13"/>
  <c r="BE19" i="13"/>
  <c r="BF19" i="13" s="1"/>
  <c r="BC20" i="13" s="1"/>
  <c r="Z19" i="13"/>
  <c r="AA19" i="13" s="1" a="1"/>
  <c r="AZ33" i="13"/>
  <c r="BA33" i="13"/>
  <c r="P19" i="13"/>
  <c r="AY34" i="13"/>
  <c r="X34" i="13"/>
  <c r="BH36" i="13" l="1"/>
  <c r="BB36" i="13"/>
  <c r="BI35" i="13"/>
  <c r="W35" i="13"/>
  <c r="AW35" i="13"/>
  <c r="AX34" i="13"/>
  <c r="BO33" i="13"/>
  <c r="BN35" i="13"/>
  <c r="AF36" i="13" a="1"/>
  <c r="AG36" i="13" a="1"/>
  <c r="L37" i="13"/>
  <c r="BB37" i="13" s="1"/>
  <c r="BL35" i="13"/>
  <c r="AK12" i="13"/>
  <c r="AN12" i="13"/>
  <c r="AO12" i="13" s="1"/>
  <c r="AP12" i="13" s="1"/>
  <c r="AM19" i="13" a="1"/>
  <c r="AJ18" i="13"/>
  <c r="AL17" i="13"/>
  <c r="AB19" i="13"/>
  <c r="AU35" i="13"/>
  <c r="V35" i="13"/>
  <c r="AR36" i="13"/>
  <c r="AV36" i="13" s="1"/>
  <c r="T36" i="13"/>
  <c r="AC36" i="13" a="1"/>
  <c r="BJ36" i="13" s="1"/>
  <c r="AD36" i="13" a="1"/>
  <c r="BK36" i="13" s="1"/>
  <c r="R36" i="13"/>
  <c r="V36" i="13" s="1"/>
  <c r="AS35" i="13"/>
  <c r="BE20" i="13"/>
  <c r="BD20" i="13"/>
  <c r="BG20" i="13" s="1"/>
  <c r="Y20" i="13" s="1"/>
  <c r="AZ34" i="13"/>
  <c r="BA34" i="13"/>
  <c r="U37" i="13"/>
  <c r="N19" i="13"/>
  <c r="BI36" i="13" l="1"/>
  <c r="W36" i="13"/>
  <c r="X36" i="13" s="1"/>
  <c r="AW36" i="13"/>
  <c r="AX35" i="13"/>
  <c r="BO34" i="13"/>
  <c r="BN36" i="13"/>
  <c r="AG37" i="13" a="1"/>
  <c r="AF37" i="13" a="1"/>
  <c r="L38" i="13"/>
  <c r="BL36" i="13"/>
  <c r="M12" i="13"/>
  <c r="O12" i="13" s="1"/>
  <c r="AL18" i="13"/>
  <c r="AJ19" i="13"/>
  <c r="AL19" i="13" s="1"/>
  <c r="BH37" i="13"/>
  <c r="AU36" i="13"/>
  <c r="AR37" i="13"/>
  <c r="AV37" i="13" s="1"/>
  <c r="T37" i="13"/>
  <c r="AC37" i="13" a="1"/>
  <c r="BJ37" i="13" s="1"/>
  <c r="AD37" i="13" a="1"/>
  <c r="BK37" i="13" s="1"/>
  <c r="R37" i="13"/>
  <c r="V37" i="13" s="1"/>
  <c r="X35" i="13"/>
  <c r="AY35" i="13"/>
  <c r="AS36" i="13"/>
  <c r="P20" i="13"/>
  <c r="BF20" i="13"/>
  <c r="BC21" i="13" s="1"/>
  <c r="U38" i="13"/>
  <c r="AY36" i="13"/>
  <c r="BH38" i="13" l="1"/>
  <c r="BB38" i="13"/>
  <c r="BI37" i="13"/>
  <c r="W37" i="13"/>
  <c r="X37" i="13" s="1"/>
  <c r="AW37" i="13"/>
  <c r="AX36" i="13"/>
  <c r="BO35" i="13"/>
  <c r="BN37" i="13"/>
  <c r="AF38" i="13" a="1"/>
  <c r="AG38" i="13" a="1"/>
  <c r="L39" i="13"/>
  <c r="BL37" i="13"/>
  <c r="AH13" i="13"/>
  <c r="AI13" i="13" s="1"/>
  <c r="AE14" i="13" s="1"/>
  <c r="BM14" i="13" s="1"/>
  <c r="AC38" i="13" a="1"/>
  <c r="BJ38" i="13" s="1"/>
  <c r="BA35" i="13"/>
  <c r="AZ35" i="13"/>
  <c r="AU37" i="13"/>
  <c r="T38" i="13"/>
  <c r="AR38" i="13"/>
  <c r="AV38" i="13" s="1"/>
  <c r="AD38" i="13" a="1"/>
  <c r="BK38" i="13" s="1"/>
  <c r="R38" i="13"/>
  <c r="V38" i="13" s="1"/>
  <c r="AS37" i="13"/>
  <c r="BE21" i="13"/>
  <c r="BD21" i="13"/>
  <c r="BG21" i="13" s="1"/>
  <c r="Y21" i="13" s="1"/>
  <c r="Z20" i="13"/>
  <c r="AA20" i="13" s="1" a="1"/>
  <c r="AZ36" i="13"/>
  <c r="BA36" i="13"/>
  <c r="AY37" i="13"/>
  <c r="BI38" i="13" l="1"/>
  <c r="W38" i="13"/>
  <c r="X38" i="13" s="1"/>
  <c r="BH39" i="13"/>
  <c r="BB39" i="13"/>
  <c r="BI39" i="13"/>
  <c r="W39" i="13"/>
  <c r="AX37" i="13"/>
  <c r="AW38" i="13"/>
  <c r="BN38" i="13"/>
  <c r="BO36" i="13"/>
  <c r="AF39" i="13" a="1"/>
  <c r="AG39" i="13" a="1"/>
  <c r="L40" i="13"/>
  <c r="BL38" i="13"/>
  <c r="AK13" i="13"/>
  <c r="AN13" i="13"/>
  <c r="AO13" i="13" s="1"/>
  <c r="AP13" i="13" s="1"/>
  <c r="AM20" i="13" a="1"/>
  <c r="AB20" i="13"/>
  <c r="AJ20" i="13"/>
  <c r="AL20" i="13" s="1"/>
  <c r="T39" i="13"/>
  <c r="U39" i="13" s="1"/>
  <c r="AC39" i="13" a="1"/>
  <c r="BJ39" i="13" s="1"/>
  <c r="AD39" i="13" a="1"/>
  <c r="BK39" i="13" s="1"/>
  <c r="R39" i="13"/>
  <c r="AU38" i="13"/>
  <c r="AR39" i="13"/>
  <c r="AV39" i="13" s="1"/>
  <c r="AS38" i="13"/>
  <c r="Z21" i="13"/>
  <c r="AA21" i="13" s="1" a="1"/>
  <c r="BF21" i="13"/>
  <c r="BC22" i="13" s="1"/>
  <c r="AZ37" i="13"/>
  <c r="BA37" i="13"/>
  <c r="P21" i="13"/>
  <c r="AY38" i="13"/>
  <c r="BH40" i="13" l="1"/>
  <c r="BI40" i="13" s="1"/>
  <c r="BB40" i="13"/>
  <c r="W40" i="13"/>
  <c r="AX38" i="13"/>
  <c r="AW39" i="13"/>
  <c r="BN39" i="13"/>
  <c r="BO37" i="13"/>
  <c r="AF40" i="13" a="1"/>
  <c r="AG40" i="13" a="1"/>
  <c r="L41" i="13"/>
  <c r="BB41" i="13" s="1"/>
  <c r="BL39" i="13"/>
  <c r="M13" i="13"/>
  <c r="O13" i="13" s="1"/>
  <c r="AM21" i="13" a="1"/>
  <c r="AB21" i="13"/>
  <c r="AJ21" i="13"/>
  <c r="AL21" i="13" s="1"/>
  <c r="V39" i="13"/>
  <c r="U40" i="13"/>
  <c r="AU39" i="13"/>
  <c r="T40" i="13"/>
  <c r="R40" i="13"/>
  <c r="AR40" i="13"/>
  <c r="AV40" i="13" s="1"/>
  <c r="AC40" i="13" a="1"/>
  <c r="BJ40" i="13" s="1"/>
  <c r="AD40" i="13" a="1"/>
  <c r="BK40" i="13" s="1"/>
  <c r="AS39" i="13"/>
  <c r="BE22" i="13"/>
  <c r="BD22" i="13"/>
  <c r="BG22" i="13" s="1"/>
  <c r="Y22" i="13" s="1"/>
  <c r="AZ38" i="13"/>
  <c r="BA38" i="13"/>
  <c r="AW40" i="13" l="1"/>
  <c r="AX39" i="13"/>
  <c r="BN40" i="13"/>
  <c r="BO38" i="13"/>
  <c r="AF41" i="13" a="1"/>
  <c r="AG41" i="13" a="1"/>
  <c r="L42" i="13"/>
  <c r="BL40" i="13"/>
  <c r="AH14" i="13"/>
  <c r="AI14" i="13" s="1"/>
  <c r="AE15" i="13" s="1"/>
  <c r="BM15" i="13" s="1"/>
  <c r="BH41" i="13"/>
  <c r="AY39" i="13"/>
  <c r="X39" i="13"/>
  <c r="V40" i="13"/>
  <c r="U41" i="13"/>
  <c r="U42" i="13" s="1"/>
  <c r="T41" i="13"/>
  <c r="AC41" i="13" a="1"/>
  <c r="BJ41" i="13" s="1"/>
  <c r="AU40" i="13"/>
  <c r="AR41" i="13"/>
  <c r="AV41" i="13" s="1"/>
  <c r="AD41" i="13" a="1"/>
  <c r="BK41" i="13" s="1"/>
  <c r="R41" i="13"/>
  <c r="AS40" i="13"/>
  <c r="Z22" i="13"/>
  <c r="AA22" i="13" s="1" a="1"/>
  <c r="BF22" i="13"/>
  <c r="BC23" i="13" s="1"/>
  <c r="P22" i="13"/>
  <c r="BH42" i="13" l="1"/>
  <c r="BB42" i="13"/>
  <c r="BI42" i="13"/>
  <c r="W42" i="13"/>
  <c r="BI41" i="13"/>
  <c r="W41" i="13"/>
  <c r="AW41" i="13"/>
  <c r="AX40" i="13"/>
  <c r="BO39" i="13"/>
  <c r="BN41" i="13"/>
  <c r="AG42" i="13" a="1"/>
  <c r="AF42" i="13" a="1"/>
  <c r="L43" i="13"/>
  <c r="BL41" i="13"/>
  <c r="AK14" i="13"/>
  <c r="AN14" i="13"/>
  <c r="AO14" i="13" s="1"/>
  <c r="AP14" i="13" s="1"/>
  <c r="AM22" i="13" a="1"/>
  <c r="AB22" i="13"/>
  <c r="AJ22" i="13"/>
  <c r="AL22" i="13" s="1"/>
  <c r="AZ39" i="13"/>
  <c r="BA39" i="13"/>
  <c r="AR42" i="13"/>
  <c r="AV42" i="13" s="1"/>
  <c r="T42" i="13"/>
  <c r="AC42" i="13" a="1"/>
  <c r="BJ42" i="13" s="1"/>
  <c r="AD42" i="13" a="1"/>
  <c r="BK42" i="13" s="1"/>
  <c r="R42" i="13"/>
  <c r="V42" i="13" s="1"/>
  <c r="V41" i="13"/>
  <c r="AY40" i="13"/>
  <c r="X40" i="13"/>
  <c r="AU41" i="13"/>
  <c r="AS41" i="13"/>
  <c r="BE23" i="13"/>
  <c r="BD23" i="13"/>
  <c r="BG23" i="13" s="1"/>
  <c r="Y23" i="13" s="1"/>
  <c r="N22" i="13"/>
  <c r="BH43" i="13" l="1"/>
  <c r="BB43" i="13"/>
  <c r="BI43" i="13"/>
  <c r="W43" i="13"/>
  <c r="AX41" i="13"/>
  <c r="AW42" i="13"/>
  <c r="BN42" i="13"/>
  <c r="BO40" i="13"/>
  <c r="AG43" i="13" a="1"/>
  <c r="AF43" i="13" a="1"/>
  <c r="L44" i="13"/>
  <c r="BL42" i="13"/>
  <c r="M14" i="13"/>
  <c r="O14" i="13" s="1"/>
  <c r="X41" i="13"/>
  <c r="AY41" i="13"/>
  <c r="AR43" i="13"/>
  <c r="AV43" i="13" s="1"/>
  <c r="R43" i="13"/>
  <c r="AC43" i="13" a="1"/>
  <c r="BJ43" i="13" s="1"/>
  <c r="AD43" i="13" a="1"/>
  <c r="BK43" i="13" s="1"/>
  <c r="T43" i="13"/>
  <c r="U43" i="13" s="1"/>
  <c r="AU42" i="13"/>
  <c r="AZ40" i="13"/>
  <c r="BA40" i="13"/>
  <c r="AS42" i="13"/>
  <c r="Z23" i="13"/>
  <c r="AA23" i="13" s="1" a="1"/>
  <c r="BF23" i="13"/>
  <c r="BC24" i="13" s="1"/>
  <c r="P23" i="13"/>
  <c r="AY42" i="13"/>
  <c r="X42" i="13"/>
  <c r="BH44" i="13" l="1"/>
  <c r="BB44" i="13"/>
  <c r="BI44" i="13"/>
  <c r="W44" i="13"/>
  <c r="AW43" i="13"/>
  <c r="AX42" i="13"/>
  <c r="BN43" i="13"/>
  <c r="BO41" i="13"/>
  <c r="AG44" i="13" a="1"/>
  <c r="AF44" i="13" a="1"/>
  <c r="L45" i="13"/>
  <c r="BL43" i="13"/>
  <c r="AH15" i="13"/>
  <c r="AI15" i="13" s="1"/>
  <c r="AE16" i="13" s="1"/>
  <c r="BM16" i="13" s="1"/>
  <c r="AM23" i="13" a="1"/>
  <c r="AB23" i="13"/>
  <c r="AJ23" i="13"/>
  <c r="AL23" i="13" s="1"/>
  <c r="AZ41" i="13"/>
  <c r="BA41" i="13"/>
  <c r="AU43" i="13"/>
  <c r="T44" i="13"/>
  <c r="AR44" i="13"/>
  <c r="AV44" i="13" s="1"/>
  <c r="AC44" i="13" a="1"/>
  <c r="BJ44" i="13" s="1"/>
  <c r="AD44" i="13" a="1"/>
  <c r="BK44" i="13" s="1"/>
  <c r="R44" i="13"/>
  <c r="U44" i="13"/>
  <c r="V43" i="13"/>
  <c r="AS43" i="13"/>
  <c r="BE24" i="13"/>
  <c r="BD24" i="13"/>
  <c r="BG24" i="13" s="1"/>
  <c r="Y24" i="13" s="1"/>
  <c r="AZ42" i="13"/>
  <c r="BA42" i="13"/>
  <c r="N23" i="13"/>
  <c r="BH45" i="13" l="1"/>
  <c r="BB45" i="13"/>
  <c r="BI45" i="13"/>
  <c r="W45" i="13"/>
  <c r="AX43" i="13"/>
  <c r="AW44" i="13"/>
  <c r="BN44" i="13"/>
  <c r="BO42" i="13"/>
  <c r="AF45" i="13" a="1"/>
  <c r="AG45" i="13" a="1"/>
  <c r="L46" i="13"/>
  <c r="BL44" i="13"/>
  <c r="AK15" i="13"/>
  <c r="AN15" i="13"/>
  <c r="AO15" i="13" s="1"/>
  <c r="AP15" i="13" s="1"/>
  <c r="AU44" i="13"/>
  <c r="AR45" i="13"/>
  <c r="AV45" i="13" s="1"/>
  <c r="T45" i="13"/>
  <c r="AC45" i="13" a="1"/>
  <c r="BJ45" i="13" s="1"/>
  <c r="AD45" i="13" a="1"/>
  <c r="BK45" i="13" s="1"/>
  <c r="R45" i="13"/>
  <c r="U45" i="13"/>
  <c r="V44" i="13"/>
  <c r="AY43" i="13"/>
  <c r="X43" i="13"/>
  <c r="AS44" i="13"/>
  <c r="Z24" i="13"/>
  <c r="AA24" i="13" s="1" a="1"/>
  <c r="BF24" i="13"/>
  <c r="BC25" i="13" s="1"/>
  <c r="P24" i="13"/>
  <c r="BH46" i="13" l="1"/>
  <c r="BB46" i="13"/>
  <c r="BI46" i="13"/>
  <c r="W46" i="13"/>
  <c r="AX44" i="13"/>
  <c r="AW45" i="13"/>
  <c r="BN45" i="13"/>
  <c r="BO43" i="13"/>
  <c r="AF46" i="13" a="1"/>
  <c r="AG46" i="13" a="1"/>
  <c r="L47" i="13"/>
  <c r="BL45" i="13"/>
  <c r="M15" i="13"/>
  <c r="O15" i="13" s="1"/>
  <c r="AM24" i="13" a="1"/>
  <c r="AB24" i="13"/>
  <c r="AJ24" i="13"/>
  <c r="AL24" i="13" s="1"/>
  <c r="AU45" i="13"/>
  <c r="AR46" i="13"/>
  <c r="AV46" i="13" s="1"/>
  <c r="T46" i="13"/>
  <c r="AC46" i="13" a="1"/>
  <c r="BJ46" i="13" s="1"/>
  <c r="AD46" i="13" a="1"/>
  <c r="BK46" i="13" s="1"/>
  <c r="R46" i="13"/>
  <c r="V45" i="13"/>
  <c r="U46" i="13"/>
  <c r="AY44" i="13"/>
  <c r="X44" i="13"/>
  <c r="AZ43" i="13"/>
  <c r="BA43" i="13"/>
  <c r="AS45" i="13"/>
  <c r="BE25" i="13"/>
  <c r="BD25" i="13"/>
  <c r="BG25" i="13" s="1"/>
  <c r="Y25" i="13" s="1"/>
  <c r="N24" i="13"/>
  <c r="BH47" i="13" l="1"/>
  <c r="BB47" i="13"/>
  <c r="BI47" i="13"/>
  <c r="W47" i="13"/>
  <c r="AX45" i="13"/>
  <c r="AW46" i="13"/>
  <c r="BN46" i="13"/>
  <c r="BO44" i="13"/>
  <c r="AF47" i="13" a="1"/>
  <c r="AG47" i="13" a="1"/>
  <c r="L48" i="13"/>
  <c r="BL46" i="13"/>
  <c r="AH16" i="13"/>
  <c r="AI16" i="13" s="1"/>
  <c r="AE17" i="13" s="1"/>
  <c r="BM17" i="13" s="1"/>
  <c r="V46" i="13"/>
  <c r="AU46" i="13"/>
  <c r="T47" i="13"/>
  <c r="U47" i="13" s="1"/>
  <c r="AD47" i="13" a="1"/>
  <c r="BK47" i="13" s="1"/>
  <c r="AC47" i="13" a="1"/>
  <c r="BJ47" i="13" s="1"/>
  <c r="AZ44" i="13"/>
  <c r="BA44" i="13"/>
  <c r="AR47" i="13"/>
  <c r="AV47" i="13" s="1"/>
  <c r="R47" i="13"/>
  <c r="AY45" i="13"/>
  <c r="X45" i="13"/>
  <c r="AS46" i="13"/>
  <c r="Z25" i="13"/>
  <c r="AA25" i="13" s="1" a="1"/>
  <c r="BF25" i="13"/>
  <c r="BC26" i="13" s="1"/>
  <c r="P25" i="13"/>
  <c r="BH48" i="13" l="1"/>
  <c r="BB48" i="13"/>
  <c r="BI48" i="13"/>
  <c r="W48" i="13"/>
  <c r="BO45" i="13"/>
  <c r="AW47" i="13"/>
  <c r="AX46" i="13"/>
  <c r="BN47" i="13"/>
  <c r="AG48" i="13" a="1"/>
  <c r="AF48" i="13" a="1"/>
  <c r="L49" i="13"/>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T48" i="13"/>
  <c r="AS47" i="13"/>
  <c r="BE26" i="13"/>
  <c r="BD26" i="13"/>
  <c r="BG26" i="13" s="1"/>
  <c r="Y26" i="13" s="1"/>
  <c r="N25" i="13"/>
  <c r="BH49" i="13" l="1"/>
  <c r="BB49" i="13"/>
  <c r="AW48" i="13"/>
  <c r="AX47" i="13"/>
  <c r="BO46" i="13"/>
  <c r="BN48" i="13"/>
  <c r="AF49" i="13" a="1"/>
  <c r="AG49" i="13" a="1"/>
  <c r="L50" i="13"/>
  <c r="BL48" i="13"/>
  <c r="M16" i="13"/>
  <c r="O16" i="13" s="1"/>
  <c r="BA46" i="13"/>
  <c r="AZ46" i="13"/>
  <c r="U49" i="13"/>
  <c r="U50" i="13" s="1"/>
  <c r="V48" i="13"/>
  <c r="AY47" i="13"/>
  <c r="X47" i="13"/>
  <c r="AU48" i="13"/>
  <c r="T49" i="13"/>
  <c r="AR49" i="13"/>
  <c r="AV49" i="13" s="1"/>
  <c r="AC49" i="13" a="1"/>
  <c r="BJ49" i="13" s="1"/>
  <c r="AD49" i="13" a="1"/>
  <c r="BK49" i="13" s="1"/>
  <c r="R49" i="13"/>
  <c r="AS48" i="13"/>
  <c r="Z26" i="13"/>
  <c r="AA26" i="13" s="1" a="1"/>
  <c r="BF26" i="13"/>
  <c r="BC27" i="13" s="1"/>
  <c r="P26" i="13"/>
  <c r="BI49" i="13" l="1"/>
  <c r="W49" i="13"/>
  <c r="BH50" i="13"/>
  <c r="BB50" i="13"/>
  <c r="BI50" i="13"/>
  <c r="W50" i="13"/>
  <c r="AW49" i="13"/>
  <c r="AX48" i="13"/>
  <c r="BN49" i="13"/>
  <c r="BO47" i="13"/>
  <c r="AF50" i="13" a="1"/>
  <c r="AG50" i="13" a="1"/>
  <c r="L51" i="13"/>
  <c r="BL49" i="13"/>
  <c r="AH17" i="13"/>
  <c r="AI17" i="13" s="1"/>
  <c r="AE18" i="13" s="1"/>
  <c r="BM18" i="13" s="1"/>
  <c r="AM26" i="13" a="1"/>
  <c r="AB26" i="13"/>
  <c r="AJ26" i="13"/>
  <c r="AL26" i="13" s="1"/>
  <c r="V49" i="13"/>
  <c r="AY48" i="13"/>
  <c r="X48" i="13"/>
  <c r="AZ47" i="13"/>
  <c r="BA47" i="13"/>
  <c r="AU49" i="13"/>
  <c r="AR50" i="13"/>
  <c r="AV50" i="13" s="1"/>
  <c r="T50" i="13"/>
  <c r="R50" i="13"/>
  <c r="V50" i="13" s="1"/>
  <c r="AC50" i="13" a="1"/>
  <c r="BJ50" i="13" s="1"/>
  <c r="AD50" i="13" a="1"/>
  <c r="BK50" i="13" s="1"/>
  <c r="AS49" i="13"/>
  <c r="BE27" i="13"/>
  <c r="BD27" i="13"/>
  <c r="N26" i="13"/>
  <c r="BH51" i="13" l="1"/>
  <c r="BB51" i="13"/>
  <c r="BI51" i="13"/>
  <c r="W51" i="13"/>
  <c r="AX49" i="13"/>
  <c r="AW50" i="13"/>
  <c r="BN50" i="13"/>
  <c r="BO48" i="13"/>
  <c r="AF51" i="13" a="1"/>
  <c r="AG51" i="13" a="1"/>
  <c r="L52" i="13"/>
  <c r="BL50" i="13"/>
  <c r="AK17" i="13"/>
  <c r="AN17" i="13"/>
  <c r="AO17" i="13" s="1"/>
  <c r="AP17" i="13" s="1"/>
  <c r="X49" i="13"/>
  <c r="AY49" i="13"/>
  <c r="AZ48" i="13"/>
  <c r="BA48" i="13"/>
  <c r="AU50" i="13"/>
  <c r="AR51" i="13"/>
  <c r="AV51" i="13" s="1"/>
  <c r="T51" i="13"/>
  <c r="U51" i="13" s="1"/>
  <c r="AC51" i="13" a="1"/>
  <c r="BJ51" i="13" s="1"/>
  <c r="AD51" i="13" a="1"/>
  <c r="BK51" i="13" s="1"/>
  <c r="R51" i="13"/>
  <c r="BF27" i="13"/>
  <c r="BC28" i="13" s="1"/>
  <c r="BE28" i="13" s="1"/>
  <c r="AS50" i="13"/>
  <c r="AY50" i="13"/>
  <c r="X50" i="13"/>
  <c r="BH52" i="13" l="1"/>
  <c r="BB52" i="13"/>
  <c r="AX50" i="13"/>
  <c r="AW51" i="13"/>
  <c r="BO49" i="13"/>
  <c r="BN51" i="13"/>
  <c r="AF52" i="13" a="1"/>
  <c r="AG52" i="13" a="1"/>
  <c r="L53" i="13"/>
  <c r="BL51" i="13"/>
  <c r="M17" i="13"/>
  <c r="O17" i="13" s="1"/>
  <c r="AZ49" i="13"/>
  <c r="BA49" i="13"/>
  <c r="AU51" i="13"/>
  <c r="V51" i="13"/>
  <c r="U52" i="13"/>
  <c r="AR52" i="13"/>
  <c r="AV52" i="13" s="1"/>
  <c r="T52" i="13"/>
  <c r="AC52" i="13" a="1"/>
  <c r="BJ52" i="13" s="1"/>
  <c r="R52" i="13"/>
  <c r="AD52" i="13" a="1"/>
  <c r="BK52" i="13" s="1"/>
  <c r="BD28" i="13"/>
  <c r="BF28" i="13" s="1"/>
  <c r="BC29" i="13" s="1"/>
  <c r="AS51" i="13"/>
  <c r="AZ50" i="13"/>
  <c r="BA50" i="13"/>
  <c r="N27" i="13"/>
  <c r="BI52" i="13" l="1"/>
  <c r="W52" i="13"/>
  <c r="BH53" i="13"/>
  <c r="BB53" i="13"/>
  <c r="BI53" i="13"/>
  <c r="W53" i="13"/>
  <c r="BO50" i="13"/>
  <c r="AX51" i="13"/>
  <c r="AW52" i="13"/>
  <c r="BN52" i="13"/>
  <c r="AF53" i="13" a="1"/>
  <c r="AG53" i="13" a="1"/>
  <c r="L54" i="13"/>
  <c r="BB54" i="13" s="1"/>
  <c r="BL52" i="13"/>
  <c r="AH18" i="13"/>
  <c r="AI18" i="13" s="1"/>
  <c r="AE19" i="13" s="1"/>
  <c r="BM19" i="13" s="1"/>
  <c r="AY51" i="13"/>
  <c r="X51" i="13"/>
  <c r="AU52" i="13"/>
  <c r="AD53" i="13" a="1"/>
  <c r="BK53" i="13" s="1"/>
  <c r="U53" i="13"/>
  <c r="U54" i="13" s="1"/>
  <c r="V52" i="13"/>
  <c r="T53" i="13"/>
  <c r="AC53" i="13" a="1"/>
  <c r="BJ53" i="13" s="1"/>
  <c r="AR53" i="13"/>
  <c r="AV53" i="13" s="1"/>
  <c r="R53" i="13"/>
  <c r="AS52" i="13"/>
  <c r="BE29" i="13"/>
  <c r="BD29" i="13"/>
  <c r="AW53" i="13" l="1"/>
  <c r="AX52" i="13"/>
  <c r="BO51" i="13"/>
  <c r="BN53" i="13"/>
  <c r="AF54" i="13" a="1"/>
  <c r="AG54" i="13" a="1"/>
  <c r="L55" i="13"/>
  <c r="BL53" i="13"/>
  <c r="AK18" i="13"/>
  <c r="AN18" i="13"/>
  <c r="AO18" i="13" s="1"/>
  <c r="AP18" i="13" s="1"/>
  <c r="BH54" i="13"/>
  <c r="V53" i="13"/>
  <c r="BA51" i="13"/>
  <c r="AZ51" i="13"/>
  <c r="AY52" i="13"/>
  <c r="X52" i="13"/>
  <c r="AU53" i="13"/>
  <c r="AR54" i="13"/>
  <c r="AV54" i="13" s="1"/>
  <c r="AC54" i="13" a="1"/>
  <c r="BJ54" i="13" s="1"/>
  <c r="AD54" i="13" a="1"/>
  <c r="BK54" i="13" s="1"/>
  <c r="R54" i="13"/>
  <c r="V54" i="13" s="1"/>
  <c r="T54" i="13"/>
  <c r="AS53" i="13"/>
  <c r="BF29" i="13"/>
  <c r="BC30" i="13" s="1"/>
  <c r="N28" i="13"/>
  <c r="BH55" i="13" l="1"/>
  <c r="BI55" i="13" s="1"/>
  <c r="BB55" i="13"/>
  <c r="W55" i="13"/>
  <c r="BI54" i="13"/>
  <c r="W54" i="13"/>
  <c r="X54" i="13" s="1"/>
  <c r="AX53" i="13"/>
  <c r="AW54" i="13"/>
  <c r="BN54" i="13"/>
  <c r="BO52" i="13"/>
  <c r="AF55" i="13" a="1"/>
  <c r="AG55" i="13" a="1"/>
  <c r="L56" i="13"/>
  <c r="BL54" i="13"/>
  <c r="M18" i="13"/>
  <c r="O18" i="13" s="1"/>
  <c r="AU54" i="13"/>
  <c r="AY53" i="13"/>
  <c r="X53" i="13"/>
  <c r="AZ52" i="13"/>
  <c r="BA52" i="13"/>
  <c r="AR55" i="13"/>
  <c r="AV55" i="13" s="1"/>
  <c r="T55" i="13"/>
  <c r="U55" i="13" s="1"/>
  <c r="AD55" i="13" a="1"/>
  <c r="BK55" i="13" s="1"/>
  <c r="AC55" i="13" a="1"/>
  <c r="BJ55" i="13" s="1"/>
  <c r="R55" i="13"/>
  <c r="AS54" i="13"/>
  <c r="BE30" i="13"/>
  <c r="BD30" i="13"/>
  <c r="N29" i="13"/>
  <c r="AY54" i="13"/>
  <c r="BH56" i="13" l="1"/>
  <c r="BB56" i="13"/>
  <c r="AW55" i="13"/>
  <c r="AX54" i="13"/>
  <c r="BN55" i="13"/>
  <c r="BO53" i="13"/>
  <c r="AG56" i="13" a="1"/>
  <c r="AF56" i="13" a="1"/>
  <c r="L57" i="13"/>
  <c r="BL55" i="13"/>
  <c r="AH19" i="13"/>
  <c r="AI19" i="13" s="1"/>
  <c r="AE20" i="13" s="1"/>
  <c r="BM20" i="13" s="1"/>
  <c r="AZ53" i="13"/>
  <c r="BA53" i="13"/>
  <c r="AU55" i="13"/>
  <c r="T56" i="13"/>
  <c r="AD56" i="13" a="1"/>
  <c r="BK56" i="13" s="1"/>
  <c r="U56" i="13"/>
  <c r="V55" i="13"/>
  <c r="AR56" i="13"/>
  <c r="AV56" i="13" s="1"/>
  <c r="AC56" i="13" a="1"/>
  <c r="BJ56" i="13" s="1"/>
  <c r="R56" i="13"/>
  <c r="AS55" i="13"/>
  <c r="AZ54" i="13"/>
  <c r="BA54" i="13"/>
  <c r="BF30" i="13"/>
  <c r="BC31" i="13" s="1"/>
  <c r="BI56" i="13" l="1"/>
  <c r="W56" i="13"/>
  <c r="BH57" i="13"/>
  <c r="BB57" i="13"/>
  <c r="BI57" i="13"/>
  <c r="W57" i="13"/>
  <c r="AX55" i="13"/>
  <c r="AW56" i="13"/>
  <c r="BN56" i="13"/>
  <c r="BO54" i="13"/>
  <c r="AF57" i="13" a="1"/>
  <c r="AG57" i="13" a="1"/>
  <c r="L58" i="13"/>
  <c r="BL56" i="13"/>
  <c r="AK19" i="13"/>
  <c r="AN19" i="13"/>
  <c r="AO19" i="13" s="1"/>
  <c r="AP19" i="13" s="1"/>
  <c r="AU56" i="13"/>
  <c r="V56" i="13"/>
  <c r="U57" i="13"/>
  <c r="U58" i="13" s="1"/>
  <c r="AY55" i="13"/>
  <c r="X55" i="13"/>
  <c r="AR57" i="13"/>
  <c r="AV57" i="13" s="1"/>
  <c r="T57" i="13"/>
  <c r="R57" i="13"/>
  <c r="AC57" i="13" a="1"/>
  <c r="BJ57" i="13" s="1"/>
  <c r="AD57" i="13" a="1"/>
  <c r="BK57" i="13" s="1"/>
  <c r="AS56" i="13"/>
  <c r="BE31" i="13"/>
  <c r="BD31" i="13"/>
  <c r="BG31" i="13" s="1"/>
  <c r="Y31" i="13" s="1"/>
  <c r="BH58" i="13" l="1"/>
  <c r="BB58" i="13"/>
  <c r="AX56" i="13"/>
  <c r="AW57" i="13"/>
  <c r="BN57" i="13"/>
  <c r="BO55" i="13"/>
  <c r="AG58" i="13" a="1"/>
  <c r="AF58" i="13" a="1"/>
  <c r="L59" i="13"/>
  <c r="BL57" i="13"/>
  <c r="M19" i="13"/>
  <c r="O19" i="13" s="1"/>
  <c r="V57" i="13"/>
  <c r="AU57" i="13"/>
  <c r="AY56" i="13"/>
  <c r="X56" i="13"/>
  <c r="AZ55" i="13"/>
  <c r="BA55" i="13"/>
  <c r="AR58" i="13"/>
  <c r="AV58" i="13" s="1"/>
  <c r="T58" i="13"/>
  <c r="AD58" i="13" a="1"/>
  <c r="BK58" i="13" s="1"/>
  <c r="R58" i="13"/>
  <c r="V58" i="13" s="1"/>
  <c r="AC58" i="13" a="1"/>
  <c r="BJ58" i="13" s="1"/>
  <c r="AS57" i="13"/>
  <c r="Z31" i="13"/>
  <c r="AA31" i="13" s="1" a="1"/>
  <c r="AB31" i="13" s="1"/>
  <c r="BF31" i="13"/>
  <c r="BC32" i="13" s="1"/>
  <c r="N30" i="13"/>
  <c r="BI58" i="13" l="1"/>
  <c r="W58" i="13"/>
  <c r="X58" i="13" s="1"/>
  <c r="BH59" i="13"/>
  <c r="BB59" i="13"/>
  <c r="BI59" i="13"/>
  <c r="W59" i="13"/>
  <c r="AX57" i="13"/>
  <c r="AW58" i="13"/>
  <c r="BN58" i="13"/>
  <c r="BO56" i="13"/>
  <c r="AF59" i="13" a="1"/>
  <c r="AG59" i="13" a="1"/>
  <c r="L60" i="13"/>
  <c r="BL58" i="13"/>
  <c r="AH20" i="13"/>
  <c r="AI20" i="13" s="1"/>
  <c r="AE21" i="13" s="1"/>
  <c r="BM21" i="13" s="1"/>
  <c r="AY57" i="13"/>
  <c r="X57" i="13"/>
  <c r="AU58" i="13"/>
  <c r="AZ56" i="13"/>
  <c r="BA56" i="13"/>
  <c r="AR59" i="13"/>
  <c r="AV59" i="13" s="1"/>
  <c r="T59" i="13"/>
  <c r="U59" i="13" s="1"/>
  <c r="AD59" i="13" a="1"/>
  <c r="BK59" i="13" s="1"/>
  <c r="AC59" i="13" a="1"/>
  <c r="BJ59" i="13" s="1"/>
  <c r="R59" i="13"/>
  <c r="AS58" i="13"/>
  <c r="BE32" i="13"/>
  <c r="BD32" i="13"/>
  <c r="BG32" i="13" s="1"/>
  <c r="Y32" i="13" s="1"/>
  <c r="P31" i="13"/>
  <c r="AY58" i="13"/>
  <c r="BH60" i="13" l="1"/>
  <c r="BB60" i="13"/>
  <c r="AW59" i="13"/>
  <c r="AX58" i="13"/>
  <c r="BN59" i="13"/>
  <c r="BO57" i="13"/>
  <c r="AG60" i="13" a="1"/>
  <c r="AF60" i="13" a="1"/>
  <c r="L61" i="13"/>
  <c r="BL59" i="13"/>
  <c r="AK20" i="13"/>
  <c r="AN20" i="13"/>
  <c r="AO20" i="13" s="1"/>
  <c r="AP20" i="13" s="1"/>
  <c r="AZ57" i="13"/>
  <c r="BA57" i="13"/>
  <c r="AU59" i="13"/>
  <c r="V59" i="13"/>
  <c r="U60" i="13"/>
  <c r="AR60" i="13"/>
  <c r="AV60" i="13" s="1"/>
  <c r="T60" i="13"/>
  <c r="AC60" i="13" a="1"/>
  <c r="BJ60" i="13" s="1"/>
  <c r="AD60" i="13" a="1"/>
  <c r="BK60" i="13" s="1"/>
  <c r="R60" i="13"/>
  <c r="AS59" i="13"/>
  <c r="Z32" i="13"/>
  <c r="AA32" i="13" s="1" a="1"/>
  <c r="AB32" i="13" s="1"/>
  <c r="AZ58" i="13"/>
  <c r="BA58" i="13"/>
  <c r="P32" i="13"/>
  <c r="BF32" i="13"/>
  <c r="BC33" i="13" s="1"/>
  <c r="N31" i="13"/>
  <c r="BI60" i="13" l="1"/>
  <c r="W60" i="13"/>
  <c r="BH61" i="13"/>
  <c r="BI61" i="13" s="1"/>
  <c r="BB61" i="13"/>
  <c r="W61" i="13"/>
  <c r="AW60" i="13"/>
  <c r="AX59" i="13"/>
  <c r="BN60" i="13"/>
  <c r="BO58" i="13"/>
  <c r="AF61" i="13" a="1"/>
  <c r="AG61" i="13" a="1"/>
  <c r="L62" i="13"/>
  <c r="BL60" i="13"/>
  <c r="M20" i="13"/>
  <c r="AU60" i="13"/>
  <c r="AC61" i="13" a="1"/>
  <c r="BJ61" i="13" s="1"/>
  <c r="R61" i="13"/>
  <c r="AY59" i="13"/>
  <c r="X59" i="13"/>
  <c r="V60" i="13"/>
  <c r="U61" i="13"/>
  <c r="AR61" i="13"/>
  <c r="AV61" i="13" s="1"/>
  <c r="T61" i="13"/>
  <c r="AD61" i="13" a="1"/>
  <c r="BK61" i="13" s="1"/>
  <c r="AS60" i="13"/>
  <c r="BE33" i="13"/>
  <c r="BD33" i="13"/>
  <c r="BG33" i="13" s="1"/>
  <c r="Y33" i="13" s="1"/>
  <c r="BH62" i="13" l="1"/>
  <c r="BB62" i="13"/>
  <c r="BI62" i="13"/>
  <c r="W62" i="13"/>
  <c r="AX60" i="13"/>
  <c r="AW61" i="13"/>
  <c r="BN61" i="13"/>
  <c r="BO59" i="13"/>
  <c r="AF62" i="13" a="1"/>
  <c r="AG62" i="13" a="1"/>
  <c r="L63" i="13"/>
  <c r="BB63" i="13" s="1"/>
  <c r="BL61" i="13"/>
  <c r="AH21" i="13"/>
  <c r="AI21" i="13" s="1"/>
  <c r="AE22" i="13" s="1"/>
  <c r="BM22" i="13" s="1"/>
  <c r="AR62" i="13"/>
  <c r="AV62" i="13" s="1"/>
  <c r="T62" i="13"/>
  <c r="AD62" i="13" a="1"/>
  <c r="BK62" i="13" s="1"/>
  <c r="AC62" i="13" a="1"/>
  <c r="BJ62" i="13" s="1"/>
  <c r="R62" i="13"/>
  <c r="AU61" i="13"/>
  <c r="AZ59" i="13"/>
  <c r="BA59" i="13"/>
  <c r="X60" i="13"/>
  <c r="AY60" i="13"/>
  <c r="U62" i="13"/>
  <c r="V61" i="13"/>
  <c r="AS61" i="13"/>
  <c r="Z33" i="13"/>
  <c r="AA33" i="13" s="1" a="1"/>
  <c r="AB33" i="13" s="1"/>
  <c r="BF33" i="13"/>
  <c r="BC34" i="13" s="1"/>
  <c r="N32" i="13"/>
  <c r="AW62" i="13" l="1"/>
  <c r="AX61" i="13"/>
  <c r="BN62" i="13"/>
  <c r="BO60" i="13"/>
  <c r="AF63" i="13" a="1"/>
  <c r="AG63" i="13" a="1"/>
  <c r="L64" i="13"/>
  <c r="BB64" i="13" s="1"/>
  <c r="BL62" i="13"/>
  <c r="AK21" i="13"/>
  <c r="AN21" i="13"/>
  <c r="AO21" i="13" s="1"/>
  <c r="AP21" i="13" s="1"/>
  <c r="BH63" i="13"/>
  <c r="AU62" i="13"/>
  <c r="V62" i="13"/>
  <c r="AR63" i="13"/>
  <c r="AV63" i="13" s="1"/>
  <c r="T63" i="13"/>
  <c r="U63" i="13" s="1"/>
  <c r="AC63" i="13" a="1"/>
  <c r="BJ63" i="13" s="1"/>
  <c r="AD63" i="13" a="1"/>
  <c r="BK63" i="13" s="1"/>
  <c r="R63" i="13"/>
  <c r="BA60" i="13"/>
  <c r="AZ60" i="13"/>
  <c r="AY61" i="13"/>
  <c r="X61" i="13"/>
  <c r="AS62" i="13"/>
  <c r="BE34" i="13"/>
  <c r="BD34" i="13"/>
  <c r="BG34" i="13" s="1"/>
  <c r="Y34" i="13" s="1"/>
  <c r="P33" i="13"/>
  <c r="BI63" i="13" l="1"/>
  <c r="W63" i="13"/>
  <c r="BO61" i="13"/>
  <c r="AW63" i="13"/>
  <c r="AX62" i="13"/>
  <c r="BN63" i="13"/>
  <c r="AG64" i="13" a="1"/>
  <c r="AF64" i="13" a="1"/>
  <c r="L65" i="13"/>
  <c r="BB65" i="13" s="1"/>
  <c r="BL63" i="13"/>
  <c r="M21" i="13"/>
  <c r="T64" i="13"/>
  <c r="AC64" i="13" a="1"/>
  <c r="BJ64" i="13" s="1"/>
  <c r="AD64" i="13" a="1"/>
  <c r="BK64" i="13" s="1"/>
  <c r="R64" i="13"/>
  <c r="BH64" i="13"/>
  <c r="AR64" i="13"/>
  <c r="AV64" i="13" s="1"/>
  <c r="AY62" i="13"/>
  <c r="X62" i="13"/>
  <c r="AU63" i="13"/>
  <c r="U64" i="13"/>
  <c r="V63" i="13"/>
  <c r="AZ61" i="13"/>
  <c r="BA61" i="13"/>
  <c r="AS63" i="13"/>
  <c r="Z34" i="13"/>
  <c r="AA34" i="13" s="1" a="1"/>
  <c r="AB34" i="13" s="1"/>
  <c r="BF34" i="13"/>
  <c r="BC35" i="13" s="1"/>
  <c r="N33" i="13"/>
  <c r="BI64" i="13" l="1"/>
  <c r="W64" i="13"/>
  <c r="AW64" i="13"/>
  <c r="AX63" i="13"/>
  <c r="BO62" i="13"/>
  <c r="BN64" i="13"/>
  <c r="AG65" i="13" a="1"/>
  <c r="AF65" i="13" a="1"/>
  <c r="L66" i="13"/>
  <c r="BB66" i="13" s="1"/>
  <c r="BL64" i="13"/>
  <c r="AH22" i="13"/>
  <c r="AI22" i="13" s="1"/>
  <c r="AE23" i="13" s="1"/>
  <c r="BM23" i="13" s="1"/>
  <c r="AR65" i="13"/>
  <c r="AV65" i="13" s="1"/>
  <c r="BH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B67" i="13" s="1"/>
  <c r="BL65" i="13"/>
  <c r="AK22" i="13"/>
  <c r="AN22" i="13"/>
  <c r="AO22" i="13" s="1"/>
  <c r="AP22" i="13" s="1"/>
  <c r="AU65" i="13"/>
  <c r="AR66" i="13"/>
  <c r="AV66" i="13" s="1"/>
  <c r="BH66" i="13"/>
  <c r="T66" i="13"/>
  <c r="AD66" i="13" a="1"/>
  <c r="BK66" i="13" s="1"/>
  <c r="AC66" i="13" a="1"/>
  <c r="BJ66" i="13" s="1"/>
  <c r="R66" i="13"/>
  <c r="AY64" i="13"/>
  <c r="X64" i="13"/>
  <c r="BA63" i="13"/>
  <c r="AZ63" i="13"/>
  <c r="U66" i="13"/>
  <c r="V65" i="13"/>
  <c r="AS65" i="13"/>
  <c r="Z35" i="13"/>
  <c r="AA35" i="13" s="1" a="1"/>
  <c r="AB35" i="13" s="1"/>
  <c r="P35" i="13"/>
  <c r="BF35" i="13"/>
  <c r="BC36" i="13" s="1"/>
  <c r="N34" i="13"/>
  <c r="BI66" i="13" l="1"/>
  <c r="W66" i="13"/>
  <c r="AX65" i="13"/>
  <c r="AW66" i="13"/>
  <c r="BO64" i="13"/>
  <c r="BN66" i="13"/>
  <c r="AG67" i="13" a="1"/>
  <c r="AF67" i="13" a="1"/>
  <c r="L68" i="13"/>
  <c r="BB68" i="13" s="1"/>
  <c r="BL66" i="13"/>
  <c r="M22" i="13"/>
  <c r="O22" i="13" s="1"/>
  <c r="BH67" i="13"/>
  <c r="AR67" i="13"/>
  <c r="AV67" i="13" s="1"/>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B69" i="13" s="1"/>
  <c r="BL67" i="13"/>
  <c r="AH23" i="13"/>
  <c r="AI23" i="13" s="1"/>
  <c r="AE24" i="13" s="1"/>
  <c r="BM24" i="13" s="1"/>
  <c r="V67" i="13"/>
  <c r="AU67" i="13"/>
  <c r="AY66" i="13"/>
  <c r="X66" i="13"/>
  <c r="T68" i="13"/>
  <c r="AC68" i="13" a="1"/>
  <c r="BJ68" i="13" s="1"/>
  <c r="AD68" i="13" a="1"/>
  <c r="BK68" i="13" s="1"/>
  <c r="R68" i="13"/>
  <c r="V68" i="13" s="1"/>
  <c r="AZ65" i="13"/>
  <c r="BA65" i="13"/>
  <c r="AS67" i="13"/>
  <c r="Z36" i="13"/>
  <c r="AA36" i="13" s="1" a="1"/>
  <c r="AB36" i="13" s="1"/>
  <c r="U69" i="13"/>
  <c r="BF36" i="13"/>
  <c r="BC37" i="13" s="1"/>
  <c r="N35" i="13"/>
  <c r="BI68" i="13" l="1"/>
  <c r="W68" i="13"/>
  <c r="X68" i="13" s="1"/>
  <c r="AW68" i="13"/>
  <c r="AX67" i="13"/>
  <c r="BO66" i="13"/>
  <c r="BN68" i="13"/>
  <c r="AU68" i="13"/>
  <c r="BH69" i="13"/>
  <c r="AR69" i="13"/>
  <c r="AV69" i="13" s="1"/>
  <c r="T69" i="13"/>
  <c r="AF69" i="13" a="1"/>
  <c r="AG69" i="13" a="1"/>
  <c r="L70" i="13"/>
  <c r="BB70" i="13" s="1"/>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B71" i="13" s="1"/>
  <c r="BL69" i="13"/>
  <c r="M23" i="13"/>
  <c r="O23" i="13" s="1"/>
  <c r="AZ67" i="13"/>
  <c r="BA67" i="13"/>
  <c r="AR70" i="13"/>
  <c r="AV70" i="13" s="1"/>
  <c r="R70" i="13"/>
  <c r="V70" i="13" s="1"/>
  <c r="BH70" i="13"/>
  <c r="T70" i="13"/>
  <c r="AC70" i="13" a="1"/>
  <c r="BJ70" i="13" s="1"/>
  <c r="AD70" i="13" a="1"/>
  <c r="BK70" i="13" s="1"/>
  <c r="AS69" i="13"/>
  <c r="Z37" i="13"/>
  <c r="AA37" i="13" s="1" a="1"/>
  <c r="AB37" i="13" s="1"/>
  <c r="AZ68" i="13"/>
  <c r="BA68" i="13"/>
  <c r="BF37" i="13"/>
  <c r="BC38" i="13" s="1"/>
  <c r="AY69" i="13"/>
  <c r="N36" i="13"/>
  <c r="BI70" i="13" l="1"/>
  <c r="W70" i="13"/>
  <c r="X70" i="13" s="1"/>
  <c r="AX69" i="13"/>
  <c r="AW70" i="13"/>
  <c r="BN70" i="13"/>
  <c r="BO68" i="13"/>
  <c r="AG71" i="13" a="1"/>
  <c r="AF71" i="13" a="1"/>
  <c r="L72" i="13"/>
  <c r="BL70" i="13"/>
  <c r="AH24" i="13"/>
  <c r="AI24" i="13" s="1"/>
  <c r="AE25" i="13" s="1"/>
  <c r="BM25" i="13" s="1"/>
  <c r="AU70" i="13"/>
  <c r="AR71" i="13"/>
  <c r="AV71" i="13" s="1"/>
  <c r="BH71" i="13"/>
  <c r="T71" i="13"/>
  <c r="U71" i="13" s="1"/>
  <c r="AC71" i="13" a="1"/>
  <c r="BJ71" i="13" s="1"/>
  <c r="AD71" i="13" a="1"/>
  <c r="BK71" i="13" s="1"/>
  <c r="R71" i="13"/>
  <c r="AS70" i="13"/>
  <c r="BE38" i="13"/>
  <c r="BD38" i="13"/>
  <c r="BG38" i="13" s="1"/>
  <c r="Y38" i="13" s="1"/>
  <c r="AZ69" i="13"/>
  <c r="BA69" i="13"/>
  <c r="P37" i="13"/>
  <c r="AY70" i="13"/>
  <c r="AR72" i="13" l="1"/>
  <c r="BB72" i="13"/>
  <c r="BI71" i="13"/>
  <c r="W71" i="13"/>
  <c r="AW71" i="13"/>
  <c r="AX70" i="13"/>
  <c r="BN71" i="13"/>
  <c r="BO69" i="13"/>
  <c r="AF72" i="13" a="1"/>
  <c r="AG72" i="13" a="1"/>
  <c r="L73" i="13"/>
  <c r="BB73" i="13" s="1"/>
  <c r="BL71" i="13"/>
  <c r="AK24" i="13"/>
  <c r="AN24" i="13"/>
  <c r="AO24" i="13" s="1"/>
  <c r="AP24" i="13" s="1"/>
  <c r="BH72" i="13"/>
  <c r="T72" i="13"/>
  <c r="AC72" i="13" a="1"/>
  <c r="BJ72" i="13" s="1"/>
  <c r="AD72" i="13" a="1"/>
  <c r="BK72" i="13" s="1"/>
  <c r="R72" i="13"/>
  <c r="AU71" i="13"/>
  <c r="V71" i="13"/>
  <c r="U72" i="13"/>
  <c r="AS71" i="13"/>
  <c r="Z38" i="13"/>
  <c r="AA38" i="13" s="1" a="1"/>
  <c r="AB38" i="13" s="1"/>
  <c r="AZ70" i="13"/>
  <c r="BA70" i="13"/>
  <c r="P38" i="13"/>
  <c r="BF38" i="13"/>
  <c r="BC39" i="13" s="1"/>
  <c r="N37" i="13"/>
  <c r="AV72" i="13" l="1"/>
  <c r="AW72" i="13" s="1"/>
  <c r="AU72" i="13"/>
  <c r="BN72" i="13"/>
  <c r="BI72" i="13"/>
  <c r="W72" i="13"/>
  <c r="AX71" i="13"/>
  <c r="BO70" i="13"/>
  <c r="AC73" i="13" a="1"/>
  <c r="BJ73" i="13" s="1"/>
  <c r="T73" i="13"/>
  <c r="AF73" i="13" a="1"/>
  <c r="AG73" i="13" a="1"/>
  <c r="L74" i="13"/>
  <c r="BL72" i="13"/>
  <c r="M24" i="13"/>
  <c r="O24" i="13" s="1"/>
  <c r="AR73" i="13"/>
  <c r="AV73" i="13" s="1"/>
  <c r="BH73" i="13"/>
  <c r="AD73" i="13" a="1"/>
  <c r="BK73" i="13" s="1"/>
  <c r="R73" i="13"/>
  <c r="AY71" i="13"/>
  <c r="X71" i="13"/>
  <c r="V72" i="13"/>
  <c r="U73" i="13"/>
  <c r="AS72" i="13"/>
  <c r="BE39" i="13"/>
  <c r="BD39" i="13"/>
  <c r="BG39" i="13" s="1"/>
  <c r="Y39" i="13" s="1"/>
  <c r="AX72" i="13" l="1"/>
  <c r="BO72" i="13" s="1"/>
  <c r="AR74" i="13"/>
  <c r="BB74" i="13"/>
  <c r="BI73" i="13"/>
  <c r="W73" i="13"/>
  <c r="AW73" i="13"/>
  <c r="BN73" i="13"/>
  <c r="BO71" i="13"/>
  <c r="BL73" i="13"/>
  <c r="BH74" i="13"/>
  <c r="T74" i="13"/>
  <c r="AF74" i="13" a="1"/>
  <c r="AG74" i="13" a="1"/>
  <c r="L75" i="13"/>
  <c r="BB75" i="13" s="1"/>
  <c r="AH25" i="13"/>
  <c r="AI25" i="13" s="1"/>
  <c r="AE26" i="13" s="1"/>
  <c r="BM26" i="13" s="1"/>
  <c r="AU73" i="13"/>
  <c r="AC74" i="13" a="1"/>
  <c r="BJ74" i="13" s="1"/>
  <c r="AD74" i="13" a="1"/>
  <c r="BK74" i="13" s="1"/>
  <c r="R74" i="13"/>
  <c r="AY72" i="13"/>
  <c r="X72" i="13"/>
  <c r="V73" i="13"/>
  <c r="U74" i="13"/>
  <c r="AZ71" i="13"/>
  <c r="BA71" i="13"/>
  <c r="AS73" i="13"/>
  <c r="Z39" i="13"/>
  <c r="AA39" i="13" s="1" a="1"/>
  <c r="AB39" i="13" s="1"/>
  <c r="BF39" i="13"/>
  <c r="BC40" i="13" s="1"/>
  <c r="N38" i="13"/>
  <c r="AV74" i="13" l="1"/>
  <c r="AW74" i="13" s="1"/>
  <c r="AU74" i="13"/>
  <c r="BN74" i="13"/>
  <c r="BI74" i="13"/>
  <c r="W74" i="13"/>
  <c r="AX73" i="13"/>
  <c r="AF75" i="13" a="1"/>
  <c r="AG75" i="13" a="1"/>
  <c r="L76" i="13"/>
  <c r="BB76" i="13" s="1"/>
  <c r="BL74" i="13"/>
  <c r="AK25" i="13"/>
  <c r="AN25" i="13"/>
  <c r="AO25" i="13" s="1"/>
  <c r="AP25" i="13" s="1"/>
  <c r="V74" i="13"/>
  <c r="AZ72" i="13"/>
  <c r="BA72" i="13"/>
  <c r="AR75" i="13"/>
  <c r="AV75" i="13" s="1"/>
  <c r="BH75" i="13"/>
  <c r="T75" i="13"/>
  <c r="U75" i="13" s="1"/>
  <c r="AD75" i="13" a="1"/>
  <c r="BK75" i="13" s="1"/>
  <c r="AC75" i="13" a="1"/>
  <c r="BJ75" i="13" s="1"/>
  <c r="R75" i="13"/>
  <c r="AY73" i="13"/>
  <c r="X73" i="13"/>
  <c r="AS74" i="13"/>
  <c r="BE40" i="13"/>
  <c r="BD40" i="13"/>
  <c r="BG40" i="13" s="1"/>
  <c r="Y40" i="13" s="1"/>
  <c r="P39" i="13"/>
  <c r="AX74" i="13" l="1"/>
  <c r="BO74" i="13" s="1"/>
  <c r="BI75" i="13"/>
  <c r="W75" i="13"/>
  <c r="AW75" i="13"/>
  <c r="BN75" i="13"/>
  <c r="BO73" i="13"/>
  <c r="AR76" i="13"/>
  <c r="AV76" i="13" s="1"/>
  <c r="BH76" i="13"/>
  <c r="AF76" i="13" a="1"/>
  <c r="AG76" i="13" a="1"/>
  <c r="L77" i="13"/>
  <c r="BB77" i="13" s="1"/>
  <c r="BL75" i="13"/>
  <c r="M25" i="13"/>
  <c r="O25" i="13" s="1"/>
  <c r="AY74" i="13"/>
  <c r="X74" i="13"/>
  <c r="T76" i="13"/>
  <c r="AC76" i="13" a="1"/>
  <c r="BJ76" i="13" s="1"/>
  <c r="AD76" i="13" a="1"/>
  <c r="BK76" i="13" s="1"/>
  <c r="R76" i="13"/>
  <c r="AU75" i="13"/>
  <c r="V75" i="13"/>
  <c r="U76" i="13"/>
  <c r="AZ73" i="13"/>
  <c r="BA73" i="13"/>
  <c r="AS75" i="13"/>
  <c r="Z40" i="13"/>
  <c r="AA40" i="13" s="1" a="1"/>
  <c r="AB40" i="13" s="1"/>
  <c r="P40" i="13"/>
  <c r="BF40" i="13"/>
  <c r="BC41" i="13" s="1"/>
  <c r="N39" i="13"/>
  <c r="BI76" i="13" l="1"/>
  <c r="W76" i="13"/>
  <c r="AX75" i="13"/>
  <c r="AW76" i="13"/>
  <c r="BN76" i="13"/>
  <c r="AU76" i="13"/>
  <c r="AR77" i="13"/>
  <c r="AV77" i="13" s="1"/>
  <c r="BH77" i="13"/>
  <c r="AF77" i="13" a="1"/>
  <c r="AG77" i="13" a="1"/>
  <c r="L78" i="13"/>
  <c r="BL76" i="13"/>
  <c r="AH26" i="13"/>
  <c r="AI26" i="13" s="1"/>
  <c r="AZ74" i="13"/>
  <c r="BA74" i="13"/>
  <c r="T77" i="13"/>
  <c r="AC77" i="13" a="1"/>
  <c r="BJ77" i="13" s="1"/>
  <c r="AD77" i="13" a="1"/>
  <c r="BK77" i="13" s="1"/>
  <c r="R77" i="13"/>
  <c r="AY75" i="13"/>
  <c r="X75" i="13"/>
  <c r="V76" i="13"/>
  <c r="U77" i="13"/>
  <c r="AS76" i="13"/>
  <c r="BE41" i="13"/>
  <c r="BD41" i="13"/>
  <c r="BG41" i="13" s="1"/>
  <c r="Y41" i="13" s="1"/>
  <c r="AR78" i="13" l="1"/>
  <c r="BB78" i="13"/>
  <c r="BI77" i="13"/>
  <c r="W77" i="13"/>
  <c r="AX76" i="13"/>
  <c r="AW77" i="13"/>
  <c r="BN77" i="13"/>
  <c r="BO75" i="13"/>
  <c r="AU77" i="13"/>
  <c r="AG78" i="13" a="1"/>
  <c r="AF78" i="13" a="1"/>
  <c r="L79" i="13"/>
  <c r="BB79" i="13" s="1"/>
  <c r="BL77" i="13"/>
  <c r="AK26" i="13"/>
  <c r="AN26" i="13"/>
  <c r="AO26" i="13" s="1"/>
  <c r="AP26" i="13" s="1"/>
  <c r="M26" i="13" s="1"/>
  <c r="O26" i="13" s="1"/>
  <c r="BH78" i="13"/>
  <c r="T78" i="13"/>
  <c r="AC78" i="13" a="1"/>
  <c r="BJ78" i="13" s="1"/>
  <c r="AD78" i="13" a="1"/>
  <c r="BK78" i="13" s="1"/>
  <c r="R78" i="13"/>
  <c r="AZ75" i="13"/>
  <c r="BA75" i="13"/>
  <c r="AY76" i="13"/>
  <c r="X76" i="13"/>
  <c r="V77" i="13"/>
  <c r="U78" i="13"/>
  <c r="AS77" i="13"/>
  <c r="Z41" i="13"/>
  <c r="AA41" i="13" s="1" a="1"/>
  <c r="AB41" i="13" s="1"/>
  <c r="BF41" i="13"/>
  <c r="BC42" i="13" s="1"/>
  <c r="N40" i="13"/>
  <c r="AV78" i="13" l="1"/>
  <c r="AW78" i="13" s="1"/>
  <c r="AU78" i="13"/>
  <c r="BN78" i="13"/>
  <c r="BI78" i="13"/>
  <c r="W78" i="13"/>
  <c r="AX77" i="13"/>
  <c r="BO76" i="13"/>
  <c r="AF79" i="13" a="1"/>
  <c r="AG79" i="13" a="1"/>
  <c r="L80" i="13"/>
  <c r="BB80" i="13" s="1"/>
  <c r="BL78" i="13"/>
  <c r="V78" i="13"/>
  <c r="AR79" i="13"/>
  <c r="AV79" i="13" s="1"/>
  <c r="BH79" i="13"/>
  <c r="AD79" i="13" a="1"/>
  <c r="BK79" i="13" s="1"/>
  <c r="T79" i="13"/>
  <c r="U79" i="13" s="1"/>
  <c r="AC79" i="13" a="1"/>
  <c r="BJ79" i="13" s="1"/>
  <c r="R79" i="13"/>
  <c r="BA76" i="13"/>
  <c r="AZ76" i="13"/>
  <c r="AY77" i="13"/>
  <c r="X77" i="13"/>
  <c r="AS78" i="13"/>
  <c r="BE42" i="13"/>
  <c r="BD42" i="13"/>
  <c r="BG42" i="13" s="1"/>
  <c r="Y42" i="13" s="1"/>
  <c r="P41" i="13"/>
  <c r="AX78" i="13" l="1"/>
  <c r="BO78" i="13" s="1"/>
  <c r="BI79" i="13"/>
  <c r="W79" i="13"/>
  <c r="AW79" i="13"/>
  <c r="BN79" i="13"/>
  <c r="BO77" i="13"/>
  <c r="AG80" i="13" a="1"/>
  <c r="AF80" i="13" a="1"/>
  <c r="L81" i="13"/>
  <c r="BL79" i="13"/>
  <c r="AY78" i="13"/>
  <c r="X78" i="13"/>
  <c r="AU79" i="13"/>
  <c r="V79" i="13"/>
  <c r="U80" i="13"/>
  <c r="AR80" i="13"/>
  <c r="AV80" i="13" s="1"/>
  <c r="AD80" i="13" a="1"/>
  <c r="BK80" i="13" s="1"/>
  <c r="BH80" i="13"/>
  <c r="T80" i="13"/>
  <c r="AC80" i="13" a="1"/>
  <c r="BJ80" i="13" s="1"/>
  <c r="R80" i="13"/>
  <c r="AZ77" i="13"/>
  <c r="BA77" i="13"/>
  <c r="AS79" i="13"/>
  <c r="Z42" i="13"/>
  <c r="AA42" i="13" s="1" a="1"/>
  <c r="AB42" i="13" s="1"/>
  <c r="P42" i="13"/>
  <c r="BF42" i="13"/>
  <c r="BC43" i="13" s="1"/>
  <c r="N41" i="13"/>
  <c r="X79" i="13" l="1"/>
  <c r="AR81" i="13"/>
  <c r="BB81" i="13"/>
  <c r="BI80" i="13"/>
  <c r="W80" i="13"/>
  <c r="AX79" i="13"/>
  <c r="AW80" i="13"/>
  <c r="BN80" i="13"/>
  <c r="AG81" i="13" a="1"/>
  <c r="AF81" i="13" a="1"/>
  <c r="L82" i="13"/>
  <c r="BB82" i="13" s="1"/>
  <c r="BL80" i="13"/>
  <c r="AZ78" i="13"/>
  <c r="BA78" i="13"/>
  <c r="AY79" i="13"/>
  <c r="U81" i="13"/>
  <c r="V80" i="13"/>
  <c r="AU80" i="13"/>
  <c r="BH81" i="13"/>
  <c r="T81" i="13"/>
  <c r="AC81" i="13" a="1"/>
  <c r="BJ81" i="13" s="1"/>
  <c r="AD81" i="13" a="1"/>
  <c r="BK81" i="13" s="1"/>
  <c r="R81" i="13"/>
  <c r="AS80" i="13"/>
  <c r="BE43" i="13"/>
  <c r="BD43" i="13"/>
  <c r="BG43" i="13" s="1"/>
  <c r="Y43" i="13" s="1"/>
  <c r="AV81" i="13" l="1"/>
  <c r="AW81" i="13" s="1"/>
  <c r="BN81" i="13"/>
  <c r="AU81" i="13"/>
  <c r="BI81" i="13"/>
  <c r="W81" i="13"/>
  <c r="AX80" i="13"/>
  <c r="BO79" i="13"/>
  <c r="AC82" i="13" a="1"/>
  <c r="BJ82" i="13" s="1"/>
  <c r="AD82" i="13" a="1"/>
  <c r="BK82" i="13" s="1"/>
  <c r="R82" i="13"/>
  <c r="T82" i="13"/>
  <c r="AR82" i="13"/>
  <c r="BH82" i="13"/>
  <c r="AG82" i="13" a="1"/>
  <c r="AF82" i="13" a="1"/>
  <c r="BL81" i="13"/>
  <c r="AZ79" i="13"/>
  <c r="BA79" i="13"/>
  <c r="U82" i="13"/>
  <c r="V81" i="13"/>
  <c r="AY80" i="13"/>
  <c r="X80" i="13"/>
  <c r="AS81" i="13"/>
  <c r="Z43" i="13"/>
  <c r="AA43" i="13" s="1" a="1"/>
  <c r="AB43" i="13" s="1"/>
  <c r="BF43" i="13"/>
  <c r="BC44" i="13" s="1"/>
  <c r="N42" i="13"/>
  <c r="AX81" i="13" l="1"/>
  <c r="BI82" i="13"/>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a="1"/>
  <c r="AB44" i="13" s="1"/>
  <c r="BF44" i="13"/>
  <c r="BC45" i="13" s="1"/>
  <c r="N43" i="13"/>
  <c r="BO82" i="13" l="1"/>
  <c r="AZ82" i="13"/>
  <c r="BA82" i="13"/>
  <c r="BE45" i="13"/>
  <c r="BD45" i="13"/>
  <c r="BG45" i="13" s="1"/>
  <c r="Y45" i="13" s="1"/>
  <c r="P44" i="13"/>
  <c r="Z45" i="13" l="1"/>
  <c r="AA45" i="13" s="1" a="1"/>
  <c r="AB45" i="13" s="1"/>
  <c r="BF45" i="13"/>
  <c r="BC46" i="13" s="1"/>
  <c r="N44" i="13"/>
  <c r="BE46" i="13" l="1"/>
  <c r="BD46" i="13"/>
  <c r="BG46" i="13" s="1"/>
  <c r="Y46" i="13" s="1"/>
  <c r="P45" i="13"/>
  <c r="Z46" i="13" l="1"/>
  <c r="AA46" i="13" s="1" a="1"/>
  <c r="AB46" i="13" s="1"/>
  <c r="BF46" i="13"/>
  <c r="BC47" i="13" s="1"/>
  <c r="N45" i="13"/>
  <c r="BE47" i="13" l="1"/>
  <c r="BD47" i="13"/>
  <c r="BG47" i="13" s="1"/>
  <c r="Y47" i="13" s="1"/>
  <c r="P46" i="13"/>
  <c r="Z47" i="13" l="1"/>
  <c r="AA47" i="13" s="1" a="1"/>
  <c r="AB47" i="13" s="1"/>
  <c r="BF47" i="13"/>
  <c r="BC48" i="13" s="1"/>
  <c r="N46" i="13"/>
  <c r="BE48" i="13" l="1"/>
  <c r="BD48" i="13"/>
  <c r="BG48" i="13" s="1"/>
  <c r="Y48" i="13" s="1"/>
  <c r="P47" i="13"/>
  <c r="N47" i="13"/>
  <c r="Z48" i="13" l="1"/>
  <c r="AA48" i="13" s="1" a="1"/>
  <c r="AB48" i="13" s="1"/>
  <c r="P48" i="13"/>
  <c r="BF48" i="13"/>
  <c r="BC49" i="13" s="1"/>
  <c r="N48" i="13"/>
  <c r="BE49" i="13" l="1"/>
  <c r="BD49" i="13"/>
  <c r="BG49" i="13" s="1"/>
  <c r="BF49" i="13" l="1"/>
  <c r="BC50" i="13" s="1"/>
  <c r="BE50" i="13" s="1"/>
  <c r="Y49" i="13"/>
  <c r="N49" i="13"/>
  <c r="BD50" i="13" l="1"/>
  <c r="BG50" i="13" s="1"/>
  <c r="Y50" i="13" s="1"/>
  <c r="Z49" i="13"/>
  <c r="AA49" i="13" s="1" a="1"/>
  <c r="AB49" i="13" s="1"/>
  <c r="P49" i="13"/>
  <c r="N50" i="13"/>
  <c r="Z50" i="13" l="1"/>
  <c r="AA50" i="13" s="1" a="1"/>
  <c r="AB50" i="13" s="1"/>
  <c r="BF50" i="13"/>
  <c r="BC51" i="13" s="1"/>
  <c r="BE51" i="13" s="1"/>
  <c r="P50" i="13"/>
  <c r="BD51" i="13" l="1"/>
  <c r="BG51" i="13" s="1"/>
  <c r="Y51" i="13" s="1"/>
  <c r="N51" i="13"/>
  <c r="Z51" i="13" l="1"/>
  <c r="AA51" i="13" s="1" a="1"/>
  <c r="BF51" i="13"/>
  <c r="BC52" i="13" s="1"/>
  <c r="BE52" i="13" s="1"/>
  <c r="P51" i="13"/>
  <c r="AB51" i="13" l="1"/>
  <c r="N52" i="13"/>
  <c r="BD52" i="13"/>
  <c r="BG52" i="13" s="1"/>
  <c r="Y52" i="13" s="1"/>
  <c r="Z52" i="13" l="1"/>
  <c r="AA52" i="13" s="1" a="1"/>
  <c r="AB52" i="13" s="1"/>
  <c r="BF52" i="13"/>
  <c r="BC53" i="13" s="1"/>
  <c r="BE53" i="13" s="1"/>
  <c r="P52" i="13"/>
  <c r="N53" i="13" l="1"/>
  <c r="BD53" i="13"/>
  <c r="BG53" i="13" s="1"/>
  <c r="Y53" i="13" s="1"/>
  <c r="Z53" i="13" l="1"/>
  <c r="AA53" i="13" s="1" a="1"/>
  <c r="BF53" i="13"/>
  <c r="BC54" i="13" s="1"/>
  <c r="BE54" i="13" s="1"/>
  <c r="P53" i="13"/>
  <c r="AB53" i="13" l="1"/>
  <c r="N54" i="13"/>
  <c r="BD54" i="13"/>
  <c r="BG54" i="13" s="1"/>
  <c r="Y54" i="13" s="1"/>
  <c r="Z54" i="13" l="1"/>
  <c r="AA54" i="13" s="1" a="1"/>
  <c r="AB54" i="13" s="1"/>
  <c r="BF54" i="13"/>
  <c r="BC55" i="13" s="1"/>
  <c r="BD55" i="13" s="1"/>
  <c r="BG55" i="13" s="1"/>
  <c r="Y55" i="13" s="1"/>
  <c r="P54" i="13"/>
  <c r="BE55" i="13" l="1"/>
  <c r="BF55" i="13" s="1"/>
  <c r="BC56" i="13" s="1"/>
  <c r="N55" i="13"/>
  <c r="Z55" i="13"/>
  <c r="AA55" i="13" s="1" a="1"/>
  <c r="AB55" i="13" s="1"/>
  <c r="BE56" i="13" l="1"/>
  <c r="BD56" i="13"/>
  <c r="BG56" i="13" s="1"/>
  <c r="Y56" i="13" s="1"/>
  <c r="P55" i="13"/>
  <c r="N56" i="13"/>
  <c r="Z56" i="13" l="1"/>
  <c r="AA56" i="13" s="1" a="1"/>
  <c r="AB56" i="13" s="1"/>
  <c r="BF56" i="13"/>
  <c r="BC57" i="13" s="1"/>
  <c r="BE57" i="13" l="1"/>
  <c r="BD57" i="13"/>
  <c r="BG57" i="13" s="1"/>
  <c r="Y57" i="13" s="1"/>
  <c r="P56" i="13"/>
  <c r="N57" i="13"/>
  <c r="Z57" i="13" l="1"/>
  <c r="AA57" i="13" s="1" a="1"/>
  <c r="AB57" i="13" s="1"/>
  <c r="BF57" i="13"/>
  <c r="BC58" i="13" s="1"/>
  <c r="BE58" i="13" l="1"/>
  <c r="BD58" i="13"/>
  <c r="BG58" i="13" s="1"/>
  <c r="Y58" i="13" s="1"/>
  <c r="P57" i="13"/>
  <c r="N58" i="13"/>
  <c r="Z58" i="13" l="1"/>
  <c r="AA58" i="13" s="1" a="1"/>
  <c r="AB58" i="13" s="1"/>
  <c r="P58" i="13"/>
  <c r="BF58" i="13"/>
  <c r="BC59" i="13" s="1"/>
  <c r="BE59" i="13" l="1"/>
  <c r="BD59" i="13"/>
  <c r="BG59" i="13" s="1"/>
  <c r="Y59" i="13" s="1"/>
  <c r="N59" i="13"/>
  <c r="Z59" i="13" l="1"/>
  <c r="AA59" i="13" s="1" a="1"/>
  <c r="AB59" i="13" s="1"/>
  <c r="P59" i="13"/>
  <c r="BF59" i="13"/>
  <c r="BC60" i="13" s="1"/>
  <c r="BE60" i="13" l="1"/>
  <c r="BD60" i="13"/>
  <c r="BG60" i="13" s="1"/>
  <c r="Y60" i="13" s="1"/>
  <c r="N60" i="13"/>
  <c r="Z60" i="13" l="1"/>
  <c r="AA60" i="13" s="1" a="1"/>
  <c r="AB60" i="13" s="1"/>
  <c r="BF60" i="13"/>
  <c r="BC61" i="13" s="1"/>
  <c r="BE61" i="13" l="1"/>
  <c r="BD61" i="13"/>
  <c r="BG61" i="13" s="1"/>
  <c r="Y61" i="13" s="1"/>
  <c r="P60" i="13"/>
  <c r="N61" i="13"/>
  <c r="Z61" i="13" l="1"/>
  <c r="AA61" i="13" s="1" a="1"/>
  <c r="AB61" i="13" s="1"/>
  <c r="BF61" i="13"/>
  <c r="BC62" i="13" s="1"/>
  <c r="BE62" i="13" l="1"/>
  <c r="BD62" i="13"/>
  <c r="BG62" i="13" s="1"/>
  <c r="Y62" i="13" s="1"/>
  <c r="P61" i="13"/>
  <c r="N62" i="13"/>
  <c r="Z62" i="13" l="1"/>
  <c r="AA62" i="13" s="1" a="1"/>
  <c r="AB62" i="13" s="1"/>
  <c r="BF62" i="13"/>
  <c r="BC63" i="13" s="1"/>
  <c r="BE63" i="13" l="1"/>
  <c r="BD63" i="13"/>
  <c r="BG63" i="13" s="1"/>
  <c r="Y63" i="13" s="1"/>
  <c r="P62" i="13"/>
  <c r="N63" i="13"/>
  <c r="Z63" i="13" l="1"/>
  <c r="AA63" i="13" s="1" a="1"/>
  <c r="AB63" i="13" s="1"/>
  <c r="BF63" i="13"/>
  <c r="BC64" i="13" s="1"/>
  <c r="BE64" i="13" l="1"/>
  <c r="BD64" i="13"/>
  <c r="BG64" i="13" s="1"/>
  <c r="Y64" i="13" s="1"/>
  <c r="P63" i="13"/>
  <c r="N64" i="13"/>
  <c r="Z64" i="13" l="1"/>
  <c r="AA64" i="13" s="1" a="1"/>
  <c r="AB64" i="13" s="1"/>
  <c r="P64" i="13"/>
  <c r="BF64" i="13"/>
  <c r="BC65" i="13" s="1"/>
  <c r="BE65" i="13" l="1"/>
  <c r="BD65" i="13"/>
  <c r="BG65" i="13" s="1"/>
  <c r="Y65" i="13" s="1"/>
  <c r="N65" i="13"/>
  <c r="Z65" i="13" l="1"/>
  <c r="AA65" i="13" s="1" a="1"/>
  <c r="AB65" i="13" s="1"/>
  <c r="P65" i="13"/>
  <c r="BF65" i="13"/>
  <c r="BC66" i="13" s="1"/>
  <c r="BE66" i="13" l="1"/>
  <c r="BD66" i="13"/>
  <c r="BG66" i="13" s="1"/>
  <c r="Y66" i="13" s="1"/>
  <c r="N66" i="13"/>
  <c r="Z66" i="13" l="1"/>
  <c r="AA66" i="13" s="1" a="1"/>
  <c r="AB66" i="13" s="1"/>
  <c r="P66" i="13"/>
  <c r="BF66" i="13"/>
  <c r="BC67" i="13" s="1"/>
  <c r="BE67" i="13" l="1"/>
  <c r="BD67" i="13"/>
  <c r="BG67" i="13" s="1"/>
  <c r="Y67" i="13" s="1"/>
  <c r="N67" i="13"/>
  <c r="Z67" i="13" l="1"/>
  <c r="AA67" i="13" s="1" a="1"/>
  <c r="AB67" i="13" s="1"/>
  <c r="P67" i="13"/>
  <c r="BF67" i="13"/>
  <c r="BC68" i="13" s="1"/>
  <c r="BE68" i="13" l="1"/>
  <c r="BD68" i="13"/>
  <c r="BG68" i="13" s="1"/>
  <c r="Y68" i="13" s="1"/>
  <c r="N68" i="13"/>
  <c r="Z68" i="13" l="1"/>
  <c r="AA68" i="13" s="1" a="1"/>
  <c r="AB68" i="13" s="1"/>
  <c r="P68" i="13"/>
  <c r="BF68" i="13"/>
  <c r="BC69" i="13" s="1"/>
  <c r="BE69" i="13" l="1"/>
  <c r="BD69" i="13"/>
  <c r="BG69" i="13" s="1"/>
  <c r="Y69" i="13" s="1"/>
  <c r="N69" i="13"/>
  <c r="Z69" i="13" l="1"/>
  <c r="AA69" i="13" s="1" a="1"/>
  <c r="AB69" i="13" s="1"/>
  <c r="P69" i="13"/>
  <c r="BF69" i="13"/>
  <c r="BC70" i="13" s="1"/>
  <c r="BE70" i="13" l="1"/>
  <c r="BD70" i="13"/>
  <c r="BG70" i="13" s="1"/>
  <c r="Y70" i="13" s="1"/>
  <c r="N70" i="13"/>
  <c r="Z70" i="13" l="1"/>
  <c r="AA70" i="13" s="1" a="1"/>
  <c r="AB70" i="13" s="1"/>
  <c r="BF70" i="13"/>
  <c r="BC71" i="13" s="1"/>
  <c r="BE71" i="13" l="1"/>
  <c r="BD71" i="13"/>
  <c r="BG71" i="13" s="1"/>
  <c r="Y71" i="13" s="1"/>
  <c r="P70" i="13"/>
  <c r="N71" i="13"/>
  <c r="Z71" i="13" l="1"/>
  <c r="AA71" i="13" s="1" a="1"/>
  <c r="AB71" i="13" s="1"/>
  <c r="BF71" i="13"/>
  <c r="BC72" i="13" s="1"/>
  <c r="BE72" i="13" l="1"/>
  <c r="BD72" i="13"/>
  <c r="BG72" i="13" s="1"/>
  <c r="Y72" i="13" s="1"/>
  <c r="P71" i="13"/>
  <c r="N72" i="13"/>
  <c r="Z72" i="13" l="1"/>
  <c r="AA72" i="13" s="1" a="1"/>
  <c r="AB72" i="13" s="1"/>
  <c r="BF72" i="13"/>
  <c r="BC73" i="13" s="1"/>
  <c r="BE73" i="13" l="1"/>
  <c r="BD73" i="13"/>
  <c r="BG73" i="13" s="1"/>
  <c r="Y73" i="13" s="1"/>
  <c r="P72" i="13"/>
  <c r="N73" i="13"/>
  <c r="Z73" i="13" l="1"/>
  <c r="AA73" i="13" s="1" a="1"/>
  <c r="AB73" i="13" s="1"/>
  <c r="P73" i="13"/>
  <c r="BF73" i="13"/>
  <c r="BC74" i="13" s="1"/>
  <c r="BE74" i="13" l="1"/>
  <c r="BD74" i="13"/>
  <c r="BG74" i="13" s="1"/>
  <c r="Y74" i="13" s="1"/>
  <c r="N74" i="13"/>
  <c r="Z74" i="13" l="1"/>
  <c r="AA74" i="13" s="1" a="1"/>
  <c r="AB74" i="13" s="1"/>
  <c r="BF74" i="13"/>
  <c r="BC75" i="13" s="1"/>
  <c r="BE75" i="13" l="1"/>
  <c r="BD75" i="13"/>
  <c r="BG75" i="13" s="1"/>
  <c r="Y75" i="13" s="1"/>
  <c r="P74" i="13"/>
  <c r="N75" i="13"/>
  <c r="Z75" i="13" l="1"/>
  <c r="AA75" i="13" s="1" a="1"/>
  <c r="AB75" i="13" s="1"/>
  <c r="P75" i="13"/>
  <c r="BF75" i="13"/>
  <c r="BC76" i="13" s="1"/>
  <c r="BE76" i="13" l="1"/>
  <c r="BD76" i="13"/>
  <c r="BG76" i="13" s="1"/>
  <c r="Y76" i="13" s="1"/>
  <c r="N76" i="13"/>
  <c r="Z76" i="13" l="1"/>
  <c r="AA76" i="13" s="1" a="1"/>
  <c r="AB76" i="13" s="1"/>
  <c r="BF76" i="13"/>
  <c r="BC77" i="13" s="1"/>
  <c r="BE77" i="13" l="1"/>
  <c r="BD77" i="13"/>
  <c r="BG77" i="13" s="1"/>
  <c r="Y77" i="13" s="1"/>
  <c r="P76" i="13"/>
  <c r="N77" i="13"/>
  <c r="Z77" i="13" l="1"/>
  <c r="AA77" i="13" s="1" a="1"/>
  <c r="AB77" i="13" s="1"/>
  <c r="BF77" i="13"/>
  <c r="BC78" i="13" s="1"/>
  <c r="BE78" i="13" l="1"/>
  <c r="BD78" i="13"/>
  <c r="BG78" i="13" s="1"/>
  <c r="Y78" i="13" s="1"/>
  <c r="P77" i="13"/>
  <c r="N78" i="13"/>
  <c r="Z78" i="13" l="1"/>
  <c r="AA78" i="13" s="1" a="1"/>
  <c r="AB78" i="13" s="1"/>
  <c r="BF78" i="13"/>
  <c r="BC79" i="13" s="1"/>
  <c r="BE79" i="13" l="1"/>
  <c r="BD79" i="13"/>
  <c r="BG79" i="13" s="1"/>
  <c r="Y79" i="13" s="1"/>
  <c r="P78" i="13"/>
  <c r="N79" i="13"/>
  <c r="Z79" i="13" l="1"/>
  <c r="AA79" i="13" s="1" a="1"/>
  <c r="AB79" i="13" s="1"/>
  <c r="P79" i="13"/>
  <c r="BF79" i="13"/>
  <c r="BC80" i="13" s="1"/>
  <c r="BE80" i="13" l="1"/>
  <c r="BD80" i="13"/>
  <c r="BG80" i="13" s="1"/>
  <c r="Y80" i="13" s="1"/>
  <c r="N80" i="13"/>
  <c r="Z80" i="13" l="1"/>
  <c r="AA80" i="13" s="1" a="1"/>
  <c r="AB80" i="13" s="1"/>
  <c r="P80" i="13"/>
  <c r="BF80" i="13"/>
  <c r="BC81" i="13" s="1"/>
  <c r="BE81" i="13" l="1"/>
  <c r="BD81" i="13"/>
  <c r="BG81" i="13" s="1"/>
  <c r="Y81" i="13" s="1"/>
  <c r="N81" i="13"/>
  <c r="Z81" i="13" l="1"/>
  <c r="AA81" i="13" s="1" a="1"/>
  <c r="AB81" i="13" s="1"/>
  <c r="BF81" i="13"/>
  <c r="BC82" i="13" s="1"/>
  <c r="BD82" i="13" s="1"/>
  <c r="BG82" i="13" s="1"/>
  <c r="Y82" i="13" s="1"/>
  <c r="BE82" i="13" l="1"/>
  <c r="N82" i="13"/>
  <c r="P81" i="13"/>
  <c r="Z82" i="13" l="1"/>
  <c r="AA82" i="13" s="1" a="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l="1" a="1"/>
  <c r="X1" i="13" a="1"/>
  <c r="BG1" i="13" a="1"/>
  <c r="Z28" i="13"/>
  <c r="AA28" i="13" s="1" a="1"/>
  <c r="AB28" i="13" s="1"/>
  <c r="P27" i="13"/>
  <c r="P28" i="13"/>
  <c r="Y29" i="13"/>
  <c r="AZ29" i="13"/>
  <c r="BA29" i="13"/>
  <c r="AZ30" i="13"/>
  <c r="BA30" i="13"/>
  <c r="Y30" i="13"/>
  <c r="B38" i="13" l="1" a="1"/>
  <c r="B37" i="13" a="1"/>
  <c r="Z29" i="13"/>
  <c r="AA29" i="13" s="1" a="1"/>
  <c r="AB29" i="13" s="1"/>
  <c r="Z27" i="13"/>
  <c r="AA27" i="13" s="1" a="1"/>
  <c r="Z30" i="13"/>
  <c r="AA30" i="13" s="1" a="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O27" i="13" s="1"/>
  <c r="AP27" i="13" s="1"/>
  <c r="AL29" i="13"/>
  <c r="AJ30" i="13"/>
  <c r="AK27" i="13"/>
  <c r="M27" i="13" l="1"/>
  <c r="O27" i="13" s="1"/>
  <c r="AL30" i="13"/>
  <c r="AJ31" i="13"/>
  <c r="AH28" i="13" l="1"/>
  <c r="AI28" i="13" s="1"/>
  <c r="AL31" i="13"/>
  <c r="AJ32" i="13"/>
  <c r="AN28" i="13" l="1"/>
  <c r="AO28" i="13" s="1"/>
  <c r="AP28" i="13" s="1"/>
  <c r="AE29" i="13"/>
  <c r="BM29" i="13" s="1"/>
  <c r="AK28" i="13"/>
  <c r="AL32" i="13"/>
  <c r="AJ33" i="13"/>
  <c r="M28" i="13" l="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O30" i="13" s="1"/>
  <c r="AP30" i="13" s="1"/>
  <c r="AK30" i="13"/>
  <c r="AL38" i="13"/>
  <c r="AJ39" i="13"/>
  <c r="M30" i="13" l="1"/>
  <c r="O30" i="13" s="1"/>
  <c r="AL39" i="13"/>
  <c r="AJ40" i="13"/>
  <c r="AH31" i="13" l="1"/>
  <c r="AI31" i="13" s="1"/>
  <c r="AE32" i="13" s="1"/>
  <c r="BM32" i="13" s="1"/>
  <c r="AL40" i="13"/>
  <c r="AJ41" i="13"/>
  <c r="AN31" i="13" l="1"/>
  <c r="AO31" i="13" s="1"/>
  <c r="AP31" i="13" s="1"/>
  <c r="AK31" i="13"/>
  <c r="AL41" i="13"/>
  <c r="AJ42" i="13"/>
  <c r="M31" i="13" l="1"/>
  <c r="O31" i="13" s="1"/>
  <c r="AL42" i="13"/>
  <c r="AJ43" i="13"/>
  <c r="AH32" i="13" l="1"/>
  <c r="AI32" i="13" s="1"/>
  <c r="AE33" i="13" s="1"/>
  <c r="BM33" i="13" s="1"/>
  <c r="AL43" i="13"/>
  <c r="AJ44" i="13"/>
  <c r="AN32" i="13" l="1"/>
  <c r="AO32" i="13" s="1"/>
  <c r="AP32" i="13" s="1"/>
  <c r="AK32" i="13"/>
  <c r="AL44" i="13"/>
  <c r="AJ45" i="13"/>
  <c r="M32" i="13" l="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O34" i="13" s="1"/>
  <c r="AP34" i="13" s="1"/>
  <c r="AL50" i="13"/>
  <c r="AJ51" i="13"/>
  <c r="M34" i="13" l="1"/>
  <c r="O34" i="13" s="1"/>
  <c r="AL51" i="13"/>
  <c r="AJ52" i="13"/>
  <c r="AH35" i="13" l="1"/>
  <c r="AI35" i="13" s="1"/>
  <c r="AE36" i="13" s="1"/>
  <c r="BM36" i="13" s="1"/>
  <c r="AL52" i="13"/>
  <c r="AJ53" i="13"/>
  <c r="AK35" i="13" l="1"/>
  <c r="AN35" i="13"/>
  <c r="AO35" i="13" s="1"/>
  <c r="AP35" i="13" s="1"/>
  <c r="AL53" i="13"/>
  <c r="AJ54" i="13"/>
  <c r="M35" i="13" l="1"/>
  <c r="O35" i="13" s="1"/>
  <c r="AL54" i="13"/>
  <c r="AJ55" i="13"/>
  <c r="AH36" i="13" l="1"/>
  <c r="AI36" i="13" s="1"/>
  <c r="AE37" i="13" s="1"/>
  <c r="BM37" i="13" s="1"/>
  <c r="AL55" i="13"/>
  <c r="AJ56" i="13"/>
  <c r="AN36" i="13" l="1"/>
  <c r="AO36" i="13" s="1"/>
  <c r="AP36" i="13" s="1"/>
  <c r="AK36" i="13"/>
  <c r="AL56" i="13"/>
  <c r="AJ57" i="13"/>
  <c r="M36" i="13" l="1"/>
  <c r="O36" i="13" s="1"/>
  <c r="AL57" i="13"/>
  <c r="AJ58" i="13"/>
  <c r="AH37" i="13" l="1"/>
  <c r="AI37" i="13" s="1"/>
  <c r="AE38" i="13" s="1"/>
  <c r="BM38" i="13" s="1"/>
  <c r="AL58" i="13"/>
  <c r="AJ59" i="13"/>
  <c r="AN37" i="13" l="1"/>
  <c r="AO37" i="13" s="1"/>
  <c r="AP37" i="13" s="1"/>
  <c r="AK37" i="13"/>
  <c r="AL59" i="13"/>
  <c r="AJ60" i="13"/>
  <c r="M37" i="13" l="1"/>
  <c r="O37" i="13" s="1"/>
  <c r="AL60" i="13"/>
  <c r="AJ61" i="13"/>
  <c r="AH38" i="13" l="1"/>
  <c r="AI38" i="13" s="1"/>
  <c r="AE39" i="13" s="1"/>
  <c r="BM39" i="13" s="1"/>
  <c r="AL61" i="13"/>
  <c r="AJ62" i="13"/>
  <c r="AN38" i="13" l="1"/>
  <c r="AO38" i="13" s="1"/>
  <c r="AP38" i="13" s="1"/>
  <c r="AK38" i="13"/>
  <c r="AL62" i="13"/>
  <c r="AJ63" i="13"/>
  <c r="M38" i="13" l="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O41" i="13" s="1"/>
  <c r="AP41" i="13" s="1"/>
  <c r="AK41" i="13"/>
  <c r="AL69" i="13"/>
  <c r="AJ70" i="13"/>
  <c r="AH42" i="13" l="1"/>
  <c r="AI42" i="13" s="1"/>
  <c r="AE43" i="13" s="1"/>
  <c r="BM43" i="13" s="1"/>
  <c r="M41" i="13"/>
  <c r="O41" i="13" s="1"/>
  <c r="AL70" i="13"/>
  <c r="AJ71" i="13"/>
  <c r="AN42" i="13" l="1"/>
  <c r="AO42" i="13" s="1"/>
  <c r="AP42" i="13" s="1"/>
  <c r="AK42" i="13"/>
  <c r="AL71" i="13"/>
  <c r="AJ72" i="13"/>
  <c r="M42" i="13" l="1"/>
  <c r="O42" i="13" s="1"/>
  <c r="AH43" i="13"/>
  <c r="AI43" i="13" s="1"/>
  <c r="AE44" i="13" s="1"/>
  <c r="BM44" i="13" s="1"/>
  <c r="AL72" i="13"/>
  <c r="AJ73" i="13"/>
  <c r="AK43" i="13" l="1"/>
  <c r="AN43" i="13"/>
  <c r="AO43" i="13" s="1"/>
  <c r="AP43" i="13" s="1"/>
  <c r="AL73" i="13"/>
  <c r="AJ74" i="13"/>
  <c r="M43" i="13" l="1"/>
  <c r="O43" i="13" s="1"/>
  <c r="AH44" i="13"/>
  <c r="AI44" i="13" s="1"/>
  <c r="AE45" i="13" s="1"/>
  <c r="BM45" i="13" s="1"/>
  <c r="AL74" i="13"/>
  <c r="AJ75" i="13"/>
  <c r="AK44" i="13" l="1"/>
  <c r="AN44" i="13"/>
  <c r="AO44" i="13" s="1"/>
  <c r="AP44" i="13" s="1"/>
  <c r="AL75" i="13"/>
  <c r="AJ76" i="13"/>
  <c r="M44" i="13" l="1"/>
  <c r="O44" i="13" s="1"/>
  <c r="AL76" i="13"/>
  <c r="AJ77" i="13"/>
  <c r="AH45" i="13" l="1"/>
  <c r="AI45" i="13" s="1"/>
  <c r="AE46" i="13" s="1"/>
  <c r="BM46" i="13" s="1"/>
  <c r="AL77" i="13"/>
  <c r="AJ78" i="13"/>
  <c r="AK45" i="13" l="1"/>
  <c r="AN45" i="13"/>
  <c r="AO45" i="13" s="1"/>
  <c r="AP45" i="13" s="1"/>
  <c r="AL78" i="13"/>
  <c r="AJ79" i="13"/>
  <c r="M45" i="13" l="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s="1"/>
  <c r="AP47" i="13" s="1"/>
  <c r="M47" i="13" l="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l="1"/>
  <c r="AK50" i="13"/>
  <c r="AN50" i="13"/>
  <c r="AO50" i="13" s="1"/>
  <c r="AP50" i="13" s="1"/>
  <c r="M50" i="13" s="1"/>
  <c r="O50" i="13" s="1"/>
  <c r="AH51" i="13" l="1"/>
  <c r="AI51" i="13" s="1"/>
  <c r="AE52" i="13" l="1"/>
  <c r="BM52" i="13" s="1"/>
  <c r="AK51" i="13"/>
  <c r="AN51" i="13"/>
  <c r="AO51" i="13" s="1"/>
  <c r="AP51" i="13" s="1"/>
  <c r="M51" i="13" s="1"/>
  <c r="O51" i="13" l="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s="1"/>
  <c r="AP55" i="13" s="1"/>
  <c r="M55" i="13" l="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s="1"/>
  <c r="AP65" i="13" s="1"/>
  <c r="M65" i="13" l="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s="1"/>
  <c r="AP71" i="13" s="1"/>
  <c r="M71" i="13" l="1"/>
  <c r="O71" i="13" s="1"/>
  <c r="AH72" i="13" l="1"/>
  <c r="AI72" i="13" s="1"/>
  <c r="AE73" i="13" s="1"/>
  <c r="BM73" i="13" s="1"/>
  <c r="AK72" i="13" l="1"/>
  <c r="AN72" i="13"/>
  <c r="AO72" i="13" s="1"/>
  <c r="AP72" i="13" s="1"/>
  <c r="M72" i="13" l="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O82" i="13" s="1"/>
  <c r="AP82" i="13" s="1"/>
  <c r="M82" i="13" s="1"/>
  <c r="O82" i="13" s="1"/>
  <c r="B2" i="13" s="1"/>
  <c r="AK8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B26" authorId="0" shapeId="0" xr:uid="{AE40279F-2926-44E8-822F-3B68F447DAEB}">
      <text>
        <r>
          <rPr>
            <b/>
            <sz val="9"/>
            <color indexed="81"/>
            <rFont val="Tahoma"/>
            <family val="2"/>
          </rPr>
          <t xml:space="preserve">Hatta Misra:
</t>
        </r>
        <r>
          <rPr>
            <sz val="9"/>
            <color indexed="81"/>
            <rFont val="Tahoma"/>
            <family val="2"/>
          </rPr>
          <t>State Revenue Office of Tasmania. Rates of duty [property transfer duties].</t>
        </r>
        <r>
          <rPr>
            <sz val="9"/>
            <color indexed="81"/>
            <rFont val="Tahoma"/>
            <family val="2"/>
          </rPr>
          <t xml:space="preserve">
https://www.sro.tas.gov.au/property-transfer-duties/rates-of-duty</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27" authorId="0" shapeId="0" xr:uid="{EF23F778-2FB1-4589-B4A8-9AC08DFC7AD3}">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27" authorId="0" shapeId="0" xr:uid="{F42DAEFA-7BA8-4FDC-BFD0-39782D6EE819}">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160799A1-2AFB-4CCA-9EDD-0931D0D9E663}">
      <text>
        <r>
          <rPr>
            <sz val="8"/>
            <color indexed="81"/>
            <rFont val="Tahoma"/>
            <family val="2"/>
          </rPr>
          <t>Attached dwellings includes flats, units and apartments plus semi-detached, row and terrace houses.</t>
        </r>
      </text>
    </comment>
    <comment ref="R1" authorId="0" shapeId="0" xr:uid="{437841FB-80FA-4E45-AF88-34ADC8257B2A}">
      <text>
        <r>
          <rPr>
            <sz val="8"/>
            <color indexed="81"/>
            <rFont val="Tahoma"/>
            <family val="2"/>
          </rPr>
          <t>Attached dwellings includes flats, units and apartments plus semi-detached, row and terrace houses.</t>
        </r>
      </text>
    </comment>
    <comment ref="S1" authorId="0" shapeId="0" xr:uid="{164ED3C5-3D81-47CC-B775-51CAB287356E}">
      <text>
        <r>
          <rPr>
            <sz val="8"/>
            <color indexed="81"/>
            <rFont val="Tahoma"/>
            <family val="2"/>
          </rPr>
          <t>Attached dwellings includes flats, units and apartments plus semi-detached, row and terrace houses.</t>
        </r>
      </text>
    </comment>
    <comment ref="T1" authorId="0" shapeId="0" xr:uid="{F487017B-74CD-4D73-81BB-6789E1D9F250}">
      <text>
        <r>
          <rPr>
            <sz val="8"/>
            <color indexed="81"/>
            <rFont val="Tahoma"/>
            <family val="2"/>
          </rPr>
          <t>Attached dwellings includes flats, units and apartments plus semi-detached, row and terrace houses.</t>
        </r>
      </text>
    </comment>
    <comment ref="U1" authorId="0" shapeId="0" xr:uid="{98E2E865-2862-49F6-A7D8-2BDC68C5C3A0}">
      <text>
        <r>
          <rPr>
            <sz val="8"/>
            <color indexed="81"/>
            <rFont val="Tahoma"/>
            <family val="2"/>
          </rPr>
          <t>Attached dwellings includes flats, units and apartments plus semi-detached, row and terrace houses.</t>
        </r>
      </text>
    </comment>
    <comment ref="V1" authorId="0" shapeId="0" xr:uid="{27B842E7-0451-4CCA-9367-42E2527FE6B5}">
      <text>
        <r>
          <rPr>
            <sz val="8"/>
            <color indexed="81"/>
            <rFont val="Tahoma"/>
            <family val="2"/>
          </rPr>
          <t>Attached dwellings includes flats, units and apartments plus semi-detached, row and terrace houses.</t>
        </r>
      </text>
    </comment>
    <comment ref="W1" authorId="0" shapeId="0" xr:uid="{0D198B6E-1C56-4089-A215-403F0EB08B94}">
      <text>
        <r>
          <rPr>
            <sz val="8"/>
            <color indexed="81"/>
            <rFont val="Tahoma"/>
            <family val="2"/>
          </rPr>
          <t>Attached dwellings includes flats, units and apartments plus semi-detached, row and terrace houses.</t>
        </r>
      </text>
    </comment>
    <comment ref="X1" authorId="0" shapeId="0" xr:uid="{3E37ECA9-03BB-4B6F-AA93-A5E854D5DDD0}">
      <text>
        <r>
          <rPr>
            <sz val="8"/>
            <color indexed="81"/>
            <rFont val="Tahoma"/>
            <family val="2"/>
          </rPr>
          <t>Attached dwellings includes flats, units and apartments plus semi-detached, row and terrace houses.</t>
        </r>
      </text>
    </comment>
    <comment ref="Y1" authorId="0" shapeId="0" xr:uid="{911945AE-3C9D-472D-BB7E-C5FAFF40AEBF}">
      <text>
        <r>
          <rPr>
            <sz val="8"/>
            <color indexed="81"/>
            <rFont val="Tahoma"/>
            <family val="2"/>
          </rPr>
          <t>Attached dwellings includes flats, units and apartments plus semi-detached, row and terrace houses.</t>
        </r>
      </text>
    </comment>
    <comment ref="Z1" authorId="0" shapeId="0" xr:uid="{8A9730A1-9F8D-4113-9779-C9E8F197D601}">
      <text>
        <r>
          <rPr>
            <sz val="8"/>
            <color indexed="81"/>
            <rFont val="Tahoma"/>
            <family val="2"/>
          </rPr>
          <t>Attached dwellings includes flats, units and apartments plus semi-detached, row and terrace houses.</t>
        </r>
      </text>
    </comment>
    <comment ref="AA1" authorId="0" shapeId="0" xr:uid="{82FBAFC2-86EB-4471-AFC2-D5FDA000C1B2}">
      <text>
        <r>
          <rPr>
            <sz val="8"/>
            <color indexed="81"/>
            <rFont val="Tahoma"/>
            <family val="2"/>
          </rPr>
          <t>Attached dwellings includes flats, units and apartments plus semi-detached, row and terrace houses.</t>
        </r>
      </text>
    </comment>
    <comment ref="AB1" authorId="0" shapeId="0" xr:uid="{BB46C58C-CBE4-406F-AB16-504EDEF4B811}">
      <text>
        <r>
          <rPr>
            <sz val="8"/>
            <color indexed="81"/>
            <rFont val="Tahoma"/>
            <family val="2"/>
          </rPr>
          <t>Attached dwellings includes flats, units and apartments plus semi-detached, row and terrace houses.</t>
        </r>
      </text>
    </comment>
    <comment ref="AC1" authorId="0" shapeId="0" xr:uid="{C05170B5-1B0F-4DF1-B688-30223E3F0B9D}">
      <text>
        <r>
          <rPr>
            <sz val="8"/>
            <color indexed="81"/>
            <rFont val="Tahoma"/>
            <family val="2"/>
          </rPr>
          <t>Attached dwellings includes flats, units and apartments plus semi-detached, row and terrace houses.</t>
        </r>
      </text>
    </comment>
    <comment ref="AD1" authorId="0" shapeId="0" xr:uid="{C70B48E3-484F-4C55-B103-AD6B8C0271C5}">
      <text>
        <r>
          <rPr>
            <sz val="8"/>
            <color indexed="81"/>
            <rFont val="Tahoma"/>
            <family val="2"/>
          </rPr>
          <t>Attached dwellings includes flats, units and apartments plus semi-detached, row and terrace houses.</t>
        </r>
      </text>
    </comment>
    <comment ref="AE1" authorId="0" shapeId="0" xr:uid="{C667635D-3477-4732-BB3D-42C9813AE9C4}">
      <text>
        <r>
          <rPr>
            <sz val="8"/>
            <color indexed="81"/>
            <rFont val="Tahoma"/>
            <family val="2"/>
          </rPr>
          <t>Attached dwellings includes flats, units and apartments plus semi-detached, row and terrace houses.</t>
        </r>
      </text>
    </comment>
    <comment ref="AU1" authorId="0" shapeId="0" xr:uid="{D8AFCF95-AD6D-4011-A901-EECC3C540149}">
      <text>
        <r>
          <rPr>
            <sz val="8"/>
            <color indexed="81"/>
            <rFont val="Tahoma"/>
            <family val="2"/>
          </rPr>
          <t>Attached dwellings includes flats, units and apartments plus semi-detached, row and terrace houses.</t>
        </r>
      </text>
    </comment>
    <comment ref="AV1" authorId="0" shapeId="0" xr:uid="{E5E842B4-9EC1-40DC-8F59-CEA9DE6F07A4}">
      <text>
        <r>
          <rPr>
            <sz val="8"/>
            <color indexed="81"/>
            <rFont val="Tahoma"/>
            <family val="2"/>
          </rPr>
          <t>Attached dwellings includes flats, units and apartments plus semi-detached, row and terrace houses.</t>
        </r>
      </text>
    </comment>
    <comment ref="AW1" authorId="0" shapeId="0" xr:uid="{1BDCA899-FFA5-4F43-87EE-C4A360BD8BC9}">
      <text>
        <r>
          <rPr>
            <sz val="8"/>
            <color indexed="81"/>
            <rFont val="Tahoma"/>
            <family val="2"/>
          </rPr>
          <t>Attached dwellings includes flats, units and apartments plus semi-detached, row and terrace houses.</t>
        </r>
      </text>
    </comment>
    <comment ref="AX1" authorId="0" shapeId="0" xr:uid="{45D36AC8-7F54-45E4-ADCA-1A38EB900ACA}">
      <text>
        <r>
          <rPr>
            <sz val="8"/>
            <color indexed="81"/>
            <rFont val="Tahoma"/>
            <family val="2"/>
          </rPr>
          <t>Attached dwellings includes flats, units and apartments plus semi-detached, row and terrace houses.</t>
        </r>
      </text>
    </comment>
    <comment ref="AY1" authorId="0" shapeId="0" xr:uid="{13B5A90A-6A13-4537-B4E9-37D4FDA4BF55}">
      <text>
        <r>
          <rPr>
            <sz val="8"/>
            <color indexed="81"/>
            <rFont val="Tahoma"/>
            <family val="2"/>
          </rPr>
          <t>Attached dwellings includes flats, units and apartments plus semi-detached, row and terrace houses.</t>
        </r>
      </text>
    </comment>
    <comment ref="AZ1" authorId="0" shapeId="0" xr:uid="{36899DD7-48A8-4043-90C6-2FC239F3ED6B}">
      <text>
        <r>
          <rPr>
            <sz val="8"/>
            <color indexed="81"/>
            <rFont val="Tahoma"/>
            <family val="2"/>
          </rPr>
          <t>Attached dwellings includes flats, units and apartments plus semi-detached, row and terrace houses.</t>
        </r>
      </text>
    </comment>
    <comment ref="BA1" authorId="0" shapeId="0" xr:uid="{178BCED2-A49A-4EC1-889E-D2388A104FA3}">
      <text>
        <r>
          <rPr>
            <sz val="8"/>
            <color indexed="81"/>
            <rFont val="Tahoma"/>
            <family val="2"/>
          </rPr>
          <t>Attached dwellings includes flats, units and apartments plus semi-detached, row and terrace houses.</t>
        </r>
      </text>
    </comment>
    <comment ref="BB1" authorId="0" shapeId="0" xr:uid="{745DABC8-EC18-460C-B941-87C9A3FCB62B}">
      <text>
        <r>
          <rPr>
            <sz val="8"/>
            <color indexed="81"/>
            <rFont val="Tahoma"/>
            <family val="2"/>
          </rPr>
          <t>Attached dwellings includes flats, units and apartments plus semi-detached, row and terrace houses.</t>
        </r>
      </text>
    </comment>
    <comment ref="BC1" authorId="0" shapeId="0" xr:uid="{E1ABAF80-23BF-4845-A6D9-F4C88C69C320}">
      <text>
        <r>
          <rPr>
            <sz val="8"/>
            <color indexed="81"/>
            <rFont val="Tahoma"/>
            <family val="2"/>
          </rPr>
          <t>Attached dwellings includes flats, units and apartments plus semi-detached, row and terrace houses.</t>
        </r>
      </text>
    </comment>
    <comment ref="BD1" authorId="0" shapeId="0" xr:uid="{85C19BE5-B286-430A-B63D-DCEEC9525178}">
      <text>
        <r>
          <rPr>
            <sz val="8"/>
            <color indexed="81"/>
            <rFont val="Tahoma"/>
            <family val="2"/>
          </rPr>
          <t>Attached dwellings includes flats, units and apartments plus semi-detached, row and terrace houses.</t>
        </r>
      </text>
    </comment>
    <comment ref="BE1" authorId="0" shapeId="0" xr:uid="{8A361AEC-A0BD-454A-A58E-6C0D7092CAF7}">
      <text>
        <r>
          <rPr>
            <sz val="8"/>
            <color indexed="81"/>
            <rFont val="Tahoma"/>
            <family val="2"/>
          </rPr>
          <t>Attached dwellings includes flats, units and apartments plus semi-detached, row and terrace houses.</t>
        </r>
      </text>
    </comment>
    <comment ref="BF1" authorId="0" shapeId="0" xr:uid="{C2EC42C7-85A0-4740-8F91-53B2076437CE}">
      <text>
        <r>
          <rPr>
            <sz val="8"/>
            <color indexed="81"/>
            <rFont val="Tahoma"/>
            <family val="2"/>
          </rPr>
          <t>Attached dwellings includes flats, units and apartments plus semi-detached, row and terrace houses.</t>
        </r>
      </text>
    </comment>
    <comment ref="BG1" authorId="0" shapeId="0" xr:uid="{0ADC0907-2217-4FC5-ABF4-51ECB5A0233F}">
      <text>
        <r>
          <rPr>
            <sz val="8"/>
            <color indexed="81"/>
            <rFont val="Tahoma"/>
            <family val="2"/>
          </rPr>
          <t>Attached dwellings includes flats, units and apartments plus semi-detached, row and terrace houses.</t>
        </r>
      </text>
    </comment>
    <comment ref="BH1" authorId="0" shapeId="0" xr:uid="{9876B2A6-59B4-4E48-BED9-F0F16BB5E444}">
      <text>
        <r>
          <rPr>
            <sz val="8"/>
            <color indexed="81"/>
            <rFont val="Tahoma"/>
            <family val="2"/>
          </rPr>
          <t>Attached dwellings includes flats, units and apartments plus semi-detached, row and terrace houses.</t>
        </r>
      </text>
    </comment>
    <comment ref="BI1" authorId="0" shapeId="0" xr:uid="{A700DDBD-6913-4ED0-A956-16B0EFAE55FC}">
      <text>
        <r>
          <rPr>
            <sz val="8"/>
            <color indexed="81"/>
            <rFont val="Tahoma"/>
            <family val="2"/>
          </rPr>
          <t>Attached dwellings includes flats, units and apartments plus semi-detached, row and terrace houses.</t>
        </r>
      </text>
    </comment>
    <comment ref="A6" authorId="0" shapeId="0" xr:uid="{F1E3F243-C0B1-46E4-9B69-EB74C3325702}">
      <text>
        <r>
          <rPr>
            <sz val="8"/>
            <color indexed="81"/>
            <rFont val="Tahoma"/>
            <family val="2"/>
          </rPr>
          <t>Refers to series collected at quarterly and lesser frequencies only.
Indicates which month in the collection period the data refers to.</t>
        </r>
      </text>
    </comment>
    <comment ref="J97" authorId="0" shapeId="0" xr:uid="{44E5B53C-BE04-4C66-941F-4660BB2D776E}">
      <text>
        <r>
          <rPr>
            <sz val="8"/>
            <color indexed="81"/>
            <rFont val="Tahoma"/>
            <family val="2"/>
          </rPr>
          <t>revised</t>
        </r>
      </text>
    </comment>
    <comment ref="K97" authorId="0" shapeId="0" xr:uid="{125D08E9-6454-4AE0-85B8-2796DDE8773A}">
      <text>
        <r>
          <rPr>
            <sz val="8"/>
            <color indexed="81"/>
            <rFont val="Tahoma"/>
            <family val="2"/>
          </rPr>
          <t>revised</t>
        </r>
      </text>
    </comment>
    <comment ref="L97" authorId="0" shapeId="0" xr:uid="{8FD0AA6F-7618-43E4-9082-2AD8F16EE6B9}">
      <text>
        <r>
          <rPr>
            <sz val="8"/>
            <color indexed="81"/>
            <rFont val="Tahoma"/>
            <family val="2"/>
          </rPr>
          <t>revised</t>
        </r>
      </text>
    </comment>
    <comment ref="M97" authorId="0" shapeId="0" xr:uid="{E8C88C85-6ACE-44ED-AFE1-8ABEC897F4C3}">
      <text>
        <r>
          <rPr>
            <sz val="8"/>
            <color indexed="81"/>
            <rFont val="Tahoma"/>
            <family val="2"/>
          </rPr>
          <t>revised</t>
        </r>
      </text>
    </comment>
    <comment ref="Z97" authorId="0" shapeId="0" xr:uid="{B59FECAB-F98B-4CC6-9468-77BEEB9D111A}">
      <text>
        <r>
          <rPr>
            <sz val="8"/>
            <color indexed="81"/>
            <rFont val="Tahoma"/>
            <family val="2"/>
          </rPr>
          <t>revised</t>
        </r>
      </text>
    </comment>
    <comment ref="AF97" authorId="0" shapeId="0" xr:uid="{AC24EF5A-3F90-4FEF-928A-0FBC8974A0E8}">
      <text>
        <r>
          <rPr>
            <sz val="8"/>
            <color indexed="81"/>
            <rFont val="Tahoma"/>
            <family val="2"/>
          </rPr>
          <t>revised</t>
        </r>
      </text>
    </comment>
    <comment ref="AH97" authorId="0" shapeId="0" xr:uid="{AE406641-6886-4CB3-932E-4736AB8375E1}">
      <text>
        <r>
          <rPr>
            <sz val="8"/>
            <color indexed="81"/>
            <rFont val="Tahoma"/>
            <family val="2"/>
          </rPr>
          <t>revised</t>
        </r>
      </text>
    </comment>
    <comment ref="AI97" authorId="0" shapeId="0" xr:uid="{0D6D9349-45D8-462C-BC45-A3AAE5342539}">
      <text>
        <r>
          <rPr>
            <sz val="8"/>
            <color indexed="81"/>
            <rFont val="Tahoma"/>
            <family val="2"/>
          </rPr>
          <t>revised</t>
        </r>
      </text>
    </comment>
    <comment ref="AJ97" authorId="0" shapeId="0" xr:uid="{7DE8D48D-4048-4E1E-989B-F9C9CA20138B}">
      <text>
        <r>
          <rPr>
            <sz val="8"/>
            <color indexed="81"/>
            <rFont val="Tahoma"/>
            <family val="2"/>
          </rPr>
          <t>revised</t>
        </r>
      </text>
    </comment>
    <comment ref="AK97" authorId="0" shapeId="0" xr:uid="{AB0B14DE-1347-4331-95DF-CE3F34652A6D}">
      <text>
        <r>
          <rPr>
            <sz val="8"/>
            <color indexed="81"/>
            <rFont val="Tahoma"/>
            <family val="2"/>
          </rPr>
          <t>revised</t>
        </r>
      </text>
    </comment>
    <comment ref="AL97" authorId="0" shapeId="0" xr:uid="{252B64D3-BFB5-451A-9458-297D007E9381}">
      <text>
        <r>
          <rPr>
            <sz val="8"/>
            <color indexed="81"/>
            <rFont val="Tahoma"/>
            <family val="2"/>
          </rPr>
          <t>revised</t>
        </r>
      </text>
    </comment>
    <comment ref="AN97" authorId="0" shapeId="0" xr:uid="{E6AA9942-FA7D-45C6-9FA2-EC592F901FA3}">
      <text>
        <r>
          <rPr>
            <sz val="8"/>
            <color indexed="81"/>
            <rFont val="Tahoma"/>
            <family val="2"/>
          </rPr>
          <t>revised</t>
        </r>
      </text>
    </comment>
    <comment ref="AO97" authorId="0" shapeId="0" xr:uid="{282AABE6-DC83-47E2-8169-27CA257747B5}">
      <text>
        <r>
          <rPr>
            <sz val="8"/>
            <color indexed="81"/>
            <rFont val="Tahoma"/>
            <family val="2"/>
          </rPr>
          <t>revised</t>
        </r>
      </text>
    </comment>
    <comment ref="AP97" authorId="0" shapeId="0" xr:uid="{E87312C2-A8D2-4C71-9AAE-A2B9C37B3D9F}">
      <text>
        <r>
          <rPr>
            <sz val="8"/>
            <color indexed="81"/>
            <rFont val="Tahoma"/>
            <family val="2"/>
          </rPr>
          <t>revised</t>
        </r>
      </text>
    </comment>
    <comment ref="AQ97" authorId="0" shapeId="0" xr:uid="{DFA623B3-24F0-416A-8ACD-36A6A4652BAF}">
      <text>
        <r>
          <rPr>
            <sz val="8"/>
            <color indexed="81"/>
            <rFont val="Tahoma"/>
            <family val="2"/>
          </rPr>
          <t>revised</t>
        </r>
      </text>
    </comment>
    <comment ref="AU97" authorId="0" shapeId="0" xr:uid="{1DEF4367-71A5-4383-B0B0-BFEC0365E722}">
      <text>
        <r>
          <rPr>
            <sz val="8"/>
            <color indexed="81"/>
            <rFont val="Tahoma"/>
            <family val="2"/>
          </rPr>
          <t>revised</t>
        </r>
      </text>
    </comment>
    <comment ref="AV97" authorId="0" shapeId="0" xr:uid="{70FC75FA-8083-467E-8EE1-51D19A1F7989}">
      <text>
        <r>
          <rPr>
            <sz val="8"/>
            <color indexed="81"/>
            <rFont val="Tahoma"/>
            <family val="2"/>
          </rPr>
          <t>revised</t>
        </r>
      </text>
    </comment>
    <comment ref="AW97" authorId="0" shapeId="0" xr:uid="{9851EDBD-3C1D-472C-9C8A-85BAC78520FE}">
      <text>
        <r>
          <rPr>
            <sz val="8"/>
            <color indexed="81"/>
            <rFont val="Tahoma"/>
            <family val="2"/>
          </rPr>
          <t>revised</t>
        </r>
      </text>
    </comment>
    <comment ref="AY97" authorId="0" shapeId="0" xr:uid="{8AB552B2-F11C-4C13-A2CE-F649FDAA9F5C}">
      <text>
        <r>
          <rPr>
            <sz val="8"/>
            <color indexed="81"/>
            <rFont val="Tahoma"/>
            <family val="2"/>
          </rPr>
          <t>revised</t>
        </r>
      </text>
    </comment>
    <comment ref="AZ97" authorId="0" shapeId="0" xr:uid="{421AC7E5-7DB8-44C3-B1A7-E97E033763AE}">
      <text>
        <r>
          <rPr>
            <sz val="8"/>
            <color indexed="81"/>
            <rFont val="Tahoma"/>
            <family val="2"/>
          </rPr>
          <t>revised</t>
        </r>
      </text>
    </comment>
    <comment ref="BC97" authorId="0" shapeId="0" xr:uid="{578F147D-C1EA-4F69-969A-46708FBDDAC6}">
      <text>
        <r>
          <rPr>
            <sz val="8"/>
            <color indexed="81"/>
            <rFont val="Tahoma"/>
            <family val="2"/>
          </rPr>
          <t>revised</t>
        </r>
      </text>
    </comment>
    <comment ref="BD97" authorId="0" shapeId="0" xr:uid="{407DC16C-5120-4EC1-8DF4-2E7AE7324560}">
      <text>
        <r>
          <rPr>
            <sz val="8"/>
            <color indexed="81"/>
            <rFont val="Tahoma"/>
            <family val="2"/>
          </rPr>
          <t>revised</t>
        </r>
      </text>
    </comment>
    <comment ref="H98" authorId="0" shapeId="0" xr:uid="{3E914551-7696-475D-8CE8-F9DBD1A02677}">
      <text>
        <r>
          <rPr>
            <sz val="8"/>
            <color indexed="81"/>
            <rFont val="Tahoma"/>
            <family val="2"/>
          </rPr>
          <t>revised</t>
        </r>
      </text>
    </comment>
    <comment ref="J98" authorId="0" shapeId="0" xr:uid="{6BEA4D8E-333A-4551-87BC-7C3149F1FA74}">
      <text>
        <r>
          <rPr>
            <sz val="8"/>
            <color indexed="81"/>
            <rFont val="Tahoma"/>
            <family val="2"/>
          </rPr>
          <t>revised</t>
        </r>
      </text>
    </comment>
    <comment ref="K98" authorId="0" shapeId="0" xr:uid="{2955C72E-457D-4DA9-88F0-56B2F3B33857}">
      <text>
        <r>
          <rPr>
            <sz val="8"/>
            <color indexed="81"/>
            <rFont val="Tahoma"/>
            <family val="2"/>
          </rPr>
          <t>revised</t>
        </r>
      </text>
    </comment>
    <comment ref="L98" authorId="0" shapeId="0" xr:uid="{E04E11F5-5266-48F9-9BBD-4B429E548D23}">
      <text>
        <r>
          <rPr>
            <sz val="8"/>
            <color indexed="81"/>
            <rFont val="Tahoma"/>
            <family val="2"/>
          </rPr>
          <t>revised</t>
        </r>
      </text>
    </comment>
    <comment ref="R98" authorId="0" shapeId="0" xr:uid="{872CC450-49E5-46D3-B848-9A61A807CB8B}">
      <text>
        <r>
          <rPr>
            <sz val="8"/>
            <color indexed="81"/>
            <rFont val="Tahoma"/>
            <family val="2"/>
          </rPr>
          <t>revised</t>
        </r>
      </text>
    </comment>
    <comment ref="S98" authorId="0" shapeId="0" xr:uid="{26DEC3A4-4FB1-4072-8F43-8E0133A11B60}">
      <text>
        <r>
          <rPr>
            <sz val="8"/>
            <color indexed="81"/>
            <rFont val="Tahoma"/>
            <family val="2"/>
          </rPr>
          <t>revised</t>
        </r>
      </text>
    </comment>
    <comment ref="V98" authorId="0" shapeId="0" xr:uid="{4CAB19CA-CBD7-43F2-9245-D11AEAD46760}">
      <text>
        <r>
          <rPr>
            <sz val="8"/>
            <color indexed="81"/>
            <rFont val="Tahoma"/>
            <family val="2"/>
          </rPr>
          <t>revised</t>
        </r>
      </text>
    </comment>
    <comment ref="W98" authorId="0" shapeId="0" xr:uid="{2CA342F2-2BE9-4E49-8F9F-5AD1DBA4C19D}">
      <text>
        <r>
          <rPr>
            <sz val="8"/>
            <color indexed="81"/>
            <rFont val="Tahoma"/>
            <family val="2"/>
          </rPr>
          <t>revised</t>
        </r>
      </text>
    </comment>
    <comment ref="Z98" authorId="0" shapeId="0" xr:uid="{49C9A331-D9B6-478A-8154-93562CF77343}">
      <text>
        <r>
          <rPr>
            <sz val="8"/>
            <color indexed="81"/>
            <rFont val="Tahoma"/>
            <family val="2"/>
          </rPr>
          <t>revised</t>
        </r>
      </text>
    </comment>
    <comment ref="AF98" authorId="0" shapeId="0" xr:uid="{C32FBFB1-BBAC-4AAC-A5AC-8079EF931019}">
      <text>
        <r>
          <rPr>
            <sz val="8"/>
            <color indexed="81"/>
            <rFont val="Tahoma"/>
            <family val="2"/>
          </rPr>
          <t>revised</t>
        </r>
      </text>
    </comment>
    <comment ref="AG98" authorId="0" shapeId="0" xr:uid="{D826FB92-44D3-4786-A6E6-0F2737F22B9F}">
      <text>
        <r>
          <rPr>
            <sz val="8"/>
            <color indexed="81"/>
            <rFont val="Tahoma"/>
            <family val="2"/>
          </rPr>
          <t>revised</t>
        </r>
      </text>
    </comment>
    <comment ref="AH98" authorId="0" shapeId="0" xr:uid="{C99F4E9C-E83C-4600-96E0-C6D44F90CECE}">
      <text>
        <r>
          <rPr>
            <sz val="8"/>
            <color indexed="81"/>
            <rFont val="Tahoma"/>
            <family val="2"/>
          </rPr>
          <t>revised</t>
        </r>
      </text>
    </comment>
    <comment ref="AJ98" authorId="0" shapeId="0" xr:uid="{C41CAD3F-B190-4D90-A967-5F86C38C572A}">
      <text>
        <r>
          <rPr>
            <sz val="8"/>
            <color indexed="81"/>
            <rFont val="Tahoma"/>
            <family val="2"/>
          </rPr>
          <t>revised</t>
        </r>
      </text>
    </comment>
    <comment ref="AL98" authorId="0" shapeId="0" xr:uid="{09BA4796-F7E2-445D-911E-EE47BC2A8C56}">
      <text>
        <r>
          <rPr>
            <sz val="8"/>
            <color indexed="81"/>
            <rFont val="Tahoma"/>
            <family val="2"/>
          </rPr>
          <t>revised</t>
        </r>
      </text>
    </comment>
    <comment ref="AN98" authorId="0" shapeId="0" xr:uid="{D58F1435-EBA2-49E5-A62E-A8C6CACFDAC3}">
      <text>
        <r>
          <rPr>
            <sz val="8"/>
            <color indexed="81"/>
            <rFont val="Tahoma"/>
            <family val="2"/>
          </rPr>
          <t>revised</t>
        </r>
      </text>
    </comment>
    <comment ref="AO98" authorId="0" shapeId="0" xr:uid="{7D23D33B-0CF2-41DB-961A-5653E2080DD7}">
      <text>
        <r>
          <rPr>
            <sz val="8"/>
            <color indexed="81"/>
            <rFont val="Tahoma"/>
            <family val="2"/>
          </rPr>
          <t>revised</t>
        </r>
      </text>
    </comment>
    <comment ref="AP98" authorId="0" shapeId="0" xr:uid="{849C7E5E-5230-4370-873A-21D6E512AC53}">
      <text>
        <r>
          <rPr>
            <sz val="8"/>
            <color indexed="81"/>
            <rFont val="Tahoma"/>
            <family val="2"/>
          </rPr>
          <t>revised</t>
        </r>
      </text>
    </comment>
    <comment ref="AQ98" authorId="0" shapeId="0" xr:uid="{1E42B401-490C-4B05-A5FD-56832C3C4DCD}">
      <text>
        <r>
          <rPr>
            <sz val="8"/>
            <color indexed="81"/>
            <rFont val="Tahoma"/>
            <family val="2"/>
          </rPr>
          <t>revised</t>
        </r>
      </text>
    </comment>
    <comment ref="AU98" authorId="0" shapeId="0" xr:uid="{F2234696-9F87-4D4B-910F-A65490AF634F}">
      <text>
        <r>
          <rPr>
            <sz val="8"/>
            <color indexed="81"/>
            <rFont val="Tahoma"/>
            <family val="2"/>
          </rPr>
          <t>revised</t>
        </r>
      </text>
    </comment>
    <comment ref="AV98" authorId="0" shapeId="0" xr:uid="{9E752DC5-C196-4EAE-BAA5-938988BB2445}">
      <text>
        <r>
          <rPr>
            <sz val="8"/>
            <color indexed="81"/>
            <rFont val="Tahoma"/>
            <family val="2"/>
          </rPr>
          <t>revised</t>
        </r>
      </text>
    </comment>
    <comment ref="AW98" authorId="0" shapeId="0" xr:uid="{967375AB-B609-4C67-808D-342ECCEE0FED}">
      <text>
        <r>
          <rPr>
            <sz val="8"/>
            <color indexed="81"/>
            <rFont val="Tahoma"/>
            <family val="2"/>
          </rPr>
          <t>revised</t>
        </r>
      </text>
    </comment>
    <comment ref="AY98" authorId="0" shapeId="0" xr:uid="{BF636A89-4C33-4C62-A546-5AD6537151C3}">
      <text>
        <r>
          <rPr>
            <sz val="8"/>
            <color indexed="81"/>
            <rFont val="Tahoma"/>
            <family val="2"/>
          </rPr>
          <t>revised</t>
        </r>
      </text>
    </comment>
    <comment ref="AZ98" authorId="0" shapeId="0" xr:uid="{658DB6E5-DF81-41F3-B213-6579F7B3BAA5}">
      <text>
        <r>
          <rPr>
            <sz val="8"/>
            <color indexed="81"/>
            <rFont val="Tahoma"/>
            <family val="2"/>
          </rPr>
          <t>revised</t>
        </r>
      </text>
    </comment>
    <comment ref="BA98" authorId="0" shapeId="0" xr:uid="{2266E30E-BABD-4630-B947-3C4F331B2615}">
      <text>
        <r>
          <rPr>
            <sz val="8"/>
            <color indexed="81"/>
            <rFont val="Tahoma"/>
            <family val="2"/>
          </rPr>
          <t>revised</t>
        </r>
      </text>
    </comment>
    <comment ref="BC98" authorId="0" shapeId="0" xr:uid="{C1EF582E-B8F2-4857-8E6A-F5D938D8AE8D}">
      <text>
        <r>
          <rPr>
            <sz val="8"/>
            <color indexed="81"/>
            <rFont val="Tahoma"/>
            <family val="2"/>
          </rPr>
          <t>revised</t>
        </r>
      </text>
    </comment>
    <comment ref="BD98" authorId="0" shapeId="0" xr:uid="{B2F0B1EB-4B91-4202-A199-D3D936F1E6AA}">
      <text>
        <r>
          <rPr>
            <sz val="8"/>
            <color indexed="81"/>
            <rFont val="Tahoma"/>
            <family val="2"/>
          </rPr>
          <t>revised</t>
        </r>
      </text>
    </comment>
    <comment ref="H99" authorId="0" shapeId="0" xr:uid="{3ED77541-9B9E-4B3A-A871-EF8E043F64AA}">
      <text>
        <r>
          <rPr>
            <sz val="8"/>
            <color indexed="81"/>
            <rFont val="Tahoma"/>
            <family val="2"/>
          </rPr>
          <t>revised</t>
        </r>
      </text>
    </comment>
    <comment ref="J99" authorId="0" shapeId="0" xr:uid="{AA5683F6-5574-4916-9E06-1D4F7F85EAB8}">
      <text>
        <r>
          <rPr>
            <sz val="8"/>
            <color indexed="81"/>
            <rFont val="Tahoma"/>
            <family val="2"/>
          </rPr>
          <t>revised</t>
        </r>
      </text>
    </comment>
    <comment ref="M99" authorId="0" shapeId="0" xr:uid="{7D08CF35-4668-483B-97B8-20E10C94461B}">
      <text>
        <r>
          <rPr>
            <sz val="8"/>
            <color indexed="81"/>
            <rFont val="Tahoma"/>
            <family val="2"/>
          </rPr>
          <t>revised</t>
        </r>
      </text>
    </comment>
    <comment ref="R99" authorId="0" shapeId="0" xr:uid="{50D7AC2E-144D-48F9-8247-0741879D4CFD}">
      <text>
        <r>
          <rPr>
            <sz val="8"/>
            <color indexed="81"/>
            <rFont val="Tahoma"/>
            <family val="2"/>
          </rPr>
          <t>revised</t>
        </r>
      </text>
    </comment>
    <comment ref="T99" authorId="0" shapeId="0" xr:uid="{18233089-2284-4068-A14A-FF898A72F0F6}">
      <text>
        <r>
          <rPr>
            <sz val="8"/>
            <color indexed="81"/>
            <rFont val="Tahoma"/>
            <family val="2"/>
          </rPr>
          <t>revised</t>
        </r>
      </text>
    </comment>
    <comment ref="Z99" authorId="0" shapeId="0" xr:uid="{AF291592-61FC-4028-977A-C26F3725CA93}">
      <text>
        <r>
          <rPr>
            <sz val="8"/>
            <color indexed="81"/>
            <rFont val="Tahoma"/>
            <family val="2"/>
          </rPr>
          <t>revised</t>
        </r>
      </text>
    </comment>
    <comment ref="AG99" authorId="0" shapeId="0" xr:uid="{59FDDF51-42CB-4314-A61A-2E560D0144F5}">
      <text>
        <r>
          <rPr>
            <sz val="8"/>
            <color indexed="81"/>
            <rFont val="Tahoma"/>
            <family val="2"/>
          </rPr>
          <t>revised</t>
        </r>
      </text>
    </comment>
    <comment ref="AH99" authorId="0" shapeId="0" xr:uid="{276B32BC-81C1-4F03-B894-F1507EDE2AFE}">
      <text>
        <r>
          <rPr>
            <sz val="8"/>
            <color indexed="81"/>
            <rFont val="Tahoma"/>
            <family val="2"/>
          </rPr>
          <t>revised</t>
        </r>
      </text>
    </comment>
    <comment ref="AI99" authorId="0" shapeId="0" xr:uid="{B1113F23-7102-461C-B648-F96FC4CA4495}">
      <text>
        <r>
          <rPr>
            <sz val="8"/>
            <color indexed="81"/>
            <rFont val="Tahoma"/>
            <family val="2"/>
          </rPr>
          <t>revised</t>
        </r>
      </text>
    </comment>
    <comment ref="AK99" authorId="0" shapeId="0" xr:uid="{66E0BB91-71E8-4144-8983-79A466174E23}">
      <text>
        <r>
          <rPr>
            <sz val="8"/>
            <color indexed="81"/>
            <rFont val="Tahoma"/>
            <family val="2"/>
          </rPr>
          <t>revised</t>
        </r>
      </text>
    </comment>
    <comment ref="AL99" authorId="0" shapeId="0" xr:uid="{3421F56E-66E5-45B2-9158-D8B1F7AA635E}">
      <text>
        <r>
          <rPr>
            <sz val="8"/>
            <color indexed="81"/>
            <rFont val="Tahoma"/>
            <family val="2"/>
          </rPr>
          <t>revised</t>
        </r>
      </text>
    </comment>
    <comment ref="AM99" authorId="0" shapeId="0" xr:uid="{0068514F-A3D1-405F-B05C-D874865CF2D0}">
      <text>
        <r>
          <rPr>
            <sz val="8"/>
            <color indexed="81"/>
            <rFont val="Tahoma"/>
            <family val="2"/>
          </rPr>
          <t>revised</t>
        </r>
      </text>
    </comment>
    <comment ref="AN99" authorId="0" shapeId="0" xr:uid="{98B42DF2-DCB4-414E-90C7-EA681380921A}">
      <text>
        <r>
          <rPr>
            <sz val="8"/>
            <color indexed="81"/>
            <rFont val="Tahoma"/>
            <family val="2"/>
          </rPr>
          <t>revised</t>
        </r>
      </text>
    </comment>
    <comment ref="AO99" authorId="0" shapeId="0" xr:uid="{58EDBD33-2BCE-4C4D-A727-FE8E4B2A1E07}">
      <text>
        <r>
          <rPr>
            <sz val="8"/>
            <color indexed="81"/>
            <rFont val="Tahoma"/>
            <family val="2"/>
          </rPr>
          <t>revised</t>
        </r>
      </text>
    </comment>
    <comment ref="AQ99" authorId="0" shapeId="0" xr:uid="{512FF15C-C88A-40CB-973F-B59FCB64E389}">
      <text>
        <r>
          <rPr>
            <sz val="8"/>
            <color indexed="81"/>
            <rFont val="Tahoma"/>
            <family val="2"/>
          </rPr>
          <t>revised</t>
        </r>
      </text>
    </comment>
    <comment ref="AR99" authorId="0" shapeId="0" xr:uid="{8CE46E1A-C373-4A73-8EE5-84C6E54F0FC2}">
      <text>
        <r>
          <rPr>
            <sz val="8"/>
            <color indexed="81"/>
            <rFont val="Tahoma"/>
            <family val="2"/>
          </rPr>
          <t>revised</t>
        </r>
      </text>
    </comment>
    <comment ref="AT99" authorId="0" shapeId="0" xr:uid="{48C689DF-D3A2-4DAC-8480-11ACC2EB81E7}">
      <text>
        <r>
          <rPr>
            <sz val="8"/>
            <color indexed="81"/>
            <rFont val="Tahoma"/>
            <family val="2"/>
          </rPr>
          <t>revised</t>
        </r>
      </text>
    </comment>
    <comment ref="AU99" authorId="0" shapeId="0" xr:uid="{E050EE44-AAB2-4CE2-8F93-C1A908CF42C8}">
      <text>
        <r>
          <rPr>
            <sz val="8"/>
            <color indexed="81"/>
            <rFont val="Tahoma"/>
            <family val="2"/>
          </rPr>
          <t>revised</t>
        </r>
      </text>
    </comment>
    <comment ref="AV99" authorId="0" shapeId="0" xr:uid="{A6FBFC30-874D-422C-908E-597538C69D05}">
      <text>
        <r>
          <rPr>
            <sz val="8"/>
            <color indexed="81"/>
            <rFont val="Tahoma"/>
            <family val="2"/>
          </rPr>
          <t>revised</t>
        </r>
      </text>
    </comment>
    <comment ref="AW99" authorId="0" shapeId="0" xr:uid="{C3775412-1319-4419-8D6B-DB0316791460}">
      <text>
        <r>
          <rPr>
            <sz val="8"/>
            <color indexed="81"/>
            <rFont val="Tahoma"/>
            <family val="2"/>
          </rPr>
          <t>revised</t>
        </r>
      </text>
    </comment>
    <comment ref="AX99" authorId="0" shapeId="0" xr:uid="{3284035D-AD7D-49F3-85D1-BD467A57BAED}">
      <text>
        <r>
          <rPr>
            <sz val="8"/>
            <color indexed="81"/>
            <rFont val="Tahoma"/>
            <family val="2"/>
          </rPr>
          <t>revised</t>
        </r>
      </text>
    </comment>
    <comment ref="AY99" authorId="0" shapeId="0" xr:uid="{9C7AFD6E-543C-45AD-A40A-0460AE491C0D}">
      <text>
        <r>
          <rPr>
            <sz val="8"/>
            <color indexed="81"/>
            <rFont val="Tahoma"/>
            <family val="2"/>
          </rPr>
          <t>revised</t>
        </r>
      </text>
    </comment>
    <comment ref="AZ99" authorId="0" shapeId="0" xr:uid="{096A52D4-058B-472B-8357-323954B470B6}">
      <text>
        <r>
          <rPr>
            <sz val="8"/>
            <color indexed="81"/>
            <rFont val="Tahoma"/>
            <family val="2"/>
          </rPr>
          <t>revised</t>
        </r>
      </text>
    </comment>
    <comment ref="BC99" authorId="0" shapeId="0" xr:uid="{9FE1129D-ED53-4124-AF09-B059F23DF328}">
      <text>
        <r>
          <rPr>
            <sz val="8"/>
            <color indexed="81"/>
            <rFont val="Tahoma"/>
            <family val="2"/>
          </rPr>
          <t>revised</t>
        </r>
      </text>
    </comment>
    <comment ref="BD99" authorId="0" shapeId="0" xr:uid="{42793509-3A6A-45F8-A9B1-38998EFF87A6}">
      <text>
        <r>
          <rPr>
            <sz val="8"/>
            <color indexed="81"/>
            <rFont val="Tahoma"/>
            <family val="2"/>
          </rPr>
          <t>revised</t>
        </r>
      </text>
    </comment>
    <comment ref="C100" authorId="0" shapeId="0" xr:uid="{2564D78B-6179-4B1D-A81B-F5D2DAAF625D}">
      <text>
        <r>
          <rPr>
            <sz val="8"/>
            <color indexed="81"/>
            <rFont val="Tahoma"/>
            <family val="2"/>
          </rPr>
          <t>revised</t>
        </r>
      </text>
    </comment>
    <comment ref="J100" authorId="0" shapeId="0" xr:uid="{08A0A81A-11C1-476D-ACE9-3BA073C6FC08}">
      <text>
        <r>
          <rPr>
            <sz val="8"/>
            <color indexed="81"/>
            <rFont val="Tahoma"/>
            <family val="2"/>
          </rPr>
          <t>revised</t>
        </r>
      </text>
    </comment>
    <comment ref="L100" authorId="0" shapeId="0" xr:uid="{A18CFB95-322D-4402-9C39-1D73894BE983}">
      <text>
        <r>
          <rPr>
            <sz val="8"/>
            <color indexed="81"/>
            <rFont val="Tahoma"/>
            <family val="2"/>
          </rPr>
          <t>revised</t>
        </r>
      </text>
    </comment>
    <comment ref="R100" authorId="0" shapeId="0" xr:uid="{B9BB233F-305D-49F8-BA73-F8AA6F2E163D}">
      <text>
        <r>
          <rPr>
            <sz val="8"/>
            <color indexed="81"/>
            <rFont val="Tahoma"/>
            <family val="2"/>
          </rPr>
          <t>revised</t>
        </r>
      </text>
    </comment>
    <comment ref="AE100" authorId="0" shapeId="0" xr:uid="{5A3901DC-A45C-42CE-B13D-7DA1FCC6B3A4}">
      <text>
        <r>
          <rPr>
            <sz val="8"/>
            <color indexed="81"/>
            <rFont val="Tahoma"/>
            <family val="2"/>
          </rPr>
          <t>revised</t>
        </r>
      </text>
    </comment>
    <comment ref="AF100" authorId="0" shapeId="0" xr:uid="{21CA5ADF-3D4A-462E-9C88-0F85131D1361}">
      <text>
        <r>
          <rPr>
            <sz val="8"/>
            <color indexed="81"/>
            <rFont val="Tahoma"/>
            <family val="2"/>
          </rPr>
          <t>revised</t>
        </r>
      </text>
    </comment>
    <comment ref="AG100" authorId="0" shapeId="0" xr:uid="{17335532-8CE6-4550-802E-5BDF65A7583F}">
      <text>
        <r>
          <rPr>
            <sz val="8"/>
            <color indexed="81"/>
            <rFont val="Tahoma"/>
            <family val="2"/>
          </rPr>
          <t>revised</t>
        </r>
      </text>
    </comment>
    <comment ref="AH100" authorId="0" shapeId="0" xr:uid="{8275D35E-E3F5-4B80-8852-326E79B03C8F}">
      <text>
        <r>
          <rPr>
            <sz val="8"/>
            <color indexed="81"/>
            <rFont val="Tahoma"/>
            <family val="2"/>
          </rPr>
          <t>revised</t>
        </r>
      </text>
    </comment>
    <comment ref="AI100" authorId="0" shapeId="0" xr:uid="{0E84E177-2AC2-4289-9E4D-9D543349222C}">
      <text>
        <r>
          <rPr>
            <sz val="8"/>
            <color indexed="81"/>
            <rFont val="Tahoma"/>
            <family val="2"/>
          </rPr>
          <t>revised</t>
        </r>
      </text>
    </comment>
    <comment ref="AJ100" authorId="0" shapeId="0" xr:uid="{6BECD634-836A-4B4F-849D-76E130BEAD3B}">
      <text>
        <r>
          <rPr>
            <sz val="8"/>
            <color indexed="81"/>
            <rFont val="Tahoma"/>
            <family val="2"/>
          </rPr>
          <t>revised</t>
        </r>
      </text>
    </comment>
    <comment ref="AK100" authorId="0" shapeId="0" xr:uid="{0FF45FFC-AD6A-4EF8-9257-AD412B8E4787}">
      <text>
        <r>
          <rPr>
            <sz val="8"/>
            <color indexed="81"/>
            <rFont val="Tahoma"/>
            <family val="2"/>
          </rPr>
          <t>revised</t>
        </r>
      </text>
    </comment>
    <comment ref="AL100" authorId="0" shapeId="0" xr:uid="{F6BDD28E-4180-4692-AFA1-88594101ADD5}">
      <text>
        <r>
          <rPr>
            <sz val="8"/>
            <color indexed="81"/>
            <rFont val="Tahoma"/>
            <family val="2"/>
          </rPr>
          <t>revised</t>
        </r>
      </text>
    </comment>
    <comment ref="AN100" authorId="0" shapeId="0" xr:uid="{7E550AF7-11D1-45E0-B6C1-58D029BF3523}">
      <text>
        <r>
          <rPr>
            <sz val="8"/>
            <color indexed="81"/>
            <rFont val="Tahoma"/>
            <family val="2"/>
          </rPr>
          <t>revised</t>
        </r>
      </text>
    </comment>
    <comment ref="AO100" authorId="0" shapeId="0" xr:uid="{29DE1544-4100-4044-8819-029A0A356B2E}">
      <text>
        <r>
          <rPr>
            <sz val="8"/>
            <color indexed="81"/>
            <rFont val="Tahoma"/>
            <family val="2"/>
          </rPr>
          <t>revised</t>
        </r>
      </text>
    </comment>
    <comment ref="AP100" authorId="0" shapeId="0" xr:uid="{8DA6D496-7967-4D6B-8706-C3835F3CD64E}">
      <text>
        <r>
          <rPr>
            <sz val="8"/>
            <color indexed="81"/>
            <rFont val="Tahoma"/>
            <family val="2"/>
          </rPr>
          <t>revised</t>
        </r>
      </text>
    </comment>
    <comment ref="AU100" authorId="0" shapeId="0" xr:uid="{C159BADA-D51B-4D4A-918E-2276B118559A}">
      <text>
        <r>
          <rPr>
            <sz val="8"/>
            <color indexed="81"/>
            <rFont val="Tahoma"/>
            <family val="2"/>
          </rPr>
          <t>revised</t>
        </r>
      </text>
    </comment>
    <comment ref="AV100" authorId="0" shapeId="0" xr:uid="{87C486EE-9522-4B44-BF89-2E4273C742BE}">
      <text>
        <r>
          <rPr>
            <sz val="8"/>
            <color indexed="81"/>
            <rFont val="Tahoma"/>
            <family val="2"/>
          </rPr>
          <t>revised</t>
        </r>
      </text>
    </comment>
    <comment ref="AW100" authorId="0" shapeId="0" xr:uid="{0C55ADC7-64E3-474B-BFF7-8496E5F5F7B0}">
      <text>
        <r>
          <rPr>
            <sz val="8"/>
            <color indexed="81"/>
            <rFont val="Tahoma"/>
            <family val="2"/>
          </rPr>
          <t>revised</t>
        </r>
      </text>
    </comment>
    <comment ref="AY100" authorId="0" shapeId="0" xr:uid="{0B30648A-F3F2-43CB-838A-9425D06DC3F7}">
      <text>
        <r>
          <rPr>
            <sz val="8"/>
            <color indexed="81"/>
            <rFont val="Tahoma"/>
            <family val="2"/>
          </rPr>
          <t>revised</t>
        </r>
      </text>
    </comment>
    <comment ref="AZ100" authorId="0" shapeId="0" xr:uid="{89E35E66-56E3-467B-9A53-B18E81EDDDE8}">
      <text>
        <r>
          <rPr>
            <sz val="8"/>
            <color indexed="81"/>
            <rFont val="Tahoma"/>
            <family val="2"/>
          </rPr>
          <t>revised</t>
        </r>
      </text>
    </comment>
    <comment ref="BC100" authorId="0" shapeId="0" xr:uid="{EFAA86E9-5496-4A42-BEC6-AB52483FF4DD}">
      <text>
        <r>
          <rPr>
            <sz val="8"/>
            <color indexed="81"/>
            <rFont val="Tahoma"/>
            <family val="2"/>
          </rPr>
          <t>revised</t>
        </r>
      </text>
    </comment>
    <comment ref="BD100" authorId="0" shapeId="0" xr:uid="{7186CCC9-A6C5-4383-B92B-CA7F459B23A6}">
      <text>
        <r>
          <rPr>
            <sz val="8"/>
            <color indexed="81"/>
            <rFont val="Tahoma"/>
            <family val="2"/>
          </rPr>
          <t>revised</t>
        </r>
      </text>
    </comment>
    <comment ref="BF100" authorId="0" shapeId="0" xr:uid="{E2B731B5-2D51-454E-AAF3-5494E40A214D}">
      <text>
        <r>
          <rPr>
            <sz val="8"/>
            <color indexed="81"/>
            <rFont val="Tahoma"/>
            <family val="2"/>
          </rPr>
          <t>revised</t>
        </r>
      </text>
    </comment>
    <comment ref="BI100" authorId="0" shapeId="0" xr:uid="{01B1057E-1DDA-4F36-BE78-B3D644A50924}">
      <text>
        <r>
          <rPr>
            <sz val="8"/>
            <color indexed="81"/>
            <rFont val="Tahoma"/>
            <family val="2"/>
          </rPr>
          <t>revised</t>
        </r>
      </text>
    </comment>
    <comment ref="E101" authorId="0" shapeId="0" xr:uid="{64AF78FA-D843-4A67-B1D7-60386AE9A4EA}">
      <text>
        <r>
          <rPr>
            <sz val="8"/>
            <color indexed="81"/>
            <rFont val="Tahoma"/>
            <family val="2"/>
          </rPr>
          <t>revised</t>
        </r>
      </text>
    </comment>
    <comment ref="M101" authorId="0" shapeId="0" xr:uid="{EB0E4D0E-8487-47CD-8CF6-590C202E3A2F}">
      <text>
        <r>
          <rPr>
            <sz val="8"/>
            <color indexed="81"/>
            <rFont val="Tahoma"/>
            <family val="2"/>
          </rPr>
          <t>revised</t>
        </r>
      </text>
    </comment>
    <comment ref="Q101" authorId="0" shapeId="0" xr:uid="{54A435AF-F5C4-4490-B0E6-961A923B79E0}">
      <text>
        <r>
          <rPr>
            <sz val="8"/>
            <color indexed="81"/>
            <rFont val="Tahoma"/>
            <family val="2"/>
          </rPr>
          <t>revised</t>
        </r>
      </text>
    </comment>
    <comment ref="S101" authorId="0" shapeId="0" xr:uid="{66B327F3-E338-4695-86AF-B797198C1EDB}">
      <text>
        <r>
          <rPr>
            <sz val="8"/>
            <color indexed="81"/>
            <rFont val="Tahoma"/>
            <family val="2"/>
          </rPr>
          <t>revised</t>
        </r>
      </text>
    </comment>
    <comment ref="T101" authorId="0" shapeId="0" xr:uid="{5A75E993-D274-44ED-B560-BE201AEA937C}">
      <text>
        <r>
          <rPr>
            <sz val="8"/>
            <color indexed="81"/>
            <rFont val="Tahoma"/>
            <family val="2"/>
          </rPr>
          <t>revised</t>
        </r>
      </text>
    </comment>
    <comment ref="AF101" authorId="0" shapeId="0" xr:uid="{81B08239-CE20-4E4F-AFA5-DF6221315A52}">
      <text>
        <r>
          <rPr>
            <sz val="8"/>
            <color indexed="81"/>
            <rFont val="Tahoma"/>
            <family val="2"/>
          </rPr>
          <t>revised</t>
        </r>
      </text>
    </comment>
    <comment ref="AG101" authorId="0" shapeId="0" xr:uid="{60AE186D-D03A-41D1-A7B4-8E3C657DF171}">
      <text>
        <r>
          <rPr>
            <sz val="8"/>
            <color indexed="81"/>
            <rFont val="Tahoma"/>
            <family val="2"/>
          </rPr>
          <t>revised</t>
        </r>
      </text>
    </comment>
    <comment ref="AH101" authorId="0" shapeId="0" xr:uid="{47ECABA9-1AED-473A-9F09-ECCF3960A691}">
      <text>
        <r>
          <rPr>
            <sz val="8"/>
            <color indexed="81"/>
            <rFont val="Tahoma"/>
            <family val="2"/>
          </rPr>
          <t>revised</t>
        </r>
      </text>
    </comment>
    <comment ref="AI101" authorId="0" shapeId="0" xr:uid="{F6E15B82-4AE3-456C-995F-1963B772225B}">
      <text>
        <r>
          <rPr>
            <sz val="8"/>
            <color indexed="81"/>
            <rFont val="Tahoma"/>
            <family val="2"/>
          </rPr>
          <t>revised</t>
        </r>
      </text>
    </comment>
    <comment ref="AJ101" authorId="0" shapeId="0" xr:uid="{DFE1A1DE-9E60-4B3C-984B-8899AD8CAF0B}">
      <text>
        <r>
          <rPr>
            <sz val="8"/>
            <color indexed="81"/>
            <rFont val="Tahoma"/>
            <family val="2"/>
          </rPr>
          <t>revised</t>
        </r>
      </text>
    </comment>
    <comment ref="AK101" authorId="0" shapeId="0" xr:uid="{CFC17EC1-FA7F-46C3-927D-CC56C9707557}">
      <text>
        <r>
          <rPr>
            <sz val="8"/>
            <color indexed="81"/>
            <rFont val="Tahoma"/>
            <family val="2"/>
          </rPr>
          <t>revised</t>
        </r>
      </text>
    </comment>
    <comment ref="AL101" authorId="0" shapeId="0" xr:uid="{CD2C8A64-2BCE-4563-BC6A-B960AFC3196D}">
      <text>
        <r>
          <rPr>
            <sz val="8"/>
            <color indexed="81"/>
            <rFont val="Tahoma"/>
            <family val="2"/>
          </rPr>
          <t>revised</t>
        </r>
      </text>
    </comment>
    <comment ref="AN101" authorId="0" shapeId="0" xr:uid="{C8AB6419-3132-4BF5-B789-F8761C41E25C}">
      <text>
        <r>
          <rPr>
            <sz val="8"/>
            <color indexed="81"/>
            <rFont val="Tahoma"/>
            <family val="2"/>
          </rPr>
          <t>revised</t>
        </r>
      </text>
    </comment>
    <comment ref="AO101" authorId="0" shapeId="0" xr:uid="{A54E41E3-1C28-4B12-BD2C-7B08D640144C}">
      <text>
        <r>
          <rPr>
            <sz val="8"/>
            <color indexed="81"/>
            <rFont val="Tahoma"/>
            <family val="2"/>
          </rPr>
          <t>revised</t>
        </r>
      </text>
    </comment>
    <comment ref="AP101" authorId="0" shapeId="0" xr:uid="{FDAA2603-A649-40E4-B1E4-385A0DF5E582}">
      <text>
        <r>
          <rPr>
            <sz val="8"/>
            <color indexed="81"/>
            <rFont val="Tahoma"/>
            <family val="2"/>
          </rPr>
          <t>revised</t>
        </r>
      </text>
    </comment>
    <comment ref="AQ101" authorId="0" shapeId="0" xr:uid="{6AFE4C03-EFDA-44AA-A51E-689C99984D2C}">
      <text>
        <r>
          <rPr>
            <sz val="8"/>
            <color indexed="81"/>
            <rFont val="Tahoma"/>
            <family val="2"/>
          </rPr>
          <t>revised</t>
        </r>
      </text>
    </comment>
    <comment ref="AT101" authorId="0" shapeId="0" xr:uid="{3366F6D6-BAE5-43E2-AC84-01F1E278E9FE}">
      <text>
        <r>
          <rPr>
            <sz val="8"/>
            <color indexed="81"/>
            <rFont val="Tahoma"/>
            <family val="2"/>
          </rPr>
          <t>revised</t>
        </r>
      </text>
    </comment>
    <comment ref="AU101" authorId="0" shapeId="0" xr:uid="{1D8F52F2-2229-49B9-9152-596B787B2C11}">
      <text>
        <r>
          <rPr>
            <sz val="8"/>
            <color indexed="81"/>
            <rFont val="Tahoma"/>
            <family val="2"/>
          </rPr>
          <t>revised</t>
        </r>
      </text>
    </comment>
    <comment ref="AV101" authorId="0" shapeId="0" xr:uid="{AB2C27BC-D585-4D47-932C-BBEE23432F86}">
      <text>
        <r>
          <rPr>
            <sz val="8"/>
            <color indexed="81"/>
            <rFont val="Tahoma"/>
            <family val="2"/>
          </rPr>
          <t>revised</t>
        </r>
      </text>
    </comment>
    <comment ref="AW101" authorId="0" shapeId="0" xr:uid="{B787ABF0-BD67-424E-8371-452616C505AE}">
      <text>
        <r>
          <rPr>
            <sz val="8"/>
            <color indexed="81"/>
            <rFont val="Tahoma"/>
            <family val="2"/>
          </rPr>
          <t>revised</t>
        </r>
      </text>
    </comment>
    <comment ref="AX101" authorId="0" shapeId="0" xr:uid="{8403199E-1323-479D-820E-49D550CC064D}">
      <text>
        <r>
          <rPr>
            <sz val="8"/>
            <color indexed="81"/>
            <rFont val="Tahoma"/>
            <family val="2"/>
          </rPr>
          <t>revised</t>
        </r>
      </text>
    </comment>
    <comment ref="AY101" authorId="0" shapeId="0" xr:uid="{3EBCBDBC-8556-4C6E-B6B0-865EC2790BE7}">
      <text>
        <r>
          <rPr>
            <sz val="8"/>
            <color indexed="81"/>
            <rFont val="Tahoma"/>
            <family val="2"/>
          </rPr>
          <t>revised</t>
        </r>
      </text>
    </comment>
    <comment ref="AZ101" authorId="0" shapeId="0" xr:uid="{186B7ED0-00B5-4B7E-8D85-FBA288CB5E95}">
      <text>
        <r>
          <rPr>
            <sz val="8"/>
            <color indexed="81"/>
            <rFont val="Tahoma"/>
            <family val="2"/>
          </rPr>
          <t>revised</t>
        </r>
      </text>
    </comment>
    <comment ref="BC101" authorId="0" shapeId="0" xr:uid="{BD234C3E-137B-4DD3-B885-72D576301306}">
      <text>
        <r>
          <rPr>
            <sz val="8"/>
            <color indexed="81"/>
            <rFont val="Tahoma"/>
            <family val="2"/>
          </rPr>
          <t>revised</t>
        </r>
      </text>
    </comment>
    <comment ref="BE101" authorId="0" shapeId="0" xr:uid="{01138135-943F-4865-B9C7-CAC4E5DF40B2}">
      <text>
        <r>
          <rPr>
            <sz val="8"/>
            <color indexed="81"/>
            <rFont val="Tahoma"/>
            <family val="2"/>
          </rPr>
          <t>revised</t>
        </r>
      </text>
    </comment>
    <comment ref="B102" authorId="0" shapeId="0" xr:uid="{A5C82FD9-616E-4260-A272-51AB975B95A0}">
      <text>
        <r>
          <rPr>
            <sz val="8"/>
            <color indexed="81"/>
            <rFont val="Tahoma"/>
            <family val="2"/>
          </rPr>
          <t>revised</t>
        </r>
      </text>
    </comment>
    <comment ref="D102" authorId="0" shapeId="0" xr:uid="{C0D74781-793B-44A8-B274-04A45030FB84}">
      <text>
        <r>
          <rPr>
            <sz val="8"/>
            <color indexed="81"/>
            <rFont val="Tahoma"/>
            <family val="2"/>
          </rPr>
          <t>revised</t>
        </r>
      </text>
    </comment>
    <comment ref="O102" authorId="0" shapeId="0" xr:uid="{F913FC68-BE3F-48D4-9F64-B80566245561}">
      <text>
        <r>
          <rPr>
            <sz val="8"/>
            <color indexed="81"/>
            <rFont val="Tahoma"/>
            <family val="2"/>
          </rPr>
          <t>revised</t>
        </r>
      </text>
    </comment>
    <comment ref="X102" authorId="0" shapeId="0" xr:uid="{F6F20618-D825-46E7-AD37-666865F7D02F}">
      <text>
        <r>
          <rPr>
            <sz val="8"/>
            <color indexed="81"/>
            <rFont val="Tahoma"/>
            <family val="2"/>
          </rPr>
          <t>revised</t>
        </r>
      </text>
    </comment>
    <comment ref="Y102" authorId="0" shapeId="0" xr:uid="{0A43B575-2835-4953-A301-97C610DD35F8}">
      <text>
        <r>
          <rPr>
            <sz val="8"/>
            <color indexed="81"/>
            <rFont val="Tahoma"/>
            <family val="2"/>
          </rPr>
          <t>revised</t>
        </r>
      </text>
    </comment>
    <comment ref="Z102" authorId="0" shapeId="0" xr:uid="{B4043031-0F5B-4A98-BEE3-223716F53E27}">
      <text>
        <r>
          <rPr>
            <sz val="8"/>
            <color indexed="81"/>
            <rFont val="Tahoma"/>
            <family val="2"/>
          </rPr>
          <t>revised</t>
        </r>
      </text>
    </comment>
    <comment ref="AA102" authorId="0" shapeId="0" xr:uid="{A97B2FC6-75E5-4755-BB97-172A8B4E2782}">
      <text>
        <r>
          <rPr>
            <sz val="8"/>
            <color indexed="81"/>
            <rFont val="Tahoma"/>
            <family val="2"/>
          </rPr>
          <t>revised</t>
        </r>
      </text>
    </comment>
    <comment ref="AC102" authorId="0" shapeId="0" xr:uid="{A5A27A6C-66E9-44A1-A12E-DF67034888F1}">
      <text>
        <r>
          <rPr>
            <sz val="8"/>
            <color indexed="81"/>
            <rFont val="Tahoma"/>
            <family val="2"/>
          </rPr>
          <t>revised</t>
        </r>
      </text>
    </comment>
    <comment ref="AF102" authorId="0" shapeId="0" xr:uid="{D88EA3BF-D5A8-4710-94F7-FFB6D8E6F26B}">
      <text>
        <r>
          <rPr>
            <sz val="8"/>
            <color indexed="81"/>
            <rFont val="Tahoma"/>
            <family val="2"/>
          </rPr>
          <t>revised</t>
        </r>
      </text>
    </comment>
    <comment ref="AG102" authorId="0" shapeId="0" xr:uid="{C42BC2FF-6B9D-4AA2-99BD-69FF30D5CAE7}">
      <text>
        <r>
          <rPr>
            <sz val="8"/>
            <color indexed="81"/>
            <rFont val="Tahoma"/>
            <family val="2"/>
          </rPr>
          <t>revised</t>
        </r>
      </text>
    </comment>
    <comment ref="AH102" authorId="0" shapeId="0" xr:uid="{DBCD1047-5D59-4932-99FA-559F37C55E8D}">
      <text>
        <r>
          <rPr>
            <sz val="8"/>
            <color indexed="81"/>
            <rFont val="Tahoma"/>
            <family val="2"/>
          </rPr>
          <t>revised</t>
        </r>
      </text>
    </comment>
    <comment ref="AI102" authorId="0" shapeId="0" xr:uid="{C01F77BA-26BB-4DB0-A822-E4BD1D34530B}">
      <text>
        <r>
          <rPr>
            <sz val="8"/>
            <color indexed="81"/>
            <rFont val="Tahoma"/>
            <family val="2"/>
          </rPr>
          <t>revised</t>
        </r>
      </text>
    </comment>
    <comment ref="AJ102" authorId="0" shapeId="0" xr:uid="{2844642F-97B1-4DAB-8218-A1E05A8C2FD9}">
      <text>
        <r>
          <rPr>
            <sz val="8"/>
            <color indexed="81"/>
            <rFont val="Tahoma"/>
            <family val="2"/>
          </rPr>
          <t>revised</t>
        </r>
      </text>
    </comment>
    <comment ref="AK102" authorId="0" shapeId="0" xr:uid="{988315AB-DF66-4A70-8BD5-514EAB47E366}">
      <text>
        <r>
          <rPr>
            <sz val="8"/>
            <color indexed="81"/>
            <rFont val="Tahoma"/>
            <family val="2"/>
          </rPr>
          <t>revised</t>
        </r>
      </text>
    </comment>
    <comment ref="AL102" authorId="0" shapeId="0" xr:uid="{9C8ACAA1-072D-4105-98E4-9600588A2138}">
      <text>
        <r>
          <rPr>
            <sz val="8"/>
            <color indexed="81"/>
            <rFont val="Tahoma"/>
            <family val="2"/>
          </rPr>
          <t>revised</t>
        </r>
      </text>
    </comment>
    <comment ref="AM102" authorId="0" shapeId="0" xr:uid="{F9D7F8FD-F815-4203-91E2-F0054D8E0AF6}">
      <text>
        <r>
          <rPr>
            <sz val="8"/>
            <color indexed="81"/>
            <rFont val="Tahoma"/>
            <family val="2"/>
          </rPr>
          <t>revised</t>
        </r>
      </text>
    </comment>
    <comment ref="AN102" authorId="0" shapeId="0" xr:uid="{E9CD0064-5C8A-4C5D-8AC8-3FBBCBED48EC}">
      <text>
        <r>
          <rPr>
            <sz val="8"/>
            <color indexed="81"/>
            <rFont val="Tahoma"/>
            <family val="2"/>
          </rPr>
          <t>revised</t>
        </r>
      </text>
    </comment>
    <comment ref="AO102" authorId="0" shapeId="0" xr:uid="{917F98F5-47DC-47A0-9AC9-8B5CF823C87D}">
      <text>
        <r>
          <rPr>
            <sz val="8"/>
            <color indexed="81"/>
            <rFont val="Tahoma"/>
            <family val="2"/>
          </rPr>
          <t>revised</t>
        </r>
      </text>
    </comment>
    <comment ref="AP102" authorId="0" shapeId="0" xr:uid="{EDC451EC-482C-414A-A84C-F7AE54121605}">
      <text>
        <r>
          <rPr>
            <sz val="8"/>
            <color indexed="81"/>
            <rFont val="Tahoma"/>
            <family val="2"/>
          </rPr>
          <t>revised</t>
        </r>
      </text>
    </comment>
    <comment ref="AQ102" authorId="0" shapeId="0" xr:uid="{F88B78C2-EAFE-4B55-9C8F-D7C333D3B3DA}">
      <text>
        <r>
          <rPr>
            <sz val="8"/>
            <color indexed="81"/>
            <rFont val="Tahoma"/>
            <family val="2"/>
          </rPr>
          <t>revised</t>
        </r>
      </text>
    </comment>
    <comment ref="AR102" authorId="0" shapeId="0" xr:uid="{41C2CFE2-55D4-41E6-9C17-EE7F771549CB}">
      <text>
        <r>
          <rPr>
            <sz val="8"/>
            <color indexed="81"/>
            <rFont val="Tahoma"/>
            <family val="2"/>
          </rPr>
          <t>revised</t>
        </r>
      </text>
    </comment>
    <comment ref="AS102" authorId="0" shapeId="0" xr:uid="{33F7F194-0872-44DA-B83F-0A9EFA128772}">
      <text>
        <r>
          <rPr>
            <sz val="8"/>
            <color indexed="81"/>
            <rFont val="Tahoma"/>
            <family val="2"/>
          </rPr>
          <t>revised</t>
        </r>
      </text>
    </comment>
    <comment ref="AT102" authorId="0" shapeId="0" xr:uid="{FC20CAD1-BD3D-4F44-B7E1-FBDDF2E43B56}">
      <text>
        <r>
          <rPr>
            <sz val="8"/>
            <color indexed="81"/>
            <rFont val="Tahoma"/>
            <family val="2"/>
          </rPr>
          <t>revised</t>
        </r>
      </text>
    </comment>
    <comment ref="AU102" authorId="0" shapeId="0" xr:uid="{5B3CF521-08A7-425C-82D1-1A7C4509D4A9}">
      <text>
        <r>
          <rPr>
            <sz val="8"/>
            <color indexed="81"/>
            <rFont val="Tahoma"/>
            <family val="2"/>
          </rPr>
          <t>revised</t>
        </r>
      </text>
    </comment>
    <comment ref="AV102" authorId="0" shapeId="0" xr:uid="{C4A087CC-F40A-4C5A-A7D7-124231F95E96}">
      <text>
        <r>
          <rPr>
            <sz val="8"/>
            <color indexed="81"/>
            <rFont val="Tahoma"/>
            <family val="2"/>
          </rPr>
          <t>revised</t>
        </r>
      </text>
    </comment>
    <comment ref="AW102" authorId="0" shapeId="0" xr:uid="{7BFFA81F-58BD-4223-B8C3-834D359FB2D6}">
      <text>
        <r>
          <rPr>
            <sz val="8"/>
            <color indexed="81"/>
            <rFont val="Tahoma"/>
            <family val="2"/>
          </rPr>
          <t>revised</t>
        </r>
      </text>
    </comment>
    <comment ref="AX102" authorId="0" shapeId="0" xr:uid="{3A11A37E-3A90-43C3-B7C2-0A4C292A9E96}">
      <text>
        <r>
          <rPr>
            <sz val="8"/>
            <color indexed="81"/>
            <rFont val="Tahoma"/>
            <family val="2"/>
          </rPr>
          <t>revised</t>
        </r>
      </text>
    </comment>
    <comment ref="AY102" authorId="0" shapeId="0" xr:uid="{A1F3818A-610D-4AAE-81DC-168FE77F5C7B}">
      <text>
        <r>
          <rPr>
            <sz val="8"/>
            <color indexed="81"/>
            <rFont val="Tahoma"/>
            <family val="2"/>
          </rPr>
          <t>revised</t>
        </r>
      </text>
    </comment>
    <comment ref="AZ102" authorId="0" shapeId="0" xr:uid="{16E02AD5-18C1-4C42-B058-C356972DD2DC}">
      <text>
        <r>
          <rPr>
            <sz val="8"/>
            <color indexed="81"/>
            <rFont val="Tahoma"/>
            <family val="2"/>
          </rPr>
          <t>revised</t>
        </r>
      </text>
    </comment>
    <comment ref="BA102" authorId="0" shapeId="0" xr:uid="{45A1ED46-B179-4F30-954B-2BE689F663AC}">
      <text>
        <r>
          <rPr>
            <sz val="8"/>
            <color indexed="81"/>
            <rFont val="Tahoma"/>
            <family val="2"/>
          </rPr>
          <t>revised</t>
        </r>
      </text>
    </comment>
    <comment ref="BB102" authorId="0" shapeId="0" xr:uid="{1D3464C3-A424-45A0-B94F-4EDD89BD8BDB}">
      <text>
        <r>
          <rPr>
            <sz val="8"/>
            <color indexed="81"/>
            <rFont val="Tahoma"/>
            <family val="2"/>
          </rPr>
          <t>revised</t>
        </r>
      </text>
    </comment>
    <comment ref="BC102" authorId="0" shapeId="0" xr:uid="{243EBA37-405E-4F80-814C-CC974B5EAE5C}">
      <text>
        <r>
          <rPr>
            <sz val="8"/>
            <color indexed="81"/>
            <rFont val="Tahoma"/>
            <family val="2"/>
          </rPr>
          <t>revised</t>
        </r>
      </text>
    </comment>
    <comment ref="BD102" authorId="0" shapeId="0" xr:uid="{97942C53-10EB-48CE-A547-730B482BC87B}">
      <text>
        <r>
          <rPr>
            <sz val="8"/>
            <color indexed="81"/>
            <rFont val="Tahoma"/>
            <family val="2"/>
          </rPr>
          <t>revised</t>
        </r>
      </text>
    </comment>
    <comment ref="BE102" authorId="0" shapeId="0" xr:uid="{54CE872B-55F4-4C99-8FF6-C3DD92805190}">
      <text>
        <r>
          <rPr>
            <sz val="8"/>
            <color indexed="81"/>
            <rFont val="Tahoma"/>
            <family val="2"/>
          </rPr>
          <t>revised</t>
        </r>
      </text>
    </comment>
    <comment ref="BF102" authorId="0" shapeId="0" xr:uid="{9A276E07-6EC7-4A9E-991B-8A478CAC37A4}">
      <text>
        <r>
          <rPr>
            <sz val="8"/>
            <color indexed="81"/>
            <rFont val="Tahoma"/>
            <family val="2"/>
          </rPr>
          <t>revised</t>
        </r>
      </text>
    </comment>
    <comment ref="BG102" authorId="0" shapeId="0" xr:uid="{22F72357-71CD-424B-AB8A-1E021868E77B}">
      <text>
        <r>
          <rPr>
            <sz val="8"/>
            <color indexed="81"/>
            <rFont val="Tahoma"/>
            <family val="2"/>
          </rPr>
          <t>revised</t>
        </r>
      </text>
    </comment>
    <comment ref="BI102" authorId="0" shapeId="0" xr:uid="{0B3DA0CC-8531-4CD8-87FB-AD2704D45D8D}">
      <text>
        <r>
          <rPr>
            <sz val="8"/>
            <color indexed="81"/>
            <rFont val="Tahoma"/>
            <family val="2"/>
          </rPr>
          <t>revised</t>
        </r>
      </text>
    </comment>
    <comment ref="F103" authorId="0" shapeId="0" xr:uid="{0DF3E734-8496-4A92-91DE-4E3805AA5DDB}">
      <text>
        <r>
          <rPr>
            <sz val="8"/>
            <color indexed="81"/>
            <rFont val="Tahoma"/>
            <family val="2"/>
          </rPr>
          <t>revised</t>
        </r>
      </text>
    </comment>
    <comment ref="H103" authorId="0" shapeId="0" xr:uid="{28368428-5254-4E0C-9928-C0638049A092}">
      <text>
        <r>
          <rPr>
            <sz val="8"/>
            <color indexed="81"/>
            <rFont val="Tahoma"/>
            <family val="2"/>
          </rPr>
          <t>revised</t>
        </r>
      </text>
    </comment>
    <comment ref="I103" authorId="0" shapeId="0" xr:uid="{A497A787-3B90-4ACD-BD1C-976BABB2ED19}">
      <text>
        <r>
          <rPr>
            <sz val="8"/>
            <color indexed="81"/>
            <rFont val="Tahoma"/>
            <family val="2"/>
          </rPr>
          <t>revised</t>
        </r>
      </text>
    </comment>
    <comment ref="J103" authorId="0" shapeId="0" xr:uid="{03AFC322-0B5B-4130-B714-CD2EC7C14A65}">
      <text>
        <r>
          <rPr>
            <sz val="8"/>
            <color indexed="81"/>
            <rFont val="Tahoma"/>
            <family val="2"/>
          </rPr>
          <t>revised</t>
        </r>
      </text>
    </comment>
    <comment ref="L103" authorId="0" shapeId="0" xr:uid="{91C721F6-AF82-4E79-BF64-C0B47C1C298A}">
      <text>
        <r>
          <rPr>
            <sz val="8"/>
            <color indexed="81"/>
            <rFont val="Tahoma"/>
            <family val="2"/>
          </rPr>
          <t>revised</t>
        </r>
      </text>
    </comment>
    <comment ref="O103" authorId="0" shapeId="0" xr:uid="{9833FB3B-CAC2-403A-B742-C580C5632314}">
      <text>
        <r>
          <rPr>
            <sz val="8"/>
            <color indexed="81"/>
            <rFont val="Tahoma"/>
            <family val="2"/>
          </rPr>
          <t>revised</t>
        </r>
      </text>
    </comment>
    <comment ref="R103" authorId="0" shapeId="0" xr:uid="{100B6E12-9BFA-46FB-BBDE-D54F660D9A67}">
      <text>
        <r>
          <rPr>
            <sz val="8"/>
            <color indexed="81"/>
            <rFont val="Tahoma"/>
            <family val="2"/>
          </rPr>
          <t>revised</t>
        </r>
      </text>
    </comment>
    <comment ref="S103" authorId="0" shapeId="0" xr:uid="{53AD3F5A-85E9-4B4E-B7C6-70EFD0D45EA7}">
      <text>
        <r>
          <rPr>
            <sz val="8"/>
            <color indexed="81"/>
            <rFont val="Tahoma"/>
            <family val="2"/>
          </rPr>
          <t>revised</t>
        </r>
      </text>
    </comment>
    <comment ref="Y103" authorId="0" shapeId="0" xr:uid="{D559E504-0FC2-44FF-85AE-36DFF511CCA5}">
      <text>
        <r>
          <rPr>
            <sz val="8"/>
            <color indexed="81"/>
            <rFont val="Tahoma"/>
            <family val="2"/>
          </rPr>
          <t>revised</t>
        </r>
      </text>
    </comment>
    <comment ref="Z103" authorId="0" shapeId="0" xr:uid="{3A572CB0-2B91-4F0C-B454-1825CDF444C8}">
      <text>
        <r>
          <rPr>
            <sz val="8"/>
            <color indexed="81"/>
            <rFont val="Tahoma"/>
            <family val="2"/>
          </rPr>
          <t>revised</t>
        </r>
      </text>
    </comment>
    <comment ref="AB103" authorId="0" shapeId="0" xr:uid="{7FA76D95-4418-40CD-B03C-A1D6D7F8DAFC}">
      <text>
        <r>
          <rPr>
            <sz val="8"/>
            <color indexed="81"/>
            <rFont val="Tahoma"/>
            <family val="2"/>
          </rPr>
          <t>revised</t>
        </r>
      </text>
    </comment>
    <comment ref="AF103" authorId="0" shapeId="0" xr:uid="{F4D4542C-B29B-41AF-8335-D5ACD348D42E}">
      <text>
        <r>
          <rPr>
            <sz val="8"/>
            <color indexed="81"/>
            <rFont val="Tahoma"/>
            <family val="2"/>
          </rPr>
          <t>revised</t>
        </r>
      </text>
    </comment>
    <comment ref="AG103" authorId="0" shapeId="0" xr:uid="{731ADADA-C500-45D6-B883-762B5535B466}">
      <text>
        <r>
          <rPr>
            <sz val="8"/>
            <color indexed="81"/>
            <rFont val="Tahoma"/>
            <family val="2"/>
          </rPr>
          <t>revised</t>
        </r>
      </text>
    </comment>
    <comment ref="AH103" authorId="0" shapeId="0" xr:uid="{47C36F61-35E7-4B58-9B72-2E94FCE1E000}">
      <text>
        <r>
          <rPr>
            <sz val="8"/>
            <color indexed="81"/>
            <rFont val="Tahoma"/>
            <family val="2"/>
          </rPr>
          <t>revised</t>
        </r>
      </text>
    </comment>
    <comment ref="AI103" authorId="0" shapeId="0" xr:uid="{BB1E36BF-F4D0-43FE-87FC-ED41AE09B852}">
      <text>
        <r>
          <rPr>
            <sz val="8"/>
            <color indexed="81"/>
            <rFont val="Tahoma"/>
            <family val="2"/>
          </rPr>
          <t>revised</t>
        </r>
      </text>
    </comment>
    <comment ref="AJ103" authorId="0" shapeId="0" xr:uid="{067D5F11-7BB3-42A4-98D9-B637EEDF3207}">
      <text>
        <r>
          <rPr>
            <sz val="8"/>
            <color indexed="81"/>
            <rFont val="Tahoma"/>
            <family val="2"/>
          </rPr>
          <t>revised</t>
        </r>
      </text>
    </comment>
    <comment ref="AK103" authorId="0" shapeId="0" xr:uid="{31503B32-2C93-4329-878E-8C4B23F3E621}">
      <text>
        <r>
          <rPr>
            <sz val="8"/>
            <color indexed="81"/>
            <rFont val="Tahoma"/>
            <family val="2"/>
          </rPr>
          <t>revised</t>
        </r>
      </text>
    </comment>
    <comment ref="AL103" authorId="0" shapeId="0" xr:uid="{5D64FC07-E11A-4DE8-8A49-C63EBB39162D}">
      <text>
        <r>
          <rPr>
            <sz val="8"/>
            <color indexed="81"/>
            <rFont val="Tahoma"/>
            <family val="2"/>
          </rPr>
          <t>revised</t>
        </r>
      </text>
    </comment>
    <comment ref="AM103" authorId="0" shapeId="0" xr:uid="{978D88CF-52E6-4531-8BCF-6DD77D5B2F38}">
      <text>
        <r>
          <rPr>
            <sz val="8"/>
            <color indexed="81"/>
            <rFont val="Tahoma"/>
            <family val="2"/>
          </rPr>
          <t>revised</t>
        </r>
      </text>
    </comment>
    <comment ref="AN103" authorId="0" shapeId="0" xr:uid="{3911DEDE-D390-43AD-BED0-A3869A9A2D49}">
      <text>
        <r>
          <rPr>
            <sz val="8"/>
            <color indexed="81"/>
            <rFont val="Tahoma"/>
            <family val="2"/>
          </rPr>
          <t>revised</t>
        </r>
      </text>
    </comment>
    <comment ref="AO103" authorId="0" shapeId="0" xr:uid="{46E6F8AE-2471-478A-8027-CAB2C27CAD56}">
      <text>
        <r>
          <rPr>
            <sz val="8"/>
            <color indexed="81"/>
            <rFont val="Tahoma"/>
            <family val="2"/>
          </rPr>
          <t>revised</t>
        </r>
      </text>
    </comment>
    <comment ref="AP103" authorId="0" shapeId="0" xr:uid="{18F47E85-FA24-42B7-A63B-BBD22F05F9C5}">
      <text>
        <r>
          <rPr>
            <sz val="8"/>
            <color indexed="81"/>
            <rFont val="Tahoma"/>
            <family val="2"/>
          </rPr>
          <t>revised</t>
        </r>
      </text>
    </comment>
    <comment ref="AQ103" authorId="0" shapeId="0" xr:uid="{5FA4559B-62F0-4A85-9678-9525562D164A}">
      <text>
        <r>
          <rPr>
            <sz val="8"/>
            <color indexed="81"/>
            <rFont val="Tahoma"/>
            <family val="2"/>
          </rPr>
          <t>revised</t>
        </r>
      </text>
    </comment>
    <comment ref="AR103" authorId="0" shapeId="0" xr:uid="{5D02AA1C-3120-481E-9F21-6E2F55E59444}">
      <text>
        <r>
          <rPr>
            <sz val="8"/>
            <color indexed="81"/>
            <rFont val="Tahoma"/>
            <family val="2"/>
          </rPr>
          <t>revised</t>
        </r>
      </text>
    </comment>
    <comment ref="AS103" authorId="0" shapeId="0" xr:uid="{331C92B6-0031-45BC-8A14-767654E7CF81}">
      <text>
        <r>
          <rPr>
            <sz val="8"/>
            <color indexed="81"/>
            <rFont val="Tahoma"/>
            <family val="2"/>
          </rPr>
          <t>revised</t>
        </r>
      </text>
    </comment>
    <comment ref="AT103" authorId="0" shapeId="0" xr:uid="{9143EAE5-27F4-4AA9-81D4-EDBED6B39ECB}">
      <text>
        <r>
          <rPr>
            <sz val="8"/>
            <color indexed="81"/>
            <rFont val="Tahoma"/>
            <family val="2"/>
          </rPr>
          <t>revised</t>
        </r>
      </text>
    </comment>
    <comment ref="AU103" authorId="0" shapeId="0" xr:uid="{C999F8CD-D91F-448C-9E71-8297408C3DB3}">
      <text>
        <r>
          <rPr>
            <sz val="8"/>
            <color indexed="81"/>
            <rFont val="Tahoma"/>
            <family val="2"/>
          </rPr>
          <t>revised</t>
        </r>
      </text>
    </comment>
    <comment ref="AV103" authorId="0" shapeId="0" xr:uid="{FEA34D48-EF0B-43C0-A4D4-1B38E210756D}">
      <text>
        <r>
          <rPr>
            <sz val="8"/>
            <color indexed="81"/>
            <rFont val="Tahoma"/>
            <family val="2"/>
          </rPr>
          <t>revised</t>
        </r>
      </text>
    </comment>
    <comment ref="AW103" authorId="0" shapeId="0" xr:uid="{20F40EA6-A12A-4FA1-A8D8-897A35DCEE9A}">
      <text>
        <r>
          <rPr>
            <sz val="8"/>
            <color indexed="81"/>
            <rFont val="Tahoma"/>
            <family val="2"/>
          </rPr>
          <t>revised</t>
        </r>
      </text>
    </comment>
    <comment ref="AX103" authorId="0" shapeId="0" xr:uid="{C1EC02A1-0214-4A8F-94F1-90CD793E0F41}">
      <text>
        <r>
          <rPr>
            <sz val="8"/>
            <color indexed="81"/>
            <rFont val="Tahoma"/>
            <family val="2"/>
          </rPr>
          <t>revised</t>
        </r>
      </text>
    </comment>
    <comment ref="AY103" authorId="0" shapeId="0" xr:uid="{9DE349AF-F2AF-4A8D-8A45-628CC8BB096E}">
      <text>
        <r>
          <rPr>
            <sz val="8"/>
            <color indexed="81"/>
            <rFont val="Tahoma"/>
            <family val="2"/>
          </rPr>
          <t>revised</t>
        </r>
      </text>
    </comment>
    <comment ref="AZ103" authorId="0" shapeId="0" xr:uid="{C2672051-F1D0-4ED5-B66D-6164521BC18C}">
      <text>
        <r>
          <rPr>
            <sz val="8"/>
            <color indexed="81"/>
            <rFont val="Tahoma"/>
            <family val="2"/>
          </rPr>
          <t>revised</t>
        </r>
      </text>
    </comment>
    <comment ref="BA103" authorId="0" shapeId="0" xr:uid="{DC963D0B-5155-437C-B275-616D94BF5375}">
      <text>
        <r>
          <rPr>
            <sz val="8"/>
            <color indexed="81"/>
            <rFont val="Tahoma"/>
            <family val="2"/>
          </rPr>
          <t>revised</t>
        </r>
      </text>
    </comment>
    <comment ref="BB103" authorId="0" shapeId="0" xr:uid="{10D89338-301E-4972-AAD8-98AC533A345A}">
      <text>
        <r>
          <rPr>
            <sz val="8"/>
            <color indexed="81"/>
            <rFont val="Tahoma"/>
            <family val="2"/>
          </rPr>
          <t>revised</t>
        </r>
      </text>
    </comment>
    <comment ref="BC103" authorId="0" shapeId="0" xr:uid="{B91601E3-C1C8-4370-9FCF-9F59351F521C}">
      <text>
        <r>
          <rPr>
            <sz val="8"/>
            <color indexed="81"/>
            <rFont val="Tahoma"/>
            <family val="2"/>
          </rPr>
          <t>revised</t>
        </r>
      </text>
    </comment>
    <comment ref="BD103" authorId="0" shapeId="0" xr:uid="{FD347D18-3DF7-43EB-87FB-BF211AB4606B}">
      <text>
        <r>
          <rPr>
            <sz val="8"/>
            <color indexed="81"/>
            <rFont val="Tahoma"/>
            <family val="2"/>
          </rPr>
          <t>revised</t>
        </r>
      </text>
    </comment>
    <comment ref="BE103" authorId="0" shapeId="0" xr:uid="{D91A2876-8C73-4771-81BC-4C42636554DC}">
      <text>
        <r>
          <rPr>
            <sz val="8"/>
            <color indexed="81"/>
            <rFont val="Tahoma"/>
            <family val="2"/>
          </rPr>
          <t>revised</t>
        </r>
      </text>
    </comment>
    <comment ref="BF103" authorId="0" shapeId="0" xr:uid="{FFF45031-0D8F-4783-8570-A0E4F63E9D31}">
      <text>
        <r>
          <rPr>
            <sz val="8"/>
            <color indexed="81"/>
            <rFont val="Tahoma"/>
            <family val="2"/>
          </rPr>
          <t>revised</t>
        </r>
      </text>
    </comment>
    <comment ref="BG103" authorId="0" shapeId="0" xr:uid="{8CEE09A9-BE93-4DB9-9A1F-15FBE4AE736F}">
      <text>
        <r>
          <rPr>
            <sz val="8"/>
            <color indexed="81"/>
            <rFont val="Tahoma"/>
            <family val="2"/>
          </rPr>
          <t>revised</t>
        </r>
      </text>
    </comment>
    <comment ref="BH103" authorId="0" shapeId="0" xr:uid="{A55D10E7-898A-402F-B756-6BF66C9ECD62}">
      <text>
        <r>
          <rPr>
            <sz val="8"/>
            <color indexed="81"/>
            <rFont val="Tahoma"/>
            <family val="2"/>
          </rPr>
          <t>revised</t>
        </r>
      </text>
    </comment>
    <comment ref="BI103" authorId="0" shapeId="0" xr:uid="{20C10D89-47B9-4043-B51D-DBB7B28C6EF6}">
      <text>
        <r>
          <rPr>
            <sz val="8"/>
            <color indexed="81"/>
            <rFont val="Tahoma"/>
            <family val="2"/>
          </rPr>
          <t>revised</t>
        </r>
      </text>
    </comment>
    <comment ref="B104" authorId="0" shapeId="0" xr:uid="{D04524A8-B3D1-4CC5-917E-46C6645F5FDE}">
      <text>
        <r>
          <rPr>
            <sz val="8"/>
            <color indexed="81"/>
            <rFont val="Tahoma"/>
            <family val="2"/>
          </rPr>
          <t>revised</t>
        </r>
      </text>
    </comment>
    <comment ref="D104" authorId="0" shapeId="0" xr:uid="{0D66C798-6B16-4E65-A6D6-2FAAE1CB027A}">
      <text>
        <r>
          <rPr>
            <sz val="8"/>
            <color indexed="81"/>
            <rFont val="Tahoma"/>
            <family val="2"/>
          </rPr>
          <t>revised</t>
        </r>
      </text>
    </comment>
    <comment ref="L104" authorId="0" shapeId="0" xr:uid="{148FA758-9C46-447F-83C4-30E54913C8EA}">
      <text>
        <r>
          <rPr>
            <sz val="8"/>
            <color indexed="81"/>
            <rFont val="Tahoma"/>
            <family val="2"/>
          </rPr>
          <t>revised</t>
        </r>
      </text>
    </comment>
    <comment ref="M104" authorId="0" shapeId="0" xr:uid="{9E0D9B62-41D5-471B-B851-3157D1D14CC7}">
      <text>
        <r>
          <rPr>
            <sz val="8"/>
            <color indexed="81"/>
            <rFont val="Tahoma"/>
            <family val="2"/>
          </rPr>
          <t>revised</t>
        </r>
      </text>
    </comment>
    <comment ref="O104" authorId="0" shapeId="0" xr:uid="{E888F37E-F9F7-4150-810D-83F808ADB39A}">
      <text>
        <r>
          <rPr>
            <sz val="8"/>
            <color indexed="81"/>
            <rFont val="Tahoma"/>
            <family val="2"/>
          </rPr>
          <t>revised</t>
        </r>
      </text>
    </comment>
    <comment ref="R104" authorId="0" shapeId="0" xr:uid="{E1D5B003-D83A-49F5-83E9-EAA3E714D3E6}">
      <text>
        <r>
          <rPr>
            <sz val="8"/>
            <color indexed="81"/>
            <rFont val="Tahoma"/>
            <family val="2"/>
          </rPr>
          <t>revised</t>
        </r>
      </text>
    </comment>
    <comment ref="S104" authorId="0" shapeId="0" xr:uid="{15041365-1FD8-4606-8EA5-ABE2506FCA8D}">
      <text>
        <r>
          <rPr>
            <sz val="8"/>
            <color indexed="81"/>
            <rFont val="Tahoma"/>
            <family val="2"/>
          </rPr>
          <t>revised</t>
        </r>
      </text>
    </comment>
    <comment ref="U104" authorId="0" shapeId="0" xr:uid="{94F0E79E-8318-4B4A-90AE-971B80B10295}">
      <text>
        <r>
          <rPr>
            <sz val="8"/>
            <color indexed="81"/>
            <rFont val="Tahoma"/>
            <family val="2"/>
          </rPr>
          <t>revised</t>
        </r>
      </text>
    </comment>
    <comment ref="V104" authorId="0" shapeId="0" xr:uid="{50AF3E69-33CC-4305-AA94-39AD252CF62A}">
      <text>
        <r>
          <rPr>
            <sz val="8"/>
            <color indexed="81"/>
            <rFont val="Tahoma"/>
            <family val="2"/>
          </rPr>
          <t>revised</t>
        </r>
      </text>
    </comment>
    <comment ref="AA104" authorId="0" shapeId="0" xr:uid="{FF223A11-C0FB-4C2C-8F51-B641700CE3BE}">
      <text>
        <r>
          <rPr>
            <sz val="8"/>
            <color indexed="81"/>
            <rFont val="Tahoma"/>
            <family val="2"/>
          </rPr>
          <t>revised</t>
        </r>
      </text>
    </comment>
    <comment ref="AF104" authorId="0" shapeId="0" xr:uid="{716DB7B7-03C3-4E99-B35F-63D6B9CB1EB0}">
      <text>
        <r>
          <rPr>
            <sz val="8"/>
            <color indexed="81"/>
            <rFont val="Tahoma"/>
            <family val="2"/>
          </rPr>
          <t>revised</t>
        </r>
      </text>
    </comment>
    <comment ref="AG104" authorId="0" shapeId="0" xr:uid="{CFA8D475-EFEF-4DB1-9AF7-F5E11D3A1D0D}">
      <text>
        <r>
          <rPr>
            <sz val="8"/>
            <color indexed="81"/>
            <rFont val="Tahoma"/>
            <family val="2"/>
          </rPr>
          <t>revised</t>
        </r>
      </text>
    </comment>
    <comment ref="AH104" authorId="0" shapeId="0" xr:uid="{2E5EFDF3-78D0-47F9-BB57-84CD2EE80C40}">
      <text>
        <r>
          <rPr>
            <sz val="8"/>
            <color indexed="81"/>
            <rFont val="Tahoma"/>
            <family val="2"/>
          </rPr>
          <t>revised</t>
        </r>
      </text>
    </comment>
    <comment ref="AI104" authorId="0" shapeId="0" xr:uid="{A4D93DB9-4E94-43F0-857F-2CA7665F55F7}">
      <text>
        <r>
          <rPr>
            <sz val="8"/>
            <color indexed="81"/>
            <rFont val="Tahoma"/>
            <family val="2"/>
          </rPr>
          <t>revised</t>
        </r>
      </text>
    </comment>
    <comment ref="AJ104" authorId="0" shapeId="0" xr:uid="{605E7C61-DDB2-4148-818F-497D3CEAE0C8}">
      <text>
        <r>
          <rPr>
            <sz val="8"/>
            <color indexed="81"/>
            <rFont val="Tahoma"/>
            <family val="2"/>
          </rPr>
          <t>revised</t>
        </r>
      </text>
    </comment>
    <comment ref="AK104" authorId="0" shapeId="0" xr:uid="{B733DF2A-F25D-43B8-8822-786BFCD74262}">
      <text>
        <r>
          <rPr>
            <sz val="8"/>
            <color indexed="81"/>
            <rFont val="Tahoma"/>
            <family val="2"/>
          </rPr>
          <t>revised</t>
        </r>
      </text>
    </comment>
    <comment ref="AL104" authorId="0" shapeId="0" xr:uid="{587F6256-52AD-4DE1-BB51-3B171D7FB814}">
      <text>
        <r>
          <rPr>
            <sz val="8"/>
            <color indexed="81"/>
            <rFont val="Tahoma"/>
            <family val="2"/>
          </rPr>
          <t>revised</t>
        </r>
      </text>
    </comment>
    <comment ref="AM104" authorId="0" shapeId="0" xr:uid="{431365B7-6F04-45FF-A5AF-7A3BE56AED3E}">
      <text>
        <r>
          <rPr>
            <sz val="8"/>
            <color indexed="81"/>
            <rFont val="Tahoma"/>
            <family val="2"/>
          </rPr>
          <t>revised</t>
        </r>
      </text>
    </comment>
    <comment ref="AN104" authorId="0" shapeId="0" xr:uid="{00190992-FD0B-4DA4-98B2-39549B1086CD}">
      <text>
        <r>
          <rPr>
            <sz val="8"/>
            <color indexed="81"/>
            <rFont val="Tahoma"/>
            <family val="2"/>
          </rPr>
          <t>revised</t>
        </r>
      </text>
    </comment>
    <comment ref="AO104" authorId="0" shapeId="0" xr:uid="{0FE41468-5B6A-4472-95F6-88CB0BA33F0B}">
      <text>
        <r>
          <rPr>
            <sz val="8"/>
            <color indexed="81"/>
            <rFont val="Tahoma"/>
            <family val="2"/>
          </rPr>
          <t>revised</t>
        </r>
      </text>
    </comment>
    <comment ref="AP104" authorId="0" shapeId="0" xr:uid="{E3697885-1B14-458A-8A66-802127E12440}">
      <text>
        <r>
          <rPr>
            <sz val="8"/>
            <color indexed="81"/>
            <rFont val="Tahoma"/>
            <family val="2"/>
          </rPr>
          <t>revised</t>
        </r>
      </text>
    </comment>
    <comment ref="AQ104" authorId="0" shapeId="0" xr:uid="{CF8D220D-5CA1-4A9A-9447-70E576189AC7}">
      <text>
        <r>
          <rPr>
            <sz val="8"/>
            <color indexed="81"/>
            <rFont val="Tahoma"/>
            <family val="2"/>
          </rPr>
          <t>revised</t>
        </r>
      </text>
    </comment>
    <comment ref="AS104" authorId="0" shapeId="0" xr:uid="{410B6939-8B68-4628-A8ED-2FA6D686CEDA}">
      <text>
        <r>
          <rPr>
            <sz val="8"/>
            <color indexed="81"/>
            <rFont val="Tahoma"/>
            <family val="2"/>
          </rPr>
          <t>revised</t>
        </r>
      </text>
    </comment>
    <comment ref="AT104" authorId="0" shapeId="0" xr:uid="{0941D74D-37D4-44D7-8F39-A4A13B249DC0}">
      <text>
        <r>
          <rPr>
            <sz val="8"/>
            <color indexed="81"/>
            <rFont val="Tahoma"/>
            <family val="2"/>
          </rPr>
          <t>revised</t>
        </r>
      </text>
    </comment>
    <comment ref="AU104" authorId="0" shapeId="0" xr:uid="{8C09E65B-041B-473E-8E38-0520D0273377}">
      <text>
        <r>
          <rPr>
            <sz val="8"/>
            <color indexed="81"/>
            <rFont val="Tahoma"/>
            <family val="2"/>
          </rPr>
          <t>revised</t>
        </r>
      </text>
    </comment>
    <comment ref="AV104" authorId="0" shapeId="0" xr:uid="{9743D6EF-68AA-4E08-8339-8DF708A83930}">
      <text>
        <r>
          <rPr>
            <sz val="8"/>
            <color indexed="81"/>
            <rFont val="Tahoma"/>
            <family val="2"/>
          </rPr>
          <t>revised</t>
        </r>
      </text>
    </comment>
    <comment ref="AW104" authorId="0" shapeId="0" xr:uid="{15FC116B-11DF-44DD-9757-1FDED0DD29FB}">
      <text>
        <r>
          <rPr>
            <sz val="8"/>
            <color indexed="81"/>
            <rFont val="Tahoma"/>
            <family val="2"/>
          </rPr>
          <t>revised</t>
        </r>
      </text>
    </comment>
    <comment ref="AX104" authorId="0" shapeId="0" xr:uid="{6B93CFE9-A85F-40D2-B473-61FC63D1D7B2}">
      <text>
        <r>
          <rPr>
            <sz val="8"/>
            <color indexed="81"/>
            <rFont val="Tahoma"/>
            <family val="2"/>
          </rPr>
          <t>revised</t>
        </r>
      </text>
    </comment>
    <comment ref="AY104" authorId="0" shapeId="0" xr:uid="{D675ADBE-C52C-4AF3-B315-DFF83CBBECB0}">
      <text>
        <r>
          <rPr>
            <sz val="8"/>
            <color indexed="81"/>
            <rFont val="Tahoma"/>
            <family val="2"/>
          </rPr>
          <t>revised</t>
        </r>
      </text>
    </comment>
    <comment ref="AZ104" authorId="0" shapeId="0" xr:uid="{AAB5864A-3B89-45F6-AA05-43A7F6990185}">
      <text>
        <r>
          <rPr>
            <sz val="8"/>
            <color indexed="81"/>
            <rFont val="Tahoma"/>
            <family val="2"/>
          </rPr>
          <t>revised</t>
        </r>
      </text>
    </comment>
    <comment ref="BA104" authorId="0" shapeId="0" xr:uid="{89AA1DC6-D081-47A8-BB9D-5CBD7B274709}">
      <text>
        <r>
          <rPr>
            <sz val="8"/>
            <color indexed="81"/>
            <rFont val="Tahoma"/>
            <family val="2"/>
          </rPr>
          <t>revised</t>
        </r>
      </text>
    </comment>
    <comment ref="BC104" authorId="0" shapeId="0" xr:uid="{33059866-E92E-4ECF-A1F1-2D91426606AC}">
      <text>
        <r>
          <rPr>
            <sz val="8"/>
            <color indexed="81"/>
            <rFont val="Tahoma"/>
            <family val="2"/>
          </rPr>
          <t>revised</t>
        </r>
      </text>
    </comment>
    <comment ref="BD104" authorId="0" shapeId="0" xr:uid="{B8E87927-2B03-4AFA-B884-9727F8B60118}">
      <text>
        <r>
          <rPr>
            <sz val="8"/>
            <color indexed="81"/>
            <rFont val="Tahoma"/>
            <family val="2"/>
          </rPr>
          <t>revised</t>
        </r>
      </text>
    </comment>
    <comment ref="BE104" authorId="0" shapeId="0" xr:uid="{7AE786F9-AD27-4999-8601-E6E42A36D4BF}">
      <text>
        <r>
          <rPr>
            <sz val="8"/>
            <color indexed="81"/>
            <rFont val="Tahoma"/>
            <family val="2"/>
          </rPr>
          <t>revised</t>
        </r>
      </text>
    </comment>
    <comment ref="BF104" authorId="0" shapeId="0" xr:uid="{6F0C4F50-9FCB-4FD8-8930-13F7E2CF139F}">
      <text>
        <r>
          <rPr>
            <sz val="8"/>
            <color indexed="81"/>
            <rFont val="Tahoma"/>
            <family val="2"/>
          </rPr>
          <t>revised</t>
        </r>
      </text>
    </comment>
    <comment ref="BI104" authorId="0" shapeId="0" xr:uid="{C86AC2B9-2EE4-4FA8-BA94-07A6204D69E0}">
      <text>
        <r>
          <rPr>
            <sz val="8"/>
            <color indexed="81"/>
            <rFont val="Tahoma"/>
            <family val="2"/>
          </rPr>
          <t>revised</t>
        </r>
      </text>
    </comment>
    <comment ref="B105" authorId="0" shapeId="0" xr:uid="{F4B36040-3146-49D8-A02C-76AA7EDE8ECB}">
      <text>
        <r>
          <rPr>
            <sz val="8"/>
            <color indexed="81"/>
            <rFont val="Tahoma"/>
            <family val="2"/>
          </rPr>
          <t>revised</t>
        </r>
      </text>
    </comment>
    <comment ref="C105" authorId="0" shapeId="0" xr:uid="{39E9ACA6-F8EA-44F8-8E22-6F2B288B4D94}">
      <text>
        <r>
          <rPr>
            <sz val="8"/>
            <color indexed="81"/>
            <rFont val="Tahoma"/>
            <family val="2"/>
          </rPr>
          <t>revised</t>
        </r>
      </text>
    </comment>
    <comment ref="D105" authorId="0" shapeId="0" xr:uid="{3AE6309B-F09B-40C2-986B-F3ADD9FF8A17}">
      <text>
        <r>
          <rPr>
            <sz val="8"/>
            <color indexed="81"/>
            <rFont val="Tahoma"/>
            <family val="2"/>
          </rPr>
          <t>revised</t>
        </r>
      </text>
    </comment>
    <comment ref="E105" authorId="0" shapeId="0" xr:uid="{AB65198A-C1D6-48B3-B3FD-2354DAFA4304}">
      <text>
        <r>
          <rPr>
            <sz val="8"/>
            <color indexed="81"/>
            <rFont val="Tahoma"/>
            <family val="2"/>
          </rPr>
          <t>revised</t>
        </r>
      </text>
    </comment>
    <comment ref="F105" authorId="0" shapeId="0" xr:uid="{1C08D2C2-EB84-42BC-8042-E734F19C024E}">
      <text>
        <r>
          <rPr>
            <sz val="8"/>
            <color indexed="81"/>
            <rFont val="Tahoma"/>
            <family val="2"/>
          </rPr>
          <t>revised</t>
        </r>
      </text>
    </comment>
    <comment ref="G105" authorId="0" shapeId="0" xr:uid="{193D1E06-5712-459E-9732-C4E4CB5139B2}">
      <text>
        <r>
          <rPr>
            <sz val="8"/>
            <color indexed="81"/>
            <rFont val="Tahoma"/>
            <family val="2"/>
          </rPr>
          <t>revised</t>
        </r>
      </text>
    </comment>
    <comment ref="H105" authorId="0" shapeId="0" xr:uid="{7FB50BAE-2A19-4D84-A725-F592C70E7CE9}">
      <text>
        <r>
          <rPr>
            <sz val="8"/>
            <color indexed="81"/>
            <rFont val="Tahoma"/>
            <family val="2"/>
          </rPr>
          <t>revised</t>
        </r>
      </text>
    </comment>
    <comment ref="J105" authorId="0" shapeId="0" xr:uid="{965639F0-34A3-447B-B910-19BCA017F493}">
      <text>
        <r>
          <rPr>
            <sz val="8"/>
            <color indexed="81"/>
            <rFont val="Tahoma"/>
            <family val="2"/>
          </rPr>
          <t>revised</t>
        </r>
      </text>
    </comment>
    <comment ref="K105" authorId="0" shapeId="0" xr:uid="{54DA473C-3C10-411E-A57B-D2F0A6EBD24C}">
      <text>
        <r>
          <rPr>
            <sz val="8"/>
            <color indexed="81"/>
            <rFont val="Tahoma"/>
            <family val="2"/>
          </rPr>
          <t>revised</t>
        </r>
      </text>
    </comment>
    <comment ref="L105" authorId="0" shapeId="0" xr:uid="{EA11DAE0-303D-4705-B771-80CC10AC4E7A}">
      <text>
        <r>
          <rPr>
            <sz val="8"/>
            <color indexed="81"/>
            <rFont val="Tahoma"/>
            <family val="2"/>
          </rPr>
          <t>revised</t>
        </r>
      </text>
    </comment>
    <comment ref="M105" authorId="0" shapeId="0" xr:uid="{19F419B0-4A73-4E5A-83B3-984A96EA6CC2}">
      <text>
        <r>
          <rPr>
            <sz val="8"/>
            <color indexed="81"/>
            <rFont val="Tahoma"/>
            <family val="2"/>
          </rPr>
          <t>revised</t>
        </r>
      </text>
    </comment>
    <comment ref="P105" authorId="0" shapeId="0" xr:uid="{D9322753-1AD6-41FA-868A-9C6B3CB9F5D1}">
      <text>
        <r>
          <rPr>
            <sz val="8"/>
            <color indexed="81"/>
            <rFont val="Tahoma"/>
            <family val="2"/>
          </rPr>
          <t>revised</t>
        </r>
      </text>
    </comment>
    <comment ref="Q105" authorId="0" shapeId="0" xr:uid="{0F2FE8E6-3CA2-4974-A6E1-7A245565760A}">
      <text>
        <r>
          <rPr>
            <sz val="8"/>
            <color indexed="81"/>
            <rFont val="Tahoma"/>
            <family val="2"/>
          </rPr>
          <t>revised</t>
        </r>
      </text>
    </comment>
    <comment ref="R105" authorId="0" shapeId="0" xr:uid="{33DBF81B-2C7D-45B7-BA8A-F14908471877}">
      <text>
        <r>
          <rPr>
            <sz val="8"/>
            <color indexed="81"/>
            <rFont val="Tahoma"/>
            <family val="2"/>
          </rPr>
          <t>revised</t>
        </r>
      </text>
    </comment>
    <comment ref="S105" authorId="0" shapeId="0" xr:uid="{85231A06-B161-4E1C-AD0A-816926B73BFF}">
      <text>
        <r>
          <rPr>
            <sz val="8"/>
            <color indexed="81"/>
            <rFont val="Tahoma"/>
            <family val="2"/>
          </rPr>
          <t>revised</t>
        </r>
      </text>
    </comment>
    <comment ref="T105" authorId="0" shapeId="0" xr:uid="{7210EE54-FA6F-418D-B149-2432C9163CA6}">
      <text>
        <r>
          <rPr>
            <sz val="8"/>
            <color indexed="81"/>
            <rFont val="Tahoma"/>
            <family val="2"/>
          </rPr>
          <t>revised</t>
        </r>
      </text>
    </comment>
    <comment ref="U105" authorId="0" shapeId="0" xr:uid="{385DB5FE-2955-403F-9D5D-3471515CE8C0}">
      <text>
        <r>
          <rPr>
            <sz val="8"/>
            <color indexed="81"/>
            <rFont val="Tahoma"/>
            <family val="2"/>
          </rPr>
          <t>revised</t>
        </r>
      </text>
    </comment>
    <comment ref="V105" authorId="0" shapeId="0" xr:uid="{ECBDBBF3-3863-46FB-9E41-BB8D6E1CD8EC}">
      <text>
        <r>
          <rPr>
            <sz val="8"/>
            <color indexed="81"/>
            <rFont val="Tahoma"/>
            <family val="2"/>
          </rPr>
          <t>revised</t>
        </r>
      </text>
    </comment>
    <comment ref="W105" authorId="0" shapeId="0" xr:uid="{5109DD69-B820-48AC-9AB8-94B2107CB3E8}">
      <text>
        <r>
          <rPr>
            <sz val="8"/>
            <color indexed="81"/>
            <rFont val="Tahoma"/>
            <family val="2"/>
          </rPr>
          <t>revised</t>
        </r>
      </text>
    </comment>
    <comment ref="X105" authorId="0" shapeId="0" xr:uid="{BBB4273E-26C0-4D7A-9303-5F2C815B55A2}">
      <text>
        <r>
          <rPr>
            <sz val="8"/>
            <color indexed="81"/>
            <rFont val="Tahoma"/>
            <family val="2"/>
          </rPr>
          <t>revised</t>
        </r>
      </text>
    </comment>
    <comment ref="Y105" authorId="0" shapeId="0" xr:uid="{66681211-B650-4737-97F6-F7C1D60DA1EE}">
      <text>
        <r>
          <rPr>
            <sz val="8"/>
            <color indexed="81"/>
            <rFont val="Tahoma"/>
            <family val="2"/>
          </rPr>
          <t>revised</t>
        </r>
      </text>
    </comment>
    <comment ref="Z105" authorId="0" shapeId="0" xr:uid="{5876EAD1-A65F-4AD1-83AB-13B8B6B085FB}">
      <text>
        <r>
          <rPr>
            <sz val="8"/>
            <color indexed="81"/>
            <rFont val="Tahoma"/>
            <family val="2"/>
          </rPr>
          <t>revised</t>
        </r>
      </text>
    </comment>
    <comment ref="AA105" authorId="0" shapeId="0" xr:uid="{E8515A16-35FE-4C9E-8C97-5A2E062C86A5}">
      <text>
        <r>
          <rPr>
            <sz val="8"/>
            <color indexed="81"/>
            <rFont val="Tahoma"/>
            <family val="2"/>
          </rPr>
          <t>revised</t>
        </r>
      </text>
    </comment>
    <comment ref="AB105" authorId="0" shapeId="0" xr:uid="{FF3079F5-3A88-4E32-B50B-176F2B0B2168}">
      <text>
        <r>
          <rPr>
            <sz val="8"/>
            <color indexed="81"/>
            <rFont val="Tahoma"/>
            <family val="2"/>
          </rPr>
          <t>revised</t>
        </r>
      </text>
    </comment>
    <comment ref="AC105" authorId="0" shapeId="0" xr:uid="{FA0304D2-489D-4EE4-A390-360368C54850}">
      <text>
        <r>
          <rPr>
            <sz val="8"/>
            <color indexed="81"/>
            <rFont val="Tahoma"/>
            <family val="2"/>
          </rPr>
          <t>revised</t>
        </r>
      </text>
    </comment>
    <comment ref="AE105" authorId="0" shapeId="0" xr:uid="{5CD39B7B-DBEF-4AF4-BCB9-A80561D23D37}">
      <text>
        <r>
          <rPr>
            <sz val="8"/>
            <color indexed="81"/>
            <rFont val="Tahoma"/>
            <family val="2"/>
          </rPr>
          <t>revised</t>
        </r>
      </text>
    </comment>
    <comment ref="AF105" authorId="0" shapeId="0" xr:uid="{AB70FF19-2E54-4A26-AA05-0E05F8897F91}">
      <text>
        <r>
          <rPr>
            <sz val="8"/>
            <color indexed="81"/>
            <rFont val="Tahoma"/>
            <family val="2"/>
          </rPr>
          <t>revised</t>
        </r>
      </text>
    </comment>
    <comment ref="AG105" authorId="0" shapeId="0" xr:uid="{4E415E3B-7689-48AF-BE88-8553826D7951}">
      <text>
        <r>
          <rPr>
            <sz val="8"/>
            <color indexed="81"/>
            <rFont val="Tahoma"/>
            <family val="2"/>
          </rPr>
          <t>revised</t>
        </r>
      </text>
    </comment>
    <comment ref="AH105" authorId="0" shapeId="0" xr:uid="{C388D6A1-8623-48FA-AF37-A4AE4D56E329}">
      <text>
        <r>
          <rPr>
            <sz val="8"/>
            <color indexed="81"/>
            <rFont val="Tahoma"/>
            <family val="2"/>
          </rPr>
          <t>revised</t>
        </r>
      </text>
    </comment>
    <comment ref="AI105" authorId="0" shapeId="0" xr:uid="{5E77E8A8-2D1C-41F3-A2AE-36745F2EA0F9}">
      <text>
        <r>
          <rPr>
            <sz val="8"/>
            <color indexed="81"/>
            <rFont val="Tahoma"/>
            <family val="2"/>
          </rPr>
          <t>revised</t>
        </r>
      </text>
    </comment>
    <comment ref="AJ105" authorId="0" shapeId="0" xr:uid="{23E8729A-D7E3-4014-8ADF-1CAE8F202EE2}">
      <text>
        <r>
          <rPr>
            <sz val="8"/>
            <color indexed="81"/>
            <rFont val="Tahoma"/>
            <family val="2"/>
          </rPr>
          <t>revised</t>
        </r>
      </text>
    </comment>
    <comment ref="AK105" authorId="0" shapeId="0" xr:uid="{21BDF4BE-10EC-4A4C-9ECA-19DA786112A9}">
      <text>
        <r>
          <rPr>
            <sz val="8"/>
            <color indexed="81"/>
            <rFont val="Tahoma"/>
            <family val="2"/>
          </rPr>
          <t>revised</t>
        </r>
      </text>
    </comment>
    <comment ref="AL105" authorId="0" shapeId="0" xr:uid="{79D324D8-55F9-4597-84DA-E3F6137E5895}">
      <text>
        <r>
          <rPr>
            <sz val="8"/>
            <color indexed="81"/>
            <rFont val="Tahoma"/>
            <family val="2"/>
          </rPr>
          <t>revised</t>
        </r>
      </text>
    </comment>
    <comment ref="AM105" authorId="0" shapeId="0" xr:uid="{1388BDAB-6EA2-4A4F-8B44-E3456CDDCB31}">
      <text>
        <r>
          <rPr>
            <sz val="8"/>
            <color indexed="81"/>
            <rFont val="Tahoma"/>
            <family val="2"/>
          </rPr>
          <t>revised</t>
        </r>
      </text>
    </comment>
    <comment ref="AN105" authorId="0" shapeId="0" xr:uid="{F1014F06-6559-412D-BE28-2D60E4B5466A}">
      <text>
        <r>
          <rPr>
            <sz val="8"/>
            <color indexed="81"/>
            <rFont val="Tahoma"/>
            <family val="2"/>
          </rPr>
          <t>revised</t>
        </r>
      </text>
    </comment>
    <comment ref="AO105" authorId="0" shapeId="0" xr:uid="{05AAECD9-BD64-4D7B-A327-C392A870AFBE}">
      <text>
        <r>
          <rPr>
            <sz val="8"/>
            <color indexed="81"/>
            <rFont val="Tahoma"/>
            <family val="2"/>
          </rPr>
          <t>revised</t>
        </r>
      </text>
    </comment>
    <comment ref="AP105" authorId="0" shapeId="0" xr:uid="{5C3FE0E1-A4CD-4570-8914-10F3B3F33DE8}">
      <text>
        <r>
          <rPr>
            <sz val="8"/>
            <color indexed="81"/>
            <rFont val="Tahoma"/>
            <family val="2"/>
          </rPr>
          <t>revised</t>
        </r>
      </text>
    </comment>
    <comment ref="AQ105" authorId="0" shapeId="0" xr:uid="{0DBA67F6-5D32-4FB6-AEC9-63D1050036DB}">
      <text>
        <r>
          <rPr>
            <sz val="8"/>
            <color indexed="81"/>
            <rFont val="Tahoma"/>
            <family val="2"/>
          </rPr>
          <t>revised</t>
        </r>
      </text>
    </comment>
    <comment ref="AR105" authorId="0" shapeId="0" xr:uid="{2A46E0C2-49D7-4BF5-AAB2-505488CEA424}">
      <text>
        <r>
          <rPr>
            <sz val="8"/>
            <color indexed="81"/>
            <rFont val="Tahoma"/>
            <family val="2"/>
          </rPr>
          <t>revised</t>
        </r>
      </text>
    </comment>
    <comment ref="AS105" authorId="0" shapeId="0" xr:uid="{813A0C5B-AAA1-442A-BA49-E4DC93F245A8}">
      <text>
        <r>
          <rPr>
            <sz val="8"/>
            <color indexed="81"/>
            <rFont val="Tahoma"/>
            <family val="2"/>
          </rPr>
          <t>revised</t>
        </r>
      </text>
    </comment>
    <comment ref="AT105" authorId="0" shapeId="0" xr:uid="{AF2FB07D-7964-4CD5-BDF6-90CB69DBD089}">
      <text>
        <r>
          <rPr>
            <sz val="8"/>
            <color indexed="81"/>
            <rFont val="Tahoma"/>
            <family val="2"/>
          </rPr>
          <t>revised</t>
        </r>
      </text>
    </comment>
    <comment ref="AU105" authorId="0" shapeId="0" xr:uid="{58C8013F-37B1-4BAA-B1A6-22305FD7FACC}">
      <text>
        <r>
          <rPr>
            <sz val="8"/>
            <color indexed="81"/>
            <rFont val="Tahoma"/>
            <family val="2"/>
          </rPr>
          <t>revised</t>
        </r>
      </text>
    </comment>
    <comment ref="AV105" authorId="0" shapeId="0" xr:uid="{6DA3710F-5107-465F-8BFB-55B031E8F2F6}">
      <text>
        <r>
          <rPr>
            <sz val="8"/>
            <color indexed="81"/>
            <rFont val="Tahoma"/>
            <family val="2"/>
          </rPr>
          <t>revised</t>
        </r>
      </text>
    </comment>
    <comment ref="AW105" authorId="0" shapeId="0" xr:uid="{FDB82BC4-A2CA-4AA4-BA12-E300E9122C1F}">
      <text>
        <r>
          <rPr>
            <sz val="8"/>
            <color indexed="81"/>
            <rFont val="Tahoma"/>
            <family val="2"/>
          </rPr>
          <t>revised</t>
        </r>
      </text>
    </comment>
    <comment ref="AX105" authorId="0" shapeId="0" xr:uid="{CC2285E4-0BB3-45C4-B3D7-079638DA640E}">
      <text>
        <r>
          <rPr>
            <sz val="8"/>
            <color indexed="81"/>
            <rFont val="Tahoma"/>
            <family val="2"/>
          </rPr>
          <t>revised</t>
        </r>
      </text>
    </comment>
    <comment ref="AY105" authorId="0" shapeId="0" xr:uid="{C6822D38-DF8F-4692-9A70-307B6A986261}">
      <text>
        <r>
          <rPr>
            <sz val="8"/>
            <color indexed="81"/>
            <rFont val="Tahoma"/>
            <family val="2"/>
          </rPr>
          <t>revised</t>
        </r>
      </text>
    </comment>
    <comment ref="AZ105" authorId="0" shapeId="0" xr:uid="{DECC71DB-D884-42A3-B05F-D9144FFDFAEE}">
      <text>
        <r>
          <rPr>
            <sz val="8"/>
            <color indexed="81"/>
            <rFont val="Tahoma"/>
            <family val="2"/>
          </rPr>
          <t>revised</t>
        </r>
      </text>
    </comment>
    <comment ref="BA105" authorId="0" shapeId="0" xr:uid="{A5267F4C-47FC-425E-A0E3-D503FA791876}">
      <text>
        <r>
          <rPr>
            <sz val="8"/>
            <color indexed="81"/>
            <rFont val="Tahoma"/>
            <family val="2"/>
          </rPr>
          <t>revised</t>
        </r>
      </text>
    </comment>
    <comment ref="BB105" authorId="0" shapeId="0" xr:uid="{300D9418-DED7-4B70-BB11-DDA59E9042AE}">
      <text>
        <r>
          <rPr>
            <sz val="8"/>
            <color indexed="81"/>
            <rFont val="Tahoma"/>
            <family val="2"/>
          </rPr>
          <t>revised</t>
        </r>
      </text>
    </comment>
    <comment ref="BC105" authorId="0" shapeId="0" xr:uid="{638D2939-5178-4B84-981D-34EEED3F7FB3}">
      <text>
        <r>
          <rPr>
            <sz val="8"/>
            <color indexed="81"/>
            <rFont val="Tahoma"/>
            <family val="2"/>
          </rPr>
          <t>revised</t>
        </r>
      </text>
    </comment>
    <comment ref="BD105" authorId="0" shapeId="0" xr:uid="{DFCD8CAC-0910-4F1F-B4E3-5F9DB1E48830}">
      <text>
        <r>
          <rPr>
            <sz val="8"/>
            <color indexed="81"/>
            <rFont val="Tahoma"/>
            <family val="2"/>
          </rPr>
          <t>revised</t>
        </r>
      </text>
    </comment>
    <comment ref="BE105" authorId="0" shapeId="0" xr:uid="{85790363-A279-474B-988B-F0444918608D}">
      <text>
        <r>
          <rPr>
            <sz val="8"/>
            <color indexed="81"/>
            <rFont val="Tahoma"/>
            <family val="2"/>
          </rPr>
          <t>revised</t>
        </r>
      </text>
    </comment>
    <comment ref="BF105" authorId="0" shapeId="0" xr:uid="{93919E58-8E0D-4138-9E6C-80AFF0627E87}">
      <text>
        <r>
          <rPr>
            <sz val="8"/>
            <color indexed="81"/>
            <rFont val="Tahoma"/>
            <family val="2"/>
          </rPr>
          <t>revised</t>
        </r>
      </text>
    </comment>
    <comment ref="BG105" authorId="0" shapeId="0" xr:uid="{356FFDA1-E689-46A2-BD21-AFCF663A0C30}">
      <text>
        <r>
          <rPr>
            <sz val="8"/>
            <color indexed="81"/>
            <rFont val="Tahoma"/>
            <family val="2"/>
          </rPr>
          <t>revised</t>
        </r>
      </text>
    </comment>
    <comment ref="BH105" authorId="0" shapeId="0" xr:uid="{5B943147-AE04-478C-A87C-24B03D3C7E02}">
      <text>
        <r>
          <rPr>
            <sz val="8"/>
            <color indexed="81"/>
            <rFont val="Tahoma"/>
            <family val="2"/>
          </rPr>
          <t>revised</t>
        </r>
      </text>
    </comment>
    <comment ref="BI105" authorId="0" shapeId="0" xr:uid="{8FDBA5BE-003B-4E7B-99D1-AC8F0E81C2F0}">
      <text>
        <r>
          <rPr>
            <sz val="8"/>
            <color indexed="81"/>
            <rFont val="Tahoma"/>
            <family val="2"/>
          </rPr>
          <t>revised</t>
        </r>
      </text>
    </comment>
    <comment ref="B106" authorId="0" shapeId="0" xr:uid="{3F3D8630-C69C-4A84-9442-AF0212964EFF}">
      <text>
        <r>
          <rPr>
            <sz val="8"/>
            <color indexed="81"/>
            <rFont val="Tahoma"/>
            <family val="2"/>
          </rPr>
          <t>preliminary figure or series subject to revision</t>
        </r>
      </text>
    </comment>
    <comment ref="C106" authorId="0" shapeId="0" xr:uid="{D1A38C0E-3EA4-44CC-8E2E-9A5D9B61D135}">
      <text>
        <r>
          <rPr>
            <sz val="8"/>
            <color indexed="81"/>
            <rFont val="Tahoma"/>
            <family val="2"/>
          </rPr>
          <t>preliminary figure or series subject to revision</t>
        </r>
      </text>
    </comment>
    <comment ref="D106" authorId="0" shapeId="0" xr:uid="{2E9D4516-B64C-4841-9C55-D142646DADAC}">
      <text>
        <r>
          <rPr>
            <sz val="8"/>
            <color indexed="81"/>
            <rFont val="Tahoma"/>
            <family val="2"/>
          </rPr>
          <t>preliminary figure or series subject to revision</t>
        </r>
      </text>
    </comment>
    <comment ref="E106" authorId="0" shapeId="0" xr:uid="{9D10B043-B5B4-407E-AEFE-892DA5B14ED1}">
      <text>
        <r>
          <rPr>
            <sz val="8"/>
            <color indexed="81"/>
            <rFont val="Tahoma"/>
            <family val="2"/>
          </rPr>
          <t>preliminary figure or series subject to revision</t>
        </r>
      </text>
    </comment>
    <comment ref="F106" authorId="0" shapeId="0" xr:uid="{12111B65-7D0C-4F58-9C5D-B7173B51E6CA}">
      <text>
        <r>
          <rPr>
            <sz val="8"/>
            <color indexed="81"/>
            <rFont val="Tahoma"/>
            <family val="2"/>
          </rPr>
          <t>preliminary figure or series subject to revision</t>
        </r>
      </text>
    </comment>
    <comment ref="G106" authorId="0" shapeId="0" xr:uid="{8E594400-1D0D-4215-8C96-DE0E233D619C}">
      <text>
        <r>
          <rPr>
            <sz val="8"/>
            <color indexed="81"/>
            <rFont val="Tahoma"/>
            <family val="2"/>
          </rPr>
          <t>preliminary figure or series subject to revision</t>
        </r>
      </text>
    </comment>
    <comment ref="H106" authorId="0" shapeId="0" xr:uid="{F9B83753-4CF5-4B34-B8A0-0514752571F5}">
      <text>
        <r>
          <rPr>
            <sz val="8"/>
            <color indexed="81"/>
            <rFont val="Tahoma"/>
            <family val="2"/>
          </rPr>
          <t>preliminary figure or series subject to revision</t>
        </r>
      </text>
    </comment>
    <comment ref="I106" authorId="0" shapeId="0" xr:uid="{53778956-B8B1-4181-8A9E-9D7B37E8DECA}">
      <text>
        <r>
          <rPr>
            <sz val="8"/>
            <color indexed="81"/>
            <rFont val="Tahoma"/>
            <family val="2"/>
          </rPr>
          <t>preliminary figure or series subject to revision</t>
        </r>
      </text>
    </comment>
    <comment ref="J106" authorId="0" shapeId="0" xr:uid="{BF4578C1-75B8-4344-A006-82A57F6E8892}">
      <text>
        <r>
          <rPr>
            <sz val="8"/>
            <color indexed="81"/>
            <rFont val="Tahoma"/>
            <family val="2"/>
          </rPr>
          <t>preliminary figure or series subject to revision</t>
        </r>
      </text>
    </comment>
    <comment ref="K106" authorId="0" shapeId="0" xr:uid="{DA82A293-9A8C-4A6D-85FD-C630D48E6208}">
      <text>
        <r>
          <rPr>
            <sz val="8"/>
            <color indexed="81"/>
            <rFont val="Tahoma"/>
            <family val="2"/>
          </rPr>
          <t>preliminary figure or series subject to revision</t>
        </r>
      </text>
    </comment>
    <comment ref="L106" authorId="0" shapeId="0" xr:uid="{E1C49917-0E00-48CD-95DA-C9407730B4C2}">
      <text>
        <r>
          <rPr>
            <sz val="8"/>
            <color indexed="81"/>
            <rFont val="Tahoma"/>
            <family val="2"/>
          </rPr>
          <t>preliminary figure or series subject to revision</t>
        </r>
      </text>
    </comment>
    <comment ref="M106" authorId="0" shapeId="0" xr:uid="{0BA1005A-5DE9-4B77-AA0D-64CC30828D06}">
      <text>
        <r>
          <rPr>
            <sz val="8"/>
            <color indexed="81"/>
            <rFont val="Tahoma"/>
            <family val="2"/>
          </rPr>
          <t>preliminary figure or series subject to revision</t>
        </r>
      </text>
    </comment>
    <comment ref="N106" authorId="0" shapeId="0" xr:uid="{889A815D-0DE2-4564-BFD0-4F94C9231915}">
      <text>
        <r>
          <rPr>
            <sz val="8"/>
            <color indexed="81"/>
            <rFont val="Tahoma"/>
            <family val="2"/>
          </rPr>
          <t>preliminary figure or series subject to revision</t>
        </r>
      </text>
    </comment>
    <comment ref="O106" authorId="0" shapeId="0" xr:uid="{043A3CA2-65AD-48B0-A6E9-129327B61F59}">
      <text>
        <r>
          <rPr>
            <sz val="8"/>
            <color indexed="81"/>
            <rFont val="Tahoma"/>
            <family val="2"/>
          </rPr>
          <t>preliminary figure or series subject to revision</t>
        </r>
      </text>
    </comment>
    <comment ref="P106" authorId="0" shapeId="0" xr:uid="{8B74B655-2DAE-4A8E-9ACC-417CAC170776}">
      <text>
        <r>
          <rPr>
            <sz val="8"/>
            <color indexed="81"/>
            <rFont val="Tahoma"/>
            <family val="2"/>
          </rPr>
          <t>preliminary figure or series subject to revision</t>
        </r>
      </text>
    </comment>
    <comment ref="Q106" authorId="0" shapeId="0" xr:uid="{8BB05AF9-1E1E-456F-9705-AA5089DDB8B3}">
      <text>
        <r>
          <rPr>
            <sz val="8"/>
            <color indexed="81"/>
            <rFont val="Tahoma"/>
            <family val="2"/>
          </rPr>
          <t>preliminary figure or series subject to revision</t>
        </r>
      </text>
    </comment>
    <comment ref="R106" authorId="0" shapeId="0" xr:uid="{B578C3BB-3A4B-4CE5-9D58-2F446FA9174A}">
      <text>
        <r>
          <rPr>
            <sz val="8"/>
            <color indexed="81"/>
            <rFont val="Tahoma"/>
            <family val="2"/>
          </rPr>
          <t>preliminary figure or series subject to revision</t>
        </r>
      </text>
    </comment>
    <comment ref="S106" authorId="0" shapeId="0" xr:uid="{63E6BE14-5D53-45F8-B17B-AF5270128DB6}">
      <text>
        <r>
          <rPr>
            <sz val="8"/>
            <color indexed="81"/>
            <rFont val="Tahoma"/>
            <family val="2"/>
          </rPr>
          <t>preliminary figure or series subject to revision</t>
        </r>
      </text>
    </comment>
    <comment ref="T106" authorId="0" shapeId="0" xr:uid="{F041B6F9-34DE-46FE-AA34-F61DC478AC09}">
      <text>
        <r>
          <rPr>
            <sz val="8"/>
            <color indexed="81"/>
            <rFont val="Tahoma"/>
            <family val="2"/>
          </rPr>
          <t>preliminary figure or series subject to revision</t>
        </r>
      </text>
    </comment>
    <comment ref="U106" authorId="0" shapeId="0" xr:uid="{84314837-D51C-4E52-8D70-ADD9FBC79C4B}">
      <text>
        <r>
          <rPr>
            <sz val="8"/>
            <color indexed="81"/>
            <rFont val="Tahoma"/>
            <family val="2"/>
          </rPr>
          <t>preliminary figure or series subject to revision</t>
        </r>
      </text>
    </comment>
    <comment ref="V106" authorId="0" shapeId="0" xr:uid="{F860D84A-8CEB-498D-BF73-0240B412ED1A}">
      <text>
        <r>
          <rPr>
            <sz val="8"/>
            <color indexed="81"/>
            <rFont val="Tahoma"/>
            <family val="2"/>
          </rPr>
          <t>preliminary figure or series subject to revision</t>
        </r>
      </text>
    </comment>
    <comment ref="W106" authorId="0" shapeId="0" xr:uid="{42BA62AE-AC5A-48C3-855B-6C72F04E18C5}">
      <text>
        <r>
          <rPr>
            <sz val="8"/>
            <color indexed="81"/>
            <rFont val="Tahoma"/>
            <family val="2"/>
          </rPr>
          <t>preliminary figure or series subject to revision</t>
        </r>
      </text>
    </comment>
    <comment ref="X106" authorId="0" shapeId="0" xr:uid="{1015E1E7-B08C-4304-B279-DA74C16E4170}">
      <text>
        <r>
          <rPr>
            <sz val="8"/>
            <color indexed="81"/>
            <rFont val="Tahoma"/>
            <family val="2"/>
          </rPr>
          <t>preliminary figure or series subject to revision</t>
        </r>
      </text>
    </comment>
    <comment ref="Y106" authorId="0" shapeId="0" xr:uid="{01BB0AAF-3F11-43F2-94E3-2683F640D55E}">
      <text>
        <r>
          <rPr>
            <sz val="8"/>
            <color indexed="81"/>
            <rFont val="Tahoma"/>
            <family val="2"/>
          </rPr>
          <t>preliminary figure or series subject to revision</t>
        </r>
      </text>
    </comment>
    <comment ref="Z106" authorId="0" shapeId="0" xr:uid="{62D042EC-8189-47C6-9937-E5D439538C2A}">
      <text>
        <r>
          <rPr>
            <sz val="8"/>
            <color indexed="81"/>
            <rFont val="Tahoma"/>
            <family val="2"/>
          </rPr>
          <t>preliminary figure or series subject to revision</t>
        </r>
      </text>
    </comment>
    <comment ref="AA106" authorId="0" shapeId="0" xr:uid="{74688CC7-CC5D-4D0B-B5CB-39F0338B453B}">
      <text>
        <r>
          <rPr>
            <sz val="8"/>
            <color indexed="81"/>
            <rFont val="Tahoma"/>
            <family val="2"/>
          </rPr>
          <t>preliminary figure or series subject to revision</t>
        </r>
      </text>
    </comment>
    <comment ref="AB106" authorId="0" shapeId="0" xr:uid="{DA04FDA2-AF80-4479-ADE3-7731690EC1EA}">
      <text>
        <r>
          <rPr>
            <sz val="8"/>
            <color indexed="81"/>
            <rFont val="Tahoma"/>
            <family val="2"/>
          </rPr>
          <t>preliminary figure or series subject to revision</t>
        </r>
      </text>
    </comment>
    <comment ref="AC106" authorId="0" shapeId="0" xr:uid="{C7FF2066-4D8F-4687-987F-60C193BC77AD}">
      <text>
        <r>
          <rPr>
            <sz val="8"/>
            <color indexed="81"/>
            <rFont val="Tahoma"/>
            <family val="2"/>
          </rPr>
          <t>preliminary figure or series subject to revision</t>
        </r>
      </text>
    </comment>
    <comment ref="AD106" authorId="0" shapeId="0" xr:uid="{362AC543-00F2-41B7-B2AD-12953A407BCF}">
      <text>
        <r>
          <rPr>
            <sz val="8"/>
            <color indexed="81"/>
            <rFont val="Tahoma"/>
            <family val="2"/>
          </rPr>
          <t>preliminary figure or series subject to revision</t>
        </r>
      </text>
    </comment>
    <comment ref="AE106" authorId="0" shapeId="0" xr:uid="{A07D216E-9FEE-4D48-BFBF-246DA40624DA}">
      <text>
        <r>
          <rPr>
            <sz val="8"/>
            <color indexed="81"/>
            <rFont val="Tahoma"/>
            <family val="2"/>
          </rPr>
          <t>preliminary figure or series subject to revision</t>
        </r>
      </text>
    </comment>
    <comment ref="AF106" authorId="0" shapeId="0" xr:uid="{66ADDB7D-10DF-4531-B351-4FBF339F88DC}">
      <text>
        <r>
          <rPr>
            <sz val="8"/>
            <color indexed="81"/>
            <rFont val="Tahoma"/>
            <family val="2"/>
          </rPr>
          <t>preliminary figure or series subject to revision</t>
        </r>
      </text>
    </comment>
    <comment ref="AG106" authorId="0" shapeId="0" xr:uid="{4E0ED770-805A-4318-9C5A-16415305A3CB}">
      <text>
        <r>
          <rPr>
            <sz val="8"/>
            <color indexed="81"/>
            <rFont val="Tahoma"/>
            <family val="2"/>
          </rPr>
          <t>preliminary figure or series subject to revision</t>
        </r>
      </text>
    </comment>
    <comment ref="AH106" authorId="0" shapeId="0" xr:uid="{240BC15D-CCDC-4C97-ACB8-FA1ACAEAE000}">
      <text>
        <r>
          <rPr>
            <sz val="8"/>
            <color indexed="81"/>
            <rFont val="Tahoma"/>
            <family val="2"/>
          </rPr>
          <t>preliminary figure or series subject to revision</t>
        </r>
      </text>
    </comment>
    <comment ref="AI106" authorId="0" shapeId="0" xr:uid="{8AEE5C35-02C2-45FF-88AC-0C637B243963}">
      <text>
        <r>
          <rPr>
            <sz val="8"/>
            <color indexed="81"/>
            <rFont val="Tahoma"/>
            <family val="2"/>
          </rPr>
          <t>preliminary figure or series subject to revision</t>
        </r>
      </text>
    </comment>
    <comment ref="AJ106" authorId="0" shapeId="0" xr:uid="{3E51333D-54FE-44CB-89F8-CC7B6CF5A732}">
      <text>
        <r>
          <rPr>
            <sz val="8"/>
            <color indexed="81"/>
            <rFont val="Tahoma"/>
            <family val="2"/>
          </rPr>
          <t>preliminary figure or series subject to revision</t>
        </r>
      </text>
    </comment>
    <comment ref="AK106" authorId="0" shapeId="0" xr:uid="{3C8427D6-D4B7-4B53-9A5D-1EC3D9945751}">
      <text>
        <r>
          <rPr>
            <sz val="8"/>
            <color indexed="81"/>
            <rFont val="Tahoma"/>
            <family val="2"/>
          </rPr>
          <t>preliminary figure or series subject to revision</t>
        </r>
      </text>
    </comment>
    <comment ref="AL106" authorId="0" shapeId="0" xr:uid="{6B0AB6D8-5013-44F7-8AA7-440943BA08FA}">
      <text>
        <r>
          <rPr>
            <sz val="8"/>
            <color indexed="81"/>
            <rFont val="Tahoma"/>
            <family val="2"/>
          </rPr>
          <t>preliminary figure or series subject to revision</t>
        </r>
      </text>
    </comment>
    <comment ref="AM106" authorId="0" shapeId="0" xr:uid="{E01377E4-A7E0-41B9-98FE-5EBCFA090032}">
      <text>
        <r>
          <rPr>
            <sz val="8"/>
            <color indexed="81"/>
            <rFont val="Tahoma"/>
            <family val="2"/>
          </rPr>
          <t>preliminary figure or series subject to revision</t>
        </r>
      </text>
    </comment>
    <comment ref="AN106" authorId="0" shapeId="0" xr:uid="{4997123F-E50E-4DA7-9294-9C583CB00F95}">
      <text>
        <r>
          <rPr>
            <sz val="8"/>
            <color indexed="81"/>
            <rFont val="Tahoma"/>
            <family val="2"/>
          </rPr>
          <t>preliminary figure or series subject to revision</t>
        </r>
      </text>
    </comment>
    <comment ref="AO106" authorId="0" shapeId="0" xr:uid="{ED855E42-CC36-4E3B-A49D-8E4663059BF6}">
      <text>
        <r>
          <rPr>
            <sz val="8"/>
            <color indexed="81"/>
            <rFont val="Tahoma"/>
            <family val="2"/>
          </rPr>
          <t>preliminary figure or series subject to revision</t>
        </r>
      </text>
    </comment>
    <comment ref="AP106" authorId="0" shapeId="0" xr:uid="{48AA030D-99A0-4374-80C3-6BAB1704A57E}">
      <text>
        <r>
          <rPr>
            <sz val="8"/>
            <color indexed="81"/>
            <rFont val="Tahoma"/>
            <family val="2"/>
          </rPr>
          <t>preliminary figure or series subject to revision</t>
        </r>
      </text>
    </comment>
    <comment ref="AQ106" authorId="0" shapeId="0" xr:uid="{4BB1BE6D-7D34-45DA-BE0A-646A7365E2DF}">
      <text>
        <r>
          <rPr>
            <sz val="8"/>
            <color indexed="81"/>
            <rFont val="Tahoma"/>
            <family val="2"/>
          </rPr>
          <t>preliminary figure or series subject to revision</t>
        </r>
      </text>
    </comment>
    <comment ref="AR106" authorId="0" shapeId="0" xr:uid="{9FBB6F05-325A-4A62-A014-0B653518D75B}">
      <text>
        <r>
          <rPr>
            <sz val="8"/>
            <color indexed="81"/>
            <rFont val="Tahoma"/>
            <family val="2"/>
          </rPr>
          <t>preliminary figure or series subject to revision</t>
        </r>
      </text>
    </comment>
    <comment ref="AS106" authorId="0" shapeId="0" xr:uid="{D82E68A4-6F8D-4D4A-9939-FA73EFD8973E}">
      <text>
        <r>
          <rPr>
            <sz val="8"/>
            <color indexed="81"/>
            <rFont val="Tahoma"/>
            <family val="2"/>
          </rPr>
          <t>preliminary figure or series subject to revision</t>
        </r>
      </text>
    </comment>
    <comment ref="AT106" authorId="0" shapeId="0" xr:uid="{C70D13D9-77EB-40E3-9E48-31C190333913}">
      <text>
        <r>
          <rPr>
            <sz val="8"/>
            <color indexed="81"/>
            <rFont val="Tahoma"/>
            <family val="2"/>
          </rPr>
          <t>preliminary figure or series subject to revision</t>
        </r>
      </text>
    </comment>
    <comment ref="AU106" authorId="0" shapeId="0" xr:uid="{1101DB15-97BD-4750-A024-817E9198C368}">
      <text>
        <r>
          <rPr>
            <sz val="8"/>
            <color indexed="81"/>
            <rFont val="Tahoma"/>
            <family val="2"/>
          </rPr>
          <t>preliminary figure or series subject to revision</t>
        </r>
      </text>
    </comment>
    <comment ref="AV106" authorId="0" shapeId="0" xr:uid="{5B36D53C-17E9-4285-8084-FFEBC034A340}">
      <text>
        <r>
          <rPr>
            <sz val="8"/>
            <color indexed="81"/>
            <rFont val="Tahoma"/>
            <family val="2"/>
          </rPr>
          <t>preliminary figure or series subject to revision</t>
        </r>
      </text>
    </comment>
    <comment ref="AW106" authorId="0" shapeId="0" xr:uid="{FB3108C3-D44D-4BD3-B5E6-75596073E5EC}">
      <text>
        <r>
          <rPr>
            <sz val="8"/>
            <color indexed="81"/>
            <rFont val="Tahoma"/>
            <family val="2"/>
          </rPr>
          <t>preliminary figure or series subject to revision</t>
        </r>
      </text>
    </comment>
    <comment ref="AX106" authorId="0" shapeId="0" xr:uid="{FFDEC9BF-D61E-4918-B86F-2A55346E1007}">
      <text>
        <r>
          <rPr>
            <sz val="8"/>
            <color indexed="81"/>
            <rFont val="Tahoma"/>
            <family val="2"/>
          </rPr>
          <t>preliminary figure or series subject to revision</t>
        </r>
      </text>
    </comment>
    <comment ref="AY106" authorId="0" shapeId="0" xr:uid="{5433C090-ACBA-4FC2-AAC5-1F25794A4946}">
      <text>
        <r>
          <rPr>
            <sz val="8"/>
            <color indexed="81"/>
            <rFont val="Tahoma"/>
            <family val="2"/>
          </rPr>
          <t>preliminary figure or series subject to revision</t>
        </r>
      </text>
    </comment>
    <comment ref="AZ106" authorId="0" shapeId="0" xr:uid="{3C5AEEDE-5322-49DE-90F7-71068ED9238A}">
      <text>
        <r>
          <rPr>
            <sz val="8"/>
            <color indexed="81"/>
            <rFont val="Tahoma"/>
            <family val="2"/>
          </rPr>
          <t>preliminary figure or series subject to revision</t>
        </r>
      </text>
    </comment>
    <comment ref="BA106" authorId="0" shapeId="0" xr:uid="{9AA12423-61E9-423D-A888-DE24F58FB942}">
      <text>
        <r>
          <rPr>
            <sz val="8"/>
            <color indexed="81"/>
            <rFont val="Tahoma"/>
            <family val="2"/>
          </rPr>
          <t>preliminary figure or series subject to revision</t>
        </r>
      </text>
    </comment>
    <comment ref="BB106" authorId="0" shapeId="0" xr:uid="{305D689D-36DA-4061-803E-3658321613BF}">
      <text>
        <r>
          <rPr>
            <sz val="8"/>
            <color indexed="81"/>
            <rFont val="Tahoma"/>
            <family val="2"/>
          </rPr>
          <t>preliminary figure or series subject to revision</t>
        </r>
      </text>
    </comment>
    <comment ref="BC106" authorId="0" shapeId="0" xr:uid="{36B7C380-CABD-405E-BA0D-FA7CD3179F13}">
      <text>
        <r>
          <rPr>
            <sz val="8"/>
            <color indexed="81"/>
            <rFont val="Tahoma"/>
            <family val="2"/>
          </rPr>
          <t>preliminary figure or series subject to revision</t>
        </r>
      </text>
    </comment>
    <comment ref="BD106" authorId="0" shapeId="0" xr:uid="{38D2DEC4-88E7-44AD-9F60-FD9924F581C4}">
      <text>
        <r>
          <rPr>
            <sz val="8"/>
            <color indexed="81"/>
            <rFont val="Tahoma"/>
            <family val="2"/>
          </rPr>
          <t>preliminary figure or series subject to revision</t>
        </r>
      </text>
    </comment>
    <comment ref="BE106" authorId="0" shapeId="0" xr:uid="{52A56234-7F6B-4B67-A2F1-D39C542B1B69}">
      <text>
        <r>
          <rPr>
            <sz val="8"/>
            <color indexed="81"/>
            <rFont val="Tahoma"/>
            <family val="2"/>
          </rPr>
          <t>preliminary figure or series subject to revision</t>
        </r>
      </text>
    </comment>
    <comment ref="BF106" authorId="0" shapeId="0" xr:uid="{8A8E2CE2-BFE4-437B-89D1-F14B9154C426}">
      <text>
        <r>
          <rPr>
            <sz val="8"/>
            <color indexed="81"/>
            <rFont val="Tahoma"/>
            <family val="2"/>
          </rPr>
          <t>preliminary figure or series subject to revision</t>
        </r>
      </text>
    </comment>
    <comment ref="BG106" authorId="0" shapeId="0" xr:uid="{4082FB4C-E68E-43BE-B027-9D8D68BFC45C}">
      <text>
        <r>
          <rPr>
            <sz val="8"/>
            <color indexed="81"/>
            <rFont val="Tahoma"/>
            <family val="2"/>
          </rPr>
          <t>preliminary figure or series subject to revision</t>
        </r>
      </text>
    </comment>
    <comment ref="BH106" authorId="0" shapeId="0" xr:uid="{053D434A-05B6-475E-B71E-CA1484A4E4C4}">
      <text>
        <r>
          <rPr>
            <sz val="8"/>
            <color indexed="81"/>
            <rFont val="Tahoma"/>
            <family val="2"/>
          </rPr>
          <t>preliminary figure or series subject to revision</t>
        </r>
      </text>
    </comment>
    <comment ref="BI106" authorId="0" shapeId="0" xr:uid="{04C8C38D-3885-473E-8505-2000D11A0D79}">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<sst xmlns="http://schemas.openxmlformats.org/spreadsheetml/2006/main" count="999" uniqueCount="666">
  <si>
    <t>Median Rent ($ per Week) by Quarter</t>
  </si>
  <si>
    <t>LGA/Ring/SD NAME</t>
  </si>
  <si>
    <t>Quarter</t>
  </si>
  <si>
    <t>2 Bedrooms</t>
  </si>
  <si>
    <t>3 Bedrooms</t>
  </si>
  <si>
    <t>House</t>
  </si>
  <si>
    <t>Flat/Unit</t>
  </si>
  <si>
    <t>Analysis start quarter</t>
  </si>
  <si>
    <t>Analysis end quarter</t>
  </si>
  <si>
    <t>Council/Area</t>
  </si>
  <si>
    <t>Quarterly rent</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</si>
  <si>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</si>
  <si>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</si>
  <si>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</si>
  <si>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</si>
  <si>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</si>
  <si>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</si>
  <si>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</si>
  <si>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</si>
  <si>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</si>
  <si>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</si>
  <si>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</si>
  <si>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</si>
  <si>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</si>
  <si>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</si>
  <si>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</si>
  <si>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</si>
  <si>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</si>
  <si>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</si>
  <si>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</si>
  <si>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</si>
  <si>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</si>
  <si>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</si>
  <si>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</si>
  <si>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</si>
  <si>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</si>
  <si>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</si>
  <si>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</si>
  <si>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</si>
  <si>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</si>
  <si>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</si>
  <si>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</si>
  <si>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</si>
  <si>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</si>
  <si>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</si>
  <si>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</si>
  <si>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</si>
  <si>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</si>
  <si>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</si>
  <si>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</si>
  <si>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</si>
  <si>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</si>
  <si>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</si>
  <si>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</si>
  <si>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</si>
  <si>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</si>
  <si>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</si>
  <si>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</si>
  <si>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</si>
  <si>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</si>
  <si>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</si>
  <si>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</si>
  <si>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</si>
  <si>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</si>
  <si>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</si>
  <si>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</si>
  <si>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</si>
  <si>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</si>
  <si>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</si>
  <si>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</si>
  <si>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</si>
  <si>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</si>
  <si>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</si>
  <si>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</si>
  <si>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</si>
  <si>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</si>
  <si>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</si>
  <si>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</si>
  <si>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</si>
  <si>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</si>
  <si>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</si>
  <si>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</si>
  <si>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</si>
  <si>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</si>
  <si>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</si>
  <si>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</si>
  <si>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</si>
  <si>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</si>
  <si>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</si>
  <si>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</si>
  <si>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</si>
  <si>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</si>
  <si>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</si>
  <si>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</si>
  <si>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</si>
  <si>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</si>
  <si>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</si>
  <si>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</si>
  <si>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</si>
  <si>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</si>
  <si>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</si>
  <si>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</si>
  <si>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</si>
  <si>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</si>
  <si>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</si>
  <si>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</si>
  <si>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</si>
  <si>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</si>
  <si>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</si>
  <si>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</si>
  <si>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</si>
  <si>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</si>
  <si>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</si>
  <si>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</si>
  <si>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</si>
  <si>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</si>
  <si>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</si>
  <si>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</si>
  <si>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</si>
  <si>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</si>
  <si>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</si>
  <si>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</si>
  <si>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</si>
  <si>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</si>
  <si>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</si>
  <si>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</si>
  <si>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</si>
  <si>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</si>
  <si>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</si>
  <si>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</si>
  <si>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</si>
  <si>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</si>
  <si>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</si>
  <si>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</si>
  <si>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</si>
  <si>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</si>
  <si>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</si>
  <si>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</si>
  <si>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</si>
  <si>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</si>
  <si>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</si>
  <si>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</si>
  <si>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</si>
  <si>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</si>
  <si>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</si>
  <si>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</si>
  <si>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</si>
  <si>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</si>
  <si>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</si>
  <si>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</si>
  <si>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</si>
  <si>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</si>
  <si>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</si>
  <si>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</si>
  <si>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</si>
  <si>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</si>
  <si>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</si>
  <si>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</si>
  <si>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</si>
  <si>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</si>
  <si>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</si>
  <si>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</si>
  <si>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</si>
  <si>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</si>
  <si>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</si>
  <si>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</si>
  <si>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</si>
  <si>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</si>
  <si>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</si>
  <si>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</si>
  <si>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</si>
  <si>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</si>
  <si>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</si>
  <si>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</si>
  <si>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</si>
  <si>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</si>
  <si>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</si>
  <si>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</si>
  <si>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</si>
  <si>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</si>
  <si>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</si>
  <si>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</si>
  <si>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</si>
  <si>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</si>
  <si>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</si>
  <si>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</si>
  <si>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</si>
  <si>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</si>
  <si>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</si>
  <si>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</si>
  <si>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</si>
  <si>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</si>
  <si>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</si>
  <si>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</si>
  <si>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</si>
  <si>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</si>
  <si>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</si>
  <si>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</si>
  <si>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</si>
  <si>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</si>
  <si>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</si>
  <si>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</si>
  <si>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</si>
  <si>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</si>
  <si>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</si>
  <si>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</si>
  <si>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</si>
  <si>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</si>
  <si>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</si>
  <si>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</si>
  <si>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</si>
  <si>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</si>
  <si>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</si>
  <si>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</si>
  <si>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</si>
  <si>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</si>
  <si>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</si>
  <si>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</si>
  <si>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</si>
  <si>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</si>
  <si>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</si>
  <si>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</si>
  <si>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</si>
  <si>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</si>
  <si>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</si>
  <si>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</si>
  <si>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</si>
  <si>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</si>
  <si>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</si>
  <si>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</si>
  <si>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</si>
  <si>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</si>
  <si>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</si>
  <si>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</si>
  <si>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</si>
  <si>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</si>
  <si>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</si>
  <si>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</si>
  <si>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</si>
  <si>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</si>
  <si>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</si>
  <si>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</si>
  <si>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</si>
  <si>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</si>
  <si>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</si>
  <si>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</si>
  <si>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</si>
  <si>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</si>
  <si>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</si>
  <si>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</si>
  <si>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</si>
  <si>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</si>
  <si>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</si>
  <si>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</si>
  <si>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</si>
  <si>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</si>
  <si>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</si>
  <si>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</si>
  <si>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</si>
  <si>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</si>
  <si>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</si>
  <si>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</si>
  <si>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</si>
  <si>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</si>
  <si>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</si>
  <si>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</si>
  <si>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</si>
  <si>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</si>
  <si>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</si>
  <si>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</si>
  <si>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</si>
  <si>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</si>
  <si>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</si>
  <si>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</si>
  <si>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</si>
  <si>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</si>
  <si>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</si>
  <si>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</si>
  <si>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</si>
  <si>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</si>
  <si>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</si>
  <si>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</si>
  <si>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</si>
  <si>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</si>
  <si>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</si>
  <si>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</si>
  <si>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</si>
  <si>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</si>
  <si>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</si>
  <si>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</si>
  <si>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</si>
  <si>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</si>
  <si>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</si>
  <si>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</si>
  <si>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</si>
  <si>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</si>
  <si>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</si>
  <si>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</si>
  <si>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</si>
  <si>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</si>
  <si>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</si>
  <si>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</si>
  <si>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</si>
  <si>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</si>
  <si>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</si>
  <si>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</si>
  <si>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</si>
  <si>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</si>
  <si>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</si>
  <si>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</si>
  <si>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</si>
  <si>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</si>
  <si>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</si>
  <si>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</si>
  <si>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</si>
  <si>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</si>
  <si>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</si>
  <si>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</si>
  <si>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</si>
  <si>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</si>
  <si>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</si>
  <si>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</si>
  <si>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</si>
  <si>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</si>
  <si>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</si>
  <si>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</si>
  <si>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</si>
  <si>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</si>
  <si>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</si>
  <si>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</si>
  <si>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</si>
  <si>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</si>
  <si>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</si>
  <si>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</si>
  <si>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</si>
  <si>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</si>
  <si>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</si>
  <si>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</si>
  <si>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</si>
  <si>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</si>
  <si>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</si>
  <si>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</si>
  <si>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</si>
  <si>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</si>
  <si>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</si>
  <si>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</si>
  <si>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</si>
  <si>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</si>
  <si>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</si>
  <si>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</si>
  <si>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</si>
  <si>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</si>
  <si>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</si>
  <si>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</si>
  <si>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</si>
  <si>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</si>
  <si>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</si>
  <si>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</si>
  <si>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</si>
  <si>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</si>
  <si>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</si>
  <si>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</si>
  <si>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</si>
  <si>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</si>
  <si>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</si>
  <si>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</si>
  <si>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</si>
  <si>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</si>
  <si>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</si>
  <si>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</si>
  <si>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</si>
  <si>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</si>
  <si>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</si>
  <si>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</si>
  <si>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</si>
  <si>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</si>
  <si>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</si>
  <si>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</si>
  <si>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</si>
  <si>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</si>
  <si>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</si>
  <si>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</si>
  <si>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</si>
  <si>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</si>
  <si>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</si>
  <si>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</si>
  <si>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</si>
  <si>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</si>
  <si>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</si>
  <si>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</si>
  <si>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</si>
  <si>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</si>
  <si>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</si>
  <si>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</si>
  <si>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</si>
  <si>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</si>
  <si>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</si>
  <si>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</si>
  <si>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</si>
  <si>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</si>
  <si>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</si>
  <si>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</si>
  <si>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</si>
  <si>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</si>
  <si>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</si>
  <si>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</si>
  <si>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</si>
  <si>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</si>
  <si>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</si>
  <si>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</si>
  <si>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</si>
  <si>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</si>
  <si>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</si>
  <si>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</si>
  <si>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</si>
  <si>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</si>
  <si>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</si>
  <si>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</si>
  <si>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</si>
  <si>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</si>
  <si>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</si>
  <si>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</si>
  <si>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</si>
  <si>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</si>
  <si>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</si>
  <si>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</si>
  <si>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</si>
  <si>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</si>
  <si>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</si>
  <si>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</si>
  <si>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</si>
  <si>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</si>
  <si>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</si>
  <si>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</si>
  <si>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</si>
  <si>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</si>
  <si>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</si>
  <si>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</si>
  <si>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</si>
  <si>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</si>
  <si>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</si>
  <si>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</si>
  <si>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</si>
  <si>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</si>
  <si>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</si>
  <si>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</si>
  <si>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</si>
  <si>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</si>
  <si>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</si>
  <si>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</si>
  <si>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</si>
  <si>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</si>
  <si>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</si>
  <si>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</si>
  <si>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</si>
  <si>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</si>
  <si>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</si>
  <si>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</si>
  <si>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</si>
  <si>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</si>
  <si>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</si>
  <si>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</si>
  <si>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</si>
  <si>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</si>
  <si>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</si>
  <si>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</si>
  <si>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</si>
  <si>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</si>
  <si>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</si>
  <si>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</si>
  <si>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</si>
  <si>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</si>
  <si>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</si>
  <si>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</si>
  <si>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</si>
  <si>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</si>
  <si>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</si>
  <si>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</si>
  <si>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</si>
  <si>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</si>
  <si>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</si>
  <si>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</si>
  <si>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</si>
  <si>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</si>
  <si>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</si>
  <si>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</si>
  <si>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</si>
  <si>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</si>
  <si>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</si>
  <si>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</si>
  <si>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</si>
  <si>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</si>
  <si>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</si>
  <si>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When buying the house (cashflow costs)</t>
  </si>
  <si>
    <t>When selling the house (derating of home value)</t>
  </si>
  <si>
    <t>Adjusted home price growth p.a.</t>
  </si>
  <si>
    <t>Average renter-to-owner cashflow needs excl. home purchase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</si>
  <si>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</si>
  <si>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</si>
  <si>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</si>
  <si>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</si>
  <si>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</si>
  <si>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</si>
  <si>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</si>
  <si>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</si>
  <si>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</si>
  <si>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</si>
  <si>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</si>
  <si>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</si>
  <si>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</si>
  <si>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</si>
  <si>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</si>
  <si>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</si>
  <si>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</si>
  <si>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</si>
  <si>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</si>
  <si>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</si>
  <si>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</si>
  <si>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</si>
  <si>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</si>
  <si>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</si>
  <si>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</si>
  <si>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</si>
  <si>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</si>
  <si>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</si>
  <si>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</si>
  <si>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</si>
  <si>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</si>
  <si>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</si>
  <si>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</si>
  <si>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</si>
  <si>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</si>
  <si>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</si>
  <si>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</si>
  <si>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</si>
  <si>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</si>
  <si>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</si>
  <si>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</si>
  <si>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</si>
  <si>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</si>
  <si>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</si>
  <si>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</si>
  <si>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</si>
  <si>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</si>
  <si>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</si>
  <si>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</si>
  <si>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</si>
  <si>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</si>
  <si>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</si>
  <si>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</si>
  <si>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</si>
  <si>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</si>
  <si>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</si>
  <si>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</si>
  <si>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</si>
  <si>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</si>
  <si>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</si>
  <si>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</si>
  <si>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</si>
  <si>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</si>
  <si>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</si>
  <si>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</si>
  <si>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</si>
  <si>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</si>
  <si>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</si>
  <si>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</si>
  <si>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</si>
  <si>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</si>
  <si>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</si>
  <si>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</si>
  <si>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</si>
  <si>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</si>
  <si>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</si>
  <si>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</si>
  <si>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</si>
  <si>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</si>
  <si>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</si>
  <si>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</si>
  <si>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</si>
  <si>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</si>
  <si>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</si>
  <si>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</si>
  <si>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</si>
  <si>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</si>
  <si>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</si>
  <si>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</si>
  <si>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</si>
  <si>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</si>
  <si>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</si>
  <si>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</si>
  <si>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</si>
  <si>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</si>
  <si>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</si>
  <si>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</si>
  <si>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</si>
  <si>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</si>
  <si>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</si>
  <si>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</si>
  <si>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</si>
  <si>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</si>
  <si>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</si>
  <si>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</si>
  <si>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</si>
  <si>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</si>
  <si>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</si>
  <si>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</si>
  <si>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</si>
  <si>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</si>
  <si>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</si>
  <si>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</si>
  <si>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</si>
  <si>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</si>
  <si>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</si>
  <si>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</si>
  <si>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</si>
  <si>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</si>
  <si>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</si>
  <si>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</si>
  <si>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</si>
  <si>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</si>
  <si>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</si>
  <si>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</si>
  <si>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</si>
  <si>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</si>
  <si>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</si>
  <si>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</si>
  <si>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</si>
  <si>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Portfolio index (Q_start=100)</t>
  </si>
  <si>
    <t>Renter's insurance and other costs ($ per year, end-quarter dollars)</t>
  </si>
  <si>
    <t>Investment efficiency</t>
  </si>
  <si>
    <t>Other renter costs</t>
  </si>
  <si>
    <t>Year</t>
  </si>
  <si>
    <t>Month</t>
  </si>
  <si>
    <t>Perth</t>
  </si>
  <si>
    <t>Domain</t>
  </si>
  <si>
    <t>Ableson</t>
  </si>
  <si>
    <t>Aus Rent CPI numbers</t>
  </si>
  <si>
    <t>RAI median</t>
  </si>
  <si>
    <t>Ratio - house</t>
  </si>
  <si>
    <t>Ratio - unit</t>
  </si>
  <si>
    <t>https://www.domain.com.au/research/rental-report</t>
  </si>
  <si>
    <t>Abelson and Joyeux 2023</t>
  </si>
  <si>
    <t>https://appliedeconomics.com.au/wp-content/uploads/2023/10/Complete-WP-Abelson-Joyeux-Sep-2023-5.pdf</t>
  </si>
  <si>
    <t>House median rent</t>
  </si>
  <si>
    <t>Unit median rent</t>
  </si>
  <si>
    <t>https://sgsep.com.au/projects/rental-affordability-index</t>
  </si>
  <si>
    <t>RAI income assumptions</t>
  </si>
  <si>
    <t>Renter Affordability Index</t>
  </si>
  <si>
    <t>GCCSA</t>
  </si>
  <si>
    <t>Sum of Annual income</t>
  </si>
  <si>
    <t>FY</t>
  </si>
  <si>
    <t>RAI</t>
  </si>
  <si>
    <t>Rent, median weekly</t>
  </si>
  <si>
    <t>RAI uprated</t>
  </si>
  <si>
    <t>Hobart</t>
  </si>
  <si>
    <t>Greater Hobart</t>
  </si>
  <si>
    <t>Single income couple with children</t>
  </si>
  <si>
    <t>3-bedroom rental dwelling</t>
  </si>
  <si>
    <t>Hobart CPI</t>
  </si>
  <si>
    <t>Hobart Rent CPI numbers</t>
  </si>
  <si>
    <t>Single full-time working parent</t>
  </si>
  <si>
    <t>2-bedroom rental dwelling</t>
  </si>
  <si>
    <t>Rest of TAS</t>
  </si>
  <si>
    <t>Consider CGT? Note: Unlikely to reflect realistic tax liabilities</t>
  </si>
  <si>
    <t>Rent vs buy analysis - Hobart</t>
  </si>
  <si>
    <t>Hobart (FY)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</si>
</sst>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 numFmtId="171" formatCode="0.0"/>
  </numFmts>
  <fonts count="19"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
      <sz val="11"/>
      <color indexed="8"/>
      <name val="Calibri"/>
      <family val="2"/>
    </font>
    <font>
      <u/>
      <sz val="11"/>
      <color theme="10"/>
      <name val="Arial"/>
      <family val="2"/>
    </font>
    <font>
      <sz val="11"/>
      <color theme="1"/>
      <name val="Arial"/>
      <family val="2"/>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9">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43" fontId="15" fillId="0" borderId="0" applyFont="0" applyFill="0" applyBorder="0" applyAlignment="0" applyProtection="0"/>
    <xf numFmtId="43" fontId="1" fillId="0" borderId="0" applyFill="0" applyBorder="0" applyAlignment="0" applyProtection="0"/>
    <xf numFmtId="0" fontId="16" fillId="0" borderId="0" applyNumberFormat="0" applyFill="0" applyBorder="0" applyAlignment="0" applyProtection="0"/>
    <xf numFmtId="0" fontId="17" fillId="0" borderId="0"/>
    <xf numFmtId="0" fontId="18" fillId="0" borderId="0" applyNumberFormat="0" applyFill="0" applyBorder="0" applyAlignment="0" applyProtection="0"/>
  </cellStyleXfs>
  <cellXfs count="49">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3"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43" fontId="0" fillId="3"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0" fontId="0" fillId="2" borderId="0" xfId="0" applyFill="1"/>
    <xf numFmtId="171" fontId="0" fillId="0" borderId="0" xfId="0" applyNumberFormat="1"/>
    <xf numFmtId="6" fontId="0" fillId="0" borderId="0" xfId="0" applyNumberFormat="1"/>
    <xf numFmtId="0" fontId="18" fillId="0" borderId="0" xfId="8"/>
  </cellXfs>
  <cellStyles count="9">
    <cellStyle name="Comma" xfId="2" builtinId="3"/>
    <cellStyle name="Comma 2" xfId="4" xr:uid="{08858974-E26C-4C8C-A06B-AA9505693D98}"/>
    <cellStyle name="Comma 3" xfId="5" xr:uid="{2E7F94B6-BC7E-43E6-AF74-4A0A33FAFB5F}"/>
    <cellStyle name="Hyperlink" xfId="8" builtinId="8"/>
    <cellStyle name="Hyperlink 2" xfId="6" xr:uid="{1869A5C3-0A3F-429E-8621-BEACBAB5CE53}"/>
    <cellStyle name="Normal" xfId="0" builtinId="0"/>
    <cellStyle name="Normal 2" xfId="1" xr:uid="{EA054D48-7445-4D79-A4CC-930395C15F80}"/>
    <cellStyle name="Normal 3" xfId="7" xr:uid="{5E19C680-7C1F-4703-995A-94C079162749}"/>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worksheet" Target="worksheets/sheet15.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1.5608625743138425</c:v>
                </c:pt>
                <c:pt idx="1">
                  <c:v>1.3252715708863481</c:v>
                </c:pt>
                <c:pt idx="2">
                  <c:v>1.4281032190508518</c:v>
                </c:pt>
                <c:pt idx="3">
                  <c:v>1.4134089145067699</c:v>
                </c:pt>
                <c:pt idx="4">
                  <c:v>1.4742818330168006</c:v>
                </c:pt>
                <c:pt idx="5">
                  <c:v>1.3684346282163784</c:v>
                </c:pt>
                <c:pt idx="6">
                  <c:v>1.5936302475391364</c:v>
                </c:pt>
                <c:pt idx="7">
                  <c:v>1.1634586431839335</c:v>
                </c:pt>
                <c:pt idx="8">
                  <c:v>1.090867687152685</c:v>
                </c:pt>
                <c:pt idx="9">
                  <c:v>1.1586104304824265</c:v>
                </c:pt>
                <c:pt idx="10">
                  <c:v>1.2135240505543465</c:v>
                </c:pt>
                <c:pt idx="11">
                  <c:v>0.89002703364423896</c:v>
                </c:pt>
                <c:pt idx="12">
                  <c:v>0.86897671405755517</c:v>
                </c:pt>
                <c:pt idx="13">
                  <c:v>0.88920422676921207</c:v>
                </c:pt>
                <c:pt idx="14">
                  <c:v>1.0766320675602594</c:v>
                </c:pt>
                <c:pt idx="15">
                  <c:v>0.77938337118716527</c:v>
                </c:pt>
                <c:pt idx="16">
                  <c:v>0.81501203761771635</c:v>
                </c:pt>
                <c:pt idx="17">
                  <c:v>0.76902401390083996</c:v>
                </c:pt>
                <c:pt idx="18">
                  <c:v>0.91097560665446986</c:v>
                </c:pt>
                <c:pt idx="19">
                  <c:v>0.96268366858211663</c:v>
                </c:pt>
                <c:pt idx="20">
                  <c:v>1.0889722485416167</c:v>
                </c:pt>
                <c:pt idx="21">
                  <c:v>1.1806194849453799</c:v>
                </c:pt>
                <c:pt idx="22">
                  <c:v>0.9660005428835261</c:v>
                </c:pt>
                <c:pt idx="23">
                  <c:v>1.0176972320366962</c:v>
                </c:pt>
                <c:pt idx="24">
                  <c:v>1.0919151505345617</c:v>
                </c:pt>
                <c:pt idx="25">
                  <c:v>1.2115116494460292</c:v>
                </c:pt>
                <c:pt idx="26">
                  <c:v>1.5055639881809815</c:v>
                </c:pt>
                <c:pt idx="27">
                  <c:v>1.3297412245819238</c:v>
                </c:pt>
                <c:pt idx="28">
                  <c:v>1.3385520354860105</c:v>
                </c:pt>
                <c:pt idx="29">
                  <c:v>1.4742986158444102</c:v>
                </c:pt>
                <c:pt idx="30">
                  <c:v>1.7031904791380179</c:v>
                </c:pt>
                <c:pt idx="31">
                  <c:v>1.4477774926192284</c:v>
                </c:pt>
                <c:pt idx="32">
                  <c:v>1.3671132257587519</c:v>
                </c:pt>
                <c:pt idx="33">
                  <c:v>1.6781049727610964</c:v>
                </c:pt>
                <c:pt idx="34">
                  <c:v>1.5775785622477112</c:v>
                </c:pt>
                <c:pt idx="35">
                  <c:v>1.4650605319248726</c:v>
                </c:pt>
                <c:pt idx="36">
                  <c:v>1.5015453448573768</c:v>
                </c:pt>
                <c:pt idx="37">
                  <c:v>1.6031159861585194</c:v>
                </c:pt>
                <c:pt idx="38">
                  <c:v>1.6090986732180141</c:v>
                </c:pt>
                <c:pt idx="39">
                  <c:v>1.3424822951344455</c:v>
                </c:pt>
                <c:pt idx="40">
                  <c:v>1.4335875703196836</c:v>
                </c:pt>
                <c:pt idx="41">
                  <c:v>1.4103690999067788</c:v>
                </c:pt>
                <c:pt idx="42">
                  <c:v>1.4332842151141443</c:v>
                </c:pt>
                <c:pt idx="43">
                  <c:v>1.2797548675201325</c:v>
                </c:pt>
                <c:pt idx="44">
                  <c:v>1.3761909865930355</c:v>
                </c:pt>
                <c:pt idx="45">
                  <c:v>1.3215055059626426</c:v>
                </c:pt>
                <c:pt idx="46">
                  <c:v>1.4126779582335447</c:v>
                </c:pt>
                <c:pt idx="47">
                  <c:v>1.2980658329699561</c:v>
                </c:pt>
                <c:pt idx="48">
                  <c:v>1.1102282561981205</c:v>
                </c:pt>
                <c:pt idx="49">
                  <c:v>1.1100338779589971</c:v>
                </c:pt>
                <c:pt idx="50">
                  <c:v>1.2427474150368705</c:v>
                </c:pt>
                <c:pt idx="51">
                  <c:v>0.97616203699434556</c:v>
                </c:pt>
                <c:pt idx="52">
                  <c:v>1.0631734772291597</c:v>
                </c:pt>
                <c:pt idx="53">
                  <c:v>1.036097036608375</c:v>
                </c:pt>
                <c:pt idx="54">
                  <c:v>1.0859998341561901</c:v>
                </c:pt>
                <c:pt idx="55">
                  <c:v>1.0032018173793207</c:v>
                </c:pt>
                <c:pt idx="56">
                  <c:v>0.74271797599360845</c:v>
                </c:pt>
                <c:pt idx="57">
                  <c:v>0.90855197894585793</c:v>
                </c:pt>
                <c:pt idx="58">
                  <c:v>0.92836093487012183</c:v>
                </c:pt>
                <c:pt idx="59">
                  <c:v>0.94057606175817277</c:v>
                </c:pt>
                <c:pt idx="60">
                  <c:v>0.87757194981129394</c:v>
                </c:pt>
                <c:pt idx="61">
                  <c:v>0.89604895718783295</c:v>
                </c:pt>
                <c:pt idx="62">
                  <c:v>0.76401912142330219</c:v>
                </c:pt>
                <c:pt idx="63">
                  <c:v>0.72273250845658765</c:v>
                </c:pt>
                <c:pt idx="64">
                  <c:v>0.68507293158679405</c:v>
                </c:pt>
                <c:pt idx="65">
                  <c:v>0.58033787059737363</c:v>
                </c:pt>
                <c:pt idx="66">
                  <c:v>0.60551317400542415</c:v>
                </c:pt>
                <c:pt idx="67">
                  <c:v>0.64741112693293223</c:v>
                </c:pt>
                <c:pt idx="68">
                  <c:v>0.72344431734081871</c:v>
                </c:pt>
                <c:pt idx="69">
                  <c:v>0.77024222531961428</c:v>
                </c:pt>
                <c:pt idx="70">
                  <c:v>0.75059768588003783</c:v>
                </c:pt>
                <c:pt idx="71">
                  <c:v>0.79446081795357038</c:v>
                </c:pt>
                <c:pt idx="72">
                  <c:v>0.87073512755943283</c:v>
                </c:pt>
                <c:pt idx="73">
                  <c:v>0.89633624282794322</c:v>
                </c:pt>
                <c:pt idx="74">
                  <c:v>0.94729768041570817</c:v>
                </c:pt>
                <c:pt idx="75">
                  <c:v>0.91020949077905278</c:v>
                </c:pt>
                <c:pt idx="76">
                  <c:v>0.89557459814086782</c:v>
                </c:pt>
                <c:pt idx="77">
                  <c:v>0.99593082963003043</c:v>
                </c:pt>
                <c:pt idx="78">
                  <c:v>1.041545637944252</c:v>
                </c:pt>
                <c:pt idx="79">
                  <c:v>0.98724673217712922</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numRef>
          </c:val>
          <c:smooth val="0"/>
          <c:extLs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numRef>
          </c:val>
          <c:smooth val="0"/>
          <c:extLs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103.84615384615384</c:v>
                </c:pt>
                <c:pt idx="2">
                  <c:v>103.84615384615384</c:v>
                </c:pt>
                <c:pt idx="3">
                  <c:v>106.92307692307692</c:v>
                </c:pt>
                <c:pt idx="4">
                  <c:v>107.69230769230769</c:v>
                </c:pt>
                <c:pt idx="5">
                  <c:v>112.11538461538461</c:v>
                </c:pt>
                <c:pt idx="6">
                  <c:v>109.61538461538461</c:v>
                </c:pt>
                <c:pt idx="7">
                  <c:v>119.23076923076923</c:v>
                </c:pt>
                <c:pt idx="8">
                  <c:v>118.65384615384616</c:v>
                </c:pt>
                <c:pt idx="9">
                  <c:v>117.30769230769231</c:v>
                </c:pt>
                <c:pt idx="10">
                  <c:v>112.5</c:v>
                </c:pt>
                <c:pt idx="11">
                  <c:v>115.38461538461539</c:v>
                </c:pt>
                <c:pt idx="12">
                  <c:v>114.03846153846153</c:v>
                </c:pt>
                <c:pt idx="13">
                  <c:v>119.23076923076923</c:v>
                </c:pt>
                <c:pt idx="14">
                  <c:v>119.26923076923077</c:v>
                </c:pt>
                <c:pt idx="15">
                  <c:v>134.61538461538461</c:v>
                </c:pt>
                <c:pt idx="16">
                  <c:v>134.80769230769232</c:v>
                </c:pt>
                <c:pt idx="17">
                  <c:v>132.23076923076923</c:v>
                </c:pt>
                <c:pt idx="18">
                  <c:v>130.76923076923077</c:v>
                </c:pt>
                <c:pt idx="19">
                  <c:v>132.69230769230768</c:v>
                </c:pt>
                <c:pt idx="20">
                  <c:v>130</c:v>
                </c:pt>
                <c:pt idx="21">
                  <c:v>126.92307692307692</c:v>
                </c:pt>
                <c:pt idx="22">
                  <c:v>128.84615384615384</c:v>
                </c:pt>
                <c:pt idx="23">
                  <c:v>129.80769230769232</c:v>
                </c:pt>
                <c:pt idx="24">
                  <c:v>131.92307692307693</c:v>
                </c:pt>
                <c:pt idx="25">
                  <c:v>125.96153846153847</c:v>
                </c:pt>
                <c:pt idx="26">
                  <c:v>121.15384615384616</c:v>
                </c:pt>
                <c:pt idx="27">
                  <c:v>127.42307692307692</c:v>
                </c:pt>
                <c:pt idx="28">
                  <c:v>130.76923076923077</c:v>
                </c:pt>
                <c:pt idx="29">
                  <c:v>126.92307692307692</c:v>
                </c:pt>
                <c:pt idx="30">
                  <c:v>125</c:v>
                </c:pt>
                <c:pt idx="31">
                  <c:v>134.61538461538461</c:v>
                </c:pt>
                <c:pt idx="32">
                  <c:v>138.46153846153845</c:v>
                </c:pt>
                <c:pt idx="33">
                  <c:v>130.76923076923077</c:v>
                </c:pt>
                <c:pt idx="34">
                  <c:v>132.69230769230768</c:v>
                </c:pt>
                <c:pt idx="35">
                  <c:v>137.11538461538461</c:v>
                </c:pt>
                <c:pt idx="36">
                  <c:v>138.46153846153845</c:v>
                </c:pt>
                <c:pt idx="37">
                  <c:v>134.61538461538461</c:v>
                </c:pt>
                <c:pt idx="38">
                  <c:v>130.76923076923077</c:v>
                </c:pt>
                <c:pt idx="39">
                  <c:v>142.30769230769232</c:v>
                </c:pt>
                <c:pt idx="40">
                  <c:v>138.46153846153845</c:v>
                </c:pt>
                <c:pt idx="41">
                  <c:v>140.38461538461539</c:v>
                </c:pt>
                <c:pt idx="42">
                  <c:v>142.30769230769232</c:v>
                </c:pt>
                <c:pt idx="43">
                  <c:v>150.76923076923077</c:v>
                </c:pt>
                <c:pt idx="44">
                  <c:v>149.80769230769232</c:v>
                </c:pt>
                <c:pt idx="45">
                  <c:v>153.84615384615384</c:v>
                </c:pt>
                <c:pt idx="46">
                  <c:v>151.92307692307693</c:v>
                </c:pt>
                <c:pt idx="47">
                  <c:v>161.92307692307693</c:v>
                </c:pt>
                <c:pt idx="48">
                  <c:v>172.69230769230768</c:v>
                </c:pt>
                <c:pt idx="49">
                  <c:v>176.07692307692307</c:v>
                </c:pt>
                <c:pt idx="50">
                  <c:v>169.34615384615384</c:v>
                </c:pt>
                <c:pt idx="51">
                  <c:v>178.84615384615384</c:v>
                </c:pt>
                <c:pt idx="52">
                  <c:v>181.34615384615384</c:v>
                </c:pt>
                <c:pt idx="53">
                  <c:v>188.46153846153845</c:v>
                </c:pt>
                <c:pt idx="54">
                  <c:v>184.61538461538461</c:v>
                </c:pt>
                <c:pt idx="55">
                  <c:v>198.84615384615384</c:v>
                </c:pt>
                <c:pt idx="56">
                  <c:v>203.46153846153845</c:v>
                </c:pt>
                <c:pt idx="57">
                  <c:v>200</c:v>
                </c:pt>
                <c:pt idx="58">
                  <c:v>203.26923076923077</c:v>
                </c:pt>
                <c:pt idx="59">
                  <c:v>218.34615384615384</c:v>
                </c:pt>
                <c:pt idx="60">
                  <c:v>234.61538461538461</c:v>
                </c:pt>
                <c:pt idx="61">
                  <c:v>242.30769230769232</c:v>
                </c:pt>
                <c:pt idx="62">
                  <c:v>269.23076923076923</c:v>
                </c:pt>
                <c:pt idx="63">
                  <c:v>290</c:v>
                </c:pt>
                <c:pt idx="64">
                  <c:v>294.23076923076923</c:v>
                </c:pt>
                <c:pt idx="65">
                  <c:v>294.23076923076923</c:v>
                </c:pt>
                <c:pt idx="66">
                  <c:v>276.92307692307691</c:v>
                </c:pt>
                <c:pt idx="67">
                  <c:v>281.34615384615387</c:v>
                </c:pt>
                <c:pt idx="68">
                  <c:v>271.15384615384613</c:v>
                </c:pt>
                <c:pt idx="69">
                  <c:v>267.88461538461536</c:v>
                </c:pt>
                <c:pt idx="70">
                  <c:v>267.30769230769232</c:v>
                </c:pt>
                <c:pt idx="71">
                  <c:v>275</c:v>
                </c:pt>
                <c:pt idx="72">
                  <c:v>271.15384615384613</c:v>
                </c:pt>
                <c:pt idx="73">
                  <c:v>267.5</c:v>
                </c:pt>
                <c:pt idx="74">
                  <c:v>269.23076923076923</c:v>
                </c:pt>
                <c:pt idx="75">
                  <c:v>275</c:v>
                </c:pt>
                <c:pt idx="76">
                  <c:v>273.26923076923077</c:v>
                </c:pt>
                <c:pt idx="77">
                  <c:v>272.11538461538464</c:v>
                </c:pt>
                <c:pt idx="78">
                  <c:v>275</c:v>
                </c:pt>
                <c:pt idx="79">
                  <c:v>288.26923076923077</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103.30452540918104</c:v>
                </c:pt>
                <c:pt idx="2">
                  <c:v>102.74168565819201</c:v>
                </c:pt>
                <c:pt idx="3">
                  <c:v>105.26366156608557</c:v>
                </c:pt>
                <c:pt idx="4">
                  <c:v>105.46294926056373</c:v>
                </c:pt>
                <c:pt idx="5">
                  <c:v>109.32318643265161</c:v>
                </c:pt>
                <c:pt idx="6">
                  <c:v>106.22954094770178</c:v>
                </c:pt>
                <c:pt idx="7">
                  <c:v>115.28973175087064</c:v>
                </c:pt>
                <c:pt idx="8">
                  <c:v>114.10310671757382</c:v>
                </c:pt>
                <c:pt idx="9">
                  <c:v>112.14697960754137</c:v>
                </c:pt>
                <c:pt idx="10">
                  <c:v>106.72440583656436</c:v>
                </c:pt>
                <c:pt idx="11">
                  <c:v>109.0280531960024</c:v>
                </c:pt>
                <c:pt idx="12">
                  <c:v>107.08156983455176</c:v>
                </c:pt>
                <c:pt idx="13">
                  <c:v>111.69429070352503</c:v>
                </c:pt>
                <c:pt idx="14">
                  <c:v>111.12462880200474</c:v>
                </c:pt>
                <c:pt idx="15">
                  <c:v>125.90181134755973</c:v>
                </c:pt>
                <c:pt idx="16">
                  <c:v>125.44100788271625</c:v>
                </c:pt>
                <c:pt idx="17">
                  <c:v>122.20330304555004</c:v>
                </c:pt>
                <c:pt idx="18">
                  <c:v>120.0914454277286</c:v>
                </c:pt>
                <c:pt idx="19">
                  <c:v>121.37719635757341</c:v>
                </c:pt>
                <c:pt idx="20">
                  <c:v>118.0300510058109</c:v>
                </c:pt>
                <c:pt idx="21">
                  <c:v>114.30524560728483</c:v>
                </c:pt>
                <c:pt idx="22">
                  <c:v>115.60234212369647</c:v>
                </c:pt>
                <c:pt idx="23">
                  <c:v>115.92976095342388</c:v>
                </c:pt>
                <c:pt idx="24">
                  <c:v>117.41114925859057</c:v>
                </c:pt>
                <c:pt idx="25">
                  <c:v>110.78865638657865</c:v>
                </c:pt>
                <c:pt idx="26">
                  <c:v>105.34055504582629</c:v>
                </c:pt>
                <c:pt idx="27">
                  <c:v>111.01197206025986</c:v>
                </c:pt>
                <c:pt idx="28">
                  <c:v>113.73432089265101</c:v>
                </c:pt>
                <c:pt idx="29">
                  <c:v>109.23604246209094</c:v>
                </c:pt>
                <c:pt idx="30">
                  <c:v>106.67711940489932</c:v>
                </c:pt>
                <c:pt idx="31">
                  <c:v>115.69192786180089</c:v>
                </c:pt>
                <c:pt idx="32">
                  <c:v>118.89434299188051</c:v>
                </c:pt>
                <c:pt idx="33">
                  <c:v>110.51735381458352</c:v>
                </c:pt>
                <c:pt idx="34">
                  <c:v>111.80310474442832</c:v>
                </c:pt>
                <c:pt idx="35">
                  <c:v>115.58959560383185</c:v>
                </c:pt>
                <c:pt idx="36">
                  <c:v>116.27822337980091</c:v>
                </c:pt>
                <c:pt idx="37">
                  <c:v>111.75725377610718</c:v>
                </c:pt>
                <c:pt idx="38">
                  <c:v>107.24762975898028</c:v>
                </c:pt>
                <c:pt idx="39">
                  <c:v>118.17342962283324</c:v>
                </c:pt>
                <c:pt idx="40">
                  <c:v>113.64111443257269</c:v>
                </c:pt>
                <c:pt idx="41">
                  <c:v>114.90417418928385</c:v>
                </c:pt>
                <c:pt idx="42">
                  <c:v>116.1615611527116</c:v>
                </c:pt>
                <c:pt idx="43">
                  <c:v>123.96850859798147</c:v>
                </c:pt>
                <c:pt idx="44">
                  <c:v>122.30324779747635</c:v>
                </c:pt>
                <c:pt idx="45">
                  <c:v>125.65364883929716</c:v>
                </c:pt>
                <c:pt idx="46">
                  <c:v>123.01530667613777</c:v>
                </c:pt>
                <c:pt idx="47">
                  <c:v>132.33629798443189</c:v>
                </c:pt>
                <c:pt idx="48">
                  <c:v>142.39899468237292</c:v>
                </c:pt>
                <c:pt idx="49">
                  <c:v>145.02636615660856</c:v>
                </c:pt>
                <c:pt idx="50">
                  <c:v>137.50242203608883</c:v>
                </c:pt>
                <c:pt idx="51">
                  <c:v>146.27073529266681</c:v>
                </c:pt>
                <c:pt idx="52">
                  <c:v>147.99306932646678</c:v>
                </c:pt>
                <c:pt idx="53">
                  <c:v>154.33525221732225</c:v>
                </c:pt>
                <c:pt idx="54">
                  <c:v>149.66678998825978</c:v>
                </c:pt>
                <c:pt idx="55">
                  <c:v>163.13296534169947</c:v>
                </c:pt>
                <c:pt idx="56">
                  <c:v>166.91711309083377</c:v>
                </c:pt>
                <c:pt idx="57">
                  <c:v>162.590005031521</c:v>
                </c:pt>
                <c:pt idx="58">
                  <c:v>165.0211422539241</c:v>
                </c:pt>
                <c:pt idx="59">
                  <c:v>179.28061581870739</c:v>
                </c:pt>
                <c:pt idx="60">
                  <c:v>194.69098075196575</c:v>
                </c:pt>
                <c:pt idx="61">
                  <c:v>201.45443020491115</c:v>
                </c:pt>
                <c:pt idx="62">
                  <c:v>227.47528635273923</c:v>
                </c:pt>
                <c:pt idx="63">
                  <c:v>247.24709207683429</c:v>
                </c:pt>
                <c:pt idx="64">
                  <c:v>250.37674746697448</c:v>
                </c:pt>
                <c:pt idx="65">
                  <c:v>249.25230118092759</c:v>
                </c:pt>
                <c:pt idx="66">
                  <c:v>230.775766813666</c:v>
                </c:pt>
                <c:pt idx="67">
                  <c:v>234.13679817681356</c:v>
                </c:pt>
                <c:pt idx="68">
                  <c:v>222.8319077357169</c:v>
                </c:pt>
                <c:pt idx="69">
                  <c:v>218.49791833150817</c:v>
                </c:pt>
                <c:pt idx="70">
                  <c:v>216.87278637740354</c:v>
                </c:pt>
                <c:pt idx="71">
                  <c:v>223.53979834453094</c:v>
                </c:pt>
                <c:pt idx="72">
                  <c:v>218.61606041771489</c:v>
                </c:pt>
                <c:pt idx="73">
                  <c:v>213.89646905614586</c:v>
                </c:pt>
                <c:pt idx="74">
                  <c:v>214.58608340485986</c:v>
                </c:pt>
                <c:pt idx="75">
                  <c:v>219.31941279190221</c:v>
                </c:pt>
                <c:pt idx="76">
                  <c:v>216.51648563056796</c:v>
                </c:pt>
                <c:pt idx="77">
                  <c:v>214.29706691922928</c:v>
                </c:pt>
                <c:pt idx="78">
                  <c:v>216.12987243614407</c:v>
                </c:pt>
                <c:pt idx="79">
                  <c:v>228.36542161186256</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Hobart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45402.5</c:v>
                </c:pt>
                <c:pt idx="1">
                  <c:v>54600.675957038387</c:v>
                </c:pt>
                <c:pt idx="2">
                  <c:v>53976.219062053104</c:v>
                </c:pt>
                <c:pt idx="3">
                  <c:v>61147.473375431844</c:v>
                </c:pt>
                <c:pt idx="4">
                  <c:v>62417.597793063003</c:v>
                </c:pt>
                <c:pt idx="5">
                  <c:v>72978.948409193428</c:v>
                </c:pt>
                <c:pt idx="6">
                  <c:v>65933.542065267597</c:v>
                </c:pt>
                <c:pt idx="7">
                  <c:v>89672.019119596283</c:v>
                </c:pt>
                <c:pt idx="8">
                  <c:v>87431.490844932705</c:v>
                </c:pt>
                <c:pt idx="9">
                  <c:v>83177.745221680641</c:v>
                </c:pt>
                <c:pt idx="10">
                  <c:v>70140.840576150746</c:v>
                </c:pt>
                <c:pt idx="11">
                  <c:v>76706.193149586703</c:v>
                </c:pt>
                <c:pt idx="12">
                  <c:v>72829.126020123513</c:v>
                </c:pt>
                <c:pt idx="13">
                  <c:v>85740.479229522374</c:v>
                </c:pt>
                <c:pt idx="14">
                  <c:v>85541.619230194308</c:v>
                </c:pt>
                <c:pt idx="15">
                  <c:v>124248.04083674986</c:v>
                </c:pt>
                <c:pt idx="16">
                  <c:v>124228.43949336457</c:v>
                </c:pt>
                <c:pt idx="17">
                  <c:v>117153.86217191498</c:v>
                </c:pt>
                <c:pt idx="18">
                  <c:v>112881.43486463625</c:v>
                </c:pt>
                <c:pt idx="19">
                  <c:v>117236.84190904719</c:v>
                </c:pt>
                <c:pt idx="20">
                  <c:v>109818.29380061635</c:v>
                </c:pt>
                <c:pt idx="21">
                  <c:v>101466.93253916412</c:v>
                </c:pt>
                <c:pt idx="22">
                  <c:v>105869.66622792487</c:v>
                </c:pt>
                <c:pt idx="23">
                  <c:v>107836.16558532292</c:v>
                </c:pt>
                <c:pt idx="24">
                  <c:v>112812.86476095609</c:v>
                </c:pt>
                <c:pt idx="25">
                  <c:v>97250.850849162787</c:v>
                </c:pt>
                <c:pt idx="26">
                  <c:v>84766.138899822632</c:v>
                </c:pt>
                <c:pt idx="27">
                  <c:v>100485.97149762363</c:v>
                </c:pt>
                <c:pt idx="28">
                  <c:v>108811.63824170752</c:v>
                </c:pt>
                <c:pt idx="29">
                  <c:v>98869.223710015474</c:v>
                </c:pt>
                <c:pt idx="30">
                  <c:v>93900.632209892268</c:v>
                </c:pt>
                <c:pt idx="31">
                  <c:v>118323.22250281347</c:v>
                </c:pt>
                <c:pt idx="32">
                  <c:v>128034.04205262169</c:v>
                </c:pt>
                <c:pt idx="33">
                  <c:v>108425.76825221142</c:v>
                </c:pt>
                <c:pt idx="34">
                  <c:v>113323.68362453594</c:v>
                </c:pt>
                <c:pt idx="35">
                  <c:v>124579.36183458898</c:v>
                </c:pt>
                <c:pt idx="36">
                  <c:v>128006.06736415971</c:v>
                </c:pt>
                <c:pt idx="37">
                  <c:v>118292.3167377616</c:v>
                </c:pt>
                <c:pt idx="38">
                  <c:v>108651.24674024543</c:v>
                </c:pt>
                <c:pt idx="39">
                  <c:v>138146.31055717988</c:v>
                </c:pt>
                <c:pt idx="40">
                  <c:v>128465.53537331187</c:v>
                </c:pt>
                <c:pt idx="41">
                  <c:v>133492.17120409865</c:v>
                </c:pt>
                <c:pt idx="42">
                  <c:v>138562.29694845309</c:v>
                </c:pt>
                <c:pt idx="43">
                  <c:v>160262.75266796604</c:v>
                </c:pt>
                <c:pt idx="44">
                  <c:v>157982.0152007165</c:v>
                </c:pt>
                <c:pt idx="45">
                  <c:v>168430.00661219785</c:v>
                </c:pt>
                <c:pt idx="46">
                  <c:v>163731.8558235516</c:v>
                </c:pt>
                <c:pt idx="47">
                  <c:v>189362.665468619</c:v>
                </c:pt>
                <c:pt idx="48">
                  <c:v>216889.70714599403</c:v>
                </c:pt>
                <c:pt idx="49">
                  <c:v>225598.31358390651</c:v>
                </c:pt>
                <c:pt idx="50">
                  <c:v>208606.35508253143</c:v>
                </c:pt>
                <c:pt idx="51">
                  <c:v>232907.51165442925</c:v>
                </c:pt>
                <c:pt idx="52">
                  <c:v>239373.92678011756</c:v>
                </c:pt>
                <c:pt idx="53">
                  <c:v>257567.54015914054</c:v>
                </c:pt>
                <c:pt idx="54">
                  <c:v>247914.22010481346</c:v>
                </c:pt>
                <c:pt idx="55">
                  <c:v>284266.86380628799</c:v>
                </c:pt>
                <c:pt idx="56">
                  <c:v>296121.96920665872</c:v>
                </c:pt>
                <c:pt idx="57">
                  <c:v>287478.1069879171</c:v>
                </c:pt>
                <c:pt idx="58">
                  <c:v>296016.61618959624</c:v>
                </c:pt>
                <c:pt idx="59">
                  <c:v>334550.12415492826</c:v>
                </c:pt>
                <c:pt idx="60">
                  <c:v>376021.91638513142</c:v>
                </c:pt>
                <c:pt idx="61">
                  <c:v>395604.30518818519</c:v>
                </c:pt>
                <c:pt idx="62">
                  <c:v>464015.13561086799</c:v>
                </c:pt>
                <c:pt idx="63">
                  <c:v>516629.89982609166</c:v>
                </c:pt>
                <c:pt idx="64">
                  <c:v>527094.7094764217</c:v>
                </c:pt>
                <c:pt idx="65">
                  <c:v>526801.37646936078</c:v>
                </c:pt>
                <c:pt idx="66">
                  <c:v>482474.84676246118</c:v>
                </c:pt>
                <c:pt idx="67">
                  <c:v>493351.71120332449</c:v>
                </c:pt>
                <c:pt idx="68">
                  <c:v>467070.9884619423</c:v>
                </c:pt>
                <c:pt idx="69">
                  <c:v>458444.74585466087</c:v>
                </c:pt>
                <c:pt idx="70">
                  <c:v>456660.89078989637</c:v>
                </c:pt>
                <c:pt idx="71">
                  <c:v>475930.73558948882</c:v>
                </c:pt>
                <c:pt idx="72">
                  <c:v>465848.74248794845</c:v>
                </c:pt>
                <c:pt idx="73">
                  <c:v>456327.82835310238</c:v>
                </c:pt>
                <c:pt idx="74">
                  <c:v>460574.91058745875</c:v>
                </c:pt>
                <c:pt idx="75">
                  <c:v>475117.57766808564</c:v>
                </c:pt>
                <c:pt idx="76">
                  <c:v>470608.22331123764</c:v>
                </c:pt>
                <c:pt idx="77">
                  <c:v>467643.38573316613</c:v>
                </c:pt>
                <c:pt idx="78">
                  <c:v>475033.15186515677</c:v>
                </c:pt>
                <c:pt idx="79">
                  <c:v>508846.11433925095</c:v>
                </c:pt>
              </c:numCache>
            </c:numRef>
          </c:val>
          <c:smooth val="0"/>
          <c:extLst>
            <c:ext xmlns:c16="http://schemas.microsoft.com/office/drawing/2014/chart" uri="{C3380CC4-5D6E-409C-BE32-E72D297353CC}">
              <c16:uniqueId val="{00000000-7807-4CB6-8999-50A35AE75FE4}"/>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70867.063030284233</c:v>
                </c:pt>
                <c:pt idx="1">
                  <c:v>72360.72359704072</c:v>
                </c:pt>
                <c:pt idx="2">
                  <c:v>77083.612194711983</c:v>
                </c:pt>
                <c:pt idx="3">
                  <c:v>86426.38396840074</c:v>
                </c:pt>
                <c:pt idx="4">
                  <c:v>92021.130486862327</c:v>
                </c:pt>
                <c:pt idx="5">
                  <c:v>99866.920133956868</c:v>
                </c:pt>
                <c:pt idx="6">
                  <c:v>105073.68696260446</c:v>
                </c:pt>
                <c:pt idx="7">
                  <c:v>104329.68569644923</c:v>
                </c:pt>
                <c:pt idx="8">
                  <c:v>95376.188202322897</c:v>
                </c:pt>
                <c:pt idx="9">
                  <c:v>96370.603197849006</c:v>
                </c:pt>
                <c:pt idx="10">
                  <c:v>85117.596965257122</c:v>
                </c:pt>
                <c:pt idx="11">
                  <c:v>68270.585551068696</c:v>
                </c:pt>
                <c:pt idx="12">
                  <c:v>63286.814616650518</c:v>
                </c:pt>
                <c:pt idx="13">
                  <c:v>76240.796536109134</c:v>
                </c:pt>
                <c:pt idx="14">
                  <c:v>92096.850374256537</c:v>
                </c:pt>
                <c:pt idx="15">
                  <c:v>96836.856930746682</c:v>
                </c:pt>
                <c:pt idx="16">
                  <c:v>101247.67360155623</c:v>
                </c:pt>
                <c:pt idx="17">
                  <c:v>90094.133331431833</c:v>
                </c:pt>
                <c:pt idx="18">
                  <c:v>102832.23360583904</c:v>
                </c:pt>
                <c:pt idx="19">
                  <c:v>112861.99306198319</c:v>
                </c:pt>
                <c:pt idx="20">
                  <c:v>119589.07433106107</c:v>
                </c:pt>
                <c:pt idx="21">
                  <c:v>119793.83763337556</c:v>
                </c:pt>
                <c:pt idx="22">
                  <c:v>102270.15505107313</c:v>
                </c:pt>
                <c:pt idx="23">
                  <c:v>109744.56722963396</c:v>
                </c:pt>
                <c:pt idx="24">
                  <c:v>123182.07620769451</c:v>
                </c:pt>
                <c:pt idx="25">
                  <c:v>117820.53872229897</c:v>
                </c:pt>
                <c:pt idx="26">
                  <c:v>127620.84614472</c:v>
                </c:pt>
                <c:pt idx="27">
                  <c:v>133620.33879255434</c:v>
                </c:pt>
                <c:pt idx="28">
                  <c:v>145650.03985300503</c:v>
                </c:pt>
                <c:pt idx="29">
                  <c:v>145762.75966528716</c:v>
                </c:pt>
                <c:pt idx="30">
                  <c:v>159930.66276492921</c:v>
                </c:pt>
                <c:pt idx="31">
                  <c:v>171305.69839375035</c:v>
                </c:pt>
                <c:pt idx="32">
                  <c:v>175037.03223749134</c:v>
                </c:pt>
                <c:pt idx="33">
                  <c:v>181949.82087947818</c:v>
                </c:pt>
                <c:pt idx="34">
                  <c:v>178777.01388100992</c:v>
                </c:pt>
                <c:pt idx="35">
                  <c:v>182516.30611624412</c:v>
                </c:pt>
                <c:pt idx="36">
                  <c:v>192206.91456415379</c:v>
                </c:pt>
                <c:pt idx="37">
                  <c:v>189636.30400203262</c:v>
                </c:pt>
                <c:pt idx="38">
                  <c:v>174830.57697321201</c:v>
                </c:pt>
                <c:pt idx="39">
                  <c:v>185458.97606115873</c:v>
                </c:pt>
                <c:pt idx="40">
                  <c:v>184166.59472564355</c:v>
                </c:pt>
                <c:pt idx="41">
                  <c:v>188273.23334572621</c:v>
                </c:pt>
                <c:pt idx="42">
                  <c:v>198599.15302617659</c:v>
                </c:pt>
                <c:pt idx="43">
                  <c:v>205097.03780900463</c:v>
                </c:pt>
                <c:pt idx="44">
                  <c:v>217413.42536302996</c:v>
                </c:pt>
                <c:pt idx="45">
                  <c:v>222581.18110734376</c:v>
                </c:pt>
                <c:pt idx="46">
                  <c:v>231300.38378260398</c:v>
                </c:pt>
                <c:pt idx="47">
                  <c:v>245805.20608493406</c:v>
                </c:pt>
                <c:pt idx="48">
                  <c:v>240797.08135201797</c:v>
                </c:pt>
                <c:pt idx="49">
                  <c:v>250421.77088855361</c:v>
                </c:pt>
                <c:pt idx="50">
                  <c:v>259245.00853907946</c:v>
                </c:pt>
                <c:pt idx="51">
                  <c:v>227355.47100787194</c:v>
                </c:pt>
                <c:pt idx="52">
                  <c:v>254496.01009281585</c:v>
                </c:pt>
                <c:pt idx="53">
                  <c:v>266864.96508539416</c:v>
                </c:pt>
                <c:pt idx="54">
                  <c:v>269234.80191878864</c:v>
                </c:pt>
                <c:pt idx="55">
                  <c:v>285177.03439118795</c:v>
                </c:pt>
                <c:pt idx="56">
                  <c:v>219935.10961641121</c:v>
                </c:pt>
                <c:pt idx="57">
                  <c:v>261188.80300748115</c:v>
                </c:pt>
                <c:pt idx="58">
                  <c:v>274810.26254286361</c:v>
                </c:pt>
                <c:pt idx="59">
                  <c:v>314669.83823835017</c:v>
                </c:pt>
                <c:pt idx="60">
                  <c:v>329986.28633387911</c:v>
                </c:pt>
                <c:pt idx="61">
                  <c:v>354480.82512289053</c:v>
                </c:pt>
                <c:pt idx="62">
                  <c:v>354516.43623652979</c:v>
                </c:pt>
                <c:pt idx="63">
                  <c:v>373385.2234449868</c:v>
                </c:pt>
                <c:pt idx="64">
                  <c:v>361098.31784490176</c:v>
                </c:pt>
                <c:pt idx="65">
                  <c:v>305722.78904799419</c:v>
                </c:pt>
                <c:pt idx="66">
                  <c:v>292144.87584091851</c:v>
                </c:pt>
                <c:pt idx="67">
                  <c:v>319401.38732443482</c:v>
                </c:pt>
                <c:pt idx="68">
                  <c:v>337899.85239755124</c:v>
                </c:pt>
                <c:pt idx="69">
                  <c:v>353113.50123317901</c:v>
                </c:pt>
                <c:pt idx="70">
                  <c:v>342768.6078588129</c:v>
                </c:pt>
                <c:pt idx="71">
                  <c:v>378108.3214856697</c:v>
                </c:pt>
                <c:pt idx="72">
                  <c:v>405630.86421364517</c:v>
                </c:pt>
                <c:pt idx="73">
                  <c:v>409023.17116385436</c:v>
                </c:pt>
                <c:pt idx="74">
                  <c:v>436301.54445717187</c:v>
                </c:pt>
                <c:pt idx="75">
                  <c:v>432456.52842944529</c:v>
                </c:pt>
                <c:pt idx="76">
                  <c:v>421464.77047374944</c:v>
                </c:pt>
                <c:pt idx="77">
                  <c:v>465740.4651242285</c:v>
                </c:pt>
                <c:pt idx="78">
                  <c:v>494768.70720406342</c:v>
                </c:pt>
                <c:pt idx="79">
                  <c:v>502356.66356245533</c:v>
                </c:pt>
              </c:numCache>
            </c:numRef>
          </c:val>
          <c:smooth val="0"/>
          <c:extLst>
            <c:ext xmlns:c16="http://schemas.microsoft.com/office/drawing/2014/chart" uri="{C3380CC4-5D6E-409C-BE32-E72D297353CC}">
              <c16:uniqueId val="{00000001-7807-4CB6-8999-50A35AE75FE4}"/>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inorUnit val="4"/>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'2BR_F-processed'!$E$1</c:f>
              <c:strCache>
                <c:ptCount val="1"/>
                <c:pt idx="0">
                  <c:v>Hobart</c:v>
                </c:pt>
              </c:strCache>
            </c:strRef>
          </c:tx>
          <c:spPr>
            <a:ln w="28575" cap="rnd">
              <a:solidFill>
                <a:schemeClr val="accent1"/>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'2BR_F-processed'!$E$2:$E$109</c:f>
              <c:numCache>
                <c:formatCode>General</c:formatCode>
                <c:ptCount val="108"/>
                <c:pt idx="0">
                  <c:v>232.26421800947864</c:v>
                </c:pt>
                <c:pt idx="1">
                  <c:v>235.23815165876775</c:v>
                </c:pt>
                <c:pt idx="2">
                  <c:v>237.91469194312793</c:v>
                </c:pt>
                <c:pt idx="3">
                  <c:v>239.10426540284359</c:v>
                </c:pt>
                <c:pt idx="4">
                  <c:v>244.457345971564</c:v>
                </c:pt>
                <c:pt idx="5">
                  <c:v>248.02606635071092</c:v>
                </c:pt>
                <c:pt idx="6">
                  <c:v>251</c:v>
                </c:pt>
                <c:pt idx="7">
                  <c:v>251</c:v>
                </c:pt>
                <c:pt idx="8">
                  <c:v>251</c:v>
                </c:pt>
                <c:pt idx="9">
                  <c:v>251</c:v>
                </c:pt>
                <c:pt idx="10">
                  <c:v>250.17768147345612</c:v>
                </c:pt>
                <c:pt idx="11">
                  <c:v>253.31202600216687</c:v>
                </c:pt>
                <c:pt idx="12">
                  <c:v>257.30119176598049</c:v>
                </c:pt>
                <c:pt idx="13">
                  <c:v>261.29035752979416</c:v>
                </c:pt>
                <c:pt idx="14">
                  <c:v>263</c:v>
                </c:pt>
                <c:pt idx="15">
                  <c:v>263</c:v>
                </c:pt>
                <c:pt idx="16">
                  <c:v>263</c:v>
                </c:pt>
                <c:pt idx="17">
                  <c:v>263</c:v>
                </c:pt>
                <c:pt idx="18">
                  <c:v>258.84053133380013</c:v>
                </c:pt>
                <c:pt idx="19">
                  <c:v>261.00882897848118</c:v>
                </c:pt>
                <c:pt idx="20">
                  <c:v>264.53231265108786</c:v>
                </c:pt>
                <c:pt idx="21">
                  <c:v>269.28439012386184</c:v>
                </c:pt>
                <c:pt idx="22">
                  <c:v>280.29169059141981</c:v>
                </c:pt>
                <c:pt idx="23">
                  <c:v>280.29169059141981</c:v>
                </c:pt>
                <c:pt idx="24">
                  <c:v>269.01558809636271</c:v>
                </c:pt>
                <c:pt idx="25">
                  <c:v>258.61167032468023</c:v>
                </c:pt>
                <c:pt idx="26">
                  <c:v>255.42145147187406</c:v>
                </c:pt>
                <c:pt idx="27">
                  <c:v>265.29962915310676</c:v>
                </c:pt>
                <c:pt idx="28">
                  <c:v>269.770971217485</c:v>
                </c:pt>
                <c:pt idx="29">
                  <c:v>259.56342095520176</c:v>
                </c:pt>
                <c:pt idx="30">
                  <c:v>257.94002221399484</c:v>
                </c:pt>
                <c:pt idx="31">
                  <c:v>262.1917808219178</c:v>
                </c:pt>
                <c:pt idx="32">
                  <c:v>269.59832830276292</c:v>
                </c:pt>
                <c:pt idx="33">
                  <c:v>269.59832830276292</c:v>
                </c:pt>
                <c:pt idx="34">
                  <c:v>277</c:v>
                </c:pt>
                <c:pt idx="35">
                  <c:v>277</c:v>
                </c:pt>
                <c:pt idx="36">
                  <c:v>277</c:v>
                </c:pt>
                <c:pt idx="37">
                  <c:v>277</c:v>
                </c:pt>
                <c:pt idx="38">
                  <c:v>290</c:v>
                </c:pt>
                <c:pt idx="39">
                  <c:v>290</c:v>
                </c:pt>
                <c:pt idx="40">
                  <c:v>290</c:v>
                </c:pt>
                <c:pt idx="41">
                  <c:v>290</c:v>
                </c:pt>
                <c:pt idx="42">
                  <c:v>309</c:v>
                </c:pt>
                <c:pt idx="43">
                  <c:v>309</c:v>
                </c:pt>
                <c:pt idx="44">
                  <c:v>309</c:v>
                </c:pt>
                <c:pt idx="45">
                  <c:v>309</c:v>
                </c:pt>
                <c:pt idx="46">
                  <c:v>344</c:v>
                </c:pt>
                <c:pt idx="47">
                  <c:v>344</c:v>
                </c:pt>
                <c:pt idx="48">
                  <c:v>344</c:v>
                </c:pt>
                <c:pt idx="49">
                  <c:v>344</c:v>
                </c:pt>
                <c:pt idx="50">
                  <c:v>379</c:v>
                </c:pt>
                <c:pt idx="51">
                  <c:v>379</c:v>
                </c:pt>
                <c:pt idx="52">
                  <c:v>379</c:v>
                </c:pt>
                <c:pt idx="53">
                  <c:v>379</c:v>
                </c:pt>
                <c:pt idx="54">
                  <c:v>400</c:v>
                </c:pt>
                <c:pt idx="55">
                  <c:v>400</c:v>
                </c:pt>
                <c:pt idx="56">
                  <c:v>400</c:v>
                </c:pt>
                <c:pt idx="57">
                  <c:v>400</c:v>
                </c:pt>
                <c:pt idx="58">
                  <c:v>410</c:v>
                </c:pt>
                <c:pt idx="59">
                  <c:v>410</c:v>
                </c:pt>
                <c:pt idx="60">
                  <c:v>410</c:v>
                </c:pt>
                <c:pt idx="61">
                  <c:v>410</c:v>
                </c:pt>
                <c:pt idx="62">
                  <c:v>406.82054794520542</c:v>
                </c:pt>
                <c:pt idx="63">
                  <c:v>415.72902709729021</c:v>
                </c:pt>
                <c:pt idx="64">
                  <c:v>448.46359616006896</c:v>
                </c:pt>
                <c:pt idx="65">
                  <c:v>438</c:v>
                </c:pt>
                <c:pt idx="66">
                  <c:v>459.31808866357454</c:v>
                </c:pt>
                <c:pt idx="67">
                  <c:v>470</c:v>
                </c:pt>
                <c:pt idx="68">
                  <c:v>475</c:v>
                </c:pt>
                <c:pt idx="69">
                  <c:v>450</c:v>
                </c:pt>
                <c:pt idx="70">
                  <c:v>450</c:v>
                </c:pt>
                <c:pt idx="71">
                  <c:v>450</c:v>
                </c:pt>
                <c:pt idx="72">
                  <c:v>460</c:v>
                </c:pt>
                <c:pt idx="73">
                  <c:v>460</c:v>
                </c:pt>
                <c:pt idx="74">
                  <c:v>460</c:v>
                </c:pt>
                <c:pt idx="75">
                  <c:v>460</c:v>
                </c:pt>
                <c:pt idx="76">
                  <c:v>480</c:v>
                </c:pt>
                <c:pt idx="77">
                  <c:v>500</c:v>
                </c:pt>
                <c:pt idx="78">
                  <c:v>490</c:v>
                </c:pt>
                <c:pt idx="79">
                  <c:v>480</c:v>
                </c:pt>
              </c:numCache>
            </c:numRef>
          </c:val>
          <c:smooth val="0"/>
          <c:extLst>
            <c:ext xmlns:c16="http://schemas.microsoft.com/office/drawing/2014/chart" uri="{C3380CC4-5D6E-409C-BE32-E72D297353CC}">
              <c16:uniqueId val="{00000000-617F-4C2B-A3D4-409ECC1B6286}"/>
            </c:ext>
          </c:extLst>
        </c:ser>
        <c:ser>
          <c:idx val="1"/>
          <c:order val="1"/>
          <c:tx>
            <c:strRef>
              <c:f>'2BR_F-processed'!#REF!</c:f>
              <c:strCache>
                <c:ptCount val="1"/>
                <c:pt idx="0">
                  <c:v>#REF!</c:v>
                </c:pt>
              </c:strCache>
            </c:strRef>
          </c:tx>
          <c:spPr>
            <a:ln w="28575" cap="rnd">
              <a:solidFill>
                <a:schemeClr val="accent2"/>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'2BR_F-processed'!#REF!</c:f>
              <c:numCache>
                <c:formatCode>General</c:formatCode>
                <c:ptCount val="1"/>
                <c:pt idx="0">
                  <c:v>1</c:v>
                </c:pt>
              </c:numCache>
            </c:numRef>
          </c:val>
          <c:smooth val="0"/>
          <c:extLst>
            <c:ext xmlns:c16="http://schemas.microsoft.com/office/drawing/2014/chart" uri="{C3380CC4-5D6E-409C-BE32-E72D297353CC}">
              <c16:uniqueId val="{00000001-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'3BR_H-processed'!$E$1</c:f>
              <c:strCache>
                <c:ptCount val="1"/>
                <c:pt idx="0">
                  <c:v>Hobart</c:v>
                </c:pt>
              </c:strCache>
            </c:strRef>
          </c:tx>
          <c:spPr>
            <a:ln w="28575" cap="rnd">
              <a:solidFill>
                <a:schemeClr val="accent1"/>
              </a:solidFill>
              <a:round/>
            </a:ln>
            <a:effectLst/>
          </c:spPr>
          <c:marker>
            <c:symbol val="none"/>
          </c:marker>
          <c:cat>
            <c:numRef>
              <c:f>'3BR_H-processed'!$B$2:$B$97</c:f>
              <c:numCache>
                <c:formatCode>mmm\-yy</c:formatCode>
                <c:ptCount val="96"/>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'3BR_H-processed'!$E$2:$E$97</c:f>
              <c:numCache>
                <c:formatCode>General</c:formatCode>
                <c:ptCount val="96"/>
                <c:pt idx="0">
                  <c:v>272.97985781990519</c:v>
                </c:pt>
                <c:pt idx="1">
                  <c:v>276.4751184834123</c:v>
                </c:pt>
                <c:pt idx="2">
                  <c:v>279.62085308056868</c:v>
                </c:pt>
                <c:pt idx="3">
                  <c:v>281.01895734597156</c:v>
                </c:pt>
                <c:pt idx="4">
                  <c:v>287.31042654028437</c:v>
                </c:pt>
                <c:pt idx="5">
                  <c:v>291.50473933649289</c:v>
                </c:pt>
                <c:pt idx="6">
                  <c:v>295</c:v>
                </c:pt>
                <c:pt idx="7">
                  <c:v>295</c:v>
                </c:pt>
                <c:pt idx="8">
                  <c:v>295</c:v>
                </c:pt>
                <c:pt idx="9">
                  <c:v>295</c:v>
                </c:pt>
                <c:pt idx="10">
                  <c:v>302.49620801733477</c:v>
                </c:pt>
                <c:pt idx="11">
                  <c:v>306.28602383531961</c:v>
                </c:pt>
                <c:pt idx="12">
                  <c:v>311.10942578548213</c:v>
                </c:pt>
                <c:pt idx="13">
                  <c:v>315.93282773564465</c:v>
                </c:pt>
                <c:pt idx="14">
                  <c:v>318</c:v>
                </c:pt>
                <c:pt idx="15">
                  <c:v>318</c:v>
                </c:pt>
                <c:pt idx="16">
                  <c:v>318</c:v>
                </c:pt>
                <c:pt idx="17">
                  <c:v>318</c:v>
                </c:pt>
                <c:pt idx="18">
                  <c:v>312.07723635990084</c:v>
                </c:pt>
                <c:pt idx="19">
                  <c:v>314.69149593150212</c:v>
                </c:pt>
                <c:pt idx="20">
                  <c:v>318.93966773535413</c:v>
                </c:pt>
                <c:pt idx="21">
                  <c:v>318.93966773535413</c:v>
                </c:pt>
                <c:pt idx="22">
                  <c:v>331.97668318274555</c:v>
                </c:pt>
                <c:pt idx="23">
                  <c:v>331.97668318274555</c:v>
                </c:pt>
                <c:pt idx="24">
                  <c:v>325.06050228310494</c:v>
                </c:pt>
                <c:pt idx="25">
                  <c:v>309.99147237594121</c:v>
                </c:pt>
                <c:pt idx="26">
                  <c:v>318.00816474643926</c:v>
                </c:pt>
                <c:pt idx="27">
                  <c:v>318.00816474643926</c:v>
                </c:pt>
                <c:pt idx="28">
                  <c:v>320.12821917808219</c:v>
                </c:pt>
                <c:pt idx="29">
                  <c:v>309.80150243040214</c:v>
                </c:pt>
                <c:pt idx="30">
                  <c:v>318.12602739726026</c:v>
                </c:pt>
                <c:pt idx="31">
                  <c:v>318.12602739726026</c:v>
                </c:pt>
                <c:pt idx="32">
                  <c:v>329.09589041095887</c:v>
                </c:pt>
                <c:pt idx="33">
                  <c:v>318.12602739726026</c:v>
                </c:pt>
                <c:pt idx="34">
                  <c:v>329</c:v>
                </c:pt>
                <c:pt idx="35">
                  <c:v>329</c:v>
                </c:pt>
                <c:pt idx="36">
                  <c:v>329</c:v>
                </c:pt>
                <c:pt idx="37">
                  <c:v>329</c:v>
                </c:pt>
                <c:pt idx="38">
                  <c:v>351</c:v>
                </c:pt>
                <c:pt idx="39">
                  <c:v>351</c:v>
                </c:pt>
                <c:pt idx="40">
                  <c:v>351</c:v>
                </c:pt>
                <c:pt idx="41">
                  <c:v>351</c:v>
                </c:pt>
                <c:pt idx="42">
                  <c:v>372</c:v>
                </c:pt>
                <c:pt idx="43">
                  <c:v>372</c:v>
                </c:pt>
                <c:pt idx="44">
                  <c:v>372</c:v>
                </c:pt>
                <c:pt idx="45">
                  <c:v>372</c:v>
                </c:pt>
                <c:pt idx="46">
                  <c:v>407</c:v>
                </c:pt>
                <c:pt idx="47">
                  <c:v>407</c:v>
                </c:pt>
                <c:pt idx="48">
                  <c:v>407</c:v>
                </c:pt>
                <c:pt idx="49">
                  <c:v>407</c:v>
                </c:pt>
                <c:pt idx="50">
                  <c:v>445</c:v>
                </c:pt>
                <c:pt idx="51">
                  <c:v>445</c:v>
                </c:pt>
                <c:pt idx="52">
                  <c:v>445</c:v>
                </c:pt>
                <c:pt idx="53">
                  <c:v>445</c:v>
                </c:pt>
                <c:pt idx="54">
                  <c:v>457</c:v>
                </c:pt>
                <c:pt idx="55">
                  <c:v>457</c:v>
                </c:pt>
                <c:pt idx="56">
                  <c:v>457</c:v>
                </c:pt>
                <c:pt idx="57">
                  <c:v>457</c:v>
                </c:pt>
                <c:pt idx="58">
                  <c:v>481</c:v>
                </c:pt>
                <c:pt idx="59">
                  <c:v>481</c:v>
                </c:pt>
                <c:pt idx="60">
                  <c:v>481</c:v>
                </c:pt>
                <c:pt idx="61">
                  <c:v>481</c:v>
                </c:pt>
                <c:pt idx="62">
                  <c:v>490.9903164855927</c:v>
                </c:pt>
                <c:pt idx="63">
                  <c:v>495.25979749851098</c:v>
                </c:pt>
                <c:pt idx="64">
                  <c:v>522.52180470026394</c:v>
                </c:pt>
                <c:pt idx="65">
                  <c:v>520</c:v>
                </c:pt>
                <c:pt idx="66">
                  <c:v>560.89805057955732</c:v>
                </c:pt>
                <c:pt idx="67">
                  <c:v>550</c:v>
                </c:pt>
                <c:pt idx="68">
                  <c:v>550</c:v>
                </c:pt>
                <c:pt idx="69">
                  <c:v>530</c:v>
                </c:pt>
                <c:pt idx="70">
                  <c:v>530</c:v>
                </c:pt>
                <c:pt idx="71">
                  <c:v>550</c:v>
                </c:pt>
                <c:pt idx="72">
                  <c:v>550</c:v>
                </c:pt>
                <c:pt idx="73">
                  <c:v>540</c:v>
                </c:pt>
                <c:pt idx="74">
                  <c:v>550</c:v>
                </c:pt>
                <c:pt idx="75">
                  <c:v>550</c:v>
                </c:pt>
                <c:pt idx="76">
                  <c:v>570</c:v>
                </c:pt>
                <c:pt idx="77">
                  <c:v>570</c:v>
                </c:pt>
                <c:pt idx="78">
                  <c:v>580</c:v>
                </c:pt>
                <c:pt idx="79">
                  <c:v>600</c:v>
                </c:pt>
              </c:numCache>
            </c:numRef>
          </c:val>
          <c:smooth val="0"/>
          <c:extLst>
            <c:ext xmlns:c16="http://schemas.microsoft.com/office/drawing/2014/chart" uri="{C3380CC4-5D6E-409C-BE32-E72D297353CC}">
              <c16:uniqueId val="{00000000-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8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9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9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0</xdr:row>
      <xdr:rowOff>73025</xdr:rowOff>
    </xdr:from>
    <xdr:to>
      <xdr:col>10</xdr:col>
      <xdr:colOff>526863</xdr:colOff>
      <xdr:row>14</xdr:row>
      <xdr:rowOff>149225</xdr:rowOff>
    </xdr:to>
    <xdr:graphicFrame macro="">
      <xdr:nvGraphicFramePr>
        <xdr:cNvPr id="5" name="Chart 4">
          <a:extLst>
            <a:ext uri="{FF2B5EF4-FFF2-40B4-BE49-F238E27FC236}">
              <a16:creationId xmlns:a16="http://schemas.microsoft.com/office/drawing/2014/main" id="{ACF4E6C2-F1C1-49CC-AE96-A2E8AEA5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1333499</xdr:colOff>
      <xdr:row>1</xdr:row>
      <xdr:rowOff>33861</xdr:rowOff>
    </xdr:from>
    <xdr:to>
      <xdr:col>11</xdr:col>
      <xdr:colOff>266700</xdr:colOff>
      <xdr:row>58</xdr:row>
      <xdr:rowOff>85266</xdr:rowOff>
    </xdr:to>
    <xdr:pic>
      <xdr:nvPicPr>
        <xdr:cNvPr id="3" name="Picture 2">
          <a:extLst>
            <a:ext uri="{FF2B5EF4-FFF2-40B4-BE49-F238E27FC236}">
              <a16:creationId xmlns:a16="http://schemas.microsoft.com/office/drawing/2014/main" id="{0485A96F-096B-874F-C5A1-D0E7FA1E0803}"/>
            </a:ext>
          </a:extLst>
        </xdr:cNvPr>
        <xdr:cNvPicPr>
          <a:picLocks noChangeAspect="1"/>
        </xdr:cNvPicPr>
      </xdr:nvPicPr>
      <xdr:blipFill>
        <a:blip xmlns:r="http://schemas.openxmlformats.org/officeDocument/2006/relationships" r:embed="rId1"/>
        <a:stretch>
          <a:fillRect/>
        </a:stretch>
      </xdr:blipFill>
      <xdr:spPr>
        <a:xfrm>
          <a:off x="5600699" y="224361"/>
          <a:ext cx="2095501" cy="10909905"/>
        </a:xfrm>
        <a:prstGeom prst="rect">
          <a:avLst/>
        </a:prstGeom>
      </xdr:spPr>
    </xdr:pic>
    <xdr:clientData/>
  </xdr:twoCellAnchor>
  <xdr:twoCellAnchor editAs="oneCell">
    <xdr:from>
      <xdr:col>8</xdr:col>
      <xdr:colOff>76200</xdr:colOff>
      <xdr:row>51</xdr:row>
      <xdr:rowOff>168679</xdr:rowOff>
    </xdr:from>
    <xdr:to>
      <xdr:col>11</xdr:col>
      <xdr:colOff>238125</xdr:colOff>
      <xdr:row>61</xdr:row>
      <xdr:rowOff>9734</xdr:rowOff>
    </xdr:to>
    <xdr:pic>
      <xdr:nvPicPr>
        <xdr:cNvPr id="4" name="Picture 3">
          <a:extLst>
            <a:ext uri="{FF2B5EF4-FFF2-40B4-BE49-F238E27FC236}">
              <a16:creationId xmlns:a16="http://schemas.microsoft.com/office/drawing/2014/main" id="{E84D0210-EBC4-FA84-D03D-487E30A1DD1F}"/>
            </a:ext>
          </a:extLst>
        </xdr:cNvPr>
        <xdr:cNvPicPr>
          <a:picLocks noChangeAspect="1"/>
        </xdr:cNvPicPr>
      </xdr:nvPicPr>
      <xdr:blipFill>
        <a:blip xmlns:r="http://schemas.openxmlformats.org/officeDocument/2006/relationships" r:embed="rId2"/>
        <a:stretch>
          <a:fillRect/>
        </a:stretch>
      </xdr:blipFill>
      <xdr:spPr>
        <a:xfrm>
          <a:off x="5676900" y="9884179"/>
          <a:ext cx="1990725" cy="1746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19049</xdr:colOff>
      <xdr:row>1</xdr:row>
      <xdr:rowOff>95250</xdr:rowOff>
    </xdr:from>
    <xdr:to>
      <xdr:col>11</xdr:col>
      <xdr:colOff>66674</xdr:colOff>
      <xdr:row>35</xdr:row>
      <xdr:rowOff>20171</xdr:rowOff>
    </xdr:to>
    <xdr:pic>
      <xdr:nvPicPr>
        <xdr:cNvPr id="5" name="Picture 4">
          <a:extLst>
            <a:ext uri="{FF2B5EF4-FFF2-40B4-BE49-F238E27FC236}">
              <a16:creationId xmlns:a16="http://schemas.microsoft.com/office/drawing/2014/main" id="{420A03DE-8993-69FB-2FF6-F16F2D5186EC}"/>
            </a:ext>
          </a:extLst>
        </xdr:cNvPr>
        <xdr:cNvPicPr>
          <a:picLocks noChangeAspect="1"/>
        </xdr:cNvPicPr>
      </xdr:nvPicPr>
      <xdr:blipFill>
        <a:blip xmlns:r="http://schemas.openxmlformats.org/officeDocument/2006/relationships" r:embed="rId1"/>
        <a:stretch>
          <a:fillRect/>
        </a:stretch>
      </xdr:blipFill>
      <xdr:spPr>
        <a:xfrm>
          <a:off x="5619749" y="285750"/>
          <a:ext cx="1876425" cy="6401921"/>
        </a:xfrm>
        <a:prstGeom prst="rect">
          <a:avLst/>
        </a:prstGeom>
      </xdr:spPr>
    </xdr:pic>
    <xdr:clientData/>
  </xdr:twoCellAnchor>
  <xdr:twoCellAnchor editAs="oneCell">
    <xdr:from>
      <xdr:col>8</xdr:col>
      <xdr:colOff>38099</xdr:colOff>
      <xdr:row>35</xdr:row>
      <xdr:rowOff>0</xdr:rowOff>
    </xdr:from>
    <xdr:to>
      <xdr:col>11</xdr:col>
      <xdr:colOff>66674</xdr:colOff>
      <xdr:row>60</xdr:row>
      <xdr:rowOff>183172</xdr:rowOff>
    </xdr:to>
    <xdr:pic>
      <xdr:nvPicPr>
        <xdr:cNvPr id="6" name="Picture 5">
          <a:extLst>
            <a:ext uri="{FF2B5EF4-FFF2-40B4-BE49-F238E27FC236}">
              <a16:creationId xmlns:a16="http://schemas.microsoft.com/office/drawing/2014/main" id="{B8031EC2-BFC9-5F8B-E169-F2E770863844}"/>
            </a:ext>
          </a:extLst>
        </xdr:cNvPr>
        <xdr:cNvPicPr>
          <a:picLocks noChangeAspect="1"/>
        </xdr:cNvPicPr>
      </xdr:nvPicPr>
      <xdr:blipFill>
        <a:blip xmlns:r="http://schemas.openxmlformats.org/officeDocument/2006/relationships" r:embed="rId2"/>
        <a:stretch>
          <a:fillRect/>
        </a:stretch>
      </xdr:blipFill>
      <xdr:spPr>
        <a:xfrm>
          <a:off x="5638799" y="6667500"/>
          <a:ext cx="1857375" cy="49456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9292167" cy="6064250"/>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2167" cy="6064250"/>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appliedeconomics.com.au/wp-content/uploads/2023/10/Complete-WP-Abelson-Joyeux-Sep-2023-5.pd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zoomScale="70" zoomScaleNormal="70" workbookViewId="0">
      <selection activeCell="B34" sqref="B34"/>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9" t="s">
        <v>664</v>
      </c>
      <c r="B1" s="5" t="s">
        <v>491</v>
      </c>
      <c r="C1" s="5" t="s">
        <v>490</v>
      </c>
      <c r="O1" s="7"/>
      <c r="S1" s="11"/>
      <c r="T1" t="s">
        <v>14</v>
      </c>
      <c r="X1" s="11" cm="1">
        <f t="array" ref="X1">SUM(_xlfn._xlws.FILTER(X3:X82,ISNUMBER(X3:X82)))</f>
        <v>419795.48974393902</v>
      </c>
      <c r="Y1" s="33"/>
      <c r="AA1" s="34"/>
      <c r="AI1" t="s">
        <v>469</v>
      </c>
      <c r="AP1" s="11"/>
      <c r="AQ1" s="11"/>
      <c r="AR1" t="s">
        <v>21</v>
      </c>
      <c r="AT1" s="11"/>
      <c r="AX1" s="6"/>
      <c r="AY1" t="s">
        <v>326</v>
      </c>
      <c r="BB1" t="s">
        <v>323</v>
      </c>
      <c r="BG1" s="11" cm="1">
        <f t="array" ref="BG1">SUM(_xlfn._xlws.FILTER(BG3:BG82,ISNUMBER(BG3:BG82)))</f>
        <v>524585.35810099088</v>
      </c>
      <c r="BH1" t="s">
        <v>477</v>
      </c>
    </row>
    <row r="2" spans="1:67" x14ac:dyDescent="0.25">
      <c r="A2" s="5" t="s">
        <v>328</v>
      </c>
      <c r="B2" s="32">
        <f>_xlfn.XLOOKUP(Q_end,L:L,O:O)</f>
        <v>0.98724673217712922</v>
      </c>
      <c r="E2" t="str">
        <f>"Renter vs owner wealth, "&amp;Council_Area&amp;IF(B10="2BR_F"," 2-bedroom flat"," 3-bedroom house")</f>
        <v>Renter vs owner wealth, Hobart 3-bedroom house</v>
      </c>
      <c r="L2" t="s">
        <v>54</v>
      </c>
      <c r="M2" s="5" t="s">
        <v>62</v>
      </c>
      <c r="N2" s="5" t="s">
        <v>61</v>
      </c>
      <c r="O2" t="s">
        <v>316</v>
      </c>
      <c r="P2" t="s">
        <v>318</v>
      </c>
      <c r="Q2" t="s">
        <v>58</v>
      </c>
      <c r="R2" t="s">
        <v>53</v>
      </c>
      <c r="S2" s="5"/>
      <c r="T2" t="s">
        <v>305</v>
      </c>
      <c r="U2" t="s">
        <v>306</v>
      </c>
      <c r="V2" t="s">
        <v>10</v>
      </c>
      <c r="W2" t="s">
        <v>630</v>
      </c>
      <c r="X2" s="5" t="s">
        <v>60</v>
      </c>
      <c r="Y2" t="s">
        <v>307</v>
      </c>
      <c r="Z2" t="s">
        <v>342</v>
      </c>
      <c r="AA2" t="s">
        <v>346</v>
      </c>
      <c r="AB2" t="s">
        <v>475</v>
      </c>
      <c r="AC2" t="s">
        <v>312</v>
      </c>
      <c r="AD2" t="s">
        <v>313</v>
      </c>
      <c r="AE2" t="s">
        <v>314</v>
      </c>
      <c r="AF2" t="s">
        <v>309</v>
      </c>
      <c r="AG2" t="s">
        <v>308</v>
      </c>
      <c r="AH2" t="s">
        <v>317</v>
      </c>
      <c r="AI2" s="5" t="s">
        <v>473</v>
      </c>
      <c r="AJ2" t="s">
        <v>472</v>
      </c>
      <c r="AK2" t="s">
        <v>468</v>
      </c>
      <c r="AL2" t="s">
        <v>474</v>
      </c>
      <c r="AM2" t="s">
        <v>476</v>
      </c>
      <c r="AN2" t="s">
        <v>467</v>
      </c>
      <c r="AO2" t="s">
        <v>470</v>
      </c>
      <c r="AP2" s="5" t="s">
        <v>315</v>
      </c>
      <c r="AQ2" s="5"/>
      <c r="AR2" t="s">
        <v>22</v>
      </c>
      <c r="AS2" t="s">
        <v>52</v>
      </c>
      <c r="AT2" t="s">
        <v>26</v>
      </c>
      <c r="AU2" t="s">
        <v>340</v>
      </c>
      <c r="AV2" t="s">
        <v>319</v>
      </c>
      <c r="AW2" t="s">
        <v>492</v>
      </c>
      <c r="AX2" s="9" t="s">
        <v>320</v>
      </c>
      <c r="AY2" t="s">
        <v>321</v>
      </c>
      <c r="AZ2" t="s">
        <v>322</v>
      </c>
      <c r="BA2" t="s">
        <v>325</v>
      </c>
      <c r="BB2" t="s">
        <v>51</v>
      </c>
      <c r="BC2" t="s">
        <v>57</v>
      </c>
      <c r="BD2" t="s">
        <v>56</v>
      </c>
      <c r="BE2" t="s">
        <v>24</v>
      </c>
      <c r="BF2" t="s">
        <v>25</v>
      </c>
      <c r="BG2" s="5" t="s">
        <v>59</v>
      </c>
      <c r="BH2" t="s">
        <v>465</v>
      </c>
      <c r="BI2" t="s">
        <v>479</v>
      </c>
      <c r="BJ2" t="s">
        <v>480</v>
      </c>
      <c r="BK2" t="s">
        <v>481</v>
      </c>
      <c r="BL2" t="s">
        <v>627</v>
      </c>
      <c r="BM2" t="s">
        <v>482</v>
      </c>
      <c r="BN2" t="s">
        <v>484</v>
      </c>
      <c r="BO2" t="s">
        <v>483</v>
      </c>
    </row>
    <row r="3" spans="1:67" x14ac:dyDescent="0.25">
      <c r="A3" s="5" t="s">
        <v>496</v>
      </c>
      <c r="B3" s="32" cm="1">
        <f t="array" ref="B3">SUM(_xlfn._xlws.FILTER($X$3:$X$82,ISNUMBER($X$3:$X$82)))/(SUM(_xlfn._xlws.FILTER($BG$3:$BG$82,ISNUMBER($BG$3:$BG$82)))-AT3)</f>
        <v>0.91114233445031578</v>
      </c>
      <c r="L3" s="1">
        <f>Q_start</f>
        <v>38777</v>
      </c>
      <c r="M3" s="10">
        <f t="shared" ref="M3:M34" si="0">AP3</f>
        <v>70867.063030284233</v>
      </c>
      <c r="N3" s="10">
        <f>AX3-BC3</f>
        <v>45402.5</v>
      </c>
      <c r="O3" s="7">
        <f>M3/N3</f>
        <v>1.5608625743138425</v>
      </c>
      <c r="P3" s="7">
        <f t="shared" ref="P3:P34" si="1">X3/BG3</f>
        <v>5.2290957974929796E-2</v>
      </c>
      <c r="Q3">
        <v>1</v>
      </c>
      <c r="R3">
        <f t="shared" ref="R3:R34" si="2">EOMONTH(L3,0)-EOMONTH(L3,-3)</f>
        <v>90</v>
      </c>
      <c r="S3" s="22"/>
      <c r="T3" s="22">
        <f>IF($B$10="3BR_H",
INDEX('3BR_H-processed'!$E:$E,MATCH($L3,'3BR_H-processed'!$B:$B,0),MATCH(Council_Area,'3BR_H-processed'!$E$1:$E$1,0)),
INDEX('2BR_F-processed'!$E:$E,MATCH($L3,'2BR_F-processed'!$B:$B,0),MATCH(Council_Area,'2BR_F-processed'!$E$1:$E$1,0)))</f>
        <v>272.97985781990519</v>
      </c>
      <c r="U3" s="22">
        <f>IF(MOD(Q3,4)=1,T3,U2)</f>
        <v>272.97985781990519</v>
      </c>
      <c r="V3" s="22">
        <f>U3*(R3)/7</f>
        <v>3509.7410291130664</v>
      </c>
      <c r="W3" s="22">
        <f>$B$53/4*BH3/_xlfn.XLOOKUP(Q_end,cpi!A:A,cpi!B:B)</f>
        <v>116.93158258465792</v>
      </c>
      <c r="X3" s="22">
        <f>V3+W3</f>
        <v>3626.6726116977243</v>
      </c>
      <c r="Y3" s="22">
        <f t="shared" ref="Y3:Y34" si="3">BG3-X3</f>
        <v>65728.962705530241</v>
      </c>
      <c r="Z3" s="29">
        <f>MAX(0,Y3*$B$47)</f>
        <v>0</v>
      </c>
      <c r="AA3" s="22" cm="1">
        <f t="array" ref="AA3">(Y3+Z3)*eff_invest</f>
        <v>65728.962705530241</v>
      </c>
      <c r="AB3" s="22">
        <f>AA3*(_xlfn.XLOOKUP(Q_end,cpi!A:A,cpi!B:B)/BH3)</f>
        <v>112422.94212163387</v>
      </c>
      <c r="AC3" s="22" cm="1">
        <f t="array" ref="AC3">INDEX('msci-indices'!C:C,MATCH($L3,'msci-indices'!$B:$B)-2)</f>
        <v>754.87961099999995</v>
      </c>
      <c r="AD3" s="22" cm="1">
        <f t="array" ref="AD3">INDEX('msci-indices'!D:D,MATCH($L3,'msci-indices'!$B:$B)-2)</f>
        <v>712.95624699999996</v>
      </c>
      <c r="AE3" s="29">
        <f>AA3</f>
        <v>65728.962705530241</v>
      </c>
      <c r="AF3" s="22" cm="1">
        <f t="array" ref="AF3">INDEX('msci-indices'!C:C,MATCH($L3,'msci-indices'!$B:$B)+1)</f>
        <v>809.32011899999998</v>
      </c>
      <c r="AG3" s="22" cm="1">
        <f t="array" ref="AG3">INDEX('msci-indices'!D:D,MATCH($L3,'msci-indices'!$B:$B)+1)</f>
        <v>780.24346800000001</v>
      </c>
      <c r="AH3" s="22">
        <f t="shared" ref="AH3:AH34" si="4">(InvestFees/4)*AE3</f>
        <v>41.080601690956399</v>
      </c>
      <c r="AI3" s="22">
        <f t="shared" ref="AI3:AI34" si="5">((AF3/AC3)*GlobalPortfolio+(AG3/AD3)*AusPortfolio)*AE3-AH3</f>
        <v>70867.063030284233</v>
      </c>
      <c r="AJ3" s="29">
        <f>AA3</f>
        <v>65728.962705530241</v>
      </c>
      <c r="AK3" s="22">
        <f t="shared" ref="AK3:AK34" si="6">AI3-AJ3</f>
        <v>5138.100324753992</v>
      </c>
      <c r="AL3" s="22">
        <f>AJ3*(_xlfn.XLOOKUP(Q_end,cpi!A:A,cpi!B:B)/BH3)</f>
        <v>112422.94212163387</v>
      </c>
      <c r="AM3" s="29">
        <f>AA3</f>
        <v>65728.962705530241</v>
      </c>
      <c r="AN3" s="22">
        <f>AI3-AM3</f>
        <v>5138.100324753992</v>
      </c>
      <c r="AO3" s="22">
        <f t="shared" ref="AO3:AO34" si="7">IF($B$49="Real gains",MAX($B$50*AN3,0),IF($B$49="Discounted nominal gains",MAX($B$50*AK3/2,0),0))</f>
        <v>0</v>
      </c>
      <c r="AP3" s="22">
        <f>AI3-AO3</f>
        <v>70867.063030284233</v>
      </c>
      <c r="AQ3" s="22"/>
      <c r="AR3" s="10">
        <f>IF($B$10="3BR_H",
INDEX('ns-combined'!$C:$D,MATCH($L3,'ns-combined'!$B:$B,0),MATCH(Council_Area,'ns-combined'!$C$1:$D$1,0))*1000,
INDEX('s-combined'!$C:$D,MATCH($L3,'s-combined'!$B:$B,0),MATCH(Council_Area,'s-combined'!$C$1:$D$1,0))*1000)</f>
        <v>260000</v>
      </c>
      <c r="AS3" s="29">
        <f>AR3*$B$14/4</f>
        <v>650</v>
      </c>
      <c r="AT3" s="13">
        <f>SUM(B20:B26)*AR3</f>
        <v>63850.000000000007</v>
      </c>
      <c r="AU3" s="22">
        <f t="shared" ref="AU3:AU34" si="8">SUM($B$28:$B$29)*AR3</f>
        <v>5200</v>
      </c>
      <c r="AV3" s="22">
        <f t="shared" ref="AV3:AV34" si="9">AR3*$B$15/4</f>
        <v>747.5</v>
      </c>
      <c r="AW3" s="22">
        <f>SUM($AV$3:AV3)</f>
        <v>747.5</v>
      </c>
      <c r="AX3" s="22">
        <f>AR3-AS3-AU3-AW3</f>
        <v>253402.5</v>
      </c>
      <c r="AY3" s="22">
        <f t="shared" ref="AY3:AY34" si="10">$B$36*V3</f>
        <v>1228.4093601895734</v>
      </c>
      <c r="AZ3" s="24">
        <f t="shared" ref="AZ3:AZ34" si="11">SUM(AY3:AY3)*4/AR3</f>
        <v>1.8898605541378052E-2</v>
      </c>
      <c r="BA3" s="24">
        <f t="shared" ref="BA3:BA34" si="12">SUM(AY3:AY3)/V3</f>
        <v>0.35000000000000003</v>
      </c>
      <c r="BB3" s="25">
        <f>IF(MortgageRate="Discounted",_xlfn.XLOOKUP(L3,'mortgage-rates'!$A:$A,'mortgage-rates'!$E:$E)/100,_xlfn.XLOOKUP(L3,'mortgage-rates'!$A:$A,'mortgage-rates'!$D:$D)/100)</f>
        <v>6.6400000000000001E-2</v>
      </c>
      <c r="BC3" s="10">
        <f>(1-B20)*AR3</f>
        <v>208000</v>
      </c>
      <c r="BD3" s="10">
        <f t="shared" ref="BD3:BD34" si="13">IF($B$16*12/3-Q3+1&gt;0,-PMT($BB3/4,$B$16*12/3-Q3+1,BC3),0)</f>
        <v>4277.2259570383821</v>
      </c>
      <c r="BE3" s="10">
        <f t="shared" ref="BE3:BE34" si="14">BC3*($BB3/4)</f>
        <v>3452.8</v>
      </c>
      <c r="BF3" s="10">
        <f>BD3-BE3</f>
        <v>824.42595703838197</v>
      </c>
      <c r="BG3" s="12">
        <f t="shared" ref="BG3:BG34" si="15">AT3+AY3+BD3</f>
        <v>69355.635317227963</v>
      </c>
      <c r="BH3" s="22">
        <f>INDEX(cpi!B:B,MATCH($L3,cpi!A:A))</f>
        <v>84.6</v>
      </c>
      <c r="BI3" s="22">
        <f t="shared" ref="BI3:BI34" si="16">100*BH3/BH$3</f>
        <v>100</v>
      </c>
      <c r="BJ3" s="22">
        <f t="shared" ref="BJ3:BJ34" si="17">100*AC3/AC$3</f>
        <v>100</v>
      </c>
      <c r="BK3" s="22">
        <f t="shared" ref="BK3:BK34" si="18">100*AD3/AD$3</f>
        <v>100</v>
      </c>
      <c r="BL3" s="22">
        <f t="shared" ref="BL3:BL34" si="19">BJ3*GlobalPortfolio+BK3*AusPortfolio</f>
        <v>100</v>
      </c>
      <c r="BM3" s="22">
        <f t="shared" ref="BM3:BM34" si="20">100*AE3/$AE$3</f>
        <v>100</v>
      </c>
      <c r="BN3" s="22">
        <f t="shared" ref="BN3:BN34" si="21">100*AR3/AR$3</f>
        <v>100</v>
      </c>
      <c r="BO3">
        <f t="shared" ref="BO3:BO34" si="22">100*AX3/AX$3</f>
        <v>100</v>
      </c>
    </row>
    <row r="4" spans="1:67" x14ac:dyDescent="0.25">
      <c r="A4" t="s">
        <v>485</v>
      </c>
      <c r="B4" s="4">
        <f>((_xlfn.XLOOKUP(Q_end,L:L,AR:AR)/_xlfn.XLOOKUP(Q_start,L:L,AR:AR))^(1/YEARFRAC(EOMONTH(Q_start,-3)+1,EOMONTH(Q_end,0))))-1</f>
        <v>5.4362410846366949E-2</v>
      </c>
      <c r="L4" s="1">
        <f>IF(DATE(YEAR(L3),MONTH(L3)+3,1)&lt;=Q_end,DATE(YEAR(L3),MONTH(L3)+3,1),"")</f>
        <v>38869</v>
      </c>
      <c r="M4" s="10">
        <f t="shared" si="0"/>
        <v>72360.72359704072</v>
      </c>
      <c r="N4" s="10">
        <f t="shared" ref="N4:N34" si="23">AX4-BC4</f>
        <v>54600.675957038387</v>
      </c>
      <c r="O4" s="7">
        <f t="shared" ref="O4:O67" si="24">M4/N4</f>
        <v>1.3252715708863481</v>
      </c>
      <c r="P4" s="7">
        <f t="shared" si="1"/>
        <v>0.65104864154721565</v>
      </c>
      <c r="Q4">
        <v>2</v>
      </c>
      <c r="R4">
        <f t="shared" si="2"/>
        <v>91</v>
      </c>
      <c r="S4" s="22"/>
      <c r="T4" s="22">
        <f>IF($B$10="3BR_H",
INDEX('3BR_H-processed'!$E:$E,MATCH($L4,'3BR_H-processed'!$B:$B,0),MATCH(Council_Area,'3BR_H-processed'!$E$1:$E$1,0)),
INDEX('2BR_F-processed'!$E:$E,MATCH($L4,'2BR_F-processed'!$B:$B,0),MATCH(Council_Area,'2BR_F-processed'!$E$1:$E$1,0)))</f>
        <v>276.4751184834123</v>
      </c>
      <c r="U4" s="22">
        <f t="shared" ref="U4:U67" si="25">IF(MOD(Q4,4)=1,T4,U3)</f>
        <v>272.97985781990519</v>
      </c>
      <c r="V4" s="22">
        <f>U4*(R4)/7</f>
        <v>3548.7381516587675</v>
      </c>
      <c r="W4" s="22">
        <f>$B$53/4*BH4/_xlfn.XLOOKUP(Q_end,cpi!A:A,cpi!B:B)</f>
        <v>118.72840359364203</v>
      </c>
      <c r="X4" s="22">
        <f t="shared" ref="X4:X34" si="26">V4+W4</f>
        <v>3667.4665552524093</v>
      </c>
      <c r="Y4" s="22">
        <f t="shared" si="3"/>
        <v>1965.7017231371792</v>
      </c>
      <c r="Z4" s="22">
        <f t="shared" ref="Z4:Z35" si="27">Y4*$B$47</f>
        <v>0</v>
      </c>
      <c r="AA4" s="22" cm="1">
        <f t="array" ref="AA4">(Y4+Z4)*eff_invest</f>
        <v>1965.7017231371792</v>
      </c>
      <c r="AB4" s="22">
        <f>AA4*(_xlfn.XLOOKUP(Q_end,cpi!A:A,cpi!B:B)/BH4)</f>
        <v>3311.2577338527335</v>
      </c>
      <c r="AC4" s="22" cm="1">
        <f t="array" ref="AC4">INDEX('msci-indices'!C:C,MATCH($L4,'msci-indices'!$B:$B)-2)</f>
        <v>809.32011899999998</v>
      </c>
      <c r="AD4" s="22" cm="1">
        <f t="array" ref="AD4">INDEX('msci-indices'!D:D,MATCH($L4,'msci-indices'!$B:$B)-2)</f>
        <v>780.24346800000001</v>
      </c>
      <c r="AE4" s="22">
        <f t="shared" ref="AE4:AE35" si="28">AI3+AA4</f>
        <v>72832.764753421419</v>
      </c>
      <c r="AF4" s="22" cm="1">
        <f t="array" ref="AF4">INDEX('msci-indices'!C:C,MATCH($L4,'msci-indices'!$B:$B)+1)</f>
        <v>802.64573099999996</v>
      </c>
      <c r="AG4" s="22" cm="1">
        <f t="array" ref="AG4">INDEX('msci-indices'!D:D,MATCH($L4,'msci-indices'!$B:$B)+1)</f>
        <v>780.02674300000001</v>
      </c>
      <c r="AH4" s="22">
        <f t="shared" si="4"/>
        <v>45.520477970888386</v>
      </c>
      <c r="AI4" s="22">
        <f t="shared" si="5"/>
        <v>72360.72359704072</v>
      </c>
      <c r="AJ4" s="22">
        <f t="shared" ref="AJ4:AJ35" si="29">AJ3+AA4</f>
        <v>67694.664428667427</v>
      </c>
      <c r="AK4" s="22">
        <f t="shared" si="6"/>
        <v>4666.0591683732928</v>
      </c>
      <c r="AL4" s="22">
        <f>AJ4*(_xlfn.XLOOKUP(Q_end,cpi!A:A,cpi!B:B)/BH4)</f>
        <v>114032.80492233034</v>
      </c>
      <c r="AM4" s="22" cm="1">
        <f t="array" ref="AM4">SUMPRODUCT($AA$3:AA4,_xlfn.SORTBY($BH$3:BH4,_xlfn.SEQUENCE(ROWS($BH$3:BH4)),-1)/$BH$3)</f>
        <v>68704.683950147213</v>
      </c>
      <c r="AN4" s="22">
        <f t="shared" ref="AN4:AN67" si="30">AI4-AM4</f>
        <v>3656.0396468935069</v>
      </c>
      <c r="AO4" s="22">
        <f t="shared" si="7"/>
        <v>0</v>
      </c>
      <c r="AP4" s="22">
        <f t="shared" ref="AP4:AP67" si="31">AI4-AO4</f>
        <v>72360.72359704072</v>
      </c>
      <c r="AQ4" s="22"/>
      <c r="AR4" s="10">
        <f>IF($B$10="3BR_H",
INDEX('ns-combined'!$C:$D,MATCH($L4,'ns-combined'!$B:$B,0),MATCH(Council_Area,'ns-combined'!$C$1:$D$1,0))*1000,
INDEX('s-combined'!$C:$D,MATCH($L4,'s-combined'!$B:$B,0),MATCH(Council_Area,'s-combined'!$C$1:$D$1,0))*1000)</f>
        <v>270000</v>
      </c>
      <c r="AS4" s="22">
        <f>AS3+$AS$3</f>
        <v>1300</v>
      </c>
      <c r="AT4" s="10">
        <v>0</v>
      </c>
      <c r="AU4" s="22">
        <f t="shared" si="8"/>
        <v>5400</v>
      </c>
      <c r="AV4" s="22">
        <f t="shared" si="9"/>
        <v>776.25</v>
      </c>
      <c r="AW4" s="22">
        <f>SUM($AV$3:AV4)</f>
        <v>1523.75</v>
      </c>
      <c r="AX4" s="22">
        <f t="shared" ref="AX4:AX34" si="32">AR4-AS4-AU4-AW4</f>
        <v>261776.25</v>
      </c>
      <c r="AY4" s="22">
        <f t="shared" si="10"/>
        <v>1242.0583530805688</v>
      </c>
      <c r="AZ4" s="24">
        <f t="shared" si="11"/>
        <v>1.8400864490082502E-2</v>
      </c>
      <c r="BA4" s="24">
        <f t="shared" si="12"/>
        <v>0.35000000000000009</v>
      </c>
      <c r="BB4" s="25">
        <f>IF(MortgageRate="Discounted",_xlfn.XLOOKUP(L4,'mortgage-rates'!$A:$A,'mortgage-rates'!$E:$E)/100,_xlfn.XLOOKUP(L4,'mortgage-rates'!$A:$A,'mortgage-rates'!$D:$D)/100)</f>
        <v>6.93E-2</v>
      </c>
      <c r="BC4" s="10">
        <f>BC3-BF3</f>
        <v>207175.57404296161</v>
      </c>
      <c r="BD4" s="10">
        <f t="shared" si="13"/>
        <v>4391.1099253090197</v>
      </c>
      <c r="BE4" s="10">
        <f t="shared" si="14"/>
        <v>3589.3168202943098</v>
      </c>
      <c r="BF4" s="10">
        <f>BD4-BE4</f>
        <v>801.79310501470991</v>
      </c>
      <c r="BG4" s="12">
        <f t="shared" si="15"/>
        <v>5633.1682783895885</v>
      </c>
      <c r="BH4" s="22">
        <f>INDEX(cpi!B:B,MATCH($L4,cpi!A:A))</f>
        <v>85.9</v>
      </c>
      <c r="BI4" s="22">
        <f t="shared" si="16"/>
        <v>101.53664302600474</v>
      </c>
      <c r="BJ4" s="22">
        <f t="shared" si="17"/>
        <v>107.21181327548136</v>
      </c>
      <c r="BK4" s="22">
        <f t="shared" si="18"/>
        <v>109.43777704215839</v>
      </c>
      <c r="BL4" s="22">
        <f t="shared" si="19"/>
        <v>107.87960240548446</v>
      </c>
      <c r="BM4" s="22">
        <f t="shared" si="20"/>
        <v>110.80771969537484</v>
      </c>
      <c r="BN4" s="22">
        <f t="shared" si="21"/>
        <v>103.84615384615384</v>
      </c>
      <c r="BO4">
        <f t="shared" si="22"/>
        <v>103.30452540918104</v>
      </c>
    </row>
    <row r="5" spans="1:67" x14ac:dyDescent="0.25">
      <c r="A5" t="s">
        <v>495</v>
      </c>
      <c r="B5" s="4">
        <f>((_xlfn.XLOOKUP(Q_end,L:L,AX:AX)/_xlfn.XLOOKUP(Q_start,L:L,AX:AX))^(1/YEARFRAC(EOMONTH(Q_start,-3)+1,EOMONTH(Q_end,0))))-1</f>
        <v>4.2153082070852443E-2</v>
      </c>
      <c r="L5" s="1">
        <f t="shared" ref="L5:L68" si="33">DATE(YEAR(L4),MONTH(L4)+3,1)</f>
        <v>38961</v>
      </c>
      <c r="M5" s="10">
        <f t="shared" si="0"/>
        <v>77083.612194711983</v>
      </c>
      <c r="N5" s="10">
        <f t="shared" si="23"/>
        <v>53976.219062053104</v>
      </c>
      <c r="O5" s="7">
        <f t="shared" si="24"/>
        <v>1.4281032190508518</v>
      </c>
      <c r="P5" s="7">
        <f t="shared" si="1"/>
        <v>0.64351065965120746</v>
      </c>
      <c r="Q5">
        <v>3</v>
      </c>
      <c r="R5">
        <f t="shared" si="2"/>
        <v>92</v>
      </c>
      <c r="S5" s="22"/>
      <c r="T5" s="22">
        <f>IF($B$10="3BR_H",
INDEX('3BR_H-processed'!$E:$E,MATCH($L5,'3BR_H-processed'!$B:$B,0),MATCH(Council_Area,'3BR_H-processed'!$E$1:$E$1,0)),
INDEX('2BR_F-processed'!$E:$E,MATCH($L5,'2BR_F-processed'!$B:$B,0),MATCH(Council_Area,'2BR_F-processed'!$E$1:$E$1,0)))</f>
        <v>279.62085308056868</v>
      </c>
      <c r="U5" s="22">
        <f t="shared" si="25"/>
        <v>272.97985781990519</v>
      </c>
      <c r="V5" s="22">
        <f t="shared" ref="V5:V67" si="34">U5*(R5)/7</f>
        <v>3587.7352742044682</v>
      </c>
      <c r="W5" s="22">
        <f>$B$53/4*BH5/_xlfn.XLOOKUP(Q_end,cpi!A:A,cpi!B:B)</f>
        <v>119.69592259847963</v>
      </c>
      <c r="X5" s="22">
        <f t="shared" si="26"/>
        <v>3707.4311968029479</v>
      </c>
      <c r="Y5" s="22">
        <f t="shared" si="3"/>
        <v>2053.827208477288</v>
      </c>
      <c r="Z5" s="22">
        <f t="shared" si="27"/>
        <v>0</v>
      </c>
      <c r="AA5" s="22" cm="1">
        <f t="array" ref="AA5">(Y5+Z5)*eff_invest</f>
        <v>2053.827208477288</v>
      </c>
      <c r="AB5" s="22">
        <f>AA5*(_xlfn.XLOOKUP(Q_end,cpi!A:A,cpi!B:B)/BH5)</f>
        <v>3431.7413056196719</v>
      </c>
      <c r="AC5" s="22" cm="1">
        <f t="array" ref="AC5">INDEX('msci-indices'!C:C,MATCH($L5,'msci-indices'!$B:$B)-2)</f>
        <v>802.64573099999996</v>
      </c>
      <c r="AD5" s="22" cm="1">
        <f t="array" ref="AD5">INDEX('msci-indices'!D:D,MATCH($L5,'msci-indices'!$B:$B)-2)</f>
        <v>780.02674300000001</v>
      </c>
      <c r="AE5" s="22">
        <f t="shared" si="28"/>
        <v>74414.550805518011</v>
      </c>
      <c r="AF5" s="22" cm="1">
        <f t="array" ref="AF5">INDEX('msci-indices'!C:C,MATCH($L5,'msci-indices'!$B:$B)+1)</f>
        <v>835.13401499999998</v>
      </c>
      <c r="AG5" s="22" cm="1">
        <f t="array" ref="AG5">INDEX('msci-indices'!D:D,MATCH($L5,'msci-indices'!$B:$B)+1)</f>
        <v>801.24066600000003</v>
      </c>
      <c r="AH5" s="22">
        <f t="shared" si="4"/>
        <v>46.509094253448758</v>
      </c>
      <c r="AI5" s="22">
        <f t="shared" si="5"/>
        <v>77083.612194711983</v>
      </c>
      <c r="AJ5" s="22">
        <f t="shared" si="29"/>
        <v>69748.491637144718</v>
      </c>
      <c r="AK5" s="22">
        <f t="shared" si="6"/>
        <v>7335.1205575672648</v>
      </c>
      <c r="AL5" s="22">
        <f>AJ5*(_xlfn.XLOOKUP(Q_end,cpi!A:A,cpi!B:B)/BH5)</f>
        <v>116542.80300109516</v>
      </c>
      <c r="AM5" s="22" cm="1">
        <f t="array" ref="AM5">SUMPRODUCT($AA$3:AA5,_xlfn.SORTBY($BH$3:BH5,_xlfn.SEQUENCE(ROWS($BH$3:BH5)),-1)/$BH$3)</f>
        <v>71332.57364247732</v>
      </c>
      <c r="AN5" s="22">
        <f t="shared" si="30"/>
        <v>5751.0385522346623</v>
      </c>
      <c r="AO5" s="22">
        <f t="shared" si="7"/>
        <v>0</v>
      </c>
      <c r="AP5" s="22">
        <f t="shared" si="31"/>
        <v>77083.612194711983</v>
      </c>
      <c r="AQ5" s="22"/>
      <c r="AR5" s="10">
        <f>IF($B$10="3BR_H",
INDEX('ns-combined'!$C:$D,MATCH($L5,'ns-combined'!$B:$B,0),MATCH(Council_Area,'ns-combined'!$C$1:$D$1,0))*1000,
INDEX('s-combined'!$C:$D,MATCH($L5,'s-combined'!$B:$B,0),MATCH(Council_Area,'s-combined'!$C$1:$D$1,0))*1000)</f>
        <v>270000</v>
      </c>
      <c r="AS5" s="22">
        <f t="shared" ref="AS5:AS68" si="35">AS4+$AS$3</f>
        <v>1950</v>
      </c>
      <c r="AT5" s="10">
        <v>0</v>
      </c>
      <c r="AU5" s="22">
        <f t="shared" si="8"/>
        <v>5400</v>
      </c>
      <c r="AV5" s="22">
        <f t="shared" si="9"/>
        <v>776.25</v>
      </c>
      <c r="AW5" s="22">
        <f>SUM($AV$3:AV5)</f>
        <v>2300</v>
      </c>
      <c r="AX5" s="22">
        <f t="shared" si="32"/>
        <v>260350</v>
      </c>
      <c r="AY5" s="22">
        <f t="shared" si="10"/>
        <v>1255.7073459715639</v>
      </c>
      <c r="AZ5" s="24">
        <f t="shared" si="11"/>
        <v>1.8603071792171317E-2</v>
      </c>
      <c r="BA5" s="24">
        <f t="shared" si="12"/>
        <v>0.35000000000000003</v>
      </c>
      <c r="BB5" s="25">
        <f>IF(MortgageRate="Discounted",_xlfn.XLOOKUP(L5,'mortgage-rates'!$A:$A,'mortgage-rates'!$E:$E)/100,_xlfn.XLOOKUP(L5,'mortgage-rates'!$A:$A,'mortgage-rates'!$D:$D)/100)</f>
        <v>7.22E-2</v>
      </c>
      <c r="BC5" s="10">
        <f>BC4-BF4</f>
        <v>206373.7809379469</v>
      </c>
      <c r="BD5" s="10">
        <f t="shared" si="13"/>
        <v>4505.5510593086719</v>
      </c>
      <c r="BE5" s="10">
        <f t="shared" si="14"/>
        <v>3725.0467459299416</v>
      </c>
      <c r="BF5" s="10">
        <f t="shared" ref="BF5:BF68" si="36">BD5-BE5</f>
        <v>780.50431337873033</v>
      </c>
      <c r="BG5" s="12">
        <f t="shared" si="15"/>
        <v>5761.2584052802358</v>
      </c>
      <c r="BH5" s="22">
        <f>INDEX(cpi!B:B,MATCH($L5,cpi!A:A))</f>
        <v>86.6</v>
      </c>
      <c r="BI5" s="22">
        <f t="shared" si="16"/>
        <v>102.36406619385343</v>
      </c>
      <c r="BJ5" s="22">
        <f t="shared" si="17"/>
        <v>106.3276473895915</v>
      </c>
      <c r="BK5" s="22">
        <f t="shared" si="18"/>
        <v>109.40737896360702</v>
      </c>
      <c r="BL5" s="22">
        <f t="shared" si="19"/>
        <v>107.25156686179616</v>
      </c>
      <c r="BM5" s="22">
        <f t="shared" si="20"/>
        <v>113.21424793952666</v>
      </c>
      <c r="BN5" s="22">
        <f t="shared" si="21"/>
        <v>103.84615384615384</v>
      </c>
      <c r="BO5">
        <f t="shared" si="22"/>
        <v>102.74168565819201</v>
      </c>
    </row>
    <row r="6" spans="1:67" x14ac:dyDescent="0.25">
      <c r="A6" t="s">
        <v>462</v>
      </c>
      <c r="B6" s="4">
        <f>((_xlfn.XLOOKUP(Q_end,L:L,U:U)/_xlfn.XLOOKUP(Q_start,L:L,U:U))^(1/YEARFRAC(EOMONTH(Q_start,-3)+1,EOMONTH(Q_end,0))))-1</f>
        <v>3.7497867254460804E-2</v>
      </c>
      <c r="L6" s="1">
        <f t="shared" si="33"/>
        <v>39052</v>
      </c>
      <c r="M6" s="10">
        <f t="shared" si="0"/>
        <v>86426.38396840074</v>
      </c>
      <c r="N6" s="10">
        <f t="shared" si="23"/>
        <v>61147.473375431844</v>
      </c>
      <c r="O6" s="7">
        <f t="shared" si="24"/>
        <v>1.4134089145067699</v>
      </c>
      <c r="P6" s="7">
        <f t="shared" si="1"/>
        <v>0.63266012689185258</v>
      </c>
      <c r="Q6">
        <v>4</v>
      </c>
      <c r="R6">
        <f t="shared" si="2"/>
        <v>92</v>
      </c>
      <c r="S6" s="22"/>
      <c r="T6" s="22">
        <f>IF($B$10="3BR_H",
INDEX('3BR_H-processed'!$E:$E,MATCH($L6,'3BR_H-processed'!$B:$B,0),MATCH(Council_Area,'3BR_H-processed'!$E$1:$E$1,0)),
INDEX('2BR_F-processed'!$E:$E,MATCH($L6,'2BR_F-processed'!$B:$B,0),MATCH(Council_Area,'2BR_F-processed'!$E$1:$E$1,0)))</f>
        <v>281.01895734597156</v>
      </c>
      <c r="U6" s="22">
        <f t="shared" si="25"/>
        <v>272.97985781990519</v>
      </c>
      <c r="V6" s="22">
        <f t="shared" si="34"/>
        <v>3587.7352742044682</v>
      </c>
      <c r="W6" s="22">
        <f>$B$53/4*BH6/_xlfn.XLOOKUP(Q_end,cpi!A:A,cpi!B:B)</f>
        <v>119.83413959917071</v>
      </c>
      <c r="X6" s="22">
        <f t="shared" si="26"/>
        <v>3707.5694138036388</v>
      </c>
      <c r="Y6" s="22">
        <f t="shared" si="3"/>
        <v>2152.7167907628991</v>
      </c>
      <c r="Z6" s="22">
        <f t="shared" si="27"/>
        <v>0</v>
      </c>
      <c r="AA6" s="22" cm="1">
        <f t="array" ref="AA6">(Y6+Z6)*eff_invest</f>
        <v>2152.7167907628991</v>
      </c>
      <c r="AB6" s="22">
        <f>AA6*(_xlfn.XLOOKUP(Q_end,cpi!A:A,cpi!B:B)/BH6)</f>
        <v>3592.827215956072</v>
      </c>
      <c r="AC6" s="22" cm="1">
        <f t="array" ref="AC6">INDEX('msci-indices'!C:C,MATCH($L6,'msci-indices'!$B:$B)-2)</f>
        <v>835.13401499999998</v>
      </c>
      <c r="AD6" s="22" cm="1">
        <f t="array" ref="AD6">INDEX('msci-indices'!D:D,MATCH($L6,'msci-indices'!$B:$B)-2)</f>
        <v>801.24066600000003</v>
      </c>
      <c r="AE6" s="22">
        <f t="shared" si="28"/>
        <v>79236.328985474887</v>
      </c>
      <c r="AF6" s="22" cm="1">
        <f t="array" ref="AF6">INDEX('msci-indices'!C:C,MATCH($L6,'msci-indices'!$B:$B)+1)</f>
        <v>906.58022200000005</v>
      </c>
      <c r="AG6" s="22" cm="1">
        <f t="array" ref="AG6">INDEX('msci-indices'!D:D,MATCH($L6,'msci-indices'!$B:$B)+1)</f>
        <v>885.32149100000004</v>
      </c>
      <c r="AH6" s="22">
        <f t="shared" si="4"/>
        <v>49.522705615921808</v>
      </c>
      <c r="AI6" s="22">
        <f t="shared" si="5"/>
        <v>86426.38396840074</v>
      </c>
      <c r="AJ6" s="22">
        <f t="shared" si="29"/>
        <v>71901.208427907623</v>
      </c>
      <c r="AK6" s="22">
        <f t="shared" si="6"/>
        <v>14525.175540493117</v>
      </c>
      <c r="AL6" s="22">
        <f>AJ6*(_xlfn.XLOOKUP(Q_end,cpi!A:A,cpi!B:B)/BH6)</f>
        <v>120001.20945234408</v>
      </c>
      <c r="AM6" s="22" cm="1">
        <f t="array" ref="AM6">SUMPRODUCT($AA$3:AA6,_xlfn.SORTBY($BH$3:BH6,_xlfn.SEQUENCE(ROWS($BH$3:BH6)),-1)/$BH$3)</f>
        <v>73610.808906618127</v>
      </c>
      <c r="AN6" s="22">
        <f t="shared" si="30"/>
        <v>12815.575061782612</v>
      </c>
      <c r="AO6" s="22">
        <f t="shared" si="7"/>
        <v>0</v>
      </c>
      <c r="AP6" s="22">
        <f t="shared" si="31"/>
        <v>86426.38396840074</v>
      </c>
      <c r="AQ6" s="22"/>
      <c r="AR6" s="10">
        <f>IF($B$10="3BR_H",
INDEX('ns-combined'!$C:$D,MATCH($L6,'ns-combined'!$B:$B,0),MATCH(Council_Area,'ns-combined'!$C$1:$D$1,0))*1000,
INDEX('s-combined'!$C:$D,MATCH($L6,'s-combined'!$B:$B,0),MATCH(Council_Area,'s-combined'!$C$1:$D$1,0))*1000)</f>
        <v>278000</v>
      </c>
      <c r="AS6" s="22">
        <f t="shared" si="35"/>
        <v>2600</v>
      </c>
      <c r="AT6" s="10">
        <v>0</v>
      </c>
      <c r="AU6" s="22">
        <f t="shared" si="8"/>
        <v>5560</v>
      </c>
      <c r="AV6" s="22">
        <f t="shared" si="9"/>
        <v>799.25</v>
      </c>
      <c r="AW6" s="22">
        <f>SUM($AV$3:AV6)</f>
        <v>3099.25</v>
      </c>
      <c r="AX6" s="22">
        <f t="shared" si="32"/>
        <v>266740.75</v>
      </c>
      <c r="AY6" s="22">
        <f t="shared" si="10"/>
        <v>1255.7073459715639</v>
      </c>
      <c r="AZ6" s="24">
        <f t="shared" si="11"/>
        <v>1.8067731596713148E-2</v>
      </c>
      <c r="BA6" s="24">
        <f t="shared" si="12"/>
        <v>0.35000000000000003</v>
      </c>
      <c r="BB6" s="25">
        <f>IF(MortgageRate="Discounted",_xlfn.XLOOKUP(L6,'mortgage-rates'!$A:$A,'mortgage-rates'!$E:$E)/100,_xlfn.XLOOKUP(L6,'mortgage-rates'!$A:$A,'mortgage-rates'!$D:$D)/100)</f>
        <v>7.4700000000000003E-2</v>
      </c>
      <c r="BC6" s="10">
        <f t="shared" ref="BC6:BC35" si="37">BC5-BF5</f>
        <v>205593.27662456816</v>
      </c>
      <c r="BD6" s="10">
        <f t="shared" si="13"/>
        <v>4604.578858594974</v>
      </c>
      <c r="BE6" s="10">
        <f t="shared" si="14"/>
        <v>3839.4544409638106</v>
      </c>
      <c r="BF6" s="10">
        <f t="shared" si="36"/>
        <v>765.1244176311634</v>
      </c>
      <c r="BG6" s="12">
        <f t="shared" si="15"/>
        <v>5860.2862045665379</v>
      </c>
      <c r="BH6" s="22">
        <f>INDEX(cpi!B:B,MATCH($L6,cpi!A:A))</f>
        <v>86.7</v>
      </c>
      <c r="BI6" s="22">
        <f t="shared" si="16"/>
        <v>102.48226950354611</v>
      </c>
      <c r="BJ6" s="22">
        <f t="shared" si="17"/>
        <v>110.63141762349176</v>
      </c>
      <c r="BK6" s="22">
        <f t="shared" si="18"/>
        <v>112.38286632194978</v>
      </c>
      <c r="BL6" s="22">
        <f t="shared" si="19"/>
        <v>111.15685223302917</v>
      </c>
      <c r="BM6" s="22">
        <f t="shared" si="20"/>
        <v>120.55009804499498</v>
      </c>
      <c r="BN6" s="22">
        <f t="shared" si="21"/>
        <v>106.92307692307692</v>
      </c>
      <c r="BO6">
        <f t="shared" si="22"/>
        <v>105.26366156608557</v>
      </c>
    </row>
    <row r="7" spans="1:67" x14ac:dyDescent="0.25">
      <c r="A7" t="s">
        <v>486</v>
      </c>
      <c r="B7" s="4">
        <f>((_xlfn.XLOOKUP(Q_end,L:L,BL:BL)/_xlfn.XLOOKUP(Q_start,L:L,BL:BL))^(1/YEARFRAC(EOMONTH(Q_start,-3)+1,EOMONTH(Q_end,0))))-1</f>
        <v>8.0631421747286103E-2</v>
      </c>
      <c r="L7" s="1">
        <f t="shared" si="33"/>
        <v>39142</v>
      </c>
      <c r="M7" s="10">
        <f t="shared" si="0"/>
        <v>92021.130486862327</v>
      </c>
      <c r="N7" s="10">
        <f t="shared" si="23"/>
        <v>62417.597793063003</v>
      </c>
      <c r="O7" s="7">
        <f t="shared" si="24"/>
        <v>1.4742818330168006</v>
      </c>
      <c r="P7" s="7">
        <f t="shared" si="1"/>
        <v>0.64668774939007079</v>
      </c>
      <c r="Q7">
        <v>5</v>
      </c>
      <c r="R7">
        <f t="shared" si="2"/>
        <v>90</v>
      </c>
      <c r="S7" s="22"/>
      <c r="T7" s="22">
        <f>IF($B$10="3BR_H",
INDEX('3BR_H-processed'!$E:$E,MATCH($L7,'3BR_H-processed'!$B:$B,0),MATCH(Council_Area,'3BR_H-processed'!$E$1:$E$1,0)),
INDEX('2BR_F-processed'!$E:$E,MATCH($L7,'2BR_F-processed'!$B:$B,0),MATCH(Council_Area,'2BR_F-processed'!$E$1:$E$1,0)))</f>
        <v>287.31042654028437</v>
      </c>
      <c r="U7" s="22">
        <f>IF(MOD(Q7,4)=1,T7,U6)</f>
        <v>287.31042654028437</v>
      </c>
      <c r="V7" s="22">
        <f t="shared" si="34"/>
        <v>3693.9911983750849</v>
      </c>
      <c r="W7" s="22">
        <f>$B$53/4*BH7/_xlfn.XLOOKUP(Q_end,cpi!A:A,cpi!B:B)</f>
        <v>119.83413959917071</v>
      </c>
      <c r="X7" s="22">
        <f t="shared" si="26"/>
        <v>3813.8253379742555</v>
      </c>
      <c r="Y7" s="22">
        <f t="shared" si="3"/>
        <v>2083.6504400519998</v>
      </c>
      <c r="Z7" s="22">
        <f t="shared" si="27"/>
        <v>0</v>
      </c>
      <c r="AA7" s="22" cm="1">
        <f t="array" ref="AA7">(Y7+Z7)*eff_invest</f>
        <v>2083.6504400519998</v>
      </c>
      <c r="AB7" s="22">
        <f>AA7*(_xlfn.XLOOKUP(Q_end,cpi!A:A,cpi!B:B)/BH7)</f>
        <v>3477.5573088295769</v>
      </c>
      <c r="AC7" s="22" cm="1">
        <f t="array" ref="AC7">INDEX('msci-indices'!C:C,MATCH($L7,'msci-indices'!$B:$B)-2)</f>
        <v>906.58022200000005</v>
      </c>
      <c r="AD7" s="22" cm="1">
        <f t="array" ref="AD7">INDEX('msci-indices'!D:D,MATCH($L7,'msci-indices'!$B:$B)-2)</f>
        <v>885.32149100000004</v>
      </c>
      <c r="AE7" s="22">
        <f t="shared" si="28"/>
        <v>88510.034408452746</v>
      </c>
      <c r="AF7" s="22" cm="1">
        <f t="array" ref="AF7">INDEX('msci-indices'!C:C,MATCH($L7,'msci-indices'!$B:$B)+1)</f>
        <v>932.09759399999996</v>
      </c>
      <c r="AG7" s="22" cm="1">
        <f t="array" ref="AG7">INDEX('msci-indices'!D:D,MATCH($L7,'msci-indices'!$B:$B)+1)</f>
        <v>946.08734200000004</v>
      </c>
      <c r="AH7" s="22">
        <f t="shared" si="4"/>
        <v>55.318771505282967</v>
      </c>
      <c r="AI7" s="22">
        <f t="shared" si="5"/>
        <v>92021.130486862327</v>
      </c>
      <c r="AJ7" s="22">
        <f t="shared" si="29"/>
        <v>73984.858867959629</v>
      </c>
      <c r="AK7" s="22">
        <f t="shared" si="6"/>
        <v>18036.271618902698</v>
      </c>
      <c r="AL7" s="22">
        <f>AJ7*(_xlfn.XLOOKUP(Q_end,cpi!A:A,cpi!B:B)/BH7)</f>
        <v>123478.76676117367</v>
      </c>
      <c r="AM7" s="22" cm="1">
        <f t="array" ref="AM7">SUMPRODUCT($AA$3:AA7,_xlfn.SORTBY($BH$3:BH7,_xlfn.SEQUENCE(ROWS($BH$3:BH7)),-1)/$BH$3)</f>
        <v>75746.856285750968</v>
      </c>
      <c r="AN7" s="22">
        <f t="shared" si="30"/>
        <v>16274.274201111359</v>
      </c>
      <c r="AO7" s="22">
        <f t="shared" si="7"/>
        <v>0</v>
      </c>
      <c r="AP7" s="22">
        <f t="shared" si="31"/>
        <v>92021.130486862327</v>
      </c>
      <c r="AQ7" s="22"/>
      <c r="AR7" s="10">
        <f>IF($B$10="3BR_H",
INDEX('ns-combined'!$C:$D,MATCH($L7,'ns-combined'!$B:$B,0),MATCH(Council_Area,'ns-combined'!$C$1:$D$1,0))*1000,
INDEX('s-combined'!$C:$D,MATCH($L7,'s-combined'!$B:$B,0),MATCH(Council_Area,'s-combined'!$C$1:$D$1,0))*1000)</f>
        <v>280000</v>
      </c>
      <c r="AS7" s="22">
        <f t="shared" si="35"/>
        <v>3250</v>
      </c>
      <c r="AT7" s="10">
        <v>0</v>
      </c>
      <c r="AU7" s="22">
        <f t="shared" si="8"/>
        <v>5600</v>
      </c>
      <c r="AV7" s="22">
        <f t="shared" si="9"/>
        <v>805</v>
      </c>
      <c r="AW7" s="22">
        <f>SUM($AV$3:AV7)</f>
        <v>3904.25</v>
      </c>
      <c r="AX7" s="22">
        <f t="shared" si="32"/>
        <v>267245.75</v>
      </c>
      <c r="AY7" s="22">
        <f t="shared" si="10"/>
        <v>1292.8969194312799</v>
      </c>
      <c r="AZ7" s="24">
        <f t="shared" si="11"/>
        <v>1.8469955991875429E-2</v>
      </c>
      <c r="BA7" s="24">
        <f t="shared" si="12"/>
        <v>0.35000000000000003</v>
      </c>
      <c r="BB7" s="25">
        <f>IF(MortgageRate="Discounted",_xlfn.XLOOKUP(L7,'mortgage-rates'!$A:$A,'mortgage-rates'!$E:$E)/100,_xlfn.XLOOKUP(L7,'mortgage-rates'!$A:$A,'mortgage-rates'!$D:$D)/100)</f>
        <v>7.4700000000000003E-2</v>
      </c>
      <c r="BC7" s="10">
        <f t="shared" si="37"/>
        <v>204828.152206937</v>
      </c>
      <c r="BD7" s="10">
        <f t="shared" si="13"/>
        <v>4604.5788585949749</v>
      </c>
      <c r="BE7" s="10">
        <f t="shared" si="14"/>
        <v>3825.1657424645487</v>
      </c>
      <c r="BF7" s="10">
        <f t="shared" si="36"/>
        <v>779.41311613042626</v>
      </c>
      <c r="BG7" s="12">
        <f t="shared" si="15"/>
        <v>5897.4757780262553</v>
      </c>
      <c r="BH7" s="22">
        <f>INDEX(cpi!B:B,MATCH($L7,cpi!A:A))</f>
        <v>86.7</v>
      </c>
      <c r="BI7" s="22">
        <f t="shared" si="16"/>
        <v>102.48226950354611</v>
      </c>
      <c r="BJ7" s="22">
        <f t="shared" si="17"/>
        <v>120.09600057935597</v>
      </c>
      <c r="BK7" s="22">
        <f t="shared" si="18"/>
        <v>124.17613208738743</v>
      </c>
      <c r="BL7" s="22">
        <f t="shared" si="19"/>
        <v>121.32004003176542</v>
      </c>
      <c r="BM7" s="22">
        <f t="shared" si="20"/>
        <v>134.65910728727471</v>
      </c>
      <c r="BN7" s="22">
        <f t="shared" si="21"/>
        <v>107.69230769230769</v>
      </c>
      <c r="BO7">
        <f t="shared" si="22"/>
        <v>105.46294926056373</v>
      </c>
    </row>
    <row r="8" spans="1:67" x14ac:dyDescent="0.25">
      <c r="A8" t="s">
        <v>487</v>
      </c>
      <c r="B8" s="4">
        <f>((_xlfn.XLOOKUP(Q_end,L:L,BI:BI)/_xlfn.XLOOKUP(Q_start,L:L,BI:BI))^(1/YEARFRAC(EOMONTH(Q_start,-3)+1,EOMONTH(Q_end,0))))-1</f>
        <v>2.7199757989349482E-2</v>
      </c>
      <c r="L8" s="1">
        <f t="shared" si="33"/>
        <v>39234</v>
      </c>
      <c r="M8" s="10">
        <f t="shared" si="0"/>
        <v>99866.920133956868</v>
      </c>
      <c r="N8" s="10">
        <f t="shared" si="23"/>
        <v>72978.948409193428</v>
      </c>
      <c r="O8" s="7">
        <f t="shared" si="24"/>
        <v>1.3684346282163784</v>
      </c>
      <c r="P8" s="7">
        <f t="shared" si="1"/>
        <v>0.65229285756565147</v>
      </c>
      <c r="Q8">
        <v>6</v>
      </c>
      <c r="R8">
        <f t="shared" si="2"/>
        <v>91</v>
      </c>
      <c r="S8" s="22"/>
      <c r="T8" s="22">
        <f>IF($B$10="3BR_H",
INDEX('3BR_H-processed'!$E:$E,MATCH($L8,'3BR_H-processed'!$B:$B,0),MATCH(Council_Area,'3BR_H-processed'!$E$1:$E$1,0)),
INDEX('2BR_F-processed'!$E:$E,MATCH($L8,'2BR_F-processed'!$B:$B,0),MATCH(Council_Area,'2BR_F-processed'!$E$1:$E$1,0)))</f>
        <v>291.50473933649289</v>
      </c>
      <c r="U8" s="22">
        <f t="shared" si="25"/>
        <v>287.31042654028437</v>
      </c>
      <c r="V8" s="22">
        <f t="shared" si="34"/>
        <v>3735.0355450236966</v>
      </c>
      <c r="W8" s="22">
        <f>$B$53/4*BH8/_xlfn.XLOOKUP(Q_end,cpi!A:A,cpi!B:B)</f>
        <v>121.21630960608155</v>
      </c>
      <c r="X8" s="22">
        <f t="shared" si="26"/>
        <v>3856.2518546297783</v>
      </c>
      <c r="Y8" s="22">
        <f t="shared" si="3"/>
        <v>2055.5894447234909</v>
      </c>
      <c r="Z8" s="22">
        <f t="shared" si="27"/>
        <v>0</v>
      </c>
      <c r="AA8" s="22" cm="1">
        <f t="array" ref="AA8">(Y8+Z8)*eff_invest</f>
        <v>2055.5894447234909</v>
      </c>
      <c r="AB8" s="22">
        <f>AA8*(_xlfn.XLOOKUP(Q_end,cpi!A:A,cpi!B:B)/BH8)</f>
        <v>3391.6053894126467</v>
      </c>
      <c r="AC8" s="22" cm="1">
        <f t="array" ref="AC8">INDEX('msci-indices'!C:C,MATCH($L8,'msci-indices'!$B:$B)-2)</f>
        <v>932.09759399999996</v>
      </c>
      <c r="AD8" s="22" cm="1">
        <f t="array" ref="AD8">INDEX('msci-indices'!D:D,MATCH($L8,'msci-indices'!$B:$B)-2)</f>
        <v>946.08734200000004</v>
      </c>
      <c r="AE8" s="22">
        <f t="shared" si="28"/>
        <v>94076.719931585816</v>
      </c>
      <c r="AF8" s="22" cm="1">
        <f t="array" ref="AF8">INDEX('msci-indices'!C:C,MATCH($L8,'msci-indices'!$B:$B)+1)</f>
        <v>991.70582300000001</v>
      </c>
      <c r="AG8" s="22" cm="1">
        <f t="array" ref="AG8">INDEX('msci-indices'!D:D,MATCH($L8,'msci-indices'!$B:$B)+1)</f>
        <v>1000.983113</v>
      </c>
      <c r="AH8" s="22">
        <f t="shared" si="4"/>
        <v>58.797949957241137</v>
      </c>
      <c r="AI8" s="22">
        <f t="shared" si="5"/>
        <v>99866.920133956868</v>
      </c>
      <c r="AJ8" s="22">
        <f t="shared" si="29"/>
        <v>76040.448312683118</v>
      </c>
      <c r="AK8" s="22">
        <f t="shared" si="6"/>
        <v>23826.47182127375</v>
      </c>
      <c r="AL8" s="22">
        <f>AJ8*(_xlfn.XLOOKUP(Q_end,cpi!A:A,cpi!B:B)/BH8)</f>
        <v>125462.40445661626</v>
      </c>
      <c r="AM8" s="22" cm="1">
        <f t="array" ref="AM8">SUMPRODUCT($AA$3:AA8,_xlfn.SORTBY($BH$3:BH8,_xlfn.SEQUENCE(ROWS($BH$3:BH8)),-1)/$BH$3)</f>
        <v>78631.641862294535</v>
      </c>
      <c r="AN8" s="22">
        <f t="shared" si="30"/>
        <v>21235.278271662333</v>
      </c>
      <c r="AO8" s="22">
        <f t="shared" si="7"/>
        <v>0</v>
      </c>
      <c r="AP8" s="22">
        <f t="shared" si="31"/>
        <v>99866.920133956868</v>
      </c>
      <c r="AQ8" s="22"/>
      <c r="AR8" s="10">
        <f>IF($B$10="3BR_H",
INDEX('ns-combined'!$C:$D,MATCH($L8,'ns-combined'!$B:$B,0),MATCH(Council_Area,'ns-combined'!$C$1:$D$1,0))*1000,
INDEX('s-combined'!$C:$D,MATCH($L8,'s-combined'!$B:$B,0),MATCH(Council_Area,'s-combined'!$C$1:$D$1,0))*1000)</f>
        <v>291500</v>
      </c>
      <c r="AS8" s="22">
        <f t="shared" si="35"/>
        <v>3900</v>
      </c>
      <c r="AT8" s="10">
        <v>0</v>
      </c>
      <c r="AU8" s="22">
        <f t="shared" si="8"/>
        <v>5830</v>
      </c>
      <c r="AV8" s="22">
        <f t="shared" si="9"/>
        <v>838.0625</v>
      </c>
      <c r="AW8" s="22">
        <f>SUM($AV$3:AV8)</f>
        <v>4742.3125</v>
      </c>
      <c r="AX8" s="22">
        <f t="shared" si="32"/>
        <v>277027.6875</v>
      </c>
      <c r="AY8" s="22">
        <f t="shared" si="10"/>
        <v>1307.2624407582939</v>
      </c>
      <c r="AZ8" s="24">
        <f t="shared" si="11"/>
        <v>1.7938421142480877E-2</v>
      </c>
      <c r="BA8" s="24">
        <f t="shared" si="12"/>
        <v>0.35000000000000003</v>
      </c>
      <c r="BB8" s="25">
        <f>IF(MortgageRate="Discounted",_xlfn.XLOOKUP(L8,'mortgage-rates'!$A:$A,'mortgage-rates'!$E:$E)/100,_xlfn.XLOOKUP(L8,'mortgage-rates'!$A:$A,'mortgage-rates'!$D:$D)/100)</f>
        <v>7.4700000000000003E-2</v>
      </c>
      <c r="BC8" s="10">
        <f t="shared" si="37"/>
        <v>204048.73909080657</v>
      </c>
      <c r="BD8" s="10">
        <f t="shared" si="13"/>
        <v>4604.5788585949749</v>
      </c>
      <c r="BE8" s="10">
        <f t="shared" si="14"/>
        <v>3810.6102025208129</v>
      </c>
      <c r="BF8" s="10">
        <f t="shared" si="36"/>
        <v>793.96865607416203</v>
      </c>
      <c r="BG8" s="12">
        <f t="shared" si="15"/>
        <v>5911.8412993532693</v>
      </c>
      <c r="BH8" s="22">
        <f>INDEX(cpi!B:B,MATCH($L8,cpi!A:A))</f>
        <v>87.7</v>
      </c>
      <c r="BI8" s="22">
        <f t="shared" si="16"/>
        <v>103.66430260047282</v>
      </c>
      <c r="BJ8" s="22">
        <f t="shared" si="17"/>
        <v>123.47632396180853</v>
      </c>
      <c r="BK8" s="22">
        <f t="shared" si="18"/>
        <v>132.69921485097811</v>
      </c>
      <c r="BL8" s="22">
        <f t="shared" si="19"/>
        <v>126.2431912285594</v>
      </c>
      <c r="BM8" s="22">
        <f t="shared" si="20"/>
        <v>143.12825892758303</v>
      </c>
      <c r="BN8" s="22">
        <f t="shared" si="21"/>
        <v>112.11538461538461</v>
      </c>
      <c r="BO8">
        <f t="shared" si="22"/>
        <v>109.32318643265161</v>
      </c>
    </row>
    <row r="9" spans="1:67" x14ac:dyDescent="0.25">
      <c r="L9" s="1">
        <f t="shared" si="33"/>
        <v>39326</v>
      </c>
      <c r="M9" s="10">
        <f t="shared" si="0"/>
        <v>105073.68696260446</v>
      </c>
      <c r="N9" s="10">
        <f t="shared" si="23"/>
        <v>65933.542065267597</v>
      </c>
      <c r="O9" s="7">
        <f t="shared" si="24"/>
        <v>1.5936302475391364</v>
      </c>
      <c r="P9" s="7">
        <f t="shared" si="1"/>
        <v>0.64705775843742319</v>
      </c>
      <c r="Q9">
        <v>7</v>
      </c>
      <c r="R9">
        <f t="shared" si="2"/>
        <v>92</v>
      </c>
      <c r="S9" s="22"/>
      <c r="T9" s="22">
        <f>IF($B$10="3BR_H",
INDEX('3BR_H-processed'!$E:$E,MATCH($L9,'3BR_H-processed'!$B:$B,0),MATCH(Council_Area,'3BR_H-processed'!$E$1:$E$1,0)),
INDEX('2BR_F-processed'!$E:$E,MATCH($L9,'2BR_F-processed'!$B:$B,0),MATCH(Council_Area,'2BR_F-processed'!$E$1:$E$1,0)))</f>
        <v>295</v>
      </c>
      <c r="U9" s="22">
        <f t="shared" si="25"/>
        <v>287.31042654028437</v>
      </c>
      <c r="V9" s="22">
        <f t="shared" si="34"/>
        <v>3776.0798916723093</v>
      </c>
      <c r="W9" s="22">
        <f>$B$53/4*BH9/_xlfn.XLOOKUP(Q_end,cpi!A:A,cpi!B:B)</f>
        <v>121.90739460953698</v>
      </c>
      <c r="X9" s="22">
        <f t="shared" si="26"/>
        <v>3897.9872862818461</v>
      </c>
      <c r="Y9" s="22">
        <f t="shared" si="3"/>
        <v>2126.1847995224839</v>
      </c>
      <c r="Z9" s="22">
        <f t="shared" si="27"/>
        <v>0</v>
      </c>
      <c r="AA9" s="22" cm="1">
        <f t="array" ref="AA9">(Y9+Z9)*eff_invest</f>
        <v>2126.1847995224839</v>
      </c>
      <c r="AB9" s="22">
        <f>AA9*(_xlfn.XLOOKUP(Q_end,cpi!A:A,cpi!B:B)/BH9)</f>
        <v>3488.1966042052536</v>
      </c>
      <c r="AC9" s="22" cm="1">
        <f t="array" ref="AC9">INDEX('msci-indices'!C:C,MATCH($L9,'msci-indices'!$B:$B)-2)</f>
        <v>991.70582300000001</v>
      </c>
      <c r="AD9" s="22" cm="1">
        <f t="array" ref="AD9">INDEX('msci-indices'!D:D,MATCH($L9,'msci-indices'!$B:$B)-2)</f>
        <v>1000.983113</v>
      </c>
      <c r="AE9" s="22">
        <f t="shared" si="28"/>
        <v>101993.10493347935</v>
      </c>
      <c r="AF9" s="22" cm="1">
        <f t="array" ref="AF9">INDEX('msci-indices'!C:C,MATCH($L9,'msci-indices'!$B:$B)+1)</f>
        <v>1009.870131</v>
      </c>
      <c r="AG9" s="22" cm="1">
        <f t="array" ref="AG9">INDEX('msci-indices'!D:D,MATCH($L9,'msci-indices'!$B:$B)+1)</f>
        <v>1061.067018</v>
      </c>
      <c r="AH9" s="22">
        <f t="shared" si="4"/>
        <v>63.745690583424597</v>
      </c>
      <c r="AI9" s="22">
        <f t="shared" si="5"/>
        <v>105073.68696260446</v>
      </c>
      <c r="AJ9" s="22">
        <f t="shared" si="29"/>
        <v>78166.6331122056</v>
      </c>
      <c r="AK9" s="22">
        <f t="shared" si="6"/>
        <v>26907.053850398865</v>
      </c>
      <c r="AL9" s="22">
        <f>AJ9*(_xlfn.XLOOKUP(Q_end,cpi!A:A,cpi!B:B)/BH9)</f>
        <v>128239.36294031914</v>
      </c>
      <c r="AM9" s="22" cm="1">
        <f t="array" ref="AM9">SUMPRODUCT($AA$3:AA9,_xlfn.SORTBY($BH$3:BH9,_xlfn.SEQUENCE(ROWS($BH$3:BH9)),-1)/$BH$3)</f>
        <v>81220.903214312944</v>
      </c>
      <c r="AN9" s="22">
        <f t="shared" si="30"/>
        <v>23852.78374829152</v>
      </c>
      <c r="AO9" s="22">
        <f t="shared" si="7"/>
        <v>0</v>
      </c>
      <c r="AP9" s="22">
        <f t="shared" si="31"/>
        <v>105073.68696260446</v>
      </c>
      <c r="AQ9" s="22"/>
      <c r="AR9" s="10">
        <f>IF($B$10="3BR_H",
INDEX('ns-combined'!$C:$D,MATCH($L9,'ns-combined'!$B:$B,0),MATCH(Council_Area,'ns-combined'!$C$1:$D$1,0))*1000,
INDEX('s-combined'!$C:$D,MATCH($L9,'s-combined'!$B:$B,0),MATCH(Council_Area,'s-combined'!$C$1:$D$1,0))*1000)</f>
        <v>285000</v>
      </c>
      <c r="AS9" s="22">
        <f t="shared" si="35"/>
        <v>4550</v>
      </c>
      <c r="AT9" s="10">
        <v>0</v>
      </c>
      <c r="AU9" s="22">
        <f t="shared" si="8"/>
        <v>5700</v>
      </c>
      <c r="AV9" s="22">
        <f t="shared" si="9"/>
        <v>819.375</v>
      </c>
      <c r="AW9" s="22">
        <f>SUM($AV$3:AV9)</f>
        <v>5561.6875</v>
      </c>
      <c r="AX9" s="22">
        <f t="shared" si="32"/>
        <v>269188.3125</v>
      </c>
      <c r="AY9" s="22">
        <f t="shared" si="10"/>
        <v>1321.6279620853084</v>
      </c>
      <c r="AZ9" s="24">
        <f t="shared" si="11"/>
        <v>1.854916438014468E-2</v>
      </c>
      <c r="BA9" s="24">
        <f t="shared" si="12"/>
        <v>0.35000000000000003</v>
      </c>
      <c r="BB9" s="25">
        <f>IF(MortgageRate="Discounted",_xlfn.XLOOKUP(L9,'mortgage-rates'!$A:$A,'mortgage-rates'!$E:$E)/100,_xlfn.XLOOKUP(L9,'mortgage-rates'!$A:$A,'mortgage-rates'!$D:$D)/100)</f>
        <v>7.7199999999999991E-2</v>
      </c>
      <c r="BC9" s="10">
        <f t="shared" si="37"/>
        <v>203254.7704347324</v>
      </c>
      <c r="BD9" s="10">
        <f t="shared" si="13"/>
        <v>4702.5441237190216</v>
      </c>
      <c r="BE9" s="10">
        <f t="shared" si="14"/>
        <v>3922.8170693903348</v>
      </c>
      <c r="BF9" s="10">
        <f t="shared" si="36"/>
        <v>779.72705432868679</v>
      </c>
      <c r="BG9" s="12">
        <f t="shared" si="15"/>
        <v>6024.17208580433</v>
      </c>
      <c r="BH9" s="22">
        <f>INDEX(cpi!B:B,MATCH($L9,cpi!A:A))</f>
        <v>88.2</v>
      </c>
      <c r="BI9" s="22">
        <f t="shared" si="16"/>
        <v>104.25531914893618</v>
      </c>
      <c r="BJ9" s="22">
        <f t="shared" si="17"/>
        <v>131.37271275432553</v>
      </c>
      <c r="BK9" s="22">
        <f t="shared" si="18"/>
        <v>140.39895396273877</v>
      </c>
      <c r="BL9" s="22">
        <f t="shared" si="19"/>
        <v>134.08058511684951</v>
      </c>
      <c r="BM9" s="22">
        <f t="shared" si="20"/>
        <v>155.17224178694966</v>
      </c>
      <c r="BN9" s="22">
        <f t="shared" si="21"/>
        <v>109.61538461538461</v>
      </c>
      <c r="BO9">
        <f t="shared" si="22"/>
        <v>106.22954094770178</v>
      </c>
    </row>
    <row r="10" spans="1:67" x14ac:dyDescent="0.25">
      <c r="A10" t="s">
        <v>327</v>
      </c>
      <c r="B10" t="s">
        <v>464</v>
      </c>
      <c r="C10" t="s">
        <v>464</v>
      </c>
      <c r="L10" s="1">
        <f t="shared" si="33"/>
        <v>39417</v>
      </c>
      <c r="M10" s="10">
        <f t="shared" si="0"/>
        <v>104329.68569644923</v>
      </c>
      <c r="N10" s="10">
        <f t="shared" si="23"/>
        <v>89672.019119596283</v>
      </c>
      <c r="O10" s="7">
        <f t="shared" si="24"/>
        <v>1.1634586431839335</v>
      </c>
      <c r="P10" s="7">
        <f t="shared" si="1"/>
        <v>0.63692963120431489</v>
      </c>
      <c r="Q10">
        <v>8</v>
      </c>
      <c r="R10">
        <f t="shared" si="2"/>
        <v>92</v>
      </c>
      <c r="S10" s="22"/>
      <c r="T10" s="22">
        <f>IF($B$10="3BR_H",
INDEX('3BR_H-processed'!$E:$E,MATCH($L10,'3BR_H-processed'!$B:$B,0),MATCH(Council_Area,'3BR_H-processed'!$E$1:$E$1,0)),
INDEX('2BR_F-processed'!$E:$E,MATCH($L10,'2BR_F-processed'!$B:$B,0),MATCH(Council_Area,'2BR_F-processed'!$E$1:$E$1,0)))</f>
        <v>295</v>
      </c>
      <c r="U10" s="22">
        <f t="shared" si="25"/>
        <v>287.31042654028437</v>
      </c>
      <c r="V10" s="22">
        <f t="shared" si="34"/>
        <v>3776.0798916723093</v>
      </c>
      <c r="W10" s="22">
        <f>$B$53/4*BH10/_xlfn.XLOOKUP(Q_end,cpi!A:A,cpi!B:B)</f>
        <v>123.42778161713892</v>
      </c>
      <c r="X10" s="22">
        <f t="shared" si="26"/>
        <v>3899.5076732894481</v>
      </c>
      <c r="Y10" s="22">
        <f t="shared" si="3"/>
        <v>2222.844753486816</v>
      </c>
      <c r="Z10" s="22">
        <f t="shared" si="27"/>
        <v>0</v>
      </c>
      <c r="AA10" s="22" cm="1">
        <f t="array" ref="AA10">(Y10+Z10)*eff_invest</f>
        <v>2222.844753486816</v>
      </c>
      <c r="AB10" s="22">
        <f>AA10*(_xlfn.XLOOKUP(Q_end,cpi!A:A,cpi!B:B)/BH10)</f>
        <v>3601.8548245189504</v>
      </c>
      <c r="AC10" s="22" cm="1">
        <f t="array" ref="AC10">INDEX('msci-indices'!C:C,MATCH($L10,'msci-indices'!$B:$B)-2)</f>
        <v>1009.870131</v>
      </c>
      <c r="AD10" s="22" cm="1">
        <f t="array" ref="AD10">INDEX('msci-indices'!D:D,MATCH($L10,'msci-indices'!$B:$B)-2)</f>
        <v>1061.067018</v>
      </c>
      <c r="AE10" s="22">
        <f t="shared" si="28"/>
        <v>107296.53171609128</v>
      </c>
      <c r="AF10" s="22" cm="1">
        <f t="array" ref="AF10">INDEX('msci-indices'!C:C,MATCH($L10,'msci-indices'!$B:$B)+1)</f>
        <v>983.50383399999998</v>
      </c>
      <c r="AG10" s="22" cm="1">
        <f t="array" ref="AG10">INDEX('msci-indices'!D:D,MATCH($L10,'msci-indices'!$B:$B)+1)</f>
        <v>1030.119647</v>
      </c>
      <c r="AH10" s="22">
        <f t="shared" si="4"/>
        <v>67.060332322557059</v>
      </c>
      <c r="AI10" s="22">
        <f t="shared" si="5"/>
        <v>104329.68569644923</v>
      </c>
      <c r="AJ10" s="22">
        <f t="shared" si="29"/>
        <v>80389.477865692417</v>
      </c>
      <c r="AK10" s="22">
        <f t="shared" si="6"/>
        <v>23940.207830756815</v>
      </c>
      <c r="AL10" s="22">
        <f>AJ10*(_xlfn.XLOOKUP(Q_end,cpi!A:A,cpi!B:B)/BH10)</f>
        <v>130261.56155840641</v>
      </c>
      <c r="AM10" s="22" cm="1">
        <f t="array" ref="AM10">SUMPRODUCT($AA$3:AA10,_xlfn.SORTBY($BH$3:BH10,_xlfn.SEQUENCE(ROWS($BH$3:BH10)),-1)/$BH$3)</f>
        <v>84386.417647951312</v>
      </c>
      <c r="AN10" s="22">
        <f t="shared" si="30"/>
        <v>19943.268048497921</v>
      </c>
      <c r="AO10" s="22">
        <f t="shared" si="7"/>
        <v>0</v>
      </c>
      <c r="AP10" s="22">
        <f t="shared" si="31"/>
        <v>104329.68569644923</v>
      </c>
      <c r="AQ10" s="22"/>
      <c r="AR10" s="10">
        <f>IF($B$10="3BR_H",
INDEX('ns-combined'!$C:$D,MATCH($L10,'ns-combined'!$B:$B,0),MATCH(Council_Area,'ns-combined'!$C$1:$D$1,0))*1000,
INDEX('s-combined'!$C:$D,MATCH($L10,'s-combined'!$B:$B,0),MATCH(Council_Area,'s-combined'!$C$1:$D$1,0))*1000)</f>
        <v>310000</v>
      </c>
      <c r="AS10" s="22">
        <f t="shared" si="35"/>
        <v>5200</v>
      </c>
      <c r="AT10" s="10">
        <v>0</v>
      </c>
      <c r="AU10" s="22">
        <f t="shared" si="8"/>
        <v>6200</v>
      </c>
      <c r="AV10" s="22">
        <f t="shared" si="9"/>
        <v>891.25</v>
      </c>
      <c r="AW10" s="22">
        <f>SUM($AV$3:AV10)</f>
        <v>6452.9375</v>
      </c>
      <c r="AX10" s="22">
        <f t="shared" si="32"/>
        <v>292147.0625</v>
      </c>
      <c r="AY10" s="22">
        <f t="shared" si="10"/>
        <v>1321.6279620853084</v>
      </c>
      <c r="AZ10" s="24">
        <f t="shared" si="11"/>
        <v>1.7053264026907204E-2</v>
      </c>
      <c r="BA10" s="24">
        <f t="shared" si="12"/>
        <v>0.35000000000000003</v>
      </c>
      <c r="BB10" s="25">
        <f>IF(MortgageRate="Discounted",_xlfn.XLOOKUP(L10,'mortgage-rates'!$A:$A,'mortgage-rates'!$E:$E)/100,_xlfn.XLOOKUP(L10,'mortgage-rates'!$A:$A,'mortgage-rates'!$D:$D)/100)</f>
        <v>7.9699999999999993E-2</v>
      </c>
      <c r="BC10" s="10">
        <f t="shared" si="37"/>
        <v>202475.04338040372</v>
      </c>
      <c r="BD10" s="10">
        <f t="shared" si="13"/>
        <v>4800.7244646909558</v>
      </c>
      <c r="BE10" s="10">
        <f t="shared" si="14"/>
        <v>4034.3152393545438</v>
      </c>
      <c r="BF10" s="10">
        <f t="shared" si="36"/>
        <v>766.40922533641196</v>
      </c>
      <c r="BG10" s="12">
        <f t="shared" si="15"/>
        <v>6122.3524267762641</v>
      </c>
      <c r="BH10" s="22">
        <f>INDEX(cpi!B:B,MATCH($L10,cpi!A:A))</f>
        <v>89.3</v>
      </c>
      <c r="BI10" s="22">
        <f t="shared" si="16"/>
        <v>105.55555555555556</v>
      </c>
      <c r="BJ10" s="22">
        <f t="shared" si="17"/>
        <v>133.77896505407139</v>
      </c>
      <c r="BK10" s="22">
        <f t="shared" si="18"/>
        <v>148.82638625649071</v>
      </c>
      <c r="BL10" s="22">
        <f t="shared" si="19"/>
        <v>138.29319141479718</v>
      </c>
      <c r="BM10" s="22">
        <f t="shared" si="20"/>
        <v>163.24087175509871</v>
      </c>
      <c r="BN10" s="22">
        <f t="shared" si="21"/>
        <v>119.23076923076923</v>
      </c>
      <c r="BO10">
        <f t="shared" si="22"/>
        <v>115.28973175087064</v>
      </c>
    </row>
    <row r="11" spans="1:67" x14ac:dyDescent="0.25">
      <c r="A11" t="s">
        <v>7</v>
      </c>
      <c r="B11" s="1">
        <v>38777</v>
      </c>
      <c r="C11" s="1">
        <v>38777</v>
      </c>
      <c r="L11" s="1">
        <f t="shared" si="33"/>
        <v>39508</v>
      </c>
      <c r="M11" s="10">
        <f t="shared" si="0"/>
        <v>95376.188202322897</v>
      </c>
      <c r="N11" s="10">
        <f t="shared" si="23"/>
        <v>87431.490844932705</v>
      </c>
      <c r="O11" s="7">
        <f t="shared" si="24"/>
        <v>1.090867687152685</v>
      </c>
      <c r="P11" s="7">
        <f t="shared" si="1"/>
        <v>0.61561169195697352</v>
      </c>
      <c r="Q11">
        <v>9</v>
      </c>
      <c r="R11">
        <f t="shared" si="2"/>
        <v>91</v>
      </c>
      <c r="S11" s="22"/>
      <c r="T11" s="22">
        <f>IF($B$10="3BR_H",
INDEX('3BR_H-processed'!$E:$E,MATCH($L11,'3BR_H-processed'!$B:$B,0),MATCH(Council_Area,'3BR_H-processed'!$E$1:$E$1,0)),
INDEX('2BR_F-processed'!$E:$E,MATCH($L11,'2BR_F-processed'!$B:$B,0),MATCH(Council_Area,'2BR_F-processed'!$E$1:$E$1,0)))</f>
        <v>295</v>
      </c>
      <c r="U11" s="22">
        <f t="shared" si="25"/>
        <v>295</v>
      </c>
      <c r="V11" s="22">
        <f t="shared" si="34"/>
        <v>3835</v>
      </c>
      <c r="W11" s="22">
        <f>$B$53/4*BH11/_xlfn.XLOOKUP(Q_end,cpi!A:A,cpi!B:B)</f>
        <v>124.94816862474086</v>
      </c>
      <c r="X11" s="22">
        <f t="shared" si="26"/>
        <v>3959.9481686247409</v>
      </c>
      <c r="Y11" s="22">
        <f t="shared" si="3"/>
        <v>2472.5940009958949</v>
      </c>
      <c r="Z11" s="22">
        <f t="shared" si="27"/>
        <v>0</v>
      </c>
      <c r="AA11" s="22" cm="1">
        <f t="array" ref="AA11">(Y11+Z11)*eff_invest</f>
        <v>2472.5940009958949</v>
      </c>
      <c r="AB11" s="22">
        <f>AA11*(_xlfn.XLOOKUP(Q_end,cpi!A:A,cpi!B:B)/BH11)</f>
        <v>3957.7915038064816</v>
      </c>
      <c r="AC11" s="22" cm="1">
        <f t="array" ref="AC11">INDEX('msci-indices'!C:C,MATCH($L11,'msci-indices'!$B:$B)-2)</f>
        <v>983.50383399999998</v>
      </c>
      <c r="AD11" s="22" cm="1">
        <f t="array" ref="AD11">INDEX('msci-indices'!D:D,MATCH($L11,'msci-indices'!$B:$B)-2)</f>
        <v>1030.119647</v>
      </c>
      <c r="AE11" s="22">
        <f t="shared" si="28"/>
        <v>106802.27969744513</v>
      </c>
      <c r="AF11" s="22" cm="1">
        <f t="array" ref="AF11">INDEX('msci-indices'!C:C,MATCH($L11,'msci-indices'!$B:$B)+1)</f>
        <v>894.99836200000004</v>
      </c>
      <c r="AG11" s="22" cm="1">
        <f t="array" ref="AG11">INDEX('msci-indices'!D:D,MATCH($L11,'msci-indices'!$B:$B)+1)</f>
        <v>881.21372699999995</v>
      </c>
      <c r="AH11" s="22">
        <f t="shared" si="4"/>
        <v>66.751424810903217</v>
      </c>
      <c r="AI11" s="22">
        <f t="shared" si="5"/>
        <v>95376.188202322897</v>
      </c>
      <c r="AJ11" s="22">
        <f t="shared" si="29"/>
        <v>82862.071866688319</v>
      </c>
      <c r="AK11" s="22">
        <f t="shared" si="6"/>
        <v>12514.116335634579</v>
      </c>
      <c r="AL11" s="22">
        <f>AJ11*(_xlfn.XLOOKUP(Q_end,cpi!A:A,cpi!B:B)/BH11)</f>
        <v>132634.31193705529</v>
      </c>
      <c r="AM11" s="22" cm="1">
        <f t="array" ref="AM11">SUMPRODUCT($AA$3:AA11,_xlfn.SORTBY($BH$3:BH11,_xlfn.SEQUENCE(ROWS($BH$3:BH11)),-1)/$BH$3)</f>
        <v>87830.966114079682</v>
      </c>
      <c r="AN11" s="22">
        <f t="shared" si="30"/>
        <v>7545.2220882432157</v>
      </c>
      <c r="AO11" s="22">
        <f t="shared" si="7"/>
        <v>0</v>
      </c>
      <c r="AP11" s="22">
        <f t="shared" si="31"/>
        <v>95376.188202322897</v>
      </c>
      <c r="AQ11" s="22"/>
      <c r="AR11" s="10">
        <f>IF($B$10="3BR_H",
INDEX('ns-combined'!$C:$D,MATCH($L11,'ns-combined'!$B:$B,0),MATCH(Council_Area,'ns-combined'!$C$1:$D$1,0))*1000,
INDEX('s-combined'!$C:$D,MATCH($L11,'s-combined'!$B:$B,0),MATCH(Council_Area,'s-combined'!$C$1:$D$1,0))*1000)</f>
        <v>308500</v>
      </c>
      <c r="AS11" s="22">
        <f t="shared" si="35"/>
        <v>5850</v>
      </c>
      <c r="AT11" s="10">
        <v>0</v>
      </c>
      <c r="AU11" s="22">
        <f t="shared" si="8"/>
        <v>6170</v>
      </c>
      <c r="AV11" s="22">
        <f t="shared" si="9"/>
        <v>886.9375</v>
      </c>
      <c r="AW11" s="22">
        <f>SUM($AV$3:AV11)</f>
        <v>7339.875</v>
      </c>
      <c r="AX11" s="22">
        <f t="shared" si="32"/>
        <v>289140.125</v>
      </c>
      <c r="AY11" s="22">
        <f t="shared" si="10"/>
        <v>1342.2500000000002</v>
      </c>
      <c r="AZ11" s="24">
        <f t="shared" si="11"/>
        <v>1.7403565640194494E-2</v>
      </c>
      <c r="BA11" s="24">
        <f t="shared" si="12"/>
        <v>0.35000000000000003</v>
      </c>
      <c r="BB11" s="25">
        <f>IF(MortgageRate="Discounted",_xlfn.XLOOKUP(L11,'mortgage-rates'!$A:$A,'mortgage-rates'!$E:$E)/100,_xlfn.XLOOKUP(L11,'mortgage-rates'!$A:$A,'mortgage-rates'!$D:$D)/100)</f>
        <v>8.6999999999999994E-2</v>
      </c>
      <c r="BC11" s="10">
        <f t="shared" si="37"/>
        <v>201708.6341550673</v>
      </c>
      <c r="BD11" s="10">
        <f t="shared" si="13"/>
        <v>5090.2921696206358</v>
      </c>
      <c r="BE11" s="10">
        <f t="shared" si="14"/>
        <v>4387.162792872713</v>
      </c>
      <c r="BF11" s="10">
        <f t="shared" si="36"/>
        <v>703.12937674792283</v>
      </c>
      <c r="BG11" s="12">
        <f t="shared" si="15"/>
        <v>6432.5421696206358</v>
      </c>
      <c r="BH11" s="22">
        <f>INDEX(cpi!B:B,MATCH($L11,cpi!A:A))</f>
        <v>90.4</v>
      </c>
      <c r="BI11" s="22">
        <f t="shared" si="16"/>
        <v>106.85579196217495</v>
      </c>
      <c r="BJ11" s="22">
        <f t="shared" si="17"/>
        <v>130.28618334215415</v>
      </c>
      <c r="BK11" s="22">
        <f t="shared" si="18"/>
        <v>144.48567514971225</v>
      </c>
      <c r="BL11" s="22">
        <f t="shared" si="19"/>
        <v>134.54603088442158</v>
      </c>
      <c r="BM11" s="22">
        <f t="shared" si="20"/>
        <v>162.48891706373925</v>
      </c>
      <c r="BN11" s="22">
        <f t="shared" si="21"/>
        <v>118.65384615384616</v>
      </c>
      <c r="BO11">
        <f t="shared" si="22"/>
        <v>114.10310671757382</v>
      </c>
    </row>
    <row r="12" spans="1:67" x14ac:dyDescent="0.25">
      <c r="A12" t="s">
        <v>8</v>
      </c>
      <c r="B12" s="1">
        <v>45992</v>
      </c>
      <c r="C12" s="1">
        <v>45992</v>
      </c>
      <c r="L12" s="1">
        <f t="shared" si="33"/>
        <v>39600</v>
      </c>
      <c r="M12" s="10">
        <f t="shared" si="0"/>
        <v>96370.603197849006</v>
      </c>
      <c r="N12" s="10">
        <f t="shared" si="23"/>
        <v>83177.745221680641</v>
      </c>
      <c r="O12" s="7">
        <f t="shared" si="24"/>
        <v>1.1586104304824265</v>
      </c>
      <c r="P12" s="7">
        <f t="shared" si="1"/>
        <v>0.61055775895418385</v>
      </c>
      <c r="Q12">
        <v>10</v>
      </c>
      <c r="R12">
        <f t="shared" si="2"/>
        <v>91</v>
      </c>
      <c r="S12" s="22"/>
      <c r="T12" s="22">
        <f>IF($B$10="3BR_H",
INDEX('3BR_H-processed'!$E:$E,MATCH($L12,'3BR_H-processed'!$B:$B,0),MATCH(Council_Area,'3BR_H-processed'!$E$1:$E$1,0)),
INDEX('2BR_F-processed'!$E:$E,MATCH($L12,'2BR_F-processed'!$B:$B,0),MATCH(Council_Area,'2BR_F-processed'!$E$1:$E$1,0)))</f>
        <v>295</v>
      </c>
      <c r="U12" s="22">
        <f t="shared" si="25"/>
        <v>295</v>
      </c>
      <c r="V12" s="22">
        <f t="shared" si="34"/>
        <v>3835</v>
      </c>
      <c r="W12" s="22">
        <f>$B$53/4*BH12/_xlfn.XLOOKUP(Q_end,cpi!A:A,cpi!B:B)</f>
        <v>126.60677263303387</v>
      </c>
      <c r="X12" s="22">
        <f t="shared" si="26"/>
        <v>3961.6067726330339</v>
      </c>
      <c r="Y12" s="22">
        <f t="shared" si="3"/>
        <v>2526.8977374379156</v>
      </c>
      <c r="Z12" s="22">
        <f t="shared" si="27"/>
        <v>0</v>
      </c>
      <c r="AA12" s="22" cm="1">
        <f t="array" ref="AA12">(Y12+Z12)*eff_invest</f>
        <v>2526.8977374379156</v>
      </c>
      <c r="AB12" s="22">
        <f>AA12*(_xlfn.XLOOKUP(Q_end,cpi!A:A,cpi!B:B)/BH12)</f>
        <v>3991.7260109963577</v>
      </c>
      <c r="AC12" s="22" cm="1">
        <f t="array" ref="AC12">INDEX('msci-indices'!C:C,MATCH($L12,'msci-indices'!$B:$B)-2)</f>
        <v>894.99836200000004</v>
      </c>
      <c r="AD12" s="22" cm="1">
        <f t="array" ref="AD12">INDEX('msci-indices'!D:D,MATCH($L12,'msci-indices'!$B:$B)-2)</f>
        <v>881.21372699999995</v>
      </c>
      <c r="AE12" s="22">
        <f t="shared" si="28"/>
        <v>97903.085939760815</v>
      </c>
      <c r="AF12" s="22" cm="1">
        <f t="array" ref="AF12">INDEX('msci-indices'!C:C,MATCH($L12,'msci-indices'!$B:$B)+1)</f>
        <v>881.79173700000001</v>
      </c>
      <c r="AG12" s="22" cm="1">
        <f t="array" ref="AG12">INDEX('msci-indices'!D:D,MATCH($L12,'msci-indices'!$B:$B)+1)</f>
        <v>867.41146500000002</v>
      </c>
      <c r="AH12" s="22">
        <f t="shared" si="4"/>
        <v>61.189428712350512</v>
      </c>
      <c r="AI12" s="22">
        <f t="shared" si="5"/>
        <v>96370.603197849006</v>
      </c>
      <c r="AJ12" s="22">
        <f t="shared" si="29"/>
        <v>85388.969604126236</v>
      </c>
      <c r="AK12" s="22">
        <f t="shared" si="6"/>
        <v>10981.63359372277</v>
      </c>
      <c r="AL12" s="22">
        <f>AJ12*(_xlfn.XLOOKUP(Q_end,cpi!A:A,cpi!B:B)/BH12)</f>
        <v>134888.47054276272</v>
      </c>
      <c r="AM12" s="22" cm="1">
        <f t="array" ref="AM12">SUMPRODUCT($AA$3:AA12,_xlfn.SORTBY($BH$3:BH12,_xlfn.SEQUENCE(ROWS($BH$3:BH12)),-1)/$BH$3)</f>
        <v>91438.705789053405</v>
      </c>
      <c r="AN12" s="22">
        <f t="shared" si="30"/>
        <v>4931.8974087956012</v>
      </c>
      <c r="AO12" s="22">
        <f t="shared" si="7"/>
        <v>0</v>
      </c>
      <c r="AP12" s="22">
        <f t="shared" si="31"/>
        <v>96370.603197849006</v>
      </c>
      <c r="AQ12" s="22"/>
      <c r="AR12" s="10">
        <f>IF($B$10="3BR_H",
INDEX('ns-combined'!$C:$D,MATCH($L12,'ns-combined'!$B:$B,0),MATCH(Council_Area,'ns-combined'!$C$1:$D$1,0))*1000,
INDEX('s-combined'!$C:$D,MATCH($L12,'s-combined'!$B:$B,0),MATCH(Council_Area,'s-combined'!$C$1:$D$1,0))*1000)</f>
        <v>305000</v>
      </c>
      <c r="AS12" s="22">
        <f t="shared" si="35"/>
        <v>6500</v>
      </c>
      <c r="AT12" s="10">
        <v>0</v>
      </c>
      <c r="AU12" s="22">
        <f t="shared" si="8"/>
        <v>6100</v>
      </c>
      <c r="AV12" s="22">
        <f t="shared" si="9"/>
        <v>876.875</v>
      </c>
      <c r="AW12" s="22">
        <f>SUM($AV$3:AV12)</f>
        <v>8216.75</v>
      </c>
      <c r="AX12" s="22">
        <f t="shared" si="32"/>
        <v>284183.25</v>
      </c>
      <c r="AY12" s="22">
        <f t="shared" si="10"/>
        <v>1342.2500000000002</v>
      </c>
      <c r="AZ12" s="24">
        <f t="shared" si="11"/>
        <v>1.7603278688524591E-2</v>
      </c>
      <c r="BA12" s="24">
        <f t="shared" si="12"/>
        <v>0.35000000000000003</v>
      </c>
      <c r="BB12" s="25">
        <f>IF(MortgageRate="Discounted",_xlfn.XLOOKUP(L12,'mortgage-rates'!$A:$A,'mortgage-rates'!$E:$E)/100,_xlfn.XLOOKUP(L12,'mortgage-rates'!$A:$A,'mortgage-rates'!$D:$D)/100)</f>
        <v>8.8399999999999992E-2</v>
      </c>
      <c r="BC12" s="10">
        <f t="shared" si="37"/>
        <v>201005.50477831936</v>
      </c>
      <c r="BD12" s="10">
        <f t="shared" si="13"/>
        <v>5146.2545100709494</v>
      </c>
      <c r="BE12" s="10">
        <f t="shared" si="14"/>
        <v>4442.221655600857</v>
      </c>
      <c r="BF12" s="10">
        <f t="shared" si="36"/>
        <v>704.03285447009239</v>
      </c>
      <c r="BG12" s="12">
        <f t="shared" si="15"/>
        <v>6488.5045100709494</v>
      </c>
      <c r="BH12" s="22">
        <f>INDEX(cpi!B:B,MATCH($L12,cpi!A:A))</f>
        <v>91.6</v>
      </c>
      <c r="BI12" s="22">
        <f t="shared" si="16"/>
        <v>108.274231678487</v>
      </c>
      <c r="BJ12" s="22">
        <f t="shared" si="17"/>
        <v>118.56173473997831</v>
      </c>
      <c r="BK12" s="22">
        <f t="shared" si="18"/>
        <v>123.59997274839783</v>
      </c>
      <c r="BL12" s="22">
        <f t="shared" si="19"/>
        <v>120.07320614250416</v>
      </c>
      <c r="BM12" s="22">
        <f t="shared" si="20"/>
        <v>148.94968961912971</v>
      </c>
      <c r="BN12" s="22">
        <f t="shared" si="21"/>
        <v>117.30769230769231</v>
      </c>
      <c r="BO12">
        <f t="shared" si="22"/>
        <v>112.14697960754137</v>
      </c>
    </row>
    <row r="13" spans="1:67" x14ac:dyDescent="0.25">
      <c r="A13" t="s">
        <v>9</v>
      </c>
      <c r="B13" s="1" t="s">
        <v>654</v>
      </c>
      <c r="C13" s="1" t="s">
        <v>654</v>
      </c>
      <c r="L13" s="1">
        <f t="shared" si="33"/>
        <v>39692</v>
      </c>
      <c r="M13" s="10">
        <f t="shared" si="0"/>
        <v>85117.596965257122</v>
      </c>
      <c r="N13" s="10">
        <f t="shared" si="23"/>
        <v>70140.840576150746</v>
      </c>
      <c r="O13" s="7">
        <f t="shared" si="24"/>
        <v>1.2135240505543465</v>
      </c>
      <c r="P13" s="7">
        <f t="shared" si="1"/>
        <v>0.61889202942126476</v>
      </c>
      <c r="Q13">
        <v>11</v>
      </c>
      <c r="R13">
        <f t="shared" si="2"/>
        <v>92</v>
      </c>
      <c r="S13" s="22"/>
      <c r="T13" s="22">
        <f>IF($B$10="3BR_H",
INDEX('3BR_H-processed'!$E:$E,MATCH($L13,'3BR_H-processed'!$B:$B,0),MATCH(Council_Area,'3BR_H-processed'!$E$1:$E$1,0)),
INDEX('2BR_F-processed'!$E:$E,MATCH($L13,'2BR_F-processed'!$B:$B,0),MATCH(Council_Area,'2BR_F-processed'!$E$1:$E$1,0)))</f>
        <v>302.49620801733477</v>
      </c>
      <c r="U13" s="22">
        <f t="shared" si="25"/>
        <v>295</v>
      </c>
      <c r="V13" s="22">
        <f t="shared" si="34"/>
        <v>3877.1428571428573</v>
      </c>
      <c r="W13" s="22">
        <f>$B$53/4*BH13/_xlfn.XLOOKUP(Q_end,cpi!A:A,cpi!B:B)</f>
        <v>127.98894263994472</v>
      </c>
      <c r="X13" s="22">
        <f t="shared" si="26"/>
        <v>4005.1317997828019</v>
      </c>
      <c r="Y13" s="22">
        <f t="shared" si="3"/>
        <v>2466.3230087854399</v>
      </c>
      <c r="Z13" s="22">
        <f t="shared" si="27"/>
        <v>0</v>
      </c>
      <c r="AA13" s="22" cm="1">
        <f t="array" ref="AA13">(Y13+Z13)*eff_invest</f>
        <v>2466.3230087854399</v>
      </c>
      <c r="AB13" s="22">
        <f>AA13*(_xlfn.XLOOKUP(Q_end,cpi!A:A,cpi!B:B)/BH13)</f>
        <v>3853.9626281992782</v>
      </c>
      <c r="AC13" s="22" cm="1">
        <f t="array" ref="AC13">INDEX('msci-indices'!C:C,MATCH($L13,'msci-indices'!$B:$B)-2)</f>
        <v>881.79173700000001</v>
      </c>
      <c r="AD13" s="22" cm="1">
        <f t="array" ref="AD13">INDEX('msci-indices'!D:D,MATCH($L13,'msci-indices'!$B:$B)-2)</f>
        <v>867.41146500000002</v>
      </c>
      <c r="AE13" s="22">
        <f t="shared" si="28"/>
        <v>98836.926206634453</v>
      </c>
      <c r="AF13" s="22" cm="1">
        <f t="array" ref="AF13">INDEX('msci-indices'!C:C,MATCH($L13,'msci-indices'!$B:$B)+1)</f>
        <v>747.65997700000003</v>
      </c>
      <c r="AG13" s="22" cm="1">
        <f t="array" ref="AG13">INDEX('msci-indices'!D:D,MATCH($L13,'msci-indices'!$B:$B)+1)</f>
        <v>775.74397499999998</v>
      </c>
      <c r="AH13" s="22">
        <f t="shared" si="4"/>
        <v>61.773078879146532</v>
      </c>
      <c r="AI13" s="22">
        <f t="shared" si="5"/>
        <v>85117.596965257122</v>
      </c>
      <c r="AJ13" s="22">
        <f t="shared" si="29"/>
        <v>87855.292612911682</v>
      </c>
      <c r="AK13" s="22">
        <f t="shared" si="6"/>
        <v>-2737.6956476545602</v>
      </c>
      <c r="AL13" s="22">
        <f>AJ13*(_xlfn.XLOOKUP(Q_end,cpi!A:A,cpi!B:B)/BH13)</f>
        <v>137285.75422341598</v>
      </c>
      <c r="AM13" s="22" cm="1">
        <f t="array" ref="AM13">SUMPRODUCT($AA$3:AA13,_xlfn.SORTBY($BH$3:BH13,_xlfn.SEQUENCE(ROWS($BH$3:BH13)),-1)/$BH$3)</f>
        <v>94863.07235779069</v>
      </c>
      <c r="AN13" s="22">
        <f t="shared" si="30"/>
        <v>-9745.4753925335681</v>
      </c>
      <c r="AO13" s="22">
        <f t="shared" si="7"/>
        <v>0</v>
      </c>
      <c r="AP13" s="22">
        <f t="shared" si="31"/>
        <v>85117.596965257122</v>
      </c>
      <c r="AQ13" s="22"/>
      <c r="AR13" s="10">
        <f>IF($B$10="3BR_H",
INDEX('ns-combined'!$C:$D,MATCH($L13,'ns-combined'!$B:$B,0),MATCH(Council_Area,'ns-combined'!$C$1:$D$1,0))*1000,
INDEX('s-combined'!$C:$D,MATCH($L13,'s-combined'!$B:$B,0),MATCH(Council_Area,'s-combined'!$C$1:$D$1,0))*1000)</f>
        <v>292500</v>
      </c>
      <c r="AS13" s="22">
        <f t="shared" si="35"/>
        <v>7150</v>
      </c>
      <c r="AT13" s="10">
        <v>0</v>
      </c>
      <c r="AU13" s="22">
        <f t="shared" si="8"/>
        <v>5850</v>
      </c>
      <c r="AV13" s="22">
        <f t="shared" si="9"/>
        <v>840.9375</v>
      </c>
      <c r="AW13" s="22">
        <f>SUM($AV$3:AV13)</f>
        <v>9057.6875</v>
      </c>
      <c r="AX13" s="22">
        <f t="shared" si="32"/>
        <v>270442.3125</v>
      </c>
      <c r="AY13" s="22">
        <f t="shared" si="10"/>
        <v>1357.0000000000002</v>
      </c>
      <c r="AZ13" s="24">
        <f t="shared" si="11"/>
        <v>1.8557264957264959E-2</v>
      </c>
      <c r="BA13" s="24">
        <f t="shared" si="12"/>
        <v>0.35000000000000003</v>
      </c>
      <c r="BB13" s="25">
        <f>IF(MortgageRate="Discounted",_xlfn.XLOOKUP(L13,'mortgage-rates'!$A:$A,'mortgage-rates'!$E:$E)/100,_xlfn.XLOOKUP(L13,'mortgage-rates'!$A:$A,'mortgage-rates'!$D:$D)/100)</f>
        <v>8.7599999999999997E-2</v>
      </c>
      <c r="BC13" s="10">
        <f t="shared" si="37"/>
        <v>200301.47192384925</v>
      </c>
      <c r="BD13" s="10">
        <f t="shared" si="13"/>
        <v>5114.4548085682418</v>
      </c>
      <c r="BE13" s="10">
        <f t="shared" si="14"/>
        <v>4386.6022351322981</v>
      </c>
      <c r="BF13" s="10">
        <f t="shared" si="36"/>
        <v>727.85257343594367</v>
      </c>
      <c r="BG13" s="12">
        <f t="shared" si="15"/>
        <v>6471.4548085682418</v>
      </c>
      <c r="BH13" s="22">
        <f>INDEX(cpi!B:B,MATCH($L13,cpi!A:A))</f>
        <v>92.6</v>
      </c>
      <c r="BI13" s="22">
        <f t="shared" si="16"/>
        <v>109.45626477541371</v>
      </c>
      <c r="BJ13" s="22">
        <f t="shared" si="17"/>
        <v>116.8122339179194</v>
      </c>
      <c r="BK13" s="22">
        <f t="shared" si="18"/>
        <v>121.6640528293176</v>
      </c>
      <c r="BL13" s="22">
        <f t="shared" si="19"/>
        <v>118.26777959133886</v>
      </c>
      <c r="BM13" s="22">
        <f t="shared" si="20"/>
        <v>150.37043357801022</v>
      </c>
      <c r="BN13" s="22">
        <f t="shared" si="21"/>
        <v>112.5</v>
      </c>
      <c r="BO13">
        <f t="shared" si="22"/>
        <v>106.72440583656436</v>
      </c>
    </row>
    <row r="14" spans="1:67" x14ac:dyDescent="0.25">
      <c r="A14" t="s">
        <v>333</v>
      </c>
      <c r="B14" s="4">
        <v>0.01</v>
      </c>
      <c r="C14" s="4">
        <v>0.01</v>
      </c>
      <c r="L14" s="1">
        <f t="shared" si="33"/>
        <v>39783</v>
      </c>
      <c r="M14" s="10">
        <f t="shared" si="0"/>
        <v>68270.585551068696</v>
      </c>
      <c r="N14" s="10">
        <f t="shared" si="23"/>
        <v>76706.193149586703</v>
      </c>
      <c r="O14" s="7">
        <f t="shared" si="24"/>
        <v>0.89002703364423896</v>
      </c>
      <c r="P14" s="7">
        <f t="shared" si="1"/>
        <v>0.72744375528535343</v>
      </c>
      <c r="Q14">
        <v>12</v>
      </c>
      <c r="R14">
        <f t="shared" si="2"/>
        <v>92</v>
      </c>
      <c r="S14" s="22"/>
      <c r="T14" s="22">
        <f>IF($B$10="3BR_H",
INDEX('3BR_H-processed'!$E:$E,MATCH($L14,'3BR_H-processed'!$B:$B,0),MATCH(Council_Area,'3BR_H-processed'!$E$1:$E$1,0)),
INDEX('2BR_F-processed'!$E:$E,MATCH($L14,'2BR_F-processed'!$B:$B,0),MATCH(Council_Area,'2BR_F-processed'!$E$1:$E$1,0)))</f>
        <v>306.28602383531961</v>
      </c>
      <c r="U14" s="22">
        <f t="shared" si="25"/>
        <v>295</v>
      </c>
      <c r="V14" s="22">
        <f t="shared" si="34"/>
        <v>3877.1428571428573</v>
      </c>
      <c r="W14" s="22">
        <f>$B$53/4*BH14/_xlfn.XLOOKUP(Q_end,cpi!A:A,cpi!B:B)</f>
        <v>127.98894263994472</v>
      </c>
      <c r="X14" s="22">
        <f t="shared" si="26"/>
        <v>4005.1317997828019</v>
      </c>
      <c r="Y14" s="22">
        <f t="shared" si="3"/>
        <v>1500.6296706854046</v>
      </c>
      <c r="Z14" s="22">
        <f t="shared" si="27"/>
        <v>0</v>
      </c>
      <c r="AA14" s="22" cm="1">
        <f t="array" ref="AA14">(Y14+Z14)*eff_invest</f>
        <v>1500.6296706854046</v>
      </c>
      <c r="AB14" s="22">
        <f>AA14*(_xlfn.XLOOKUP(Q_end,cpi!A:A,cpi!B:B)/BH14)</f>
        <v>2344.9364292459832</v>
      </c>
      <c r="AC14" s="22" cm="1">
        <f t="array" ref="AC14">INDEX('msci-indices'!C:C,MATCH($L14,'msci-indices'!$B:$B)-2)</f>
        <v>747.65997700000003</v>
      </c>
      <c r="AD14" s="22" cm="1">
        <f t="array" ref="AD14">INDEX('msci-indices'!D:D,MATCH($L14,'msci-indices'!$B:$B)-2)</f>
        <v>775.74397499999998</v>
      </c>
      <c r="AE14" s="22">
        <f t="shared" si="28"/>
        <v>86618.226635942527</v>
      </c>
      <c r="AF14" s="22" cm="1">
        <f t="array" ref="AF14">INDEX('msci-indices'!C:C,MATCH($L14,'msci-indices'!$B:$B)+1)</f>
        <v>582.01081599999998</v>
      </c>
      <c r="AG14" s="22" cm="1">
        <f t="array" ref="AG14">INDEX('msci-indices'!D:D,MATCH($L14,'msci-indices'!$B:$B)+1)</f>
        <v>630.66129899999999</v>
      </c>
      <c r="AH14" s="22">
        <f t="shared" si="4"/>
        <v>54.13639164746408</v>
      </c>
      <c r="AI14" s="22">
        <f t="shared" si="5"/>
        <v>68270.585551068696</v>
      </c>
      <c r="AJ14" s="22">
        <f t="shared" si="29"/>
        <v>89355.922283597087</v>
      </c>
      <c r="AK14" s="22">
        <f t="shared" si="6"/>
        <v>-21085.336732528391</v>
      </c>
      <c r="AL14" s="22">
        <f>AJ14*(_xlfn.XLOOKUP(Q_end,cpi!A:A,cpi!B:B)/BH14)</f>
        <v>139630.69065266199</v>
      </c>
      <c r="AM14" s="22" cm="1">
        <f t="array" ref="AM14">SUMPRODUCT($AA$3:AA14,_xlfn.SORTBY($BH$3:BH14,_xlfn.SEQUENCE(ROWS($BH$3:BH14)),-1)/$BH$3)</f>
        <v>96570.162850897104</v>
      </c>
      <c r="AN14" s="22">
        <f t="shared" si="30"/>
        <v>-28299.577299828408</v>
      </c>
      <c r="AO14" s="22">
        <f t="shared" si="7"/>
        <v>0</v>
      </c>
      <c r="AP14" s="22">
        <f t="shared" si="31"/>
        <v>68270.585551068696</v>
      </c>
      <c r="AQ14" s="22"/>
      <c r="AR14" s="10">
        <f>IF($B$10="3BR_H",
INDEX('ns-combined'!$C:$D,MATCH($L14,'ns-combined'!$B:$B,0),MATCH(Council_Area,'ns-combined'!$C$1:$D$1,0))*1000,
INDEX('s-combined'!$C:$D,MATCH($L14,'s-combined'!$B:$B,0),MATCH(Council_Area,'s-combined'!$C$1:$D$1,0))*1000)</f>
        <v>300000</v>
      </c>
      <c r="AS14" s="22">
        <f t="shared" si="35"/>
        <v>7800</v>
      </c>
      <c r="AT14" s="10">
        <v>0</v>
      </c>
      <c r="AU14" s="22">
        <f t="shared" si="8"/>
        <v>6000</v>
      </c>
      <c r="AV14" s="22">
        <f t="shared" si="9"/>
        <v>862.5</v>
      </c>
      <c r="AW14" s="22">
        <f>SUM($AV$3:AV14)</f>
        <v>9920.1875</v>
      </c>
      <c r="AX14" s="22">
        <f t="shared" si="32"/>
        <v>276279.8125</v>
      </c>
      <c r="AY14" s="22">
        <f t="shared" si="10"/>
        <v>1357.0000000000002</v>
      </c>
      <c r="AZ14" s="24">
        <f t="shared" si="11"/>
        <v>1.8093333333333336E-2</v>
      </c>
      <c r="BA14" s="24">
        <f t="shared" si="12"/>
        <v>0.35000000000000003</v>
      </c>
      <c r="BB14" s="25">
        <f>IF(MortgageRate="Discounted",_xlfn.XLOOKUP(L14,'mortgage-rates'!$A:$A,'mortgage-rates'!$E:$E)/100,_xlfn.XLOOKUP(L14,'mortgage-rates'!$A:$A,'mortgage-rates'!$D:$D)/100)</f>
        <v>6.2E-2</v>
      </c>
      <c r="BC14" s="10">
        <f t="shared" si="37"/>
        <v>199573.6193504133</v>
      </c>
      <c r="BD14" s="10">
        <f t="shared" si="13"/>
        <v>4148.7614704682064</v>
      </c>
      <c r="BE14" s="10">
        <f t="shared" si="14"/>
        <v>3093.3910999314062</v>
      </c>
      <c r="BF14" s="10">
        <f t="shared" si="36"/>
        <v>1055.3703705368002</v>
      </c>
      <c r="BG14" s="12">
        <f t="shared" si="15"/>
        <v>5505.7614704682064</v>
      </c>
      <c r="BH14" s="22">
        <f>INDEX(cpi!B:B,MATCH($L14,cpi!A:A))</f>
        <v>92.6</v>
      </c>
      <c r="BI14" s="22">
        <f t="shared" si="16"/>
        <v>109.45626477541371</v>
      </c>
      <c r="BJ14" s="22">
        <f t="shared" si="17"/>
        <v>99.043604583459881</v>
      </c>
      <c r="BK14" s="22">
        <f t="shared" si="18"/>
        <v>108.80667337781247</v>
      </c>
      <c r="BL14" s="22">
        <f t="shared" si="19"/>
        <v>101.97252522176566</v>
      </c>
      <c r="BM14" s="22">
        <f t="shared" si="20"/>
        <v>131.7809122045596</v>
      </c>
      <c r="BN14" s="22">
        <f t="shared" si="21"/>
        <v>115.38461538461539</v>
      </c>
      <c r="BO14">
        <f t="shared" si="22"/>
        <v>109.0280531960024</v>
      </c>
    </row>
    <row r="15" spans="1:67" x14ac:dyDescent="0.25">
      <c r="A15" t="s">
        <v>489</v>
      </c>
      <c r="B15" s="4">
        <v>1.15E-2</v>
      </c>
      <c r="C15" s="4">
        <v>1.15E-2</v>
      </c>
      <c r="L15" s="1">
        <f t="shared" si="33"/>
        <v>39873</v>
      </c>
      <c r="M15" s="10">
        <f t="shared" si="0"/>
        <v>63286.814616650518</v>
      </c>
      <c r="N15" s="10">
        <f t="shared" si="23"/>
        <v>72829.126020123513</v>
      </c>
      <c r="O15" s="7">
        <f t="shared" si="24"/>
        <v>0.86897671405755517</v>
      </c>
      <c r="P15" s="7">
        <f t="shared" si="1"/>
        <v>0.79482102926424847</v>
      </c>
      <c r="Q15">
        <v>13</v>
      </c>
      <c r="R15">
        <f t="shared" si="2"/>
        <v>90</v>
      </c>
      <c r="S15" s="22"/>
      <c r="T15" s="22">
        <f>IF($B$10="3BR_H",
INDEX('3BR_H-processed'!$E:$E,MATCH($L15,'3BR_H-processed'!$B:$B,0),MATCH(Council_Area,'3BR_H-processed'!$E$1:$E$1,0)),
INDEX('2BR_F-processed'!$E:$E,MATCH($L15,'2BR_F-processed'!$B:$B,0),MATCH(Council_Area,'2BR_F-processed'!$E$1:$E$1,0)))</f>
        <v>311.10942578548213</v>
      </c>
      <c r="U15" s="22">
        <f t="shared" si="25"/>
        <v>311.10942578548213</v>
      </c>
      <c r="V15" s="22">
        <f t="shared" si="34"/>
        <v>3999.9783315276277</v>
      </c>
      <c r="W15" s="22">
        <f>$B$53/4*BH15/_xlfn.XLOOKUP(Q_end,cpi!A:A,cpi!B:B)</f>
        <v>127.85072563925364</v>
      </c>
      <c r="X15" s="22">
        <f t="shared" si="26"/>
        <v>4127.8290571668813</v>
      </c>
      <c r="Y15" s="22">
        <f t="shared" si="3"/>
        <v>1065.5778925560498</v>
      </c>
      <c r="Z15" s="22">
        <f t="shared" si="27"/>
        <v>0</v>
      </c>
      <c r="AA15" s="22" cm="1">
        <f t="array" ref="AA15">(Y15+Z15)*eff_invest</f>
        <v>1065.5778925560498</v>
      </c>
      <c r="AB15" s="22">
        <f>AA15*(_xlfn.XLOOKUP(Q_end,cpi!A:A,cpi!B:B)/BH15)</f>
        <v>1666.9094167876799</v>
      </c>
      <c r="AC15" s="22" cm="1">
        <f t="array" ref="AC15">INDEX('msci-indices'!C:C,MATCH($L15,'msci-indices'!$B:$B)-2)</f>
        <v>582.01081599999998</v>
      </c>
      <c r="AD15" s="22" cm="1">
        <f t="array" ref="AD15">INDEX('msci-indices'!D:D,MATCH($L15,'msci-indices'!$B:$B)-2)</f>
        <v>630.66129899999999</v>
      </c>
      <c r="AE15" s="22">
        <f t="shared" si="28"/>
        <v>69336.16344362474</v>
      </c>
      <c r="AF15" s="22" cm="1">
        <f t="array" ref="AF15">INDEX('msci-indices'!C:C,MATCH($L15,'msci-indices'!$B:$B)+1)</f>
        <v>513.55423199999996</v>
      </c>
      <c r="AG15" s="22" cm="1">
        <f t="array" ref="AG15">INDEX('msci-indices'!D:D,MATCH($L15,'msci-indices'!$B:$B)+1)</f>
        <v>621.64895000000001</v>
      </c>
      <c r="AH15" s="22">
        <f t="shared" si="4"/>
        <v>43.335102152265463</v>
      </c>
      <c r="AI15" s="22">
        <f t="shared" si="5"/>
        <v>63286.814616650518</v>
      </c>
      <c r="AJ15" s="22">
        <f t="shared" si="29"/>
        <v>90421.500176153131</v>
      </c>
      <c r="AK15" s="22">
        <f t="shared" si="6"/>
        <v>-27134.685559502614</v>
      </c>
      <c r="AL15" s="22">
        <f>AJ15*(_xlfn.XLOOKUP(Q_end,cpi!A:A,cpi!B:B)/BH15)</f>
        <v>141448.55216745249</v>
      </c>
      <c r="AM15" s="22" cm="1">
        <f t="array" ref="AM15">SUMPRODUCT($AA$3:AA15,_xlfn.SORTBY($BH$3:BH15,_xlfn.SEQUENCE(ROWS($BH$3:BH15)),-1)/$BH$3)</f>
        <v>97751.972735948715</v>
      </c>
      <c r="AN15" s="22">
        <f t="shared" si="30"/>
        <v>-34465.158119298198</v>
      </c>
      <c r="AO15" s="22">
        <f t="shared" si="7"/>
        <v>0</v>
      </c>
      <c r="AP15" s="22">
        <f t="shared" si="31"/>
        <v>63286.814616650518</v>
      </c>
      <c r="AQ15" s="22"/>
      <c r="AR15" s="10">
        <f>IF($B$10="3BR_H",
INDEX('ns-combined'!$C:$D,MATCH($L15,'ns-combined'!$B:$B,0),MATCH(Council_Area,'ns-combined'!$C$1:$D$1,0))*1000,
INDEX('s-combined'!$C:$D,MATCH($L15,'s-combined'!$B:$B,0),MATCH(Council_Area,'s-combined'!$C$1:$D$1,0))*1000)</f>
        <v>296500</v>
      </c>
      <c r="AS15" s="22">
        <f t="shared" si="35"/>
        <v>8450</v>
      </c>
      <c r="AT15" s="10">
        <v>0</v>
      </c>
      <c r="AU15" s="22">
        <f t="shared" si="8"/>
        <v>5930</v>
      </c>
      <c r="AV15" s="22">
        <f t="shared" si="9"/>
        <v>852.4375</v>
      </c>
      <c r="AW15" s="22">
        <f>SUM($AV$3:AV15)</f>
        <v>10772.625</v>
      </c>
      <c r="AX15" s="22">
        <f t="shared" si="32"/>
        <v>271347.375</v>
      </c>
      <c r="AY15" s="22">
        <f t="shared" si="10"/>
        <v>1399.9924160346698</v>
      </c>
      <c r="AZ15" s="24">
        <f t="shared" si="11"/>
        <v>1.8886912863874127E-2</v>
      </c>
      <c r="BA15" s="24">
        <f t="shared" si="12"/>
        <v>0.35000000000000003</v>
      </c>
      <c r="BB15" s="25">
        <f>IF(MortgageRate="Discounted",_xlfn.XLOOKUP(L15,'mortgage-rates'!$A:$A,'mortgage-rates'!$E:$E)/100,_xlfn.XLOOKUP(L15,'mortgage-rates'!$A:$A,'mortgage-rates'!$D:$D)/100)</f>
        <v>5.1799999999999999E-2</v>
      </c>
      <c r="BC15" s="10">
        <f t="shared" si="37"/>
        <v>198518.24897987649</v>
      </c>
      <c r="BD15" s="10">
        <f t="shared" si="13"/>
        <v>3793.4145336882611</v>
      </c>
      <c r="BE15" s="10">
        <f t="shared" si="14"/>
        <v>2570.8113242894005</v>
      </c>
      <c r="BF15" s="10">
        <f t="shared" si="36"/>
        <v>1222.6032093988606</v>
      </c>
      <c r="BG15" s="12">
        <f t="shared" si="15"/>
        <v>5193.4069497229311</v>
      </c>
      <c r="BH15" s="22">
        <f>INDEX(cpi!B:B,MATCH($L15,cpi!A:A))</f>
        <v>92.5</v>
      </c>
      <c r="BI15" s="22">
        <f t="shared" si="16"/>
        <v>109.33806146572105</v>
      </c>
      <c r="BJ15" s="22">
        <f t="shared" si="17"/>
        <v>77.099819298205958</v>
      </c>
      <c r="BK15" s="22">
        <f t="shared" si="18"/>
        <v>88.457223238272576</v>
      </c>
      <c r="BL15" s="22">
        <f t="shared" si="19"/>
        <v>80.507040480225939</v>
      </c>
      <c r="BM15" s="22">
        <f t="shared" si="20"/>
        <v>105.48799279589269</v>
      </c>
      <c r="BN15" s="22">
        <f t="shared" si="21"/>
        <v>114.03846153846153</v>
      </c>
      <c r="BO15">
        <f t="shared" si="22"/>
        <v>107.08156983455176</v>
      </c>
    </row>
    <row r="16" spans="1:67" x14ac:dyDescent="0.25">
      <c r="A16" t="s">
        <v>55</v>
      </c>
      <c r="B16" s="23">
        <v>25</v>
      </c>
      <c r="C16" s="23">
        <v>25</v>
      </c>
      <c r="L16" s="1">
        <f t="shared" si="33"/>
        <v>39965</v>
      </c>
      <c r="M16" s="10">
        <f t="shared" si="0"/>
        <v>76240.796536109134</v>
      </c>
      <c r="N16" s="10">
        <f t="shared" si="23"/>
        <v>85740.479229522374</v>
      </c>
      <c r="O16" s="7">
        <f t="shared" si="24"/>
        <v>0.88920422676921207</v>
      </c>
      <c r="P16" s="7">
        <f t="shared" si="1"/>
        <v>0.80319216216740497</v>
      </c>
      <c r="Q16">
        <v>14</v>
      </c>
      <c r="R16">
        <f t="shared" si="2"/>
        <v>91</v>
      </c>
      <c r="S16" s="22"/>
      <c r="T16" s="22">
        <f>IF($B$10="3BR_H",
INDEX('3BR_H-processed'!$E:$E,MATCH($L16,'3BR_H-processed'!$B:$B,0),MATCH(Council_Area,'3BR_H-processed'!$E$1:$E$1,0)),
INDEX('2BR_F-processed'!$E:$E,MATCH($L16,'2BR_F-processed'!$B:$B,0),MATCH(Council_Area,'2BR_F-processed'!$E$1:$E$1,0)))</f>
        <v>315.93282773564465</v>
      </c>
      <c r="U16" s="22">
        <f t="shared" si="25"/>
        <v>311.10942578548213</v>
      </c>
      <c r="V16" s="22">
        <f t="shared" si="34"/>
        <v>4044.4225352112676</v>
      </c>
      <c r="W16" s="22">
        <f>$B$53/4*BH16/_xlfn.XLOOKUP(Q_end,cpi!A:A,cpi!B:B)</f>
        <v>128.54181064270907</v>
      </c>
      <c r="X16" s="22">
        <f t="shared" si="26"/>
        <v>4172.9643458539767</v>
      </c>
      <c r="Y16" s="22">
        <f t="shared" si="3"/>
        <v>1022.5100902925114</v>
      </c>
      <c r="Z16" s="22">
        <f t="shared" si="27"/>
        <v>0</v>
      </c>
      <c r="AA16" s="22" cm="1">
        <f t="array" ref="AA16">(Y16+Z16)*eff_invest</f>
        <v>1022.5100902925114</v>
      </c>
      <c r="AB16" s="22">
        <f>AA16*(_xlfn.XLOOKUP(Q_end,cpi!A:A,cpi!B:B)/BH16)</f>
        <v>1590.9377426379181</v>
      </c>
      <c r="AC16" s="22" cm="1">
        <f t="array" ref="AC16">INDEX('msci-indices'!C:C,MATCH($L16,'msci-indices'!$B:$B)-2)</f>
        <v>513.55423199999996</v>
      </c>
      <c r="AD16" s="22" cm="1">
        <f t="array" ref="AD16">INDEX('msci-indices'!D:D,MATCH($L16,'msci-indices'!$B:$B)-2)</f>
        <v>621.64895000000001</v>
      </c>
      <c r="AE16" s="22">
        <f t="shared" si="28"/>
        <v>64309.324706943029</v>
      </c>
      <c r="AF16" s="22" cm="1">
        <f t="array" ref="AF16">INDEX('msci-indices'!C:C,MATCH($L16,'msci-indices'!$B:$B)+1)</f>
        <v>624.35597900000005</v>
      </c>
      <c r="AG16" s="22" cm="1">
        <f t="array" ref="AG16">INDEX('msci-indices'!D:D,MATCH($L16,'msci-indices'!$B:$B)+1)</f>
        <v>694.44244900000001</v>
      </c>
      <c r="AH16" s="22">
        <f t="shared" si="4"/>
        <v>40.193327941839392</v>
      </c>
      <c r="AI16" s="22">
        <f t="shared" si="5"/>
        <v>76240.796536109134</v>
      </c>
      <c r="AJ16" s="22">
        <f t="shared" si="29"/>
        <v>91444.010266445635</v>
      </c>
      <c r="AK16" s="22">
        <f t="shared" si="6"/>
        <v>-15203.213730336502</v>
      </c>
      <c r="AL16" s="22">
        <f>AJ16*(_xlfn.XLOOKUP(Q_end,cpi!A:A,cpi!B:B)/BH16)</f>
        <v>142279.01382316861</v>
      </c>
      <c r="AM16" s="22" cm="1">
        <f t="array" ref="AM16">SUMPRODUCT($AA$3:AA16,_xlfn.SORTBY($BH$3:BH16,_xlfn.SEQUENCE(ROWS($BH$3:BH16)),-1)/$BH$3)</f>
        <v>99344.072671115573</v>
      </c>
      <c r="AN16" s="22">
        <f t="shared" si="30"/>
        <v>-23103.276135006439</v>
      </c>
      <c r="AO16" s="22">
        <f t="shared" si="7"/>
        <v>0</v>
      </c>
      <c r="AP16" s="22">
        <f t="shared" si="31"/>
        <v>76240.796536109134</v>
      </c>
      <c r="AQ16" s="22"/>
      <c r="AR16" s="10">
        <f>IF($B$10="3BR_H",
INDEX('ns-combined'!$C:$D,MATCH($L16,'ns-combined'!$B:$B,0),MATCH(Council_Area,'ns-combined'!$C$1:$D$1,0))*1000,
INDEX('s-combined'!$C:$D,MATCH($L16,'s-combined'!$B:$B,0),MATCH(Council_Area,'s-combined'!$C$1:$D$1,0))*1000)</f>
        <v>310000</v>
      </c>
      <c r="AS16" s="22">
        <f t="shared" si="35"/>
        <v>9100</v>
      </c>
      <c r="AT16" s="10">
        <v>0</v>
      </c>
      <c r="AU16" s="22">
        <f t="shared" si="8"/>
        <v>6200</v>
      </c>
      <c r="AV16" s="22">
        <f t="shared" si="9"/>
        <v>891.25</v>
      </c>
      <c r="AW16" s="22">
        <f>SUM($AV$3:AV16)</f>
        <v>11663.875</v>
      </c>
      <c r="AX16" s="22">
        <f t="shared" si="32"/>
        <v>283036.125</v>
      </c>
      <c r="AY16" s="22">
        <f t="shared" si="10"/>
        <v>1415.5478873239438</v>
      </c>
      <c r="AZ16" s="24">
        <f t="shared" si="11"/>
        <v>1.826513402998637E-2</v>
      </c>
      <c r="BA16" s="24">
        <f t="shared" si="12"/>
        <v>0.35000000000000003</v>
      </c>
      <c r="BB16" s="25">
        <f>IF(MortgageRate="Discounted",_xlfn.XLOOKUP(L16,'mortgage-rates'!$A:$A,'mortgage-rates'!$E:$E)/100,_xlfn.XLOOKUP(L16,'mortgage-rates'!$A:$A,'mortgage-rates'!$D:$D)/100)</f>
        <v>5.1399999999999994E-2</v>
      </c>
      <c r="BC16" s="10">
        <f t="shared" si="37"/>
        <v>197295.64577047763</v>
      </c>
      <c r="BD16" s="10">
        <f t="shared" si="13"/>
        <v>3779.9265488225442</v>
      </c>
      <c r="BE16" s="10">
        <f t="shared" si="14"/>
        <v>2535.249048150637</v>
      </c>
      <c r="BF16" s="10">
        <f t="shared" si="36"/>
        <v>1244.6775006719072</v>
      </c>
      <c r="BG16" s="12">
        <f t="shared" si="15"/>
        <v>5195.4744361464882</v>
      </c>
      <c r="BH16" s="22">
        <f>INDEX(cpi!B:B,MATCH($L16,cpi!A:A))</f>
        <v>93</v>
      </c>
      <c r="BI16" s="22">
        <f t="shared" si="16"/>
        <v>109.9290780141844</v>
      </c>
      <c r="BJ16" s="22">
        <f t="shared" si="17"/>
        <v>68.031276049393796</v>
      </c>
      <c r="BK16" s="22">
        <f t="shared" si="18"/>
        <v>87.193141601016094</v>
      </c>
      <c r="BL16" s="22">
        <f t="shared" si="19"/>
        <v>73.779835714880477</v>
      </c>
      <c r="BM16" s="22">
        <f t="shared" si="20"/>
        <v>97.840163696257804</v>
      </c>
      <c r="BN16" s="22">
        <f t="shared" si="21"/>
        <v>119.23076923076923</v>
      </c>
      <c r="BO16">
        <f t="shared" si="22"/>
        <v>111.69429070352503</v>
      </c>
    </row>
    <row r="17" spans="1:67" x14ac:dyDescent="0.25">
      <c r="L17" s="1">
        <f t="shared" si="33"/>
        <v>40057</v>
      </c>
      <c r="M17" s="10">
        <f t="shared" si="0"/>
        <v>92096.850374256537</v>
      </c>
      <c r="N17" s="10">
        <f t="shared" si="23"/>
        <v>85541.619230194308</v>
      </c>
      <c r="O17" s="7">
        <f t="shared" si="24"/>
        <v>1.0766320675602594</v>
      </c>
      <c r="P17" s="7">
        <f t="shared" si="1"/>
        <v>0.80950908812155131</v>
      </c>
      <c r="Q17">
        <v>15</v>
      </c>
      <c r="R17">
        <f t="shared" si="2"/>
        <v>92</v>
      </c>
      <c r="S17" s="22"/>
      <c r="T17" s="22">
        <f>IF($B$10="3BR_H",
INDEX('3BR_H-processed'!$E:$E,MATCH($L17,'3BR_H-processed'!$B:$B,0),MATCH(Council_Area,'3BR_H-processed'!$E$1:$E$1,0)),
INDEX('2BR_F-processed'!$E:$E,MATCH($L17,'2BR_F-processed'!$B:$B,0),MATCH(Council_Area,'2BR_F-processed'!$E$1:$E$1,0)))</f>
        <v>318</v>
      </c>
      <c r="U17" s="22">
        <f t="shared" si="25"/>
        <v>311.10942578548213</v>
      </c>
      <c r="V17" s="22">
        <f t="shared" si="34"/>
        <v>4088.8667388949079</v>
      </c>
      <c r="W17" s="22">
        <f>$B$53/4*BH17/_xlfn.XLOOKUP(Q_end,cpi!A:A,cpi!B:B)</f>
        <v>129.50932964754665</v>
      </c>
      <c r="X17" s="22">
        <f t="shared" si="26"/>
        <v>4218.376068542455</v>
      </c>
      <c r="Y17" s="22">
        <f t="shared" si="3"/>
        <v>992.65383889330587</v>
      </c>
      <c r="Z17" s="22">
        <f t="shared" si="27"/>
        <v>0</v>
      </c>
      <c r="AA17" s="22" cm="1">
        <f t="array" ref="AA17">(Y17+Z17)*eff_invest</f>
        <v>992.65383889330587</v>
      </c>
      <c r="AB17" s="22">
        <f>AA17*(_xlfn.XLOOKUP(Q_end,cpi!A:A,cpi!B:B)/BH17)</f>
        <v>1532.9456829014016</v>
      </c>
      <c r="AC17" s="22" cm="1">
        <f t="array" ref="AC17">INDEX('msci-indices'!C:C,MATCH($L17,'msci-indices'!$B:$B)-2)</f>
        <v>624.35597900000005</v>
      </c>
      <c r="AD17" s="22" cm="1">
        <f t="array" ref="AD17">INDEX('msci-indices'!D:D,MATCH($L17,'msci-indices'!$B:$B)-2)</f>
        <v>694.44244900000001</v>
      </c>
      <c r="AE17" s="22">
        <f t="shared" si="28"/>
        <v>77233.450375002445</v>
      </c>
      <c r="AF17" s="22" cm="1">
        <f t="array" ref="AF17">INDEX('msci-indices'!C:C,MATCH($L17,'msci-indices'!$B:$B)+1)</f>
        <v>736.86332800000002</v>
      </c>
      <c r="AG17" s="22" cm="1">
        <f t="array" ref="AG17">INDEX('msci-indices'!D:D,MATCH($L17,'msci-indices'!$B:$B)+1)</f>
        <v>849.38296100000002</v>
      </c>
      <c r="AH17" s="22">
        <f t="shared" si="4"/>
        <v>48.270906484376532</v>
      </c>
      <c r="AI17" s="22">
        <f t="shared" si="5"/>
        <v>92096.850374256537</v>
      </c>
      <c r="AJ17" s="22">
        <f t="shared" si="29"/>
        <v>92436.664105338947</v>
      </c>
      <c r="AK17" s="22">
        <f t="shared" si="6"/>
        <v>-339.8137310824095</v>
      </c>
      <c r="AL17" s="22">
        <f>AJ17*(_xlfn.XLOOKUP(Q_end,cpi!A:A,cpi!B:B)/BH17)</f>
        <v>142749.04264719898</v>
      </c>
      <c r="AM17" s="22" cm="1">
        <f t="array" ref="AM17">SUMPRODUCT($AA$3:AA17,_xlfn.SORTBY($BH$3:BH17,_xlfn.SEQUENCE(ROWS($BH$3:BH17)),-1)/$BH$3)</f>
        <v>101070.89267624759</v>
      </c>
      <c r="AN17" s="22">
        <f t="shared" si="30"/>
        <v>-8974.0423019910522</v>
      </c>
      <c r="AO17" s="22">
        <f t="shared" si="7"/>
        <v>0</v>
      </c>
      <c r="AP17" s="22">
        <f t="shared" si="31"/>
        <v>92096.850374256537</v>
      </c>
      <c r="AQ17" s="22"/>
      <c r="AR17" s="10">
        <f>IF($B$10="3BR_H",
INDEX('ns-combined'!$C:$D,MATCH($L17,'ns-combined'!$B:$B,0),MATCH(Council_Area,'ns-combined'!$C$1:$D$1,0))*1000,
INDEX('s-combined'!$C:$D,MATCH($L17,'s-combined'!$B:$B,0),MATCH(Council_Area,'s-combined'!$C$1:$D$1,0))*1000)</f>
        <v>310100</v>
      </c>
      <c r="AS17" s="22">
        <f t="shared" si="35"/>
        <v>9750</v>
      </c>
      <c r="AT17" s="10">
        <v>0</v>
      </c>
      <c r="AU17" s="22">
        <f t="shared" si="8"/>
        <v>6202</v>
      </c>
      <c r="AV17" s="22">
        <f t="shared" si="9"/>
        <v>891.53750000000002</v>
      </c>
      <c r="AW17" s="22">
        <f>SUM($AV$3:AV17)</f>
        <v>12555.4125</v>
      </c>
      <c r="AX17" s="22">
        <f t="shared" si="32"/>
        <v>281592.58750000002</v>
      </c>
      <c r="AY17" s="22">
        <f t="shared" si="10"/>
        <v>1431.103358613218</v>
      </c>
      <c r="AZ17" s="24">
        <f t="shared" si="11"/>
        <v>1.8459894983724193E-2</v>
      </c>
      <c r="BA17" s="24">
        <f t="shared" si="12"/>
        <v>0.35000000000000003</v>
      </c>
      <c r="BB17" s="25">
        <f>IF(MortgageRate="Discounted",_xlfn.XLOOKUP(L17,'mortgage-rates'!$A:$A,'mortgage-rates'!$E:$E)/100,_xlfn.XLOOKUP(L17,'mortgage-rates'!$A:$A,'mortgage-rates'!$D:$D)/100)</f>
        <v>5.1399999999999994E-2</v>
      </c>
      <c r="BC17" s="10">
        <f t="shared" si="37"/>
        <v>196050.96826980571</v>
      </c>
      <c r="BD17" s="10">
        <f t="shared" si="13"/>
        <v>3779.9265488225433</v>
      </c>
      <c r="BE17" s="10">
        <f t="shared" si="14"/>
        <v>2519.2549422670031</v>
      </c>
      <c r="BF17" s="10">
        <f t="shared" si="36"/>
        <v>1260.6716065555402</v>
      </c>
      <c r="BG17" s="12">
        <f t="shared" si="15"/>
        <v>5211.0299074357608</v>
      </c>
      <c r="BH17" s="22">
        <f>INDEX(cpi!B:B,MATCH($L17,cpi!A:A))</f>
        <v>93.7</v>
      </c>
      <c r="BI17" s="22">
        <f t="shared" si="16"/>
        <v>110.75650118203311</v>
      </c>
      <c r="BJ17" s="22">
        <f t="shared" si="17"/>
        <v>82.709344629523997</v>
      </c>
      <c r="BK17" s="22">
        <f t="shared" si="18"/>
        <v>97.403235040312381</v>
      </c>
      <c r="BL17" s="22">
        <f t="shared" si="19"/>
        <v>87.117511752760507</v>
      </c>
      <c r="BM17" s="22">
        <f t="shared" si="20"/>
        <v>117.50291986352046</v>
      </c>
      <c r="BN17" s="22">
        <f t="shared" si="21"/>
        <v>119.26923076923077</v>
      </c>
      <c r="BO17">
        <f t="shared" si="22"/>
        <v>111.12462880200474</v>
      </c>
    </row>
    <row r="18" spans="1:67" x14ac:dyDescent="0.25">
      <c r="A18" s="5" t="s">
        <v>323</v>
      </c>
      <c r="L18" s="1">
        <f t="shared" si="33"/>
        <v>40148</v>
      </c>
      <c r="M18" s="10">
        <f t="shared" si="0"/>
        <v>96836.856930746682</v>
      </c>
      <c r="N18" s="10">
        <f t="shared" si="23"/>
        <v>124248.04083674986</v>
      </c>
      <c r="O18" s="7">
        <f t="shared" si="24"/>
        <v>0.77938337118716527</v>
      </c>
      <c r="P18" s="7">
        <f t="shared" si="1"/>
        <v>0.76703291798040718</v>
      </c>
      <c r="Q18">
        <v>16</v>
      </c>
      <c r="R18">
        <f t="shared" si="2"/>
        <v>92</v>
      </c>
      <c r="S18" s="22"/>
      <c r="T18" s="22">
        <f>IF($B$10="3BR_H",
INDEX('3BR_H-processed'!$E:$E,MATCH($L18,'3BR_H-processed'!$B:$B,0),MATCH(Council_Area,'3BR_H-processed'!$E$1:$E$1,0)),
INDEX('2BR_F-processed'!$E:$E,MATCH($L18,'2BR_F-processed'!$B:$B,0),MATCH(Council_Area,'2BR_F-processed'!$E$1:$E$1,0)))</f>
        <v>318</v>
      </c>
      <c r="U18" s="22">
        <f t="shared" si="25"/>
        <v>311.10942578548213</v>
      </c>
      <c r="V18" s="22">
        <f t="shared" si="34"/>
        <v>4088.8667388949079</v>
      </c>
      <c r="W18" s="22">
        <f>$B$53/4*BH18/_xlfn.XLOOKUP(Q_end,cpi!A:A,cpi!B:B)</f>
        <v>130.61506565307533</v>
      </c>
      <c r="X18" s="22">
        <f t="shared" si="26"/>
        <v>4219.4818045479833</v>
      </c>
      <c r="Y18" s="22">
        <f t="shared" si="3"/>
        <v>1281.5621606287032</v>
      </c>
      <c r="Z18" s="22">
        <f t="shared" si="27"/>
        <v>0</v>
      </c>
      <c r="AA18" s="22" cm="1">
        <f t="array" ref="AA18">(Y18+Z18)*eff_invest</f>
        <v>1281.5621606287032</v>
      </c>
      <c r="AB18" s="22">
        <f>AA18*(_xlfn.XLOOKUP(Q_end,cpi!A:A,cpi!B:B)/BH18)</f>
        <v>1962.3496787616225</v>
      </c>
      <c r="AC18" s="22" cm="1">
        <f t="array" ref="AC18">INDEX('msci-indices'!C:C,MATCH($L18,'msci-indices'!$B:$B)-2)</f>
        <v>736.86332800000002</v>
      </c>
      <c r="AD18" s="22" cm="1">
        <f t="array" ref="AD18">INDEX('msci-indices'!D:D,MATCH($L18,'msci-indices'!$B:$B)-2)</f>
        <v>849.38296100000002</v>
      </c>
      <c r="AE18" s="22">
        <f t="shared" si="28"/>
        <v>93378.412534885239</v>
      </c>
      <c r="AF18" s="22" cm="1">
        <f t="array" ref="AF18">INDEX('msci-indices'!C:C,MATCH($L18,'msci-indices'!$B:$B)+1)</f>
        <v>765.74116200000003</v>
      </c>
      <c r="AG18" s="22" cm="1">
        <f t="array" ref="AG18">INDEX('msci-indices'!D:D,MATCH($L18,'msci-indices'!$B:$B)+1)</f>
        <v>878.343298</v>
      </c>
      <c r="AH18" s="22">
        <f t="shared" si="4"/>
        <v>58.361507834303275</v>
      </c>
      <c r="AI18" s="22">
        <f t="shared" si="5"/>
        <v>96836.856930746682</v>
      </c>
      <c r="AJ18" s="22">
        <f t="shared" si="29"/>
        <v>93718.226265967649</v>
      </c>
      <c r="AK18" s="22">
        <f t="shared" si="6"/>
        <v>3118.6306647790334</v>
      </c>
      <c r="AL18" s="22">
        <f>AJ18*(_xlfn.XLOOKUP(Q_end,cpi!A:A,cpi!B:B)/BH18)</f>
        <v>143502.93482206896</v>
      </c>
      <c r="AM18" s="22" cm="1">
        <f t="array" ref="AM18">SUMPRODUCT($AA$3:AA18,_xlfn.SORTBY($BH$3:BH18,_xlfn.SEQUENCE(ROWS($BH$3:BH18)),-1)/$BH$3)</f>
        <v>103184.43277837026</v>
      </c>
      <c r="AN18" s="22">
        <f t="shared" si="30"/>
        <v>-6347.5758476235787</v>
      </c>
      <c r="AO18" s="22">
        <f t="shared" si="7"/>
        <v>0</v>
      </c>
      <c r="AP18" s="22">
        <f t="shared" si="31"/>
        <v>96836.856930746682</v>
      </c>
      <c r="AQ18" s="22"/>
      <c r="AR18" s="10">
        <f>IF($B$10="3BR_H",
INDEX('ns-combined'!$C:$D,MATCH($L18,'ns-combined'!$B:$B,0),MATCH(Council_Area,'ns-combined'!$C$1:$D$1,0))*1000,
INDEX('s-combined'!$C:$D,MATCH($L18,'s-combined'!$B:$B,0),MATCH(Council_Area,'s-combined'!$C$1:$D$1,0))*1000)</f>
        <v>350000</v>
      </c>
      <c r="AS18" s="22">
        <f t="shared" si="35"/>
        <v>10400</v>
      </c>
      <c r="AT18" s="10">
        <v>0</v>
      </c>
      <c r="AU18" s="22">
        <f t="shared" si="8"/>
        <v>7000</v>
      </c>
      <c r="AV18" s="22">
        <f t="shared" si="9"/>
        <v>1006.25</v>
      </c>
      <c r="AW18" s="22">
        <f>SUM($AV$3:AV18)</f>
        <v>13561.6625</v>
      </c>
      <c r="AX18" s="22">
        <f t="shared" si="32"/>
        <v>319038.33750000002</v>
      </c>
      <c r="AY18" s="22">
        <f>$B$36*V18</f>
        <v>1431.103358613218</v>
      </c>
      <c r="AZ18" s="24">
        <f t="shared" si="11"/>
        <v>1.6355466955579635E-2</v>
      </c>
      <c r="BA18" s="24">
        <f t="shared" si="12"/>
        <v>0.35000000000000003</v>
      </c>
      <c r="BB18" s="25">
        <f>IF(MortgageRate="Discounted",_xlfn.XLOOKUP(L18,'mortgage-rates'!$A:$A,'mortgage-rates'!$E:$E)/100,_xlfn.XLOOKUP(L18,'mortgage-rates'!$A:$A,'mortgage-rates'!$D:$D)/100)</f>
        <v>0.06</v>
      </c>
      <c r="BC18" s="10">
        <f t="shared" si="37"/>
        <v>194790.29666325016</v>
      </c>
      <c r="BD18" s="10">
        <f t="shared" si="13"/>
        <v>4069.9406065634685</v>
      </c>
      <c r="BE18" s="10">
        <f t="shared" si="14"/>
        <v>2921.8544499487525</v>
      </c>
      <c r="BF18" s="10">
        <f t="shared" si="36"/>
        <v>1148.0861566147159</v>
      </c>
      <c r="BG18" s="12">
        <f t="shared" si="15"/>
        <v>5501.0439651766865</v>
      </c>
      <c r="BH18" s="22">
        <f>INDEX(cpi!B:B,MATCH($L18,cpi!A:A))</f>
        <v>94.5</v>
      </c>
      <c r="BI18" s="22">
        <f t="shared" si="16"/>
        <v>111.70212765957447</v>
      </c>
      <c r="BJ18" s="22">
        <f t="shared" si="17"/>
        <v>97.613356787298372</v>
      </c>
      <c r="BK18" s="22">
        <f t="shared" si="18"/>
        <v>119.1353557212046</v>
      </c>
      <c r="BL18" s="22">
        <f t="shared" si="19"/>
        <v>104.06995646747023</v>
      </c>
      <c r="BM18" s="22">
        <f t="shared" si="20"/>
        <v>142.06585452021542</v>
      </c>
      <c r="BN18" s="22">
        <f t="shared" si="21"/>
        <v>134.61538461538461</v>
      </c>
      <c r="BO18">
        <f t="shared" si="22"/>
        <v>125.90181134755973</v>
      </c>
    </row>
    <row r="19" spans="1:67" x14ac:dyDescent="0.25">
      <c r="A19" t="s">
        <v>324</v>
      </c>
      <c r="B19" t="s">
        <v>329</v>
      </c>
      <c r="C19" t="s">
        <v>329</v>
      </c>
      <c r="L19" s="1">
        <f>DATE(YEAR(L18),MONTH(L18)+3,1)</f>
        <v>40238</v>
      </c>
      <c r="M19" s="10">
        <f t="shared" si="0"/>
        <v>101247.67360155623</v>
      </c>
      <c r="N19" s="10">
        <f t="shared" si="23"/>
        <v>124228.43949336457</v>
      </c>
      <c r="O19" s="7">
        <f t="shared" si="24"/>
        <v>0.81501203761771635</v>
      </c>
      <c r="P19" s="7">
        <f t="shared" si="1"/>
        <v>0.75541905680276533</v>
      </c>
      <c r="Q19">
        <v>17</v>
      </c>
      <c r="R19">
        <f t="shared" si="2"/>
        <v>90</v>
      </c>
      <c r="S19" s="22"/>
      <c r="T19" s="22">
        <f>IF($B$10="3BR_H",
INDEX('3BR_H-processed'!$E:$E,MATCH($L19,'3BR_H-processed'!$B:$B,0),MATCH(Council_Area,'3BR_H-processed'!$E$1:$E$1,0)),
INDEX('2BR_F-processed'!$E:$E,MATCH($L19,'2BR_F-processed'!$B:$B,0),MATCH(Council_Area,'2BR_F-processed'!$E$1:$E$1,0)))</f>
        <v>318</v>
      </c>
      <c r="U19" s="22">
        <f t="shared" si="25"/>
        <v>318</v>
      </c>
      <c r="V19" s="22">
        <f t="shared" si="34"/>
        <v>4088.5714285714284</v>
      </c>
      <c r="W19" s="22">
        <f>$B$53/4*BH19/_xlfn.XLOOKUP(Q_end,cpi!A:A,cpi!B:B)</f>
        <v>131.58258465791295</v>
      </c>
      <c r="X19" s="22">
        <f t="shared" si="26"/>
        <v>4220.1540132293412</v>
      </c>
      <c r="Y19" s="22">
        <f t="shared" si="3"/>
        <v>1366.3532044872936</v>
      </c>
      <c r="Z19" s="22">
        <f t="shared" si="27"/>
        <v>0</v>
      </c>
      <c r="AA19" s="22" cm="1">
        <f t="array" ref="AA19">(Y19+Z19)*eff_invest</f>
        <v>1366.3532044872936</v>
      </c>
      <c r="AB19" s="22">
        <f>AA19*(_xlfn.XLOOKUP(Q_end,cpi!A:A,cpi!B:B)/BH19)</f>
        <v>2076.7994610221785</v>
      </c>
      <c r="AC19" s="22" cm="1">
        <f t="array" ref="AC19">INDEX('msci-indices'!C:C,MATCH($L19,'msci-indices'!$B:$B)-2)</f>
        <v>765.74116200000003</v>
      </c>
      <c r="AD19" s="22" cm="1">
        <f t="array" ref="AD19">INDEX('msci-indices'!D:D,MATCH($L19,'msci-indices'!$B:$B)-2)</f>
        <v>878.343298</v>
      </c>
      <c r="AE19" s="22">
        <f t="shared" si="28"/>
        <v>98203.210135233981</v>
      </c>
      <c r="AF19" s="22" cm="1">
        <f t="array" ref="AF19">INDEX('msci-indices'!C:C,MATCH($L19,'msci-indices'!$B:$B)+1)</f>
        <v>794.63717599999995</v>
      </c>
      <c r="AG19" s="22" cm="1">
        <f t="array" ref="AG19">INDEX('msci-indices'!D:D,MATCH($L19,'msci-indices'!$B:$B)+1)</f>
        <v>893.60148100000004</v>
      </c>
      <c r="AH19" s="22">
        <f t="shared" si="4"/>
        <v>61.377006334521241</v>
      </c>
      <c r="AI19" s="22">
        <f t="shared" si="5"/>
        <v>101247.67360155623</v>
      </c>
      <c r="AJ19" s="22">
        <f t="shared" si="29"/>
        <v>95084.579470454948</v>
      </c>
      <c r="AK19" s="22">
        <f t="shared" si="6"/>
        <v>6163.0941311012866</v>
      </c>
      <c r="AL19" s="22">
        <f>AJ19*(_xlfn.XLOOKUP(Q_end,cpi!A:A,cpi!B:B)/BH19)</f>
        <v>144524.56564469359</v>
      </c>
      <c r="AM19" s="22" cm="1">
        <f t="array" ref="AM19">SUMPRODUCT($AA$3:AA19,_xlfn.SORTBY($BH$3:BH19,_xlfn.SEQUENCE(ROWS($BH$3:BH19)),-1)/$BH$3)</f>
        <v>105323.58122831649</v>
      </c>
      <c r="AN19" s="22">
        <f t="shared" si="30"/>
        <v>-4075.9076267602504</v>
      </c>
      <c r="AO19" s="22">
        <f t="shared" si="7"/>
        <v>0</v>
      </c>
      <c r="AP19" s="22">
        <f t="shared" si="31"/>
        <v>101247.67360155623</v>
      </c>
      <c r="AQ19" s="22"/>
      <c r="AR19" s="10">
        <f>IF($B$10="3BR_H",
INDEX('ns-combined'!$C:$D,MATCH($L19,'ns-combined'!$B:$B,0),MATCH(Council_Area,'ns-combined'!$C$1:$D$1,0))*1000,
INDEX('s-combined'!$C:$D,MATCH($L19,'s-combined'!$B:$B,0),MATCH(Council_Area,'s-combined'!$C$1:$D$1,0))*1000)</f>
        <v>350500</v>
      </c>
      <c r="AS19" s="22">
        <f t="shared" si="35"/>
        <v>11050</v>
      </c>
      <c r="AT19" s="10">
        <v>0</v>
      </c>
      <c r="AU19" s="22">
        <f t="shared" si="8"/>
        <v>7010</v>
      </c>
      <c r="AV19" s="22">
        <f t="shared" si="9"/>
        <v>1007.6875</v>
      </c>
      <c r="AW19" s="22">
        <f>SUM($AV$3:AV19)</f>
        <v>14569.35</v>
      </c>
      <c r="AX19" s="22">
        <f t="shared" si="32"/>
        <v>317870.65000000002</v>
      </c>
      <c r="AY19" s="22">
        <f t="shared" si="10"/>
        <v>1431</v>
      </c>
      <c r="AZ19" s="24">
        <f t="shared" si="11"/>
        <v>1.6330955777460771E-2</v>
      </c>
      <c r="BA19" s="24">
        <f t="shared" si="12"/>
        <v>0.35000000000000003</v>
      </c>
      <c r="BB19" s="25">
        <f>IF(MortgageRate="Discounted",_xlfn.XLOOKUP(L19,'mortgage-rates'!$A:$A,'mortgage-rates'!$E:$E)/100,_xlfn.XLOOKUP(L19,'mortgage-rates'!$A:$A,'mortgage-rates'!$D:$D)/100)</f>
        <v>6.25E-2</v>
      </c>
      <c r="BC19" s="10">
        <f t="shared" si="37"/>
        <v>193642.21050663546</v>
      </c>
      <c r="BD19" s="10">
        <f t="shared" si="13"/>
        <v>4155.5072177166348</v>
      </c>
      <c r="BE19" s="10">
        <f t="shared" si="14"/>
        <v>3025.659539166179</v>
      </c>
      <c r="BF19" s="10">
        <f t="shared" si="36"/>
        <v>1129.8476785504558</v>
      </c>
      <c r="BG19" s="12">
        <f t="shared" si="15"/>
        <v>5586.5072177166348</v>
      </c>
      <c r="BH19" s="22">
        <f>INDEX(cpi!B:B,MATCH($L19,cpi!A:A))</f>
        <v>95.2</v>
      </c>
      <c r="BI19" s="22">
        <f t="shared" si="16"/>
        <v>112.52955082742318</v>
      </c>
      <c r="BJ19" s="22">
        <f t="shared" si="17"/>
        <v>101.43884545849789</v>
      </c>
      <c r="BK19" s="22">
        <f t="shared" si="18"/>
        <v>123.19736332992677</v>
      </c>
      <c r="BL19" s="22">
        <f t="shared" si="19"/>
        <v>107.96640081992655</v>
      </c>
      <c r="BM19" s="22">
        <f t="shared" si="20"/>
        <v>149.40629836985309</v>
      </c>
      <c r="BN19" s="22">
        <f t="shared" si="21"/>
        <v>134.80769230769232</v>
      </c>
      <c r="BO19">
        <f t="shared" si="22"/>
        <v>125.44100788271625</v>
      </c>
    </row>
    <row r="20" spans="1:67" x14ac:dyDescent="0.25">
      <c r="A20" t="s">
        <v>335</v>
      </c>
      <c r="B20" s="8">
        <v>0.2</v>
      </c>
      <c r="C20" s="8">
        <v>0.2</v>
      </c>
      <c r="L20" s="1">
        <f t="shared" si="33"/>
        <v>40330</v>
      </c>
      <c r="M20" s="10">
        <f t="shared" si="0"/>
        <v>90094.133331431833</v>
      </c>
      <c r="N20" s="10">
        <f t="shared" si="23"/>
        <v>117153.86217191498</v>
      </c>
      <c r="O20" s="7">
        <f t="shared" si="24"/>
        <v>0.76902401390083996</v>
      </c>
      <c r="P20" s="7">
        <f t="shared" si="1"/>
        <v>0.73882138769935934</v>
      </c>
      <c r="Q20">
        <v>18</v>
      </c>
      <c r="R20">
        <f t="shared" si="2"/>
        <v>91</v>
      </c>
      <c r="S20" s="22"/>
      <c r="T20" s="22">
        <f>IF($B$10="3BR_H",
INDEX('3BR_H-processed'!$E:$E,MATCH($L20,'3BR_H-processed'!$B:$B,0),MATCH(Council_Area,'3BR_H-processed'!$E$1:$E$1,0)),
INDEX('2BR_F-processed'!$E:$E,MATCH($L20,'2BR_F-processed'!$B:$B,0),MATCH(Council_Area,'2BR_F-processed'!$E$1:$E$1,0)))</f>
        <v>318</v>
      </c>
      <c r="U20" s="22">
        <f t="shared" si="25"/>
        <v>318</v>
      </c>
      <c r="V20" s="22">
        <f t="shared" si="34"/>
        <v>4134</v>
      </c>
      <c r="W20" s="22">
        <f>$B$53/4*BH20/_xlfn.XLOOKUP(Q_end,cpi!A:A,cpi!B:B)</f>
        <v>132.41188666205943</v>
      </c>
      <c r="X20" s="22">
        <f t="shared" si="26"/>
        <v>4266.4118866620593</v>
      </c>
      <c r="Y20" s="22">
        <f t="shared" si="3"/>
        <v>1508.2069287831491</v>
      </c>
      <c r="Z20" s="22">
        <f t="shared" si="27"/>
        <v>0</v>
      </c>
      <c r="AA20" s="22" cm="1">
        <f t="array" ref="AA20">(Y20+Z20)*eff_invest</f>
        <v>1508.2069287831491</v>
      </c>
      <c r="AB20" s="22">
        <f>AA20*(_xlfn.XLOOKUP(Q_end,cpi!A:A,cpi!B:B)/BH20)</f>
        <v>2278.0536805315414</v>
      </c>
      <c r="AC20" s="22" cm="1">
        <f t="array" ref="AC20">INDEX('msci-indices'!C:C,MATCH($L20,'msci-indices'!$B:$B)-2)</f>
        <v>794.63717599999995</v>
      </c>
      <c r="AD20" s="22" cm="1">
        <f t="array" ref="AD20">INDEX('msci-indices'!D:D,MATCH($L20,'msci-indices'!$B:$B)-2)</f>
        <v>893.60148100000004</v>
      </c>
      <c r="AE20" s="22">
        <f t="shared" si="28"/>
        <v>102755.88053033939</v>
      </c>
      <c r="AF20" s="22" cm="1">
        <f t="array" ref="AF20">INDEX('msci-indices'!C:C,MATCH($L20,'msci-indices'!$B:$B)+1)</f>
        <v>696.18017999999995</v>
      </c>
      <c r="AG20" s="22" cm="1">
        <f t="array" ref="AG20">INDEX('msci-indices'!D:D,MATCH($L20,'msci-indices'!$B:$B)+1)</f>
        <v>786.77036999999996</v>
      </c>
      <c r="AH20" s="22">
        <f t="shared" si="4"/>
        <v>64.222425331462119</v>
      </c>
      <c r="AI20" s="22">
        <f t="shared" si="5"/>
        <v>90094.133331431833</v>
      </c>
      <c r="AJ20" s="22">
        <f t="shared" si="29"/>
        <v>96592.786399238103</v>
      </c>
      <c r="AK20" s="22">
        <f t="shared" si="6"/>
        <v>-6498.65306780627</v>
      </c>
      <c r="AL20" s="22">
        <f>AJ20*(_xlfn.XLOOKUP(Q_end,cpi!A:A,cpi!B:B)/BH20)</f>
        <v>145897.4550309995</v>
      </c>
      <c r="AM20" s="22" cm="1">
        <f t="array" ref="AM20">SUMPRODUCT($AA$3:AA20,_xlfn.SORTBY($BH$3:BH20,_xlfn.SEQUENCE(ROWS($BH$3:BH20)),-1)/$BH$3)</f>
        <v>107541.84264635466</v>
      </c>
      <c r="AN20" s="22">
        <f t="shared" si="30"/>
        <v>-17447.709314922831</v>
      </c>
      <c r="AO20" s="22">
        <f t="shared" si="7"/>
        <v>0</v>
      </c>
      <c r="AP20" s="22">
        <f t="shared" si="31"/>
        <v>90094.133331431833</v>
      </c>
      <c r="AQ20" s="22"/>
      <c r="AR20" s="10">
        <f>IF($B$10="3BR_H",
INDEX('ns-combined'!$C:$D,MATCH($L20,'ns-combined'!$B:$B,0),MATCH(Council_Area,'ns-combined'!$C$1:$D$1,0))*1000,
INDEX('s-combined'!$C:$D,MATCH($L20,'s-combined'!$B:$B,0),MATCH(Council_Area,'s-combined'!$C$1:$D$1,0))*1000)</f>
        <v>343800</v>
      </c>
      <c r="AS20" s="22">
        <f t="shared" si="35"/>
        <v>11700</v>
      </c>
      <c r="AT20" s="10">
        <v>0</v>
      </c>
      <c r="AU20" s="22">
        <f t="shared" si="8"/>
        <v>6876</v>
      </c>
      <c r="AV20" s="22">
        <f t="shared" si="9"/>
        <v>988.42499999999995</v>
      </c>
      <c r="AW20" s="22">
        <f>SUM($AV$3:AV20)</f>
        <v>15557.775</v>
      </c>
      <c r="AX20" s="22">
        <f t="shared" si="32"/>
        <v>309666.22499999998</v>
      </c>
      <c r="AY20" s="22">
        <f t="shared" si="10"/>
        <v>1446.9</v>
      </c>
      <c r="AZ20" s="24">
        <f t="shared" si="11"/>
        <v>1.6834205933682376E-2</v>
      </c>
      <c r="BA20" s="24">
        <f t="shared" si="12"/>
        <v>0.35000000000000003</v>
      </c>
      <c r="BB20" s="25">
        <f>IF(MortgageRate="Discounted",_xlfn.XLOOKUP(L20,'mortgage-rates'!$A:$A,'mortgage-rates'!$E:$E)/100,_xlfn.XLOOKUP(L20,'mortgage-rates'!$A:$A,'mortgage-rates'!$D:$D)/100)</f>
        <v>6.7500000000000004E-2</v>
      </c>
      <c r="BC20" s="10">
        <f t="shared" si="37"/>
        <v>192512.362828085</v>
      </c>
      <c r="BD20" s="10">
        <f t="shared" si="13"/>
        <v>4327.7188154452087</v>
      </c>
      <c r="BE20" s="10">
        <f t="shared" si="14"/>
        <v>3248.6461227239347</v>
      </c>
      <c r="BF20" s="10">
        <f t="shared" si="36"/>
        <v>1079.0726927212741</v>
      </c>
      <c r="BG20" s="12">
        <f t="shared" si="15"/>
        <v>5774.6188154452084</v>
      </c>
      <c r="BH20" s="22">
        <f>INDEX(cpi!B:B,MATCH($L20,cpi!A:A))</f>
        <v>95.8</v>
      </c>
      <c r="BI20" s="22">
        <f t="shared" si="16"/>
        <v>113.2387706855792</v>
      </c>
      <c r="BJ20" s="22">
        <f t="shared" si="17"/>
        <v>105.26674246073921</v>
      </c>
      <c r="BK20" s="22">
        <f t="shared" si="18"/>
        <v>125.3374922739123</v>
      </c>
      <c r="BL20" s="22">
        <f t="shared" si="19"/>
        <v>111.28796740469113</v>
      </c>
      <c r="BM20" s="22">
        <f t="shared" si="20"/>
        <v>156.33272807102099</v>
      </c>
      <c r="BN20" s="22">
        <f t="shared" si="21"/>
        <v>132.23076923076923</v>
      </c>
      <c r="BO20">
        <f t="shared" si="22"/>
        <v>122.20330304555004</v>
      </c>
    </row>
    <row r="21" spans="1:67" x14ac:dyDescent="0.25">
      <c r="A21" t="s">
        <v>334</v>
      </c>
      <c r="B21" s="4">
        <v>0</v>
      </c>
      <c r="C21" s="4">
        <v>0</v>
      </c>
      <c r="L21" s="1">
        <f t="shared" si="33"/>
        <v>40422</v>
      </c>
      <c r="M21" s="10">
        <f t="shared" si="0"/>
        <v>102832.23360583904</v>
      </c>
      <c r="N21" s="10">
        <f t="shared" si="23"/>
        <v>112881.43486463625</v>
      </c>
      <c r="O21" s="7">
        <f t="shared" si="24"/>
        <v>0.91097560665446986</v>
      </c>
      <c r="P21" s="7">
        <f t="shared" si="1"/>
        <v>0.74478123593890677</v>
      </c>
      <c r="Q21">
        <v>19</v>
      </c>
      <c r="R21">
        <f t="shared" si="2"/>
        <v>92</v>
      </c>
      <c r="S21" s="22"/>
      <c r="T21" s="22">
        <f>IF($B$10="3BR_H",
INDEX('3BR_H-processed'!$E:$E,MATCH($L21,'3BR_H-processed'!$B:$B,0),MATCH(Council_Area,'3BR_H-processed'!$E$1:$E$1,0)),
INDEX('2BR_F-processed'!$E:$E,MATCH($L21,'2BR_F-processed'!$B:$B,0),MATCH(Council_Area,'2BR_F-processed'!$E$1:$E$1,0)))</f>
        <v>312.07723635990084</v>
      </c>
      <c r="U21" s="22">
        <f t="shared" si="25"/>
        <v>318</v>
      </c>
      <c r="V21" s="22">
        <f t="shared" si="34"/>
        <v>4179.4285714285716</v>
      </c>
      <c r="W21" s="22">
        <f>$B$53/4*BH21/_xlfn.XLOOKUP(Q_end,cpi!A:A,cpi!B:B)</f>
        <v>133.24118866620594</v>
      </c>
      <c r="X21" s="22">
        <f t="shared" si="26"/>
        <v>4312.6697600947773</v>
      </c>
      <c r="Y21" s="22">
        <f t="shared" si="3"/>
        <v>1477.8490553504316</v>
      </c>
      <c r="Z21" s="22">
        <f t="shared" si="27"/>
        <v>0</v>
      </c>
      <c r="AA21" s="22" cm="1">
        <f t="array" ref="AA21">(Y21+Z21)*eff_invest</f>
        <v>1477.8490553504316</v>
      </c>
      <c r="AB21" s="22">
        <f>AA21*(_xlfn.XLOOKUP(Q_end,cpi!A:A,cpi!B:B)/BH21)</f>
        <v>2218.3066214648074</v>
      </c>
      <c r="AC21" s="22" cm="1">
        <f t="array" ref="AC21">INDEX('msci-indices'!C:C,MATCH($L21,'msci-indices'!$B:$B)-2)</f>
        <v>696.18017999999995</v>
      </c>
      <c r="AD21" s="22" cm="1">
        <f t="array" ref="AD21">INDEX('msci-indices'!D:D,MATCH($L21,'msci-indices'!$B:$B)-2)</f>
        <v>786.77036999999996</v>
      </c>
      <c r="AE21" s="22">
        <f t="shared" si="28"/>
        <v>91571.982386782271</v>
      </c>
      <c r="AF21" s="22" cm="1">
        <f t="array" ref="AF21">INDEX('msci-indices'!C:C,MATCH($L21,'msci-indices'!$B:$B)+1)</f>
        <v>792.86985700000002</v>
      </c>
      <c r="AG21" s="22" cm="1">
        <f t="array" ref="AG21">INDEX('msci-indices'!D:D,MATCH($L21,'msci-indices'!$B:$B)+1)</f>
        <v>855.92990299999997</v>
      </c>
      <c r="AH21" s="22">
        <f t="shared" si="4"/>
        <v>57.232488991738919</v>
      </c>
      <c r="AI21" s="22">
        <f t="shared" si="5"/>
        <v>102832.23360583904</v>
      </c>
      <c r="AJ21" s="22">
        <f t="shared" si="29"/>
        <v>98070.635454588541</v>
      </c>
      <c r="AK21" s="22">
        <f t="shared" si="6"/>
        <v>4761.598151250495</v>
      </c>
      <c r="AL21" s="22">
        <f>AJ21*(_xlfn.XLOOKUP(Q_end,cpi!A:A,cpi!B:B)/BH21)</f>
        <v>147207.68620621329</v>
      </c>
      <c r="AM21" s="22" cm="1">
        <f t="array" ref="AM21">SUMPRODUCT($AA$3:AA21,_xlfn.SORTBY($BH$3:BH21,_xlfn.SEQUENCE(ROWS($BH$3:BH21)),-1)/$BH$3)</f>
        <v>109735.05190764743</v>
      </c>
      <c r="AN21" s="22">
        <f t="shared" si="30"/>
        <v>-6902.8183018083946</v>
      </c>
      <c r="AO21" s="22">
        <f t="shared" si="7"/>
        <v>0</v>
      </c>
      <c r="AP21" s="22">
        <f t="shared" si="31"/>
        <v>102832.23360583904</v>
      </c>
      <c r="AQ21" s="22"/>
      <c r="AR21" s="10">
        <f>IF($B$10="3BR_H",
INDEX('ns-combined'!$C:$D,MATCH($L21,'ns-combined'!$B:$B,0),MATCH(Council_Area,'ns-combined'!$C$1:$D$1,0))*1000,
INDEX('s-combined'!$C:$D,MATCH($L21,'s-combined'!$B:$B,0),MATCH(Council_Area,'s-combined'!$C$1:$D$1,0))*1000)</f>
        <v>340000</v>
      </c>
      <c r="AS21" s="22">
        <f t="shared" si="35"/>
        <v>12350</v>
      </c>
      <c r="AT21" s="10">
        <v>0</v>
      </c>
      <c r="AU21" s="22">
        <f t="shared" si="8"/>
        <v>6800</v>
      </c>
      <c r="AV21" s="22">
        <f t="shared" si="9"/>
        <v>977.5</v>
      </c>
      <c r="AW21" s="22">
        <f>SUM($AV$3:AV21)</f>
        <v>16535.275000000001</v>
      </c>
      <c r="AX21" s="22">
        <f t="shared" si="32"/>
        <v>304314.72499999998</v>
      </c>
      <c r="AY21" s="22">
        <f t="shared" si="10"/>
        <v>1462.8000000000002</v>
      </c>
      <c r="AZ21" s="24">
        <f t="shared" si="11"/>
        <v>1.7209411764705883E-2</v>
      </c>
      <c r="BA21" s="24">
        <f t="shared" si="12"/>
        <v>0.35000000000000003</v>
      </c>
      <c r="BB21" s="25">
        <f>IF(MortgageRate="Discounted",_xlfn.XLOOKUP(L21,'mortgage-rates'!$A:$A,'mortgage-rates'!$E:$E)/100,_xlfn.XLOOKUP(L21,'mortgage-rates'!$A:$A,'mortgage-rates'!$D:$D)/100)</f>
        <v>6.7500000000000004E-2</v>
      </c>
      <c r="BC21" s="10">
        <f t="shared" si="37"/>
        <v>191433.29013536373</v>
      </c>
      <c r="BD21" s="10">
        <f t="shared" si="13"/>
        <v>4327.7188154452087</v>
      </c>
      <c r="BE21" s="10">
        <f t="shared" si="14"/>
        <v>3230.4367710342631</v>
      </c>
      <c r="BF21" s="10">
        <f t="shared" si="36"/>
        <v>1097.2820444109457</v>
      </c>
      <c r="BG21" s="12">
        <f t="shared" si="15"/>
        <v>5790.5188154452089</v>
      </c>
      <c r="BH21" s="22">
        <f>INDEX(cpi!B:B,MATCH($L21,cpi!A:A))</f>
        <v>96.4</v>
      </c>
      <c r="BI21" s="22">
        <f t="shared" si="16"/>
        <v>113.94799054373523</v>
      </c>
      <c r="BJ21" s="22">
        <f t="shared" si="17"/>
        <v>92.224001000339641</v>
      </c>
      <c r="BK21" s="22">
        <f t="shared" si="18"/>
        <v>110.35324724491825</v>
      </c>
      <c r="BL21" s="22">
        <f t="shared" si="19"/>
        <v>97.662774873713232</v>
      </c>
      <c r="BM21" s="22">
        <f t="shared" si="20"/>
        <v>139.31755289830195</v>
      </c>
      <c r="BN21" s="22">
        <f t="shared" si="21"/>
        <v>130.76923076923077</v>
      </c>
      <c r="BO21">
        <f t="shared" si="22"/>
        <v>120.0914454277286</v>
      </c>
    </row>
    <row r="22" spans="1:67" x14ac:dyDescent="0.25">
      <c r="L22" s="1">
        <f t="shared" si="33"/>
        <v>40513</v>
      </c>
      <c r="M22" s="10">
        <f t="shared" si="0"/>
        <v>112861.99306198319</v>
      </c>
      <c r="N22" s="10">
        <f t="shared" si="23"/>
        <v>117236.84190904719</v>
      </c>
      <c r="O22" s="7">
        <f t="shared" si="24"/>
        <v>0.96268366858211663</v>
      </c>
      <c r="P22" s="7">
        <f t="shared" si="1"/>
        <v>0.72761661786023613</v>
      </c>
      <c r="Q22">
        <v>20</v>
      </c>
      <c r="R22">
        <f t="shared" si="2"/>
        <v>92</v>
      </c>
      <c r="S22" s="22"/>
      <c r="T22" s="22">
        <f>IF($B$10="3BR_H",
INDEX('3BR_H-processed'!$E:$E,MATCH($L22,'3BR_H-processed'!$B:$B,0),MATCH(Council_Area,'3BR_H-processed'!$E$1:$E$1,0)),
INDEX('2BR_F-processed'!$E:$E,MATCH($L22,'2BR_F-processed'!$B:$B,0),MATCH(Council_Area,'2BR_F-processed'!$E$1:$E$1,0)))</f>
        <v>314.69149593150212</v>
      </c>
      <c r="U22" s="22">
        <f t="shared" si="25"/>
        <v>318</v>
      </c>
      <c r="V22" s="22">
        <f t="shared" si="34"/>
        <v>4179.4285714285716</v>
      </c>
      <c r="W22" s="22">
        <f>$B$53/4*BH22/_xlfn.XLOOKUP(Q_end,cpi!A:A,cpi!B:B)</f>
        <v>134.07049067035246</v>
      </c>
      <c r="X22" s="22">
        <f t="shared" si="26"/>
        <v>4313.4990620989238</v>
      </c>
      <c r="Y22" s="22">
        <f t="shared" si="3"/>
        <v>1614.7589740960111</v>
      </c>
      <c r="Z22" s="22">
        <f t="shared" si="27"/>
        <v>0</v>
      </c>
      <c r="AA22" s="22" cm="1">
        <f t="array" ref="AA22">(Y22+Z22)*eff_invest</f>
        <v>1614.7589740960111</v>
      </c>
      <c r="AB22" s="22">
        <f>AA22*(_xlfn.XLOOKUP(Q_end,cpi!A:A,cpi!B:B)/BH22)</f>
        <v>2408.8208613576576</v>
      </c>
      <c r="AC22" s="22" cm="1">
        <f t="array" ref="AC22">INDEX('msci-indices'!C:C,MATCH($L22,'msci-indices'!$B:$B)-2)</f>
        <v>792.86985700000002</v>
      </c>
      <c r="AD22" s="22" cm="1">
        <f t="array" ref="AD22">INDEX('msci-indices'!D:D,MATCH($L22,'msci-indices'!$B:$B)-2)</f>
        <v>855.92990299999997</v>
      </c>
      <c r="AE22" s="22">
        <f t="shared" si="28"/>
        <v>104446.99257993505</v>
      </c>
      <c r="AF22" s="22" cm="1">
        <f t="array" ref="AF22">INDEX('msci-indices'!C:C,MATCH($L22,'msci-indices'!$B:$B)+1)</f>
        <v>869.423677</v>
      </c>
      <c r="AG22" s="22" cm="1">
        <f t="array" ref="AG22">INDEX('msci-indices'!D:D,MATCH($L22,'msci-indices'!$B:$B)+1)</f>
        <v>894.74693600000001</v>
      </c>
      <c r="AH22" s="22">
        <f t="shared" si="4"/>
        <v>65.279370362459403</v>
      </c>
      <c r="AI22" s="22">
        <f t="shared" si="5"/>
        <v>112861.99306198319</v>
      </c>
      <c r="AJ22" s="22">
        <f t="shared" si="29"/>
        <v>99685.394428684551</v>
      </c>
      <c r="AK22" s="22">
        <f t="shared" si="6"/>
        <v>13176.598633298636</v>
      </c>
      <c r="AL22" s="22">
        <f>AJ22*(_xlfn.XLOOKUP(Q_end,cpi!A:A,cpi!B:B)/BH22)</f>
        <v>148705.94406010982</v>
      </c>
      <c r="AM22" s="22" cm="1">
        <f t="array" ref="AM22">SUMPRODUCT($AA$3:AA22,_xlfn.SORTBY($BH$3:BH22,_xlfn.SEQUENCE(ROWS($BH$3:BH22)),-1)/$BH$3)</f>
        <v>112061.74284530985</v>
      </c>
      <c r="AN22" s="22">
        <f t="shared" si="30"/>
        <v>800.25021667333203</v>
      </c>
      <c r="AO22" s="22">
        <f t="shared" si="7"/>
        <v>0</v>
      </c>
      <c r="AP22" s="22">
        <f t="shared" si="31"/>
        <v>112861.99306198319</v>
      </c>
      <c r="AQ22" s="22"/>
      <c r="AR22" s="10">
        <f>IF($B$10="3BR_H",
INDEX('ns-combined'!$C:$D,MATCH($L22,'ns-combined'!$B:$B,0),MATCH(Council_Area,'ns-combined'!$C$1:$D$1,0))*1000,
INDEX('s-combined'!$C:$D,MATCH($L22,'s-combined'!$B:$B,0),MATCH(Council_Area,'s-combined'!$C$1:$D$1,0))*1000)</f>
        <v>345000</v>
      </c>
      <c r="AS22" s="22">
        <f t="shared" si="35"/>
        <v>13000</v>
      </c>
      <c r="AT22" s="10">
        <v>0</v>
      </c>
      <c r="AU22" s="22">
        <f t="shared" si="8"/>
        <v>6900</v>
      </c>
      <c r="AV22" s="22">
        <f t="shared" si="9"/>
        <v>991.875</v>
      </c>
      <c r="AW22" s="22">
        <f>SUM($AV$3:AV22)</f>
        <v>17527.150000000001</v>
      </c>
      <c r="AX22" s="22">
        <f t="shared" si="32"/>
        <v>307572.84999999998</v>
      </c>
      <c r="AY22" s="22">
        <f t="shared" si="10"/>
        <v>1462.8000000000002</v>
      </c>
      <c r="AZ22" s="24">
        <f t="shared" si="11"/>
        <v>1.6960000000000003E-2</v>
      </c>
      <c r="BA22" s="24">
        <f t="shared" si="12"/>
        <v>0.35000000000000003</v>
      </c>
      <c r="BB22" s="25">
        <f>IF(MortgageRate="Discounted",_xlfn.XLOOKUP(L22,'mortgage-rates'!$A:$A,'mortgage-rates'!$E:$E)/100,_xlfn.XLOOKUP(L22,'mortgage-rates'!$A:$A,'mortgage-rates'!$D:$D)/100)</f>
        <v>7.1500000000000008E-2</v>
      </c>
      <c r="BC22" s="10">
        <f t="shared" si="37"/>
        <v>190336.00809095279</v>
      </c>
      <c r="BD22" s="10">
        <f t="shared" si="13"/>
        <v>4465.4580361949347</v>
      </c>
      <c r="BE22" s="10">
        <f t="shared" si="14"/>
        <v>3402.2561446257814</v>
      </c>
      <c r="BF22" s="10">
        <f t="shared" si="36"/>
        <v>1063.2018915691533</v>
      </c>
      <c r="BG22" s="12">
        <f>AT22+AY22+BD22</f>
        <v>5928.2580361949349</v>
      </c>
      <c r="BH22" s="22">
        <f>INDEX(cpi!B:B,MATCH($L22,cpi!A:A))</f>
        <v>97</v>
      </c>
      <c r="BI22" s="22">
        <f t="shared" si="16"/>
        <v>114.65721040189126</v>
      </c>
      <c r="BJ22" s="22">
        <f t="shared" si="17"/>
        <v>105.03262314234105</v>
      </c>
      <c r="BK22" s="22">
        <f t="shared" si="18"/>
        <v>120.0536367556367</v>
      </c>
      <c r="BL22" s="22">
        <f t="shared" si="19"/>
        <v>109.53892722632975</v>
      </c>
      <c r="BM22" s="22">
        <f t="shared" si="20"/>
        <v>158.90558481481585</v>
      </c>
      <c r="BN22" s="22">
        <f t="shared" si="21"/>
        <v>132.69230769230768</v>
      </c>
      <c r="BO22">
        <f t="shared" si="22"/>
        <v>121.37719635757341</v>
      </c>
    </row>
    <row r="23" spans="1:67" x14ac:dyDescent="0.25">
      <c r="A23" s="5" t="s">
        <v>339</v>
      </c>
      <c r="L23" s="1">
        <f t="shared" si="33"/>
        <v>40603</v>
      </c>
      <c r="M23" s="10">
        <f t="shared" si="0"/>
        <v>119589.07433106107</v>
      </c>
      <c r="N23" s="10">
        <f t="shared" si="23"/>
        <v>109818.29380061635</v>
      </c>
      <c r="O23" s="7">
        <f t="shared" si="24"/>
        <v>1.0889722485416167</v>
      </c>
      <c r="P23" s="7">
        <f t="shared" si="1"/>
        <v>0.71967056077673563</v>
      </c>
      <c r="Q23">
        <v>21</v>
      </c>
      <c r="R23">
        <f t="shared" si="2"/>
        <v>90</v>
      </c>
      <c r="S23" s="22"/>
      <c r="T23" s="22">
        <f>IF($B$10="3BR_H",
INDEX('3BR_H-processed'!$E:$E,MATCH($L23,'3BR_H-processed'!$B:$B,0),MATCH(Council_Area,'3BR_H-processed'!$E$1:$E$1,0)),
INDEX('2BR_F-processed'!$E:$E,MATCH($L23,'2BR_F-processed'!$B:$B,0),MATCH(Council_Area,'2BR_F-processed'!$E$1:$E$1,0)))</f>
        <v>318.93966773535413</v>
      </c>
      <c r="U23" s="22">
        <f t="shared" si="25"/>
        <v>318.93966773535413</v>
      </c>
      <c r="V23" s="22">
        <f t="shared" si="34"/>
        <v>4100.6528708831247</v>
      </c>
      <c r="W23" s="22">
        <f>$B$53/4*BH23/_xlfn.XLOOKUP(Q_end,cpi!A:A,cpi!B:B)</f>
        <v>136.00552868002765</v>
      </c>
      <c r="X23" s="22">
        <f t="shared" si="26"/>
        <v>4236.6583995631527</v>
      </c>
      <c r="Y23" s="22">
        <f t="shared" si="3"/>
        <v>1650.2829739877616</v>
      </c>
      <c r="Z23" s="22">
        <f t="shared" si="27"/>
        <v>0</v>
      </c>
      <c r="AA23" s="22" cm="1">
        <f t="array" ref="AA23">(Y23+Z23)*eff_invest</f>
        <v>1650.2829739877616</v>
      </c>
      <c r="AB23" s="22">
        <f>AA23*(_xlfn.XLOOKUP(Q_end,cpi!A:A,cpi!B:B)/BH23)</f>
        <v>2426.7880725206205</v>
      </c>
      <c r="AC23" s="22" cm="1">
        <f t="array" ref="AC23">INDEX('msci-indices'!C:C,MATCH($L23,'msci-indices'!$B:$B)-2)</f>
        <v>869.423677</v>
      </c>
      <c r="AD23" s="22" cm="1">
        <f t="array" ref="AD23">INDEX('msci-indices'!D:D,MATCH($L23,'msci-indices'!$B:$B)-2)</f>
        <v>894.74693600000001</v>
      </c>
      <c r="AE23" s="22">
        <f t="shared" si="28"/>
        <v>114512.27603597095</v>
      </c>
      <c r="AF23" s="22" cm="1">
        <f t="array" ref="AF23">INDEX('msci-indices'!C:C,MATCH($L23,'msci-indices'!$B:$B)+1)</f>
        <v>912.83803799999998</v>
      </c>
      <c r="AG23" s="22" cm="1">
        <f t="array" ref="AG23">INDEX('msci-indices'!D:D,MATCH($L23,'msci-indices'!$B:$B)+1)</f>
        <v>924.58628799999997</v>
      </c>
      <c r="AH23" s="22">
        <f t="shared" si="4"/>
        <v>71.57017252248184</v>
      </c>
      <c r="AI23" s="22">
        <f t="shared" si="5"/>
        <v>119589.07433106107</v>
      </c>
      <c r="AJ23" s="22">
        <f t="shared" si="29"/>
        <v>101335.67740267231</v>
      </c>
      <c r="AK23" s="22">
        <f t="shared" si="6"/>
        <v>18253.396928388756</v>
      </c>
      <c r="AL23" s="22">
        <f>AJ23*(_xlfn.XLOOKUP(Q_end,cpi!A:A,cpi!B:B)/BH23)</f>
        <v>149016.99715616545</v>
      </c>
      <c r="AM23" s="22" cm="1">
        <f t="array" ref="AM23">SUMPRODUCT($AA$3:AA23,_xlfn.SORTBY($BH$3:BH23,_xlfn.SEQUENCE(ROWS($BH$3:BH23)),-1)/$BH$3)</f>
        <v>115045.42748116591</v>
      </c>
      <c r="AN23" s="22">
        <f t="shared" si="30"/>
        <v>4543.6468498951581</v>
      </c>
      <c r="AO23" s="22">
        <f t="shared" si="7"/>
        <v>0</v>
      </c>
      <c r="AP23" s="22">
        <f t="shared" si="31"/>
        <v>119589.07433106107</v>
      </c>
      <c r="AQ23" s="22"/>
      <c r="AR23" s="10">
        <f>IF($B$10="3BR_H",
INDEX('ns-combined'!$C:$D,MATCH($L23,'ns-combined'!$B:$B,0),MATCH(Council_Area,'ns-combined'!$C$1:$D$1,0))*1000,
INDEX('s-combined'!$C:$D,MATCH($L23,'s-combined'!$B:$B,0),MATCH(Council_Area,'s-combined'!$C$1:$D$1,0))*1000)</f>
        <v>338000</v>
      </c>
      <c r="AS23" s="22">
        <f t="shared" si="35"/>
        <v>13650</v>
      </c>
      <c r="AT23" s="10">
        <v>0</v>
      </c>
      <c r="AU23" s="22">
        <f t="shared" si="8"/>
        <v>6760</v>
      </c>
      <c r="AV23" s="22">
        <f t="shared" si="9"/>
        <v>971.75</v>
      </c>
      <c r="AW23" s="22">
        <f>SUM($AV$3:AV23)</f>
        <v>18498.900000000001</v>
      </c>
      <c r="AX23" s="22">
        <f t="shared" si="32"/>
        <v>299091.09999999998</v>
      </c>
      <c r="AY23" s="22">
        <f t="shared" si="10"/>
        <v>1435.2285048090937</v>
      </c>
      <c r="AZ23" s="24">
        <f t="shared" si="11"/>
        <v>1.6984952719634246E-2</v>
      </c>
      <c r="BA23" s="24">
        <f t="shared" si="12"/>
        <v>0.35000000000000003</v>
      </c>
      <c r="BB23" s="25">
        <f>IF(MortgageRate="Discounted",_xlfn.XLOOKUP(L23,'mortgage-rates'!$A:$A,'mortgage-rates'!$E:$E)/100,_xlfn.XLOOKUP(L23,'mortgage-rates'!$A:$A,'mortgage-rates'!$D:$D)/100)</f>
        <v>7.1099999999999997E-2</v>
      </c>
      <c r="BC23" s="10">
        <f t="shared" si="37"/>
        <v>189272.80619938363</v>
      </c>
      <c r="BD23" s="10">
        <f t="shared" si="13"/>
        <v>4451.7128687418208</v>
      </c>
      <c r="BE23" s="10">
        <f t="shared" si="14"/>
        <v>3364.3241301940438</v>
      </c>
      <c r="BF23" s="10">
        <f t="shared" si="36"/>
        <v>1087.3887385477769</v>
      </c>
      <c r="BG23" s="12">
        <f t="shared" si="15"/>
        <v>5886.9413735509142</v>
      </c>
      <c r="BH23" s="22">
        <f>INDEX(cpi!B:B,MATCH($L23,cpi!A:A))</f>
        <v>98.4</v>
      </c>
      <c r="BI23" s="22">
        <f t="shared" si="16"/>
        <v>116.31205673758866</v>
      </c>
      <c r="BJ23" s="22">
        <f t="shared" si="17"/>
        <v>115.17381902105713</v>
      </c>
      <c r="BK23" s="22">
        <f t="shared" si="18"/>
        <v>125.49815500810108</v>
      </c>
      <c r="BL23" s="22">
        <f t="shared" si="19"/>
        <v>118.2711198171703</v>
      </c>
      <c r="BM23" s="22">
        <f t="shared" si="20"/>
        <v>174.21890034837904</v>
      </c>
      <c r="BN23" s="22">
        <f t="shared" si="21"/>
        <v>130</v>
      </c>
      <c r="BO23">
        <f t="shared" si="22"/>
        <v>118.0300510058109</v>
      </c>
    </row>
    <row r="24" spans="1:67" x14ac:dyDescent="0.25">
      <c r="A24" s="6" t="s">
        <v>493</v>
      </c>
      <c r="L24" s="1">
        <f t="shared" si="33"/>
        <v>40695</v>
      </c>
      <c r="M24" s="10">
        <f t="shared" si="0"/>
        <v>119793.83763337556</v>
      </c>
      <c r="N24" s="10">
        <f t="shared" si="23"/>
        <v>101466.93253916412</v>
      </c>
      <c r="O24" s="7">
        <f t="shared" si="24"/>
        <v>1.1806194849453799</v>
      </c>
      <c r="P24" s="7">
        <f t="shared" si="1"/>
        <v>0.72859229576731122</v>
      </c>
      <c r="Q24">
        <v>22</v>
      </c>
      <c r="R24">
        <f t="shared" si="2"/>
        <v>91</v>
      </c>
      <c r="S24" s="22"/>
      <c r="T24" s="22">
        <f>IF($B$10="3BR_H",
INDEX('3BR_H-processed'!$E:$E,MATCH($L24,'3BR_H-processed'!$B:$B,0),MATCH(Council_Area,'3BR_H-processed'!$E$1:$E$1,0)),
INDEX('2BR_F-processed'!$E:$E,MATCH($L24,'2BR_F-processed'!$B:$B,0),MATCH(Council_Area,'2BR_F-processed'!$E$1:$E$1,0)))</f>
        <v>318.93966773535413</v>
      </c>
      <c r="U24" s="22">
        <f t="shared" si="25"/>
        <v>318.93966773535413</v>
      </c>
      <c r="V24" s="22">
        <f t="shared" si="34"/>
        <v>4146.2156805596042</v>
      </c>
      <c r="W24" s="22">
        <f>$B$53/4*BH24/_xlfn.XLOOKUP(Q_end,cpi!A:A,cpi!B:B)</f>
        <v>137.24948168624741</v>
      </c>
      <c r="X24" s="22">
        <f t="shared" si="26"/>
        <v>4283.4651622458514</v>
      </c>
      <c r="Y24" s="22">
        <f t="shared" si="3"/>
        <v>1595.6323620214807</v>
      </c>
      <c r="Z24" s="22">
        <f t="shared" si="27"/>
        <v>0</v>
      </c>
      <c r="AA24" s="22" cm="1">
        <f t="array" ref="AA24">(Y24+Z24)*eff_invest</f>
        <v>1595.6323620214807</v>
      </c>
      <c r="AB24" s="22">
        <f>AA24*(_xlfn.XLOOKUP(Q_end,cpi!A:A,cpi!B:B)/BH24)</f>
        <v>2325.1561206899119</v>
      </c>
      <c r="AC24" s="22" cm="1">
        <f t="array" ref="AC24">INDEX('msci-indices'!C:C,MATCH($L24,'msci-indices'!$B:$B)-2)</f>
        <v>912.83803799999998</v>
      </c>
      <c r="AD24" s="22" cm="1">
        <f t="array" ref="AD24">INDEX('msci-indices'!D:D,MATCH($L24,'msci-indices'!$B:$B)-2)</f>
        <v>924.58628799999997</v>
      </c>
      <c r="AE24" s="22">
        <f t="shared" si="28"/>
        <v>121184.70669308255</v>
      </c>
      <c r="AF24" s="22" cm="1">
        <f t="array" ref="AF24">INDEX('msci-indices'!C:C,MATCH($L24,'msci-indices'!$B:$B)+1)</f>
        <v>915.80493999999999</v>
      </c>
      <c r="AG24" s="22" cm="1">
        <f t="array" ref="AG24">INDEX('msci-indices'!D:D,MATCH($L24,'msci-indices'!$B:$B)+1)</f>
        <v>884.12823400000002</v>
      </c>
      <c r="AH24" s="22">
        <f t="shared" si="4"/>
        <v>75.740441683176599</v>
      </c>
      <c r="AI24" s="22">
        <f t="shared" si="5"/>
        <v>119793.83763337556</v>
      </c>
      <c r="AJ24" s="22">
        <f t="shared" si="29"/>
        <v>102931.3097646938</v>
      </c>
      <c r="AK24" s="22">
        <f t="shared" si="6"/>
        <v>16862.527868681762</v>
      </c>
      <c r="AL24" s="22">
        <f>AJ24*(_xlfn.XLOOKUP(Q_end,cpi!A:A,cpi!B:B)/BH24)</f>
        <v>149991.54605187505</v>
      </c>
      <c r="AM24" s="22" cm="1">
        <f t="array" ref="AM24">SUMPRODUCT($AA$3:AA24,_xlfn.SORTBY($BH$3:BH24,_xlfn.SEQUENCE(ROWS($BH$3:BH24)),-1)/$BH$3)</f>
        <v>117607.82398406579</v>
      </c>
      <c r="AN24" s="22">
        <f t="shared" si="30"/>
        <v>2186.0136493097671</v>
      </c>
      <c r="AO24" s="22">
        <f t="shared" si="7"/>
        <v>0</v>
      </c>
      <c r="AP24" s="22">
        <f t="shared" si="31"/>
        <v>119793.83763337556</v>
      </c>
      <c r="AQ24" s="22"/>
      <c r="AR24" s="10">
        <f>IF($B$10="3BR_H",
INDEX('ns-combined'!$C:$D,MATCH($L24,'ns-combined'!$B:$B,0),MATCH(Council_Area,'ns-combined'!$C$1:$D$1,0))*1000,
INDEX('s-combined'!$C:$D,MATCH($L24,'s-combined'!$B:$B,0),MATCH(Council_Area,'s-combined'!$C$1:$D$1,0))*1000)</f>
        <v>330000</v>
      </c>
      <c r="AS24" s="22">
        <f t="shared" si="35"/>
        <v>14300</v>
      </c>
      <c r="AT24" s="10">
        <v>0</v>
      </c>
      <c r="AU24" s="22">
        <f t="shared" si="8"/>
        <v>6600</v>
      </c>
      <c r="AV24" s="22">
        <f t="shared" si="9"/>
        <v>948.75</v>
      </c>
      <c r="AW24" s="22">
        <f>SUM($AV$3:AV24)</f>
        <v>19447.650000000001</v>
      </c>
      <c r="AX24" s="22">
        <f t="shared" si="32"/>
        <v>289652.34999999998</v>
      </c>
      <c r="AY24" s="22">
        <f t="shared" si="10"/>
        <v>1451.1754881958616</v>
      </c>
      <c r="AZ24" s="24">
        <f t="shared" si="11"/>
        <v>1.7590005917525596E-2</v>
      </c>
      <c r="BA24" s="24">
        <f t="shared" si="12"/>
        <v>0.35000000000000003</v>
      </c>
      <c r="BB24" s="25">
        <f>IF(MortgageRate="Discounted",_xlfn.XLOOKUP(L24,'mortgage-rates'!$A:$A,'mortgage-rates'!$E:$E)/100,_xlfn.XLOOKUP(L24,'mortgage-rates'!$A:$A,'mortgage-rates'!$D:$D)/100)</f>
        <v>7.0400000000000004E-2</v>
      </c>
      <c r="BC24" s="10">
        <f t="shared" si="37"/>
        <v>188185.41746083586</v>
      </c>
      <c r="BD24" s="10">
        <f t="shared" si="13"/>
        <v>4427.9220360714708</v>
      </c>
      <c r="BE24" s="10">
        <f t="shared" si="14"/>
        <v>3312.0633473107114</v>
      </c>
      <c r="BF24" s="10">
        <f t="shared" si="36"/>
        <v>1115.8586887607594</v>
      </c>
      <c r="BG24" s="12">
        <f>AT24+AY24+BD24</f>
        <v>5879.0975242673321</v>
      </c>
      <c r="BH24" s="22">
        <f>INDEX(cpi!B:B,MATCH($L24,cpi!A:A))</f>
        <v>99.3</v>
      </c>
      <c r="BI24" s="22">
        <f t="shared" si="16"/>
        <v>117.3758865248227</v>
      </c>
      <c r="BJ24" s="22">
        <f t="shared" si="17"/>
        <v>120.92498256652478</v>
      </c>
      <c r="BK24" s="22">
        <f t="shared" si="18"/>
        <v>129.68345419378869</v>
      </c>
      <c r="BL24" s="22">
        <f t="shared" si="19"/>
        <v>123.55252405470395</v>
      </c>
      <c r="BM24" s="22">
        <f t="shared" si="20"/>
        <v>184.37033189767106</v>
      </c>
      <c r="BN24" s="22">
        <f t="shared" si="21"/>
        <v>126.92307692307692</v>
      </c>
      <c r="BO24">
        <f t="shared" si="22"/>
        <v>114.30524560728483</v>
      </c>
    </row>
    <row r="25" spans="1:67" x14ac:dyDescent="0.25">
      <c r="A25" t="s">
        <v>336</v>
      </c>
      <c r="B25" s="4">
        <v>1.4999999999999999E-2</v>
      </c>
      <c r="C25" s="4">
        <v>1.4999999999999999E-2</v>
      </c>
      <c r="L25" s="1">
        <f t="shared" si="33"/>
        <v>40787</v>
      </c>
      <c r="M25" s="10">
        <f t="shared" si="0"/>
        <v>102270.15505107313</v>
      </c>
      <c r="N25" s="10">
        <f t="shared" si="23"/>
        <v>105869.66622792487</v>
      </c>
      <c r="O25" s="7">
        <f t="shared" si="24"/>
        <v>0.9660005428835261</v>
      </c>
      <c r="P25" s="7">
        <f t="shared" si="1"/>
        <v>0.73486331559767948</v>
      </c>
      <c r="Q25">
        <v>23</v>
      </c>
      <c r="R25">
        <f t="shared" si="2"/>
        <v>92</v>
      </c>
      <c r="S25" s="22"/>
      <c r="T25" s="22">
        <f>IF($B$10="3BR_H",
INDEX('3BR_H-processed'!$E:$E,MATCH($L25,'3BR_H-processed'!$B:$B,0),MATCH(Council_Area,'3BR_H-processed'!$E$1:$E$1,0)),
INDEX('2BR_F-processed'!$E:$E,MATCH($L25,'2BR_F-processed'!$B:$B,0),MATCH(Council_Area,'2BR_F-processed'!$E$1:$E$1,0)))</f>
        <v>331.97668318274555</v>
      </c>
      <c r="U25" s="22">
        <f t="shared" si="25"/>
        <v>318.93966773535413</v>
      </c>
      <c r="V25" s="22">
        <f t="shared" si="34"/>
        <v>4191.7784902360827</v>
      </c>
      <c r="W25" s="22">
        <f>$B$53/4*BH25/_xlfn.XLOOKUP(Q_end,cpi!A:A,cpi!B:B)</f>
        <v>137.80234968901175</v>
      </c>
      <c r="X25" s="22">
        <f t="shared" si="26"/>
        <v>4329.5808399250946</v>
      </c>
      <c r="Y25" s="22">
        <f t="shared" si="3"/>
        <v>1562.1009844748041</v>
      </c>
      <c r="Z25" s="22">
        <f t="shared" si="27"/>
        <v>0</v>
      </c>
      <c r="AA25" s="22" cm="1">
        <f t="array" ref="AA25">(Y25+Z25)*eff_invest</f>
        <v>1562.1009844748041</v>
      </c>
      <c r="AB25" s="22">
        <f>AA25*(_xlfn.XLOOKUP(Q_end,cpi!A:A,cpi!B:B)/BH25)</f>
        <v>2267.1616093631305</v>
      </c>
      <c r="AC25" s="22" cm="1">
        <f t="array" ref="AC25">INDEX('msci-indices'!C:C,MATCH($L25,'msci-indices'!$B:$B)-2)</f>
        <v>915.80493999999999</v>
      </c>
      <c r="AD25" s="22" cm="1">
        <f t="array" ref="AD25">INDEX('msci-indices'!D:D,MATCH($L25,'msci-indices'!$B:$B)-2)</f>
        <v>884.12823400000002</v>
      </c>
      <c r="AE25" s="22">
        <f t="shared" si="28"/>
        <v>121355.93861785036</v>
      </c>
      <c r="AF25" s="22" cm="1">
        <f t="array" ref="AF25">INDEX('msci-indices'!C:C,MATCH($L25,'msci-indices'!$B:$B)+1)</f>
        <v>758.748516</v>
      </c>
      <c r="AG25" s="22" cm="1">
        <f t="array" ref="AG25">INDEX('msci-indices'!D:D,MATCH($L25,'msci-indices'!$B:$B)+1)</f>
        <v>776.26675599999999</v>
      </c>
      <c r="AH25" s="22">
        <f t="shared" si="4"/>
        <v>75.847461636156481</v>
      </c>
      <c r="AI25" s="22">
        <f t="shared" si="5"/>
        <v>102270.15505107313</v>
      </c>
      <c r="AJ25" s="22">
        <f t="shared" si="29"/>
        <v>104493.4107491686</v>
      </c>
      <c r="AK25" s="22">
        <f t="shared" si="6"/>
        <v>-2223.2556980954687</v>
      </c>
      <c r="AL25" s="22">
        <f>AJ25*(_xlfn.XLOOKUP(Q_end,cpi!A:A,cpi!B:B)/BH25)</f>
        <v>151656.93616253455</v>
      </c>
      <c r="AM25" s="22" cm="1">
        <f t="array" ref="AM25">SUMPRODUCT($AA$3:AA25,_xlfn.SORTBY($BH$3:BH25,_xlfn.SEQUENCE(ROWS($BH$3:BH25)),-1)/$BH$3)</f>
        <v>119773.96862625284</v>
      </c>
      <c r="AN25" s="22">
        <f t="shared" si="30"/>
        <v>-17503.813575179709</v>
      </c>
      <c r="AO25" s="22">
        <f t="shared" si="7"/>
        <v>0</v>
      </c>
      <c r="AP25" s="22">
        <f t="shared" si="31"/>
        <v>102270.15505107313</v>
      </c>
      <c r="AQ25" s="22"/>
      <c r="AR25" s="10">
        <f>IF($B$10="3BR_H",
INDEX('ns-combined'!$C:$D,MATCH($L25,'ns-combined'!$B:$B,0),MATCH(Council_Area,'ns-combined'!$C$1:$D$1,0))*1000,
INDEX('s-combined'!$C:$D,MATCH($L25,'s-combined'!$B:$B,0),MATCH(Council_Area,'s-combined'!$C$1:$D$1,0))*1000)</f>
        <v>335000</v>
      </c>
      <c r="AS25" s="22">
        <f t="shared" si="35"/>
        <v>14950</v>
      </c>
      <c r="AT25" s="10">
        <v>0</v>
      </c>
      <c r="AU25" s="22">
        <f t="shared" si="8"/>
        <v>6700</v>
      </c>
      <c r="AV25" s="22">
        <f t="shared" si="9"/>
        <v>963.125</v>
      </c>
      <c r="AW25" s="22">
        <f>SUM($AV$3:AV25)</f>
        <v>20410.775000000001</v>
      </c>
      <c r="AX25" s="22">
        <f t="shared" si="32"/>
        <v>292939.22499999998</v>
      </c>
      <c r="AY25" s="22">
        <f t="shared" si="10"/>
        <v>1467.122471582629</v>
      </c>
      <c r="AZ25" s="24">
        <f t="shared" si="11"/>
        <v>1.7517880257703032E-2</v>
      </c>
      <c r="BA25" s="24">
        <f t="shared" si="12"/>
        <v>0.35000000000000003</v>
      </c>
      <c r="BB25" s="25">
        <f>IF(MortgageRate="Discounted",_xlfn.XLOOKUP(L25,'mortgage-rates'!$A:$A,'mortgage-rates'!$E:$E)/100,_xlfn.XLOOKUP(L25,'mortgage-rates'!$A:$A,'mortgage-rates'!$D:$D)/100)</f>
        <v>7.0300000000000001E-2</v>
      </c>
      <c r="BC25" s="10">
        <f t="shared" si="37"/>
        <v>187069.55877207511</v>
      </c>
      <c r="BD25" s="10">
        <f t="shared" si="13"/>
        <v>4424.5593528172694</v>
      </c>
      <c r="BE25" s="10">
        <f t="shared" si="14"/>
        <v>3287.7474954192203</v>
      </c>
      <c r="BF25" s="10">
        <f t="shared" si="36"/>
        <v>1136.8118573980491</v>
      </c>
      <c r="BG25" s="12">
        <f t="shared" si="15"/>
        <v>5891.6818243998987</v>
      </c>
      <c r="BH25" s="22">
        <f>INDEX(cpi!B:B,MATCH($L25,cpi!A:A))</f>
        <v>99.7</v>
      </c>
      <c r="BI25" s="22">
        <f t="shared" si="16"/>
        <v>117.84869976359339</v>
      </c>
      <c r="BJ25" s="22">
        <f t="shared" si="17"/>
        <v>121.31801238966038</v>
      </c>
      <c r="BK25" s="22">
        <f t="shared" si="18"/>
        <v>124.0087645939373</v>
      </c>
      <c r="BL25" s="22">
        <f t="shared" si="19"/>
        <v>122.12523805094347</v>
      </c>
      <c r="BM25" s="22">
        <f t="shared" si="20"/>
        <v>184.63084403375169</v>
      </c>
      <c r="BN25" s="22">
        <f t="shared" si="21"/>
        <v>128.84615384615384</v>
      </c>
      <c r="BO25">
        <f t="shared" si="22"/>
        <v>115.60234212369647</v>
      </c>
    </row>
    <row r="26" spans="1:67" x14ac:dyDescent="0.25">
      <c r="A26" t="s">
        <v>337</v>
      </c>
      <c r="B26" s="4">
        <f>(6550+(4/100)*(AR3-225000))/AR3</f>
        <v>3.0576923076923078E-2</v>
      </c>
      <c r="C26" s="4"/>
      <c r="L26" s="1">
        <f t="shared" si="33"/>
        <v>40878</v>
      </c>
      <c r="M26" s="10">
        <f t="shared" si="0"/>
        <v>109744.56722963396</v>
      </c>
      <c r="N26" s="10">
        <f t="shared" si="23"/>
        <v>107836.16558532292</v>
      </c>
      <c r="O26" s="7">
        <f t="shared" si="24"/>
        <v>1.0176972320366962</v>
      </c>
      <c r="P26" s="7">
        <f t="shared" si="1"/>
        <v>0.75565397535758816</v>
      </c>
      <c r="Q26">
        <v>24</v>
      </c>
      <c r="R26">
        <f t="shared" si="2"/>
        <v>92</v>
      </c>
      <c r="S26" s="22"/>
      <c r="T26" s="22">
        <f>IF($B$10="3BR_H",
INDEX('3BR_H-processed'!$E:$E,MATCH($L26,'3BR_H-processed'!$B:$B,0),MATCH(Council_Area,'3BR_H-processed'!$E$1:$E$1,0)),
INDEX('2BR_F-processed'!$E:$E,MATCH($L26,'2BR_F-processed'!$B:$B,0),MATCH(Council_Area,'2BR_F-processed'!$E$1:$E$1,0)))</f>
        <v>331.97668318274555</v>
      </c>
      <c r="U26" s="22">
        <f t="shared" si="25"/>
        <v>318.93966773535413</v>
      </c>
      <c r="V26" s="22">
        <f t="shared" si="34"/>
        <v>4191.7784902360827</v>
      </c>
      <c r="W26" s="22">
        <f>$B$53/4*BH26/_xlfn.XLOOKUP(Q_end,cpi!A:A,cpi!B:B)</f>
        <v>138.07878369039392</v>
      </c>
      <c r="X26" s="22">
        <f t="shared" si="26"/>
        <v>4329.8572739264764</v>
      </c>
      <c r="Y26" s="22">
        <f t="shared" si="3"/>
        <v>1400.0897853442902</v>
      </c>
      <c r="Z26" s="22">
        <f t="shared" si="27"/>
        <v>0</v>
      </c>
      <c r="AA26" s="22" cm="1">
        <f t="array" ref="AA26">(Y26+Z26)*eff_invest</f>
        <v>1400.0897853442902</v>
      </c>
      <c r="AB26" s="22">
        <f>AA26*(_xlfn.XLOOKUP(Q_end,cpi!A:A,cpi!B:B)/BH26)</f>
        <v>2027.9578772704583</v>
      </c>
      <c r="AC26" s="22" cm="1">
        <f t="array" ref="AC26">INDEX('msci-indices'!C:C,MATCH($L26,'msci-indices'!$B:$B)-2)</f>
        <v>758.748516</v>
      </c>
      <c r="AD26" s="22" cm="1">
        <f t="array" ref="AD26">INDEX('msci-indices'!D:D,MATCH($L26,'msci-indices'!$B:$B)-2)</f>
        <v>776.26675599999999</v>
      </c>
      <c r="AE26" s="22">
        <f t="shared" si="28"/>
        <v>103670.24483641742</v>
      </c>
      <c r="AF26" s="22" cm="1">
        <f t="array" ref="AF26">INDEX('msci-indices'!C:C,MATCH($L26,'msci-indices'!$B:$B)+1)</f>
        <v>816.97540400000003</v>
      </c>
      <c r="AG26" s="22" cm="1">
        <f t="array" ref="AG26">INDEX('msci-indices'!D:D,MATCH($L26,'msci-indices'!$B:$B)+1)</f>
        <v>790.49635000000001</v>
      </c>
      <c r="AH26" s="22">
        <f t="shared" si="4"/>
        <v>64.793903022760887</v>
      </c>
      <c r="AI26" s="22">
        <f t="shared" si="5"/>
        <v>109744.56722963396</v>
      </c>
      <c r="AJ26" s="22">
        <f t="shared" si="29"/>
        <v>105893.50053451289</v>
      </c>
      <c r="AK26" s="22">
        <f t="shared" si="6"/>
        <v>3851.0666951210733</v>
      </c>
      <c r="AL26" s="22">
        <f>AJ26*(_xlfn.XLOOKUP(Q_end,cpi!A:A,cpi!B:B)/BH26)</f>
        <v>153381.27654999011</v>
      </c>
      <c r="AM26" s="22" cm="1">
        <f t="array" ref="AM26">SUMPRODUCT($AA$3:AA26,_xlfn.SORTBY($BH$3:BH26,_xlfn.SEQUENCE(ROWS($BH$3:BH26)),-1)/$BH$3)</f>
        <v>121642.26911923743</v>
      </c>
      <c r="AN26" s="22">
        <f t="shared" si="30"/>
        <v>-11897.701889603471</v>
      </c>
      <c r="AO26" s="22">
        <f t="shared" si="7"/>
        <v>0</v>
      </c>
      <c r="AP26" s="22">
        <f t="shared" si="31"/>
        <v>109744.56722963396</v>
      </c>
      <c r="AQ26" s="22"/>
      <c r="AR26" s="10">
        <f>IF($B$10="3BR_H",
INDEX('ns-combined'!$C:$D,MATCH($L26,'ns-combined'!$B:$B,0),MATCH(Council_Area,'ns-combined'!$C$1:$D$1,0))*1000,
INDEX('s-combined'!$C:$D,MATCH($L26,'s-combined'!$B:$B,0),MATCH(Council_Area,'s-combined'!$C$1:$D$1,0))*1000)</f>
        <v>337500</v>
      </c>
      <c r="AS26" s="22">
        <f t="shared" si="35"/>
        <v>15600</v>
      </c>
      <c r="AT26" s="10">
        <v>0</v>
      </c>
      <c r="AU26" s="22">
        <f t="shared" si="8"/>
        <v>6750</v>
      </c>
      <c r="AV26" s="22">
        <f t="shared" si="9"/>
        <v>970.3125</v>
      </c>
      <c r="AW26" s="22">
        <f>SUM($AV$3:AV26)</f>
        <v>21381.087500000001</v>
      </c>
      <c r="AX26" s="22">
        <f t="shared" si="32"/>
        <v>293768.91249999998</v>
      </c>
      <c r="AY26" s="22">
        <f t="shared" si="10"/>
        <v>1467.122471582629</v>
      </c>
      <c r="AZ26" s="24">
        <f t="shared" si="11"/>
        <v>1.7388118181720046E-2</v>
      </c>
      <c r="BA26" s="24">
        <f t="shared" si="12"/>
        <v>0.35000000000000003</v>
      </c>
      <c r="BB26" s="25">
        <f>IF(MortgageRate="Discounted",_xlfn.XLOOKUP(L26,'mortgage-rates'!$A:$A,'mortgage-rates'!$E:$E)/100,_xlfn.XLOOKUP(L26,'mortgage-rates'!$A:$A,'mortgage-rates'!$D:$D)/100)</f>
        <v>6.54E-2</v>
      </c>
      <c r="BC26" s="10">
        <f t="shared" si="37"/>
        <v>185932.74691467706</v>
      </c>
      <c r="BD26" s="10">
        <f t="shared" si="13"/>
        <v>4262.8245876881374</v>
      </c>
      <c r="BE26" s="10">
        <f t="shared" si="14"/>
        <v>3040.0004120549697</v>
      </c>
      <c r="BF26" s="10">
        <f t="shared" si="36"/>
        <v>1222.8241756331677</v>
      </c>
      <c r="BG26" s="12">
        <f t="shared" si="15"/>
        <v>5729.9470592707667</v>
      </c>
      <c r="BH26" s="22">
        <f>INDEX(cpi!B:B,MATCH($L26,cpi!A:A))</f>
        <v>99.9</v>
      </c>
      <c r="BI26" s="22">
        <f t="shared" si="16"/>
        <v>118.08510638297874</v>
      </c>
      <c r="BJ26" s="22">
        <f t="shared" si="17"/>
        <v>100.5125194724593</v>
      </c>
      <c r="BK26" s="22">
        <f t="shared" si="18"/>
        <v>108.87999919579919</v>
      </c>
      <c r="BL26" s="22">
        <f t="shared" si="19"/>
        <v>103.02276338946128</v>
      </c>
      <c r="BM26" s="22">
        <f t="shared" si="20"/>
        <v>157.72384131614314</v>
      </c>
      <c r="BN26" s="22">
        <f t="shared" si="21"/>
        <v>129.80769230769232</v>
      </c>
      <c r="BO26">
        <f t="shared" si="22"/>
        <v>115.92976095342388</v>
      </c>
    </row>
    <row r="27" spans="1:67" x14ac:dyDescent="0.25">
      <c r="A27" s="6" t="s">
        <v>494</v>
      </c>
      <c r="L27" s="1">
        <f t="shared" si="33"/>
        <v>40969</v>
      </c>
      <c r="M27" s="10">
        <f t="shared" si="0"/>
        <v>123182.07620769451</v>
      </c>
      <c r="N27" s="10">
        <f t="shared" si="23"/>
        <v>112812.86476095609</v>
      </c>
      <c r="O27" s="7">
        <f t="shared" si="24"/>
        <v>1.0919151505345617</v>
      </c>
      <c r="P27" s="7">
        <f t="shared" si="1"/>
        <v>0.75276918463848252</v>
      </c>
      <c r="Q27">
        <v>25</v>
      </c>
      <c r="R27">
        <f t="shared" si="2"/>
        <v>91</v>
      </c>
      <c r="S27" s="22"/>
      <c r="T27" s="22">
        <f>IF($B$10="3BR_H",
INDEX('3BR_H-processed'!$E:$E,MATCH($L27,'3BR_H-processed'!$B:$B,0),MATCH(Council_Area,'3BR_H-processed'!$E$1:$E$1,0)),
INDEX('2BR_F-processed'!$E:$E,MATCH($L27,'2BR_F-processed'!$B:$B,0),MATCH(Council_Area,'2BR_F-processed'!$E$1:$E$1,0)))</f>
        <v>325.06050228310494</v>
      </c>
      <c r="U27" s="22">
        <f t="shared" si="25"/>
        <v>325.06050228310494</v>
      </c>
      <c r="V27" s="22">
        <f t="shared" si="34"/>
        <v>4225.7865296803639</v>
      </c>
      <c r="W27" s="22">
        <f>$B$53/4*BH27/_xlfn.XLOOKUP(Q_end,cpi!A:A,cpi!B:B)</f>
        <v>138.07878369039392</v>
      </c>
      <c r="X27" s="22">
        <f t="shared" si="26"/>
        <v>4363.8653133707576</v>
      </c>
      <c r="Y27" s="22">
        <f t="shared" si="3"/>
        <v>1433.2175141715315</v>
      </c>
      <c r="Z27" s="22">
        <f t="shared" si="27"/>
        <v>0</v>
      </c>
      <c r="AA27" s="22" cm="1">
        <f t="array" ref="AA27">(Y27+Z27)*eff_invest</f>
        <v>1433.2175141715315</v>
      </c>
      <c r="AB27" s="22">
        <f>AA27*(_xlfn.XLOOKUP(Q_end,cpi!A:A,cpi!B:B)/BH27)</f>
        <v>2075.9416846908971</v>
      </c>
      <c r="AC27" s="22" cm="1">
        <f t="array" ref="AC27">INDEX('msci-indices'!C:C,MATCH($L27,'msci-indices'!$B:$B)-2)</f>
        <v>816.97540400000003</v>
      </c>
      <c r="AD27" s="22" cm="1">
        <f t="array" ref="AD27">INDEX('msci-indices'!D:D,MATCH($L27,'msci-indices'!$B:$B)-2)</f>
        <v>790.49635000000001</v>
      </c>
      <c r="AE27" s="22">
        <f t="shared" si="28"/>
        <v>111177.78474380549</v>
      </c>
      <c r="AF27" s="22" cm="1">
        <f t="array" ref="AF27">INDEX('msci-indices'!C:C,MATCH($L27,'msci-indices'!$B:$B)+1)</f>
        <v>913.58723299999997</v>
      </c>
      <c r="AG27" s="22" cm="1">
        <f t="array" ref="AG27">INDEX('msci-indices'!D:D,MATCH($L27,'msci-indices'!$B:$B)+1)</f>
        <v>858.531702</v>
      </c>
      <c r="AH27" s="22">
        <f t="shared" si="4"/>
        <v>69.486115464878438</v>
      </c>
      <c r="AI27" s="22">
        <f t="shared" si="5"/>
        <v>123182.07620769451</v>
      </c>
      <c r="AJ27" s="22">
        <f t="shared" si="29"/>
        <v>107326.71804868442</v>
      </c>
      <c r="AK27" s="22">
        <f t="shared" si="6"/>
        <v>15855.358159010095</v>
      </c>
      <c r="AL27" s="22">
        <f>AJ27*(_xlfn.XLOOKUP(Q_end,cpi!A:A,cpi!B:B)/BH27)</f>
        <v>155457.21823468103</v>
      </c>
      <c r="AM27" s="22" cm="1">
        <f t="array" ref="AM27">SUMPRODUCT($AA$3:AA27,_xlfn.SORTBY($BH$3:BH27,_xlfn.SEQUENCE(ROWS($BH$3:BH27)),-1)/$BH$3)</f>
        <v>123396.45465023641</v>
      </c>
      <c r="AN27" s="22">
        <f t="shared" si="30"/>
        <v>-214.37844254189986</v>
      </c>
      <c r="AO27" s="22">
        <f t="shared" si="7"/>
        <v>0</v>
      </c>
      <c r="AP27" s="22">
        <f t="shared" si="31"/>
        <v>123182.07620769451</v>
      </c>
      <c r="AQ27" s="22"/>
      <c r="AR27" s="10">
        <f>IF($B$10="3BR_H",
INDEX('ns-combined'!$C:$D,MATCH($L27,'ns-combined'!$B:$B,0),MATCH(Council_Area,'ns-combined'!$C$1:$D$1,0))*1000,
INDEX('s-combined'!$C:$D,MATCH($L27,'s-combined'!$B:$B,0),MATCH(Council_Area,'s-combined'!$C$1:$D$1,0))*1000)</f>
        <v>343000</v>
      </c>
      <c r="AS27" s="22">
        <f t="shared" si="35"/>
        <v>16250</v>
      </c>
      <c r="AT27" s="10">
        <v>0</v>
      </c>
      <c r="AU27" s="22">
        <f t="shared" si="8"/>
        <v>6860</v>
      </c>
      <c r="AV27" s="22">
        <f t="shared" si="9"/>
        <v>986.125</v>
      </c>
      <c r="AW27" s="22">
        <f>SUM($AV$3:AV27)</f>
        <v>22367.212500000001</v>
      </c>
      <c r="AX27" s="22">
        <f t="shared" si="32"/>
        <v>297522.78749999998</v>
      </c>
      <c r="AY27" s="22">
        <f t="shared" si="10"/>
        <v>1479.0252853881275</v>
      </c>
      <c r="AZ27" s="24">
        <f t="shared" si="11"/>
        <v>1.724810828440965E-2</v>
      </c>
      <c r="BA27" s="24">
        <f t="shared" si="12"/>
        <v>0.35000000000000003</v>
      </c>
      <c r="BB27" s="25">
        <f>IF(MortgageRate="Discounted",_xlfn.XLOOKUP(L27,'mortgage-rates'!$A:$A,'mortgage-rates'!$E:$E)/100,_xlfn.XLOOKUP(L27,'mortgage-rates'!$A:$A,'mortgage-rates'!$D:$D)/100)</f>
        <v>6.7099999999999993E-2</v>
      </c>
      <c r="BC27" s="10">
        <f t="shared" si="37"/>
        <v>184709.92273904389</v>
      </c>
      <c r="BD27" s="10">
        <f t="shared" si="13"/>
        <v>4318.0575421541616</v>
      </c>
      <c r="BE27" s="10">
        <f t="shared" si="14"/>
        <v>3098.5089539474611</v>
      </c>
      <c r="BF27" s="10">
        <f t="shared" si="36"/>
        <v>1219.5485882067005</v>
      </c>
      <c r="BG27" s="12">
        <f t="shared" si="15"/>
        <v>5797.0828275422891</v>
      </c>
      <c r="BH27" s="22">
        <f>INDEX(cpi!B:B,MATCH($L27,cpi!A:A))</f>
        <v>99.9</v>
      </c>
      <c r="BI27" s="22">
        <f t="shared" si="16"/>
        <v>118.08510638297874</v>
      </c>
      <c r="BJ27" s="22">
        <f t="shared" si="17"/>
        <v>108.22592001362189</v>
      </c>
      <c r="BK27" s="22">
        <f t="shared" si="18"/>
        <v>110.87585715480799</v>
      </c>
      <c r="BL27" s="22">
        <f t="shared" si="19"/>
        <v>109.02090115597773</v>
      </c>
      <c r="BM27" s="22">
        <f t="shared" si="20"/>
        <v>169.14580752154686</v>
      </c>
      <c r="BN27" s="22">
        <f t="shared" si="21"/>
        <v>131.92307692307693</v>
      </c>
      <c r="BO27">
        <f t="shared" si="22"/>
        <v>117.41114925859057</v>
      </c>
    </row>
    <row r="28" spans="1:67" x14ac:dyDescent="0.25">
      <c r="A28" t="s">
        <v>338</v>
      </c>
      <c r="B28" s="4">
        <v>1.4999999999999999E-2</v>
      </c>
      <c r="C28" s="4">
        <v>1.4999999999999999E-2</v>
      </c>
      <c r="L28" s="1">
        <f t="shared" si="33"/>
        <v>41061</v>
      </c>
      <c r="M28" s="10">
        <f t="shared" si="0"/>
        <v>117820.53872229897</v>
      </c>
      <c r="N28" s="10">
        <f t="shared" si="23"/>
        <v>97250.850849162787</v>
      </c>
      <c r="O28" s="7">
        <f t="shared" si="24"/>
        <v>1.2115116494460292</v>
      </c>
      <c r="P28" s="7">
        <f t="shared" si="1"/>
        <v>0.77775309422434913</v>
      </c>
      <c r="Q28">
        <v>26</v>
      </c>
      <c r="R28">
        <f t="shared" si="2"/>
        <v>91</v>
      </c>
      <c r="S28" s="22"/>
      <c r="T28" s="22">
        <f>IF($B$10="3BR_H",
INDEX('3BR_H-processed'!$E:$E,MATCH($L28,'3BR_H-processed'!$B:$B,0),MATCH(Council_Area,'3BR_H-processed'!$E$1:$E$1,0)),
INDEX('2BR_F-processed'!$E:$E,MATCH($L28,'2BR_F-processed'!$B:$B,0),MATCH(Council_Area,'2BR_F-processed'!$E$1:$E$1,0)))</f>
        <v>309.99147237594121</v>
      </c>
      <c r="U28" s="22">
        <f t="shared" si="25"/>
        <v>325.06050228310494</v>
      </c>
      <c r="V28" s="22">
        <f t="shared" si="34"/>
        <v>4225.7865296803639</v>
      </c>
      <c r="W28" s="22">
        <f>$B$53/4*BH28/_xlfn.XLOOKUP(Q_end,cpi!A:A,cpi!B:B)</f>
        <v>138.90808569454043</v>
      </c>
      <c r="X28" s="22">
        <f t="shared" si="26"/>
        <v>4364.6946153749041</v>
      </c>
      <c r="Y28" s="22">
        <f t="shared" si="3"/>
        <v>1247.2337045346439</v>
      </c>
      <c r="Z28" s="22">
        <f t="shared" si="27"/>
        <v>0</v>
      </c>
      <c r="AA28" s="22" cm="1">
        <f t="array" ref="AA28">(Y28+Z28)*eff_invest</f>
        <v>1247.2337045346439</v>
      </c>
      <c r="AB28" s="22">
        <f>AA28*(_xlfn.XLOOKUP(Q_end,cpi!A:A,cpi!B:B)/BH28)</f>
        <v>1795.7683288175419</v>
      </c>
      <c r="AC28" s="22" cm="1">
        <f t="array" ref="AC28">INDEX('msci-indices'!C:C,MATCH($L28,'msci-indices'!$B:$B)-2)</f>
        <v>913.58723299999997</v>
      </c>
      <c r="AD28" s="22" cm="1">
        <f t="array" ref="AD28">INDEX('msci-indices'!D:D,MATCH($L28,'msci-indices'!$B:$B)-2)</f>
        <v>858.531702</v>
      </c>
      <c r="AE28" s="22">
        <f t="shared" si="28"/>
        <v>124429.30991222916</v>
      </c>
      <c r="AF28" s="22" cm="1">
        <f t="array" ref="AF28">INDEX('msci-indices'!C:C,MATCH($L28,'msci-indices'!$B:$B)+1)</f>
        <v>865.80589099999997</v>
      </c>
      <c r="AG28" s="22" cm="1">
        <f t="array" ref="AG28">INDEX('msci-indices'!D:D,MATCH($L28,'msci-indices'!$B:$B)+1)</f>
        <v>813.09506399999998</v>
      </c>
      <c r="AH28" s="22">
        <f t="shared" si="4"/>
        <v>77.768318695143222</v>
      </c>
      <c r="AI28" s="22">
        <f t="shared" si="5"/>
        <v>117820.53872229897</v>
      </c>
      <c r="AJ28" s="22">
        <f t="shared" si="29"/>
        <v>108573.95175321907</v>
      </c>
      <c r="AK28" s="22">
        <f t="shared" si="6"/>
        <v>9246.5869690799009</v>
      </c>
      <c r="AL28" s="22">
        <f>AJ28*(_xlfn.XLOOKUP(Q_end,cpi!A:A,cpi!B:B)/BH28)</f>
        <v>156324.88376806764</v>
      </c>
      <c r="AM28" s="22" cm="1">
        <f t="array" ref="AM28">SUMPRODUCT($AA$3:AA28,_xlfn.SORTBY($BH$3:BH28,_xlfn.SEQUENCE(ROWS($BH$3:BH28)),-1)/$BH$3)</f>
        <v>125429.04468844185</v>
      </c>
      <c r="AN28" s="22">
        <f t="shared" si="30"/>
        <v>-7608.5059661428822</v>
      </c>
      <c r="AO28" s="22">
        <f t="shared" si="7"/>
        <v>0</v>
      </c>
      <c r="AP28" s="22">
        <f t="shared" si="31"/>
        <v>117820.53872229897</v>
      </c>
      <c r="AQ28" s="22"/>
      <c r="AR28" s="10">
        <f>IF($B$10="3BR_H",
INDEX('ns-combined'!$C:$D,MATCH($L28,'ns-combined'!$B:$B,0),MATCH(Council_Area,'ns-combined'!$C$1:$D$1,0))*1000,
INDEX('s-combined'!$C:$D,MATCH($L28,'s-combined'!$B:$B,0),MATCH(Council_Area,'s-combined'!$C$1:$D$1,0))*1000)</f>
        <v>327500</v>
      </c>
      <c r="AS28" s="22">
        <f t="shared" si="35"/>
        <v>16900</v>
      </c>
      <c r="AT28" s="10">
        <v>0</v>
      </c>
      <c r="AU28" s="22">
        <f t="shared" si="8"/>
        <v>6550</v>
      </c>
      <c r="AV28" s="22">
        <f t="shared" si="9"/>
        <v>941.5625</v>
      </c>
      <c r="AW28" s="22">
        <f>SUM($AV$3:AV28)</f>
        <v>23308.775000000001</v>
      </c>
      <c r="AX28" s="22">
        <f t="shared" si="32"/>
        <v>280741.22499999998</v>
      </c>
      <c r="AY28" s="22">
        <f t="shared" si="10"/>
        <v>1479.0252853881275</v>
      </c>
      <c r="AZ28" s="24">
        <f t="shared" si="11"/>
        <v>1.8064430966572551E-2</v>
      </c>
      <c r="BA28" s="24">
        <f t="shared" si="12"/>
        <v>0.35000000000000003</v>
      </c>
      <c r="BB28" s="25">
        <f>IF(MortgageRate="Discounted",_xlfn.XLOOKUP(L28,'mortgage-rates'!$A:$A,'mortgage-rates'!$E:$E)/100,_xlfn.XLOOKUP(L28,'mortgage-rates'!$A:$A,'mortgage-rates'!$D:$D)/100)</f>
        <v>6.13E-2</v>
      </c>
      <c r="BC28" s="10">
        <f t="shared" si="37"/>
        <v>183490.37415083719</v>
      </c>
      <c r="BD28" s="10">
        <f t="shared" si="13"/>
        <v>4132.9030345214205</v>
      </c>
      <c r="BE28" s="10">
        <f t="shared" si="14"/>
        <v>2811.9899838615797</v>
      </c>
      <c r="BF28" s="10">
        <f t="shared" si="36"/>
        <v>1320.9130506598408</v>
      </c>
      <c r="BG28" s="12">
        <f t="shared" si="15"/>
        <v>5611.928319909548</v>
      </c>
      <c r="BH28" s="22">
        <f>INDEX(cpi!B:B,MATCH($L28,cpi!A:A))</f>
        <v>100.5</v>
      </c>
      <c r="BI28" s="22">
        <f t="shared" si="16"/>
        <v>118.79432624113475</v>
      </c>
      <c r="BJ28" s="22">
        <f t="shared" si="17"/>
        <v>121.02422951783765</v>
      </c>
      <c r="BK28" s="22">
        <f t="shared" si="18"/>
        <v>120.41856784515979</v>
      </c>
      <c r="BL28" s="22">
        <f t="shared" si="19"/>
        <v>120.8425310160343</v>
      </c>
      <c r="BM28" s="22">
        <f t="shared" si="20"/>
        <v>189.30666907019369</v>
      </c>
      <c r="BN28" s="22">
        <f t="shared" si="21"/>
        <v>125.96153846153847</v>
      </c>
      <c r="BO28">
        <f t="shared" si="22"/>
        <v>110.78865638657865</v>
      </c>
    </row>
    <row r="29" spans="1:67" x14ac:dyDescent="0.25">
      <c r="A29" t="s">
        <v>345</v>
      </c>
      <c r="B29" s="4">
        <v>5.0000000000000001E-3</v>
      </c>
      <c r="C29" s="4">
        <v>5.0000000000000001E-3</v>
      </c>
      <c r="L29" s="1">
        <f t="shared" si="33"/>
        <v>41153</v>
      </c>
      <c r="M29" s="10">
        <f t="shared" si="0"/>
        <v>127620.84614472</v>
      </c>
      <c r="N29" s="10">
        <f t="shared" si="23"/>
        <v>84766.138899822632</v>
      </c>
      <c r="O29" s="7">
        <f t="shared" si="24"/>
        <v>1.5055639881809815</v>
      </c>
      <c r="P29" s="7">
        <f t="shared" si="1"/>
        <v>0.786208261372907</v>
      </c>
      <c r="Q29">
        <v>27</v>
      </c>
      <c r="R29">
        <f t="shared" si="2"/>
        <v>92</v>
      </c>
      <c r="S29" s="22"/>
      <c r="T29" s="22">
        <f>IF($B$10="3BR_H",
INDEX('3BR_H-processed'!$E:$E,MATCH($L29,'3BR_H-processed'!$B:$B,0),MATCH(Council_Area,'3BR_H-processed'!$E$1:$E$1,0)),
INDEX('2BR_F-processed'!$E:$E,MATCH($L29,'2BR_F-processed'!$B:$B,0),MATCH(Council_Area,'2BR_F-processed'!$E$1:$E$1,0)))</f>
        <v>318.00816474643926</v>
      </c>
      <c r="U29" s="22">
        <f t="shared" si="25"/>
        <v>325.06050228310494</v>
      </c>
      <c r="V29" s="22">
        <f t="shared" si="34"/>
        <v>4272.223744292236</v>
      </c>
      <c r="W29" s="22">
        <f>$B$53/4*BH29/_xlfn.XLOOKUP(Q_end,cpi!A:A,cpi!B:B)</f>
        <v>140.42847270214239</v>
      </c>
      <c r="X29" s="22">
        <f t="shared" si="26"/>
        <v>4412.6522169943783</v>
      </c>
      <c r="Y29" s="22">
        <f t="shared" si="3"/>
        <v>1199.9220000315736</v>
      </c>
      <c r="Z29" s="22">
        <f t="shared" si="27"/>
        <v>0</v>
      </c>
      <c r="AA29" s="22" cm="1">
        <f t="array" ref="AA29">(Y29+Z29)*eff_invest</f>
        <v>1199.9220000315736</v>
      </c>
      <c r="AB29" s="22">
        <f>AA29*(_xlfn.XLOOKUP(Q_end,cpi!A:A,cpi!B:B)/BH29)</f>
        <v>1708.9440295725265</v>
      </c>
      <c r="AC29" s="22" cm="1">
        <f t="array" ref="AC29">INDEX('msci-indices'!C:C,MATCH($L29,'msci-indices'!$B:$B)-2)</f>
        <v>865.80589099999997</v>
      </c>
      <c r="AD29" s="22" cm="1">
        <f t="array" ref="AD29">INDEX('msci-indices'!D:D,MATCH($L29,'msci-indices'!$B:$B)-2)</f>
        <v>813.09506399999998</v>
      </c>
      <c r="AE29" s="22">
        <f t="shared" si="28"/>
        <v>119020.46072233054</v>
      </c>
      <c r="AF29" s="22" cm="1">
        <f t="array" ref="AF29">INDEX('msci-indices'!C:C,MATCH($L29,'msci-indices'!$B:$B)+1)</f>
        <v>923.89950299999998</v>
      </c>
      <c r="AG29" s="22" cm="1">
        <f t="array" ref="AG29">INDEX('msci-indices'!D:D,MATCH($L29,'msci-indices'!$B:$B)+1)</f>
        <v>883.33647499999995</v>
      </c>
      <c r="AH29" s="22">
        <f t="shared" si="4"/>
        <v>74.387787951456588</v>
      </c>
      <c r="AI29" s="22">
        <f t="shared" si="5"/>
        <v>127620.84614472</v>
      </c>
      <c r="AJ29" s="22">
        <f t="shared" si="29"/>
        <v>109773.87375325063</v>
      </c>
      <c r="AK29" s="22">
        <f t="shared" si="6"/>
        <v>17846.97239146936</v>
      </c>
      <c r="AL29" s="22">
        <f>AJ29*(_xlfn.XLOOKUP(Q_end,cpi!A:A,cpi!B:B)/BH29)</f>
        <v>156341.33397731659</v>
      </c>
      <c r="AM29" s="22" cm="1">
        <f t="array" ref="AM29">SUMPRODUCT($AA$3:AA29,_xlfn.SORTBY($BH$3:BH29,_xlfn.SEQUENCE(ROWS($BH$3:BH29)),-1)/$BH$3)</f>
        <v>127808.08853176421</v>
      </c>
      <c r="AN29" s="22">
        <f t="shared" si="30"/>
        <v>-187.24238704421441</v>
      </c>
      <c r="AO29" s="22">
        <f t="shared" si="7"/>
        <v>0</v>
      </c>
      <c r="AP29" s="22">
        <f t="shared" si="31"/>
        <v>127620.84614472</v>
      </c>
      <c r="AQ29" s="22"/>
      <c r="AR29" s="10">
        <f>IF($B$10="3BR_H",
INDEX('ns-combined'!$C:$D,MATCH($L29,'ns-combined'!$B:$B,0),MATCH(Council_Area,'ns-combined'!$C$1:$D$1,0))*1000,
INDEX('s-combined'!$C:$D,MATCH($L29,'s-combined'!$B:$B,0),MATCH(Council_Area,'s-combined'!$C$1:$D$1,0))*1000)</f>
        <v>315000</v>
      </c>
      <c r="AS29" s="22">
        <f t="shared" si="35"/>
        <v>17550</v>
      </c>
      <c r="AT29" s="10">
        <v>0</v>
      </c>
      <c r="AU29" s="22">
        <f t="shared" si="8"/>
        <v>6300</v>
      </c>
      <c r="AV29" s="22">
        <f t="shared" si="9"/>
        <v>905.625</v>
      </c>
      <c r="AW29" s="22">
        <f>SUM($AV$3:AV29)</f>
        <v>24214.400000000001</v>
      </c>
      <c r="AX29" s="22">
        <f t="shared" si="32"/>
        <v>266935.59999999998</v>
      </c>
      <c r="AY29" s="22">
        <f t="shared" si="10"/>
        <v>1495.2783105022827</v>
      </c>
      <c r="AZ29" s="24">
        <f t="shared" si="11"/>
        <v>1.8987661085743273E-2</v>
      </c>
      <c r="BA29" s="24">
        <f t="shared" si="12"/>
        <v>0.35000000000000003</v>
      </c>
      <c r="BB29" s="25">
        <f>IF(MortgageRate="Discounted",_xlfn.XLOOKUP(L29,'mortgage-rates'!$A:$A,'mortgage-rates'!$E:$E)/100,_xlfn.XLOOKUP(L29,'mortgage-rates'!$A:$A,'mortgage-rates'!$D:$D)/100)</f>
        <v>6.08E-2</v>
      </c>
      <c r="BC29" s="10">
        <f t="shared" si="37"/>
        <v>182169.46110017734</v>
      </c>
      <c r="BD29" s="10">
        <f t="shared" si="13"/>
        <v>4117.2959065236691</v>
      </c>
      <c r="BE29" s="10">
        <f t="shared" si="14"/>
        <v>2768.9758087226955</v>
      </c>
      <c r="BF29" s="10">
        <f t="shared" si="36"/>
        <v>1348.3200978009736</v>
      </c>
      <c r="BG29" s="12">
        <f t="shared" si="15"/>
        <v>5612.5742170259518</v>
      </c>
      <c r="BH29" s="22">
        <f>INDEX(cpi!B:B,MATCH($L29,cpi!A:A))</f>
        <v>101.6</v>
      </c>
      <c r="BI29" s="22">
        <f t="shared" si="16"/>
        <v>120.09456264775415</v>
      </c>
      <c r="BJ29" s="22">
        <f t="shared" si="17"/>
        <v>114.69456564776658</v>
      </c>
      <c r="BK29" s="22">
        <f t="shared" si="18"/>
        <v>114.04557676875227</v>
      </c>
      <c r="BL29" s="22">
        <f t="shared" si="19"/>
        <v>114.49986898406229</v>
      </c>
      <c r="BM29" s="22">
        <f t="shared" si="20"/>
        <v>181.07764952194583</v>
      </c>
      <c r="BN29" s="22">
        <f t="shared" si="21"/>
        <v>121.15384615384616</v>
      </c>
      <c r="BO29">
        <f t="shared" si="22"/>
        <v>105.34055504582629</v>
      </c>
    </row>
    <row r="30" spans="1:67" x14ac:dyDescent="0.25">
      <c r="L30" s="1">
        <f t="shared" si="33"/>
        <v>41244</v>
      </c>
      <c r="M30" s="10">
        <f t="shared" si="0"/>
        <v>133620.33879255434</v>
      </c>
      <c r="N30" s="10">
        <f t="shared" si="23"/>
        <v>100485.97149762363</v>
      </c>
      <c r="O30" s="7">
        <f t="shared" si="24"/>
        <v>1.3297412245819238</v>
      </c>
      <c r="P30" s="7">
        <f t="shared" si="1"/>
        <v>0.80384708098537361</v>
      </c>
      <c r="Q30">
        <v>28</v>
      </c>
      <c r="R30">
        <f t="shared" si="2"/>
        <v>92</v>
      </c>
      <c r="S30" s="22"/>
      <c r="T30" s="22">
        <f>IF($B$10="3BR_H",
INDEX('3BR_H-processed'!$E:$E,MATCH($L30,'3BR_H-processed'!$B:$B,0),MATCH(Council_Area,'3BR_H-processed'!$E$1:$E$1,0)),
INDEX('2BR_F-processed'!$E:$E,MATCH($L30,'2BR_F-processed'!$B:$B,0),MATCH(Council_Area,'2BR_F-processed'!$E$1:$E$1,0)))</f>
        <v>318.00816474643926</v>
      </c>
      <c r="U30" s="22">
        <f t="shared" si="25"/>
        <v>325.06050228310494</v>
      </c>
      <c r="V30" s="22">
        <f t="shared" si="34"/>
        <v>4272.223744292236</v>
      </c>
      <c r="W30" s="22">
        <f>$B$53/4*BH30/_xlfn.XLOOKUP(Q_end,cpi!A:A,cpi!B:B)</f>
        <v>140.98134070490673</v>
      </c>
      <c r="X30" s="22">
        <f t="shared" si="26"/>
        <v>4413.2050849971429</v>
      </c>
      <c r="Y30" s="22">
        <f t="shared" si="3"/>
        <v>1076.900171822771</v>
      </c>
      <c r="Z30" s="22">
        <f t="shared" si="27"/>
        <v>0</v>
      </c>
      <c r="AA30" s="22" cm="1">
        <f t="array" ref="AA30">(Y30+Z30)*eff_invest</f>
        <v>1076.900171822771</v>
      </c>
      <c r="AB30" s="22">
        <f>AA30*(_xlfn.XLOOKUP(Q_end,cpi!A:A,cpi!B:B)/BH30)</f>
        <v>1527.7201457132837</v>
      </c>
      <c r="AC30" s="22" cm="1">
        <f t="array" ref="AC30">INDEX('msci-indices'!C:C,MATCH($L30,'msci-indices'!$B:$B)-2)</f>
        <v>923.89950299999998</v>
      </c>
      <c r="AD30" s="22" cm="1">
        <f t="array" ref="AD30">INDEX('msci-indices'!D:D,MATCH($L30,'msci-indices'!$B:$B)-2)</f>
        <v>883.33647499999995</v>
      </c>
      <c r="AE30" s="22">
        <f t="shared" si="28"/>
        <v>128697.74631654276</v>
      </c>
      <c r="AF30" s="22" cm="1">
        <f t="array" ref="AF30">INDEX('msci-indices'!C:C,MATCH($L30,'msci-indices'!$B:$B)+1)</f>
        <v>948.15110700000002</v>
      </c>
      <c r="AG30" s="22" cm="1">
        <f t="array" ref="AG30">INDEX('msci-indices'!D:D,MATCH($L30,'msci-indices'!$B:$B)+1)</f>
        <v>943.69728799999996</v>
      </c>
      <c r="AH30" s="22">
        <f t="shared" si="4"/>
        <v>80.436091447839232</v>
      </c>
      <c r="AI30" s="22">
        <f t="shared" si="5"/>
        <v>133620.33879255434</v>
      </c>
      <c r="AJ30" s="22">
        <f t="shared" si="29"/>
        <v>110850.7739250734</v>
      </c>
      <c r="AK30" s="22">
        <f t="shared" si="6"/>
        <v>22769.564867480934</v>
      </c>
      <c r="AL30" s="22">
        <f>AJ30*(_xlfn.XLOOKUP(Q_end,cpi!A:A,cpi!B:B)/BH30)</f>
        <v>157255.95085253057</v>
      </c>
      <c r="AM30" s="22" cm="1">
        <f t="array" ref="AM30">SUMPRODUCT($AA$3:AA30,_xlfn.SORTBY($BH$3:BH30,_xlfn.SEQUENCE(ROWS($BH$3:BH30)),-1)/$BH$3)</f>
        <v>129537.78256753217</v>
      </c>
      <c r="AN30" s="22">
        <f t="shared" si="30"/>
        <v>4082.5562250221701</v>
      </c>
      <c r="AO30" s="22">
        <f t="shared" si="7"/>
        <v>0</v>
      </c>
      <c r="AP30" s="22">
        <f t="shared" si="31"/>
        <v>133620.33879255434</v>
      </c>
      <c r="AQ30" s="22"/>
      <c r="AR30" s="10">
        <f>IF($B$10="3BR_H",
INDEX('ns-combined'!$C:$D,MATCH($L30,'ns-combined'!$B:$B,0),MATCH(Council_Area,'ns-combined'!$C$1:$D$1,0))*1000,
INDEX('s-combined'!$C:$D,MATCH($L30,'s-combined'!$B:$B,0),MATCH(Council_Area,'s-combined'!$C$1:$D$1,0))*1000)</f>
        <v>331300</v>
      </c>
      <c r="AS30" s="22">
        <f t="shared" si="35"/>
        <v>18200</v>
      </c>
      <c r="AT30" s="10">
        <v>0</v>
      </c>
      <c r="AU30" s="22">
        <f t="shared" si="8"/>
        <v>6626</v>
      </c>
      <c r="AV30" s="22">
        <f t="shared" si="9"/>
        <v>952.48749999999995</v>
      </c>
      <c r="AW30" s="22">
        <f>SUM($AV$3:AV30)</f>
        <v>25166.887500000001</v>
      </c>
      <c r="AX30" s="22">
        <f t="shared" si="32"/>
        <v>281307.11249999999</v>
      </c>
      <c r="AY30" s="22">
        <f t="shared" si="10"/>
        <v>1495.2783105022827</v>
      </c>
      <c r="AZ30" s="24">
        <f t="shared" si="11"/>
        <v>1.8053465867821101E-2</v>
      </c>
      <c r="BA30" s="24">
        <f t="shared" si="12"/>
        <v>0.35000000000000003</v>
      </c>
      <c r="BB30" s="25">
        <f>IF(MortgageRate="Discounted",_xlfn.XLOOKUP(L30,'mortgage-rates'!$A:$A,'mortgage-rates'!$E:$E)/100,_xlfn.XLOOKUP(L30,'mortgage-rates'!$A:$A,'mortgage-rates'!$D:$D)/100)</f>
        <v>5.6799999999999996E-2</v>
      </c>
      <c r="BC30" s="10">
        <f t="shared" si="37"/>
        <v>180821.14100237636</v>
      </c>
      <c r="BD30" s="10">
        <f t="shared" si="13"/>
        <v>3994.8269463176312</v>
      </c>
      <c r="BE30" s="10">
        <f t="shared" si="14"/>
        <v>2567.6602022337443</v>
      </c>
      <c r="BF30" s="10">
        <f t="shared" si="36"/>
        <v>1427.1667440838869</v>
      </c>
      <c r="BG30" s="12">
        <f t="shared" si="15"/>
        <v>5490.1052568199138</v>
      </c>
      <c r="BH30" s="22">
        <f>INDEX(cpi!B:B,MATCH($L30,cpi!A:A))</f>
        <v>102</v>
      </c>
      <c r="BI30" s="22">
        <f t="shared" si="16"/>
        <v>120.56737588652483</v>
      </c>
      <c r="BJ30" s="22">
        <f t="shared" si="17"/>
        <v>122.39031092336657</v>
      </c>
      <c r="BK30" s="22">
        <f t="shared" si="18"/>
        <v>123.89771163615318</v>
      </c>
      <c r="BL30" s="22">
        <f t="shared" si="19"/>
        <v>122.84253113720254</v>
      </c>
      <c r="BM30" s="22">
        <f t="shared" si="20"/>
        <v>195.80066536743703</v>
      </c>
      <c r="BN30" s="22">
        <f t="shared" si="21"/>
        <v>127.42307692307692</v>
      </c>
      <c r="BO30">
        <f t="shared" si="22"/>
        <v>111.01197206025986</v>
      </c>
    </row>
    <row r="31" spans="1:67" x14ac:dyDescent="0.25">
      <c r="A31" s="5" t="s">
        <v>20</v>
      </c>
      <c r="L31" s="1">
        <f t="shared" si="33"/>
        <v>41334</v>
      </c>
      <c r="M31" s="10">
        <f t="shared" si="0"/>
        <v>145650.03985300503</v>
      </c>
      <c r="N31" s="10">
        <f t="shared" si="23"/>
        <v>108811.63824170752</v>
      </c>
      <c r="O31" s="7">
        <f t="shared" si="24"/>
        <v>1.3385520354860105</v>
      </c>
      <c r="P31" s="7">
        <f t="shared" si="1"/>
        <v>0.78588809941789872</v>
      </c>
      <c r="Q31">
        <v>29</v>
      </c>
      <c r="R31">
        <f t="shared" si="2"/>
        <v>90</v>
      </c>
      <c r="S31" s="22"/>
      <c r="T31" s="22">
        <f>IF($B$10="3BR_H",
INDEX('3BR_H-processed'!$E:$E,MATCH($L31,'3BR_H-processed'!$B:$B,0),MATCH(Council_Area,'3BR_H-processed'!$E$1:$E$1,0)),
INDEX('2BR_F-processed'!$E:$E,MATCH($L31,'2BR_F-processed'!$B:$B,0),MATCH(Council_Area,'2BR_F-processed'!$E$1:$E$1,0)))</f>
        <v>320.12821917808219</v>
      </c>
      <c r="U31" s="22">
        <f t="shared" si="25"/>
        <v>320.12821917808219</v>
      </c>
      <c r="V31" s="22">
        <f t="shared" si="34"/>
        <v>4115.9342465753425</v>
      </c>
      <c r="W31" s="22">
        <f>$B$53/4*BH31/_xlfn.XLOOKUP(Q_end,cpi!A:A,cpi!B:B)</f>
        <v>141.53420870767104</v>
      </c>
      <c r="X31" s="22">
        <f t="shared" si="26"/>
        <v>4257.4684552830131</v>
      </c>
      <c r="Y31" s="22">
        <f t="shared" si="3"/>
        <v>1159.9293376553042</v>
      </c>
      <c r="Z31" s="22">
        <f t="shared" si="27"/>
        <v>0</v>
      </c>
      <c r="AA31" s="22" cm="1">
        <f t="array" ref="AA31">(Y31+Z31)*eff_invest</f>
        <v>1159.9293376553042</v>
      </c>
      <c r="AB31" s="22">
        <f>AA31*(_xlfn.XLOOKUP(Q_end,cpi!A:A,cpi!B:B)/BH31)</f>
        <v>1639.0798355343993</v>
      </c>
      <c r="AC31" s="22" cm="1">
        <f t="array" ref="AC31">INDEX('msci-indices'!C:C,MATCH($L31,'msci-indices'!$B:$B)-2)</f>
        <v>948.15110700000002</v>
      </c>
      <c r="AD31" s="22" cm="1">
        <f t="array" ref="AD31">INDEX('msci-indices'!D:D,MATCH($L31,'msci-indices'!$B:$B)-2)</f>
        <v>943.69728799999996</v>
      </c>
      <c r="AE31" s="22">
        <f t="shared" si="28"/>
        <v>134780.26813020965</v>
      </c>
      <c r="AF31" s="22" cm="1">
        <f t="array" ref="AF31">INDEX('msci-indices'!C:C,MATCH($L31,'msci-indices'!$B:$B)+1)</f>
        <v>1024.705295</v>
      </c>
      <c r="AG31" s="22" cm="1">
        <f t="array" ref="AG31">INDEX('msci-indices'!D:D,MATCH($L31,'msci-indices'!$B:$B)+1)</f>
        <v>1021.5672520000001</v>
      </c>
      <c r="AH31" s="22">
        <f t="shared" si="4"/>
        <v>84.237667581381032</v>
      </c>
      <c r="AI31" s="22">
        <f t="shared" si="5"/>
        <v>145650.03985300503</v>
      </c>
      <c r="AJ31" s="22">
        <f t="shared" si="29"/>
        <v>112010.70326272871</v>
      </c>
      <c r="AK31" s="22">
        <f t="shared" si="6"/>
        <v>33639.336590276318</v>
      </c>
      <c r="AL31" s="22">
        <f>AJ31*(_xlfn.XLOOKUP(Q_end,cpi!A:A,cpi!B:B)/BH31)</f>
        <v>158280.7496300473</v>
      </c>
      <c r="AM31" s="22" cm="1">
        <f t="array" ref="AM31">SUMPRODUCT($AA$3:AA31,_xlfn.SORTBY($BH$3:BH31,_xlfn.SEQUENCE(ROWS($BH$3:BH31)),-1)/$BH$3)</f>
        <v>131354.2551879664</v>
      </c>
      <c r="AN31" s="22">
        <f t="shared" si="30"/>
        <v>14295.784665038635</v>
      </c>
      <c r="AO31" s="22">
        <f t="shared" si="7"/>
        <v>0</v>
      </c>
      <c r="AP31" s="22">
        <f t="shared" si="31"/>
        <v>145650.03985300503</v>
      </c>
      <c r="AQ31" s="22"/>
      <c r="AR31" s="10">
        <f>IF($B$10="3BR_H",
INDEX('ns-combined'!$C:$D,MATCH($L31,'ns-combined'!$B:$B,0),MATCH(Council_Area,'ns-combined'!$C$1:$D$1,0))*1000,
INDEX('s-combined'!$C:$D,MATCH($L31,'s-combined'!$B:$B,0),MATCH(Council_Area,'s-combined'!$C$1:$D$1,0))*1000)</f>
        <v>340000</v>
      </c>
      <c r="AS31" s="22">
        <f t="shared" si="35"/>
        <v>18850</v>
      </c>
      <c r="AT31" s="10">
        <v>0</v>
      </c>
      <c r="AU31" s="22">
        <f t="shared" si="8"/>
        <v>6800</v>
      </c>
      <c r="AV31" s="22">
        <f t="shared" si="9"/>
        <v>977.5</v>
      </c>
      <c r="AW31" s="22">
        <f>SUM($AV$3:AV31)</f>
        <v>26144.387500000001</v>
      </c>
      <c r="AX31" s="22">
        <f t="shared" si="32"/>
        <v>288205.61249999999</v>
      </c>
      <c r="AY31" s="22">
        <f t="shared" si="10"/>
        <v>1440.57698630137</v>
      </c>
      <c r="AZ31" s="24">
        <f t="shared" si="11"/>
        <v>1.6947964544722E-2</v>
      </c>
      <c r="BA31" s="24">
        <f t="shared" si="12"/>
        <v>0.35000000000000003</v>
      </c>
      <c r="BB31" s="25">
        <f>IF(MortgageRate="Discounted",_xlfn.XLOOKUP(L31,'mortgage-rates'!$A:$A,'mortgage-rates'!$E:$E)/100,_xlfn.XLOOKUP(L31,'mortgage-rates'!$A:$A,'mortgage-rates'!$D:$D)/100)</f>
        <v>5.62E-2</v>
      </c>
      <c r="BC31" s="10">
        <f t="shared" si="37"/>
        <v>179393.97425829247</v>
      </c>
      <c r="BD31" s="10">
        <f t="shared" si="13"/>
        <v>3976.8208066369475</v>
      </c>
      <c r="BE31" s="10">
        <f t="shared" si="14"/>
        <v>2520.4853383290092</v>
      </c>
      <c r="BF31" s="10">
        <f t="shared" si="36"/>
        <v>1456.3354683079383</v>
      </c>
      <c r="BG31" s="12">
        <f t="shared" si="15"/>
        <v>5417.3977929383173</v>
      </c>
      <c r="BH31" s="22">
        <f>INDEX(cpi!B:B,MATCH($L31,cpi!A:A))</f>
        <v>102.4</v>
      </c>
      <c r="BI31" s="22">
        <f t="shared" si="16"/>
        <v>121.04018912529551</v>
      </c>
      <c r="BJ31" s="22">
        <f t="shared" si="17"/>
        <v>125.60295617786929</v>
      </c>
      <c r="BK31" s="22">
        <f t="shared" si="18"/>
        <v>132.36398333992017</v>
      </c>
      <c r="BL31" s="22">
        <f t="shared" si="19"/>
        <v>127.63126432648455</v>
      </c>
      <c r="BM31" s="22">
        <f t="shared" si="20"/>
        <v>205.05460999595181</v>
      </c>
      <c r="BN31" s="22">
        <f t="shared" si="21"/>
        <v>130.76923076923077</v>
      </c>
      <c r="BO31">
        <f t="shared" si="22"/>
        <v>113.73432089265101</v>
      </c>
    </row>
    <row r="32" spans="1:67" x14ac:dyDescent="0.25">
      <c r="A32" t="s">
        <v>15</v>
      </c>
      <c r="B32" s="8">
        <v>7.0000000000000007E-2</v>
      </c>
      <c r="C32" s="8">
        <v>7.0000000000000007E-2</v>
      </c>
      <c r="L32" s="1">
        <f t="shared" si="33"/>
        <v>41426</v>
      </c>
      <c r="M32" s="10">
        <f t="shared" si="0"/>
        <v>145762.75966528716</v>
      </c>
      <c r="N32" s="10">
        <f t="shared" si="23"/>
        <v>98869.223710015474</v>
      </c>
      <c r="O32" s="7">
        <f t="shared" si="24"/>
        <v>1.4742986158444102</v>
      </c>
      <c r="P32" s="7">
        <f t="shared" si="1"/>
        <v>0.80345493111381761</v>
      </c>
      <c r="Q32">
        <v>30</v>
      </c>
      <c r="R32">
        <f t="shared" si="2"/>
        <v>91</v>
      </c>
      <c r="S32" s="22"/>
      <c r="T32" s="22">
        <f>IF($B$10="3BR_H",
INDEX('3BR_H-processed'!$E:$E,MATCH($L32,'3BR_H-processed'!$B:$B,0),MATCH(Council_Area,'3BR_H-processed'!$E$1:$E$1,0)),
INDEX('2BR_F-processed'!$E:$E,MATCH($L32,'2BR_F-processed'!$B:$B,0),MATCH(Council_Area,'2BR_F-processed'!$E$1:$E$1,0)))</f>
        <v>309.80150243040214</v>
      </c>
      <c r="U32" s="22">
        <f t="shared" si="25"/>
        <v>320.12821917808219</v>
      </c>
      <c r="V32" s="22">
        <f t="shared" si="34"/>
        <v>4161.6668493150682</v>
      </c>
      <c r="W32" s="22">
        <f>$B$53/4*BH32/_xlfn.XLOOKUP(Q_end,cpi!A:A,cpi!B:B)</f>
        <v>142.22529371112648</v>
      </c>
      <c r="X32" s="22">
        <f t="shared" si="26"/>
        <v>4303.8921430261944</v>
      </c>
      <c r="Y32" s="22">
        <f>BG32-X32</f>
        <v>1052.8391138966708</v>
      </c>
      <c r="Z32" s="22">
        <f t="shared" si="27"/>
        <v>0</v>
      </c>
      <c r="AA32" s="22" cm="1">
        <f t="array" ref="AA32">(Y32+Z32)*eff_invest</f>
        <v>1052.8391138966708</v>
      </c>
      <c r="AB32" s="22">
        <f>AA32*(_xlfn.XLOOKUP(Q_end,cpi!A:A,cpi!B:B)/BH32)</f>
        <v>1480.523029940216</v>
      </c>
      <c r="AC32" s="22" cm="1">
        <f t="array" ref="AC32">INDEX('msci-indices'!C:C,MATCH($L32,'msci-indices'!$B:$B)-2)</f>
        <v>1024.705295</v>
      </c>
      <c r="AD32" s="22" cm="1">
        <f t="array" ref="AD32">INDEX('msci-indices'!D:D,MATCH($L32,'msci-indices'!$B:$B)-2)</f>
        <v>1021.5672520000001</v>
      </c>
      <c r="AE32" s="22">
        <f t="shared" si="28"/>
        <v>146702.87896690171</v>
      </c>
      <c r="AF32" s="22" cm="1">
        <f t="array" ref="AF32">INDEX('msci-indices'!C:C,MATCH($L32,'msci-indices'!$B:$B)+1)</f>
        <v>1030.5183939999999</v>
      </c>
      <c r="AG32" s="22" cm="1">
        <f t="array" ref="AG32">INDEX('msci-indices'!D:D,MATCH($L32,'msci-indices'!$B:$B)+1)</f>
        <v>988.35138400000005</v>
      </c>
      <c r="AH32" s="22">
        <f t="shared" si="4"/>
        <v>91.689299354313576</v>
      </c>
      <c r="AI32" s="22">
        <f t="shared" si="5"/>
        <v>145762.75966528716</v>
      </c>
      <c r="AJ32" s="22">
        <f t="shared" si="29"/>
        <v>113063.54237662538</v>
      </c>
      <c r="AK32" s="22">
        <f t="shared" si="6"/>
        <v>32699.217288661777</v>
      </c>
      <c r="AL32" s="22">
        <f>AJ32*(_xlfn.XLOOKUP(Q_end,cpi!A:A,cpi!B:B)/BH32)</f>
        <v>158992.17280755771</v>
      </c>
      <c r="AM32" s="22" cm="1">
        <f t="array" ref="AM32">SUMPRODUCT($AA$3:AA32,_xlfn.SORTBY($BH$3:BH32,_xlfn.SEQUENCE(ROWS($BH$3:BH32)),-1)/$BH$3)</f>
        <v>133148.35061324999</v>
      </c>
      <c r="AN32" s="22">
        <f t="shared" si="30"/>
        <v>12614.409052037168</v>
      </c>
      <c r="AO32" s="22">
        <f t="shared" si="7"/>
        <v>0</v>
      </c>
      <c r="AP32" s="22">
        <f t="shared" si="31"/>
        <v>145762.75966528716</v>
      </c>
      <c r="AQ32" s="22"/>
      <c r="AR32" s="10">
        <f>IF($B$10="3BR_H",
INDEX('ns-combined'!$C:$D,MATCH($L32,'ns-combined'!$B:$B,0),MATCH(Council_Area,'ns-combined'!$C$1:$D$1,0))*1000,
INDEX('s-combined'!$C:$D,MATCH($L32,'s-combined'!$B:$B,0),MATCH(Council_Area,'s-combined'!$C$1:$D$1,0))*1000)</f>
        <v>330000</v>
      </c>
      <c r="AS32" s="22">
        <f t="shared" si="35"/>
        <v>19500</v>
      </c>
      <c r="AT32" s="10">
        <v>0</v>
      </c>
      <c r="AU32" s="22">
        <f t="shared" si="8"/>
        <v>6600</v>
      </c>
      <c r="AV32" s="22">
        <f t="shared" si="9"/>
        <v>948.75</v>
      </c>
      <c r="AW32" s="22">
        <f>SUM($AV$3:AV32)</f>
        <v>27093.137500000001</v>
      </c>
      <c r="AX32" s="22">
        <f t="shared" si="32"/>
        <v>276806.86249999999</v>
      </c>
      <c r="AY32" s="22">
        <f t="shared" si="10"/>
        <v>1456.5833972602741</v>
      </c>
      <c r="AZ32" s="24">
        <f t="shared" si="11"/>
        <v>1.7655556330427563E-2</v>
      </c>
      <c r="BA32" s="24">
        <f t="shared" si="12"/>
        <v>0.35000000000000003</v>
      </c>
      <c r="BB32" s="25">
        <f>IF(MortgageRate="Discounted",_xlfn.XLOOKUP(L32,'mortgage-rates'!$A:$A,'mortgage-rates'!$E:$E)/100,_xlfn.XLOOKUP(L32,'mortgage-rates'!$A:$A,'mortgage-rates'!$D:$D)/100)</f>
        <v>5.3600000000000002E-2</v>
      </c>
      <c r="BC32" s="10">
        <f t="shared" si="37"/>
        <v>177937.63878998451</v>
      </c>
      <c r="BD32" s="10">
        <f t="shared" si="13"/>
        <v>3900.1478596625916</v>
      </c>
      <c r="BE32" s="10">
        <f t="shared" si="14"/>
        <v>2384.3643597857927</v>
      </c>
      <c r="BF32" s="10">
        <f t="shared" si="36"/>
        <v>1515.7834998767989</v>
      </c>
      <c r="BG32" s="12">
        <f t="shared" si="15"/>
        <v>5356.7312569228652</v>
      </c>
      <c r="BH32" s="22">
        <f>INDEX(cpi!B:B,MATCH($L32,cpi!A:A))</f>
        <v>102.9</v>
      </c>
      <c r="BI32" s="22">
        <f t="shared" si="16"/>
        <v>121.63120567375887</v>
      </c>
      <c r="BJ32" s="22">
        <f t="shared" si="17"/>
        <v>135.74420080608061</v>
      </c>
      <c r="BK32" s="22">
        <f t="shared" si="18"/>
        <v>143.28610714873224</v>
      </c>
      <c r="BL32" s="22">
        <f t="shared" si="19"/>
        <v>138.0067727088761</v>
      </c>
      <c r="BM32" s="22">
        <f t="shared" si="20"/>
        <v>223.19366216707169</v>
      </c>
      <c r="BN32" s="22">
        <f t="shared" si="21"/>
        <v>126.92307692307692</v>
      </c>
      <c r="BO32">
        <f t="shared" si="22"/>
        <v>109.23604246209094</v>
      </c>
    </row>
    <row r="33" spans="1:67" x14ac:dyDescent="0.25">
      <c r="A33" t="s">
        <v>17</v>
      </c>
      <c r="B33" s="8">
        <v>0.16</v>
      </c>
      <c r="C33" s="8">
        <v>0.16</v>
      </c>
      <c r="L33" s="1">
        <f t="shared" si="33"/>
        <v>41518</v>
      </c>
      <c r="M33" s="10">
        <f t="shared" si="0"/>
        <v>159930.66276492921</v>
      </c>
      <c r="N33" s="10">
        <f t="shared" si="23"/>
        <v>93900.632209892268</v>
      </c>
      <c r="O33" s="7">
        <f t="shared" si="24"/>
        <v>1.7031904791380179</v>
      </c>
      <c r="P33" s="7">
        <f t="shared" si="1"/>
        <v>0.82218765284106399</v>
      </c>
      <c r="Q33">
        <v>31</v>
      </c>
      <c r="R33">
        <f t="shared" si="2"/>
        <v>92</v>
      </c>
      <c r="S33" s="22"/>
      <c r="T33" s="22">
        <f>IF($B$10="3BR_H",
INDEX('3BR_H-processed'!$E:$E,MATCH($L33,'3BR_H-processed'!$B:$B,0),MATCH(Council_Area,'3BR_H-processed'!$E$1:$E$1,0)),
INDEX('2BR_F-processed'!$E:$E,MATCH($L33,'2BR_F-processed'!$B:$B,0),MATCH(Council_Area,'2BR_F-processed'!$E$1:$E$1,0)))</f>
        <v>318.12602739726026</v>
      </c>
      <c r="U33" s="22">
        <f t="shared" si="25"/>
        <v>320.12821917808219</v>
      </c>
      <c r="V33" s="22">
        <f t="shared" si="34"/>
        <v>4207.3994520547949</v>
      </c>
      <c r="W33" s="22">
        <f>$B$53/4*BH33/_xlfn.XLOOKUP(Q_end,cpi!A:A,cpi!B:B)</f>
        <v>143.60746371803734</v>
      </c>
      <c r="X33" s="22">
        <f t="shared" si="26"/>
        <v>4351.0069157728321</v>
      </c>
      <c r="Y33" s="22">
        <f t="shared" si="3"/>
        <v>940.98074755190464</v>
      </c>
      <c r="Z33" s="22">
        <f t="shared" si="27"/>
        <v>0</v>
      </c>
      <c r="AA33" s="22" cm="1">
        <f t="array" ref="AA33">(Y33+Z33)*eff_invest</f>
        <v>940.98074755190464</v>
      </c>
      <c r="AB33" s="22">
        <f>AA33*(_xlfn.XLOOKUP(Q_end,cpi!A:A,cpi!B:B)/BH33)</f>
        <v>1310.4900305174262</v>
      </c>
      <c r="AC33" s="22" cm="1">
        <f t="array" ref="AC33">INDEX('msci-indices'!C:C,MATCH($L33,'msci-indices'!$B:$B)-2)</f>
        <v>1030.5183939999999</v>
      </c>
      <c r="AD33" s="22" cm="1">
        <f t="array" ref="AD33">INDEX('msci-indices'!D:D,MATCH($L33,'msci-indices'!$B:$B)-2)</f>
        <v>988.35138400000005</v>
      </c>
      <c r="AE33" s="22">
        <f t="shared" si="28"/>
        <v>146703.74041283905</v>
      </c>
      <c r="AF33" s="22" cm="1">
        <f t="array" ref="AF33">INDEX('msci-indices'!C:C,MATCH($L33,'msci-indices'!$B:$B)+1)</f>
        <v>1119.437079</v>
      </c>
      <c r="AG33" s="22" cm="1">
        <f t="array" ref="AG33">INDEX('msci-indices'!D:D,MATCH($L33,'msci-indices'!$B:$B)+1)</f>
        <v>1088.458187</v>
      </c>
      <c r="AH33" s="22">
        <f t="shared" si="4"/>
        <v>91.68983775802441</v>
      </c>
      <c r="AI33" s="22">
        <f t="shared" si="5"/>
        <v>159930.66276492921</v>
      </c>
      <c r="AJ33" s="22">
        <f t="shared" si="29"/>
        <v>114004.52312417729</v>
      </c>
      <c r="AK33" s="22">
        <f t="shared" si="6"/>
        <v>45926.139640751921</v>
      </c>
      <c r="AL33" s="22">
        <f>AJ33*(_xlfn.XLOOKUP(Q_end,cpi!A:A,cpi!B:B)/BH33)</f>
        <v>158772.42055888788</v>
      </c>
      <c r="AM33" s="22" cm="1">
        <f t="array" ref="AM33">SUMPRODUCT($AA$3:AA33,_xlfn.SORTBY($BH$3:BH33,_xlfn.SEQUENCE(ROWS($BH$3:BH33)),-1)/$BH$3)</f>
        <v>135219.26276001066</v>
      </c>
      <c r="AN33" s="22">
        <f t="shared" si="30"/>
        <v>24711.400004918542</v>
      </c>
      <c r="AO33" s="22">
        <f t="shared" si="7"/>
        <v>0</v>
      </c>
      <c r="AP33" s="22">
        <f t="shared" si="31"/>
        <v>159930.66276492921</v>
      </c>
      <c r="AQ33" s="22"/>
      <c r="AR33" s="10">
        <f>IF($B$10="3BR_H",
INDEX('ns-combined'!$C:$D,MATCH($L33,'ns-combined'!$B:$B,0),MATCH(Council_Area,'ns-combined'!$C$1:$D$1,0))*1000,
INDEX('s-combined'!$C:$D,MATCH($L33,'s-combined'!$B:$B,0),MATCH(Council_Area,'s-combined'!$C$1:$D$1,0))*1000)</f>
        <v>325000</v>
      </c>
      <c r="AS33" s="22">
        <f t="shared" si="35"/>
        <v>20150</v>
      </c>
      <c r="AT33" s="10">
        <v>0</v>
      </c>
      <c r="AU33" s="22">
        <f t="shared" si="8"/>
        <v>6500</v>
      </c>
      <c r="AV33" s="22">
        <f t="shared" si="9"/>
        <v>934.375</v>
      </c>
      <c r="AW33" s="22">
        <f>SUM($AV$3:AV33)</f>
        <v>28027.512500000001</v>
      </c>
      <c r="AX33" s="22">
        <f t="shared" si="32"/>
        <v>270322.48749999999</v>
      </c>
      <c r="AY33" s="22">
        <f t="shared" si="10"/>
        <v>1472.5898082191784</v>
      </c>
      <c r="AZ33" s="24">
        <f t="shared" si="11"/>
        <v>1.8124182255005273E-2</v>
      </c>
      <c r="BA33" s="24">
        <f t="shared" si="12"/>
        <v>0.35000000000000003</v>
      </c>
      <c r="BB33" s="25">
        <f>IF(MortgageRate="Discounted",_xlfn.XLOOKUP(L33,'mortgage-rates'!$A:$A,'mortgage-rates'!$E:$E)/100,_xlfn.XLOOKUP(L33,'mortgage-rates'!$A:$A,'mortgage-rates'!$D:$D)/100)</f>
        <v>5.0799999999999998E-2</v>
      </c>
      <c r="BC33" s="10">
        <f t="shared" si="37"/>
        <v>176421.85529010772</v>
      </c>
      <c r="BD33" s="10">
        <f t="shared" si="13"/>
        <v>3819.3978551055588</v>
      </c>
      <c r="BE33" s="10">
        <f t="shared" si="14"/>
        <v>2240.5575621843682</v>
      </c>
      <c r="BF33" s="10">
        <f t="shared" si="36"/>
        <v>1578.8402929211907</v>
      </c>
      <c r="BG33" s="12">
        <f t="shared" si="15"/>
        <v>5291.9876633247368</v>
      </c>
      <c r="BH33" s="22">
        <f>INDEX(cpi!B:B,MATCH($L33,cpi!A:A))</f>
        <v>103.9</v>
      </c>
      <c r="BI33" s="22">
        <f t="shared" si="16"/>
        <v>122.81323877068559</v>
      </c>
      <c r="BJ33" s="22">
        <f t="shared" si="17"/>
        <v>136.51427048544301</v>
      </c>
      <c r="BK33" s="22">
        <f t="shared" si="18"/>
        <v>138.62721424474736</v>
      </c>
      <c r="BL33" s="22">
        <f t="shared" si="19"/>
        <v>137.14815361323431</v>
      </c>
      <c r="BM33" s="22">
        <f t="shared" si="20"/>
        <v>223.19497277034594</v>
      </c>
      <c r="BN33" s="22">
        <f t="shared" si="21"/>
        <v>125</v>
      </c>
      <c r="BO33">
        <f t="shared" si="22"/>
        <v>106.67711940489932</v>
      </c>
    </row>
    <row r="34" spans="1:67" x14ac:dyDescent="0.25">
      <c r="A34" t="s">
        <v>16</v>
      </c>
      <c r="B34" s="8">
        <v>7.0000000000000007E-2</v>
      </c>
      <c r="C34" s="8">
        <v>7.0000000000000007E-2</v>
      </c>
      <c r="L34" s="1">
        <f t="shared" si="33"/>
        <v>41609</v>
      </c>
      <c r="M34" s="10">
        <f t="shared" si="0"/>
        <v>171305.69839375035</v>
      </c>
      <c r="N34" s="10">
        <f t="shared" si="23"/>
        <v>118323.22250281347</v>
      </c>
      <c r="O34" s="7">
        <f t="shared" si="24"/>
        <v>1.4477774926192284</v>
      </c>
      <c r="P34" s="7">
        <f t="shared" si="1"/>
        <v>0.82151637888001428</v>
      </c>
      <c r="Q34">
        <v>32</v>
      </c>
      <c r="R34">
        <f t="shared" si="2"/>
        <v>92</v>
      </c>
      <c r="S34" s="22"/>
      <c r="T34" s="22">
        <f>IF($B$10="3BR_H",
INDEX('3BR_H-processed'!$E:$E,MATCH($L34,'3BR_H-processed'!$B:$B,0),MATCH(Council_Area,'3BR_H-processed'!$E$1:$E$1,0)),
INDEX('2BR_F-processed'!$E:$E,MATCH($L34,'2BR_F-processed'!$B:$B,0),MATCH(Council_Area,'2BR_F-processed'!$E$1:$E$1,0)))</f>
        <v>318.12602739726026</v>
      </c>
      <c r="U34" s="22">
        <f t="shared" si="25"/>
        <v>320.12821917808219</v>
      </c>
      <c r="V34" s="22">
        <f t="shared" si="34"/>
        <v>4207.3994520547949</v>
      </c>
      <c r="W34" s="22">
        <f>$B$53/4*BH34/_xlfn.XLOOKUP(Q_end,cpi!A:A,cpi!B:B)</f>
        <v>144.71319972356602</v>
      </c>
      <c r="X34" s="22">
        <f t="shared" si="26"/>
        <v>4352.1126517783605</v>
      </c>
      <c r="Y34" s="22">
        <f t="shared" si="3"/>
        <v>945.5451474631609</v>
      </c>
      <c r="Z34" s="22">
        <f t="shared" si="27"/>
        <v>0</v>
      </c>
      <c r="AA34" s="22" cm="1">
        <f t="array" ref="AA34">(Y34+Z34)*eff_invest</f>
        <v>945.5451474631609</v>
      </c>
      <c r="AB34" s="22">
        <f>AA34*(_xlfn.XLOOKUP(Q_end,cpi!A:A,cpi!B:B)/BH34)</f>
        <v>1306.7849363698124</v>
      </c>
      <c r="AC34" s="22" cm="1">
        <f t="array" ref="AC34">INDEX('msci-indices'!C:C,MATCH($L34,'msci-indices'!$B:$B)-2)</f>
        <v>1119.437079</v>
      </c>
      <c r="AD34" s="22" cm="1">
        <f t="array" ref="AD34">INDEX('msci-indices'!D:D,MATCH($L34,'msci-indices'!$B:$B)-2)</f>
        <v>1088.458187</v>
      </c>
      <c r="AE34" s="22">
        <f t="shared" si="28"/>
        <v>160876.20791239236</v>
      </c>
      <c r="AF34" s="22" cm="1">
        <f t="array" ref="AF34">INDEX('msci-indices'!C:C,MATCH($L34,'msci-indices'!$B:$B)+1)</f>
        <v>1208.107446</v>
      </c>
      <c r="AG34" s="22" cm="1">
        <f t="array" ref="AG34">INDEX('msci-indices'!D:D,MATCH($L34,'msci-indices'!$B:$B)+1)</f>
        <v>1124.7671330000001</v>
      </c>
      <c r="AH34" s="22">
        <f t="shared" si="4"/>
        <v>100.54762994524523</v>
      </c>
      <c r="AI34" s="22">
        <f t="shared" si="5"/>
        <v>171305.69839375035</v>
      </c>
      <c r="AJ34" s="22">
        <f t="shared" si="29"/>
        <v>114950.06827164044</v>
      </c>
      <c r="AK34" s="22">
        <f t="shared" si="6"/>
        <v>56355.630122109913</v>
      </c>
      <c r="AL34" s="22">
        <f>AJ34*(_xlfn.XLOOKUP(Q_end,cpi!A:A,cpi!B:B)/BH34)</f>
        <v>158866.04468869502</v>
      </c>
      <c r="AM34" s="22" cm="1">
        <f t="array" ref="AM34">SUMPRODUCT($AA$3:AA34,_xlfn.SORTBY($BH$3:BH34,_xlfn.SEQUENCE(ROWS($BH$3:BH34)),-1)/$BH$3)</f>
        <v>137141.06608897541</v>
      </c>
      <c r="AN34" s="22">
        <f t="shared" si="30"/>
        <v>34164.632304774947</v>
      </c>
      <c r="AO34" s="22">
        <f t="shared" si="7"/>
        <v>0</v>
      </c>
      <c r="AP34" s="22">
        <f t="shared" si="31"/>
        <v>171305.69839375035</v>
      </c>
      <c r="AQ34" s="22"/>
      <c r="AR34" s="10">
        <f>IF($B$10="3BR_H",
INDEX('ns-combined'!$C:$D,MATCH($L34,'ns-combined'!$B:$B,0),MATCH(Council_Area,'ns-combined'!$C$1:$D$1,0))*1000,
INDEX('s-combined'!$C:$D,MATCH($L34,'s-combined'!$B:$B,0),MATCH(Council_Area,'s-combined'!$C$1:$D$1,0))*1000)</f>
        <v>350000</v>
      </c>
      <c r="AS34" s="22">
        <f t="shared" si="35"/>
        <v>20800</v>
      </c>
      <c r="AT34" s="10">
        <v>0</v>
      </c>
      <c r="AU34" s="22">
        <f t="shared" si="8"/>
        <v>7000</v>
      </c>
      <c r="AV34" s="22">
        <f t="shared" si="9"/>
        <v>1006.25</v>
      </c>
      <c r="AW34" s="22">
        <f>SUM($AV$3:AV34)</f>
        <v>29033.762500000001</v>
      </c>
      <c r="AX34" s="22">
        <f t="shared" si="32"/>
        <v>293166.23749999999</v>
      </c>
      <c r="AY34" s="22">
        <f t="shared" si="10"/>
        <v>1472.5898082191784</v>
      </c>
      <c r="AZ34" s="24">
        <f t="shared" si="11"/>
        <v>1.6829597808219181E-2</v>
      </c>
      <c r="BA34" s="24">
        <f t="shared" si="12"/>
        <v>0.35000000000000003</v>
      </c>
      <c r="BB34" s="25">
        <f>IF(MortgageRate="Discounted",_xlfn.XLOOKUP(L34,'mortgage-rates'!$A:$A,'mortgage-rates'!$E:$E)/100,_xlfn.XLOOKUP(L34,'mortgage-rates'!$A:$A,'mortgage-rates'!$D:$D)/100)</f>
        <v>5.0999999999999997E-2</v>
      </c>
      <c r="BC34" s="10">
        <f t="shared" si="37"/>
        <v>174843.01499718652</v>
      </c>
      <c r="BD34" s="10">
        <f t="shared" si="13"/>
        <v>3825.067991022343</v>
      </c>
      <c r="BE34" s="10">
        <f t="shared" si="14"/>
        <v>2229.248441214128</v>
      </c>
      <c r="BF34" s="10">
        <f t="shared" si="36"/>
        <v>1595.819549808215</v>
      </c>
      <c r="BG34" s="12">
        <f t="shared" si="15"/>
        <v>5297.6577992415214</v>
      </c>
      <c r="BH34" s="22">
        <f>INDEX(cpi!B:B,MATCH($L34,cpi!A:A))</f>
        <v>104.7</v>
      </c>
      <c r="BI34" s="22">
        <f t="shared" si="16"/>
        <v>123.75886524822695</v>
      </c>
      <c r="BJ34" s="22">
        <f t="shared" si="17"/>
        <v>148.29345801472445</v>
      </c>
      <c r="BK34" s="22">
        <f t="shared" si="18"/>
        <v>152.66830069587706</v>
      </c>
      <c r="BL34" s="22">
        <f t="shared" si="19"/>
        <v>149.60591081907023</v>
      </c>
      <c r="BM34" s="22">
        <f t="shared" si="20"/>
        <v>244.75695536703898</v>
      </c>
      <c r="BN34" s="22">
        <f t="shared" si="21"/>
        <v>134.61538461538461</v>
      </c>
      <c r="BO34">
        <f t="shared" si="22"/>
        <v>115.69192786180089</v>
      </c>
    </row>
    <row r="35" spans="1:67" x14ac:dyDescent="0.25">
      <c r="A35" t="s">
        <v>18</v>
      </c>
      <c r="B35" s="8">
        <v>0.05</v>
      </c>
      <c r="C35" s="8">
        <v>0.05</v>
      </c>
      <c r="L35" s="1">
        <f t="shared" si="33"/>
        <v>41699</v>
      </c>
      <c r="M35" s="10">
        <f t="shared" ref="M35:M66" si="38">AP35</f>
        <v>175037.03223749134</v>
      </c>
      <c r="N35" s="10">
        <f t="shared" ref="N35:N66" si="39">AX35-BC35</f>
        <v>128034.04205262169</v>
      </c>
      <c r="O35" s="7">
        <f t="shared" si="24"/>
        <v>1.3671132257587519</v>
      </c>
      <c r="P35" s="7">
        <f t="shared" ref="P35:P66" si="40">X35/BG35</f>
        <v>0.82577088513563979</v>
      </c>
      <c r="Q35">
        <v>33</v>
      </c>
      <c r="R35">
        <f t="shared" ref="R35:R66" si="41">EOMONTH(L35,0)-EOMONTH(L35,-3)</f>
        <v>90</v>
      </c>
      <c r="S35" s="22"/>
      <c r="T35" s="22">
        <f>IF($B$10="3BR_H",
INDEX('3BR_H-processed'!$E:$E,MATCH($L35,'3BR_H-processed'!$B:$B,0),MATCH(Council_Area,'3BR_H-processed'!$E$1:$E$1,0)),
INDEX('2BR_F-processed'!$E:$E,MATCH($L35,'2BR_F-processed'!$B:$B,0),MATCH(Council_Area,'2BR_F-processed'!$E$1:$E$1,0)))</f>
        <v>329.09589041095887</v>
      </c>
      <c r="U35" s="22">
        <f t="shared" si="25"/>
        <v>329.09589041095887</v>
      </c>
      <c r="V35" s="22">
        <f t="shared" si="34"/>
        <v>4231.2328767123281</v>
      </c>
      <c r="W35" s="22">
        <f>$B$53/4*BH35/_xlfn.XLOOKUP(Q_end,cpi!A:A,cpi!B:B)</f>
        <v>145.6807187284036</v>
      </c>
      <c r="X35" s="22">
        <f t="shared" ref="X35:X66" si="42">V35+W35</f>
        <v>4376.913595440732</v>
      </c>
      <c r="Y35" s="22">
        <f t="shared" ref="Y35:Y66" si="43">BG35-X35</f>
        <v>923.48349318002693</v>
      </c>
      <c r="Z35" s="22">
        <f t="shared" si="27"/>
        <v>0</v>
      </c>
      <c r="AA35" s="22" cm="1">
        <f t="array" ref="AA35">(Y35+Z35)*eff_invest</f>
        <v>923.48349318002693</v>
      </c>
      <c r="AB35" s="22">
        <f>AA35*(_xlfn.XLOOKUP(Q_end,cpi!A:A,cpi!B:B)/BH35)</f>
        <v>1267.8184199539835</v>
      </c>
      <c r="AC35" s="22" cm="1">
        <f t="array" ref="AC35">INDEX('msci-indices'!C:C,MATCH($L35,'msci-indices'!$B:$B)-2)</f>
        <v>1208.107446</v>
      </c>
      <c r="AD35" s="22" cm="1">
        <f t="array" ref="AD35">INDEX('msci-indices'!D:D,MATCH($L35,'msci-indices'!$B:$B)-2)</f>
        <v>1124.7671330000001</v>
      </c>
      <c r="AE35" s="22">
        <f t="shared" si="28"/>
        <v>172229.18188693037</v>
      </c>
      <c r="AF35" s="22" cm="1">
        <f t="array" ref="AF35">INDEX('msci-indices'!C:C,MATCH($L35,'msci-indices'!$B:$B)+1)</f>
        <v>1225.920044</v>
      </c>
      <c r="AG35" s="22" cm="1">
        <f t="array" ref="AG35">INDEX('msci-indices'!D:D,MATCH($L35,'msci-indices'!$B:$B)+1)</f>
        <v>1149.5383919999999</v>
      </c>
      <c r="AH35" s="22">
        <f t="shared" ref="AH35:AH66" si="44">(InvestFees/4)*AE35</f>
        <v>107.64323867933149</v>
      </c>
      <c r="AI35" s="22">
        <f t="shared" ref="AI35:AI66" si="45">((AF35/AC35)*GlobalPortfolio+(AG35/AD35)*AusPortfolio)*AE35-AH35</f>
        <v>175037.03223749134</v>
      </c>
      <c r="AJ35" s="22">
        <f t="shared" si="29"/>
        <v>115873.55176482047</v>
      </c>
      <c r="AK35" s="22">
        <f t="shared" ref="AK35:AK66" si="46">AI35-AJ35</f>
        <v>59163.480472670868</v>
      </c>
      <c r="AL35" s="22">
        <f>AJ35*(_xlfn.XLOOKUP(Q_end,cpi!A:A,cpi!B:B)/BH35)</f>
        <v>159078.77552532751</v>
      </c>
      <c r="AM35" s="22" cm="1">
        <f t="array" ref="AM35">SUMPRODUCT($AA$3:AA35,_xlfn.SORTBY($BH$3:BH35,_xlfn.SEQUENCE(ROWS($BH$3:BH35)),-1)/$BH$3)</f>
        <v>138963.53481619852</v>
      </c>
      <c r="AN35" s="22">
        <f t="shared" si="30"/>
        <v>36073.497421292821</v>
      </c>
      <c r="AO35" s="22">
        <f t="shared" ref="AO35:AO66" si="47">IF($B$49="Real gains",MAX($B$50*AN35,0),IF($B$49="Discounted nominal gains",MAX($B$50*AK35/2,0),0))</f>
        <v>0</v>
      </c>
      <c r="AP35" s="22">
        <f t="shared" si="31"/>
        <v>175037.03223749134</v>
      </c>
      <c r="AQ35" s="22"/>
      <c r="AR35" s="10">
        <f>IF($B$10="3BR_H",
INDEX('ns-combined'!$C:$D,MATCH($L35,'ns-combined'!$B:$B,0),MATCH(Council_Area,'ns-combined'!$C$1:$D$1,0))*1000,
INDEX('s-combined'!$C:$D,MATCH($L35,'s-combined'!$B:$B,0),MATCH(Council_Area,'s-combined'!$C$1:$D$1,0))*1000)</f>
        <v>360000</v>
      </c>
      <c r="AS35" s="22">
        <f t="shared" si="35"/>
        <v>21450</v>
      </c>
      <c r="AT35" s="10">
        <v>0</v>
      </c>
      <c r="AU35" s="22">
        <f t="shared" ref="AU35:AU66" si="48">SUM($B$28:$B$29)*AR35</f>
        <v>7200</v>
      </c>
      <c r="AV35" s="22">
        <f t="shared" ref="AV35:AV66" si="49">AR35*$B$15/4</f>
        <v>1035</v>
      </c>
      <c r="AW35" s="22">
        <f>SUM($AV$3:AV35)</f>
        <v>30068.762500000001</v>
      </c>
      <c r="AX35" s="22">
        <f t="shared" ref="AX35:AX66" si="50">AR35-AS35-AU35-AW35</f>
        <v>301281.23749999999</v>
      </c>
      <c r="AY35" s="22">
        <f t="shared" ref="AY35:AY66" si="51">$B$36*V35</f>
        <v>1480.9315068493149</v>
      </c>
      <c r="AZ35" s="24">
        <f t="shared" ref="AZ35:AZ66" si="52">SUM(AY35:AY35)*4/AR35</f>
        <v>1.6454794520547943E-2</v>
      </c>
      <c r="BA35" s="24">
        <f t="shared" ref="BA35:BA66" si="53">SUM(AY35:AY35)/V35</f>
        <v>0.35000000000000003</v>
      </c>
      <c r="BB35" s="25">
        <f>IF(MortgageRate="Discounted",_xlfn.XLOOKUP(L35,'mortgage-rates'!$A:$A,'mortgage-rates'!$E:$E)/100,_xlfn.XLOOKUP(L35,'mortgage-rates'!$A:$A,'mortgage-rates'!$D:$D)/100)</f>
        <v>5.0799999999999998E-2</v>
      </c>
      <c r="BC35" s="10">
        <f t="shared" si="37"/>
        <v>173247.1954473783</v>
      </c>
      <c r="BD35" s="10">
        <f t="shared" ref="BD35:BD66" si="54">IF($B$16*12/3-Q35+1&gt;0,-PMT($BB35/4,$B$16*12/3-Q35+1,BC35),0)</f>
        <v>3819.4655817714442</v>
      </c>
      <c r="BE35" s="10">
        <f t="shared" ref="BE35:BE67" si="55">BC35*($BB35/4)</f>
        <v>2200.2393821817041</v>
      </c>
      <c r="BF35" s="10">
        <f t="shared" si="36"/>
        <v>1619.2261995897402</v>
      </c>
      <c r="BG35" s="12">
        <f t="shared" ref="BG35:BG66" si="56">AT35+AY35+BD35</f>
        <v>5300.397088620759</v>
      </c>
      <c r="BH35" s="22">
        <f>INDEX(cpi!B:B,MATCH($L35,cpi!A:A))</f>
        <v>105.4</v>
      </c>
      <c r="BI35" s="22">
        <f t="shared" ref="BI35:BI66" si="57">100*BH35/BH$3</f>
        <v>124.58628841607566</v>
      </c>
      <c r="BJ35" s="22">
        <f t="shared" ref="BJ35:BJ66" si="58">100*AC35/AC$3</f>
        <v>160.03975049738099</v>
      </c>
      <c r="BK35" s="22">
        <f t="shared" ref="BK35:BK66" si="59">100*AD35/AD$3</f>
        <v>157.76103200341271</v>
      </c>
      <c r="BL35" s="22">
        <f t="shared" ref="BL35:BL66" si="60">BJ35*GlobalPortfolio+BK35*AusPortfolio</f>
        <v>159.3561349491905</v>
      </c>
      <c r="BM35" s="22">
        <f t="shared" ref="BM35:BM66" si="61">100*AE35/$AE$3</f>
        <v>262.02936239618992</v>
      </c>
      <c r="BN35" s="22">
        <f t="shared" ref="BN35:BN66" si="62">100*AR35/AR$3</f>
        <v>138.46153846153845</v>
      </c>
      <c r="BO35">
        <f t="shared" ref="BO35:BO66" si="63">100*AX35/AX$3</f>
        <v>118.89434299188051</v>
      </c>
    </row>
    <row r="36" spans="1:67" x14ac:dyDescent="0.25">
      <c r="A36" t="s">
        <v>19</v>
      </c>
      <c r="B36" s="8">
        <f>SUM(B32:B35)</f>
        <v>0.35000000000000003</v>
      </c>
      <c r="C36" s="8">
        <v>0.35000000000000003</v>
      </c>
      <c r="L36" s="1">
        <f t="shared" si="33"/>
        <v>41791</v>
      </c>
      <c r="M36" s="10">
        <f t="shared" si="38"/>
        <v>181949.82087947818</v>
      </c>
      <c r="N36" s="10">
        <f t="shared" si="39"/>
        <v>108425.76825221142</v>
      </c>
      <c r="O36" s="7">
        <f t="shared" si="24"/>
        <v>1.6781049727610964</v>
      </c>
      <c r="P36" s="7">
        <f t="shared" si="40"/>
        <v>0.83223962418554076</v>
      </c>
      <c r="Q36">
        <v>34</v>
      </c>
      <c r="R36">
        <f t="shared" si="41"/>
        <v>91</v>
      </c>
      <c r="S36" s="22"/>
      <c r="T36" s="22">
        <f>IF($B$10="3BR_H",
INDEX('3BR_H-processed'!$E:$E,MATCH($L36,'3BR_H-processed'!$B:$B,0),MATCH(Council_Area,'3BR_H-processed'!$E$1:$E$1,0)),
INDEX('2BR_F-processed'!$E:$E,MATCH($L36,'2BR_F-processed'!$B:$B,0),MATCH(Council_Area,'2BR_F-processed'!$E$1:$E$1,0)))</f>
        <v>318.12602739726026</v>
      </c>
      <c r="U36" s="22">
        <f t="shared" si="25"/>
        <v>329.09589041095887</v>
      </c>
      <c r="V36" s="22">
        <f t="shared" si="34"/>
        <v>4278.2465753424649</v>
      </c>
      <c r="W36" s="22">
        <f>$B$53/4*BH36/_xlfn.XLOOKUP(Q_end,cpi!A:A,cpi!B:B)</f>
        <v>146.64823773324119</v>
      </c>
      <c r="X36" s="22">
        <f t="shared" si="42"/>
        <v>4424.8948130757062</v>
      </c>
      <c r="Y36" s="22">
        <f t="shared" si="43"/>
        <v>891.95707006560133</v>
      </c>
      <c r="Z36" s="22">
        <f t="shared" ref="Z36:Z67" si="64">Y36*$B$47</f>
        <v>0</v>
      </c>
      <c r="AA36" s="22" cm="1">
        <f t="array" ref="AA36">(Y36+Z36)*eff_invest</f>
        <v>891.95707006560133</v>
      </c>
      <c r="AB36" s="22">
        <f>AA36*(_xlfn.XLOOKUP(Q_end,cpi!A:A,cpi!B:B)/BH36)</f>
        <v>1216.4579456973847</v>
      </c>
      <c r="AC36" s="22" cm="1">
        <f t="array" ref="AC36">INDEX('msci-indices'!C:C,MATCH($L36,'msci-indices'!$B:$B)-2)</f>
        <v>1225.920044</v>
      </c>
      <c r="AD36" s="22" cm="1">
        <f t="array" ref="AD36">INDEX('msci-indices'!D:D,MATCH($L36,'msci-indices'!$B:$B)-2)</f>
        <v>1149.5383919999999</v>
      </c>
      <c r="AE36" s="22">
        <f t="shared" ref="AE36:AE67" si="65">AI35+AA36</f>
        <v>175928.98930755694</v>
      </c>
      <c r="AF36" s="22" cm="1">
        <f t="array" ref="AF36">INDEX('msci-indices'!C:C,MATCH($L36,'msci-indices'!$B:$B)+1)</f>
        <v>1282.9430809999999</v>
      </c>
      <c r="AG36" s="22" cm="1">
        <f t="array" ref="AG36">INDEX('msci-indices'!D:D,MATCH($L36,'msci-indices'!$B:$B)+1)</f>
        <v>1158.3053090000001</v>
      </c>
      <c r="AH36" s="22">
        <f t="shared" si="44"/>
        <v>109.95561831722308</v>
      </c>
      <c r="AI36" s="22">
        <f t="shared" si="45"/>
        <v>181949.82087947818</v>
      </c>
      <c r="AJ36" s="22">
        <f t="shared" ref="AJ36:AJ67" si="66">AJ35+AA36</f>
        <v>116765.50883488607</v>
      </c>
      <c r="AK36" s="22">
        <f t="shared" si="46"/>
        <v>65184.312044592109</v>
      </c>
      <c r="AL36" s="22">
        <f>AJ36*(_xlfn.XLOOKUP(Q_end,cpi!A:A,cpi!B:B)/BH36)</f>
        <v>159245.70337802087</v>
      </c>
      <c r="AM36" s="22" cm="1">
        <f t="array" ref="AM36">SUMPRODUCT($AA$3:AA36,_xlfn.SORTBY($BH$3:BH36,_xlfn.SEQUENCE(ROWS($BH$3:BH36)),-1)/$BH$3)</f>
        <v>140765.58999234045</v>
      </c>
      <c r="AN36" s="22">
        <f t="shared" si="30"/>
        <v>41184.230887137732</v>
      </c>
      <c r="AO36" s="22">
        <f t="shared" si="47"/>
        <v>0</v>
      </c>
      <c r="AP36" s="22">
        <f t="shared" si="31"/>
        <v>181949.82087947818</v>
      </c>
      <c r="AQ36" s="22"/>
      <c r="AR36" s="10">
        <f>IF($B$10="3BR_H",
INDEX('ns-combined'!$C:$D,MATCH($L36,'ns-combined'!$B:$B,0),MATCH(Council_Area,'ns-combined'!$C$1:$D$1,0))*1000,
INDEX('s-combined'!$C:$D,MATCH($L36,'s-combined'!$B:$B,0),MATCH(Council_Area,'s-combined'!$C$1:$D$1,0))*1000)</f>
        <v>340000</v>
      </c>
      <c r="AS36" s="22">
        <f t="shared" si="35"/>
        <v>22100</v>
      </c>
      <c r="AT36" s="10">
        <v>0</v>
      </c>
      <c r="AU36" s="22">
        <f t="shared" si="48"/>
        <v>6800</v>
      </c>
      <c r="AV36" s="22">
        <f t="shared" si="49"/>
        <v>977.5</v>
      </c>
      <c r="AW36" s="22">
        <f>SUM($AV$3:AV36)</f>
        <v>31046.262500000001</v>
      </c>
      <c r="AX36" s="22">
        <f t="shared" si="50"/>
        <v>280053.73749999999</v>
      </c>
      <c r="AY36" s="22">
        <f t="shared" si="51"/>
        <v>1497.3863013698628</v>
      </c>
      <c r="AZ36" s="24">
        <f t="shared" si="52"/>
        <v>1.7616309427880738E-2</v>
      </c>
      <c r="BA36" s="24">
        <f t="shared" si="53"/>
        <v>0.35000000000000003</v>
      </c>
      <c r="BB36" s="25">
        <f>IF(MortgageRate="Discounted",_xlfn.XLOOKUP(L36,'mortgage-rates'!$A:$A,'mortgage-rates'!$E:$E)/100,_xlfn.XLOOKUP(L36,'mortgage-rates'!$A:$A,'mortgage-rates'!$D:$D)/100)</f>
        <v>5.0799999999999998E-2</v>
      </c>
      <c r="BC36" s="10">
        <f t="shared" ref="BC36:BC67" si="67">BC35-BF35</f>
        <v>171627.96924778857</v>
      </c>
      <c r="BD36" s="10">
        <f t="shared" si="54"/>
        <v>3819.4655817714442</v>
      </c>
      <c r="BE36" s="10">
        <f t="shared" si="55"/>
        <v>2179.6752094469148</v>
      </c>
      <c r="BF36" s="10">
        <f t="shared" si="36"/>
        <v>1639.7903723245295</v>
      </c>
      <c r="BG36" s="12">
        <f t="shared" si="56"/>
        <v>5316.8518831413076</v>
      </c>
      <c r="BH36" s="22">
        <f>INDEX(cpi!B:B,MATCH($L36,cpi!A:A))</f>
        <v>106.1</v>
      </c>
      <c r="BI36" s="22">
        <f t="shared" si="57"/>
        <v>125.41371158392435</v>
      </c>
      <c r="BJ36" s="22">
        <f t="shared" si="58"/>
        <v>162.39941126188398</v>
      </c>
      <c r="BK36" s="22">
        <f t="shared" si="59"/>
        <v>161.2354750851913</v>
      </c>
      <c r="BL36" s="22">
        <f t="shared" si="60"/>
        <v>162.05023040887616</v>
      </c>
      <c r="BM36" s="22">
        <f t="shared" si="61"/>
        <v>267.65824693709152</v>
      </c>
      <c r="BN36" s="22">
        <f t="shared" si="62"/>
        <v>130.76923076923077</v>
      </c>
      <c r="BO36">
        <f t="shared" si="63"/>
        <v>110.51735381458352</v>
      </c>
    </row>
    <row r="37" spans="1:67" x14ac:dyDescent="0.25">
      <c r="A37" s="6" t="s">
        <v>331</v>
      </c>
      <c r="B37" s="4" cm="1">
        <f t="array" ref="B37">AVERAGE(_xlfn._xlws.FILTER($AZ$3:$AZ$82,ISNUMBER($AZ$3:$AZ$82)))</f>
        <v>1.6397496800006982E-2</v>
      </c>
      <c r="C37" s="4">
        <v>1.1405453029375102E-2</v>
      </c>
      <c r="L37" s="1">
        <f t="shared" si="33"/>
        <v>41883</v>
      </c>
      <c r="M37" s="10">
        <f t="shared" si="38"/>
        <v>178777.01388100992</v>
      </c>
      <c r="N37" s="10">
        <f t="shared" si="39"/>
        <v>113323.68362453594</v>
      </c>
      <c r="O37" s="7">
        <f t="shared" si="24"/>
        <v>1.5775785622477112</v>
      </c>
      <c r="P37" s="7">
        <f t="shared" si="40"/>
        <v>0.83853886828571633</v>
      </c>
      <c r="Q37">
        <v>35</v>
      </c>
      <c r="R37">
        <f t="shared" si="41"/>
        <v>92</v>
      </c>
      <c r="S37" s="22"/>
      <c r="T37" s="22">
        <f>IF($B$10="3BR_H",
INDEX('3BR_H-processed'!$E:$E,MATCH($L37,'3BR_H-processed'!$B:$B,0),MATCH(Council_Area,'3BR_H-processed'!$E$1:$E$1,0)),
INDEX('2BR_F-processed'!$E:$E,MATCH($L37,'2BR_F-processed'!$B:$B,0),MATCH(Council_Area,'2BR_F-processed'!$E$1:$E$1,0)))</f>
        <v>329</v>
      </c>
      <c r="U37" s="22">
        <f t="shared" si="25"/>
        <v>329.09589041095887</v>
      </c>
      <c r="V37" s="22">
        <f t="shared" si="34"/>
        <v>4325.2602739726017</v>
      </c>
      <c r="W37" s="22">
        <f>$B$53/4*BH37/_xlfn.XLOOKUP(Q_end,cpi!A:A,cpi!B:B)</f>
        <v>146.92467173462336</v>
      </c>
      <c r="X37" s="22">
        <f t="shared" si="42"/>
        <v>4472.1849457072249</v>
      </c>
      <c r="Y37" s="22">
        <f t="shared" si="43"/>
        <v>861.12173195462947</v>
      </c>
      <c r="Z37" s="22">
        <f t="shared" si="64"/>
        <v>0</v>
      </c>
      <c r="AA37" s="22" cm="1">
        <f t="array" ref="AA37">(Y37+Z37)*eff_invest</f>
        <v>861.12173195462947</v>
      </c>
      <c r="AB37" s="22">
        <f>AA37*(_xlfn.XLOOKUP(Q_end,cpi!A:A,cpi!B:B)/BH37)</f>
        <v>1172.194869368155</v>
      </c>
      <c r="AC37" s="22" cm="1">
        <f t="array" ref="AC37">INDEX('msci-indices'!C:C,MATCH($L37,'msci-indices'!$B:$B)-2)</f>
        <v>1282.9430809999999</v>
      </c>
      <c r="AD37" s="22" cm="1">
        <f t="array" ref="AD37">INDEX('msci-indices'!D:D,MATCH($L37,'msci-indices'!$B:$B)-2)</f>
        <v>1158.3053090000001</v>
      </c>
      <c r="AE37" s="22">
        <f t="shared" si="65"/>
        <v>182810.94261143281</v>
      </c>
      <c r="AF37" s="22" cm="1">
        <f t="array" ref="AF37">INDEX('msci-indices'!C:C,MATCH($L37,'msci-indices'!$B:$B)+1)</f>
        <v>1247.292238</v>
      </c>
      <c r="AG37" s="22" cm="1">
        <f t="array" ref="AG37">INDEX('msci-indices'!D:D,MATCH($L37,'msci-indices'!$B:$B)+1)</f>
        <v>1150.6246120000001</v>
      </c>
      <c r="AH37" s="22">
        <f t="shared" si="44"/>
        <v>114.2568391321455</v>
      </c>
      <c r="AI37" s="22">
        <f t="shared" si="45"/>
        <v>178777.01388100992</v>
      </c>
      <c r="AJ37" s="22">
        <f t="shared" si="66"/>
        <v>117626.6305668407</v>
      </c>
      <c r="AK37" s="22">
        <f t="shared" si="46"/>
        <v>61150.383314169216</v>
      </c>
      <c r="AL37" s="22">
        <f>AJ37*(_xlfn.XLOOKUP(Q_end,cpi!A:A,cpi!B:B)/BH37)</f>
        <v>160118.28262485276</v>
      </c>
      <c r="AM37" s="22" cm="1">
        <f t="array" ref="AM37">SUMPRODUCT($AA$3:AA37,_xlfn.SORTBY($BH$3:BH37,_xlfn.SEQUENCE(ROWS($BH$3:BH37)),-1)/$BH$3)</f>
        <v>142163.23109948481</v>
      </c>
      <c r="AN37" s="22">
        <f t="shared" si="30"/>
        <v>36613.782781525108</v>
      </c>
      <c r="AO37" s="22">
        <f t="shared" si="47"/>
        <v>0</v>
      </c>
      <c r="AP37" s="22">
        <f t="shared" si="31"/>
        <v>178777.01388100992</v>
      </c>
      <c r="AQ37" s="22"/>
      <c r="AR37" s="10">
        <f>IF($B$10="3BR_H",
INDEX('ns-combined'!$C:$D,MATCH($L37,'ns-combined'!$B:$B,0),MATCH(Council_Area,'ns-combined'!$C$1:$D$1,0))*1000,
INDEX('s-combined'!$C:$D,MATCH($L37,'s-combined'!$B:$B,0),MATCH(Council_Area,'s-combined'!$C$1:$D$1,0))*1000)</f>
        <v>345000</v>
      </c>
      <c r="AS37" s="22">
        <f t="shared" si="35"/>
        <v>22750</v>
      </c>
      <c r="AT37" s="10">
        <v>0</v>
      </c>
      <c r="AU37" s="22">
        <f t="shared" si="48"/>
        <v>6900</v>
      </c>
      <c r="AV37" s="22">
        <f t="shared" si="49"/>
        <v>991.875</v>
      </c>
      <c r="AW37" s="22">
        <f>SUM($AV$3:AV37)</f>
        <v>32038.137500000001</v>
      </c>
      <c r="AX37" s="22">
        <f t="shared" si="50"/>
        <v>283311.86249999999</v>
      </c>
      <c r="AY37" s="22">
        <f t="shared" si="51"/>
        <v>1513.8410958904108</v>
      </c>
      <c r="AZ37" s="24">
        <f t="shared" si="52"/>
        <v>1.7551780821917808E-2</v>
      </c>
      <c r="BA37" s="24">
        <f t="shared" si="53"/>
        <v>0.35000000000000003</v>
      </c>
      <c r="BB37" s="25">
        <f>IF(MortgageRate="Discounted",_xlfn.XLOOKUP(L37,'mortgage-rates'!$A:$A,'mortgage-rates'!$E:$E)/100,_xlfn.XLOOKUP(L37,'mortgage-rates'!$A:$A,'mortgage-rates'!$D:$D)/100)</f>
        <v>5.0799999999999998E-2</v>
      </c>
      <c r="BC37" s="10">
        <f t="shared" si="67"/>
        <v>169988.17887546404</v>
      </c>
      <c r="BD37" s="10">
        <f t="shared" si="54"/>
        <v>3819.4655817714433</v>
      </c>
      <c r="BE37" s="10">
        <f t="shared" si="55"/>
        <v>2158.8498717183934</v>
      </c>
      <c r="BF37" s="10">
        <f t="shared" si="36"/>
        <v>1660.61571005305</v>
      </c>
      <c r="BG37" s="12">
        <f t="shared" si="56"/>
        <v>5333.3066776618543</v>
      </c>
      <c r="BH37" s="22">
        <f>INDEX(cpi!B:B,MATCH($L37,cpi!A:A))</f>
        <v>106.3</v>
      </c>
      <c r="BI37" s="22">
        <f t="shared" si="57"/>
        <v>125.6501182033097</v>
      </c>
      <c r="BJ37" s="22">
        <f t="shared" si="58"/>
        <v>169.95333591014156</v>
      </c>
      <c r="BK37" s="22">
        <f t="shared" si="59"/>
        <v>162.46513216960426</v>
      </c>
      <c r="BL37" s="22">
        <f t="shared" si="60"/>
        <v>167.70687478798038</v>
      </c>
      <c r="BM37" s="22">
        <f t="shared" si="61"/>
        <v>278.12844610135869</v>
      </c>
      <c r="BN37" s="22">
        <f t="shared" si="62"/>
        <v>132.69230769230768</v>
      </c>
      <c r="BO37">
        <f t="shared" si="63"/>
        <v>111.80310474442832</v>
      </c>
    </row>
    <row r="38" spans="1:67" x14ac:dyDescent="0.25">
      <c r="A38" s="6" t="s">
        <v>332</v>
      </c>
      <c r="B38" s="31" cm="1">
        <f t="array" ref="B38">AVERAGE(_xlfn._xlws.FILTER($BA$3:$BA$82,ISNUMBER($BA$3:$BA$82)))</f>
        <v>0.35000000000000048</v>
      </c>
      <c r="C38" s="31">
        <v>0.35000000000000048</v>
      </c>
      <c r="L38" s="1">
        <f t="shared" si="33"/>
        <v>41974</v>
      </c>
      <c r="M38" s="10">
        <f t="shared" si="38"/>
        <v>182516.30611624412</v>
      </c>
      <c r="N38" s="10">
        <f t="shared" si="39"/>
        <v>124579.36183458898</v>
      </c>
      <c r="O38" s="7">
        <f t="shared" si="24"/>
        <v>1.4650605319248726</v>
      </c>
      <c r="P38" s="7">
        <f t="shared" si="40"/>
        <v>0.83859069992002677</v>
      </c>
      <c r="Q38">
        <v>36</v>
      </c>
      <c r="R38">
        <f t="shared" si="41"/>
        <v>92</v>
      </c>
      <c r="S38" s="22"/>
      <c r="T38" s="22">
        <f>IF($B$10="3BR_H",
INDEX('3BR_H-processed'!$E:$E,MATCH($L38,'3BR_H-processed'!$B:$B,0),MATCH(Council_Area,'3BR_H-processed'!$E$1:$E$1,0)),
INDEX('2BR_F-processed'!$E:$E,MATCH($L38,'2BR_F-processed'!$B:$B,0),MATCH(Council_Area,'2BR_F-processed'!$E$1:$E$1,0)))</f>
        <v>329</v>
      </c>
      <c r="U38" s="22">
        <f t="shared" si="25"/>
        <v>329.09589041095887</v>
      </c>
      <c r="V38" s="22">
        <f t="shared" si="34"/>
        <v>4325.2602739726017</v>
      </c>
      <c r="W38" s="22">
        <f>$B$53/4*BH38/_xlfn.XLOOKUP(Q_end,cpi!A:A,cpi!B:B)</f>
        <v>147.20110573600553</v>
      </c>
      <c r="X38" s="22">
        <f t="shared" si="42"/>
        <v>4472.4613797086076</v>
      </c>
      <c r="Y38" s="22">
        <f t="shared" si="43"/>
        <v>860.84529795324761</v>
      </c>
      <c r="Z38" s="22">
        <f t="shared" si="64"/>
        <v>0</v>
      </c>
      <c r="AA38" s="22" cm="1">
        <f t="array" ref="AA38">(Y38+Z38)*eff_invest</f>
        <v>860.84529795324761</v>
      </c>
      <c r="AB38" s="22">
        <f>AA38*(_xlfn.XLOOKUP(Q_end,cpi!A:A,cpi!B:B)/BH38)</f>
        <v>1169.6179775946941</v>
      </c>
      <c r="AC38" s="22" cm="1">
        <f t="array" ref="AC38">INDEX('msci-indices'!C:C,MATCH($L38,'msci-indices'!$B:$B)-2)</f>
        <v>1247.292238</v>
      </c>
      <c r="AD38" s="22" cm="1">
        <f t="array" ref="AD38">INDEX('msci-indices'!D:D,MATCH($L38,'msci-indices'!$B:$B)-2)</f>
        <v>1150.6246120000001</v>
      </c>
      <c r="AE38" s="22">
        <f t="shared" si="65"/>
        <v>179637.85917896318</v>
      </c>
      <c r="AF38" s="22" cm="1">
        <f t="array" ref="AF38">INDEX('msci-indices'!C:C,MATCH($L38,'msci-indices'!$B:$B)+1)</f>
        <v>1262.6926370000001</v>
      </c>
      <c r="AG38" s="22" cm="1">
        <f t="array" ref="AG38">INDEX('msci-indices'!D:D,MATCH($L38,'msci-indices'!$B:$B)+1)</f>
        <v>1181.3296580000001</v>
      </c>
      <c r="AH38" s="22">
        <f t="shared" si="44"/>
        <v>112.27366198685199</v>
      </c>
      <c r="AI38" s="22">
        <f t="shared" si="45"/>
        <v>182516.30611624412</v>
      </c>
      <c r="AJ38" s="22">
        <f t="shared" si="66"/>
        <v>118487.47586479395</v>
      </c>
      <c r="AK38" s="22">
        <f t="shared" si="46"/>
        <v>64028.83025145017</v>
      </c>
      <c r="AL38" s="22">
        <f>AJ38*(_xlfn.XLOOKUP(Q_end,cpi!A:A,cpi!B:B)/BH38)</f>
        <v>160987.20899188434</v>
      </c>
      <c r="AM38" s="22" cm="1">
        <f t="array" ref="AM38">SUMPRODUCT($AA$3:AA38,_xlfn.SORTBY($BH$3:BH38,_xlfn.SEQUENCE(ROWS($BH$3:BH38)),-1)/$BH$3)</f>
        <v>143567.66486735811</v>
      </c>
      <c r="AN38" s="22">
        <f t="shared" si="30"/>
        <v>38948.641248886008</v>
      </c>
      <c r="AO38" s="22">
        <f t="shared" si="47"/>
        <v>0</v>
      </c>
      <c r="AP38" s="22">
        <f t="shared" si="31"/>
        <v>182516.30611624412</v>
      </c>
      <c r="AQ38" s="22"/>
      <c r="AR38" s="10">
        <f>IF($B$10="3BR_H",
INDEX('ns-combined'!$C:$D,MATCH($L38,'ns-combined'!$B:$B,0),MATCH(Council_Area,'ns-combined'!$C$1:$D$1,0))*1000,
INDEX('s-combined'!$C:$D,MATCH($L38,'s-combined'!$B:$B,0),MATCH(Council_Area,'s-combined'!$C$1:$D$1,0))*1000)</f>
        <v>356500</v>
      </c>
      <c r="AS38" s="22">
        <f t="shared" si="35"/>
        <v>23400</v>
      </c>
      <c r="AT38" s="10">
        <v>0</v>
      </c>
      <c r="AU38" s="22">
        <f t="shared" si="48"/>
        <v>7130</v>
      </c>
      <c r="AV38" s="22">
        <f t="shared" si="49"/>
        <v>1024.9375</v>
      </c>
      <c r="AW38" s="22">
        <f>SUM($AV$3:AV38)</f>
        <v>33063.074999999997</v>
      </c>
      <c r="AX38" s="22">
        <f t="shared" si="50"/>
        <v>292906.92499999999</v>
      </c>
      <c r="AY38" s="22">
        <f t="shared" si="51"/>
        <v>1513.8410958904108</v>
      </c>
      <c r="AZ38" s="24">
        <f t="shared" si="52"/>
        <v>1.6985594343791426E-2</v>
      </c>
      <c r="BA38" s="24">
        <f t="shared" si="53"/>
        <v>0.35000000000000003</v>
      </c>
      <c r="BB38" s="25">
        <f>IF(MortgageRate="Discounted",_xlfn.XLOOKUP(L38,'mortgage-rates'!$A:$A,'mortgage-rates'!$E:$E)/100,_xlfn.XLOOKUP(L38,'mortgage-rates'!$A:$A,'mortgage-rates'!$D:$D)/100)</f>
        <v>5.0799999999999998E-2</v>
      </c>
      <c r="BC38" s="10">
        <f t="shared" si="67"/>
        <v>168327.563165411</v>
      </c>
      <c r="BD38" s="10">
        <f t="shared" si="54"/>
        <v>3819.4655817714442</v>
      </c>
      <c r="BE38" s="10">
        <f t="shared" si="55"/>
        <v>2137.7600522007197</v>
      </c>
      <c r="BF38" s="10">
        <f t="shared" si="36"/>
        <v>1681.7055295707246</v>
      </c>
      <c r="BG38" s="12">
        <f t="shared" si="56"/>
        <v>5333.3066776618552</v>
      </c>
      <c r="BH38" s="22">
        <f>INDEX(cpi!B:B,MATCH($L38,cpi!A:A))</f>
        <v>106.5</v>
      </c>
      <c r="BI38" s="22">
        <f t="shared" si="57"/>
        <v>125.88652482269504</v>
      </c>
      <c r="BJ38" s="22">
        <f t="shared" si="58"/>
        <v>165.23061688574342</v>
      </c>
      <c r="BK38" s="22">
        <f t="shared" si="59"/>
        <v>161.38782945540277</v>
      </c>
      <c r="BL38" s="22">
        <f t="shared" si="60"/>
        <v>164.07778065664121</v>
      </c>
      <c r="BM38" s="22">
        <f t="shared" si="61"/>
        <v>273.30091908456211</v>
      </c>
      <c r="BN38" s="22">
        <f t="shared" si="62"/>
        <v>137.11538461538461</v>
      </c>
      <c r="BO38">
        <f t="shared" si="63"/>
        <v>115.58959560383185</v>
      </c>
    </row>
    <row r="39" spans="1:67" x14ac:dyDescent="0.25">
      <c r="A39" s="6"/>
      <c r="B39" s="31"/>
      <c r="C39" s="31"/>
      <c r="L39" s="1">
        <f t="shared" si="33"/>
        <v>42064</v>
      </c>
      <c r="M39" s="10">
        <f t="shared" si="38"/>
        <v>192206.91456415379</v>
      </c>
      <c r="N39" s="10">
        <f t="shared" si="39"/>
        <v>128006.06736415971</v>
      </c>
      <c r="O39" s="7">
        <f t="shared" si="24"/>
        <v>1.5015453448573768</v>
      </c>
      <c r="P39" s="7">
        <f t="shared" si="40"/>
        <v>0.83684709813198055</v>
      </c>
      <c r="Q39">
        <v>37</v>
      </c>
      <c r="R39">
        <f t="shared" si="41"/>
        <v>90</v>
      </c>
      <c r="S39" s="22"/>
      <c r="T39" s="22">
        <f>IF($B$10="3BR_H",
INDEX('3BR_H-processed'!$E:$E,MATCH($L39,'3BR_H-processed'!$B:$B,0),MATCH(Council_Area,'3BR_H-processed'!$E$1:$E$1,0)),
INDEX('2BR_F-processed'!$E:$E,MATCH($L39,'2BR_F-processed'!$B:$B,0),MATCH(Council_Area,'2BR_F-processed'!$E$1:$E$1,0)))</f>
        <v>329</v>
      </c>
      <c r="U39" s="22">
        <f t="shared" si="25"/>
        <v>329</v>
      </c>
      <c r="V39" s="22">
        <f t="shared" si="34"/>
        <v>4230</v>
      </c>
      <c r="W39" s="22">
        <f>$B$53/4*BH39/_xlfn.XLOOKUP(Q_end,cpi!A:A,cpi!B:B)</f>
        <v>147.6157567380788</v>
      </c>
      <c r="X39" s="22">
        <f t="shared" si="42"/>
        <v>4377.6157567380787</v>
      </c>
      <c r="Y39" s="22">
        <f t="shared" si="43"/>
        <v>853.46620137570517</v>
      </c>
      <c r="Z39" s="22">
        <f t="shared" si="64"/>
        <v>0</v>
      </c>
      <c r="AA39" s="22" cm="1">
        <f t="array" ref="AA39">(Y39+Z39)*eff_invest</f>
        <v>853.46620137570517</v>
      </c>
      <c r="AB39" s="22">
        <f>AA39*(_xlfn.XLOOKUP(Q_end,cpi!A:A,cpi!B:B)/BH39)</f>
        <v>1156.3348252721398</v>
      </c>
      <c r="AC39" s="22" cm="1">
        <f t="array" ref="AC39">INDEX('msci-indices'!C:C,MATCH($L39,'msci-indices'!$B:$B)-2)</f>
        <v>1262.6926370000001</v>
      </c>
      <c r="AD39" s="22" cm="1">
        <f t="array" ref="AD39">INDEX('msci-indices'!D:D,MATCH($L39,'msci-indices'!$B:$B)-2)</f>
        <v>1181.3296580000001</v>
      </c>
      <c r="AE39" s="22">
        <f t="shared" si="65"/>
        <v>183369.77231761982</v>
      </c>
      <c r="AF39" s="22" cm="1">
        <f t="array" ref="AF39">INDEX('msci-indices'!C:C,MATCH($L39,'msci-indices'!$B:$B)+1)</f>
        <v>1295.5072580000001</v>
      </c>
      <c r="AG39" s="22" cm="1">
        <f t="array" ref="AG39">INDEX('msci-indices'!D:D,MATCH($L39,'msci-indices'!$B:$B)+1)</f>
        <v>1301.9298140000001</v>
      </c>
      <c r="AH39" s="22">
        <f t="shared" si="44"/>
        <v>114.60610769851239</v>
      </c>
      <c r="AI39" s="22">
        <f t="shared" si="45"/>
        <v>192206.91456415379</v>
      </c>
      <c r="AJ39" s="22">
        <f t="shared" si="66"/>
        <v>119340.94206616965</v>
      </c>
      <c r="AK39" s="22">
        <f t="shared" si="46"/>
        <v>72865.972497984141</v>
      </c>
      <c r="AL39" s="22">
        <f>AJ39*(_xlfn.XLOOKUP(Q_end,cpi!A:A,cpi!B:B)/BH39)</f>
        <v>161691.33255594334</v>
      </c>
      <c r="AM39" s="22" cm="1">
        <f t="array" ref="AM39">SUMPRODUCT($AA$3:AA39,_xlfn.SORTBY($BH$3:BH39,_xlfn.SEQUENCE(ROWS($BH$3:BH39)),-1)/$BH$3)</f>
        <v>145043.43454144208</v>
      </c>
      <c r="AN39" s="22">
        <f t="shared" si="30"/>
        <v>47163.480022711708</v>
      </c>
      <c r="AO39" s="22">
        <f t="shared" si="47"/>
        <v>0</v>
      </c>
      <c r="AP39" s="22">
        <f t="shared" si="31"/>
        <v>192206.91456415379</v>
      </c>
      <c r="AQ39" s="22"/>
      <c r="AR39" s="10">
        <f>IF($B$10="3BR_H",
INDEX('ns-combined'!$C:$D,MATCH($L39,'ns-combined'!$B:$B,0),MATCH(Council_Area,'ns-combined'!$C$1:$D$1,0))*1000,
INDEX('s-combined'!$C:$D,MATCH($L39,'s-combined'!$B:$B,0),MATCH(Council_Area,'s-combined'!$C$1:$D$1,0))*1000)</f>
        <v>360000</v>
      </c>
      <c r="AS39" s="22">
        <f t="shared" si="35"/>
        <v>24050</v>
      </c>
      <c r="AT39" s="10">
        <v>0</v>
      </c>
      <c r="AU39" s="22">
        <f t="shared" si="48"/>
        <v>7200</v>
      </c>
      <c r="AV39" s="22">
        <f t="shared" si="49"/>
        <v>1035</v>
      </c>
      <c r="AW39" s="22">
        <f>SUM($AV$3:AV39)</f>
        <v>34098.074999999997</v>
      </c>
      <c r="AX39" s="22">
        <f t="shared" si="50"/>
        <v>294651.92499999999</v>
      </c>
      <c r="AY39" s="22">
        <f t="shared" si="51"/>
        <v>1480.5000000000002</v>
      </c>
      <c r="AZ39" s="24">
        <f t="shared" si="52"/>
        <v>1.6450000000000003E-2</v>
      </c>
      <c r="BA39" s="24">
        <f t="shared" si="53"/>
        <v>0.35000000000000003</v>
      </c>
      <c r="BB39" s="25">
        <f>IF(MortgageRate="Discounted",_xlfn.XLOOKUP(L39,'mortgage-rates'!$A:$A,'mortgage-rates'!$E:$E)/100,_xlfn.XLOOKUP(L39,'mortgage-rates'!$A:$A,'mortgage-rates'!$D:$D)/100)</f>
        <v>4.82E-2</v>
      </c>
      <c r="BC39" s="10">
        <f t="shared" si="67"/>
        <v>166645.85763584028</v>
      </c>
      <c r="BD39" s="10">
        <f t="shared" si="54"/>
        <v>3750.5819581137835</v>
      </c>
      <c r="BE39" s="10">
        <f t="shared" si="55"/>
        <v>2008.0825845118754</v>
      </c>
      <c r="BF39" s="10">
        <f t="shared" si="36"/>
        <v>1742.499373601908</v>
      </c>
      <c r="BG39" s="12">
        <f t="shared" si="56"/>
        <v>5231.0819581137839</v>
      </c>
      <c r="BH39" s="22">
        <f>INDEX(cpi!B:B,MATCH($L39,cpi!A:A))</f>
        <v>106.8</v>
      </c>
      <c r="BI39" s="22">
        <f t="shared" si="57"/>
        <v>126.24113475177306</v>
      </c>
      <c r="BJ39" s="22">
        <f t="shared" si="58"/>
        <v>167.2707301403058</v>
      </c>
      <c r="BK39" s="22">
        <f t="shared" si="59"/>
        <v>165.69455180045574</v>
      </c>
      <c r="BL39" s="22">
        <f t="shared" si="60"/>
        <v>166.79787663835077</v>
      </c>
      <c r="BM39" s="22">
        <f t="shared" si="61"/>
        <v>278.97864924345083</v>
      </c>
      <c r="BN39" s="22">
        <f t="shared" si="62"/>
        <v>138.46153846153845</v>
      </c>
      <c r="BO39">
        <f t="shared" si="63"/>
        <v>116.27822337980091</v>
      </c>
    </row>
    <row r="40" spans="1:67" x14ac:dyDescent="0.25">
      <c r="A40" s="5" t="s">
        <v>347</v>
      </c>
      <c r="L40" s="1">
        <f t="shared" si="33"/>
        <v>42156</v>
      </c>
      <c r="M40" s="10">
        <f t="shared" si="38"/>
        <v>189636.30400203262</v>
      </c>
      <c r="N40" s="10">
        <f t="shared" si="39"/>
        <v>118292.3167377616</v>
      </c>
      <c r="O40" s="7">
        <f t="shared" si="24"/>
        <v>1.6031159861585194</v>
      </c>
      <c r="P40" s="7">
        <f t="shared" si="40"/>
        <v>0.84971720109660331</v>
      </c>
      <c r="Q40">
        <v>38</v>
      </c>
      <c r="R40">
        <f t="shared" si="41"/>
        <v>91</v>
      </c>
      <c r="S40" s="22"/>
      <c r="T40" s="22">
        <f>IF($B$10="3BR_H",
INDEX('3BR_H-processed'!$E:$E,MATCH($L40,'3BR_H-processed'!$B:$B,0),MATCH(Council_Area,'3BR_H-processed'!$E$1:$E$1,0)),
INDEX('2BR_F-processed'!$E:$E,MATCH($L40,'2BR_F-processed'!$B:$B,0),MATCH(Council_Area,'2BR_F-processed'!$E$1:$E$1,0)))</f>
        <v>329</v>
      </c>
      <c r="U40" s="22">
        <f t="shared" si="25"/>
        <v>329</v>
      </c>
      <c r="V40" s="22">
        <f t="shared" si="34"/>
        <v>4277</v>
      </c>
      <c r="W40" s="22">
        <f>$B$53/4*BH40/_xlfn.XLOOKUP(Q_end,cpi!A:A,cpi!B:B)</f>
        <v>148.85970974429856</v>
      </c>
      <c r="X40" s="22">
        <f t="shared" si="42"/>
        <v>4425.8597097442989</v>
      </c>
      <c r="Y40" s="22">
        <f t="shared" si="43"/>
        <v>782.76700045116559</v>
      </c>
      <c r="Z40" s="22">
        <f t="shared" si="64"/>
        <v>0</v>
      </c>
      <c r="AA40" s="22" cm="1">
        <f t="array" ref="AA40">(Y40+Z40)*eff_invest</f>
        <v>782.76700045116559</v>
      </c>
      <c r="AB40" s="22">
        <f>AA40*(_xlfn.XLOOKUP(Q_end,cpi!A:A,cpi!B:B)/BH40)</f>
        <v>1051.6841686655864</v>
      </c>
      <c r="AC40" s="22" cm="1">
        <f t="array" ref="AC40">INDEX('msci-indices'!C:C,MATCH($L40,'msci-indices'!$B:$B)-2)</f>
        <v>1295.5072580000001</v>
      </c>
      <c r="AD40" s="22" cm="1">
        <f t="array" ref="AD40">INDEX('msci-indices'!D:D,MATCH($L40,'msci-indices'!$B:$B)-2)</f>
        <v>1301.9298140000001</v>
      </c>
      <c r="AE40" s="22">
        <f t="shared" si="65"/>
        <v>192989.68156460495</v>
      </c>
      <c r="AF40" s="22" cm="1">
        <f t="array" ref="AF40">INDEX('msci-indices'!C:C,MATCH($L40,'msci-indices'!$B:$B)+1)</f>
        <v>1301.506973</v>
      </c>
      <c r="AG40" s="22" cm="1">
        <f t="array" ref="AG40">INDEX('msci-indices'!D:D,MATCH($L40,'msci-indices'!$B:$B)+1)</f>
        <v>1215.1659059999999</v>
      </c>
      <c r="AH40" s="22">
        <f t="shared" si="44"/>
        <v>120.6185509778781</v>
      </c>
      <c r="AI40" s="22">
        <f t="shared" si="45"/>
        <v>189636.30400203262</v>
      </c>
      <c r="AJ40" s="22">
        <f t="shared" si="66"/>
        <v>120123.70906662081</v>
      </c>
      <c r="AK40" s="22">
        <f t="shared" si="46"/>
        <v>69512.594935411806</v>
      </c>
      <c r="AL40" s="22">
        <f>AJ40*(_xlfn.XLOOKUP(Q_end,cpi!A:A,cpi!B:B)/BH40)</f>
        <v>161391.83567260936</v>
      </c>
      <c r="AM40" s="22" cm="1">
        <f t="array" ref="AM40">SUMPRODUCT($AA$3:AA40,_xlfn.SORTBY($BH$3:BH40,_xlfn.SEQUENCE(ROWS($BH$3:BH40)),-1)/$BH$3)</f>
        <v>146909.24082874131</v>
      </c>
      <c r="AN40" s="22">
        <f t="shared" si="30"/>
        <v>42727.063173291303</v>
      </c>
      <c r="AO40" s="22">
        <f t="shared" si="47"/>
        <v>0</v>
      </c>
      <c r="AP40" s="22">
        <f t="shared" si="31"/>
        <v>189636.30400203262</v>
      </c>
      <c r="AQ40" s="22"/>
      <c r="AR40" s="10">
        <f>IF($B$10="3BR_H",
INDEX('ns-combined'!$C:$D,MATCH($L40,'ns-combined'!$B:$B,0),MATCH(Council_Area,'ns-combined'!$C$1:$D$1,0))*1000,
INDEX('s-combined'!$C:$D,MATCH($L40,'s-combined'!$B:$B,0),MATCH(Council_Area,'s-combined'!$C$1:$D$1,0))*1000)</f>
        <v>350000</v>
      </c>
      <c r="AS40" s="22">
        <f t="shared" si="35"/>
        <v>24700</v>
      </c>
      <c r="AT40" s="10">
        <v>0</v>
      </c>
      <c r="AU40" s="22">
        <f t="shared" si="48"/>
        <v>7000</v>
      </c>
      <c r="AV40" s="22">
        <f t="shared" si="49"/>
        <v>1006.25</v>
      </c>
      <c r="AW40" s="22">
        <f>SUM($AV$3:AV40)</f>
        <v>35104.324999999997</v>
      </c>
      <c r="AX40" s="22">
        <f t="shared" si="50"/>
        <v>283195.67499999999</v>
      </c>
      <c r="AY40" s="22">
        <f t="shared" si="51"/>
        <v>1496.95</v>
      </c>
      <c r="AZ40" s="24">
        <f t="shared" si="52"/>
        <v>1.7108000000000002E-2</v>
      </c>
      <c r="BA40" s="24">
        <f t="shared" si="53"/>
        <v>0.35000000000000003</v>
      </c>
      <c r="BB40" s="25">
        <f>IF(MortgageRate="Discounted",_xlfn.XLOOKUP(L40,'mortgage-rates'!$A:$A,'mortgage-rates'!$E:$E)/100,_xlfn.XLOOKUP(L40,'mortgage-rates'!$A:$A,'mortgage-rates'!$D:$D)/100)</f>
        <v>4.6699999999999998E-2</v>
      </c>
      <c r="BC40" s="10">
        <f t="shared" si="67"/>
        <v>164903.35826223838</v>
      </c>
      <c r="BD40" s="10">
        <f t="shared" si="54"/>
        <v>3711.6767101954642</v>
      </c>
      <c r="BE40" s="10">
        <f t="shared" si="55"/>
        <v>1925.246707711633</v>
      </c>
      <c r="BF40" s="10">
        <f t="shared" si="36"/>
        <v>1786.4300024838312</v>
      </c>
      <c r="BG40" s="12">
        <f t="shared" si="56"/>
        <v>5208.6267101954645</v>
      </c>
      <c r="BH40" s="22">
        <f>INDEX(cpi!B:B,MATCH($L40,cpi!A:A))</f>
        <v>107.7</v>
      </c>
      <c r="BI40" s="22">
        <f t="shared" si="57"/>
        <v>127.3049645390071</v>
      </c>
      <c r="BJ40" s="22">
        <f t="shared" si="58"/>
        <v>171.61773071123525</v>
      </c>
      <c r="BK40" s="22">
        <f t="shared" si="59"/>
        <v>182.61005769685053</v>
      </c>
      <c r="BL40" s="22">
        <f t="shared" si="60"/>
        <v>174.91542880691983</v>
      </c>
      <c r="BM40" s="22">
        <f t="shared" si="61"/>
        <v>293.6143727525573</v>
      </c>
      <c r="BN40" s="22">
        <f t="shared" si="62"/>
        <v>134.61538461538461</v>
      </c>
      <c r="BO40">
        <f t="shared" si="63"/>
        <v>111.75725377610718</v>
      </c>
    </row>
    <row r="41" spans="1:67" x14ac:dyDescent="0.25">
      <c r="A41" t="s">
        <v>310</v>
      </c>
      <c r="B41" s="8">
        <v>0.7</v>
      </c>
      <c r="C41" s="8">
        <v>0.7</v>
      </c>
      <c r="L41" s="1">
        <f t="shared" si="33"/>
        <v>42248</v>
      </c>
      <c r="M41" s="10">
        <f t="shared" si="38"/>
        <v>174830.57697321201</v>
      </c>
      <c r="N41" s="10">
        <f t="shared" si="39"/>
        <v>108651.24674024543</v>
      </c>
      <c r="O41" s="7">
        <f t="shared" si="24"/>
        <v>1.6090986732180141</v>
      </c>
      <c r="P41" s="7">
        <f t="shared" si="40"/>
        <v>0.85648169105457994</v>
      </c>
      <c r="Q41">
        <v>39</v>
      </c>
      <c r="R41">
        <f t="shared" si="41"/>
        <v>92</v>
      </c>
      <c r="S41" s="22"/>
      <c r="T41" s="22">
        <f>IF($B$10="3BR_H",
INDEX('3BR_H-processed'!$E:$E,MATCH($L41,'3BR_H-processed'!$B:$B,0),MATCH(Council_Area,'3BR_H-processed'!$E$1:$E$1,0)),
INDEX('2BR_F-processed'!$E:$E,MATCH($L41,'2BR_F-processed'!$B:$B,0),MATCH(Council_Area,'2BR_F-processed'!$E$1:$E$1,0)))</f>
        <v>351</v>
      </c>
      <c r="U41" s="22">
        <f t="shared" si="25"/>
        <v>329</v>
      </c>
      <c r="V41" s="22">
        <f t="shared" si="34"/>
        <v>4324</v>
      </c>
      <c r="W41" s="22">
        <f>$B$53/4*BH41/_xlfn.XLOOKUP(Q_end,cpi!A:A,cpi!B:B)</f>
        <v>148.99792674498966</v>
      </c>
      <c r="X41" s="22">
        <f t="shared" si="42"/>
        <v>4472.9979267449899</v>
      </c>
      <c r="Y41" s="22">
        <f t="shared" si="43"/>
        <v>749.5281044156045</v>
      </c>
      <c r="Z41" s="22">
        <f t="shared" si="64"/>
        <v>0</v>
      </c>
      <c r="AA41" s="22" cm="1">
        <f t="array" ref="AA41">(Y41+Z41)*eff_invest</f>
        <v>749.5281044156045</v>
      </c>
      <c r="AB41" s="22">
        <f>AA41*(_xlfn.XLOOKUP(Q_end,cpi!A:A,cpi!B:B)/BH41)</f>
        <v>1006.0919917341186</v>
      </c>
      <c r="AC41" s="22" cm="1">
        <f t="array" ref="AC41">INDEX('msci-indices'!C:C,MATCH($L41,'msci-indices'!$B:$B)-2)</f>
        <v>1301.506973</v>
      </c>
      <c r="AD41" s="22" cm="1">
        <f t="array" ref="AD41">INDEX('msci-indices'!D:D,MATCH($L41,'msci-indices'!$B:$B)-2)</f>
        <v>1215.1659059999999</v>
      </c>
      <c r="AE41" s="22">
        <f t="shared" si="65"/>
        <v>190385.83210644822</v>
      </c>
      <c r="AF41" s="22" cm="1">
        <f t="array" ref="AF41">INDEX('msci-indices'!C:C,MATCH($L41,'msci-indices'!$B:$B)+1)</f>
        <v>1189.2854910000001</v>
      </c>
      <c r="AG41" s="22" cm="1">
        <f t="array" ref="AG41">INDEX('msci-indices'!D:D,MATCH($L41,'msci-indices'!$B:$B)+1)</f>
        <v>1131.230902</v>
      </c>
      <c r="AH41" s="22">
        <f t="shared" si="44"/>
        <v>118.99114506653014</v>
      </c>
      <c r="AI41" s="22">
        <f t="shared" si="45"/>
        <v>174830.57697321201</v>
      </c>
      <c r="AJ41" s="22">
        <f t="shared" si="66"/>
        <v>120873.23717103641</v>
      </c>
      <c r="AK41" s="22">
        <f t="shared" si="46"/>
        <v>53957.3398021756</v>
      </c>
      <c r="AL41" s="22">
        <f>AJ41*(_xlfn.XLOOKUP(Q_end,cpi!A:A,cpi!B:B)/BH41)</f>
        <v>162248.21353106649</v>
      </c>
      <c r="AM41" s="22" cm="1">
        <f t="array" ref="AM41">SUMPRODUCT($AA$3:AA41,_xlfn.SORTBY($BH$3:BH41,_xlfn.SEQUENCE(ROWS($BH$3:BH41)),-1)/$BH$3)</f>
        <v>148132.04088435264</v>
      </c>
      <c r="AN41" s="22">
        <f t="shared" si="30"/>
        <v>26698.536088859371</v>
      </c>
      <c r="AO41" s="22">
        <f t="shared" si="47"/>
        <v>0</v>
      </c>
      <c r="AP41" s="22">
        <f t="shared" si="31"/>
        <v>174830.57697321201</v>
      </c>
      <c r="AQ41" s="22"/>
      <c r="AR41" s="10">
        <f>IF($B$10="3BR_H",
INDEX('ns-combined'!$C:$D,MATCH($L41,'ns-combined'!$B:$B,0),MATCH(Council_Area,'ns-combined'!$C$1:$D$1,0))*1000,
INDEX('s-combined'!$C:$D,MATCH($L41,'s-combined'!$B:$B,0),MATCH(Council_Area,'s-combined'!$C$1:$D$1,0))*1000)</f>
        <v>340000</v>
      </c>
      <c r="AS41" s="22">
        <f t="shared" si="35"/>
        <v>25350</v>
      </c>
      <c r="AT41" s="10">
        <v>0</v>
      </c>
      <c r="AU41" s="22">
        <f t="shared" si="48"/>
        <v>6800</v>
      </c>
      <c r="AV41" s="22">
        <f t="shared" si="49"/>
        <v>977.5</v>
      </c>
      <c r="AW41" s="22">
        <f>SUM($AV$3:AV41)</f>
        <v>36081.824999999997</v>
      </c>
      <c r="AX41" s="22">
        <f t="shared" si="50"/>
        <v>271768.17499999999</v>
      </c>
      <c r="AY41" s="22">
        <f t="shared" si="51"/>
        <v>1513.4</v>
      </c>
      <c r="AZ41" s="24">
        <f t="shared" si="52"/>
        <v>1.7804705882352941E-2</v>
      </c>
      <c r="BA41" s="24">
        <f t="shared" si="53"/>
        <v>0.35000000000000003</v>
      </c>
      <c r="BB41" s="25">
        <f>IF(MortgageRate="Discounted",_xlfn.XLOOKUP(L41,'mortgage-rates'!$A:$A,'mortgage-rates'!$E:$E)/100,_xlfn.XLOOKUP(L41,'mortgage-rates'!$A:$A,'mortgage-rates'!$D:$D)/100)</f>
        <v>4.6600000000000003E-2</v>
      </c>
      <c r="BC41" s="10">
        <f t="shared" si="67"/>
        <v>163116.92825975455</v>
      </c>
      <c r="BD41" s="10">
        <f t="shared" si="54"/>
        <v>3709.1260311605947</v>
      </c>
      <c r="BE41" s="10">
        <f t="shared" si="55"/>
        <v>1900.3122142261407</v>
      </c>
      <c r="BF41" s="10">
        <f t="shared" si="36"/>
        <v>1808.8138169344541</v>
      </c>
      <c r="BG41" s="12">
        <f t="shared" si="56"/>
        <v>5222.5260311605944</v>
      </c>
      <c r="BH41" s="22">
        <f>INDEX(cpi!B:B,MATCH($L41,cpi!A:A))</f>
        <v>107.8</v>
      </c>
      <c r="BI41" s="22">
        <f t="shared" si="57"/>
        <v>127.42316784869978</v>
      </c>
      <c r="BJ41" s="22">
        <f t="shared" si="58"/>
        <v>172.41252168354035</v>
      </c>
      <c r="BK41" s="22">
        <f t="shared" si="59"/>
        <v>170.44045986176764</v>
      </c>
      <c r="BL41" s="22">
        <f t="shared" si="60"/>
        <v>171.82090313700854</v>
      </c>
      <c r="BM41" s="22">
        <f t="shared" si="61"/>
        <v>289.65287792443701</v>
      </c>
      <c r="BN41" s="22">
        <f t="shared" si="62"/>
        <v>130.76923076923077</v>
      </c>
      <c r="BO41">
        <f t="shared" si="63"/>
        <v>107.24762975898028</v>
      </c>
    </row>
    <row r="42" spans="1:67" x14ac:dyDescent="0.25">
      <c r="A42" t="s">
        <v>311</v>
      </c>
      <c r="B42" s="8">
        <f>1-GlobalPortfolio</f>
        <v>0.30000000000000004</v>
      </c>
      <c r="C42" s="8">
        <v>0.30000000000000004</v>
      </c>
      <c r="L42" s="1">
        <f t="shared" si="33"/>
        <v>42339</v>
      </c>
      <c r="M42" s="10">
        <f t="shared" si="38"/>
        <v>185458.97606115873</v>
      </c>
      <c r="N42" s="10">
        <f t="shared" si="39"/>
        <v>138146.31055717988</v>
      </c>
      <c r="O42" s="7">
        <f t="shared" si="24"/>
        <v>1.3424822951344455</v>
      </c>
      <c r="P42" s="7">
        <f t="shared" si="40"/>
        <v>0.84963569070128231</v>
      </c>
      <c r="Q42">
        <v>40</v>
      </c>
      <c r="R42">
        <f t="shared" si="41"/>
        <v>92</v>
      </c>
      <c r="S42" s="22"/>
      <c r="T42" s="22">
        <f>IF($B$10="3BR_H",
INDEX('3BR_H-processed'!$E:$E,MATCH($L42,'3BR_H-processed'!$B:$B,0),MATCH(Council_Area,'3BR_H-processed'!$E$1:$E$1,0)),
INDEX('2BR_F-processed'!$E:$E,MATCH($L42,'2BR_F-processed'!$B:$B,0),MATCH(Council_Area,'2BR_F-processed'!$E$1:$E$1,0)))</f>
        <v>351</v>
      </c>
      <c r="U42" s="22">
        <f t="shared" si="25"/>
        <v>329</v>
      </c>
      <c r="V42" s="22">
        <f t="shared" si="34"/>
        <v>4324</v>
      </c>
      <c r="W42" s="22">
        <f>$B$53/4*BH42/_xlfn.XLOOKUP(Q_end,cpi!A:A,cpi!B:B)</f>
        <v>149.68901174844507</v>
      </c>
      <c r="X42" s="22">
        <f t="shared" si="42"/>
        <v>4473.6890117484454</v>
      </c>
      <c r="Y42" s="22">
        <f t="shared" si="43"/>
        <v>791.73128628058294</v>
      </c>
      <c r="Z42" s="22">
        <f t="shared" si="64"/>
        <v>0</v>
      </c>
      <c r="AA42" s="22" cm="1">
        <f t="array" ref="AA42">(Y42+Z42)*eff_invest</f>
        <v>791.73128628058294</v>
      </c>
      <c r="AB42" s="22">
        <f>AA42*(_xlfn.XLOOKUP(Q_end,cpi!A:A,cpi!B:B)/BH42)</f>
        <v>1057.8348764986181</v>
      </c>
      <c r="AC42" s="22" cm="1">
        <f t="array" ref="AC42">INDEX('msci-indices'!C:C,MATCH($L42,'msci-indices'!$B:$B)-2)</f>
        <v>1189.2854910000001</v>
      </c>
      <c r="AD42" s="22" cm="1">
        <f t="array" ref="AD42">INDEX('msci-indices'!D:D,MATCH($L42,'msci-indices'!$B:$B)-2)</f>
        <v>1131.230902</v>
      </c>
      <c r="AE42" s="22">
        <f t="shared" si="65"/>
        <v>175622.30825949259</v>
      </c>
      <c r="AF42" s="22" cm="1">
        <f t="array" ref="AF42">INDEX('msci-indices'!C:C,MATCH($L42,'msci-indices'!$B:$B)+1)</f>
        <v>1252.64913</v>
      </c>
      <c r="AG42" s="22" cm="1">
        <f t="array" ref="AG42">INDEX('msci-indices'!D:D,MATCH($L42,'msci-indices'!$B:$B)+1)</f>
        <v>1204.1584660000001</v>
      </c>
      <c r="AH42" s="22">
        <f t="shared" si="44"/>
        <v>109.76394266218287</v>
      </c>
      <c r="AI42" s="22">
        <f t="shared" si="45"/>
        <v>185458.97606115873</v>
      </c>
      <c r="AJ42" s="22">
        <f t="shared" si="66"/>
        <v>121664.96845731699</v>
      </c>
      <c r="AK42" s="22">
        <f t="shared" si="46"/>
        <v>63794.007603841732</v>
      </c>
      <c r="AL42" s="22">
        <f>AJ42*(_xlfn.XLOOKUP(Q_end,cpi!A:A,cpi!B:B)/BH42)</f>
        <v>162556.98001637828</v>
      </c>
      <c r="AM42" s="22" cm="1">
        <f t="array" ref="AM42">SUMPRODUCT($AA$3:AA42,_xlfn.SORTBY($BH$3:BH42,_xlfn.SEQUENCE(ROWS($BH$3:BH42)),-1)/$BH$3)</f>
        <v>149702.84108054766</v>
      </c>
      <c r="AN42" s="22">
        <f t="shared" si="30"/>
        <v>35756.134980611067</v>
      </c>
      <c r="AO42" s="22">
        <f t="shared" si="47"/>
        <v>0</v>
      </c>
      <c r="AP42" s="22">
        <f t="shared" si="31"/>
        <v>185458.97606115873</v>
      </c>
      <c r="AQ42" s="22"/>
      <c r="AR42" s="10">
        <f>IF($B$10="3BR_H",
INDEX('ns-combined'!$C:$D,MATCH($L42,'ns-combined'!$B:$B,0),MATCH(Council_Area,'ns-combined'!$C$1:$D$1,0))*1000,
INDEX('s-combined'!$C:$D,MATCH($L42,'s-combined'!$B:$B,0),MATCH(Council_Area,'s-combined'!$C$1:$D$1,0))*1000)</f>
        <v>370000</v>
      </c>
      <c r="AS42" s="22">
        <f t="shared" si="35"/>
        <v>26000</v>
      </c>
      <c r="AT42" s="10">
        <v>0</v>
      </c>
      <c r="AU42" s="22">
        <f t="shared" si="48"/>
        <v>7400</v>
      </c>
      <c r="AV42" s="22">
        <f t="shared" si="49"/>
        <v>1063.75</v>
      </c>
      <c r="AW42" s="22">
        <f>SUM($AV$3:AV42)</f>
        <v>37145.574999999997</v>
      </c>
      <c r="AX42" s="22">
        <f t="shared" si="50"/>
        <v>299454.42499999999</v>
      </c>
      <c r="AY42" s="22">
        <f t="shared" si="51"/>
        <v>1513.4</v>
      </c>
      <c r="AZ42" s="24">
        <f t="shared" si="52"/>
        <v>1.6361081081081082E-2</v>
      </c>
      <c r="BA42" s="24">
        <f t="shared" si="53"/>
        <v>0.35000000000000003</v>
      </c>
      <c r="BB42" s="25">
        <f>IF(MortgageRate="Discounted",_xlfn.XLOOKUP(L42,'mortgage-rates'!$A:$A,'mortgage-rates'!$E:$E)/100,_xlfn.XLOOKUP(L42,'mortgage-rates'!$A:$A,'mortgage-rates'!$D:$D)/100)</f>
        <v>4.8300000000000003E-2</v>
      </c>
      <c r="BC42" s="10">
        <f t="shared" si="67"/>
        <v>161308.11444282011</v>
      </c>
      <c r="BD42" s="10">
        <f t="shared" si="54"/>
        <v>3752.0202980290283</v>
      </c>
      <c r="BE42" s="10">
        <f t="shared" si="55"/>
        <v>1947.7954818970529</v>
      </c>
      <c r="BF42" s="10">
        <f t="shared" si="36"/>
        <v>1804.2248161319753</v>
      </c>
      <c r="BG42" s="12">
        <f t="shared" si="56"/>
        <v>5265.4202980290283</v>
      </c>
      <c r="BH42" s="22">
        <f>INDEX(cpi!B:B,MATCH($L42,cpi!A:A))</f>
        <v>108.3</v>
      </c>
      <c r="BI42" s="22">
        <f t="shared" si="57"/>
        <v>128.01418439716312</v>
      </c>
      <c r="BJ42" s="22">
        <f t="shared" si="58"/>
        <v>157.54637874303378</v>
      </c>
      <c r="BK42" s="22">
        <f t="shared" si="59"/>
        <v>158.66764710457753</v>
      </c>
      <c r="BL42" s="22">
        <f t="shared" si="60"/>
        <v>157.88275925149691</v>
      </c>
      <c r="BM42" s="22">
        <f t="shared" si="61"/>
        <v>267.19166259521126</v>
      </c>
      <c r="BN42" s="22">
        <f t="shared" si="62"/>
        <v>142.30769230769232</v>
      </c>
      <c r="BO42">
        <f t="shared" si="63"/>
        <v>118.17342962283324</v>
      </c>
    </row>
    <row r="43" spans="1:67" x14ac:dyDescent="0.25">
      <c r="A43" t="s">
        <v>330</v>
      </c>
      <c r="B43" s="4">
        <v>2.5000000000000001E-3</v>
      </c>
      <c r="C43" s="4">
        <v>2.5000000000000001E-3</v>
      </c>
      <c r="L43" s="1">
        <f t="shared" si="33"/>
        <v>42430</v>
      </c>
      <c r="M43" s="10">
        <f t="shared" si="38"/>
        <v>184166.59472564355</v>
      </c>
      <c r="N43" s="10">
        <f t="shared" si="39"/>
        <v>128465.53537331187</v>
      </c>
      <c r="O43" s="7">
        <f t="shared" si="24"/>
        <v>1.4335875703196836</v>
      </c>
      <c r="P43" s="7">
        <f t="shared" si="40"/>
        <v>0.88100371320305648</v>
      </c>
      <c r="Q43">
        <v>41</v>
      </c>
      <c r="R43">
        <f t="shared" si="41"/>
        <v>91</v>
      </c>
      <c r="S43" s="22"/>
      <c r="T43" s="22">
        <f>IF($B$10="3BR_H",
INDEX('3BR_H-processed'!$E:$E,MATCH($L43,'3BR_H-processed'!$B:$B,0),MATCH(Council_Area,'3BR_H-processed'!$E$1:$E$1,0)),
INDEX('2BR_F-processed'!$E:$E,MATCH($L43,'2BR_F-processed'!$B:$B,0),MATCH(Council_Area,'2BR_F-processed'!$E$1:$E$1,0)))</f>
        <v>351</v>
      </c>
      <c r="U43" s="22">
        <f t="shared" si="25"/>
        <v>351</v>
      </c>
      <c r="V43" s="22">
        <f t="shared" si="34"/>
        <v>4563</v>
      </c>
      <c r="W43" s="22">
        <f>$B$53/4*BH43/_xlfn.XLOOKUP(Q_end,cpi!A:A,cpi!B:B)</f>
        <v>149.550794747754</v>
      </c>
      <c r="X43" s="22">
        <f t="shared" si="42"/>
        <v>4712.5507947477536</v>
      </c>
      <c r="Y43" s="22">
        <f t="shared" si="43"/>
        <v>636.51950328127441</v>
      </c>
      <c r="Z43" s="22">
        <f t="shared" si="64"/>
        <v>0</v>
      </c>
      <c r="AA43" s="22" cm="1">
        <f t="array" ref="AA43">(Y43+Z43)*eff_invest</f>
        <v>636.51950328127441</v>
      </c>
      <c r="AB43" s="22">
        <f>AA43*(_xlfn.XLOOKUP(Q_end,cpi!A:A,cpi!B:B)/BH43)</f>
        <v>851.24188655083549</v>
      </c>
      <c r="AC43" s="22" cm="1">
        <f t="array" ref="AC43">INDEX('msci-indices'!C:C,MATCH($L43,'msci-indices'!$B:$B)-2)</f>
        <v>1252.64913</v>
      </c>
      <c r="AD43" s="22" cm="1">
        <f t="array" ref="AD43">INDEX('msci-indices'!D:D,MATCH($L43,'msci-indices'!$B:$B)-2)</f>
        <v>1204.1584660000001</v>
      </c>
      <c r="AE43" s="22">
        <f t="shared" si="65"/>
        <v>186095.49556444</v>
      </c>
      <c r="AF43" s="22" cm="1">
        <f t="array" ref="AF43">INDEX('msci-indices'!C:C,MATCH($L43,'msci-indices'!$B:$B)+1)</f>
        <v>1249.9268750000001</v>
      </c>
      <c r="AG43" s="22" cm="1">
        <f t="array" ref="AG43">INDEX('msci-indices'!D:D,MATCH($L43,'msci-indices'!$B:$B)+1)</f>
        <v>1171.1690430000001</v>
      </c>
      <c r="AH43" s="22">
        <f t="shared" si="44"/>
        <v>116.30968472777501</v>
      </c>
      <c r="AI43" s="22">
        <f t="shared" si="45"/>
        <v>184166.59472564355</v>
      </c>
      <c r="AJ43" s="22">
        <f t="shared" si="66"/>
        <v>122301.48796059827</v>
      </c>
      <c r="AK43" s="22">
        <f t="shared" si="46"/>
        <v>61865.106765045275</v>
      </c>
      <c r="AL43" s="22">
        <f>AJ43*(_xlfn.XLOOKUP(Q_end,cpi!A:A,cpi!B:B)/BH43)</f>
        <v>163558.45940756533</v>
      </c>
      <c r="AM43" s="22" cm="1">
        <f t="array" ref="AM43">SUMPRODUCT($AA$3:AA43,_xlfn.SORTBY($BH$3:BH43,_xlfn.SEQUENCE(ROWS($BH$3:BH43)),-1)/$BH$3)</f>
        <v>150657.16325445811</v>
      </c>
      <c r="AN43" s="22">
        <f t="shared" si="30"/>
        <v>33509.431471185439</v>
      </c>
      <c r="AO43" s="22">
        <f t="shared" si="47"/>
        <v>0</v>
      </c>
      <c r="AP43" s="22">
        <f t="shared" si="31"/>
        <v>184166.59472564355</v>
      </c>
      <c r="AQ43" s="22"/>
      <c r="AR43" s="10">
        <f>IF($B$10="3BR_H",
INDEX('ns-combined'!$C:$D,MATCH($L43,'ns-combined'!$B:$B,0),MATCH(Council_Area,'ns-combined'!$C$1:$D$1,0))*1000,
INDEX('s-combined'!$C:$D,MATCH($L43,'s-combined'!$B:$B,0),MATCH(Council_Area,'s-combined'!$C$1:$D$1,0))*1000)</f>
        <v>360000</v>
      </c>
      <c r="AS43" s="22">
        <f t="shared" si="35"/>
        <v>26650</v>
      </c>
      <c r="AT43" s="10">
        <v>0</v>
      </c>
      <c r="AU43" s="22">
        <f t="shared" si="48"/>
        <v>7200</v>
      </c>
      <c r="AV43" s="22">
        <f t="shared" si="49"/>
        <v>1035</v>
      </c>
      <c r="AW43" s="22">
        <f>SUM($AV$3:AV43)</f>
        <v>38180.574999999997</v>
      </c>
      <c r="AX43" s="22">
        <f t="shared" si="50"/>
        <v>287969.42499999999</v>
      </c>
      <c r="AY43" s="22">
        <f t="shared" si="51"/>
        <v>1597.0500000000002</v>
      </c>
      <c r="AZ43" s="24">
        <f t="shared" si="52"/>
        <v>1.7745E-2</v>
      </c>
      <c r="BA43" s="24">
        <f t="shared" si="53"/>
        <v>0.35000000000000003</v>
      </c>
      <c r="BB43" s="25">
        <f>IF(MortgageRate="Discounted",_xlfn.XLOOKUP(L43,'mortgage-rates'!$A:$A,'mortgage-rates'!$E:$E)/100,_xlfn.XLOOKUP(L43,'mortgage-rates'!$A:$A,'mortgage-rates'!$D:$D)/100)</f>
        <v>4.8300000000000003E-2</v>
      </c>
      <c r="BC43" s="10">
        <f t="shared" si="67"/>
        <v>159503.88962668812</v>
      </c>
      <c r="BD43" s="10">
        <f t="shared" si="54"/>
        <v>3752.0202980290273</v>
      </c>
      <c r="BE43" s="10">
        <f t="shared" si="55"/>
        <v>1926.0094672422592</v>
      </c>
      <c r="BF43" s="10">
        <f t="shared" si="36"/>
        <v>1826.0108307867681</v>
      </c>
      <c r="BG43" s="12">
        <f t="shared" si="56"/>
        <v>5349.070298029028</v>
      </c>
      <c r="BH43" s="22">
        <f>INDEX(cpi!B:B,MATCH($L43,cpi!A:A))</f>
        <v>108.2</v>
      </c>
      <c r="BI43" s="22">
        <f t="shared" si="57"/>
        <v>127.89598108747046</v>
      </c>
      <c r="BJ43" s="22">
        <f t="shared" si="58"/>
        <v>165.94025216028786</v>
      </c>
      <c r="BK43" s="22">
        <f t="shared" si="59"/>
        <v>168.89654464308245</v>
      </c>
      <c r="BL43" s="22">
        <f t="shared" si="60"/>
        <v>166.82713990512624</v>
      </c>
      <c r="BM43" s="22">
        <f t="shared" si="61"/>
        <v>283.12556277231874</v>
      </c>
      <c r="BN43" s="22">
        <f t="shared" si="62"/>
        <v>138.46153846153845</v>
      </c>
      <c r="BO43">
        <f t="shared" si="63"/>
        <v>113.64111443257269</v>
      </c>
    </row>
    <row r="44" spans="1:67" x14ac:dyDescent="0.25">
      <c r="A44" s="6" t="s">
        <v>463</v>
      </c>
      <c r="B44" t="s">
        <v>341</v>
      </c>
      <c r="C44" t="s">
        <v>341</v>
      </c>
      <c r="L44" s="1">
        <f t="shared" si="33"/>
        <v>42522</v>
      </c>
      <c r="M44" s="10">
        <f t="shared" si="38"/>
        <v>188273.23334572621</v>
      </c>
      <c r="N44" s="10">
        <f t="shared" si="39"/>
        <v>133492.17120409865</v>
      </c>
      <c r="O44" s="7">
        <f t="shared" si="24"/>
        <v>1.4103690999067788</v>
      </c>
      <c r="P44" s="7">
        <f t="shared" si="40"/>
        <v>0.89095107029701215</v>
      </c>
      <c r="Q44">
        <v>42</v>
      </c>
      <c r="R44">
        <f t="shared" si="41"/>
        <v>91</v>
      </c>
      <c r="S44" s="22"/>
      <c r="T44" s="22">
        <f>IF($B$10="3BR_H",
INDEX('3BR_H-processed'!$E:$E,MATCH($L44,'3BR_H-processed'!$B:$B,0),MATCH(Council_Area,'3BR_H-processed'!$E$1:$E$1,0)),
INDEX('2BR_F-processed'!$E:$E,MATCH($L44,'2BR_F-processed'!$B:$B,0),MATCH(Council_Area,'2BR_F-processed'!$E$1:$E$1,0)))</f>
        <v>351</v>
      </c>
      <c r="U44" s="22">
        <f t="shared" si="25"/>
        <v>351</v>
      </c>
      <c r="V44" s="22">
        <f t="shared" si="34"/>
        <v>4563</v>
      </c>
      <c r="W44" s="22">
        <f>$B$53/4*BH44/_xlfn.XLOOKUP(Q_end,cpi!A:A,cpi!B:B)</f>
        <v>150.38009675190048</v>
      </c>
      <c r="X44" s="22">
        <f t="shared" si="42"/>
        <v>4713.3800967519001</v>
      </c>
      <c r="Y44" s="22">
        <f t="shared" si="43"/>
        <v>576.89930678551627</v>
      </c>
      <c r="Z44" s="22">
        <f t="shared" si="64"/>
        <v>0</v>
      </c>
      <c r="AA44" s="22" cm="1">
        <f t="array" ref="AA44">(Y44+Z44)*eff_invest</f>
        <v>576.89930678551627</v>
      </c>
      <c r="AB44" s="22">
        <f>AA44*(_xlfn.XLOOKUP(Q_end,cpi!A:A,cpi!B:B)/BH44)</f>
        <v>767.25486849139884</v>
      </c>
      <c r="AC44" s="22" cm="1">
        <f t="array" ref="AC44">INDEX('msci-indices'!C:C,MATCH($L44,'msci-indices'!$B:$B)-2)</f>
        <v>1249.9268750000001</v>
      </c>
      <c r="AD44" s="22" cm="1">
        <f t="array" ref="AD44">INDEX('msci-indices'!D:D,MATCH($L44,'msci-indices'!$B:$B)-2)</f>
        <v>1171.1690430000001</v>
      </c>
      <c r="AE44" s="22">
        <f t="shared" si="65"/>
        <v>184743.49403242907</v>
      </c>
      <c r="AF44" s="22" cm="1">
        <f t="array" ref="AF44">INDEX('msci-indices'!C:C,MATCH($L44,'msci-indices'!$B:$B)+1)</f>
        <v>1263.5195100000001</v>
      </c>
      <c r="AG44" s="22" cm="1">
        <f t="array" ref="AG44">INDEX('msci-indices'!D:D,MATCH($L44,'msci-indices'!$B:$B)+1)</f>
        <v>1218.479752</v>
      </c>
      <c r="AH44" s="22">
        <f t="shared" si="44"/>
        <v>115.46468377026817</v>
      </c>
      <c r="AI44" s="22">
        <f t="shared" si="45"/>
        <v>188273.23334572621</v>
      </c>
      <c r="AJ44" s="22">
        <f t="shared" si="66"/>
        <v>122878.38726738379</v>
      </c>
      <c r="AK44" s="22">
        <f t="shared" si="46"/>
        <v>65394.846078342423</v>
      </c>
      <c r="AL44" s="22">
        <f>AJ44*(_xlfn.XLOOKUP(Q_end,cpi!A:A,cpi!B:B)/BH44)</f>
        <v>163423.73747785325</v>
      </c>
      <c r="AM44" s="22" cm="1">
        <f t="array" ref="AM44">SUMPRODUCT($AA$3:AA44,_xlfn.SORTBY($BH$3:BH44,_xlfn.SEQUENCE(ROWS($BH$3:BH44)),-1)/$BH$3)</f>
        <v>152078.84375921916</v>
      </c>
      <c r="AN44" s="22">
        <f t="shared" si="30"/>
        <v>36194.389586507052</v>
      </c>
      <c r="AO44" s="22">
        <f t="shared" si="47"/>
        <v>0</v>
      </c>
      <c r="AP44" s="22">
        <f t="shared" si="31"/>
        <v>188273.23334572621</v>
      </c>
      <c r="AQ44" s="22"/>
      <c r="AR44" s="10">
        <f>IF($B$10="3BR_H",
INDEX('ns-combined'!$C:$D,MATCH($L44,'ns-combined'!$B:$B,0),MATCH(Council_Area,'ns-combined'!$C$1:$D$1,0))*1000,
INDEX('s-combined'!$C:$D,MATCH($L44,'s-combined'!$B:$B,0),MATCH(Council_Area,'s-combined'!$C$1:$D$1,0))*1000)</f>
        <v>365000</v>
      </c>
      <c r="AS44" s="22">
        <f t="shared" si="35"/>
        <v>27300</v>
      </c>
      <c r="AT44" s="10">
        <v>0</v>
      </c>
      <c r="AU44" s="22">
        <f t="shared" si="48"/>
        <v>7300</v>
      </c>
      <c r="AV44" s="22">
        <f t="shared" si="49"/>
        <v>1049.375</v>
      </c>
      <c r="AW44" s="22">
        <f>SUM($AV$3:AV44)</f>
        <v>39229.949999999997</v>
      </c>
      <c r="AX44" s="22">
        <f t="shared" si="50"/>
        <v>291170.05</v>
      </c>
      <c r="AY44" s="22">
        <f t="shared" si="51"/>
        <v>1597.0500000000002</v>
      </c>
      <c r="AZ44" s="24">
        <f t="shared" si="52"/>
        <v>1.7501917808219181E-2</v>
      </c>
      <c r="BA44" s="24">
        <f t="shared" si="53"/>
        <v>0.35000000000000003</v>
      </c>
      <c r="BB44" s="25">
        <f>IF(MortgageRate="Discounted",_xlfn.XLOOKUP(L44,'mortgage-rates'!$A:$A,'mortgage-rates'!$E:$E)/100,_xlfn.XLOOKUP(L44,'mortgage-rates'!$A:$A,'mortgage-rates'!$D:$D)/100)</f>
        <v>4.5899999999999996E-2</v>
      </c>
      <c r="BC44" s="10">
        <f t="shared" si="67"/>
        <v>157677.87879590134</v>
      </c>
      <c r="BD44" s="10">
        <f t="shared" si="54"/>
        <v>3693.2294035374161</v>
      </c>
      <c r="BE44" s="10">
        <f t="shared" si="55"/>
        <v>1809.3536591829677</v>
      </c>
      <c r="BF44" s="10">
        <f t="shared" si="36"/>
        <v>1883.8757443544484</v>
      </c>
      <c r="BG44" s="12">
        <f t="shared" si="56"/>
        <v>5290.2794035374163</v>
      </c>
      <c r="BH44" s="22">
        <f>INDEX(cpi!B:B,MATCH($L44,cpi!A:A))</f>
        <v>108.8</v>
      </c>
      <c r="BI44" s="22">
        <f t="shared" si="57"/>
        <v>128.60520094562648</v>
      </c>
      <c r="BJ44" s="22">
        <f t="shared" si="58"/>
        <v>165.57963108106787</v>
      </c>
      <c r="BK44" s="22">
        <f t="shared" si="59"/>
        <v>164.2694131551666</v>
      </c>
      <c r="BL44" s="22">
        <f t="shared" si="60"/>
        <v>165.1865657032975</v>
      </c>
      <c r="BM44" s="22">
        <f t="shared" si="61"/>
        <v>281.06862854369268</v>
      </c>
      <c r="BN44" s="22">
        <f t="shared" si="62"/>
        <v>140.38461538461539</v>
      </c>
      <c r="BO44">
        <f t="shared" si="63"/>
        <v>114.90417418928385</v>
      </c>
    </row>
    <row r="45" spans="1:67" x14ac:dyDescent="0.25">
      <c r="A45" t="s">
        <v>344</v>
      </c>
      <c r="B45" s="8">
        <v>0.32</v>
      </c>
      <c r="C45" s="8">
        <v>0.32</v>
      </c>
      <c r="L45" s="1">
        <f t="shared" si="33"/>
        <v>42614</v>
      </c>
      <c r="M45" s="10">
        <f t="shared" si="38"/>
        <v>198599.15302617659</v>
      </c>
      <c r="N45" s="10">
        <f t="shared" si="39"/>
        <v>138562.29694845309</v>
      </c>
      <c r="O45" s="7">
        <f t="shared" si="24"/>
        <v>1.4332842151141443</v>
      </c>
      <c r="P45" s="7">
        <f t="shared" si="40"/>
        <v>0.90084033913558559</v>
      </c>
      <c r="Q45">
        <v>43</v>
      </c>
      <c r="R45">
        <f t="shared" si="41"/>
        <v>92</v>
      </c>
      <c r="S45" s="22"/>
      <c r="T45" s="22">
        <f>IF($B$10="3BR_H",
INDEX('3BR_H-processed'!$E:$E,MATCH($L45,'3BR_H-processed'!$B:$B,0),MATCH(Council_Area,'3BR_H-processed'!$E$1:$E$1,0)),
INDEX('2BR_F-processed'!$E:$E,MATCH($L45,'2BR_F-processed'!$B:$B,0),MATCH(Council_Area,'2BR_F-processed'!$E$1:$E$1,0)))</f>
        <v>372</v>
      </c>
      <c r="U45" s="22">
        <f t="shared" si="25"/>
        <v>351</v>
      </c>
      <c r="V45" s="22">
        <f t="shared" si="34"/>
        <v>4613.1428571428569</v>
      </c>
      <c r="W45" s="22">
        <f>$B$53/4*BH45/_xlfn.XLOOKUP(Q_end,cpi!A:A,cpi!B:B)</f>
        <v>151.07118175535592</v>
      </c>
      <c r="X45" s="22">
        <f t="shared" si="42"/>
        <v>4764.2140388982125</v>
      </c>
      <c r="Y45" s="22">
        <f t="shared" si="43"/>
        <v>524.41906502093843</v>
      </c>
      <c r="Z45" s="22">
        <f t="shared" si="64"/>
        <v>0</v>
      </c>
      <c r="AA45" s="22" cm="1">
        <f t="array" ref="AA45">(Y45+Z45)*eff_invest</f>
        <v>524.41906502093843</v>
      </c>
      <c r="AB45" s="22">
        <f>AA45*(_xlfn.XLOOKUP(Q_end,cpi!A:A,cpi!B:B)/BH45)</f>
        <v>694.26750876971437</v>
      </c>
      <c r="AC45" s="22" cm="1">
        <f t="array" ref="AC45">INDEX('msci-indices'!C:C,MATCH($L45,'msci-indices'!$B:$B)-2)</f>
        <v>1263.5195100000001</v>
      </c>
      <c r="AD45" s="22" cm="1">
        <f t="array" ref="AD45">INDEX('msci-indices'!D:D,MATCH($L45,'msci-indices'!$B:$B)-2)</f>
        <v>1218.479752</v>
      </c>
      <c r="AE45" s="22">
        <f t="shared" si="65"/>
        <v>188797.65241074716</v>
      </c>
      <c r="AF45" s="22" cm="1">
        <f t="array" ref="AF45">INDEX('msci-indices'!C:C,MATCH($L45,'msci-indices'!$B:$B)+1)</f>
        <v>1329.025858</v>
      </c>
      <c r="AG45" s="22" cm="1">
        <f t="array" ref="AG45">INDEX('msci-indices'!D:D,MATCH($L45,'msci-indices'!$B:$B)+1)</f>
        <v>1284.47801</v>
      </c>
      <c r="AH45" s="22">
        <f t="shared" si="44"/>
        <v>117.99853275671698</v>
      </c>
      <c r="AI45" s="22">
        <f t="shared" si="45"/>
        <v>198599.15302617659</v>
      </c>
      <c r="AJ45" s="22">
        <f t="shared" si="66"/>
        <v>123402.80633240473</v>
      </c>
      <c r="AK45" s="22">
        <f t="shared" si="46"/>
        <v>75196.346693771862</v>
      </c>
      <c r="AL45" s="22">
        <f>AJ45*(_xlfn.XLOOKUP(Q_end,cpi!A:A,cpi!B:B)/BH45)</f>
        <v>163370.41240895665</v>
      </c>
      <c r="AM45" s="22" cm="1">
        <f t="array" ref="AM45">SUMPRODUCT($AA$3:AA45,_xlfn.SORTBY($BH$3:BH45,_xlfn.SEQUENCE(ROWS($BH$3:BH45)),-1)/$BH$3)</f>
        <v>153365.82483857602</v>
      </c>
      <c r="AN45" s="22">
        <f t="shared" si="30"/>
        <v>45233.328187600564</v>
      </c>
      <c r="AO45" s="22">
        <f t="shared" si="47"/>
        <v>0</v>
      </c>
      <c r="AP45" s="22">
        <f t="shared" si="31"/>
        <v>198599.15302617659</v>
      </c>
      <c r="AQ45" s="22"/>
      <c r="AR45" s="10">
        <f>IF($B$10="3BR_H",
INDEX('ns-combined'!$C:$D,MATCH($L45,'ns-combined'!$B:$B,0),MATCH(Council_Area,'ns-combined'!$C$1:$D$1,0))*1000,
INDEX('s-combined'!$C:$D,MATCH($L45,'s-combined'!$B:$B,0),MATCH(Council_Area,'s-combined'!$C$1:$D$1,0))*1000)</f>
        <v>370000</v>
      </c>
      <c r="AS45" s="22">
        <f t="shared" si="35"/>
        <v>27950</v>
      </c>
      <c r="AT45" s="10">
        <v>0</v>
      </c>
      <c r="AU45" s="22">
        <f t="shared" si="48"/>
        <v>7400</v>
      </c>
      <c r="AV45" s="22">
        <f t="shared" si="49"/>
        <v>1063.75</v>
      </c>
      <c r="AW45" s="22">
        <f>SUM($AV$3:AV45)</f>
        <v>40293.699999999997</v>
      </c>
      <c r="AX45" s="22">
        <f t="shared" si="50"/>
        <v>294356.3</v>
      </c>
      <c r="AY45" s="22">
        <f t="shared" si="51"/>
        <v>1614.6000000000001</v>
      </c>
      <c r="AZ45" s="24">
        <f t="shared" si="52"/>
        <v>1.7455135135135136E-2</v>
      </c>
      <c r="BA45" s="24">
        <f t="shared" si="53"/>
        <v>0.35000000000000003</v>
      </c>
      <c r="BB45" s="25">
        <f>IF(MortgageRate="Discounted",_xlfn.XLOOKUP(L45,'mortgage-rates'!$A:$A,'mortgage-rates'!$E:$E)/100,_xlfn.XLOOKUP(L45,'mortgage-rates'!$A:$A,'mortgage-rates'!$D:$D)/100)</f>
        <v>4.5100000000000001E-2</v>
      </c>
      <c r="BC45" s="10">
        <f t="shared" si="67"/>
        <v>155794.0030515469</v>
      </c>
      <c r="BD45" s="10">
        <f t="shared" si="54"/>
        <v>3674.0331039191506</v>
      </c>
      <c r="BE45" s="10">
        <f t="shared" si="55"/>
        <v>1756.5773844061914</v>
      </c>
      <c r="BF45" s="10">
        <f t="shared" si="36"/>
        <v>1917.4557195129591</v>
      </c>
      <c r="BG45" s="12">
        <f t="shared" si="56"/>
        <v>5288.6331039191509</v>
      </c>
      <c r="BH45" s="22">
        <f>INDEX(cpi!B:B,MATCH($L45,cpi!A:A))</f>
        <v>109.3</v>
      </c>
      <c r="BI45" s="22">
        <f t="shared" si="57"/>
        <v>129.19621749408984</v>
      </c>
      <c r="BJ45" s="22">
        <f t="shared" si="58"/>
        <v>167.38026720925703</v>
      </c>
      <c r="BK45" s="22">
        <f t="shared" si="59"/>
        <v>170.90526341934137</v>
      </c>
      <c r="BL45" s="22">
        <f t="shared" si="60"/>
        <v>168.43776607228233</v>
      </c>
      <c r="BM45" s="22">
        <f t="shared" si="61"/>
        <v>287.23662239517171</v>
      </c>
      <c r="BN45" s="22">
        <f t="shared" si="62"/>
        <v>142.30769230769232</v>
      </c>
      <c r="BO45">
        <f t="shared" si="63"/>
        <v>116.1615611527116</v>
      </c>
    </row>
    <row r="46" spans="1:67" x14ac:dyDescent="0.25">
      <c r="A46" t="s">
        <v>343</v>
      </c>
      <c r="B46" s="8">
        <v>0.15</v>
      </c>
      <c r="C46" s="8">
        <v>0.15</v>
      </c>
      <c r="L46" s="1">
        <f t="shared" si="33"/>
        <v>42705</v>
      </c>
      <c r="M46" s="10">
        <f t="shared" si="38"/>
        <v>205097.03780900463</v>
      </c>
      <c r="N46" s="10">
        <f t="shared" si="39"/>
        <v>160262.75266796604</v>
      </c>
      <c r="O46" s="7">
        <f t="shared" si="24"/>
        <v>1.2797548675201325</v>
      </c>
      <c r="P46" s="7">
        <f t="shared" si="40"/>
        <v>0.90097101278790293</v>
      </c>
      <c r="Q46">
        <v>44</v>
      </c>
      <c r="R46">
        <f t="shared" si="41"/>
        <v>92</v>
      </c>
      <c r="S46" s="22"/>
      <c r="T46" s="22">
        <f>IF($B$10="3BR_H",
INDEX('3BR_H-processed'!$E:$E,MATCH($L46,'3BR_H-processed'!$B:$B,0),MATCH(Council_Area,'3BR_H-processed'!$E$1:$E$1,0)),
INDEX('2BR_F-processed'!$E:$E,MATCH($L46,'2BR_F-processed'!$B:$B,0),MATCH(Council_Area,'2BR_F-processed'!$E$1:$E$1,0)))</f>
        <v>372</v>
      </c>
      <c r="U46" s="22">
        <f t="shared" si="25"/>
        <v>351</v>
      </c>
      <c r="V46" s="22">
        <f t="shared" si="34"/>
        <v>4613.1428571428569</v>
      </c>
      <c r="W46" s="22">
        <f>$B$53/4*BH46/_xlfn.XLOOKUP(Q_end,cpi!A:A,cpi!B:B)</f>
        <v>151.76226675881134</v>
      </c>
      <c r="X46" s="22">
        <f t="shared" si="42"/>
        <v>4764.905123901668</v>
      </c>
      <c r="Y46" s="22">
        <f t="shared" si="43"/>
        <v>523.72798001748288</v>
      </c>
      <c r="Z46" s="22">
        <f t="shared" si="64"/>
        <v>0</v>
      </c>
      <c r="AA46" s="22" cm="1">
        <f t="array" ref="AA46">(Y46+Z46)*eff_invest</f>
        <v>523.72798001748288</v>
      </c>
      <c r="AB46" s="22">
        <f>AA46*(_xlfn.XLOOKUP(Q_end,cpi!A:A,cpi!B:B)/BH46)</f>
        <v>690.1952523545516</v>
      </c>
      <c r="AC46" s="22" cm="1">
        <f t="array" ref="AC46">INDEX('msci-indices'!C:C,MATCH($L46,'msci-indices'!$B:$B)-2)</f>
        <v>1329.025858</v>
      </c>
      <c r="AD46" s="22" cm="1">
        <f t="array" ref="AD46">INDEX('msci-indices'!D:D,MATCH($L46,'msci-indices'!$B:$B)-2)</f>
        <v>1284.47801</v>
      </c>
      <c r="AE46" s="22">
        <f t="shared" si="65"/>
        <v>199122.88100619407</v>
      </c>
      <c r="AF46" s="22" cm="1">
        <f t="array" ref="AF46">INDEX('msci-indices'!C:C,MATCH($L46,'msci-indices'!$B:$B)+1)</f>
        <v>1355.3009059999999</v>
      </c>
      <c r="AG46" s="22" cm="1">
        <f t="array" ref="AG46">INDEX('msci-indices'!D:D,MATCH($L46,'msci-indices'!$B:$B)+1)</f>
        <v>1356.3584840000001</v>
      </c>
      <c r="AH46" s="22">
        <f t="shared" si="44"/>
        <v>124.4518006288713</v>
      </c>
      <c r="AI46" s="22">
        <f t="shared" si="45"/>
        <v>205097.03780900463</v>
      </c>
      <c r="AJ46" s="22">
        <f t="shared" si="66"/>
        <v>123926.53431242221</v>
      </c>
      <c r="AK46" s="22">
        <f t="shared" si="46"/>
        <v>81170.503496582416</v>
      </c>
      <c r="AL46" s="22">
        <f>AJ46*(_xlfn.XLOOKUP(Q_end,cpi!A:A,cpi!B:B)/BH46)</f>
        <v>163316.66224961285</v>
      </c>
      <c r="AM46" s="22" cm="1">
        <f t="array" ref="AM46">SUMPRODUCT($AA$3:AA46,_xlfn.SORTBY($BH$3:BH46,_xlfn.SEQUENCE(ROWS($BH$3:BH46)),-1)/$BH$3)</f>
        <v>154646.0960698454</v>
      </c>
      <c r="AN46" s="22">
        <f t="shared" si="30"/>
        <v>50450.941739159229</v>
      </c>
      <c r="AO46" s="22">
        <f t="shared" si="47"/>
        <v>0</v>
      </c>
      <c r="AP46" s="22">
        <f t="shared" si="31"/>
        <v>205097.03780900463</v>
      </c>
      <c r="AQ46" s="22"/>
      <c r="AR46" s="10">
        <f>IF($B$10="3BR_H",
INDEX('ns-combined'!$C:$D,MATCH($L46,'ns-combined'!$B:$B,0),MATCH(Council_Area,'ns-combined'!$C$1:$D$1,0))*1000,
INDEX('s-combined'!$C:$D,MATCH($L46,'s-combined'!$B:$B,0),MATCH(Council_Area,'s-combined'!$C$1:$D$1,0))*1000)</f>
        <v>392000</v>
      </c>
      <c r="AS46" s="22">
        <f t="shared" si="35"/>
        <v>28600</v>
      </c>
      <c r="AT46" s="10">
        <v>0</v>
      </c>
      <c r="AU46" s="22">
        <f t="shared" si="48"/>
        <v>7840</v>
      </c>
      <c r="AV46" s="22">
        <f t="shared" si="49"/>
        <v>1127</v>
      </c>
      <c r="AW46" s="22">
        <f>SUM($AV$3:AV46)</f>
        <v>41420.699999999997</v>
      </c>
      <c r="AX46" s="22">
        <f t="shared" si="50"/>
        <v>314139.3</v>
      </c>
      <c r="AY46" s="22">
        <f t="shared" si="51"/>
        <v>1614.6000000000001</v>
      </c>
      <c r="AZ46" s="24">
        <f t="shared" si="52"/>
        <v>1.6475510204081636E-2</v>
      </c>
      <c r="BA46" s="24">
        <f t="shared" si="53"/>
        <v>0.35000000000000003</v>
      </c>
      <c r="BB46" s="25">
        <f>IF(MortgageRate="Discounted",_xlfn.XLOOKUP(L46,'mortgage-rates'!$A:$A,'mortgage-rates'!$E:$E)/100,_xlfn.XLOOKUP(L46,'mortgage-rates'!$A:$A,'mortgage-rates'!$D:$D)/100)</f>
        <v>4.5100000000000001E-2</v>
      </c>
      <c r="BC46" s="10">
        <f t="shared" si="67"/>
        <v>153876.54733203395</v>
      </c>
      <c r="BD46" s="10">
        <f t="shared" si="54"/>
        <v>3674.0331039191506</v>
      </c>
      <c r="BE46" s="10">
        <f t="shared" si="55"/>
        <v>1734.9580711686829</v>
      </c>
      <c r="BF46" s="10">
        <f t="shared" si="36"/>
        <v>1939.0750327504677</v>
      </c>
      <c r="BG46" s="12">
        <f t="shared" si="56"/>
        <v>5288.6331039191509</v>
      </c>
      <c r="BH46" s="22">
        <f>INDEX(cpi!B:B,MATCH($L46,cpi!A:A))</f>
        <v>109.8</v>
      </c>
      <c r="BI46" s="22">
        <f t="shared" si="57"/>
        <v>129.78723404255319</v>
      </c>
      <c r="BJ46" s="22">
        <f t="shared" si="58"/>
        <v>176.05798840419337</v>
      </c>
      <c r="BK46" s="22">
        <f t="shared" si="59"/>
        <v>180.16224914289867</v>
      </c>
      <c r="BL46" s="22">
        <f t="shared" si="60"/>
        <v>177.28926662580494</v>
      </c>
      <c r="BM46" s="22">
        <f t="shared" si="61"/>
        <v>302.94541829037638</v>
      </c>
      <c r="BN46" s="22">
        <f t="shared" si="62"/>
        <v>150.76923076923077</v>
      </c>
      <c r="BO46">
        <f t="shared" si="63"/>
        <v>123.96850859798147</v>
      </c>
    </row>
    <row r="47" spans="1:67" x14ac:dyDescent="0.25">
      <c r="A47" t="s">
        <v>471</v>
      </c>
      <c r="B47" s="8">
        <f>IF(B44="Yes",B45-B46,0)</f>
        <v>0</v>
      </c>
      <c r="C47" s="8">
        <v>0</v>
      </c>
      <c r="L47" s="1">
        <f t="shared" si="33"/>
        <v>42795</v>
      </c>
      <c r="M47" s="10">
        <f t="shared" si="38"/>
        <v>217413.42536302996</v>
      </c>
      <c r="N47" s="10">
        <f t="shared" si="39"/>
        <v>157982.0152007165</v>
      </c>
      <c r="O47" s="7">
        <f t="shared" si="24"/>
        <v>1.3761909865930355</v>
      </c>
      <c r="P47" s="7">
        <f t="shared" si="40"/>
        <v>0.92207714627956872</v>
      </c>
      <c r="Q47">
        <v>45</v>
      </c>
      <c r="R47">
        <f t="shared" si="41"/>
        <v>90</v>
      </c>
      <c r="S47" s="22"/>
      <c r="T47" s="22">
        <f>IF($B$10="3BR_H",
INDEX('3BR_H-processed'!$E:$E,MATCH($L47,'3BR_H-processed'!$B:$B,0),MATCH(Council_Area,'3BR_H-processed'!$E$1:$E$1,0)),
INDEX('2BR_F-processed'!$E:$E,MATCH($L47,'2BR_F-processed'!$B:$B,0),MATCH(Council_Area,'2BR_F-processed'!$E$1:$E$1,0)))</f>
        <v>372</v>
      </c>
      <c r="U47" s="22">
        <f t="shared" si="25"/>
        <v>372</v>
      </c>
      <c r="V47" s="22">
        <f t="shared" si="34"/>
        <v>4782.8571428571431</v>
      </c>
      <c r="W47" s="22">
        <f>$B$53/4*BH47/_xlfn.XLOOKUP(Q_end,cpi!A:A,cpi!B:B)</f>
        <v>152.72978576364895</v>
      </c>
      <c r="X47" s="22">
        <f t="shared" si="42"/>
        <v>4935.5869286207917</v>
      </c>
      <c r="Y47" s="22">
        <f t="shared" si="43"/>
        <v>417.09635664994948</v>
      </c>
      <c r="Z47" s="22">
        <f t="shared" si="64"/>
        <v>0</v>
      </c>
      <c r="AA47" s="22" cm="1">
        <f t="array" ref="AA47">(Y47+Z47)*eff_invest</f>
        <v>417.09635664994948</v>
      </c>
      <c r="AB47" s="22">
        <f>AA47*(_xlfn.XLOOKUP(Q_end,cpi!A:A,cpi!B:B)/BH47)</f>
        <v>546.1886226900242</v>
      </c>
      <c r="AC47" s="22" cm="1">
        <f t="array" ref="AC47">INDEX('msci-indices'!C:C,MATCH($L47,'msci-indices'!$B:$B)-2)</f>
        <v>1355.3009059999999</v>
      </c>
      <c r="AD47" s="22" cm="1">
        <f t="array" ref="AD47">INDEX('msci-indices'!D:D,MATCH($L47,'msci-indices'!$B:$B)-2)</f>
        <v>1356.3584840000001</v>
      </c>
      <c r="AE47" s="22">
        <f t="shared" si="65"/>
        <v>205514.13416565457</v>
      </c>
      <c r="AF47" s="22" cm="1">
        <f t="array" ref="AF47">INDEX('msci-indices'!C:C,MATCH($L47,'msci-indices'!$B:$B)+1)</f>
        <v>1439.6180119999999</v>
      </c>
      <c r="AG47" s="22" cm="1">
        <f t="array" ref="AG47">INDEX('msci-indices'!D:D,MATCH($L47,'msci-indices'!$B:$B)+1)</f>
        <v>1424.068485</v>
      </c>
      <c r="AH47" s="22">
        <f t="shared" si="44"/>
        <v>128.4463338535341</v>
      </c>
      <c r="AI47" s="22">
        <f t="shared" si="45"/>
        <v>217413.42536302996</v>
      </c>
      <c r="AJ47" s="22">
        <f t="shared" si="66"/>
        <v>124343.63066907217</v>
      </c>
      <c r="AK47" s="22">
        <f t="shared" si="46"/>
        <v>93069.794693957796</v>
      </c>
      <c r="AL47" s="22">
        <f>AJ47*(_xlfn.XLOOKUP(Q_end,cpi!A:A,cpi!B:B)/BH47)</f>
        <v>162828.26568158137</v>
      </c>
      <c r="AM47" s="22" cm="1">
        <f t="array" ref="AM47">SUMPRODUCT($AA$3:AA47,_xlfn.SORTBY($BH$3:BH47,_xlfn.SEQUENCE(ROWS($BH$3:BH47)),-1)/$BH$3)</f>
        <v>155974.08175035528</v>
      </c>
      <c r="AN47" s="22">
        <f t="shared" si="30"/>
        <v>61439.343612674682</v>
      </c>
      <c r="AO47" s="22">
        <f t="shared" si="47"/>
        <v>0</v>
      </c>
      <c r="AP47" s="22">
        <f t="shared" si="31"/>
        <v>217413.42536302996</v>
      </c>
      <c r="AQ47" s="22"/>
      <c r="AR47" s="10">
        <f>IF($B$10="3BR_H",
INDEX('ns-combined'!$C:$D,MATCH($L47,'ns-combined'!$B:$B,0),MATCH(Council_Area,'ns-combined'!$C$1:$D$1,0))*1000,
INDEX('s-combined'!$C:$D,MATCH($L47,'s-combined'!$B:$B,0),MATCH(Council_Area,'s-combined'!$C$1:$D$1,0))*1000)</f>
        <v>389500</v>
      </c>
      <c r="AS47" s="22">
        <f t="shared" si="35"/>
        <v>29250</v>
      </c>
      <c r="AT47" s="10">
        <v>0</v>
      </c>
      <c r="AU47" s="22">
        <f t="shared" si="48"/>
        <v>7790</v>
      </c>
      <c r="AV47" s="22">
        <f t="shared" si="49"/>
        <v>1119.8125</v>
      </c>
      <c r="AW47" s="22">
        <f>SUM($AV$3:AV47)</f>
        <v>42540.512499999997</v>
      </c>
      <c r="AX47" s="22">
        <f t="shared" si="50"/>
        <v>309919.48749999999</v>
      </c>
      <c r="AY47" s="22">
        <f t="shared" si="51"/>
        <v>1674.0000000000002</v>
      </c>
      <c r="AZ47" s="24">
        <f t="shared" si="52"/>
        <v>1.7191270860077025E-2</v>
      </c>
      <c r="BA47" s="24">
        <f t="shared" si="53"/>
        <v>0.35000000000000003</v>
      </c>
      <c r="BB47" s="25">
        <f>IF(MortgageRate="Discounted",_xlfn.XLOOKUP(L47,'mortgage-rates'!$A:$A,'mortgage-rates'!$E:$E)/100,_xlfn.XLOOKUP(L47,'mortgage-rates'!$A:$A,'mortgage-rates'!$D:$D)/100)</f>
        <v>4.53E-2</v>
      </c>
      <c r="BC47" s="10">
        <f t="shared" si="67"/>
        <v>151937.47229928349</v>
      </c>
      <c r="BD47" s="10">
        <f t="shared" si="54"/>
        <v>3678.6832852707412</v>
      </c>
      <c r="BE47" s="10">
        <f t="shared" si="55"/>
        <v>1720.6918737893855</v>
      </c>
      <c r="BF47" s="10">
        <f t="shared" si="36"/>
        <v>1957.9914114813557</v>
      </c>
      <c r="BG47" s="12">
        <f t="shared" si="56"/>
        <v>5352.6832852707412</v>
      </c>
      <c r="BH47" s="22">
        <f>INDEX(cpi!B:B,MATCH($L47,cpi!A:A))</f>
        <v>110.5</v>
      </c>
      <c r="BI47" s="22">
        <f t="shared" si="57"/>
        <v>130.6146572104019</v>
      </c>
      <c r="BJ47" s="22">
        <f t="shared" si="58"/>
        <v>179.53868222836397</v>
      </c>
      <c r="BK47" s="22">
        <f t="shared" si="59"/>
        <v>190.24428072652827</v>
      </c>
      <c r="BL47" s="22">
        <f t="shared" si="60"/>
        <v>182.75036177781325</v>
      </c>
      <c r="BM47" s="22">
        <f t="shared" si="61"/>
        <v>312.66906658236854</v>
      </c>
      <c r="BN47" s="22">
        <f t="shared" si="62"/>
        <v>149.80769230769232</v>
      </c>
      <c r="BO47">
        <f t="shared" si="63"/>
        <v>122.30324779747635</v>
      </c>
    </row>
    <row r="48" spans="1:67" x14ac:dyDescent="0.25">
      <c r="A48" t="s">
        <v>478</v>
      </c>
      <c r="B48" s="8">
        <v>0.32</v>
      </c>
      <c r="C48" s="8">
        <v>0.32</v>
      </c>
      <c r="L48" s="1">
        <f t="shared" si="33"/>
        <v>42887</v>
      </c>
      <c r="M48" s="10">
        <f t="shared" si="38"/>
        <v>222581.18110734376</v>
      </c>
      <c r="N48" s="10">
        <f t="shared" si="39"/>
        <v>168430.00661219785</v>
      </c>
      <c r="O48" s="7">
        <f t="shared" si="24"/>
        <v>1.3215055059626426</v>
      </c>
      <c r="P48" s="7">
        <f t="shared" si="40"/>
        <v>0.93086333929440268</v>
      </c>
      <c r="Q48">
        <v>46</v>
      </c>
      <c r="R48">
        <f t="shared" si="41"/>
        <v>91</v>
      </c>
      <c r="S48" s="22"/>
      <c r="T48" s="22">
        <f>IF($B$10="3BR_H",
INDEX('3BR_H-processed'!$E:$E,MATCH($L48,'3BR_H-processed'!$B:$B,0),MATCH(Council_Area,'3BR_H-processed'!$E$1:$E$1,0)),
INDEX('2BR_F-processed'!$E:$E,MATCH($L48,'2BR_F-processed'!$B:$B,0),MATCH(Council_Area,'2BR_F-processed'!$E$1:$E$1,0)))</f>
        <v>372</v>
      </c>
      <c r="U48" s="22">
        <f t="shared" si="25"/>
        <v>372</v>
      </c>
      <c r="V48" s="22">
        <f t="shared" si="34"/>
        <v>4836</v>
      </c>
      <c r="W48" s="22">
        <f>$B$53/4*BH48/_xlfn.XLOOKUP(Q_end,cpi!A:A,cpi!B:B)</f>
        <v>153.28265376641329</v>
      </c>
      <c r="X48" s="22">
        <f t="shared" si="42"/>
        <v>4989.2826537664132</v>
      </c>
      <c r="Y48" s="22">
        <f t="shared" si="43"/>
        <v>370.56174353072947</v>
      </c>
      <c r="Z48" s="22">
        <f t="shared" si="64"/>
        <v>0</v>
      </c>
      <c r="AA48" s="22" cm="1">
        <f t="array" ref="AA48">(Y48+Z48)*eff_invest</f>
        <v>370.56174353072947</v>
      </c>
      <c r="AB48" s="22">
        <f>AA48*(_xlfn.XLOOKUP(Q_end,cpi!A:A,cpi!B:B)/BH48)</f>
        <v>483.50121090078039</v>
      </c>
      <c r="AC48" s="22" cm="1">
        <f t="array" ref="AC48">INDEX('msci-indices'!C:C,MATCH($L48,'msci-indices'!$B:$B)-2)</f>
        <v>1439.6180119999999</v>
      </c>
      <c r="AD48" s="22" cm="1">
        <f t="array" ref="AD48">INDEX('msci-indices'!D:D,MATCH($L48,'msci-indices'!$B:$B)-2)</f>
        <v>1424.068485</v>
      </c>
      <c r="AE48" s="22">
        <f t="shared" si="65"/>
        <v>217783.9871065607</v>
      </c>
      <c r="AF48" s="22" cm="1">
        <f t="array" ref="AF48">INDEX('msci-indices'!C:C,MATCH($L48,'msci-indices'!$B:$B)+1)</f>
        <v>1498.0163219999999</v>
      </c>
      <c r="AG48" s="22" cm="1">
        <f t="array" ref="AG48">INDEX('msci-indices'!D:D,MATCH($L48,'msci-indices'!$B:$B)+1)</f>
        <v>1396.8056610000001</v>
      </c>
      <c r="AH48" s="22">
        <f t="shared" si="44"/>
        <v>136.11499194160044</v>
      </c>
      <c r="AI48" s="22">
        <f t="shared" si="45"/>
        <v>222581.18110734376</v>
      </c>
      <c r="AJ48" s="22">
        <f t="shared" si="66"/>
        <v>124714.1924126029</v>
      </c>
      <c r="AK48" s="22">
        <f t="shared" si="46"/>
        <v>97866.988694740852</v>
      </c>
      <c r="AL48" s="22">
        <f>AJ48*(_xlfn.XLOOKUP(Q_end,cpi!A:A,cpi!B:B)/BH48)</f>
        <v>162724.46927054678</v>
      </c>
      <c r="AM48" s="22" cm="1">
        <f t="array" ref="AM48">SUMPRODUCT($AA$3:AA48,_xlfn.SORTBY($BH$3:BH48,_xlfn.SEQUENCE(ROWS($BH$3:BH48)),-1)/$BH$3)</f>
        <v>157031.61657020063</v>
      </c>
      <c r="AN48" s="22">
        <f t="shared" si="30"/>
        <v>65549.564537143131</v>
      </c>
      <c r="AO48" s="22">
        <f t="shared" si="47"/>
        <v>0</v>
      </c>
      <c r="AP48" s="22">
        <f t="shared" si="31"/>
        <v>222581.18110734376</v>
      </c>
      <c r="AQ48" s="22"/>
      <c r="AR48" s="10">
        <f>IF($B$10="3BR_H",
INDEX('ns-combined'!$C:$D,MATCH($L48,'ns-combined'!$B:$B,0),MATCH(Council_Area,'ns-combined'!$C$1:$D$1,0))*1000,
INDEX('s-combined'!$C:$D,MATCH($L48,'s-combined'!$B:$B,0),MATCH(Council_Area,'s-combined'!$C$1:$D$1,0))*1000)</f>
        <v>400000</v>
      </c>
      <c r="AS48" s="22">
        <f t="shared" si="35"/>
        <v>29900</v>
      </c>
      <c r="AT48" s="10">
        <v>0</v>
      </c>
      <c r="AU48" s="22">
        <f t="shared" si="48"/>
        <v>8000</v>
      </c>
      <c r="AV48" s="22">
        <f t="shared" si="49"/>
        <v>1150</v>
      </c>
      <c r="AW48" s="22">
        <f>SUM($AV$3:AV48)</f>
        <v>43690.512499999997</v>
      </c>
      <c r="AX48" s="22">
        <f t="shared" si="50"/>
        <v>318409.48749999999</v>
      </c>
      <c r="AY48" s="22">
        <f t="shared" si="51"/>
        <v>1692.6000000000001</v>
      </c>
      <c r="AZ48" s="24">
        <f t="shared" si="52"/>
        <v>1.6926E-2</v>
      </c>
      <c r="BA48" s="24">
        <f t="shared" si="53"/>
        <v>0.35000000000000003</v>
      </c>
      <c r="BB48" s="25">
        <f>IF(MortgageRate="Discounted",_xlfn.XLOOKUP(L48,'mortgage-rates'!$A:$A,'mortgage-rates'!$E:$E)/100,_xlfn.XLOOKUP(L48,'mortgage-rates'!$A:$A,'mortgage-rates'!$D:$D)/100)</f>
        <v>4.4800000000000006E-2</v>
      </c>
      <c r="BC48" s="10">
        <f t="shared" si="67"/>
        <v>149979.48088780214</v>
      </c>
      <c r="BD48" s="10">
        <f t="shared" si="54"/>
        <v>3667.2443972971423</v>
      </c>
      <c r="BE48" s="10">
        <f t="shared" si="55"/>
        <v>1679.7701859433841</v>
      </c>
      <c r="BF48" s="10">
        <f t="shared" si="36"/>
        <v>1987.4742113537582</v>
      </c>
      <c r="BG48" s="12">
        <f t="shared" si="56"/>
        <v>5359.8443972971427</v>
      </c>
      <c r="BH48" s="22">
        <f>INDEX(cpi!B:B,MATCH($L48,cpi!A:A))</f>
        <v>110.9</v>
      </c>
      <c r="BI48" s="22">
        <f t="shared" si="57"/>
        <v>131.0874704491726</v>
      </c>
      <c r="BJ48" s="22">
        <f t="shared" si="58"/>
        <v>190.70829189477206</v>
      </c>
      <c r="BK48" s="22">
        <f t="shared" si="59"/>
        <v>199.74135734026328</v>
      </c>
      <c r="BL48" s="22">
        <f t="shared" si="60"/>
        <v>193.41821152841945</v>
      </c>
      <c r="BM48" s="22">
        <f t="shared" si="61"/>
        <v>331.336412659129</v>
      </c>
      <c r="BN48" s="22">
        <f t="shared" si="62"/>
        <v>153.84615384615384</v>
      </c>
      <c r="BO48">
        <f t="shared" si="63"/>
        <v>125.65364883929716</v>
      </c>
    </row>
    <row r="49" spans="1:67" x14ac:dyDescent="0.25">
      <c r="A49" s="6" t="s">
        <v>663</v>
      </c>
      <c r="B49" t="s">
        <v>341</v>
      </c>
      <c r="C49" t="s">
        <v>341</v>
      </c>
      <c r="L49" s="1">
        <f t="shared" si="33"/>
        <v>42979</v>
      </c>
      <c r="M49" s="10">
        <f t="shared" si="38"/>
        <v>231300.38378260398</v>
      </c>
      <c r="N49" s="10">
        <f t="shared" si="39"/>
        <v>163731.8558235516</v>
      </c>
      <c r="O49" s="7">
        <f t="shared" si="24"/>
        <v>1.4126779582335447</v>
      </c>
      <c r="P49" s="7">
        <f t="shared" si="40"/>
        <v>0.93801993399586703</v>
      </c>
      <c r="Q49">
        <v>47</v>
      </c>
      <c r="R49">
        <f t="shared" si="41"/>
        <v>92</v>
      </c>
      <c r="S49" s="22"/>
      <c r="T49" s="22">
        <f>IF($B$10="3BR_H",
INDEX('3BR_H-processed'!$E:$E,MATCH($L49,'3BR_H-processed'!$B:$B,0),MATCH(Council_Area,'3BR_H-processed'!$E$1:$E$1,0)),
INDEX('2BR_F-processed'!$E:$E,MATCH($L49,'2BR_F-processed'!$B:$B,0),MATCH(Council_Area,'2BR_F-processed'!$E$1:$E$1,0)))</f>
        <v>407</v>
      </c>
      <c r="U49" s="22">
        <f t="shared" si="25"/>
        <v>372</v>
      </c>
      <c r="V49" s="22">
        <f t="shared" si="34"/>
        <v>4889.1428571428569</v>
      </c>
      <c r="W49" s="22">
        <f>$B$53/4*BH49/_xlfn.XLOOKUP(Q_end,cpi!A:A,cpi!B:B)</f>
        <v>153.83552176917763</v>
      </c>
      <c r="X49" s="22">
        <f t="shared" si="42"/>
        <v>5042.9783789120347</v>
      </c>
      <c r="Y49" s="22">
        <f t="shared" si="43"/>
        <v>333.21694076467338</v>
      </c>
      <c r="Z49" s="22">
        <f t="shared" si="64"/>
        <v>0</v>
      </c>
      <c r="AA49" s="22" cm="1">
        <f t="array" ref="AA49">(Y49+Z49)*eff_invest</f>
        <v>333.21694076467338</v>
      </c>
      <c r="AB49" s="22">
        <f>AA49*(_xlfn.XLOOKUP(Q_end,cpi!A:A,cpi!B:B)/BH49)</f>
        <v>433.2119616230749</v>
      </c>
      <c r="AC49" s="22" cm="1">
        <f t="array" ref="AC49">INDEX('msci-indices'!C:C,MATCH($L49,'msci-indices'!$B:$B)-2)</f>
        <v>1498.0163219999999</v>
      </c>
      <c r="AD49" s="22" cm="1">
        <f t="array" ref="AD49">INDEX('msci-indices'!D:D,MATCH($L49,'msci-indices'!$B:$B)-2)</f>
        <v>1396.8056610000001</v>
      </c>
      <c r="AE49" s="22">
        <f t="shared" si="65"/>
        <v>222914.39804810844</v>
      </c>
      <c r="AF49" s="22" cm="1">
        <f t="array" ref="AF49">INDEX('msci-indices'!C:C,MATCH($L49,'msci-indices'!$B:$B)+1)</f>
        <v>1573.3488809999999</v>
      </c>
      <c r="AG49" s="22" cm="1">
        <f t="array" ref="AG49">INDEX('msci-indices'!D:D,MATCH($L49,'msci-indices'!$B:$B)+1)</f>
        <v>1410.9739790000001</v>
      </c>
      <c r="AH49" s="22">
        <f t="shared" si="44"/>
        <v>139.32149878006777</v>
      </c>
      <c r="AI49" s="22">
        <f t="shared" si="45"/>
        <v>231300.38378260398</v>
      </c>
      <c r="AJ49" s="22">
        <f t="shared" si="66"/>
        <v>125047.40935336758</v>
      </c>
      <c r="AK49" s="22">
        <f t="shared" si="46"/>
        <v>106252.9744292364</v>
      </c>
      <c r="AL49" s="22">
        <f>AJ49*(_xlfn.XLOOKUP(Q_end,cpi!A:A,cpi!B:B)/BH49)</f>
        <v>162572.86732643563</v>
      </c>
      <c r="AM49" s="22" cm="1">
        <f t="array" ref="AM49">SUMPRODUCT($AA$3:AA49,_xlfn.SORTBY($BH$3:BH49,_xlfn.SEQUENCE(ROWS($BH$3:BH49)),-1)/$BH$3)</f>
        <v>158054.74938622839</v>
      </c>
      <c r="AN49" s="22">
        <f t="shared" si="30"/>
        <v>73245.634396375593</v>
      </c>
      <c r="AO49" s="22">
        <f t="shared" si="47"/>
        <v>0</v>
      </c>
      <c r="AP49" s="22">
        <f t="shared" si="31"/>
        <v>231300.38378260398</v>
      </c>
      <c r="AQ49" s="22"/>
      <c r="AR49" s="10">
        <f>IF($B$10="3BR_H",
INDEX('ns-combined'!$C:$D,MATCH($L49,'ns-combined'!$B:$B,0),MATCH(Council_Area,'ns-combined'!$C$1:$D$1,0))*1000,
INDEX('s-combined'!$C:$D,MATCH($L49,'s-combined'!$B:$B,0),MATCH(Council_Area,'s-combined'!$C$1:$D$1,0))*1000)</f>
        <v>395000</v>
      </c>
      <c r="AS49" s="22">
        <f t="shared" si="35"/>
        <v>30550</v>
      </c>
      <c r="AT49" s="10">
        <v>0</v>
      </c>
      <c r="AU49" s="22">
        <f t="shared" si="48"/>
        <v>7900</v>
      </c>
      <c r="AV49" s="22">
        <f t="shared" si="49"/>
        <v>1135.625</v>
      </c>
      <c r="AW49" s="22">
        <f>SUM($AV$3:AV49)</f>
        <v>44826.137499999997</v>
      </c>
      <c r="AX49" s="22">
        <f t="shared" si="50"/>
        <v>311723.86249999999</v>
      </c>
      <c r="AY49" s="22">
        <f t="shared" si="51"/>
        <v>1711.2</v>
      </c>
      <c r="AZ49" s="24">
        <f t="shared" si="52"/>
        <v>1.732860759493671E-2</v>
      </c>
      <c r="BA49" s="24">
        <f t="shared" si="53"/>
        <v>0.35000000000000003</v>
      </c>
      <c r="BB49" s="25">
        <f>IF(MortgageRate="Discounted",_xlfn.XLOOKUP(L49,'mortgage-rates'!$A:$A,'mortgage-rates'!$E:$E)/100,_xlfn.XLOOKUP(L49,'mortgage-rates'!$A:$A,'mortgage-rates'!$D:$D)/100)</f>
        <v>4.4699999999999997E-2</v>
      </c>
      <c r="BC49" s="10">
        <f t="shared" si="67"/>
        <v>147992.00667644839</v>
      </c>
      <c r="BD49" s="10">
        <f t="shared" si="54"/>
        <v>3664.9953196767078</v>
      </c>
      <c r="BE49" s="10">
        <f t="shared" si="55"/>
        <v>1653.8106746093106</v>
      </c>
      <c r="BF49" s="10">
        <f t="shared" si="36"/>
        <v>2011.1846450673972</v>
      </c>
      <c r="BG49" s="12">
        <f t="shared" si="56"/>
        <v>5376.1953196767081</v>
      </c>
      <c r="BH49" s="22">
        <f>INDEX(cpi!B:B,MATCH($L49,cpi!A:A))</f>
        <v>111.3</v>
      </c>
      <c r="BI49" s="22">
        <f t="shared" si="57"/>
        <v>131.56028368794327</v>
      </c>
      <c r="BJ49" s="22">
        <f t="shared" si="58"/>
        <v>198.44440095759853</v>
      </c>
      <c r="BK49" s="22">
        <f t="shared" si="59"/>
        <v>195.91744470681382</v>
      </c>
      <c r="BL49" s="22">
        <f t="shared" si="60"/>
        <v>197.68631408236314</v>
      </c>
      <c r="BM49" s="22">
        <f t="shared" si="61"/>
        <v>339.14181644213454</v>
      </c>
      <c r="BN49" s="22">
        <f t="shared" si="62"/>
        <v>151.92307692307693</v>
      </c>
      <c r="BO49">
        <f t="shared" si="63"/>
        <v>123.01530667613777</v>
      </c>
    </row>
    <row r="50" spans="1:67" x14ac:dyDescent="0.25">
      <c r="A50" t="s">
        <v>488</v>
      </c>
      <c r="B50" s="8">
        <f>IF(OR(B44="Yes",B49="No"),0,MAX(0.3,B48))</f>
        <v>0</v>
      </c>
      <c r="C50" s="8">
        <v>0</v>
      </c>
      <c r="L50" s="1">
        <f t="shared" si="33"/>
        <v>43070</v>
      </c>
      <c r="M50" s="10">
        <f>AP50</f>
        <v>245805.20608493406</v>
      </c>
      <c r="N50" s="10">
        <f t="shared" si="39"/>
        <v>189362.665468619</v>
      </c>
      <c r="O50" s="7">
        <f t="shared" si="24"/>
        <v>1.2980658329699561</v>
      </c>
      <c r="P50" s="7">
        <f t="shared" si="40"/>
        <v>0.93668279725613812</v>
      </c>
      <c r="Q50">
        <v>48</v>
      </c>
      <c r="R50">
        <f t="shared" si="41"/>
        <v>92</v>
      </c>
      <c r="S50" s="22"/>
      <c r="T50" s="22">
        <f>IF($B$10="3BR_H",
INDEX('3BR_H-processed'!$E:$E,MATCH($L50,'3BR_H-processed'!$B:$B,0),MATCH(Council_Area,'3BR_H-processed'!$E$1:$E$1,0)),
INDEX('2BR_F-processed'!$E:$E,MATCH($L50,'2BR_F-processed'!$B:$B,0),MATCH(Council_Area,'2BR_F-processed'!$E$1:$E$1,0)))</f>
        <v>407</v>
      </c>
      <c r="U50" s="22">
        <f t="shared" si="25"/>
        <v>372</v>
      </c>
      <c r="V50" s="22">
        <f t="shared" si="34"/>
        <v>4889.1428571428569</v>
      </c>
      <c r="W50" s="22">
        <f>$B$53/4*BH50/_xlfn.XLOOKUP(Q_end,cpi!A:A,cpi!B:B)</f>
        <v>154.94125777470629</v>
      </c>
      <c r="X50" s="22">
        <f t="shared" si="42"/>
        <v>5044.0841149175631</v>
      </c>
      <c r="Y50" s="22">
        <f t="shared" si="43"/>
        <v>340.96633086130441</v>
      </c>
      <c r="Z50" s="22">
        <f t="shared" si="64"/>
        <v>0</v>
      </c>
      <c r="AA50" s="22" cm="1">
        <f t="array" ref="AA50">(Y50+Z50)*eff_invest</f>
        <v>340.96633086130441</v>
      </c>
      <c r="AB50" s="22">
        <f>AA50*(_xlfn.XLOOKUP(Q_end,cpi!A:A,cpi!B:B)/BH50)</f>
        <v>440.12335482275421</v>
      </c>
      <c r="AC50" s="22" cm="1">
        <f t="array" ref="AC50">INDEX('msci-indices'!C:C,MATCH($L50,'msci-indices'!$B:$B)-2)</f>
        <v>1573.3488809999999</v>
      </c>
      <c r="AD50" s="22" cm="1">
        <f t="array" ref="AD50">INDEX('msci-indices'!D:D,MATCH($L50,'msci-indices'!$B:$B)-2)</f>
        <v>1410.9739790000001</v>
      </c>
      <c r="AE50" s="22">
        <f t="shared" si="65"/>
        <v>231641.35011346528</v>
      </c>
      <c r="AF50" s="22" cm="1">
        <f t="array" ref="AF50">INDEX('msci-indices'!C:C,MATCH($L50,'msci-indices'!$B:$B)+1)</f>
        <v>1659.3666479999999</v>
      </c>
      <c r="AG50" s="22" cm="1">
        <f t="array" ref="AG50">INDEX('msci-indices'!D:D,MATCH($L50,'msci-indices'!$B:$B)+1)</f>
        <v>1521.502109</v>
      </c>
      <c r="AH50" s="22">
        <f t="shared" si="44"/>
        <v>144.77584382091581</v>
      </c>
      <c r="AI50" s="22">
        <f t="shared" si="45"/>
        <v>245805.20608493406</v>
      </c>
      <c r="AJ50" s="22">
        <f t="shared" si="66"/>
        <v>125388.37568422889</v>
      </c>
      <c r="AK50" s="22">
        <f t="shared" si="46"/>
        <v>120416.83040070518</v>
      </c>
      <c r="AL50" s="22">
        <f>AJ50*(_xlfn.XLOOKUP(Q_end,cpi!A:A,cpi!B:B)/BH50)</f>
        <v>161852.79180649348</v>
      </c>
      <c r="AM50" s="22" cm="1">
        <f t="array" ref="AM50">SUMPRODUCT($AA$3:AA50,_xlfn.SORTBY($BH$3:BH50,_xlfn.SEQUENCE(ROWS($BH$3:BH50)),-1)/$BH$3)</f>
        <v>159397.64684504049</v>
      </c>
      <c r="AN50" s="22">
        <f t="shared" si="30"/>
        <v>86407.55923989357</v>
      </c>
      <c r="AO50" s="22">
        <f t="shared" si="47"/>
        <v>0</v>
      </c>
      <c r="AP50" s="22">
        <f t="shared" si="31"/>
        <v>245805.20608493406</v>
      </c>
      <c r="AQ50" s="22"/>
      <c r="AR50" s="10">
        <f>IF($B$10="3BR_H",
INDEX('ns-combined'!$C:$D,MATCH($L50,'ns-combined'!$B:$B,0),MATCH(Council_Area,'ns-combined'!$C$1:$D$1,0))*1000,
INDEX('s-combined'!$C:$D,MATCH($L50,'s-combined'!$B:$B,0),MATCH(Council_Area,'s-combined'!$C$1:$D$1,0))*1000)</f>
        <v>421000</v>
      </c>
      <c r="AS50" s="22">
        <f t="shared" si="35"/>
        <v>31200</v>
      </c>
      <c r="AT50" s="10">
        <v>0</v>
      </c>
      <c r="AU50" s="22">
        <f t="shared" si="48"/>
        <v>8420</v>
      </c>
      <c r="AV50" s="22">
        <f t="shared" si="49"/>
        <v>1210.375</v>
      </c>
      <c r="AW50" s="22">
        <f>SUM($AV$3:AV50)</f>
        <v>46036.512499999997</v>
      </c>
      <c r="AX50" s="22">
        <f t="shared" si="50"/>
        <v>335343.48749999999</v>
      </c>
      <c r="AY50" s="22">
        <f t="shared" si="51"/>
        <v>1711.2</v>
      </c>
      <c r="AZ50" s="24">
        <f t="shared" si="52"/>
        <v>1.6258432304038006E-2</v>
      </c>
      <c r="BA50" s="24">
        <f t="shared" si="53"/>
        <v>0.35000000000000003</v>
      </c>
      <c r="BB50" s="25">
        <f>IF(MortgageRate="Discounted",_xlfn.XLOOKUP(L50,'mortgage-rates'!$A:$A,'mortgage-rates'!$E:$E)/100,_xlfn.XLOOKUP(L50,'mortgage-rates'!$A:$A,'mortgage-rates'!$D:$D)/100)</f>
        <v>4.5100000000000001E-2</v>
      </c>
      <c r="BC50" s="10">
        <f t="shared" si="67"/>
        <v>145980.82203138099</v>
      </c>
      <c r="BD50" s="10">
        <f t="shared" si="54"/>
        <v>3673.8504457788677</v>
      </c>
      <c r="BE50" s="10">
        <f t="shared" si="55"/>
        <v>1645.9337684038207</v>
      </c>
      <c r="BF50" s="10">
        <f t="shared" si="36"/>
        <v>2027.9166773750469</v>
      </c>
      <c r="BG50" s="12">
        <f t="shared" si="56"/>
        <v>5385.0504457788675</v>
      </c>
      <c r="BH50" s="22">
        <f>INDEX(cpi!B:B,MATCH($L50,cpi!A:A))</f>
        <v>112.1</v>
      </c>
      <c r="BI50" s="22">
        <f t="shared" si="57"/>
        <v>132.50591016548464</v>
      </c>
      <c r="BJ50" s="22">
        <f t="shared" si="58"/>
        <v>208.42381461538773</v>
      </c>
      <c r="BK50" s="22">
        <f t="shared" si="59"/>
        <v>197.90470802901882</v>
      </c>
      <c r="BL50" s="22">
        <f t="shared" si="60"/>
        <v>205.26808263947706</v>
      </c>
      <c r="BM50" s="22">
        <f t="shared" si="61"/>
        <v>352.41899549097195</v>
      </c>
      <c r="BN50" s="22">
        <f t="shared" si="62"/>
        <v>161.92307692307693</v>
      </c>
      <c r="BO50">
        <f t="shared" si="63"/>
        <v>132.33629798443189</v>
      </c>
    </row>
    <row r="51" spans="1:67" x14ac:dyDescent="0.25">
      <c r="L51" s="1">
        <f t="shared" si="33"/>
        <v>43160</v>
      </c>
      <c r="M51" s="10">
        <f>AP51</f>
        <v>240797.08135201797</v>
      </c>
      <c r="N51" s="10">
        <f t="shared" si="39"/>
        <v>216889.70714599403</v>
      </c>
      <c r="O51" s="7">
        <f t="shared" si="24"/>
        <v>1.1102282561981205</v>
      </c>
      <c r="P51" s="7">
        <f t="shared" si="40"/>
        <v>0.97879830824714043</v>
      </c>
      <c r="Q51">
        <v>49</v>
      </c>
      <c r="R51">
        <f t="shared" si="41"/>
        <v>90</v>
      </c>
      <c r="S51" s="22"/>
      <c r="T51" s="22">
        <f>IF($B$10="3BR_H",
INDEX('3BR_H-processed'!$E:$E,MATCH($L51,'3BR_H-processed'!$B:$B,0),MATCH(Council_Area,'3BR_H-processed'!$E$1:$E$1,0)),
INDEX('2BR_F-processed'!$E:$E,MATCH($L51,'2BR_F-processed'!$B:$B,0),MATCH(Council_Area,'2BR_F-processed'!$E$1:$E$1,0)))</f>
        <v>407</v>
      </c>
      <c r="U51" s="22">
        <f t="shared" si="25"/>
        <v>407</v>
      </c>
      <c r="V51" s="22">
        <f t="shared" si="34"/>
        <v>5232.8571428571431</v>
      </c>
      <c r="W51" s="22">
        <f>$B$53/4*BH51/_xlfn.XLOOKUP(Q_end,cpi!A:A,cpi!B:B)</f>
        <v>155.7705597788528</v>
      </c>
      <c r="X51" s="22">
        <f t="shared" si="42"/>
        <v>5388.6277026359958</v>
      </c>
      <c r="Y51" s="22">
        <f t="shared" si="43"/>
        <v>116.72274314287188</v>
      </c>
      <c r="Z51" s="22">
        <f t="shared" si="64"/>
        <v>0</v>
      </c>
      <c r="AA51" s="22" cm="1">
        <f t="array" ref="AA51">(Y51+Z51)*eff_invest</f>
        <v>116.72274314287188</v>
      </c>
      <c r="AB51" s="22">
        <f>AA51*(_xlfn.XLOOKUP(Q_end,cpi!A:A,cpi!B:B)/BH51)</f>
        <v>149.86495947447699</v>
      </c>
      <c r="AC51" s="22" cm="1">
        <f t="array" ref="AC51">INDEX('msci-indices'!C:C,MATCH($L51,'msci-indices'!$B:$B)-2)</f>
        <v>1659.3666479999999</v>
      </c>
      <c r="AD51" s="22" cm="1">
        <f t="array" ref="AD51">INDEX('msci-indices'!D:D,MATCH($L51,'msci-indices'!$B:$B)-2)</f>
        <v>1521.502109</v>
      </c>
      <c r="AE51" s="22">
        <f>AI50+AA51</f>
        <v>245921.92882807693</v>
      </c>
      <c r="AF51" s="22" cm="1">
        <f t="array" ref="AF51">INDEX('msci-indices'!C:C,MATCH($L51,'msci-indices'!$B:$B)+1)</f>
        <v>1639.7568659999999</v>
      </c>
      <c r="AG51" s="22" cm="1">
        <f t="array" ref="AG51">INDEX('msci-indices'!D:D,MATCH($L51,'msci-indices'!$B:$B)+1)</f>
        <v>1460.9362550000001</v>
      </c>
      <c r="AH51" s="22">
        <f t="shared" si="44"/>
        <v>153.70120551754809</v>
      </c>
      <c r="AI51" s="22">
        <f>((AF51/AC51)*GlobalPortfolio+(AG51/AD51)*AusPortfolio)*AE51-AH51</f>
        <v>240797.08135201797</v>
      </c>
      <c r="AJ51" s="22">
        <f t="shared" si="66"/>
        <v>125505.09842737176</v>
      </c>
      <c r="AK51" s="22">
        <f t="shared" si="46"/>
        <v>115291.9829246462</v>
      </c>
      <c r="AL51" s="22">
        <f>AJ51*(_xlfn.XLOOKUP(Q_end,cpi!A:A,cpi!B:B)/BH51)</f>
        <v>161140.97375723772</v>
      </c>
      <c r="AM51" s="22" cm="1">
        <f t="array" ref="AM51">SUMPRODUCT($AA$3:AA51,_xlfn.SORTBY($BH$3:BH51,_xlfn.SEQUENCE(ROWS($BH$3:BH51)),-1)/$BH$3)</f>
        <v>160365.92686561483</v>
      </c>
      <c r="AN51" s="22">
        <f t="shared" si="30"/>
        <v>80431.154486403131</v>
      </c>
      <c r="AO51" s="22">
        <f t="shared" si="47"/>
        <v>0</v>
      </c>
      <c r="AP51" s="22">
        <f>AI51-AO51</f>
        <v>240797.08135201797</v>
      </c>
      <c r="AQ51" s="22"/>
      <c r="AR51" s="10">
        <f>IF($B$10="3BR_H",
INDEX('ns-combined'!$C:$D,MATCH($L51,'ns-combined'!$B:$B,0),MATCH(Council_Area,'ns-combined'!$C$1:$D$1,0))*1000,
INDEX('s-combined'!$C:$D,MATCH($L51,'s-combined'!$B:$B,0),MATCH(Council_Area,'s-combined'!$C$1:$D$1,0))*1000)</f>
        <v>449000</v>
      </c>
      <c r="AS51" s="22">
        <f t="shared" si="35"/>
        <v>31850</v>
      </c>
      <c r="AT51" s="10">
        <v>0</v>
      </c>
      <c r="AU51" s="22">
        <f t="shared" si="48"/>
        <v>8980</v>
      </c>
      <c r="AV51" s="22">
        <f t="shared" si="49"/>
        <v>1290.875</v>
      </c>
      <c r="AW51" s="22">
        <f>SUM($AV$3:AV51)</f>
        <v>47327.387499999997</v>
      </c>
      <c r="AX51" s="22">
        <f t="shared" si="50"/>
        <v>360842.61249999999</v>
      </c>
      <c r="AY51" s="22">
        <f t="shared" si="51"/>
        <v>1831.5000000000002</v>
      </c>
      <c r="AZ51" s="24">
        <f t="shared" si="52"/>
        <v>1.6316258351893098E-2</v>
      </c>
      <c r="BA51" s="24">
        <f t="shared" si="53"/>
        <v>0.35000000000000003</v>
      </c>
      <c r="BB51" s="25">
        <f>IF(MortgageRate="Discounted",_xlfn.XLOOKUP(L51,'mortgage-rates'!$A:$A,'mortgage-rates'!$E:$E)/100,_xlfn.XLOOKUP(L51,'mortgage-rates'!$A:$A,'mortgage-rates'!$D:$D)/100)</f>
        <v>4.5100000000000001E-2</v>
      </c>
      <c r="BC51" s="10">
        <f t="shared" si="67"/>
        <v>143952.90535400595</v>
      </c>
      <c r="BD51" s="10">
        <f t="shared" si="54"/>
        <v>3673.8504457788677</v>
      </c>
      <c r="BE51" s="10">
        <f t="shared" si="55"/>
        <v>1623.0690078664172</v>
      </c>
      <c r="BF51" s="10">
        <f t="shared" si="36"/>
        <v>2050.7814379124502</v>
      </c>
      <c r="BG51" s="12">
        <f t="shared" si="56"/>
        <v>5505.3504457788677</v>
      </c>
      <c r="BH51" s="22">
        <f>INDEX(cpi!B:B,MATCH($L51,cpi!A:A))</f>
        <v>112.7</v>
      </c>
      <c r="BI51" s="22">
        <f t="shared" si="57"/>
        <v>133.21513002364068</v>
      </c>
      <c r="BJ51" s="22">
        <f t="shared" si="58"/>
        <v>219.81871331798365</v>
      </c>
      <c r="BK51" s="22">
        <f t="shared" si="59"/>
        <v>213.4075008673008</v>
      </c>
      <c r="BL51" s="22">
        <f t="shared" si="60"/>
        <v>217.89534958277881</v>
      </c>
      <c r="BM51" s="22">
        <f t="shared" si="61"/>
        <v>374.14545841811344</v>
      </c>
      <c r="BN51" s="22">
        <f t="shared" si="62"/>
        <v>172.69230769230768</v>
      </c>
      <c r="BO51">
        <f t="shared" si="63"/>
        <v>142.39899468237292</v>
      </c>
    </row>
    <row r="52" spans="1:67" x14ac:dyDescent="0.25">
      <c r="A52" s="6" t="s">
        <v>348</v>
      </c>
      <c r="B52" s="8"/>
      <c r="C52" s="8"/>
      <c r="L52" s="1">
        <f t="shared" si="33"/>
        <v>43252</v>
      </c>
      <c r="M52" s="10">
        <f t="shared" si="38"/>
        <v>250421.77088855361</v>
      </c>
      <c r="N52" s="10">
        <f t="shared" si="39"/>
        <v>225598.31358390651</v>
      </c>
      <c r="O52" s="7">
        <f t="shared" si="24"/>
        <v>1.1100338779589971</v>
      </c>
      <c r="P52" s="7">
        <f t="shared" si="40"/>
        <v>0.9858409260935731</v>
      </c>
      <c r="Q52">
        <v>50</v>
      </c>
      <c r="R52">
        <f t="shared" si="41"/>
        <v>91</v>
      </c>
      <c r="S52" s="22"/>
      <c r="T52" s="22">
        <f>IF($B$10="3BR_H",
INDEX('3BR_H-processed'!$E:$E,MATCH($L52,'3BR_H-processed'!$B:$B,0),MATCH(Council_Area,'3BR_H-processed'!$E$1:$E$1,0)),
INDEX('2BR_F-processed'!$E:$E,MATCH($L52,'2BR_F-processed'!$B:$B,0),MATCH(Council_Area,'2BR_F-processed'!$E$1:$E$1,0)))</f>
        <v>407</v>
      </c>
      <c r="U52" s="22">
        <f t="shared" si="25"/>
        <v>407</v>
      </c>
      <c r="V52" s="22">
        <f t="shared" si="34"/>
        <v>5291</v>
      </c>
      <c r="W52" s="22">
        <f>$B$53/4*BH52/_xlfn.XLOOKUP(Q_end,cpi!A:A,cpi!B:B)</f>
        <v>156.46164478230824</v>
      </c>
      <c r="X52" s="22">
        <f t="shared" si="42"/>
        <v>5447.4616447823082</v>
      </c>
      <c r="Y52" s="22">
        <f t="shared" si="43"/>
        <v>78.238800996558894</v>
      </c>
      <c r="Z52" s="22">
        <f t="shared" si="64"/>
        <v>0</v>
      </c>
      <c r="AA52" s="22" cm="1">
        <f t="array" ref="AA52">(Y52+Z52)*eff_invest</f>
        <v>78.238800996558894</v>
      </c>
      <c r="AB52" s="22">
        <f>AA52*(_xlfn.XLOOKUP(Q_end,cpi!A:A,cpi!B:B)/BH52)</f>
        <v>100.01019880037164</v>
      </c>
      <c r="AC52" s="22" cm="1">
        <f t="array" ref="AC52">INDEX('msci-indices'!C:C,MATCH($L52,'msci-indices'!$B:$B)-2)</f>
        <v>1639.7568659999999</v>
      </c>
      <c r="AD52" s="22" cm="1">
        <f t="array" ref="AD52">INDEX('msci-indices'!D:D,MATCH($L52,'msci-indices'!$B:$B)-2)</f>
        <v>1460.9362550000001</v>
      </c>
      <c r="AE52" s="22">
        <f t="shared" si="65"/>
        <v>240875.32015301453</v>
      </c>
      <c r="AF52" s="22" cm="1">
        <f t="array" ref="AF52">INDEX('msci-indices'!C:C,MATCH($L52,'msci-indices'!$B:$B)+1)</f>
        <v>1671.6050210000001</v>
      </c>
      <c r="AG52" s="22" cm="1">
        <f t="array" ref="AG52">INDEX('msci-indices'!D:D,MATCH($L52,'msci-indices'!$B:$B)+1)</f>
        <v>1590.772543</v>
      </c>
      <c r="AH52" s="22">
        <f t="shared" si="44"/>
        <v>150.54707509563409</v>
      </c>
      <c r="AI52" s="22">
        <f t="shared" si="45"/>
        <v>250421.77088855361</v>
      </c>
      <c r="AJ52" s="22">
        <f t="shared" si="66"/>
        <v>125583.33722836833</v>
      </c>
      <c r="AK52" s="22">
        <f t="shared" si="46"/>
        <v>124838.43366018528</v>
      </c>
      <c r="AL52" s="22">
        <f>AJ52*(_xlfn.XLOOKUP(Q_end,cpi!A:A,cpi!B:B)/BH52)</f>
        <v>160529.23053838246</v>
      </c>
      <c r="AM52" s="22" cm="1">
        <f t="array" ref="AM52">SUMPRODUCT($AA$3:AA52,_xlfn.SORTBY($BH$3:BH52,_xlfn.SEQUENCE(ROWS($BH$3:BH52)),-1)/$BH$3)</f>
        <v>161220.00278148445</v>
      </c>
      <c r="AN52" s="22">
        <f t="shared" si="30"/>
        <v>89201.768107069161</v>
      </c>
      <c r="AO52" s="22">
        <f t="shared" si="47"/>
        <v>0</v>
      </c>
      <c r="AP52" s="22">
        <f t="shared" si="31"/>
        <v>250421.77088855361</v>
      </c>
      <c r="AQ52" s="22"/>
      <c r="AR52" s="10">
        <f>IF($B$10="3BR_H",
INDEX('ns-combined'!$C:$D,MATCH($L52,'ns-combined'!$B:$B,0),MATCH(Council_Area,'ns-combined'!$C$1:$D$1,0))*1000,
INDEX('s-combined'!$C:$D,MATCH($L52,'s-combined'!$B:$B,0),MATCH(Council_Area,'s-combined'!$C$1:$D$1,0))*1000)</f>
        <v>457800</v>
      </c>
      <c r="AS52" s="22">
        <f t="shared" si="35"/>
        <v>32500</v>
      </c>
      <c r="AT52" s="10">
        <v>0</v>
      </c>
      <c r="AU52" s="22">
        <f t="shared" si="48"/>
        <v>9156</v>
      </c>
      <c r="AV52" s="22">
        <f t="shared" si="49"/>
        <v>1316.175</v>
      </c>
      <c r="AW52" s="22">
        <f>SUM($AV$3:AV52)</f>
        <v>48643.5625</v>
      </c>
      <c r="AX52" s="22">
        <f t="shared" si="50"/>
        <v>367500.4375</v>
      </c>
      <c r="AY52" s="22">
        <f t="shared" si="51"/>
        <v>1851.8500000000001</v>
      </c>
      <c r="AZ52" s="24">
        <f t="shared" si="52"/>
        <v>1.6180428134556574E-2</v>
      </c>
      <c r="BA52" s="24">
        <f t="shared" si="53"/>
        <v>0.35000000000000003</v>
      </c>
      <c r="BB52" s="25">
        <f>IF(MortgageRate="Discounted",_xlfn.XLOOKUP(L52,'mortgage-rates'!$A:$A,'mortgage-rates'!$E:$E)/100,_xlfn.XLOOKUP(L52,'mortgage-rates'!$A:$A,'mortgage-rates'!$D:$D)/100)</f>
        <v>4.5100000000000001E-2</v>
      </c>
      <c r="BC52" s="10">
        <f t="shared" si="67"/>
        <v>141902.12391609349</v>
      </c>
      <c r="BD52" s="10">
        <f t="shared" si="54"/>
        <v>3673.8504457788667</v>
      </c>
      <c r="BE52" s="10">
        <f t="shared" si="55"/>
        <v>1599.9464471539541</v>
      </c>
      <c r="BF52" s="10">
        <f t="shared" si="36"/>
        <v>2073.9039986249127</v>
      </c>
      <c r="BG52" s="12">
        <f t="shared" si="56"/>
        <v>5525.7004457788671</v>
      </c>
      <c r="BH52" s="22">
        <f>INDEX(cpi!B:B,MATCH($L52,cpi!A:A))</f>
        <v>113.2</v>
      </c>
      <c r="BI52" s="22">
        <f t="shared" si="57"/>
        <v>133.80614657210404</v>
      </c>
      <c r="BJ52" s="22">
        <f t="shared" si="58"/>
        <v>217.22097697509543</v>
      </c>
      <c r="BK52" s="22">
        <f t="shared" si="59"/>
        <v>204.91246989522486</v>
      </c>
      <c r="BL52" s="22">
        <f t="shared" si="60"/>
        <v>213.52842485113428</v>
      </c>
      <c r="BM52" s="22">
        <f t="shared" si="61"/>
        <v>366.46755134741841</v>
      </c>
      <c r="BN52" s="22">
        <f t="shared" si="62"/>
        <v>176.07692307692307</v>
      </c>
      <c r="BO52">
        <f t="shared" si="63"/>
        <v>145.02636615660856</v>
      </c>
    </row>
    <row r="53" spans="1:67" x14ac:dyDescent="0.25">
      <c r="A53" t="s">
        <v>628</v>
      </c>
      <c r="B53" s="23">
        <v>800</v>
      </c>
      <c r="C53" s="23">
        <v>800</v>
      </c>
      <c r="L53" s="1">
        <f t="shared" si="33"/>
        <v>43344</v>
      </c>
      <c r="M53" s="10">
        <f t="shared" si="38"/>
        <v>259245.00853907946</v>
      </c>
      <c r="N53" s="10">
        <f t="shared" si="39"/>
        <v>208606.35508253143</v>
      </c>
      <c r="O53" s="7">
        <f t="shared" si="24"/>
        <v>1.2427474150368705</v>
      </c>
      <c r="P53" s="7">
        <f t="shared" si="40"/>
        <v>0.9886468757436716</v>
      </c>
      <c r="Q53">
        <v>51</v>
      </c>
      <c r="R53">
        <f t="shared" si="41"/>
        <v>92</v>
      </c>
      <c r="S53" s="22"/>
      <c r="T53" s="22">
        <f>IF($B$10="3BR_H",
INDEX('3BR_H-processed'!$E:$E,MATCH($L53,'3BR_H-processed'!$B:$B,0),MATCH(Council_Area,'3BR_H-processed'!$E$1:$E$1,0)),
INDEX('2BR_F-processed'!$E:$E,MATCH($L53,'2BR_F-processed'!$B:$B,0),MATCH(Council_Area,'2BR_F-processed'!$E$1:$E$1,0)))</f>
        <v>445</v>
      </c>
      <c r="U53" s="22">
        <f t="shared" si="25"/>
        <v>407</v>
      </c>
      <c r="V53" s="22">
        <f t="shared" si="34"/>
        <v>5349.1428571428569</v>
      </c>
      <c r="W53" s="22">
        <f>$B$53/4*BH53/_xlfn.XLOOKUP(Q_end,cpi!A:A,cpi!B:B)</f>
        <v>156.87629578438148</v>
      </c>
      <c r="X53" s="22">
        <f t="shared" si="42"/>
        <v>5506.0191529272388</v>
      </c>
      <c r="Y53" s="22">
        <f t="shared" si="43"/>
        <v>63.228359017354705</v>
      </c>
      <c r="Z53" s="22">
        <f t="shared" si="64"/>
        <v>0</v>
      </c>
      <c r="AA53" s="22" cm="1">
        <f t="array" ref="AA53">(Y53+Z53)*eff_invest</f>
        <v>63.228359017354705</v>
      </c>
      <c r="AB53" s="22">
        <f>AA53*(_xlfn.XLOOKUP(Q_end,cpi!A:A,cpi!B:B)/BH53)</f>
        <v>80.609194271464531</v>
      </c>
      <c r="AC53" s="22" cm="1">
        <f t="array" ref="AC53">INDEX('msci-indices'!C:C,MATCH($L53,'msci-indices'!$B:$B)-2)</f>
        <v>1671.6050210000001</v>
      </c>
      <c r="AD53" s="22" cm="1">
        <f t="array" ref="AD53">INDEX('msci-indices'!D:D,MATCH($L53,'msci-indices'!$B:$B)-2)</f>
        <v>1590.772543</v>
      </c>
      <c r="AE53" s="22">
        <f t="shared" si="65"/>
        <v>250484.99924757096</v>
      </c>
      <c r="AF53" s="22" cm="1">
        <f t="array" ref="AF53">INDEX('msci-indices'!C:C,MATCH($L53,'msci-indices'!$B:$B)+1)</f>
        <v>1747.837315</v>
      </c>
      <c r="AG53" s="22" cm="1">
        <f t="array" ref="AG53">INDEX('msci-indices'!D:D,MATCH($L53,'msci-indices'!$B:$B)+1)</f>
        <v>1610.255349</v>
      </c>
      <c r="AH53" s="22">
        <f t="shared" si="44"/>
        <v>156.55312452973186</v>
      </c>
      <c r="AI53" s="22">
        <f t="shared" si="45"/>
        <v>259245.00853907946</v>
      </c>
      <c r="AJ53" s="22">
        <f t="shared" si="66"/>
        <v>125646.56558738569</v>
      </c>
      <c r="AK53" s="22">
        <f t="shared" si="46"/>
        <v>133598.44295169378</v>
      </c>
      <c r="AL53" s="22">
        <f>AJ53*(_xlfn.XLOOKUP(Q_end,cpi!A:A,cpi!B:B)/BH53)</f>
        <v>160185.53339642915</v>
      </c>
      <c r="AM53" s="22" cm="1">
        <f t="array" ref="AM53">SUMPRODUCT($AA$3:AA53,_xlfn.SORTBY($BH$3:BH53,_xlfn.SEQUENCE(ROWS($BH$3:BH53)),-1)/$BH$3)</f>
        <v>161903.16312604674</v>
      </c>
      <c r="AN53" s="22">
        <f t="shared" si="30"/>
        <v>97341.845413032715</v>
      </c>
      <c r="AO53" s="22">
        <f t="shared" si="47"/>
        <v>0</v>
      </c>
      <c r="AP53" s="22">
        <f t="shared" si="31"/>
        <v>259245.00853907946</v>
      </c>
      <c r="AQ53" s="22"/>
      <c r="AR53" s="10">
        <f>IF($B$10="3BR_H",
INDEX('ns-combined'!$C:$D,MATCH($L53,'ns-combined'!$B:$B,0),MATCH(Council_Area,'ns-combined'!$C$1:$D$1,0))*1000,
INDEX('s-combined'!$C:$D,MATCH($L53,'s-combined'!$B:$B,0),MATCH(Council_Area,'s-combined'!$C$1:$D$1,0))*1000)</f>
        <v>440300</v>
      </c>
      <c r="AS53" s="22">
        <f t="shared" si="35"/>
        <v>33150</v>
      </c>
      <c r="AT53" s="10">
        <v>0</v>
      </c>
      <c r="AU53" s="22">
        <f t="shared" si="48"/>
        <v>8806</v>
      </c>
      <c r="AV53" s="22">
        <f t="shared" si="49"/>
        <v>1265.8625</v>
      </c>
      <c r="AW53" s="22">
        <f>SUM($AV$3:AV53)</f>
        <v>49909.425000000003</v>
      </c>
      <c r="AX53" s="22">
        <f t="shared" si="50"/>
        <v>348434.57500000001</v>
      </c>
      <c r="AY53" s="22">
        <f t="shared" si="51"/>
        <v>1872.2</v>
      </c>
      <c r="AZ53" s="24">
        <f t="shared" si="52"/>
        <v>1.7008403361344539E-2</v>
      </c>
      <c r="BA53" s="24">
        <f t="shared" si="53"/>
        <v>0.35000000000000003</v>
      </c>
      <c r="BB53" s="25">
        <f>IF(MortgageRate="Discounted",_xlfn.XLOOKUP(L53,'mortgage-rates'!$A:$A,'mortgage-rates'!$E:$E)/100,_xlfn.XLOOKUP(L53,'mortgage-rates'!$A:$A,'mortgage-rates'!$D:$D)/100)</f>
        <v>4.6199999999999998E-2</v>
      </c>
      <c r="BC53" s="10">
        <f t="shared" si="67"/>
        <v>139828.21991746858</v>
      </c>
      <c r="BD53" s="10">
        <f t="shared" si="54"/>
        <v>3697.0475119445932</v>
      </c>
      <c r="BE53" s="10">
        <f t="shared" si="55"/>
        <v>1615.0159400467621</v>
      </c>
      <c r="BF53" s="10">
        <f t="shared" si="36"/>
        <v>2082.0315718978309</v>
      </c>
      <c r="BG53" s="12">
        <f t="shared" si="56"/>
        <v>5569.2475119445935</v>
      </c>
      <c r="BH53" s="22">
        <f>INDEX(cpi!B:B,MATCH($L53,cpi!A:A))</f>
        <v>113.5</v>
      </c>
      <c r="BI53" s="22">
        <f t="shared" si="57"/>
        <v>134.16075650118205</v>
      </c>
      <c r="BJ53" s="22">
        <f t="shared" si="58"/>
        <v>221.43994838933332</v>
      </c>
      <c r="BK53" s="22">
        <f t="shared" si="59"/>
        <v>223.12344546999952</v>
      </c>
      <c r="BL53" s="22">
        <f t="shared" si="60"/>
        <v>221.94499751353317</v>
      </c>
      <c r="BM53" s="22">
        <f t="shared" si="61"/>
        <v>381.08771070944636</v>
      </c>
      <c r="BN53" s="22">
        <f t="shared" si="62"/>
        <v>169.34615384615384</v>
      </c>
      <c r="BO53">
        <f t="shared" si="63"/>
        <v>137.50242203608883</v>
      </c>
    </row>
    <row r="54" spans="1:67" x14ac:dyDescent="0.25">
      <c r="A54" t="s">
        <v>629</v>
      </c>
      <c r="B54" s="8">
        <v>1</v>
      </c>
      <c r="C54" s="8">
        <v>1</v>
      </c>
      <c r="L54" s="1">
        <f t="shared" si="33"/>
        <v>43435</v>
      </c>
      <c r="M54" s="10">
        <f t="shared" si="38"/>
        <v>227355.47100787194</v>
      </c>
      <c r="N54" s="10">
        <f t="shared" si="39"/>
        <v>232907.51165442925</v>
      </c>
      <c r="O54" s="7">
        <f t="shared" si="24"/>
        <v>0.97616203699434556</v>
      </c>
      <c r="P54" s="7">
        <f t="shared" si="40"/>
        <v>0.98766619852065607</v>
      </c>
      <c r="Q54">
        <v>52</v>
      </c>
      <c r="R54">
        <f t="shared" si="41"/>
        <v>92</v>
      </c>
      <c r="S54" s="22"/>
      <c r="T54" s="22">
        <f>IF($B$10="3BR_H",
INDEX('3BR_H-processed'!$E:$E,MATCH($L54,'3BR_H-processed'!$B:$B,0),MATCH(Council_Area,'3BR_H-processed'!$E$1:$E$1,0)),
INDEX('2BR_F-processed'!$E:$E,MATCH($L54,'2BR_F-processed'!$B:$B,0),MATCH(Council_Area,'2BR_F-processed'!$E$1:$E$1,0)))</f>
        <v>445</v>
      </c>
      <c r="U54" s="22">
        <f t="shared" si="25"/>
        <v>407</v>
      </c>
      <c r="V54" s="22">
        <f t="shared" si="34"/>
        <v>5349.1428571428569</v>
      </c>
      <c r="W54" s="22">
        <f>$B$53/4*BH54/_xlfn.XLOOKUP(Q_end,cpi!A:A,cpi!B:B)</f>
        <v>157.56738078783692</v>
      </c>
      <c r="X54" s="22">
        <f t="shared" si="42"/>
        <v>5506.7102379306934</v>
      </c>
      <c r="Y54" s="22">
        <f t="shared" si="43"/>
        <v>68.766827274880598</v>
      </c>
      <c r="Z54" s="22">
        <f t="shared" si="64"/>
        <v>0</v>
      </c>
      <c r="AA54" s="22" cm="1">
        <f t="array" ref="AA54">(Y54+Z54)*eff_invest</f>
        <v>68.766827274880598</v>
      </c>
      <c r="AB54" s="22">
        <f>AA54*(_xlfn.XLOOKUP(Q_end,cpi!A:A,cpi!B:B)/BH54)</f>
        <v>87.285613216449306</v>
      </c>
      <c r="AC54" s="22" cm="1">
        <f t="array" ref="AC54">INDEX('msci-indices'!C:C,MATCH($L54,'msci-indices'!$B:$B)-2)</f>
        <v>1747.837315</v>
      </c>
      <c r="AD54" s="22" cm="1">
        <f t="array" ref="AD54">INDEX('msci-indices'!D:D,MATCH($L54,'msci-indices'!$B:$B)-2)</f>
        <v>1610.255349</v>
      </c>
      <c r="AE54" s="22">
        <f t="shared" si="65"/>
        <v>259313.77536635433</v>
      </c>
      <c r="AF54" s="22" cm="1">
        <f t="array" ref="AF54">INDEX('msci-indices'!C:C,MATCH($L54,'msci-indices'!$B:$B)+1)</f>
        <v>1503.1567950000001</v>
      </c>
      <c r="AG54" s="22" cm="1">
        <f t="array" ref="AG54">INDEX('msci-indices'!D:D,MATCH($L54,'msci-indices'!$B:$B)+1)</f>
        <v>1478.088164</v>
      </c>
      <c r="AH54" s="22">
        <f t="shared" si="44"/>
        <v>162.07110960397145</v>
      </c>
      <c r="AI54" s="22">
        <f t="shared" si="45"/>
        <v>227355.47100787194</v>
      </c>
      <c r="AJ54" s="22">
        <f t="shared" si="66"/>
        <v>125715.33241466057</v>
      </c>
      <c r="AK54" s="22">
        <f t="shared" si="46"/>
        <v>101640.13859321136</v>
      </c>
      <c r="AL54" s="22">
        <f>AJ54*(_xlfn.XLOOKUP(Q_end,cpi!A:A,cpi!B:B)/BH54)</f>
        <v>159570.25088071389</v>
      </c>
      <c r="AM54" s="22" cm="1">
        <f t="array" ref="AM54">SUMPRODUCT($AA$3:AA54,_xlfn.SORTBY($BH$3:BH54,_xlfn.SEQUENCE(ROWS($BH$3:BH54)),-1)/$BH$3)</f>
        <v>162746.62795686125</v>
      </c>
      <c r="AN54" s="22">
        <f t="shared" si="30"/>
        <v>64608.843051010685</v>
      </c>
      <c r="AO54" s="22">
        <f t="shared" si="47"/>
        <v>0</v>
      </c>
      <c r="AP54" s="22">
        <f t="shared" si="31"/>
        <v>227355.47100787194</v>
      </c>
      <c r="AQ54" s="22"/>
      <c r="AR54" s="10">
        <f>IF($B$10="3BR_H",
INDEX('ns-combined'!$C:$D,MATCH($L54,'ns-combined'!$B:$B,0),MATCH(Council_Area,'ns-combined'!$C$1:$D$1,0))*1000,
INDEX('s-combined'!$C:$D,MATCH($L54,'s-combined'!$B:$B,0),MATCH(Council_Area,'s-combined'!$C$1:$D$1,0))*1000)</f>
        <v>465000</v>
      </c>
      <c r="AS54" s="22">
        <f t="shared" si="35"/>
        <v>33800</v>
      </c>
      <c r="AT54" s="10">
        <v>0</v>
      </c>
      <c r="AU54" s="22">
        <f t="shared" si="48"/>
        <v>9300</v>
      </c>
      <c r="AV54" s="22">
        <f t="shared" si="49"/>
        <v>1336.875</v>
      </c>
      <c r="AW54" s="22">
        <f>SUM($AV$3:AV54)</f>
        <v>51246.3</v>
      </c>
      <c r="AX54" s="22">
        <f t="shared" si="50"/>
        <v>370653.7</v>
      </c>
      <c r="AY54" s="22">
        <f t="shared" si="51"/>
        <v>1872.2</v>
      </c>
      <c r="AZ54" s="24">
        <f t="shared" si="52"/>
        <v>1.6104946236559139E-2</v>
      </c>
      <c r="BA54" s="24">
        <f t="shared" si="53"/>
        <v>0.35000000000000003</v>
      </c>
      <c r="BB54" s="25">
        <f>IF(MortgageRate="Discounted",_xlfn.XLOOKUP(L54,'mortgage-rates'!$A:$A,'mortgage-rates'!$E:$E)/100,_xlfn.XLOOKUP(L54,'mortgage-rates'!$A:$A,'mortgage-rates'!$D:$D)/100)</f>
        <v>4.6500000000000007E-2</v>
      </c>
      <c r="BC54" s="10">
        <f t="shared" si="67"/>
        <v>137746.18834557076</v>
      </c>
      <c r="BD54" s="10">
        <f t="shared" si="54"/>
        <v>3703.2770652055738</v>
      </c>
      <c r="BE54" s="10">
        <f t="shared" si="55"/>
        <v>1601.2994395172602</v>
      </c>
      <c r="BF54" s="10">
        <f t="shared" si="36"/>
        <v>2101.9776256883133</v>
      </c>
      <c r="BG54" s="12">
        <f t="shared" si="56"/>
        <v>5575.477065205574</v>
      </c>
      <c r="BH54" s="22">
        <f>INDEX(cpi!B:B,MATCH($L54,cpi!A:A))</f>
        <v>114</v>
      </c>
      <c r="BI54" s="22">
        <f t="shared" si="57"/>
        <v>134.75177304964541</v>
      </c>
      <c r="BJ54" s="22">
        <f t="shared" si="58"/>
        <v>231.53855125118753</v>
      </c>
      <c r="BK54" s="22">
        <f t="shared" si="59"/>
        <v>225.85612452035926</v>
      </c>
      <c r="BL54" s="22">
        <f t="shared" si="60"/>
        <v>229.83382323193905</v>
      </c>
      <c r="BM54" s="22">
        <f t="shared" si="61"/>
        <v>394.51980480522087</v>
      </c>
      <c r="BN54" s="22">
        <f t="shared" si="62"/>
        <v>178.84615384615384</v>
      </c>
      <c r="BO54">
        <f t="shared" si="63"/>
        <v>146.27073529266681</v>
      </c>
    </row>
    <row r="55" spans="1:67" x14ac:dyDescent="0.25">
      <c r="L55" s="1">
        <f t="shared" si="33"/>
        <v>43525</v>
      </c>
      <c r="M55" s="10">
        <f t="shared" si="38"/>
        <v>254496.01009281585</v>
      </c>
      <c r="N55" s="10">
        <f t="shared" si="39"/>
        <v>239373.92678011756</v>
      </c>
      <c r="O55" s="7">
        <f t="shared" si="24"/>
        <v>1.0631734772291597</v>
      </c>
      <c r="P55" s="7">
        <f t="shared" si="40"/>
        <v>1.0292780871344662</v>
      </c>
      <c r="Q55">
        <v>53</v>
      </c>
      <c r="R55">
        <f t="shared" si="41"/>
        <v>90</v>
      </c>
      <c r="S55" s="22"/>
      <c r="T55" s="22">
        <f>IF($B$10="3BR_H",
INDEX('3BR_H-processed'!$E:$E,MATCH($L55,'3BR_H-processed'!$B:$B,0),MATCH(Council_Area,'3BR_H-processed'!$E$1:$E$1,0)),
INDEX('2BR_F-processed'!$E:$E,MATCH($L55,'2BR_F-processed'!$B:$B,0),MATCH(Council_Area,'2BR_F-processed'!$E$1:$E$1,0)))</f>
        <v>445</v>
      </c>
      <c r="U55" s="22">
        <f t="shared" si="25"/>
        <v>445</v>
      </c>
      <c r="V55" s="22">
        <f t="shared" si="34"/>
        <v>5721.4285714285716</v>
      </c>
      <c r="W55" s="22">
        <f>$B$53/4*BH55/_xlfn.XLOOKUP(Q_end,cpi!A:A,cpi!B:B)</f>
        <v>157.705597788528</v>
      </c>
      <c r="X55" s="22">
        <f t="shared" si="42"/>
        <v>5879.1341692171</v>
      </c>
      <c r="Y55" s="22">
        <f t="shared" si="43"/>
        <v>-167.23352477149183</v>
      </c>
      <c r="Z55" s="22">
        <f t="shared" si="64"/>
        <v>0</v>
      </c>
      <c r="AA55" s="22" cm="1">
        <f t="array" ref="AA55">(Y55+Z55)*eff_invest</f>
        <v>-167.23352477149183</v>
      </c>
      <c r="AB55" s="22">
        <f>AA55*(_xlfn.XLOOKUP(Q_end,cpi!A:A,cpi!B:B)/BH55)</f>
        <v>-212.08318172160267</v>
      </c>
      <c r="AC55" s="22" cm="1">
        <f t="array" ref="AC55">INDEX('msci-indices'!C:C,MATCH($L55,'msci-indices'!$B:$B)-2)</f>
        <v>1503.1567950000001</v>
      </c>
      <c r="AD55" s="22" cm="1">
        <f t="array" ref="AD55">INDEX('msci-indices'!D:D,MATCH($L55,'msci-indices'!$B:$B)-2)</f>
        <v>1478.088164</v>
      </c>
      <c r="AE55" s="22">
        <f t="shared" si="65"/>
        <v>227188.23748310044</v>
      </c>
      <c r="AF55" s="22" cm="1">
        <f t="array" ref="AF55">INDEX('msci-indices'!C:C,MATCH($L55,'msci-indices'!$B:$B)+1)</f>
        <v>1693.1497079999999</v>
      </c>
      <c r="AG55" s="22" cm="1">
        <f t="array" ref="AG55">INDEX('msci-indices'!D:D,MATCH($L55,'msci-indices'!$B:$B)+1)</f>
        <v>1637.459214</v>
      </c>
      <c r="AH55" s="22">
        <f t="shared" si="44"/>
        <v>141.99264842693779</v>
      </c>
      <c r="AI55" s="22">
        <f t="shared" si="45"/>
        <v>254496.01009281585</v>
      </c>
      <c r="AJ55" s="22">
        <f t="shared" si="66"/>
        <v>125548.09888988908</v>
      </c>
      <c r="AK55" s="22">
        <f t="shared" si="46"/>
        <v>128947.91120292677</v>
      </c>
      <c r="AL55" s="22">
        <f>AJ55*(_xlfn.XLOOKUP(Q_end,cpi!A:A,cpi!B:B)/BH55)</f>
        <v>159218.31647122654</v>
      </c>
      <c r="AM55" s="22" cm="1">
        <f t="array" ref="AM55">SUMPRODUCT($AA$3:AA55,_xlfn.SORTBY($BH$3:BH55,_xlfn.SEQUENCE(ROWS($BH$3:BH55)),-1)/$BH$3)</f>
        <v>163047.30590185768</v>
      </c>
      <c r="AN55" s="22">
        <f t="shared" si="30"/>
        <v>91448.704190958175</v>
      </c>
      <c r="AO55" s="22">
        <f t="shared" si="47"/>
        <v>0</v>
      </c>
      <c r="AP55" s="22">
        <f t="shared" si="31"/>
        <v>254496.01009281585</v>
      </c>
      <c r="AQ55" s="22"/>
      <c r="AR55" s="10">
        <f>IF($B$10="3BR_H",
INDEX('ns-combined'!$C:$D,MATCH($L55,'ns-combined'!$B:$B,0),MATCH(Council_Area,'ns-combined'!$C$1:$D$1,0))*1000,
INDEX('s-combined'!$C:$D,MATCH($L55,'s-combined'!$B:$B,0),MATCH(Council_Area,'s-combined'!$C$1:$D$1,0))*1000)</f>
        <v>471500</v>
      </c>
      <c r="AS55" s="22">
        <f t="shared" si="35"/>
        <v>34450</v>
      </c>
      <c r="AT55" s="10">
        <v>0</v>
      </c>
      <c r="AU55" s="22">
        <f t="shared" si="48"/>
        <v>9430</v>
      </c>
      <c r="AV55" s="22">
        <f t="shared" si="49"/>
        <v>1355.5625</v>
      </c>
      <c r="AW55" s="22">
        <f>SUM($AV$3:AV55)</f>
        <v>52601.862500000003</v>
      </c>
      <c r="AX55" s="22">
        <f t="shared" si="50"/>
        <v>375018.13750000001</v>
      </c>
      <c r="AY55" s="22">
        <f t="shared" si="51"/>
        <v>2002.5000000000002</v>
      </c>
      <c r="AZ55" s="24">
        <f t="shared" si="52"/>
        <v>1.6988335100742314E-2</v>
      </c>
      <c r="BA55" s="24">
        <f t="shared" si="53"/>
        <v>0.35000000000000003</v>
      </c>
      <c r="BB55" s="25">
        <f>IF(MortgageRate="Discounted",_xlfn.XLOOKUP(L55,'mortgage-rates'!$A:$A,'mortgage-rates'!$E:$E)/100,_xlfn.XLOOKUP(L55,'mortgage-rates'!$A:$A,'mortgage-rates'!$D:$D)/100)</f>
        <v>4.6799999999999994E-2</v>
      </c>
      <c r="BC55" s="10">
        <f t="shared" si="67"/>
        <v>135644.21071988245</v>
      </c>
      <c r="BD55" s="10">
        <f t="shared" si="54"/>
        <v>3709.4006444456081</v>
      </c>
      <c r="BE55" s="10">
        <f t="shared" si="55"/>
        <v>1587.0372654226246</v>
      </c>
      <c r="BF55" s="10">
        <f t="shared" si="36"/>
        <v>2122.3633790229833</v>
      </c>
      <c r="BG55" s="12">
        <f t="shared" si="56"/>
        <v>5711.9006444456081</v>
      </c>
      <c r="BH55" s="22">
        <f>INDEX(cpi!B:B,MATCH($L55,cpi!A:A))</f>
        <v>114.1</v>
      </c>
      <c r="BI55" s="22">
        <f t="shared" si="57"/>
        <v>134.86997635933807</v>
      </c>
      <c r="BJ55" s="22">
        <f t="shared" si="58"/>
        <v>199.12536689244348</v>
      </c>
      <c r="BK55" s="22">
        <f t="shared" si="59"/>
        <v>207.31821485814123</v>
      </c>
      <c r="BL55" s="22">
        <f t="shared" si="60"/>
        <v>201.58322128215281</v>
      </c>
      <c r="BM55" s="22">
        <f t="shared" si="61"/>
        <v>345.64403290664666</v>
      </c>
      <c r="BN55" s="22">
        <f t="shared" si="62"/>
        <v>181.34615384615384</v>
      </c>
      <c r="BO55">
        <f t="shared" si="63"/>
        <v>147.99306932646678</v>
      </c>
    </row>
    <row r="56" spans="1:67" x14ac:dyDescent="0.25">
      <c r="L56" s="1">
        <f t="shared" si="33"/>
        <v>43617</v>
      </c>
      <c r="M56" s="10">
        <f t="shared" si="38"/>
        <v>266864.96508539416</v>
      </c>
      <c r="N56" s="10">
        <f t="shared" si="39"/>
        <v>257567.54015914054</v>
      </c>
      <c r="O56" s="7">
        <f t="shared" si="24"/>
        <v>1.036097036608375</v>
      </c>
      <c r="P56" s="7">
        <f t="shared" si="40"/>
        <v>1.0445701126824822</v>
      </c>
      <c r="Q56">
        <v>54</v>
      </c>
      <c r="R56">
        <f t="shared" si="41"/>
        <v>91</v>
      </c>
      <c r="S56" s="22"/>
      <c r="T56" s="22">
        <f>IF($B$10="3BR_H",
INDEX('3BR_H-processed'!$E:$E,MATCH($L56,'3BR_H-processed'!$B:$B,0),MATCH(Council_Area,'3BR_H-processed'!$E$1:$E$1,0)),
INDEX('2BR_F-processed'!$E:$E,MATCH($L56,'2BR_F-processed'!$B:$B,0),MATCH(Council_Area,'2BR_F-processed'!$E$1:$E$1,0)))</f>
        <v>445</v>
      </c>
      <c r="U56" s="22">
        <f t="shared" si="25"/>
        <v>445</v>
      </c>
      <c r="V56" s="22">
        <f t="shared" si="34"/>
        <v>5785</v>
      </c>
      <c r="W56" s="22">
        <f>$B$53/4*BH56/_xlfn.XLOOKUP(Q_end,cpi!A:A,cpi!B:B)</f>
        <v>158.81133379405668</v>
      </c>
      <c r="X56" s="22">
        <f t="shared" si="42"/>
        <v>5943.8113337940567</v>
      </c>
      <c r="Y56" s="22">
        <f t="shared" si="43"/>
        <v>-253.61279027053934</v>
      </c>
      <c r="Z56" s="22">
        <f t="shared" si="64"/>
        <v>0</v>
      </c>
      <c r="AA56" s="22" cm="1">
        <f t="array" ref="AA56">(Y56+Z56)*eff_invest</f>
        <v>-253.61279027053934</v>
      </c>
      <c r="AB56" s="22">
        <f>AA56*(_xlfn.XLOOKUP(Q_end,cpi!A:A,cpi!B:B)/BH56)</f>
        <v>-319.38877939205429</v>
      </c>
      <c r="AC56" s="22" cm="1">
        <f t="array" ref="AC56">INDEX('msci-indices'!C:C,MATCH($L56,'msci-indices'!$B:$B)-2)</f>
        <v>1693.1497079999999</v>
      </c>
      <c r="AD56" s="22" cm="1">
        <f t="array" ref="AD56">INDEX('msci-indices'!D:D,MATCH($L56,'msci-indices'!$B:$B)-2)</f>
        <v>1637.459214</v>
      </c>
      <c r="AE56" s="22">
        <f t="shared" si="65"/>
        <v>254242.39730254532</v>
      </c>
      <c r="AF56" s="22" cm="1">
        <f t="array" ref="AF56">INDEX('msci-indices'!C:C,MATCH($L56,'msci-indices'!$B:$B)+1)</f>
        <v>1756.4484090000001</v>
      </c>
      <c r="AG56" s="22" cm="1">
        <f t="array" ref="AG56">INDEX('msci-indices'!D:D,MATCH($L56,'msci-indices'!$B:$B)+1)</f>
        <v>1769.0189379999999</v>
      </c>
      <c r="AH56" s="22">
        <f t="shared" si="44"/>
        <v>158.90149831409082</v>
      </c>
      <c r="AI56" s="22">
        <f t="shared" si="45"/>
        <v>266864.96508539416</v>
      </c>
      <c r="AJ56" s="22">
        <f t="shared" si="66"/>
        <v>125294.48609961855</v>
      </c>
      <c r="AK56" s="22">
        <f t="shared" si="46"/>
        <v>141570.47898577561</v>
      </c>
      <c r="AL56" s="22">
        <f>AJ56*(_xlfn.XLOOKUP(Q_end,cpi!A:A,cpi!B:B)/BH56)</f>
        <v>157790.35803842297</v>
      </c>
      <c r="AM56" s="22" cm="1">
        <f t="array" ref="AM56">SUMPRODUCT($AA$3:AA56,_xlfn.SORTBY($BH$3:BH56,_xlfn.SEQUENCE(ROWS($BH$3:BH56)),-1)/$BH$3)</f>
        <v>163787.73376085615</v>
      </c>
      <c r="AN56" s="22">
        <f t="shared" si="30"/>
        <v>103077.23132453801</v>
      </c>
      <c r="AO56" s="22">
        <f t="shared" si="47"/>
        <v>0</v>
      </c>
      <c r="AP56" s="22">
        <f t="shared" si="31"/>
        <v>266864.96508539416</v>
      </c>
      <c r="AQ56" s="22"/>
      <c r="AR56" s="10">
        <f>IF($B$10="3BR_H",
INDEX('ns-combined'!$C:$D,MATCH($L56,'ns-combined'!$B:$B,0),MATCH(Council_Area,'ns-combined'!$C$1:$D$1,0))*1000,
INDEX('s-combined'!$C:$D,MATCH($L56,'s-combined'!$B:$B,0),MATCH(Council_Area,'s-combined'!$C$1:$D$1,0))*1000)</f>
        <v>490000</v>
      </c>
      <c r="AS56" s="22">
        <f t="shared" si="35"/>
        <v>35100</v>
      </c>
      <c r="AT56" s="10">
        <v>0</v>
      </c>
      <c r="AU56" s="22">
        <f t="shared" si="48"/>
        <v>9800</v>
      </c>
      <c r="AV56" s="22">
        <f t="shared" si="49"/>
        <v>1408.75</v>
      </c>
      <c r="AW56" s="22">
        <f>SUM($AV$3:AV56)</f>
        <v>54010.612500000003</v>
      </c>
      <c r="AX56" s="22">
        <f t="shared" si="50"/>
        <v>391089.38750000001</v>
      </c>
      <c r="AY56" s="22">
        <f t="shared" si="51"/>
        <v>2024.7500000000002</v>
      </c>
      <c r="AZ56" s="24">
        <f t="shared" si="52"/>
        <v>1.6528571428571431E-2</v>
      </c>
      <c r="BA56" s="24">
        <f t="shared" si="53"/>
        <v>0.35000000000000003</v>
      </c>
      <c r="BB56" s="25">
        <f>IF(MortgageRate="Discounted",_xlfn.XLOOKUP(L56,'mortgage-rates'!$A:$A,'mortgage-rates'!$E:$E)/100,_xlfn.XLOOKUP(L56,'mortgage-rates'!$A:$A,'mortgage-rates'!$D:$D)/100)</f>
        <v>4.4600000000000001E-2</v>
      </c>
      <c r="BC56" s="10">
        <f t="shared" si="67"/>
        <v>133521.84734085947</v>
      </c>
      <c r="BD56" s="10">
        <f t="shared" si="54"/>
        <v>3665.4485435235174</v>
      </c>
      <c r="BE56" s="10">
        <f t="shared" si="55"/>
        <v>1488.7685978505831</v>
      </c>
      <c r="BF56" s="10">
        <f t="shared" si="36"/>
        <v>2176.6799456729341</v>
      </c>
      <c r="BG56" s="12">
        <f t="shared" si="56"/>
        <v>5690.1985435235174</v>
      </c>
      <c r="BH56" s="22">
        <f>INDEX(cpi!B:B,MATCH($L56,cpi!A:A))</f>
        <v>114.9</v>
      </c>
      <c r="BI56" s="22">
        <f t="shared" si="57"/>
        <v>135.81560283687944</v>
      </c>
      <c r="BJ56" s="22">
        <f t="shared" si="58"/>
        <v>224.29400441178427</v>
      </c>
      <c r="BK56" s="22">
        <f t="shared" si="59"/>
        <v>229.67176750188432</v>
      </c>
      <c r="BL56" s="22">
        <f t="shared" si="60"/>
        <v>225.90733333881428</v>
      </c>
      <c r="BM56" s="22">
        <f t="shared" si="61"/>
        <v>386.80421360301506</v>
      </c>
      <c r="BN56" s="22">
        <f t="shared" si="62"/>
        <v>188.46153846153845</v>
      </c>
      <c r="BO56">
        <f t="shared" si="63"/>
        <v>154.33525221732225</v>
      </c>
    </row>
    <row r="57" spans="1:67" x14ac:dyDescent="0.25">
      <c r="L57" s="1">
        <f t="shared" si="33"/>
        <v>43709</v>
      </c>
      <c r="M57" s="10">
        <f t="shared" si="38"/>
        <v>269234.80191878864</v>
      </c>
      <c r="N57" s="10">
        <f t="shared" si="39"/>
        <v>247914.22010481346</v>
      </c>
      <c r="O57" s="7">
        <f t="shared" si="24"/>
        <v>1.0859998341561901</v>
      </c>
      <c r="P57" s="7">
        <f t="shared" si="40"/>
        <v>1.0593333539192629</v>
      </c>
      <c r="Q57">
        <v>55</v>
      </c>
      <c r="R57">
        <f t="shared" si="41"/>
        <v>92</v>
      </c>
      <c r="S57" s="22"/>
      <c r="T57" s="22">
        <f>IF($B$10="3BR_H",
INDEX('3BR_H-processed'!$E:$E,MATCH($L57,'3BR_H-processed'!$B:$B,0),MATCH(Council_Area,'3BR_H-processed'!$E$1:$E$1,0)),
INDEX('2BR_F-processed'!$E:$E,MATCH($L57,'2BR_F-processed'!$B:$B,0),MATCH(Council_Area,'2BR_F-processed'!$E$1:$E$1,0)))</f>
        <v>457</v>
      </c>
      <c r="U57" s="22">
        <f t="shared" si="25"/>
        <v>445</v>
      </c>
      <c r="V57" s="22">
        <f t="shared" si="34"/>
        <v>5848.5714285714284</v>
      </c>
      <c r="W57" s="22">
        <f>$B$53/4*BH57/_xlfn.XLOOKUP(Q_end,cpi!A:A,cpi!B:B)</f>
        <v>159.50241879751209</v>
      </c>
      <c r="X57" s="22">
        <f t="shared" si="42"/>
        <v>6008.0738473689407</v>
      </c>
      <c r="Y57" s="22">
        <f t="shared" si="43"/>
        <v>-336.5127423205613</v>
      </c>
      <c r="Z57" s="22">
        <f t="shared" si="64"/>
        <v>0</v>
      </c>
      <c r="AA57" s="22" cm="1">
        <f t="array" ref="AA57">(Y57+Z57)*eff_invest</f>
        <v>-336.5127423205613</v>
      </c>
      <c r="AB57" s="22">
        <f>AA57*(_xlfn.XLOOKUP(Q_end,cpi!A:A,cpi!B:B)/BH57)</f>
        <v>-421.95315263245419</v>
      </c>
      <c r="AC57" s="22" cm="1">
        <f t="array" ref="AC57">INDEX('msci-indices'!C:C,MATCH($L57,'msci-indices'!$B:$B)-2)</f>
        <v>1756.4484090000001</v>
      </c>
      <c r="AD57" s="22" cm="1">
        <f t="array" ref="AD57">INDEX('msci-indices'!D:D,MATCH($L57,'msci-indices'!$B:$B)-2)</f>
        <v>1769.0189379999999</v>
      </c>
      <c r="AE57" s="22">
        <f t="shared" si="65"/>
        <v>266528.45234307362</v>
      </c>
      <c r="AF57" s="22" cm="1">
        <f t="array" ref="AF57">INDEX('msci-indices'!C:C,MATCH($L57,'msci-indices'!$B:$B)+1)</f>
        <v>1762.7547079999999</v>
      </c>
      <c r="AG57" s="22" cm="1">
        <f t="array" ref="AG57">INDEX('msci-indices'!D:D,MATCH($L57,'msci-indices'!$B:$B)+1)</f>
        <v>1817.7602159999999</v>
      </c>
      <c r="AH57" s="22">
        <f t="shared" si="44"/>
        <v>166.580282714421</v>
      </c>
      <c r="AI57" s="22">
        <f t="shared" si="45"/>
        <v>269234.80191878864</v>
      </c>
      <c r="AJ57" s="22">
        <f t="shared" si="66"/>
        <v>124957.97335729799</v>
      </c>
      <c r="AK57" s="22">
        <f t="shared" si="46"/>
        <v>144276.82856149063</v>
      </c>
      <c r="AL57" s="22">
        <f>AJ57*(_xlfn.XLOOKUP(Q_end,cpi!A:A,cpi!B:B)/BH57)</f>
        <v>156684.7378232324</v>
      </c>
      <c r="AM57" s="22" cm="1">
        <f t="array" ref="AM57">SUMPRODUCT($AA$3:AA57,_xlfn.SORTBY($BH$3:BH57,_xlfn.SEQUENCE(ROWS($BH$3:BH57)),-1)/$BH$3)</f>
        <v>164214.70640565699</v>
      </c>
      <c r="AN57" s="22">
        <f t="shared" si="30"/>
        <v>105020.09551313164</v>
      </c>
      <c r="AO57" s="22">
        <f t="shared" si="47"/>
        <v>0</v>
      </c>
      <c r="AP57" s="22">
        <f t="shared" si="31"/>
        <v>269234.80191878864</v>
      </c>
      <c r="AQ57" s="22"/>
      <c r="AR57" s="10">
        <f>IF($B$10="3BR_H",
INDEX('ns-combined'!$C:$D,MATCH($L57,'ns-combined'!$B:$B,0),MATCH(Council_Area,'ns-combined'!$C$1:$D$1,0))*1000,
INDEX('s-combined'!$C:$D,MATCH($L57,'s-combined'!$B:$B,0),MATCH(Council_Area,'s-combined'!$C$1:$D$1,0))*1000)</f>
        <v>480000</v>
      </c>
      <c r="AS57" s="22">
        <f t="shared" si="35"/>
        <v>35750</v>
      </c>
      <c r="AT57" s="10">
        <v>0</v>
      </c>
      <c r="AU57" s="22">
        <f t="shared" si="48"/>
        <v>9600</v>
      </c>
      <c r="AV57" s="22">
        <f t="shared" si="49"/>
        <v>1380</v>
      </c>
      <c r="AW57" s="22">
        <f>SUM($AV$3:AV57)</f>
        <v>55390.612500000003</v>
      </c>
      <c r="AX57" s="22">
        <f t="shared" si="50"/>
        <v>379259.38750000001</v>
      </c>
      <c r="AY57" s="22">
        <f t="shared" si="51"/>
        <v>2047.0000000000002</v>
      </c>
      <c r="AZ57" s="24">
        <f t="shared" si="52"/>
        <v>1.7058333333333335E-2</v>
      </c>
      <c r="BA57" s="24">
        <f t="shared" si="53"/>
        <v>0.35000000000000003</v>
      </c>
      <c r="BB57" s="25">
        <f>IF(MortgageRate="Discounted",_xlfn.XLOOKUP(L57,'mortgage-rates'!$A:$A,'mortgage-rates'!$E:$E)/100,_xlfn.XLOOKUP(L57,'mortgage-rates'!$A:$A,'mortgage-rates'!$D:$D)/100)</f>
        <v>4.2500000000000003E-2</v>
      </c>
      <c r="BC57" s="10">
        <f t="shared" si="67"/>
        <v>131345.16739518655</v>
      </c>
      <c r="BD57" s="10">
        <f t="shared" si="54"/>
        <v>3624.5611050483794</v>
      </c>
      <c r="BE57" s="10">
        <f t="shared" si="55"/>
        <v>1395.5424035738572</v>
      </c>
      <c r="BF57" s="10">
        <f t="shared" si="36"/>
        <v>2229.0187014745225</v>
      </c>
      <c r="BG57" s="12">
        <f t="shared" si="56"/>
        <v>5671.5611050483794</v>
      </c>
      <c r="BH57" s="22">
        <f>INDEX(cpi!B:B,MATCH($L57,cpi!A:A))</f>
        <v>115.4</v>
      </c>
      <c r="BI57" s="22">
        <f t="shared" si="57"/>
        <v>136.40661938534279</v>
      </c>
      <c r="BJ57" s="22">
        <f t="shared" si="58"/>
        <v>232.67927539772964</v>
      </c>
      <c r="BK57" s="22">
        <f t="shared" si="59"/>
        <v>248.12447403942869</v>
      </c>
      <c r="BL57" s="22">
        <f t="shared" si="60"/>
        <v>237.31283499023937</v>
      </c>
      <c r="BM57" s="22">
        <f t="shared" si="61"/>
        <v>405.4962095433292</v>
      </c>
      <c r="BN57" s="22">
        <f t="shared" si="62"/>
        <v>184.61538461538461</v>
      </c>
      <c r="BO57">
        <f t="shared" si="63"/>
        <v>149.66678998825978</v>
      </c>
    </row>
    <row r="58" spans="1:67" x14ac:dyDescent="0.25">
      <c r="L58" s="1">
        <f t="shared" si="33"/>
        <v>43800</v>
      </c>
      <c r="M58" s="10">
        <f t="shared" si="38"/>
        <v>285177.03439118795</v>
      </c>
      <c r="N58" s="10">
        <f t="shared" si="39"/>
        <v>284266.86380628799</v>
      </c>
      <c r="O58" s="7">
        <f t="shared" si="24"/>
        <v>1.0032018173793207</v>
      </c>
      <c r="P58" s="7">
        <f t="shared" si="40"/>
        <v>1.0630653890208159</v>
      </c>
      <c r="Q58">
        <v>56</v>
      </c>
      <c r="R58">
        <f t="shared" si="41"/>
        <v>92</v>
      </c>
      <c r="S58" s="22"/>
      <c r="T58" s="22">
        <f>IF($B$10="3BR_H",
INDEX('3BR_H-processed'!$E:$E,MATCH($L58,'3BR_H-processed'!$B:$B,0),MATCH(Council_Area,'3BR_H-processed'!$E$1:$E$1,0)),
INDEX('2BR_F-processed'!$E:$E,MATCH($L58,'2BR_F-processed'!$B:$B,0),MATCH(Council_Area,'2BR_F-processed'!$E$1:$E$1,0)))</f>
        <v>457</v>
      </c>
      <c r="U58" s="22">
        <f t="shared" si="25"/>
        <v>445</v>
      </c>
      <c r="V58" s="22">
        <f t="shared" si="34"/>
        <v>5848.5714285714284</v>
      </c>
      <c r="W58" s="22">
        <f>$B$53/4*BH58/_xlfn.XLOOKUP(Q_end,cpi!A:A,cpi!B:B)</f>
        <v>160.4699378023497</v>
      </c>
      <c r="X58" s="22">
        <f t="shared" si="42"/>
        <v>6009.0413663737781</v>
      </c>
      <c r="Y58" s="22">
        <f t="shared" si="43"/>
        <v>-356.48092330576037</v>
      </c>
      <c r="Z58" s="22">
        <f t="shared" si="64"/>
        <v>0</v>
      </c>
      <c r="AA58" s="22" cm="1">
        <f t="array" ref="AA58">(Y58+Z58)*eff_invest</f>
        <v>-356.48092330576037</v>
      </c>
      <c r="AB58" s="22">
        <f>AA58*(_xlfn.XLOOKUP(Q_end,cpi!A:A,cpi!B:B)/BH58)</f>
        <v>-444.29620673853162</v>
      </c>
      <c r="AC58" s="22" cm="1">
        <f t="array" ref="AC58">INDEX('msci-indices'!C:C,MATCH($L58,'msci-indices'!$B:$B)-2)</f>
        <v>1762.7547079999999</v>
      </c>
      <c r="AD58" s="22" cm="1">
        <f t="array" ref="AD58">INDEX('msci-indices'!D:D,MATCH($L58,'msci-indices'!$B:$B)-2)</f>
        <v>1817.7602159999999</v>
      </c>
      <c r="AE58" s="22">
        <f t="shared" si="65"/>
        <v>268878.32099548285</v>
      </c>
      <c r="AF58" s="22" cm="1">
        <f t="array" ref="AF58">INDEX('msci-indices'!C:C,MATCH($L58,'msci-indices'!$B:$B)+1)</f>
        <v>1916.2448380000001</v>
      </c>
      <c r="AG58" s="22" cm="1">
        <f t="array" ref="AG58">INDEX('msci-indices'!D:D,MATCH($L58,'msci-indices'!$B:$B)+1)</f>
        <v>1819.5211509999999</v>
      </c>
      <c r="AH58" s="22">
        <f t="shared" si="44"/>
        <v>168.04895062217679</v>
      </c>
      <c r="AI58" s="22">
        <f t="shared" si="45"/>
        <v>285177.03439118795</v>
      </c>
      <c r="AJ58" s="22">
        <f t="shared" si="66"/>
        <v>124601.49243399223</v>
      </c>
      <c r="AK58" s="22">
        <f t="shared" si="46"/>
        <v>160575.54195719573</v>
      </c>
      <c r="AL58" s="22">
        <f>AJ58*(_xlfn.XLOOKUP(Q_end,cpi!A:A,cpi!B:B)/BH58)</f>
        <v>155295.74466148729</v>
      </c>
      <c r="AM58" s="22" cm="1">
        <f t="array" ref="AM58">SUMPRODUCT($AA$3:AA58,_xlfn.SORTBY($BH$3:BH58,_xlfn.SEQUENCE(ROWS($BH$3:BH58)),-1)/$BH$3)</f>
        <v>164766.04100920781</v>
      </c>
      <c r="AN58" s="22">
        <f t="shared" si="30"/>
        <v>120410.99338198014</v>
      </c>
      <c r="AO58" s="22">
        <f t="shared" si="47"/>
        <v>0</v>
      </c>
      <c r="AP58" s="22">
        <f t="shared" si="31"/>
        <v>285177.03439118795</v>
      </c>
      <c r="AQ58" s="22"/>
      <c r="AR58" s="10">
        <f>IF($B$10="3BR_H",
INDEX('ns-combined'!$C:$D,MATCH($L58,'ns-combined'!$B:$B,0),MATCH(Council_Area,'ns-combined'!$C$1:$D$1,0))*1000,
INDEX('s-combined'!$C:$D,MATCH($L58,'s-combined'!$B:$B,0),MATCH(Council_Area,'s-combined'!$C$1:$D$1,0))*1000)</f>
        <v>517000</v>
      </c>
      <c r="AS58" s="22">
        <f t="shared" si="35"/>
        <v>36400</v>
      </c>
      <c r="AT58" s="10">
        <v>0</v>
      </c>
      <c r="AU58" s="22">
        <f t="shared" si="48"/>
        <v>10340</v>
      </c>
      <c r="AV58" s="22">
        <f t="shared" si="49"/>
        <v>1486.375</v>
      </c>
      <c r="AW58" s="22">
        <f>SUM($AV$3:AV58)</f>
        <v>56876.987500000003</v>
      </c>
      <c r="AX58" s="22">
        <f t="shared" si="50"/>
        <v>413383.01250000001</v>
      </c>
      <c r="AY58" s="22">
        <f t="shared" si="51"/>
        <v>2047.0000000000002</v>
      </c>
      <c r="AZ58" s="24">
        <f t="shared" si="52"/>
        <v>1.5837524177949713E-2</v>
      </c>
      <c r="BA58" s="24">
        <f t="shared" si="53"/>
        <v>0.35000000000000003</v>
      </c>
      <c r="BB58" s="25">
        <f>IF(MortgageRate="Discounted",_xlfn.XLOOKUP(L58,'mortgage-rates'!$A:$A,'mortgage-rates'!$E:$E)/100,_xlfn.XLOOKUP(L58,'mortgage-rates'!$A:$A,'mortgage-rates'!$D:$D)/100)</f>
        <v>4.1500000000000002E-2</v>
      </c>
      <c r="BC58" s="10">
        <f t="shared" si="67"/>
        <v>129116.14869371204</v>
      </c>
      <c r="BD58" s="10">
        <f t="shared" si="54"/>
        <v>3605.5604430680173</v>
      </c>
      <c r="BE58" s="10">
        <f t="shared" si="55"/>
        <v>1339.5800426972623</v>
      </c>
      <c r="BF58" s="10">
        <f t="shared" si="36"/>
        <v>2265.980400370755</v>
      </c>
      <c r="BG58" s="12">
        <f t="shared" si="56"/>
        <v>5652.5604430680178</v>
      </c>
      <c r="BH58" s="22">
        <f>INDEX(cpi!B:B,MATCH($L58,cpi!A:A))</f>
        <v>116.1</v>
      </c>
      <c r="BI58" s="22">
        <f t="shared" si="57"/>
        <v>137.2340425531915</v>
      </c>
      <c r="BJ58" s="22">
        <f t="shared" si="58"/>
        <v>233.51467999842427</v>
      </c>
      <c r="BK58" s="22">
        <f t="shared" si="59"/>
        <v>254.96097743007783</v>
      </c>
      <c r="BL58" s="22">
        <f t="shared" si="60"/>
        <v>239.94856922792033</v>
      </c>
      <c r="BM58" s="22">
        <f t="shared" si="61"/>
        <v>409.07129814306381</v>
      </c>
      <c r="BN58" s="22">
        <f t="shared" si="62"/>
        <v>198.84615384615384</v>
      </c>
      <c r="BO58">
        <f t="shared" si="63"/>
        <v>163.13296534169947</v>
      </c>
    </row>
    <row r="59" spans="1:67" x14ac:dyDescent="0.25">
      <c r="L59" s="1">
        <f t="shared" si="33"/>
        <v>43891</v>
      </c>
      <c r="M59" s="10">
        <f t="shared" si="38"/>
        <v>219935.10961641121</v>
      </c>
      <c r="N59" s="10">
        <f t="shared" si="39"/>
        <v>296121.96920665872</v>
      </c>
      <c r="O59" s="7">
        <f t="shared" si="24"/>
        <v>0.74271797599360845</v>
      </c>
      <c r="P59" s="7">
        <f t="shared" si="40"/>
        <v>1.0818819797723174</v>
      </c>
      <c r="Q59">
        <v>57</v>
      </c>
      <c r="R59">
        <f t="shared" si="41"/>
        <v>91</v>
      </c>
      <c r="S59" s="22"/>
      <c r="T59" s="22">
        <f>IF($B$10="3BR_H",
INDEX('3BR_H-processed'!$E:$E,MATCH($L59,'3BR_H-processed'!$B:$B,0),MATCH(Council_Area,'3BR_H-processed'!$E$1:$E$1,0)),
INDEX('2BR_F-processed'!$E:$E,MATCH($L59,'2BR_F-processed'!$B:$B,0),MATCH(Council_Area,'2BR_F-processed'!$E$1:$E$1,0)))</f>
        <v>457</v>
      </c>
      <c r="U59" s="22">
        <f t="shared" si="25"/>
        <v>457</v>
      </c>
      <c r="V59" s="22">
        <f t="shared" si="34"/>
        <v>5941</v>
      </c>
      <c r="W59" s="22">
        <f>$B$53/4*BH59/_xlfn.XLOOKUP(Q_end,cpi!A:A,cpi!B:B)</f>
        <v>161.29923980649622</v>
      </c>
      <c r="X59" s="22">
        <f t="shared" si="42"/>
        <v>6102.2992398064962</v>
      </c>
      <c r="Y59" s="22">
        <f t="shared" si="43"/>
        <v>-461.85106348071167</v>
      </c>
      <c r="Z59" s="22">
        <f t="shared" si="64"/>
        <v>0</v>
      </c>
      <c r="AA59" s="22" cm="1">
        <f t="array" ref="AA59">(Y59+Z59)*eff_invest</f>
        <v>-461.85106348071167</v>
      </c>
      <c r="AB59" s="22">
        <f>AA59*(_xlfn.XLOOKUP(Q_end,cpi!A:A,cpi!B:B)/BH59)</f>
        <v>-572.66365797479841</v>
      </c>
      <c r="AC59" s="22" cm="1">
        <f t="array" ref="AC59">INDEX('msci-indices'!C:C,MATCH($L59,'msci-indices'!$B:$B)-2)</f>
        <v>1916.2448380000001</v>
      </c>
      <c r="AD59" s="22" cm="1">
        <f t="array" ref="AD59">INDEX('msci-indices'!D:D,MATCH($L59,'msci-indices'!$B:$B)-2)</f>
        <v>1819.5211509999999</v>
      </c>
      <c r="AE59" s="22">
        <f t="shared" si="65"/>
        <v>284715.18332770723</v>
      </c>
      <c r="AF59" s="22" cm="1">
        <f t="array" ref="AF59">INDEX('msci-indices'!C:C,MATCH($L59,'msci-indices'!$B:$B)+1)</f>
        <v>1491.44822</v>
      </c>
      <c r="AG59" s="22" cm="1">
        <f t="array" ref="AG59">INDEX('msci-indices'!D:D,MATCH($L59,'msci-indices'!$B:$B)+1)</f>
        <v>1384.5123450000001</v>
      </c>
      <c r="AH59" s="22">
        <f t="shared" si="44"/>
        <v>177.94698957981703</v>
      </c>
      <c r="AI59" s="22">
        <f t="shared" si="45"/>
        <v>219935.10961641121</v>
      </c>
      <c r="AJ59" s="22">
        <f t="shared" si="66"/>
        <v>124139.64137051151</v>
      </c>
      <c r="AK59" s="22">
        <f t="shared" si="46"/>
        <v>95795.468245899698</v>
      </c>
      <c r="AL59" s="22">
        <f>AJ59*(_xlfn.XLOOKUP(Q_end,cpi!A:A,cpi!B:B)/BH59)</f>
        <v>153924.64529831204</v>
      </c>
      <c r="AM59" s="22" cm="1">
        <f t="array" ref="AM59">SUMPRODUCT($AA$3:AA59,_xlfn.SORTBY($BH$3:BH59,_xlfn.SEQUENCE(ROWS($BH$3:BH59)),-1)/$BH$3)</f>
        <v>165136.67692053854</v>
      </c>
      <c r="AN59" s="22">
        <f t="shared" si="30"/>
        <v>54798.432695872674</v>
      </c>
      <c r="AO59" s="22">
        <f t="shared" si="47"/>
        <v>0</v>
      </c>
      <c r="AP59" s="22">
        <f t="shared" si="31"/>
        <v>219935.10961641121</v>
      </c>
      <c r="AQ59" s="22"/>
      <c r="AR59" s="10">
        <f>IF($B$10="3BR_H",
INDEX('ns-combined'!$C:$D,MATCH($L59,'ns-combined'!$B:$B,0),MATCH(Council_Area,'ns-combined'!$C$1:$D$1,0))*1000,
INDEX('s-combined'!$C:$D,MATCH($L59,'s-combined'!$B:$B,0),MATCH(Council_Area,'s-combined'!$C$1:$D$1,0))*1000)</f>
        <v>529000</v>
      </c>
      <c r="AS59" s="22">
        <f t="shared" si="35"/>
        <v>37050</v>
      </c>
      <c r="AT59" s="10">
        <v>0</v>
      </c>
      <c r="AU59" s="22">
        <f t="shared" si="48"/>
        <v>10580</v>
      </c>
      <c r="AV59" s="22">
        <f t="shared" si="49"/>
        <v>1520.875</v>
      </c>
      <c r="AW59" s="22">
        <f>SUM($AV$3:AV59)</f>
        <v>58397.862500000003</v>
      </c>
      <c r="AX59" s="22">
        <f t="shared" si="50"/>
        <v>422972.13750000001</v>
      </c>
      <c r="AY59" s="22">
        <f t="shared" si="51"/>
        <v>2079.3500000000004</v>
      </c>
      <c r="AZ59" s="24">
        <f t="shared" si="52"/>
        <v>1.572287334593573E-2</v>
      </c>
      <c r="BA59" s="24">
        <f t="shared" si="53"/>
        <v>0.35000000000000009</v>
      </c>
      <c r="BB59" s="25">
        <f>IF(MortgageRate="Discounted",_xlfn.XLOOKUP(L59,'mortgage-rates'!$A:$A,'mortgage-rates'!$E:$E)/100,_xlfn.XLOOKUP(L59,'mortgage-rates'!$A:$A,'mortgage-rates'!$D:$D)/100)</f>
        <v>3.9100000000000003E-2</v>
      </c>
      <c r="BC59" s="10">
        <f t="shared" si="67"/>
        <v>126850.16829334128</v>
      </c>
      <c r="BD59" s="10">
        <f t="shared" si="54"/>
        <v>3561.0981763257837</v>
      </c>
      <c r="BE59" s="10">
        <f t="shared" si="55"/>
        <v>1239.9603950674111</v>
      </c>
      <c r="BF59" s="10">
        <f t="shared" si="36"/>
        <v>2321.1377812583723</v>
      </c>
      <c r="BG59" s="12">
        <f t="shared" si="56"/>
        <v>5640.4481763257845</v>
      </c>
      <c r="BH59" s="22">
        <f>INDEX(cpi!B:B,MATCH($L59,cpi!A:A))</f>
        <v>116.7</v>
      </c>
      <c r="BI59" s="22">
        <f t="shared" si="57"/>
        <v>137.94326241134752</v>
      </c>
      <c r="BJ59" s="22">
        <f t="shared" si="58"/>
        <v>253.84774076246714</v>
      </c>
      <c r="BK59" s="22">
        <f t="shared" si="59"/>
        <v>255.20796804239237</v>
      </c>
      <c r="BL59" s="22">
        <f t="shared" si="60"/>
        <v>254.25580894644472</v>
      </c>
      <c r="BM59" s="22">
        <f t="shared" si="61"/>
        <v>433.16548992755082</v>
      </c>
      <c r="BN59" s="22">
        <f t="shared" si="62"/>
        <v>203.46153846153845</v>
      </c>
      <c r="BO59">
        <f t="shared" si="63"/>
        <v>166.91711309083377</v>
      </c>
    </row>
    <row r="60" spans="1:67" x14ac:dyDescent="0.25">
      <c r="L60" s="1">
        <f t="shared" si="33"/>
        <v>43983</v>
      </c>
      <c r="M60" s="10">
        <f t="shared" si="38"/>
        <v>261188.80300748115</v>
      </c>
      <c r="N60" s="10">
        <f t="shared" si="39"/>
        <v>287478.1069879171</v>
      </c>
      <c r="O60" s="7">
        <f t="shared" si="24"/>
        <v>0.90855197894585793</v>
      </c>
      <c r="P60" s="7">
        <f t="shared" si="40"/>
        <v>1.090394769328201</v>
      </c>
      <c r="Q60">
        <v>58</v>
      </c>
      <c r="R60">
        <f t="shared" si="41"/>
        <v>91</v>
      </c>
      <c r="S60" s="22"/>
      <c r="T60" s="22">
        <f>IF($B$10="3BR_H",
INDEX('3BR_H-processed'!$E:$E,MATCH($L60,'3BR_H-processed'!$B:$B,0),MATCH(Council_Area,'3BR_H-processed'!$E$1:$E$1,0)),
INDEX('2BR_F-processed'!$E:$E,MATCH($L60,'2BR_F-processed'!$B:$B,0),MATCH(Council_Area,'2BR_F-processed'!$E$1:$E$1,0)))</f>
        <v>457</v>
      </c>
      <c r="U60" s="22">
        <f t="shared" si="25"/>
        <v>457</v>
      </c>
      <c r="V60" s="22">
        <f t="shared" si="34"/>
        <v>5941</v>
      </c>
      <c r="W60" s="22">
        <f>$B$53/4*BH60/_xlfn.XLOOKUP(Q_end,cpi!A:A,cpi!B:B)</f>
        <v>158.25846579129234</v>
      </c>
      <c r="X60" s="22">
        <f t="shared" si="42"/>
        <v>6099.2584657912921</v>
      </c>
      <c r="Y60" s="22">
        <f t="shared" si="43"/>
        <v>-505.63436068935425</v>
      </c>
      <c r="Z60" s="22">
        <f t="shared" si="64"/>
        <v>0</v>
      </c>
      <c r="AA60" s="22" cm="1">
        <f t="array" ref="AA60">(Y60+Z60)*eff_invest</f>
        <v>-505.63436068935425</v>
      </c>
      <c r="AB60" s="22">
        <f>AA60*(_xlfn.XLOOKUP(Q_end,cpi!A:A,cpi!B:B)/BH60)</f>
        <v>-638.99818333405722</v>
      </c>
      <c r="AC60" s="22" cm="1">
        <f t="array" ref="AC60">INDEX('msci-indices'!C:C,MATCH($L60,'msci-indices'!$B:$B)-2)</f>
        <v>1491.44822</v>
      </c>
      <c r="AD60" s="22" cm="1">
        <f t="array" ref="AD60">INDEX('msci-indices'!D:D,MATCH($L60,'msci-indices'!$B:$B)-2)</f>
        <v>1384.5123450000001</v>
      </c>
      <c r="AE60" s="22">
        <f t="shared" si="65"/>
        <v>219429.47525572186</v>
      </c>
      <c r="AF60" s="22" cm="1">
        <f t="array" ref="AF60">INDEX('msci-indices'!C:C,MATCH($L60,'msci-indices'!$B:$B)+1)</f>
        <v>1788.7914370000001</v>
      </c>
      <c r="AG60" s="22" cm="1">
        <f t="array" ref="AG60">INDEX('msci-indices'!D:D,MATCH($L60,'msci-indices'!$B:$B)+1)</f>
        <v>1621.623241</v>
      </c>
      <c r="AH60" s="22">
        <f t="shared" si="44"/>
        <v>137.14342203482616</v>
      </c>
      <c r="AI60" s="22">
        <f t="shared" si="45"/>
        <v>261188.80300748115</v>
      </c>
      <c r="AJ60" s="22">
        <f t="shared" si="66"/>
        <v>123634.00700982216</v>
      </c>
      <c r="AK60" s="22">
        <f t="shared" si="46"/>
        <v>137554.79599765898</v>
      </c>
      <c r="AL60" s="22">
        <f>AJ60*(_xlfn.XLOOKUP(Q_end,cpi!A:A,cpi!B:B)/BH60)</f>
        <v>156243.1512167796</v>
      </c>
      <c r="AM60" s="22" cm="1">
        <f t="array" ref="AM60">SUMPRODUCT($AA$3:AA60,_xlfn.SORTBY($BH$3:BH60,_xlfn.SEQUENCE(ROWS($BH$3:BH60)),-1)/$BH$3)</f>
        <v>163283.24717686046</v>
      </c>
      <c r="AN60" s="22">
        <f t="shared" si="30"/>
        <v>97905.555830620695</v>
      </c>
      <c r="AO60" s="22">
        <f t="shared" si="47"/>
        <v>0</v>
      </c>
      <c r="AP60" s="22">
        <f t="shared" si="31"/>
        <v>261188.80300748115</v>
      </c>
      <c r="AQ60" s="22"/>
      <c r="AR60" s="10">
        <f>IF($B$10="3BR_H",
INDEX('ns-combined'!$C:$D,MATCH($L60,'ns-combined'!$B:$B,0),MATCH(Council_Area,'ns-combined'!$C$1:$D$1,0))*1000,
INDEX('s-combined'!$C:$D,MATCH($L60,'s-combined'!$B:$B,0),MATCH(Council_Area,'s-combined'!$C$1:$D$1,0))*1000)</f>
        <v>520000</v>
      </c>
      <c r="AS60" s="22">
        <f t="shared" si="35"/>
        <v>37700</v>
      </c>
      <c r="AT60" s="10">
        <v>0</v>
      </c>
      <c r="AU60" s="22">
        <f t="shared" si="48"/>
        <v>10400</v>
      </c>
      <c r="AV60" s="22">
        <f t="shared" si="49"/>
        <v>1495</v>
      </c>
      <c r="AW60" s="22">
        <f>SUM($AV$3:AV60)</f>
        <v>59892.862500000003</v>
      </c>
      <c r="AX60" s="22">
        <f t="shared" si="50"/>
        <v>412007.13750000001</v>
      </c>
      <c r="AY60" s="22">
        <f t="shared" si="51"/>
        <v>2079.3500000000004</v>
      </c>
      <c r="AZ60" s="24">
        <f t="shared" si="52"/>
        <v>1.5995000000000002E-2</v>
      </c>
      <c r="BA60" s="24">
        <f t="shared" si="53"/>
        <v>0.35000000000000009</v>
      </c>
      <c r="BB60" s="25">
        <f>IF(MortgageRate="Discounted",_xlfn.XLOOKUP(L60,'mortgage-rates'!$A:$A,'mortgage-rates'!$E:$E)/100,_xlfn.XLOOKUP(L60,'mortgage-rates'!$A:$A,'mortgage-rates'!$D:$D)/100)</f>
        <v>3.6499999999999998E-2</v>
      </c>
      <c r="BC60" s="10">
        <f t="shared" si="67"/>
        <v>124529.03051208291</v>
      </c>
      <c r="BD60" s="10">
        <f t="shared" si="54"/>
        <v>3514.2741051019375</v>
      </c>
      <c r="BE60" s="10">
        <f t="shared" si="55"/>
        <v>1136.3274034227566</v>
      </c>
      <c r="BF60" s="10">
        <f t="shared" si="36"/>
        <v>2377.9467016791809</v>
      </c>
      <c r="BG60" s="12">
        <f t="shared" si="56"/>
        <v>5593.6241051019379</v>
      </c>
      <c r="BH60" s="22">
        <f>INDEX(cpi!B:B,MATCH($L60,cpi!A:A))</f>
        <v>114.5</v>
      </c>
      <c r="BI60" s="22">
        <f t="shared" si="57"/>
        <v>135.34278959810877</v>
      </c>
      <c r="BJ60" s="22">
        <f t="shared" si="58"/>
        <v>197.57431493271579</v>
      </c>
      <c r="BK60" s="22">
        <f t="shared" si="59"/>
        <v>194.19317115542438</v>
      </c>
      <c r="BL60" s="22">
        <f t="shared" si="60"/>
        <v>196.55997179952837</v>
      </c>
      <c r="BM60" s="22">
        <f t="shared" si="61"/>
        <v>333.83985723124715</v>
      </c>
      <c r="BN60" s="22">
        <f t="shared" si="62"/>
        <v>200</v>
      </c>
      <c r="BO60">
        <f t="shared" si="63"/>
        <v>162.590005031521</v>
      </c>
    </row>
    <row r="61" spans="1:67" x14ac:dyDescent="0.25">
      <c r="L61" s="1">
        <f t="shared" si="33"/>
        <v>44075</v>
      </c>
      <c r="M61" s="10">
        <f t="shared" si="38"/>
        <v>274810.26254286361</v>
      </c>
      <c r="N61" s="10">
        <f t="shared" si="39"/>
        <v>296016.61618959624</v>
      </c>
      <c r="O61" s="7">
        <f t="shared" si="24"/>
        <v>0.92836093487012183</v>
      </c>
      <c r="P61" s="7">
        <f t="shared" si="40"/>
        <v>1.098000943952866</v>
      </c>
      <c r="Q61">
        <v>59</v>
      </c>
      <c r="R61">
        <f t="shared" si="41"/>
        <v>92</v>
      </c>
      <c r="S61" s="22"/>
      <c r="T61" s="22">
        <f>IF($B$10="3BR_H",
INDEX('3BR_H-processed'!$E:$E,MATCH($L61,'3BR_H-processed'!$B:$B,0),MATCH(Council_Area,'3BR_H-processed'!$E$1:$E$1,0)),
INDEX('2BR_F-processed'!$E:$E,MATCH($L61,'2BR_F-processed'!$B:$B,0),MATCH(Council_Area,'2BR_F-processed'!$E$1:$E$1,0)))</f>
        <v>481</v>
      </c>
      <c r="U61" s="22">
        <f t="shared" si="25"/>
        <v>457</v>
      </c>
      <c r="V61" s="22">
        <f t="shared" si="34"/>
        <v>6006.2857142857147</v>
      </c>
      <c r="W61" s="22">
        <f>$B$53/4*BH61/_xlfn.XLOOKUP(Q_end,cpi!A:A,cpi!B:B)</f>
        <v>160.60815480304078</v>
      </c>
      <c r="X61" s="22">
        <f t="shared" si="42"/>
        <v>6166.8938690887553</v>
      </c>
      <c r="Y61" s="22">
        <f t="shared" si="43"/>
        <v>-550.419763986818</v>
      </c>
      <c r="Z61" s="22">
        <f t="shared" si="64"/>
        <v>0</v>
      </c>
      <c r="AA61" s="22" cm="1">
        <f t="array" ref="AA61">(Y61+Z61)*eff_invest</f>
        <v>-550.419763986818</v>
      </c>
      <c r="AB61" s="22">
        <f>AA61*(_xlfn.XLOOKUP(Q_end,cpi!A:A,cpi!B:B)/BH61)</f>
        <v>-685.41944792506501</v>
      </c>
      <c r="AC61" s="22" cm="1">
        <f t="array" ref="AC61">INDEX('msci-indices'!C:C,MATCH($L61,'msci-indices'!$B:$B)-2)</f>
        <v>1788.7914370000001</v>
      </c>
      <c r="AD61" s="22" cm="1">
        <f t="array" ref="AD61">INDEX('msci-indices'!D:D,MATCH($L61,'msci-indices'!$B:$B)-2)</f>
        <v>1621.623241</v>
      </c>
      <c r="AE61" s="22">
        <f t="shared" si="65"/>
        <v>260638.38324349435</v>
      </c>
      <c r="AF61" s="22" cm="1">
        <f t="array" ref="AF61">INDEX('msci-indices'!C:C,MATCH($L61,'msci-indices'!$B:$B)+1)</f>
        <v>1929.6383699999999</v>
      </c>
      <c r="AG61" s="22" cm="1">
        <f t="array" ref="AG61">INDEX('msci-indices'!D:D,MATCH($L61,'msci-indices'!$B:$B)+1)</f>
        <v>1620.9837990000001</v>
      </c>
      <c r="AH61" s="22">
        <f t="shared" si="44"/>
        <v>162.89898952718397</v>
      </c>
      <c r="AI61" s="22">
        <f t="shared" si="45"/>
        <v>274810.26254286361</v>
      </c>
      <c r="AJ61" s="22">
        <f t="shared" si="66"/>
        <v>123083.58724583534</v>
      </c>
      <c r="AK61" s="22">
        <f t="shared" si="46"/>
        <v>151726.67529702827</v>
      </c>
      <c r="AL61" s="22">
        <f>AJ61*(_xlfn.XLOOKUP(Q_end,cpi!A:A,cpi!B:B)/BH61)</f>
        <v>153271.90253418565</v>
      </c>
      <c r="AM61" s="22" cm="1">
        <f t="array" ref="AM61">SUMPRODUCT($AA$3:AA61,_xlfn.SORTBY($BH$3:BH61,_xlfn.SEQUENCE(ROWS($BH$3:BH61)),-1)/$BH$3)</f>
        <v>164342.44903971496</v>
      </c>
      <c r="AN61" s="22">
        <f t="shared" si="30"/>
        <v>110467.81350314865</v>
      </c>
      <c r="AO61" s="22">
        <f t="shared" si="47"/>
        <v>0</v>
      </c>
      <c r="AP61" s="22">
        <f t="shared" si="31"/>
        <v>274810.26254286361</v>
      </c>
      <c r="AQ61" s="22"/>
      <c r="AR61" s="10">
        <f>IF($B$10="3BR_H",
INDEX('ns-combined'!$C:$D,MATCH($L61,'ns-combined'!$B:$B,0),MATCH(Council_Area,'ns-combined'!$C$1:$D$1,0))*1000,
INDEX('s-combined'!$C:$D,MATCH($L61,'s-combined'!$B:$B,0),MATCH(Council_Area,'s-combined'!$C$1:$D$1,0))*1000)</f>
        <v>528500</v>
      </c>
      <c r="AS61" s="22">
        <f t="shared" si="35"/>
        <v>38350</v>
      </c>
      <c r="AT61" s="10">
        <v>0</v>
      </c>
      <c r="AU61" s="22">
        <f t="shared" si="48"/>
        <v>10570</v>
      </c>
      <c r="AV61" s="22">
        <f t="shared" si="49"/>
        <v>1519.4375</v>
      </c>
      <c r="AW61" s="22">
        <f>SUM($AV$3:AV61)</f>
        <v>61412.3</v>
      </c>
      <c r="AX61" s="22">
        <f t="shared" si="50"/>
        <v>418167.7</v>
      </c>
      <c r="AY61" s="22">
        <f t="shared" si="51"/>
        <v>2102.2000000000003</v>
      </c>
      <c r="AZ61" s="24">
        <f t="shared" si="52"/>
        <v>1.5910690633869445E-2</v>
      </c>
      <c r="BA61" s="24">
        <f t="shared" si="53"/>
        <v>0.35000000000000003</v>
      </c>
      <c r="BB61" s="25">
        <f>IF(MortgageRate="Discounted",_xlfn.XLOOKUP(L61,'mortgage-rates'!$A:$A,'mortgage-rates'!$E:$E)/100,_xlfn.XLOOKUP(L61,'mortgage-rates'!$A:$A,'mortgage-rates'!$D:$D)/100)</f>
        <v>3.6499999999999998E-2</v>
      </c>
      <c r="BC61" s="10">
        <f t="shared" si="67"/>
        <v>122151.08381040374</v>
      </c>
      <c r="BD61" s="10">
        <f t="shared" si="54"/>
        <v>3514.2741051019375</v>
      </c>
      <c r="BE61" s="10">
        <f t="shared" si="55"/>
        <v>1114.6286397699341</v>
      </c>
      <c r="BF61" s="10">
        <f t="shared" si="36"/>
        <v>2399.6454653320034</v>
      </c>
      <c r="BG61" s="12">
        <f t="shared" si="56"/>
        <v>5616.4741051019373</v>
      </c>
      <c r="BH61" s="22">
        <f>INDEX(cpi!B:B,MATCH($L61,cpi!A:A))</f>
        <v>116.2</v>
      </c>
      <c r="BI61" s="22">
        <f t="shared" si="57"/>
        <v>137.35224586288416</v>
      </c>
      <c r="BJ61" s="22">
        <f t="shared" si="58"/>
        <v>236.96380335804304</v>
      </c>
      <c r="BK61" s="22">
        <f t="shared" si="59"/>
        <v>227.4505971191806</v>
      </c>
      <c r="BL61" s="22">
        <f t="shared" si="60"/>
        <v>234.10984148638431</v>
      </c>
      <c r="BM61" s="22">
        <f t="shared" si="61"/>
        <v>396.53506234560581</v>
      </c>
      <c r="BN61" s="22">
        <f t="shared" si="62"/>
        <v>203.26923076923077</v>
      </c>
      <c r="BO61">
        <f t="shared" si="63"/>
        <v>165.0211422539241</v>
      </c>
    </row>
    <row r="62" spans="1:67" x14ac:dyDescent="0.25">
      <c r="L62" s="1">
        <f t="shared" si="33"/>
        <v>44166</v>
      </c>
      <c r="M62" s="10">
        <f t="shared" si="38"/>
        <v>314669.83823835017</v>
      </c>
      <c r="N62" s="10">
        <f t="shared" si="39"/>
        <v>334550.12415492826</v>
      </c>
      <c r="O62" s="7">
        <f t="shared" si="24"/>
        <v>0.94057606175817277</v>
      </c>
      <c r="P62" s="7">
        <f t="shared" si="40"/>
        <v>1.0982470360706336</v>
      </c>
      <c r="Q62">
        <v>60</v>
      </c>
      <c r="R62">
        <f t="shared" si="41"/>
        <v>92</v>
      </c>
      <c r="S62" s="22"/>
      <c r="T62" s="22">
        <f>IF($B$10="3BR_H",
INDEX('3BR_H-processed'!$E:$E,MATCH($L62,'3BR_H-processed'!$B:$B,0),MATCH(Council_Area,'3BR_H-processed'!$E$1:$E$1,0)),
INDEX('2BR_F-processed'!$E:$E,MATCH($L62,'2BR_F-processed'!$B:$B,0),MATCH(Council_Area,'2BR_F-processed'!$E$1:$E$1,0)))</f>
        <v>481</v>
      </c>
      <c r="U62" s="22">
        <f t="shared" si="25"/>
        <v>457</v>
      </c>
      <c r="V62" s="22">
        <f t="shared" si="34"/>
        <v>6006.2857142857147</v>
      </c>
      <c r="W62" s="22">
        <f>$B$53/4*BH62/_xlfn.XLOOKUP(Q_end,cpi!A:A,cpi!B:B)</f>
        <v>161.99032480995163</v>
      </c>
      <c r="X62" s="22">
        <f t="shared" si="42"/>
        <v>6168.2760390956664</v>
      </c>
      <c r="Y62" s="22">
        <f t="shared" si="43"/>
        <v>-551.80193399372911</v>
      </c>
      <c r="Z62" s="22">
        <f t="shared" si="64"/>
        <v>0</v>
      </c>
      <c r="AA62" s="22" cm="1">
        <f t="array" ref="AA62">(Y62+Z62)*eff_invest</f>
        <v>-551.80193399372911</v>
      </c>
      <c r="AB62" s="22">
        <f>AA62*(_xlfn.XLOOKUP(Q_end,cpi!A:A,cpi!B:B)/BH62)</f>
        <v>-681.27764376188225</v>
      </c>
      <c r="AC62" s="22" cm="1">
        <f t="array" ref="AC62">INDEX('msci-indices'!C:C,MATCH($L62,'msci-indices'!$B:$B)-2)</f>
        <v>1929.6383699999999</v>
      </c>
      <c r="AD62" s="22" cm="1">
        <f t="array" ref="AD62">INDEX('msci-indices'!D:D,MATCH($L62,'msci-indices'!$B:$B)-2)</f>
        <v>1620.9837990000001</v>
      </c>
      <c r="AE62" s="22">
        <f t="shared" si="65"/>
        <v>274258.46060886991</v>
      </c>
      <c r="AF62" s="22" cm="1">
        <f t="array" ref="AF62">INDEX('msci-indices'!C:C,MATCH($L62,'msci-indices'!$B:$B)+1)</f>
        <v>2220.940302</v>
      </c>
      <c r="AG62" s="22" cm="1">
        <f t="array" ref="AG62">INDEX('msci-indices'!D:D,MATCH($L62,'msci-indices'!$B:$B)+1)</f>
        <v>1849.5394759999999</v>
      </c>
      <c r="AH62" s="22">
        <f t="shared" si="44"/>
        <v>171.4115378805437</v>
      </c>
      <c r="AI62" s="22">
        <f t="shared" si="45"/>
        <v>314669.83823835017</v>
      </c>
      <c r="AJ62" s="22">
        <f t="shared" si="66"/>
        <v>122531.78531184161</v>
      </c>
      <c r="AK62" s="22">
        <f t="shared" si="46"/>
        <v>192138.05292650856</v>
      </c>
      <c r="AL62" s="22">
        <f>AJ62*(_xlfn.XLOOKUP(Q_end,cpi!A:A,cpi!B:B)/BH62)</f>
        <v>151282.84415207748</v>
      </c>
      <c r="AM62" s="22" cm="1">
        <f t="array" ref="AM62">SUMPRODUCT($AA$3:AA62,_xlfn.SORTBY($BH$3:BH62,_xlfn.SEQUENCE(ROWS($BH$3:BH62)),-1)/$BH$3)</f>
        <v>164873.45072781126</v>
      </c>
      <c r="AN62" s="22">
        <f t="shared" si="30"/>
        <v>149796.38751053892</v>
      </c>
      <c r="AO62" s="22">
        <f t="shared" si="47"/>
        <v>0</v>
      </c>
      <c r="AP62" s="22">
        <f t="shared" si="31"/>
        <v>314669.83823835017</v>
      </c>
      <c r="AQ62" s="22"/>
      <c r="AR62" s="10">
        <f>IF($B$10="3BR_H",
INDEX('ns-combined'!$C:$D,MATCH($L62,'ns-combined'!$B:$B,0),MATCH(Council_Area,'ns-combined'!$C$1:$D$1,0))*1000,
INDEX('s-combined'!$C:$D,MATCH($L62,'s-combined'!$B:$B,0),MATCH(Council_Area,'s-combined'!$C$1:$D$1,0))*1000)</f>
        <v>567700</v>
      </c>
      <c r="AS62" s="22">
        <f t="shared" si="35"/>
        <v>39000</v>
      </c>
      <c r="AT62" s="10">
        <v>0</v>
      </c>
      <c r="AU62" s="22">
        <f t="shared" si="48"/>
        <v>11354</v>
      </c>
      <c r="AV62" s="22">
        <f t="shared" si="49"/>
        <v>1632.1375</v>
      </c>
      <c r="AW62" s="22">
        <f>SUM($AV$3:AV62)</f>
        <v>63044.4375</v>
      </c>
      <c r="AX62" s="22">
        <f t="shared" si="50"/>
        <v>454301.5625</v>
      </c>
      <c r="AY62" s="22">
        <f t="shared" si="51"/>
        <v>2102.2000000000003</v>
      </c>
      <c r="AZ62" s="24">
        <f t="shared" si="52"/>
        <v>1.4812048617227411E-2</v>
      </c>
      <c r="BA62" s="24">
        <f t="shared" si="53"/>
        <v>0.35000000000000003</v>
      </c>
      <c r="BB62" s="25">
        <f>IF(MortgageRate="Discounted",_xlfn.XLOOKUP(L62,'mortgage-rates'!$A:$A,'mortgage-rates'!$E:$E)/100,_xlfn.XLOOKUP(L62,'mortgage-rates'!$A:$A,'mortgage-rates'!$D:$D)/100)</f>
        <v>3.6499999999999998E-2</v>
      </c>
      <c r="BC62" s="10">
        <f t="shared" si="67"/>
        <v>119751.43834507174</v>
      </c>
      <c r="BD62" s="10">
        <f t="shared" si="54"/>
        <v>3514.2741051019375</v>
      </c>
      <c r="BE62" s="10">
        <f t="shared" si="55"/>
        <v>1092.7318748987796</v>
      </c>
      <c r="BF62" s="10">
        <f t="shared" si="36"/>
        <v>2421.5422302031579</v>
      </c>
      <c r="BG62" s="12">
        <f t="shared" si="56"/>
        <v>5616.4741051019373</v>
      </c>
      <c r="BH62" s="22">
        <f>INDEX(cpi!B:B,MATCH($L62,cpi!A:A))</f>
        <v>117.2</v>
      </c>
      <c r="BI62" s="22">
        <f t="shared" si="57"/>
        <v>138.53427895981088</v>
      </c>
      <c r="BJ62" s="22">
        <f t="shared" si="58"/>
        <v>255.62200142666194</v>
      </c>
      <c r="BK62" s="22">
        <f t="shared" si="59"/>
        <v>227.36090830549944</v>
      </c>
      <c r="BL62" s="22">
        <f t="shared" si="60"/>
        <v>247.14367349031318</v>
      </c>
      <c r="BM62" s="22">
        <f t="shared" si="61"/>
        <v>417.25663896076458</v>
      </c>
      <c r="BN62" s="22">
        <f t="shared" si="62"/>
        <v>218.34615384615384</v>
      </c>
      <c r="BO62">
        <f t="shared" si="63"/>
        <v>179.28061581870739</v>
      </c>
    </row>
    <row r="63" spans="1:67" x14ac:dyDescent="0.25">
      <c r="L63" s="1">
        <f t="shared" si="33"/>
        <v>44256</v>
      </c>
      <c r="M63" s="10">
        <f t="shared" si="38"/>
        <v>329986.28633387911</v>
      </c>
      <c r="N63" s="10">
        <f t="shared" si="39"/>
        <v>376021.91638513142</v>
      </c>
      <c r="O63" s="7">
        <f t="shared" si="24"/>
        <v>0.87757194981129394</v>
      </c>
      <c r="P63" s="7">
        <f t="shared" si="40"/>
        <v>1.1176893504880623</v>
      </c>
      <c r="Q63">
        <v>61</v>
      </c>
      <c r="R63">
        <f t="shared" si="41"/>
        <v>90</v>
      </c>
      <c r="S63" s="22"/>
      <c r="T63" s="22">
        <f>IF($B$10="3BR_H",
INDEX('3BR_H-processed'!$E:$E,MATCH($L63,'3BR_H-processed'!$B:$B,0),MATCH(Council_Area,'3BR_H-processed'!$E$1:$E$1,0)),
INDEX('2BR_F-processed'!$E:$E,MATCH($L63,'2BR_F-processed'!$B:$B,0),MATCH(Council_Area,'2BR_F-processed'!$E$1:$E$1,0)))</f>
        <v>481</v>
      </c>
      <c r="U63" s="22">
        <f t="shared" si="25"/>
        <v>481</v>
      </c>
      <c r="V63" s="22">
        <f t="shared" si="34"/>
        <v>6184.2857142857147</v>
      </c>
      <c r="W63" s="22">
        <f>$B$53/4*BH63/_xlfn.XLOOKUP(Q_end,cpi!A:A,cpi!B:B)</f>
        <v>162.81962681409814</v>
      </c>
      <c r="X63" s="22">
        <f t="shared" si="42"/>
        <v>6347.1053410998129</v>
      </c>
      <c r="Y63" s="22">
        <f t="shared" si="43"/>
        <v>-668.3312359978745</v>
      </c>
      <c r="Z63" s="22">
        <f t="shared" si="64"/>
        <v>0</v>
      </c>
      <c r="AA63" s="22" cm="1">
        <f t="array" ref="AA63">(Y63+Z63)*eff_invest</f>
        <v>-668.3312359978745</v>
      </c>
      <c r="AB63" s="22">
        <f>AA63*(_xlfn.XLOOKUP(Q_end,cpi!A:A,cpi!B:B)/BH63)</f>
        <v>-820.94677291080166</v>
      </c>
      <c r="AC63" s="22" cm="1">
        <f t="array" ref="AC63">INDEX('msci-indices'!C:C,MATCH($L63,'msci-indices'!$B:$B)-2)</f>
        <v>2220.940302</v>
      </c>
      <c r="AD63" s="22" cm="1">
        <f t="array" ref="AD63">INDEX('msci-indices'!D:D,MATCH($L63,'msci-indices'!$B:$B)-2)</f>
        <v>1849.5394759999999</v>
      </c>
      <c r="AE63" s="22">
        <f t="shared" si="65"/>
        <v>314001.50700235227</v>
      </c>
      <c r="AF63" s="22" cm="1">
        <f t="array" ref="AF63">INDEX('msci-indices'!C:C,MATCH($L63,'msci-indices'!$B:$B)+1)</f>
        <v>2342.5854599999998</v>
      </c>
      <c r="AG63" s="22" cm="1">
        <f t="array" ref="AG63">INDEX('msci-indices'!D:D,MATCH($L63,'msci-indices'!$B:$B)+1)</f>
        <v>1930.8659110000001</v>
      </c>
      <c r="AH63" s="22">
        <f t="shared" si="44"/>
        <v>196.25094187647016</v>
      </c>
      <c r="AI63" s="22">
        <f t="shared" si="45"/>
        <v>329986.28633387911</v>
      </c>
      <c r="AJ63" s="22">
        <f t="shared" si="66"/>
        <v>121863.45407584374</v>
      </c>
      <c r="AK63" s="22">
        <f t="shared" si="46"/>
        <v>208122.83225803537</v>
      </c>
      <c r="AL63" s="22">
        <f>AJ63*(_xlfn.XLOOKUP(Q_end,cpi!A:A,cpi!B:B)/BH63)</f>
        <v>149691.35657703385</v>
      </c>
      <c r="AM63" s="22" cm="1">
        <f t="array" ref="AM63">SUMPRODUCT($AA$3:AA63,_xlfn.SORTBY($BH$3:BH63,_xlfn.SEQUENCE(ROWS($BH$3:BH63)),-1)/$BH$3)</f>
        <v>164979.06756947783</v>
      </c>
      <c r="AN63" s="22">
        <f t="shared" si="30"/>
        <v>165007.21876440127</v>
      </c>
      <c r="AO63" s="22">
        <f t="shared" si="47"/>
        <v>0</v>
      </c>
      <c r="AP63" s="22">
        <f t="shared" si="31"/>
        <v>329986.28633387911</v>
      </c>
      <c r="AQ63" s="22"/>
      <c r="AR63" s="10">
        <f>IF($B$10="3BR_H",
INDEX('ns-combined'!$C:$D,MATCH($L63,'ns-combined'!$B:$B,0),MATCH(Council_Area,'ns-combined'!$C$1:$D$1,0))*1000,
INDEX('s-combined'!$C:$D,MATCH($L63,'s-combined'!$B:$B,0),MATCH(Council_Area,'s-combined'!$C$1:$D$1,0))*1000)</f>
        <v>610000</v>
      </c>
      <c r="AS63" s="22">
        <f t="shared" si="35"/>
        <v>39650</v>
      </c>
      <c r="AT63" s="10">
        <v>0</v>
      </c>
      <c r="AU63" s="22">
        <f t="shared" si="48"/>
        <v>12200</v>
      </c>
      <c r="AV63" s="22">
        <f t="shared" si="49"/>
        <v>1753.75</v>
      </c>
      <c r="AW63" s="22">
        <f>SUM($AV$3:AV63)</f>
        <v>64798.1875</v>
      </c>
      <c r="AX63" s="22">
        <f t="shared" si="50"/>
        <v>493351.8125</v>
      </c>
      <c r="AY63" s="22">
        <f t="shared" si="51"/>
        <v>2164.5000000000005</v>
      </c>
      <c r="AZ63" s="24">
        <f t="shared" si="52"/>
        <v>1.4193442622950823E-2</v>
      </c>
      <c r="BA63" s="24">
        <f t="shared" si="53"/>
        <v>0.35000000000000003</v>
      </c>
      <c r="BB63" s="25">
        <f>IF(MortgageRate="Discounted",_xlfn.XLOOKUP(L63,'mortgage-rates'!$A:$A,'mortgage-rates'!$E:$E)/100,_xlfn.XLOOKUP(L63,'mortgage-rates'!$A:$A,'mortgage-rates'!$D:$D)/100)</f>
        <v>3.6499999999999998E-2</v>
      </c>
      <c r="BC63" s="10">
        <f t="shared" si="67"/>
        <v>117329.89611486859</v>
      </c>
      <c r="BD63" s="10">
        <f t="shared" si="54"/>
        <v>3514.2741051019379</v>
      </c>
      <c r="BE63" s="10">
        <f t="shared" si="55"/>
        <v>1070.6353020481758</v>
      </c>
      <c r="BF63" s="10">
        <f t="shared" si="36"/>
        <v>2443.6388030537619</v>
      </c>
      <c r="BG63" s="12">
        <f t="shared" si="56"/>
        <v>5678.7741051019384</v>
      </c>
      <c r="BH63" s="22">
        <f>INDEX(cpi!B:B,MATCH($L63,cpi!A:A))</f>
        <v>117.8</v>
      </c>
      <c r="BI63" s="22">
        <f t="shared" si="57"/>
        <v>139.24349881796692</v>
      </c>
      <c r="BJ63" s="22">
        <f t="shared" si="58"/>
        <v>294.21119204132276</v>
      </c>
      <c r="BK63" s="22">
        <f t="shared" si="59"/>
        <v>259.41837017103796</v>
      </c>
      <c r="BL63" s="22">
        <f t="shared" si="60"/>
        <v>283.77334548023731</v>
      </c>
      <c r="BM63" s="22">
        <f t="shared" si="61"/>
        <v>477.72168322372306</v>
      </c>
      <c r="BN63" s="22">
        <f t="shared" si="62"/>
        <v>234.61538461538461</v>
      </c>
      <c r="BO63">
        <f t="shared" si="63"/>
        <v>194.69098075196575</v>
      </c>
    </row>
    <row r="64" spans="1:67" x14ac:dyDescent="0.25">
      <c r="L64" s="1">
        <f t="shared" si="33"/>
        <v>44348</v>
      </c>
      <c r="M64" s="10">
        <f t="shared" si="38"/>
        <v>354480.82512289053</v>
      </c>
      <c r="N64" s="10">
        <f t="shared" si="39"/>
        <v>395604.30518818519</v>
      </c>
      <c r="O64" s="7">
        <f t="shared" si="24"/>
        <v>0.89604895718783295</v>
      </c>
      <c r="P64" s="7">
        <f t="shared" si="40"/>
        <v>1.1272122213447284</v>
      </c>
      <c r="Q64">
        <v>62</v>
      </c>
      <c r="R64">
        <f t="shared" si="41"/>
        <v>91</v>
      </c>
      <c r="S64" s="22"/>
      <c r="T64" s="22">
        <f>IF($B$10="3BR_H",
INDEX('3BR_H-processed'!$E:$E,MATCH($L64,'3BR_H-processed'!$B:$B,0),MATCH(Council_Area,'3BR_H-processed'!$E$1:$E$1,0)),
INDEX('2BR_F-processed'!$E:$E,MATCH($L64,'2BR_F-processed'!$B:$B,0),MATCH(Council_Area,'2BR_F-processed'!$E$1:$E$1,0)))</f>
        <v>481</v>
      </c>
      <c r="U64" s="22">
        <f t="shared" si="25"/>
        <v>481</v>
      </c>
      <c r="V64" s="22">
        <f t="shared" si="34"/>
        <v>6253</v>
      </c>
      <c r="W64" s="22">
        <f>$B$53/4*BH64/_xlfn.XLOOKUP(Q_end,cpi!A:A,cpi!B:B)</f>
        <v>164.201796821009</v>
      </c>
      <c r="X64" s="22">
        <f t="shared" si="42"/>
        <v>6417.2017968210093</v>
      </c>
      <c r="Y64" s="22">
        <f t="shared" si="43"/>
        <v>-724.2172147646761</v>
      </c>
      <c r="Z64" s="22">
        <f t="shared" si="64"/>
        <v>0</v>
      </c>
      <c r="AA64" s="22" cm="1">
        <f t="array" ref="AA64">(Y64+Z64)*eff_invest</f>
        <v>-724.2172147646761</v>
      </c>
      <c r="AB64" s="22">
        <f>AA64*(_xlfn.XLOOKUP(Q_end,cpi!A:A,cpi!B:B)/BH64)</f>
        <v>-882.10632135057767</v>
      </c>
      <c r="AC64" s="22" cm="1">
        <f t="array" ref="AC64">INDEX('msci-indices'!C:C,MATCH($L64,'msci-indices'!$B:$B)-2)</f>
        <v>2342.5854599999998</v>
      </c>
      <c r="AD64" s="22" cm="1">
        <f t="array" ref="AD64">INDEX('msci-indices'!D:D,MATCH($L64,'msci-indices'!$B:$B)-2)</f>
        <v>1930.8659110000001</v>
      </c>
      <c r="AE64" s="22">
        <f t="shared" si="65"/>
        <v>329262.06911911443</v>
      </c>
      <c r="AF64" s="22" cm="1">
        <f t="array" ref="AF64">INDEX('msci-indices'!C:C,MATCH($L64,'msci-indices'!$B:$B)+1)</f>
        <v>2515.6062010000001</v>
      </c>
      <c r="AG64" s="22" cm="1">
        <f t="array" ref="AG64">INDEX('msci-indices'!D:D,MATCH($L64,'msci-indices'!$B:$B)+1)</f>
        <v>2095.0894480000002</v>
      </c>
      <c r="AH64" s="22">
        <f t="shared" si="44"/>
        <v>205.78879319944653</v>
      </c>
      <c r="AI64" s="22">
        <f t="shared" si="45"/>
        <v>354480.82512289053</v>
      </c>
      <c r="AJ64" s="22">
        <f t="shared" si="66"/>
        <v>121139.23686107906</v>
      </c>
      <c r="AK64" s="22">
        <f t="shared" si="46"/>
        <v>233341.58826181147</v>
      </c>
      <c r="AL64" s="22">
        <f>AJ64*(_xlfn.XLOOKUP(Q_end,cpi!A:A,cpi!B:B)/BH64)</f>
        <v>147549.22200166783</v>
      </c>
      <c r="AM64" s="22" cm="1">
        <f t="array" ref="AM64">SUMPRODUCT($AA$3:AA64,_xlfn.SORTBY($BH$3:BH64,_xlfn.SEQUENCE(ROWS($BH$3:BH64)),-1)/$BH$3)</f>
        <v>165341.57817622091</v>
      </c>
      <c r="AN64" s="22">
        <f t="shared" si="30"/>
        <v>189139.24694666962</v>
      </c>
      <c r="AO64" s="22">
        <f t="shared" si="47"/>
        <v>0</v>
      </c>
      <c r="AP64" s="22">
        <f t="shared" si="31"/>
        <v>354480.82512289053</v>
      </c>
      <c r="AQ64" s="22"/>
      <c r="AR64" s="10">
        <f>IF($B$10="3BR_H",
INDEX('ns-combined'!$C:$D,MATCH($L64,'ns-combined'!$B:$B,0),MATCH(Council_Area,'ns-combined'!$C$1:$D$1,0))*1000,
INDEX('s-combined'!$C:$D,MATCH($L64,'s-combined'!$B:$B,0),MATCH(Council_Area,'s-combined'!$C$1:$D$1,0))*1000)</f>
        <v>630000</v>
      </c>
      <c r="AS64" s="22">
        <f t="shared" si="35"/>
        <v>40300</v>
      </c>
      <c r="AT64" s="10">
        <v>0</v>
      </c>
      <c r="AU64" s="22">
        <f t="shared" si="48"/>
        <v>12600</v>
      </c>
      <c r="AV64" s="22">
        <f t="shared" si="49"/>
        <v>1811.25</v>
      </c>
      <c r="AW64" s="22">
        <f>SUM($AV$3:AV64)</f>
        <v>66609.4375</v>
      </c>
      <c r="AX64" s="22">
        <f t="shared" si="50"/>
        <v>510490.5625</v>
      </c>
      <c r="AY64" s="22">
        <f t="shared" si="51"/>
        <v>2188.5500000000002</v>
      </c>
      <c r="AZ64" s="24">
        <f t="shared" si="52"/>
        <v>1.3895555555555557E-2</v>
      </c>
      <c r="BA64" s="24">
        <f t="shared" si="53"/>
        <v>0.35000000000000003</v>
      </c>
      <c r="BB64" s="25">
        <f>IF(MortgageRate="Discounted",_xlfn.XLOOKUP(L64,'mortgage-rates'!$A:$A,'mortgage-rates'!$E:$E)/100,_xlfn.XLOOKUP(L64,'mortgage-rates'!$A:$A,'mortgage-rates'!$D:$D)/100)</f>
        <v>3.5900000000000001E-2</v>
      </c>
      <c r="BC64" s="10">
        <f t="shared" si="67"/>
        <v>114886.25731181483</v>
      </c>
      <c r="BD64" s="10">
        <f t="shared" si="54"/>
        <v>3504.4345820563331</v>
      </c>
      <c r="BE64" s="10">
        <f t="shared" si="55"/>
        <v>1031.1041593735381</v>
      </c>
      <c r="BF64" s="10">
        <f t="shared" si="36"/>
        <v>2473.330422682795</v>
      </c>
      <c r="BG64" s="12">
        <f t="shared" si="56"/>
        <v>5692.9845820563332</v>
      </c>
      <c r="BH64" s="22">
        <f>INDEX(cpi!B:B,MATCH($L64,cpi!A:A))</f>
        <v>118.8</v>
      </c>
      <c r="BI64" s="22">
        <f t="shared" si="57"/>
        <v>140.42553191489364</v>
      </c>
      <c r="BJ64" s="22">
        <f t="shared" si="58"/>
        <v>310.32570304776715</v>
      </c>
      <c r="BK64" s="22">
        <f t="shared" si="59"/>
        <v>270.82530227131878</v>
      </c>
      <c r="BL64" s="22">
        <f t="shared" si="60"/>
        <v>298.47558281483265</v>
      </c>
      <c r="BM64" s="22">
        <f t="shared" si="61"/>
        <v>500.93909224496446</v>
      </c>
      <c r="BN64" s="22">
        <f t="shared" si="62"/>
        <v>242.30769230769232</v>
      </c>
      <c r="BO64">
        <f t="shared" si="63"/>
        <v>201.45443020491115</v>
      </c>
    </row>
    <row r="65" spans="2:67" x14ac:dyDescent="0.25">
      <c r="L65" s="1">
        <f t="shared" si="33"/>
        <v>44440</v>
      </c>
      <c r="M65" s="10">
        <f t="shared" si="38"/>
        <v>354516.43623652979</v>
      </c>
      <c r="N65" s="10">
        <f t="shared" si="39"/>
        <v>464015.13561086799</v>
      </c>
      <c r="O65" s="7">
        <f t="shared" si="24"/>
        <v>0.76401912142330219</v>
      </c>
      <c r="P65" s="7">
        <f t="shared" si="40"/>
        <v>1.1391865987307481</v>
      </c>
      <c r="Q65">
        <v>63</v>
      </c>
      <c r="R65">
        <f t="shared" si="41"/>
        <v>92</v>
      </c>
      <c r="S65" s="22"/>
      <c r="T65" s="22">
        <f>IF($B$10="3BR_H",
INDEX('3BR_H-processed'!$E:$E,MATCH($L65,'3BR_H-processed'!$B:$B,0),MATCH(Council_Area,'3BR_H-processed'!$E$1:$E$1,0)),
INDEX('2BR_F-processed'!$E:$E,MATCH($L65,'2BR_F-processed'!$B:$B,0),MATCH(Council_Area,'2BR_F-processed'!$E$1:$E$1,0)))</f>
        <v>490.9903164855927</v>
      </c>
      <c r="U65" s="22">
        <f t="shared" si="25"/>
        <v>481</v>
      </c>
      <c r="V65" s="22">
        <f t="shared" si="34"/>
        <v>6321.7142857142853</v>
      </c>
      <c r="W65" s="22">
        <f>$B$53/4*BH65/_xlfn.XLOOKUP(Q_end,cpi!A:A,cpi!B:B)</f>
        <v>165.58396682791985</v>
      </c>
      <c r="X65" s="22">
        <f t="shared" si="42"/>
        <v>6487.2982525422049</v>
      </c>
      <c r="Y65" s="22">
        <f t="shared" si="43"/>
        <v>-792.62254289974408</v>
      </c>
      <c r="Z65" s="22">
        <f t="shared" si="64"/>
        <v>0</v>
      </c>
      <c r="AA65" s="22" cm="1">
        <f t="array" ref="AA65">(Y65+Z65)*eff_invest</f>
        <v>-792.62254289974408</v>
      </c>
      <c r="AB65" s="22">
        <f>AA65*(_xlfn.XLOOKUP(Q_end,cpi!A:A,cpi!B:B)/BH65)</f>
        <v>-957.36629346905636</v>
      </c>
      <c r="AC65" s="22" cm="1">
        <f t="array" ref="AC65">INDEX('msci-indices'!C:C,MATCH($L65,'msci-indices'!$B:$B)-2)</f>
        <v>2515.6062010000001</v>
      </c>
      <c r="AD65" s="22" cm="1">
        <f t="array" ref="AD65">INDEX('msci-indices'!D:D,MATCH($L65,'msci-indices'!$B:$B)-2)</f>
        <v>2095.0894480000002</v>
      </c>
      <c r="AE65" s="22">
        <f t="shared" si="65"/>
        <v>353688.20257999079</v>
      </c>
      <c r="AF65" s="22" cm="1">
        <f t="array" ref="AF65">INDEX('msci-indices'!C:C,MATCH($L65,'msci-indices'!$B:$B)+1)</f>
        <v>2510.8156309999999</v>
      </c>
      <c r="AG65" s="22" cm="1">
        <f t="array" ref="AG65">INDEX('msci-indices'!D:D,MATCH($L65,'msci-indices'!$B:$B)+1)</f>
        <v>2125.1172740000002</v>
      </c>
      <c r="AH65" s="22">
        <f t="shared" si="44"/>
        <v>221.05512661249423</v>
      </c>
      <c r="AI65" s="22">
        <f t="shared" si="45"/>
        <v>354516.43623652979</v>
      </c>
      <c r="AJ65" s="22">
        <f t="shared" si="66"/>
        <v>120346.61431817932</v>
      </c>
      <c r="AK65" s="22">
        <f t="shared" si="46"/>
        <v>234169.82191835047</v>
      </c>
      <c r="AL65" s="22">
        <f>AJ65*(_xlfn.XLOOKUP(Q_end,cpi!A:A,cpi!B:B)/BH65)</f>
        <v>145360.22614224162</v>
      </c>
      <c r="AM65" s="22" cm="1">
        <f t="array" ref="AM65">SUMPRODUCT($AA$3:AA65,_xlfn.SORTBY($BH$3:BH65,_xlfn.SEQUENCE(ROWS($BH$3:BH65)),-1)/$BH$3)</f>
        <v>165639.81466981058</v>
      </c>
      <c r="AN65" s="22">
        <f t="shared" si="30"/>
        <v>188876.6215667192</v>
      </c>
      <c r="AO65" s="22">
        <f t="shared" si="47"/>
        <v>0</v>
      </c>
      <c r="AP65" s="22">
        <f t="shared" si="31"/>
        <v>354516.43623652979</v>
      </c>
      <c r="AQ65" s="22"/>
      <c r="AR65" s="10">
        <f>IF($B$10="3BR_H",
INDEX('ns-combined'!$C:$D,MATCH($L65,'ns-combined'!$B:$B,0),MATCH(Council_Area,'ns-combined'!$C$1:$D$1,0))*1000,
INDEX('s-combined'!$C:$D,MATCH($L65,'s-combined'!$B:$B,0),MATCH(Council_Area,'s-combined'!$C$1:$D$1,0))*1000)</f>
        <v>700000</v>
      </c>
      <c r="AS65" s="22">
        <f t="shared" si="35"/>
        <v>40950</v>
      </c>
      <c r="AT65" s="10">
        <v>0</v>
      </c>
      <c r="AU65" s="22">
        <f t="shared" si="48"/>
        <v>14000</v>
      </c>
      <c r="AV65" s="22">
        <f t="shared" si="49"/>
        <v>2012.5</v>
      </c>
      <c r="AW65" s="22">
        <f>SUM($AV$3:AV65)</f>
        <v>68621.9375</v>
      </c>
      <c r="AX65" s="22">
        <f t="shared" si="50"/>
        <v>576428.0625</v>
      </c>
      <c r="AY65" s="22">
        <f t="shared" si="51"/>
        <v>2212.6</v>
      </c>
      <c r="AZ65" s="24">
        <f t="shared" si="52"/>
        <v>1.2643428571428571E-2</v>
      </c>
      <c r="BA65" s="24">
        <f t="shared" si="53"/>
        <v>0.35000000000000003</v>
      </c>
      <c r="BB65" s="25">
        <f>IF(MortgageRate="Discounted",_xlfn.XLOOKUP(L65,'mortgage-rates'!$A:$A,'mortgage-rates'!$E:$E)/100,_xlfn.XLOOKUP(L65,'mortgage-rates'!$A:$A,'mortgage-rates'!$D:$D)/100)</f>
        <v>3.4500000000000003E-2</v>
      </c>
      <c r="BC65" s="10">
        <f t="shared" si="67"/>
        <v>112412.92688913204</v>
      </c>
      <c r="BD65" s="10">
        <f t="shared" si="54"/>
        <v>3482.0757096424609</v>
      </c>
      <c r="BE65" s="10">
        <f t="shared" si="55"/>
        <v>969.56149441876391</v>
      </c>
      <c r="BF65" s="10">
        <f t="shared" si="36"/>
        <v>2512.5142152236967</v>
      </c>
      <c r="BG65" s="12">
        <f t="shared" si="56"/>
        <v>5694.6757096424608</v>
      </c>
      <c r="BH65" s="22">
        <f>INDEX(cpi!B:B,MATCH($L65,cpi!A:A))</f>
        <v>119.8</v>
      </c>
      <c r="BI65" s="22">
        <f t="shared" si="57"/>
        <v>141.60756501182033</v>
      </c>
      <c r="BJ65" s="22">
        <f t="shared" si="58"/>
        <v>333.24601225717834</v>
      </c>
      <c r="BK65" s="22">
        <f t="shared" si="59"/>
        <v>293.85946989254734</v>
      </c>
      <c r="BL65" s="22">
        <f t="shared" si="60"/>
        <v>321.43004954778905</v>
      </c>
      <c r="BM65" s="22">
        <f t="shared" si="61"/>
        <v>538.10099539305907</v>
      </c>
      <c r="BN65" s="22">
        <f t="shared" si="62"/>
        <v>269.23076923076923</v>
      </c>
      <c r="BO65">
        <f t="shared" si="63"/>
        <v>227.47528635273923</v>
      </c>
    </row>
    <row r="66" spans="2:67" x14ac:dyDescent="0.25">
      <c r="L66" s="1">
        <f t="shared" si="33"/>
        <v>44531</v>
      </c>
      <c r="M66" s="10">
        <f t="shared" si="38"/>
        <v>373385.2234449868</v>
      </c>
      <c r="N66" s="10">
        <f t="shared" si="39"/>
        <v>516629.89982609166</v>
      </c>
      <c r="O66" s="7">
        <f t="shared" si="24"/>
        <v>0.72273250845658765</v>
      </c>
      <c r="P66" s="7">
        <f t="shared" si="40"/>
        <v>1.1395749390197856</v>
      </c>
      <c r="Q66">
        <v>64</v>
      </c>
      <c r="R66">
        <f t="shared" si="41"/>
        <v>92</v>
      </c>
      <c r="S66" s="22"/>
      <c r="T66" s="22">
        <f>IF($B$10="3BR_H",
INDEX('3BR_H-processed'!$E:$E,MATCH($L66,'3BR_H-processed'!$B:$B,0),MATCH(Council_Area,'3BR_H-processed'!$E$1:$E$1,0)),
INDEX('2BR_F-processed'!$E:$E,MATCH($L66,'2BR_F-processed'!$B:$B,0),MATCH(Council_Area,'2BR_F-processed'!$E$1:$E$1,0)))</f>
        <v>495.25979749851098</v>
      </c>
      <c r="U66" s="22">
        <f t="shared" si="25"/>
        <v>481</v>
      </c>
      <c r="V66" s="22">
        <f t="shared" si="34"/>
        <v>6321.7142857142853</v>
      </c>
      <c r="W66" s="22">
        <f>$B$53/4*BH66/_xlfn.XLOOKUP(Q_end,cpi!A:A,cpi!B:B)</f>
        <v>167.79543883897722</v>
      </c>
      <c r="X66" s="22">
        <f t="shared" si="42"/>
        <v>6489.5097245532625</v>
      </c>
      <c r="Y66" s="22">
        <f t="shared" si="43"/>
        <v>-794.83401491080076</v>
      </c>
      <c r="Z66" s="22">
        <f t="shared" si="64"/>
        <v>0</v>
      </c>
      <c r="AA66" s="22" cm="1">
        <f t="array" ref="AA66">(Y66+Z66)*eff_invest</f>
        <v>-794.83401491080076</v>
      </c>
      <c r="AB66" s="22">
        <f>AA66*(_xlfn.XLOOKUP(Q_end,cpi!A:A,cpi!B:B)/BH66)</f>
        <v>-947.38453012844207</v>
      </c>
      <c r="AC66" s="22" cm="1">
        <f t="array" ref="AC66">INDEX('msci-indices'!C:C,MATCH($L66,'msci-indices'!$B:$B)-2)</f>
        <v>2510.8156309999999</v>
      </c>
      <c r="AD66" s="22" cm="1">
        <f t="array" ref="AD66">INDEX('msci-indices'!D:D,MATCH($L66,'msci-indices'!$B:$B)-2)</f>
        <v>2125.1172740000002</v>
      </c>
      <c r="AE66" s="22">
        <f t="shared" si="65"/>
        <v>353721.60222161899</v>
      </c>
      <c r="AF66" s="22" cm="1">
        <f t="array" ref="AF66">INDEX('msci-indices'!C:C,MATCH($L66,'msci-indices'!$B:$B)+1)</f>
        <v>2688.1915319999998</v>
      </c>
      <c r="AG66" s="22" cm="1">
        <f t="array" ref="AG66">INDEX('msci-indices'!D:D,MATCH($L66,'msci-indices'!$B:$B)+1)</f>
        <v>2173.034118</v>
      </c>
      <c r="AH66" s="22">
        <f t="shared" si="44"/>
        <v>221.07600138851188</v>
      </c>
      <c r="AI66" s="22">
        <f t="shared" si="45"/>
        <v>373385.2234449868</v>
      </c>
      <c r="AJ66" s="22">
        <f t="shared" si="66"/>
        <v>119551.78030326852</v>
      </c>
      <c r="AK66" s="22">
        <f t="shared" si="46"/>
        <v>253833.44314171828</v>
      </c>
      <c r="AL66" s="22">
        <f>AJ66*(_xlfn.XLOOKUP(Q_end,cpi!A:A,cpi!B:B)/BH66)</f>
        <v>142497.05609458775</v>
      </c>
      <c r="AM66" s="22" cm="1">
        <f t="array" ref="AM66">SUMPRODUCT($AA$3:AA66,_xlfn.SORTBY($BH$3:BH66,_xlfn.SEQUENCE(ROWS($BH$3:BH66)),-1)/$BH$3)</f>
        <v>166411.40563287886</v>
      </c>
      <c r="AN66" s="22">
        <f t="shared" si="30"/>
        <v>206973.81781210794</v>
      </c>
      <c r="AO66" s="22">
        <f t="shared" si="47"/>
        <v>0</v>
      </c>
      <c r="AP66" s="22">
        <f t="shared" si="31"/>
        <v>373385.2234449868</v>
      </c>
      <c r="AQ66" s="22"/>
      <c r="AR66" s="10">
        <f>IF($B$10="3BR_H",
INDEX('ns-combined'!$C:$D,MATCH($L66,'ns-combined'!$B:$B,0),MATCH(Council_Area,'ns-combined'!$C$1:$D$1,0))*1000,
INDEX('s-combined'!$C:$D,MATCH($L66,'s-combined'!$B:$B,0),MATCH(Council_Area,'s-combined'!$C$1:$D$1,0))*1000)</f>
        <v>754000</v>
      </c>
      <c r="AS66" s="22">
        <f t="shared" si="35"/>
        <v>41600</v>
      </c>
      <c r="AT66" s="10">
        <v>0</v>
      </c>
      <c r="AU66" s="22">
        <f t="shared" si="48"/>
        <v>15080</v>
      </c>
      <c r="AV66" s="22">
        <f t="shared" si="49"/>
        <v>2167.75</v>
      </c>
      <c r="AW66" s="22">
        <f>SUM($AV$3:AV66)</f>
        <v>70789.6875</v>
      </c>
      <c r="AX66" s="22">
        <f t="shared" si="50"/>
        <v>626530.3125</v>
      </c>
      <c r="AY66" s="22">
        <f t="shared" si="51"/>
        <v>2212.6</v>
      </c>
      <c r="AZ66" s="24">
        <f t="shared" si="52"/>
        <v>1.1737931034482759E-2</v>
      </c>
      <c r="BA66" s="24">
        <f t="shared" si="53"/>
        <v>0.35000000000000003</v>
      </c>
      <c r="BB66" s="25">
        <f>IF(MortgageRate="Discounted",_xlfn.XLOOKUP(L66,'mortgage-rates'!$A:$A,'mortgage-rates'!$E:$E)/100,_xlfn.XLOOKUP(L66,'mortgage-rates'!$A:$A,'mortgage-rates'!$D:$D)/100)</f>
        <v>3.4500000000000003E-2</v>
      </c>
      <c r="BC66" s="10">
        <f t="shared" si="67"/>
        <v>109900.41267390834</v>
      </c>
      <c r="BD66" s="10">
        <f t="shared" si="54"/>
        <v>3482.0757096424618</v>
      </c>
      <c r="BE66" s="10">
        <f t="shared" si="55"/>
        <v>947.89105931245956</v>
      </c>
      <c r="BF66" s="10">
        <f t="shared" si="36"/>
        <v>2534.1846503300021</v>
      </c>
      <c r="BG66" s="12">
        <f t="shared" si="56"/>
        <v>5694.6757096424617</v>
      </c>
      <c r="BH66" s="22">
        <f>INDEX(cpi!B:B,MATCH($L66,cpi!A:A))</f>
        <v>121.4</v>
      </c>
      <c r="BI66" s="22">
        <f t="shared" si="57"/>
        <v>143.49881796690309</v>
      </c>
      <c r="BJ66" s="22">
        <f t="shared" si="58"/>
        <v>332.61139848165806</v>
      </c>
      <c r="BK66" s="22">
        <f t="shared" si="59"/>
        <v>298.0712046415382</v>
      </c>
      <c r="BL66" s="22">
        <f t="shared" si="60"/>
        <v>322.2493403296221</v>
      </c>
      <c r="BM66" s="22">
        <f t="shared" si="61"/>
        <v>538.15180958554492</v>
      </c>
      <c r="BN66" s="22">
        <f t="shared" si="62"/>
        <v>290</v>
      </c>
      <c r="BO66">
        <f t="shared" si="63"/>
        <v>247.24709207683429</v>
      </c>
    </row>
    <row r="67" spans="2:67" x14ac:dyDescent="0.25">
      <c r="L67" s="1">
        <f t="shared" si="33"/>
        <v>44621</v>
      </c>
      <c r="M67" s="10">
        <f t="shared" ref="M67:M80" si="68">AP67</f>
        <v>361098.31784490176</v>
      </c>
      <c r="N67" s="10">
        <f t="shared" ref="N67:N82" si="69">AX67-BC67</f>
        <v>527094.7094764217</v>
      </c>
      <c r="O67" s="7">
        <f t="shared" si="24"/>
        <v>0.68507293158679405</v>
      </c>
      <c r="P67" s="7">
        <f t="shared" ref="P67:P82" si="70">X67/BG67</f>
        <v>1.181019681184786</v>
      </c>
      <c r="Q67">
        <v>65</v>
      </c>
      <c r="R67">
        <f t="shared" ref="R67:R82" si="71">EOMONTH(L67,0)-EOMONTH(L67,-3)</f>
        <v>90</v>
      </c>
      <c r="S67" s="22"/>
      <c r="T67" s="22">
        <f>IF($B$10="3BR_H",
INDEX('3BR_H-processed'!$E:$E,MATCH($L67,'3BR_H-processed'!$B:$B,0),MATCH(Council_Area,'3BR_H-processed'!$E$1:$E$1,0)),
INDEX('2BR_F-processed'!$E:$E,MATCH($L67,'2BR_F-processed'!$B:$B,0),MATCH(Council_Area,'2BR_F-processed'!$E$1:$E$1,0)))</f>
        <v>522.52180470026394</v>
      </c>
      <c r="U67" s="22">
        <f t="shared" si="25"/>
        <v>522.52180470026394</v>
      </c>
      <c r="V67" s="22">
        <f t="shared" si="34"/>
        <v>6718.1374890033931</v>
      </c>
      <c r="W67" s="22">
        <f>$B$53/4*BH67/_xlfn.XLOOKUP(Q_end,cpi!A:A,cpi!B:B)</f>
        <v>171.25086385625434</v>
      </c>
      <c r="X67" s="22">
        <f t="shared" ref="X67:X81" si="72">V67+W67</f>
        <v>6889.3883528596471</v>
      </c>
      <c r="Y67" s="22">
        <f t="shared" ref="Y67:Y81" si="73">BG67-X67</f>
        <v>-1055.9645220659986</v>
      </c>
      <c r="Z67" s="22">
        <f t="shared" si="64"/>
        <v>0</v>
      </c>
      <c r="AA67" s="22" cm="1">
        <f t="array" ref="AA67">(Y67+Z67)*eff_invest</f>
        <v>-1055.9645220659986</v>
      </c>
      <c r="AB67" s="22">
        <f>AA67*(_xlfn.XLOOKUP(Q_end,cpi!A:A,cpi!B:B)/BH67)</f>
        <v>-1233.2370164887002</v>
      </c>
      <c r="AC67" s="22" cm="1">
        <f t="array" ref="AC67">INDEX('msci-indices'!C:C,MATCH($L67,'msci-indices'!$B:$B)-2)</f>
        <v>2688.1915319999998</v>
      </c>
      <c r="AD67" s="22" cm="1">
        <f t="array" ref="AD67">INDEX('msci-indices'!D:D,MATCH($L67,'msci-indices'!$B:$B)-2)</f>
        <v>2173.034118</v>
      </c>
      <c r="AE67" s="22">
        <f t="shared" si="65"/>
        <v>372329.2589229208</v>
      </c>
      <c r="AF67" s="22" cm="1">
        <f t="array" ref="AF67">INDEX('msci-indices'!C:C,MATCH($L67,'msci-indices'!$B:$B)+1)</f>
        <v>2545.291346</v>
      </c>
      <c r="AG67" s="22" cm="1">
        <f t="array" ref="AG67">INDEX('msci-indices'!D:D,MATCH($L67,'msci-indices'!$B:$B)+1)</f>
        <v>2228.6053740000002</v>
      </c>
      <c r="AH67" s="22">
        <f t="shared" ref="AH67:AH82" si="74">(InvestFees/4)*AE67</f>
        <v>232.70578682682549</v>
      </c>
      <c r="AI67" s="22">
        <f t="shared" ref="AI67:AI82" si="75">((AF67/AC67)*GlobalPortfolio+(AG67/AD67)*AusPortfolio)*AE67-AH67</f>
        <v>361098.31784490176</v>
      </c>
      <c r="AJ67" s="22">
        <f t="shared" si="66"/>
        <v>118495.81578120252</v>
      </c>
      <c r="AK67" s="22">
        <f t="shared" ref="AK67:AK82" si="76">AI67-AJ67</f>
        <v>242602.50206369924</v>
      </c>
      <c r="AL67" s="22">
        <f>AJ67*(_xlfn.XLOOKUP(Q_end,cpi!A:A,cpi!B:B)/BH67)</f>
        <v>138388.57581549638</v>
      </c>
      <c r="AM67" s="22" cm="1">
        <f t="array" ref="AM67">SUMPRODUCT($AA$3:AA67,_xlfn.SORTBY($BH$3:BH67,_xlfn.SEQUENCE(ROWS($BH$3:BH67)),-1)/$BH$3)</f>
        <v>167640.29504039392</v>
      </c>
      <c r="AN67" s="22">
        <f t="shared" si="30"/>
        <v>193458.02280450784</v>
      </c>
      <c r="AO67" s="22">
        <f t="shared" ref="AO67:AO82" si="77">IF($B$49="Real gains",MAX($B$50*AN67,0),IF($B$49="Discounted nominal gains",MAX($B$50*AK67/2,0),0))</f>
        <v>0</v>
      </c>
      <c r="AP67" s="22">
        <f t="shared" si="31"/>
        <v>361098.31784490176</v>
      </c>
      <c r="AQ67" s="22"/>
      <c r="AR67" s="10">
        <f>IF($B$10="3BR_H",
INDEX('ns-combined'!$C:$D,MATCH($L67,'ns-combined'!$B:$B,0),MATCH(Council_Area,'ns-combined'!$C$1:$D$1,0))*1000,
INDEX('s-combined'!$C:$D,MATCH($L67,'s-combined'!$B:$B,0),MATCH(Council_Area,'s-combined'!$C$1:$D$1,0))*1000)</f>
        <v>765000</v>
      </c>
      <c r="AS67" s="22">
        <f t="shared" si="35"/>
        <v>42250</v>
      </c>
      <c r="AT67" s="10">
        <v>0</v>
      </c>
      <c r="AU67" s="22">
        <f t="shared" ref="AU67:AU82" si="78">SUM($B$28:$B$29)*AR67</f>
        <v>15300</v>
      </c>
      <c r="AV67" s="22">
        <f t="shared" ref="AV67:AV82" si="79">AR67*$B$15/4</f>
        <v>2199.375</v>
      </c>
      <c r="AW67" s="22">
        <f>SUM($AV$3:AV67)</f>
        <v>72989.0625</v>
      </c>
      <c r="AX67" s="22">
        <f t="shared" ref="AX67:AX82" si="80">AR67-AS67-AU67-AW67</f>
        <v>634460.9375</v>
      </c>
      <c r="AY67" s="22">
        <f t="shared" ref="AY67:AY82" si="81">$B$36*V67</f>
        <v>2351.3481211511876</v>
      </c>
      <c r="AZ67" s="24">
        <f t="shared" ref="AZ67:AZ82" si="82">SUM(AY67:AY67)*4/AR67</f>
        <v>1.229463069882974E-2</v>
      </c>
      <c r="BA67" s="24">
        <f t="shared" ref="BA67:BA82" si="83">SUM(AY67:AY67)/V67</f>
        <v>0.35</v>
      </c>
      <c r="BB67" s="25">
        <f>IF(MortgageRate="Discounted",_xlfn.XLOOKUP(L67,'mortgage-rates'!$A:$A,'mortgage-rates'!$E:$E)/100,_xlfn.XLOOKUP(L67,'mortgage-rates'!$A:$A,'mortgage-rates'!$D:$D)/100)</f>
        <v>3.4500000000000003E-2</v>
      </c>
      <c r="BC67" s="10">
        <f t="shared" si="67"/>
        <v>107366.22802357834</v>
      </c>
      <c r="BD67" s="10">
        <f t="shared" ref="BD67:BD82" si="84">IF($B$16*12/3-Q67+1&gt;0,-PMT($BB67/4,$B$16*12/3-Q67+1,BC67),0)</f>
        <v>3482.0757096424613</v>
      </c>
      <c r="BE67" s="10">
        <f t="shared" si="55"/>
        <v>926.03371670336321</v>
      </c>
      <c r="BF67" s="10">
        <f t="shared" si="36"/>
        <v>2556.0419929390982</v>
      </c>
      <c r="BG67" s="12">
        <f t="shared" ref="BG67:BG82" si="85">AT67+AY67+BD67</f>
        <v>5833.4238307936484</v>
      </c>
      <c r="BH67" s="22">
        <f>INDEX(cpi!B:B,MATCH($L67,cpi!A:A))</f>
        <v>123.9</v>
      </c>
      <c r="BI67" s="22">
        <f t="shared" ref="BI67:BI82" si="86">100*BH67/BH$3</f>
        <v>146.45390070921988</v>
      </c>
      <c r="BJ67" s="22">
        <f t="shared" ref="BJ67:BJ82" si="87">100*AC67/AC$3</f>
        <v>356.10864207060962</v>
      </c>
      <c r="BK67" s="22">
        <f t="shared" ref="BK67:BK82" si="88">100*AD67/AD$3</f>
        <v>304.79207204421903</v>
      </c>
      <c r="BL67" s="22">
        <f t="shared" ref="BL67:BL82" si="89">BJ67*GlobalPortfolio+BK67*AusPortfolio</f>
        <v>340.71367106269247</v>
      </c>
      <c r="BM67" s="22">
        <f t="shared" ref="BM67:BM82" si="90">100*AE67/$AE$3</f>
        <v>566.46148607422663</v>
      </c>
      <c r="BN67" s="22">
        <f t="shared" ref="BN67:BN82" si="91">100*AR67/AR$3</f>
        <v>294.23076923076923</v>
      </c>
      <c r="BO67">
        <f t="shared" ref="BO67:BO82" si="92">100*AX67/AX$3</f>
        <v>250.37674746697448</v>
      </c>
    </row>
    <row r="68" spans="2:67" x14ac:dyDescent="0.25">
      <c r="L68" s="1">
        <f t="shared" si="33"/>
        <v>44713</v>
      </c>
      <c r="M68" s="10">
        <f t="shared" si="68"/>
        <v>305722.78904799419</v>
      </c>
      <c r="N68" s="10">
        <f t="shared" si="69"/>
        <v>526801.37646936078</v>
      </c>
      <c r="O68" s="7">
        <f t="shared" ref="O68:O82" si="93">M68/N68</f>
        <v>0.58033787059737363</v>
      </c>
      <c r="P68" s="7">
        <f t="shared" si="70"/>
        <v>1.1667305927547418</v>
      </c>
      <c r="Q68">
        <v>66</v>
      </c>
      <c r="R68">
        <f t="shared" si="71"/>
        <v>91</v>
      </c>
      <c r="S68" s="22"/>
      <c r="T68" s="22">
        <f>IF($B$10="3BR_H",
INDEX('3BR_H-processed'!$E:$E,MATCH($L68,'3BR_H-processed'!$B:$B,0),MATCH(Council_Area,'3BR_H-processed'!$E$1:$E$1,0)),
INDEX('2BR_F-processed'!$E:$E,MATCH($L68,'2BR_F-processed'!$B:$B,0),MATCH(Council_Area,'2BR_F-processed'!$E$1:$E$1,0)))</f>
        <v>520</v>
      </c>
      <c r="U68" s="22">
        <f t="shared" ref="U68:U82" si="94">IF(MOD(Q68,4)=1,T68,U67)</f>
        <v>522.52180470026394</v>
      </c>
      <c r="V68" s="22">
        <f t="shared" ref="V68:V82" si="95">U68*(R68)/7</f>
        <v>6792.7834611034314</v>
      </c>
      <c r="W68" s="22">
        <f>$B$53/4*BH68/_xlfn.XLOOKUP(Q_end,cpi!A:A,cpi!B:B)</f>
        <v>174.29163787145819</v>
      </c>
      <c r="X68" s="22">
        <f t="shared" si="72"/>
        <v>6967.0750989748894</v>
      </c>
      <c r="Y68" s="22">
        <f t="shared" si="73"/>
        <v>-995.62364116655135</v>
      </c>
      <c r="Z68" s="22">
        <f t="shared" ref="Z68:Z82" si="96">Y68*$B$47</f>
        <v>0</v>
      </c>
      <c r="AA68" s="22" cm="1">
        <f t="array" ref="AA68">(Y68+Z68)*eff_invest</f>
        <v>-995.62364116655135</v>
      </c>
      <c r="AB68" s="22">
        <f>AA68*(_xlfn.XLOOKUP(Q_end,cpi!A:A,cpi!B:B)/BH68)</f>
        <v>-1142.4801021157809</v>
      </c>
      <c r="AC68" s="22" cm="1">
        <f t="array" ref="AC68">INDEX('msci-indices'!C:C,MATCH($L68,'msci-indices'!$B:$B)-2)</f>
        <v>2545.291346</v>
      </c>
      <c r="AD68" s="22" cm="1">
        <f t="array" ref="AD68">INDEX('msci-indices'!D:D,MATCH($L68,'msci-indices'!$B:$B)-2)</f>
        <v>2228.6053740000002</v>
      </c>
      <c r="AE68" s="22">
        <f t="shared" ref="AE68:AE82" si="97">AI67+AA68</f>
        <v>360102.69420373521</v>
      </c>
      <c r="AF68" s="22" cm="1">
        <f t="array" ref="AF68">INDEX('msci-indices'!C:C,MATCH($L68,'msci-indices'!$B:$B)+1)</f>
        <v>2130.2472859999998</v>
      </c>
      <c r="AG68" s="22" cm="1">
        <f t="array" ref="AG68">INDEX('msci-indices'!D:D,MATCH($L68,'msci-indices'!$B:$B)+1)</f>
        <v>1959.3691980000001</v>
      </c>
      <c r="AH68" s="22">
        <f t="shared" si="74"/>
        <v>225.0641838773345</v>
      </c>
      <c r="AI68" s="22">
        <f t="shared" si="75"/>
        <v>305722.78904799419</v>
      </c>
      <c r="AJ68" s="22">
        <f t="shared" ref="AJ68:AJ82" si="98">AJ67+AA68</f>
        <v>117500.19214003597</v>
      </c>
      <c r="AK68" s="22">
        <f t="shared" si="76"/>
        <v>188222.59690795821</v>
      </c>
      <c r="AL68" s="22">
        <f>AJ68*(_xlfn.XLOOKUP(Q_end,cpi!A:A,cpi!B:B)/BH68)</f>
        <v>134831.70343111185</v>
      </c>
      <c r="AM68" s="22" cm="1">
        <f t="array" ref="AM68">SUMPRODUCT($AA$3:AA68,_xlfn.SORTBY($BH$3:BH68,_xlfn.SEQUENCE(ROWS($BH$3:BH68)),-1)/$BH$3)</f>
        <v>168728.45689463551</v>
      </c>
      <c r="AN68" s="22">
        <f t="shared" ref="AN68:AN81" si="99">AI68-AM68</f>
        <v>136994.33215335867</v>
      </c>
      <c r="AO68" s="22">
        <f t="shared" si="77"/>
        <v>0</v>
      </c>
      <c r="AP68" s="22">
        <f t="shared" ref="AP68:AP81" si="100">AI68-AO68</f>
        <v>305722.78904799419</v>
      </c>
      <c r="AQ68" s="22"/>
      <c r="AR68" s="10">
        <f>IF($B$10="3BR_H",
INDEX('ns-combined'!$C:$D,MATCH($L68,'ns-combined'!$B:$B,0),MATCH(Council_Area,'ns-combined'!$C$1:$D$1,0))*1000,
INDEX('s-combined'!$C:$D,MATCH($L68,'s-combined'!$B:$B,0),MATCH(Council_Area,'s-combined'!$C$1:$D$1,0))*1000)</f>
        <v>765000</v>
      </c>
      <c r="AS68" s="22">
        <f t="shared" si="35"/>
        <v>42900</v>
      </c>
      <c r="AT68" s="10">
        <v>0</v>
      </c>
      <c r="AU68" s="22">
        <f t="shared" si="78"/>
        <v>15300</v>
      </c>
      <c r="AV68" s="22">
        <f t="shared" si="79"/>
        <v>2199.375</v>
      </c>
      <c r="AW68" s="22">
        <f>SUM($AV$3:AV68)</f>
        <v>75188.4375</v>
      </c>
      <c r="AX68" s="22">
        <f t="shared" si="80"/>
        <v>631611.5625</v>
      </c>
      <c r="AY68" s="22">
        <f t="shared" si="81"/>
        <v>2377.4742113862012</v>
      </c>
      <c r="AZ68" s="24">
        <f t="shared" si="82"/>
        <v>1.2431237706594517E-2</v>
      </c>
      <c r="BA68" s="24">
        <f t="shared" si="83"/>
        <v>0.35000000000000003</v>
      </c>
      <c r="BB68" s="25">
        <f>IF(MortgageRate="Discounted",_xlfn.XLOOKUP(L68,'mortgage-rates'!$A:$A,'mortgage-rates'!$E:$E)/100,_xlfn.XLOOKUP(L68,'mortgage-rates'!$A:$A,'mortgage-rates'!$D:$D)/100)</f>
        <v>4.2000000000000003E-2</v>
      </c>
      <c r="BC68" s="10">
        <f t="shared" ref="BC68:BC82" si="101">BC67-BF67</f>
        <v>104810.18603063925</v>
      </c>
      <c r="BD68" s="10">
        <f t="shared" si="84"/>
        <v>3593.9772464221373</v>
      </c>
      <c r="BE68" s="10">
        <f t="shared" ref="BE68:BE82" si="102">BC68*($BB68/4)</f>
        <v>1100.5069533217122</v>
      </c>
      <c r="BF68" s="10">
        <f t="shared" si="36"/>
        <v>2493.4702931004249</v>
      </c>
      <c r="BG68" s="12">
        <f t="shared" si="85"/>
        <v>5971.4514578083381</v>
      </c>
      <c r="BH68" s="22">
        <f>INDEX(cpi!B:B,MATCH($L68,cpi!A:A))</f>
        <v>126.1</v>
      </c>
      <c r="BI68" s="22">
        <f t="shared" si="86"/>
        <v>149.05437352245863</v>
      </c>
      <c r="BJ68" s="22">
        <f t="shared" si="87"/>
        <v>337.17844659073722</v>
      </c>
      <c r="BK68" s="22">
        <f t="shared" si="88"/>
        <v>312.58655539910018</v>
      </c>
      <c r="BL68" s="22">
        <f t="shared" si="89"/>
        <v>329.80087923324612</v>
      </c>
      <c r="BM68" s="22">
        <f t="shared" si="90"/>
        <v>547.85999866910606</v>
      </c>
      <c r="BN68" s="22">
        <f t="shared" si="91"/>
        <v>294.23076923076923</v>
      </c>
      <c r="BO68">
        <f t="shared" si="92"/>
        <v>249.25230118092759</v>
      </c>
    </row>
    <row r="69" spans="2:67" x14ac:dyDescent="0.25">
      <c r="L69" s="1">
        <f t="shared" ref="L69:L81" si="103">DATE(YEAR(L68),MONTH(L68)+3,1)</f>
        <v>44805</v>
      </c>
      <c r="M69" s="10">
        <f t="shared" si="68"/>
        <v>292144.87584091851</v>
      </c>
      <c r="N69" s="10">
        <f t="shared" si="69"/>
        <v>482474.84676246118</v>
      </c>
      <c r="O69" s="7">
        <f t="shared" si="93"/>
        <v>0.60551317400542415</v>
      </c>
      <c r="P69" s="7">
        <f t="shared" si="70"/>
        <v>1.1323401540271094</v>
      </c>
      <c r="Q69">
        <v>67</v>
      </c>
      <c r="R69">
        <f t="shared" si="71"/>
        <v>92</v>
      </c>
      <c r="S69" s="22"/>
      <c r="T69" s="22">
        <f>IF($B$10="3BR_H",
INDEX('3BR_H-processed'!$E:$E,MATCH($L69,'3BR_H-processed'!$B:$B,0),MATCH(Council_Area,'3BR_H-processed'!$E$1:$E$1,0)),
INDEX('2BR_F-processed'!$E:$E,MATCH($L69,'2BR_F-processed'!$B:$B,0),MATCH(Council_Area,'2BR_F-processed'!$E$1:$E$1,0)))</f>
        <v>560.89805057955732</v>
      </c>
      <c r="U69" s="22">
        <f t="shared" si="94"/>
        <v>522.52180470026394</v>
      </c>
      <c r="V69" s="22">
        <f t="shared" si="95"/>
        <v>6867.4294332034688</v>
      </c>
      <c r="W69" s="22">
        <f>$B$53/4*BH69/_xlfn.XLOOKUP(Q_end,cpi!A:A,cpi!B:B)</f>
        <v>177.47062888735317</v>
      </c>
      <c r="X69" s="22">
        <f t="shared" si="72"/>
        <v>7044.9000620908218</v>
      </c>
      <c r="Y69" s="22">
        <f t="shared" si="73"/>
        <v>-823.35962034635304</v>
      </c>
      <c r="Z69" s="22">
        <f t="shared" si="96"/>
        <v>0</v>
      </c>
      <c r="AA69" s="22" cm="1">
        <f t="array" ref="AA69">(Y69+Z69)*eff_invest</f>
        <v>-823.35962034635304</v>
      </c>
      <c r="AB69" s="22">
        <f>AA69*(_xlfn.XLOOKUP(Q_end,cpi!A:A,cpi!B:B)/BH69)</f>
        <v>-927.88268741524359</v>
      </c>
      <c r="AC69" s="22" cm="1">
        <f t="array" ref="AC69">INDEX('msci-indices'!C:C,MATCH($L69,'msci-indices'!$B:$B)-2)</f>
        <v>2130.2472859999998</v>
      </c>
      <c r="AD69" s="22" cm="1">
        <f t="array" ref="AD69">INDEX('msci-indices'!D:D,MATCH($L69,'msci-indices'!$B:$B)-2)</f>
        <v>1959.3691980000001</v>
      </c>
      <c r="AE69" s="22">
        <f t="shared" si="97"/>
        <v>304899.42942764785</v>
      </c>
      <c r="AF69" s="22" cm="1">
        <f t="array" ref="AF69">INDEX('msci-indices'!C:C,MATCH($L69,'msci-indices'!$B:$B)+1)</f>
        <v>2000.7468469999999</v>
      </c>
      <c r="AG69" s="22" cm="1">
        <f t="array" ref="AG69">INDEX('msci-indices'!D:D,MATCH($L69,'msci-indices'!$B:$B)+1)</f>
        <v>1968.166029</v>
      </c>
      <c r="AH69" s="22">
        <f t="shared" si="74"/>
        <v>190.56214339227992</v>
      </c>
      <c r="AI69" s="22">
        <f t="shared" si="75"/>
        <v>292144.87584091851</v>
      </c>
      <c r="AJ69" s="22">
        <f t="shared" si="98"/>
        <v>116676.83251968962</v>
      </c>
      <c r="AK69" s="22">
        <f t="shared" si="76"/>
        <v>175468.04332122888</v>
      </c>
      <c r="AL69" s="22">
        <f>AJ69*(_xlfn.XLOOKUP(Q_end,cpi!A:A,cpi!B:B)/BH69)</f>
        <v>131488.61110279663</v>
      </c>
      <c r="AM69" s="22" cm="1">
        <f t="array" ref="AM69">SUMPRODUCT($AA$3:AA69,_xlfn.SORTBY($BH$3:BH69,_xlfn.SEQUENCE(ROWS($BH$3:BH69)),-1)/$BH$3)</f>
        <v>170099.82465533464</v>
      </c>
      <c r="AN69" s="22">
        <f t="shared" si="99"/>
        <v>122045.05118558387</v>
      </c>
      <c r="AO69" s="22">
        <f t="shared" si="77"/>
        <v>0</v>
      </c>
      <c r="AP69" s="22">
        <f t="shared" si="100"/>
        <v>292144.87584091851</v>
      </c>
      <c r="AQ69" s="22"/>
      <c r="AR69" s="10">
        <f>IF($B$10="3BR_H",
INDEX('ns-combined'!$C:$D,MATCH($L69,'ns-combined'!$B:$B,0),MATCH(Council_Area,'ns-combined'!$C$1:$D$1,0))*1000,
INDEX('s-combined'!$C:$D,MATCH($L69,'s-combined'!$B:$B,0),MATCH(Council_Area,'s-combined'!$C$1:$D$1,0))*1000)</f>
        <v>720000</v>
      </c>
      <c r="AS69" s="22">
        <f t="shared" ref="AS69:AS81" si="104">AS68+$AS$3</f>
        <v>43550</v>
      </c>
      <c r="AT69" s="10">
        <v>0</v>
      </c>
      <c r="AU69" s="22">
        <f t="shared" si="78"/>
        <v>14400</v>
      </c>
      <c r="AV69" s="22">
        <f t="shared" si="79"/>
        <v>2070</v>
      </c>
      <c r="AW69" s="22">
        <f>SUM($AV$3:AV69)</f>
        <v>77258.4375</v>
      </c>
      <c r="AX69" s="22">
        <f t="shared" si="80"/>
        <v>584791.5625</v>
      </c>
      <c r="AY69" s="22">
        <f t="shared" si="81"/>
        <v>2403.6003016212144</v>
      </c>
      <c r="AZ69" s="24">
        <f t="shared" si="82"/>
        <v>1.3353335009006746E-2</v>
      </c>
      <c r="BA69" s="24">
        <f t="shared" si="83"/>
        <v>0.35000000000000003</v>
      </c>
      <c r="BB69" s="25">
        <f>IF(MortgageRate="Discounted",_xlfn.XLOOKUP(L69,'mortgage-rates'!$A:$A,'mortgage-rates'!$E:$E)/100,_xlfn.XLOOKUP(L69,'mortgage-rates'!$A:$A,'mortgage-rates'!$D:$D)/100)</f>
        <v>5.7000000000000002E-2</v>
      </c>
      <c r="BC69" s="10">
        <f t="shared" si="101"/>
        <v>102316.71573753882</v>
      </c>
      <c r="BD69" s="10">
        <f t="shared" si="84"/>
        <v>3817.9401401232544</v>
      </c>
      <c r="BE69" s="10">
        <f t="shared" si="102"/>
        <v>1458.0131992599283</v>
      </c>
      <c r="BF69" s="10">
        <f t="shared" ref="BF69:BF82" si="105">BD69-BE69</f>
        <v>2359.9269408633263</v>
      </c>
      <c r="BG69" s="12">
        <f t="shared" si="85"/>
        <v>6221.5404417444688</v>
      </c>
      <c r="BH69" s="22">
        <f>INDEX(cpi!B:B,MATCH($L69,cpi!A:A))</f>
        <v>128.4</v>
      </c>
      <c r="BI69" s="22">
        <f t="shared" si="86"/>
        <v>151.77304964539007</v>
      </c>
      <c r="BJ69" s="22">
        <f t="shared" si="87"/>
        <v>282.19695630380454</v>
      </c>
      <c r="BK69" s="22">
        <f t="shared" si="88"/>
        <v>274.82320356188706</v>
      </c>
      <c r="BL69" s="22">
        <f t="shared" si="89"/>
        <v>279.98483048122927</v>
      </c>
      <c r="BM69" s="22">
        <f t="shared" si="90"/>
        <v>463.87378847528123</v>
      </c>
      <c r="BN69" s="22">
        <f t="shared" si="91"/>
        <v>276.92307692307691</v>
      </c>
      <c r="BO69">
        <f t="shared" si="92"/>
        <v>230.775766813666</v>
      </c>
    </row>
    <row r="70" spans="2:67" x14ac:dyDescent="0.25">
      <c r="L70" s="1">
        <f t="shared" si="103"/>
        <v>44896</v>
      </c>
      <c r="M70" s="10">
        <f t="shared" si="68"/>
        <v>319401.38732443482</v>
      </c>
      <c r="N70" s="10">
        <f t="shared" si="69"/>
        <v>493351.71120332449</v>
      </c>
      <c r="O70" s="7">
        <f t="shared" si="93"/>
        <v>0.64741112693293223</v>
      </c>
      <c r="P70" s="7">
        <f t="shared" si="70"/>
        <v>1.1256683773874012</v>
      </c>
      <c r="Q70">
        <v>68</v>
      </c>
      <c r="R70">
        <f t="shared" si="71"/>
        <v>92</v>
      </c>
      <c r="S70" s="22"/>
      <c r="T70" s="22">
        <f>IF($B$10="3BR_H",
INDEX('3BR_H-processed'!$E:$E,MATCH($L70,'3BR_H-processed'!$B:$B,0),MATCH(Council_Area,'3BR_H-processed'!$E$1:$E$1,0)),
INDEX('2BR_F-processed'!$E:$E,MATCH($L70,'2BR_F-processed'!$B:$B,0),MATCH(Council_Area,'2BR_F-processed'!$E$1:$E$1,0)))</f>
        <v>550</v>
      </c>
      <c r="U70" s="22">
        <f t="shared" si="94"/>
        <v>522.52180470026394</v>
      </c>
      <c r="V70" s="22">
        <f t="shared" si="95"/>
        <v>6867.4294332034688</v>
      </c>
      <c r="W70" s="22">
        <f>$B$53/4*BH70/_xlfn.XLOOKUP(Q_end,cpi!A:A,cpi!B:B)</f>
        <v>181.06427090532137</v>
      </c>
      <c r="X70" s="22">
        <f t="shared" si="72"/>
        <v>7048.4937041087906</v>
      </c>
      <c r="Y70" s="22">
        <f t="shared" si="73"/>
        <v>-786.88607107937332</v>
      </c>
      <c r="Z70" s="22">
        <f t="shared" si="96"/>
        <v>0</v>
      </c>
      <c r="AA70" s="22" cm="1">
        <f t="array" ref="AA70">(Y70+Z70)*eff_invest</f>
        <v>-786.88607107937332</v>
      </c>
      <c r="AB70" s="22">
        <f>AA70*(_xlfn.XLOOKUP(Q_end,cpi!A:A,cpi!B:B)/BH70)</f>
        <v>-869.17873652813205</v>
      </c>
      <c r="AC70" s="22" cm="1">
        <f t="array" ref="AC70">INDEX('msci-indices'!C:C,MATCH($L70,'msci-indices'!$B:$B)-2)</f>
        <v>2000.7468469999999</v>
      </c>
      <c r="AD70" s="22" cm="1">
        <f t="array" ref="AD70">INDEX('msci-indices'!D:D,MATCH($L70,'msci-indices'!$B:$B)-2)</f>
        <v>1968.166029</v>
      </c>
      <c r="AE70" s="22">
        <f t="shared" si="97"/>
        <v>291357.98976983916</v>
      </c>
      <c r="AF70" s="22" cm="1">
        <f t="array" ref="AF70">INDEX('msci-indices'!C:C,MATCH($L70,'msci-indices'!$B:$B)+1)</f>
        <v>2198.4432400000001</v>
      </c>
      <c r="AG70" s="22" cm="1">
        <f t="array" ref="AG70">INDEX('msci-indices'!D:D,MATCH($L70,'msci-indices'!$B:$B)+1)</f>
        <v>2149.944184</v>
      </c>
      <c r="AH70" s="22">
        <f t="shared" si="74"/>
        <v>182.09874360614947</v>
      </c>
      <c r="AI70" s="22">
        <f t="shared" si="75"/>
        <v>319401.38732443482</v>
      </c>
      <c r="AJ70" s="22">
        <f t="shared" si="98"/>
        <v>115889.94644861025</v>
      </c>
      <c r="AK70" s="22">
        <f t="shared" si="76"/>
        <v>203511.44087582457</v>
      </c>
      <c r="AL70" s="22">
        <f>AJ70*(_xlfn.XLOOKUP(Q_end,cpi!A:A,cpi!B:B)/BH70)</f>
        <v>128009.73474132748</v>
      </c>
      <c r="AM70" s="22" cm="1">
        <f t="array" ref="AM70">SUMPRODUCT($AA$3:AA70,_xlfn.SORTBY($BH$3:BH70,_xlfn.SEQUENCE(ROWS($BH$3:BH70)),-1)/$BH$3)</f>
        <v>171782.49738027895</v>
      </c>
      <c r="AN70" s="22">
        <f t="shared" si="99"/>
        <v>147618.88994415588</v>
      </c>
      <c r="AO70" s="22">
        <f t="shared" si="77"/>
        <v>0</v>
      </c>
      <c r="AP70" s="22">
        <f t="shared" si="100"/>
        <v>319401.38732443482</v>
      </c>
      <c r="AQ70" s="22"/>
      <c r="AR70" s="10">
        <f>IF($B$10="3BR_H",
INDEX('ns-combined'!$C:$D,MATCH($L70,'ns-combined'!$B:$B,0),MATCH(Council_Area,'ns-combined'!$C$1:$D$1,0))*1000,
INDEX('s-combined'!$C:$D,MATCH($L70,'s-combined'!$B:$B,0),MATCH(Council_Area,'s-combined'!$C$1:$D$1,0))*1000)</f>
        <v>731500</v>
      </c>
      <c r="AS70" s="22">
        <f t="shared" si="104"/>
        <v>44200</v>
      </c>
      <c r="AT70" s="10">
        <v>0</v>
      </c>
      <c r="AU70" s="22">
        <f t="shared" si="78"/>
        <v>14630</v>
      </c>
      <c r="AV70" s="22">
        <f t="shared" si="79"/>
        <v>2103.0625</v>
      </c>
      <c r="AW70" s="22">
        <f>SUM($AV$3:AV70)</f>
        <v>79361.5</v>
      </c>
      <c r="AX70" s="22">
        <f t="shared" si="80"/>
        <v>593308.5</v>
      </c>
      <c r="AY70" s="22">
        <f t="shared" si="81"/>
        <v>2403.6003016212144</v>
      </c>
      <c r="AZ70" s="24">
        <f t="shared" si="82"/>
        <v>1.3143405613786545E-2</v>
      </c>
      <c r="BA70" s="24">
        <f t="shared" si="83"/>
        <v>0.35000000000000003</v>
      </c>
      <c r="BB70" s="25">
        <f>IF(MortgageRate="Discounted",_xlfn.XLOOKUP(L70,'mortgage-rates'!$A:$A,'mortgage-rates'!$E:$E)/100,_xlfn.XLOOKUP(L70,'mortgage-rates'!$A:$A,'mortgage-rates'!$D:$D)/100)</f>
        <v>5.9699999999999996E-2</v>
      </c>
      <c r="BC70" s="10">
        <f t="shared" si="101"/>
        <v>99956.788796675493</v>
      </c>
      <c r="BD70" s="10">
        <f t="shared" si="84"/>
        <v>3858.0073314082028</v>
      </c>
      <c r="BE70" s="10">
        <f t="shared" si="102"/>
        <v>1491.8550727903817</v>
      </c>
      <c r="BF70" s="10">
        <f t="shared" si="105"/>
        <v>2366.1522586178212</v>
      </c>
      <c r="BG70" s="12">
        <f t="shared" si="85"/>
        <v>6261.6076330294172</v>
      </c>
      <c r="BH70" s="22">
        <f>INDEX(cpi!B:B,MATCH($L70,cpi!A:A))</f>
        <v>131</v>
      </c>
      <c r="BI70" s="22">
        <f t="shared" si="86"/>
        <v>154.84633569739952</v>
      </c>
      <c r="BJ70" s="22">
        <f t="shared" si="87"/>
        <v>265.04184479821646</v>
      </c>
      <c r="BK70" s="22">
        <f t="shared" si="88"/>
        <v>276.05705641569335</v>
      </c>
      <c r="BL70" s="22">
        <f t="shared" si="89"/>
        <v>268.34640828345954</v>
      </c>
      <c r="BM70" s="22">
        <f t="shared" si="90"/>
        <v>443.27185121594073</v>
      </c>
      <c r="BN70" s="22">
        <f t="shared" si="91"/>
        <v>281.34615384615387</v>
      </c>
      <c r="BO70">
        <f t="shared" si="92"/>
        <v>234.13679817681356</v>
      </c>
    </row>
    <row r="71" spans="2:67" x14ac:dyDescent="0.25">
      <c r="L71" s="1">
        <f t="shared" si="103"/>
        <v>44986</v>
      </c>
      <c r="M71" s="10">
        <f t="shared" si="68"/>
        <v>337899.85239755124</v>
      </c>
      <c r="N71" s="10">
        <f t="shared" si="69"/>
        <v>467070.9884619423</v>
      </c>
      <c r="O71" s="7">
        <f t="shared" si="93"/>
        <v>0.72344431734081871</v>
      </c>
      <c r="P71" s="7">
        <f t="shared" si="70"/>
        <v>1.1335754554522446</v>
      </c>
      <c r="Q71">
        <v>69</v>
      </c>
      <c r="R71">
        <f t="shared" si="71"/>
        <v>90</v>
      </c>
      <c r="S71" s="22"/>
      <c r="T71" s="22">
        <f>IF($B$10="3BR_H",
INDEX('3BR_H-processed'!$E:$E,MATCH($L71,'3BR_H-processed'!$B:$B,0),MATCH(Council_Area,'3BR_H-processed'!$E$1:$E$1,0)),
INDEX('2BR_F-processed'!$E:$E,MATCH($L71,'2BR_F-processed'!$B:$B,0),MATCH(Council_Area,'2BR_F-processed'!$E$1:$E$1,0)))</f>
        <v>550</v>
      </c>
      <c r="U71" s="22">
        <f t="shared" si="94"/>
        <v>550</v>
      </c>
      <c r="V71" s="22">
        <f t="shared" si="95"/>
        <v>7071.4285714285716</v>
      </c>
      <c r="W71" s="22">
        <f>$B$53/4*BH71/_xlfn.XLOOKUP(Q_end,cpi!A:A,cpi!B:B)</f>
        <v>183.41395991706977</v>
      </c>
      <c r="X71" s="22">
        <f t="shared" si="72"/>
        <v>7254.842531345641</v>
      </c>
      <c r="Y71" s="22">
        <f t="shared" si="73"/>
        <v>-854.87815627782402</v>
      </c>
      <c r="Z71" s="22">
        <f t="shared" si="96"/>
        <v>0</v>
      </c>
      <c r="AA71" s="22" cm="1">
        <f t="array" ref="AA71">(Y71+Z71)*eff_invest</f>
        <v>-854.87815627782402</v>
      </c>
      <c r="AB71" s="22">
        <f>AA71*(_xlfn.XLOOKUP(Q_end,cpi!A:A,cpi!B:B)/BH71)</f>
        <v>-932.18439497664758</v>
      </c>
      <c r="AC71" s="22" cm="1">
        <f t="array" ref="AC71">INDEX('msci-indices'!C:C,MATCH($L71,'msci-indices'!$B:$B)-2)</f>
        <v>2198.4432400000001</v>
      </c>
      <c r="AD71" s="22" cm="1">
        <f t="array" ref="AD71">INDEX('msci-indices'!D:D,MATCH($L71,'msci-indices'!$B:$B)-2)</f>
        <v>2149.944184</v>
      </c>
      <c r="AE71" s="22">
        <f t="shared" si="97"/>
        <v>318546.509168157</v>
      </c>
      <c r="AF71" s="22" cm="1">
        <f t="array" ref="AF71">INDEX('msci-indices'!C:C,MATCH($L71,'msci-indices'!$B:$B)+1)</f>
        <v>2359.7519419999999</v>
      </c>
      <c r="AG71" s="22" cm="1">
        <f t="array" ref="AG71">INDEX('msci-indices'!D:D,MATCH($L71,'msci-indices'!$B:$B)+1)</f>
        <v>2221.7402550000002</v>
      </c>
      <c r="AH71" s="22">
        <f t="shared" si="74"/>
        <v>199.09156823009812</v>
      </c>
      <c r="AI71" s="22">
        <f t="shared" si="75"/>
        <v>337899.85239755124</v>
      </c>
      <c r="AJ71" s="22">
        <f t="shared" si="98"/>
        <v>115035.06829233243</v>
      </c>
      <c r="AK71" s="22">
        <f t="shared" si="76"/>
        <v>222864.7841052188</v>
      </c>
      <c r="AL71" s="22">
        <f>AJ71*(_xlfn.XLOOKUP(Q_end,cpi!A:A,cpi!B:B)/BH71)</f>
        <v>125437.63663828564</v>
      </c>
      <c r="AM71" s="22" cm="1">
        <f t="array" ref="AM71">SUMPRODUCT($AA$3:AA71,_xlfn.SORTBY($BH$3:BH71,_xlfn.SEQUENCE(ROWS($BH$3:BH71)),-1)/$BH$3)</f>
        <v>172774.12698069934</v>
      </c>
      <c r="AN71" s="22">
        <f t="shared" si="99"/>
        <v>165125.7254168519</v>
      </c>
      <c r="AO71" s="22">
        <f t="shared" si="77"/>
        <v>0</v>
      </c>
      <c r="AP71" s="22">
        <f t="shared" si="100"/>
        <v>337899.85239755124</v>
      </c>
      <c r="AQ71" s="22"/>
      <c r="AR71" s="10">
        <f>IF($B$10="3BR_H",
INDEX('ns-combined'!$C:$D,MATCH($L71,'ns-combined'!$B:$B,0),MATCH(Council_Area,'ns-combined'!$C$1:$D$1,0))*1000,
INDEX('s-combined'!$C:$D,MATCH($L71,'s-combined'!$B:$B,0),MATCH(Council_Area,'s-combined'!$C$1:$D$1,0))*1000)</f>
        <v>705000</v>
      </c>
      <c r="AS71" s="22">
        <f t="shared" si="104"/>
        <v>44850</v>
      </c>
      <c r="AT71" s="10">
        <v>0</v>
      </c>
      <c r="AU71" s="22">
        <f t="shared" si="78"/>
        <v>14100</v>
      </c>
      <c r="AV71" s="22">
        <f t="shared" si="79"/>
        <v>2026.875</v>
      </c>
      <c r="AW71" s="22">
        <f>SUM($AV$3:AV71)</f>
        <v>81388.375</v>
      </c>
      <c r="AX71" s="22">
        <f t="shared" si="80"/>
        <v>564661.625</v>
      </c>
      <c r="AY71" s="22">
        <f t="shared" si="81"/>
        <v>2475.0000000000005</v>
      </c>
      <c r="AZ71" s="24">
        <f t="shared" si="82"/>
        <v>1.4042553191489364E-2</v>
      </c>
      <c r="BA71" s="24">
        <f t="shared" si="83"/>
        <v>0.35000000000000003</v>
      </c>
      <c r="BB71" s="25">
        <f>IF(MortgageRate="Discounted",_xlfn.XLOOKUP(L71,'mortgage-rates'!$A:$A,'mortgage-rates'!$E:$E)/100,_xlfn.XLOOKUP(L71,'mortgage-rates'!$A:$A,'mortgage-rates'!$D:$D)/100)</f>
        <v>6.4299999999999996E-2</v>
      </c>
      <c r="BC71" s="10">
        <f t="shared" si="101"/>
        <v>97590.636538057675</v>
      </c>
      <c r="BD71" s="10">
        <f t="shared" si="84"/>
        <v>3924.9643750678165</v>
      </c>
      <c r="BE71" s="10">
        <f t="shared" si="102"/>
        <v>1568.769482349277</v>
      </c>
      <c r="BF71" s="10">
        <f t="shared" si="105"/>
        <v>2356.1948927185394</v>
      </c>
      <c r="BG71" s="12">
        <f t="shared" si="85"/>
        <v>6399.9643750678169</v>
      </c>
      <c r="BH71" s="22">
        <f>INDEX(cpi!B:B,MATCH($L71,cpi!A:A))</f>
        <v>132.69999999999999</v>
      </c>
      <c r="BI71" s="22">
        <f t="shared" si="86"/>
        <v>156.85579196217492</v>
      </c>
      <c r="BJ71" s="22">
        <f t="shared" si="87"/>
        <v>291.23097351744474</v>
      </c>
      <c r="BK71" s="22">
        <f t="shared" si="88"/>
        <v>301.55345339164973</v>
      </c>
      <c r="BL71" s="22">
        <f t="shared" si="89"/>
        <v>294.32771747970622</v>
      </c>
      <c r="BM71" s="22">
        <f t="shared" si="90"/>
        <v>484.63644648594988</v>
      </c>
      <c r="BN71" s="22">
        <f t="shared" si="91"/>
        <v>271.15384615384613</v>
      </c>
      <c r="BO71">
        <f t="shared" si="92"/>
        <v>222.8319077357169</v>
      </c>
    </row>
    <row r="72" spans="2:67" x14ac:dyDescent="0.25">
      <c r="L72" s="1">
        <f t="shared" si="103"/>
        <v>45078</v>
      </c>
      <c r="M72" s="10">
        <f t="shared" si="68"/>
        <v>353113.50123317901</v>
      </c>
      <c r="N72" s="10">
        <f t="shared" si="69"/>
        <v>458444.74585466087</v>
      </c>
      <c r="O72" s="7">
        <f t="shared" si="93"/>
        <v>0.77024222531961428</v>
      </c>
      <c r="P72" s="7">
        <f t="shared" si="70"/>
        <v>1.1253942041652598</v>
      </c>
      <c r="Q72">
        <v>70</v>
      </c>
      <c r="R72">
        <f t="shared" si="71"/>
        <v>91</v>
      </c>
      <c r="S72" s="22"/>
      <c r="T72" s="22">
        <f>IF($B$10="3BR_H",
INDEX('3BR_H-processed'!$E:$E,MATCH($L72,'3BR_H-processed'!$B:$B,0),MATCH(Council_Area,'3BR_H-processed'!$E$1:$E$1,0)),
INDEX('2BR_F-processed'!$E:$E,MATCH($L72,'2BR_F-processed'!$B:$B,0),MATCH(Council_Area,'2BR_F-processed'!$E$1:$E$1,0)))</f>
        <v>530</v>
      </c>
      <c r="U72" s="22">
        <f t="shared" si="94"/>
        <v>550</v>
      </c>
      <c r="V72" s="22">
        <f t="shared" si="95"/>
        <v>7150</v>
      </c>
      <c r="W72" s="22">
        <f>$B$53/4*BH72/_xlfn.XLOOKUP(Q_end,cpi!A:A,cpi!B:B)</f>
        <v>184.93434692467179</v>
      </c>
      <c r="X72" s="22">
        <f t="shared" si="72"/>
        <v>7334.9343469246714</v>
      </c>
      <c r="Y72" s="22">
        <f t="shared" si="73"/>
        <v>-817.27651664890345</v>
      </c>
      <c r="Z72" s="22">
        <f t="shared" si="96"/>
        <v>0</v>
      </c>
      <c r="AA72" s="22" cm="1">
        <f t="array" ref="AA72">(Y72+Z72)*eff_invest</f>
        <v>-817.27651664890345</v>
      </c>
      <c r="AB72" s="22">
        <f>AA72*(_xlfn.XLOOKUP(Q_end,cpi!A:A,cpi!B:B)/BH72)</f>
        <v>-883.85584423838793</v>
      </c>
      <c r="AC72" s="22" cm="1">
        <f t="array" ref="AC72">INDEX('msci-indices'!C:C,MATCH($L72,'msci-indices'!$B:$B)-2)</f>
        <v>2359.7519419999999</v>
      </c>
      <c r="AD72" s="22" cm="1">
        <f t="array" ref="AD72">INDEX('msci-indices'!D:D,MATCH($L72,'msci-indices'!$B:$B)-2)</f>
        <v>2221.7402550000002</v>
      </c>
      <c r="AE72" s="22">
        <f t="shared" si="97"/>
        <v>337082.57588090235</v>
      </c>
      <c r="AF72" s="22" cm="1">
        <f t="array" ref="AF72">INDEX('msci-indices'!C:C,MATCH($L72,'msci-indices'!$B:$B)+1)</f>
        <v>2511.4075790000002</v>
      </c>
      <c r="AG72" s="22" cm="1">
        <f t="array" ref="AG72">INDEX('msci-indices'!D:D,MATCH($L72,'msci-indices'!$B:$B)+1)</f>
        <v>2245.4056799999998</v>
      </c>
      <c r="AH72" s="22">
        <f t="shared" si="74"/>
        <v>210.67660992556398</v>
      </c>
      <c r="AI72" s="22">
        <f t="shared" si="75"/>
        <v>353113.50123317901</v>
      </c>
      <c r="AJ72" s="22">
        <f t="shared" si="98"/>
        <v>114217.79177568354</v>
      </c>
      <c r="AK72" s="22">
        <f t="shared" si="76"/>
        <v>238895.70945749548</v>
      </c>
      <c r="AL72" s="22">
        <f>AJ72*(_xlfn.XLOOKUP(Q_end,cpi!A:A,cpi!B:B)/BH72)</f>
        <v>123522.52967071305</v>
      </c>
      <c r="AM72" s="22" cm="1">
        <f t="array" ref="AM72">SUMPRODUCT($AA$3:AA72,_xlfn.SORTBY($BH$3:BH72,_xlfn.SEQUENCE(ROWS($BH$3:BH72)),-1)/$BH$3)</f>
        <v>173358.24619542147</v>
      </c>
      <c r="AN72" s="22">
        <f t="shared" si="99"/>
        <v>179755.25503775754</v>
      </c>
      <c r="AO72" s="22">
        <f t="shared" si="77"/>
        <v>0</v>
      </c>
      <c r="AP72" s="22">
        <f t="shared" si="100"/>
        <v>353113.50123317901</v>
      </c>
      <c r="AQ72" s="22"/>
      <c r="AR72" s="10">
        <f>IF($B$10="3BR_H",
INDEX('ns-combined'!$C:$D,MATCH($L72,'ns-combined'!$B:$B,0),MATCH(Council_Area,'ns-combined'!$C$1:$D$1,0))*1000,
INDEX('s-combined'!$C:$D,MATCH($L72,'s-combined'!$B:$B,0),MATCH(Council_Area,'s-combined'!$C$1:$D$1,0))*1000)</f>
        <v>696500</v>
      </c>
      <c r="AS72" s="22">
        <f t="shared" si="104"/>
        <v>45500</v>
      </c>
      <c r="AT72" s="10">
        <v>0</v>
      </c>
      <c r="AU72" s="22">
        <f t="shared" si="78"/>
        <v>13930</v>
      </c>
      <c r="AV72" s="22">
        <f t="shared" si="79"/>
        <v>2002.4375</v>
      </c>
      <c r="AW72" s="22">
        <f>SUM($AV$3:AV72)</f>
        <v>83390.8125</v>
      </c>
      <c r="AX72" s="22">
        <f t="shared" si="80"/>
        <v>553679.1875</v>
      </c>
      <c r="AY72" s="22">
        <f t="shared" si="81"/>
        <v>2502.5000000000005</v>
      </c>
      <c r="AZ72" s="24">
        <f t="shared" si="82"/>
        <v>1.4371859296482414E-2</v>
      </c>
      <c r="BA72" s="24">
        <f t="shared" si="83"/>
        <v>0.35000000000000009</v>
      </c>
      <c r="BB72" s="25">
        <f>IF(MortgageRate="Discounted",_xlfn.XLOOKUP(L72,'mortgage-rates'!$A:$A,'mortgage-rates'!$E:$E)/100,_xlfn.XLOOKUP(L72,'mortgage-rates'!$A:$A,'mortgage-rates'!$D:$D)/100)</f>
        <v>7.0599999999999996E-2</v>
      </c>
      <c r="BC72" s="10">
        <f t="shared" si="101"/>
        <v>95234.441645339131</v>
      </c>
      <c r="BD72" s="10">
        <f t="shared" si="84"/>
        <v>4015.1578302757675</v>
      </c>
      <c r="BE72" s="10">
        <f t="shared" si="102"/>
        <v>1680.8878950402357</v>
      </c>
      <c r="BF72" s="10">
        <f t="shared" si="105"/>
        <v>2334.2699352355321</v>
      </c>
      <c r="BG72" s="12">
        <f t="shared" si="85"/>
        <v>6517.657830275768</v>
      </c>
      <c r="BH72" s="22">
        <f>INDEX(cpi!B:B,MATCH($L72,cpi!A:A))</f>
        <v>133.80000000000001</v>
      </c>
      <c r="BI72" s="22">
        <f t="shared" si="86"/>
        <v>158.15602836879435</v>
      </c>
      <c r="BJ72" s="22">
        <f t="shared" si="87"/>
        <v>312.59977188601005</v>
      </c>
      <c r="BK72" s="22">
        <f t="shared" si="88"/>
        <v>311.62364652090639</v>
      </c>
      <c r="BL72" s="22">
        <f t="shared" si="89"/>
        <v>312.30693427647896</v>
      </c>
      <c r="BM72" s="22">
        <f t="shared" si="90"/>
        <v>512.83720601381287</v>
      </c>
      <c r="BN72" s="22">
        <f t="shared" si="91"/>
        <v>267.88461538461536</v>
      </c>
      <c r="BO72">
        <f t="shared" si="92"/>
        <v>218.49791833150817</v>
      </c>
    </row>
    <row r="73" spans="2:67" x14ac:dyDescent="0.25">
      <c r="L73" s="1">
        <f t="shared" si="103"/>
        <v>45170</v>
      </c>
      <c r="M73" s="10">
        <f t="shared" si="68"/>
        <v>342768.6078588129</v>
      </c>
      <c r="N73" s="10">
        <f t="shared" si="69"/>
        <v>456660.89078989637</v>
      </c>
      <c r="O73" s="7">
        <f t="shared" si="93"/>
        <v>0.75059768588003783</v>
      </c>
      <c r="P73" s="7">
        <f t="shared" si="70"/>
        <v>1.1329659277587414</v>
      </c>
      <c r="Q73">
        <v>71</v>
      </c>
      <c r="R73">
        <f t="shared" si="71"/>
        <v>92</v>
      </c>
      <c r="S73" s="22"/>
      <c r="T73" s="22">
        <f>IF($B$10="3BR_H",
INDEX('3BR_H-processed'!$E:$E,MATCH($L73,'3BR_H-processed'!$B:$B,0),MATCH(Council_Area,'3BR_H-processed'!$E$1:$E$1,0)),
INDEX('2BR_F-processed'!$E:$E,MATCH($L73,'2BR_F-processed'!$B:$B,0),MATCH(Council_Area,'2BR_F-processed'!$E$1:$E$1,0)))</f>
        <v>530</v>
      </c>
      <c r="U73" s="22">
        <f t="shared" si="94"/>
        <v>550</v>
      </c>
      <c r="V73" s="22">
        <f t="shared" si="95"/>
        <v>7228.5714285714284</v>
      </c>
      <c r="W73" s="22">
        <f>$B$53/4*BH73/_xlfn.XLOOKUP(Q_end,cpi!A:A,cpi!B:B)</f>
        <v>186.86938493434693</v>
      </c>
      <c r="X73" s="22">
        <f t="shared" si="72"/>
        <v>7415.4408135057756</v>
      </c>
      <c r="Y73" s="22">
        <f t="shared" si="73"/>
        <v>-870.28298323000763</v>
      </c>
      <c r="Z73" s="22">
        <f t="shared" si="96"/>
        <v>0</v>
      </c>
      <c r="AA73" s="22" cm="1">
        <f t="array" ref="AA73">(Y73+Z73)*eff_invest</f>
        <v>-870.28298323000763</v>
      </c>
      <c r="AB73" s="22">
        <f>AA73*(_xlfn.XLOOKUP(Q_end,cpi!A:A,cpi!B:B)/BH73)</f>
        <v>-931.43452421140614</v>
      </c>
      <c r="AC73" s="22" cm="1">
        <f t="array" ref="AC73">INDEX('msci-indices'!C:C,MATCH($L73,'msci-indices'!$B:$B)-2)</f>
        <v>2511.4075790000002</v>
      </c>
      <c r="AD73" s="22" cm="1">
        <f t="array" ref="AD73">INDEX('msci-indices'!D:D,MATCH($L73,'msci-indices'!$B:$B)-2)</f>
        <v>2245.4056799999998</v>
      </c>
      <c r="AE73" s="22">
        <f t="shared" si="97"/>
        <v>352243.21824994899</v>
      </c>
      <c r="AF73" s="22" cm="1">
        <f t="array" ref="AF73">INDEX('msci-indices'!C:C,MATCH($L73,'msci-indices'!$B:$B)+1)</f>
        <v>2421.9848459999998</v>
      </c>
      <c r="AG73" s="22" cm="1">
        <f t="array" ref="AG73">INDEX('msci-indices'!D:D,MATCH($L73,'msci-indices'!$B:$B)+1)</f>
        <v>2235.3141679999999</v>
      </c>
      <c r="AH73" s="22">
        <f t="shared" si="74"/>
        <v>220.15201140621812</v>
      </c>
      <c r="AI73" s="22">
        <f t="shared" si="75"/>
        <v>342768.6078588129</v>
      </c>
      <c r="AJ73" s="22">
        <f t="shared" si="98"/>
        <v>113347.50879245353</v>
      </c>
      <c r="AK73" s="22">
        <f t="shared" si="76"/>
        <v>229421.09906635937</v>
      </c>
      <c r="AL73" s="22">
        <f>AJ73*(_xlfn.XLOOKUP(Q_end,cpi!A:A,cpi!B:B)/BH73)</f>
        <v>121312.01569724873</v>
      </c>
      <c r="AM73" s="22" cm="1">
        <f t="array" ref="AM73">SUMPRODUCT($AA$3:AA73,_xlfn.SORTBY($BH$3:BH73,_xlfn.SEQUENCE(ROWS($BH$3:BH73)),-1)/$BH$3)</f>
        <v>174124.25610715942</v>
      </c>
      <c r="AN73" s="22">
        <f t="shared" si="99"/>
        <v>168644.35175165348</v>
      </c>
      <c r="AO73" s="22">
        <f t="shared" si="77"/>
        <v>0</v>
      </c>
      <c r="AP73" s="22">
        <f t="shared" si="100"/>
        <v>342768.6078588129</v>
      </c>
      <c r="AQ73" s="22"/>
      <c r="AR73" s="10">
        <f>IF($B$10="3BR_H",
INDEX('ns-combined'!$C:$D,MATCH($L73,'ns-combined'!$B:$B,0),MATCH(Council_Area,'ns-combined'!$C$1:$D$1,0))*1000,
INDEX('s-combined'!$C:$D,MATCH($L73,'s-combined'!$B:$B,0),MATCH(Council_Area,'s-combined'!$C$1:$D$1,0))*1000)</f>
        <v>695000</v>
      </c>
      <c r="AS73" s="22">
        <f t="shared" si="104"/>
        <v>46150</v>
      </c>
      <c r="AT73" s="10">
        <v>0</v>
      </c>
      <c r="AU73" s="22">
        <f t="shared" si="78"/>
        <v>13900</v>
      </c>
      <c r="AV73" s="22">
        <f t="shared" si="79"/>
        <v>1998.125</v>
      </c>
      <c r="AW73" s="22">
        <f>SUM($AV$3:AV73)</f>
        <v>85388.9375</v>
      </c>
      <c r="AX73" s="22">
        <f t="shared" si="80"/>
        <v>549561.0625</v>
      </c>
      <c r="AY73" s="22">
        <f t="shared" si="81"/>
        <v>2530</v>
      </c>
      <c r="AZ73" s="24">
        <f t="shared" si="82"/>
        <v>1.456115107913669E-2</v>
      </c>
      <c r="BA73" s="24">
        <f t="shared" si="83"/>
        <v>0.35000000000000003</v>
      </c>
      <c r="BB73" s="25">
        <f>IF(MortgageRate="Discounted",_xlfn.XLOOKUP(L73,'mortgage-rates'!$A:$A,'mortgage-rates'!$E:$E)/100,_xlfn.XLOOKUP(L73,'mortgage-rates'!$A:$A,'mortgage-rates'!$D:$D)/100)</f>
        <v>7.0599999999999996E-2</v>
      </c>
      <c r="BC73" s="10">
        <f t="shared" si="101"/>
        <v>92900.171710103605</v>
      </c>
      <c r="BD73" s="10">
        <f t="shared" si="84"/>
        <v>4015.1578302757684</v>
      </c>
      <c r="BE73" s="10">
        <f t="shared" si="102"/>
        <v>1639.6880306833286</v>
      </c>
      <c r="BF73" s="10">
        <f t="shared" si="105"/>
        <v>2375.4697995924398</v>
      </c>
      <c r="BG73" s="12">
        <f t="shared" si="85"/>
        <v>6545.157830275768</v>
      </c>
      <c r="BH73" s="22">
        <f>INDEX(cpi!B:B,MATCH($L73,cpi!A:A))</f>
        <v>135.19999999999999</v>
      </c>
      <c r="BI73" s="22">
        <f t="shared" si="86"/>
        <v>159.81087470449171</v>
      </c>
      <c r="BJ73" s="22">
        <f t="shared" si="87"/>
        <v>332.68981469417383</v>
      </c>
      <c r="BK73" s="22">
        <f t="shared" si="88"/>
        <v>314.94298415201342</v>
      </c>
      <c r="BL73" s="22">
        <f t="shared" si="89"/>
        <v>327.36576553152571</v>
      </c>
      <c r="BM73" s="22">
        <f t="shared" si="90"/>
        <v>535.90259719755522</v>
      </c>
      <c r="BN73" s="22">
        <f t="shared" si="91"/>
        <v>267.30769230769232</v>
      </c>
      <c r="BO73">
        <f t="shared" si="92"/>
        <v>216.87278637740354</v>
      </c>
    </row>
    <row r="74" spans="2:67" x14ac:dyDescent="0.25">
      <c r="L74" s="1">
        <f t="shared" si="103"/>
        <v>45261</v>
      </c>
      <c r="M74" s="10">
        <f t="shared" si="68"/>
        <v>378108.3214856697</v>
      </c>
      <c r="N74" s="10">
        <f t="shared" si="69"/>
        <v>475930.73558948882</v>
      </c>
      <c r="O74" s="7">
        <f t="shared" si="93"/>
        <v>0.79446081795357038</v>
      </c>
      <c r="P74" s="7">
        <f t="shared" si="70"/>
        <v>1.1273312443541332</v>
      </c>
      <c r="Q74">
        <v>72</v>
      </c>
      <c r="R74">
        <f t="shared" si="71"/>
        <v>92</v>
      </c>
      <c r="S74" s="22"/>
      <c r="T74" s="22">
        <f>IF($B$10="3BR_H",
INDEX('3BR_H-processed'!$E:$E,MATCH($L74,'3BR_H-processed'!$B:$B,0),MATCH(Council_Area,'3BR_H-processed'!$E$1:$E$1,0)),
INDEX('2BR_F-processed'!$E:$E,MATCH($L74,'2BR_F-processed'!$B:$B,0),MATCH(Council_Area,'2BR_F-processed'!$E$1:$E$1,0)))</f>
        <v>550</v>
      </c>
      <c r="U74" s="22">
        <f t="shared" si="94"/>
        <v>550</v>
      </c>
      <c r="V74" s="22">
        <f t="shared" si="95"/>
        <v>7228.5714285714284</v>
      </c>
      <c r="W74" s="22">
        <f>$B$53/4*BH74/_xlfn.XLOOKUP(Q_end,cpi!A:A,cpi!B:B)</f>
        <v>188.38977194194891</v>
      </c>
      <c r="X74" s="22">
        <f t="shared" si="72"/>
        <v>7416.9612005133777</v>
      </c>
      <c r="Y74" s="22">
        <f t="shared" si="73"/>
        <v>-837.74037463918921</v>
      </c>
      <c r="Z74" s="22">
        <f t="shared" si="96"/>
        <v>0</v>
      </c>
      <c r="AA74" s="22" cm="1">
        <f t="array" ref="AA74">(Y74+Z74)*eff_invest</f>
        <v>-837.74037463918921</v>
      </c>
      <c r="AB74" s="22">
        <f>AA74*(_xlfn.XLOOKUP(Q_end,cpi!A:A,cpi!B:B)/BH74)</f>
        <v>-889.36927520389338</v>
      </c>
      <c r="AC74" s="22" cm="1">
        <f t="array" ref="AC74">INDEX('msci-indices'!C:C,MATCH($L74,'msci-indices'!$B:$B)-2)</f>
        <v>2421.9848459999998</v>
      </c>
      <c r="AD74" s="22" cm="1">
        <f t="array" ref="AD74">INDEX('msci-indices'!D:D,MATCH($L74,'msci-indices'!$B:$B)-2)</f>
        <v>2235.3141679999999</v>
      </c>
      <c r="AE74" s="22">
        <f t="shared" si="97"/>
        <v>341930.86748417374</v>
      </c>
      <c r="AF74" s="22" cm="1">
        <f t="array" ref="AF74">INDEX('msci-indices'!C:C,MATCH($L74,'msci-indices'!$B:$B)+1)</f>
        <v>2701.360248</v>
      </c>
      <c r="AG74" s="22" cm="1">
        <f t="array" ref="AG74">INDEX('msci-indices'!D:D,MATCH($L74,'msci-indices'!$B:$B)+1)</f>
        <v>2426.6837019999998</v>
      </c>
      <c r="AH74" s="22">
        <f t="shared" si="74"/>
        <v>213.70679217760858</v>
      </c>
      <c r="AI74" s="22">
        <f t="shared" si="75"/>
        <v>378108.3214856697</v>
      </c>
      <c r="AJ74" s="22">
        <f t="shared" si="98"/>
        <v>112509.76841781434</v>
      </c>
      <c r="AK74" s="22">
        <f t="shared" si="76"/>
        <v>265598.55306785536</v>
      </c>
      <c r="AL74" s="22">
        <f>AJ74*(_xlfn.XLOOKUP(Q_end,cpi!A:A,cpi!B:B)/BH74)</f>
        <v>119443.60594319686</v>
      </c>
      <c r="AM74" s="22" cm="1">
        <f t="array" ref="AM74">SUMPRODUCT($AA$3:AA74,_xlfn.SORTBY($BH$3:BH74,_xlfn.SEQUENCE(ROWS($BH$3:BH74)),-1)/$BH$3)</f>
        <v>174705.99486016875</v>
      </c>
      <c r="AN74" s="22">
        <f t="shared" si="99"/>
        <v>203402.32662550095</v>
      </c>
      <c r="AO74" s="22">
        <f t="shared" si="77"/>
        <v>0</v>
      </c>
      <c r="AP74" s="22">
        <f t="shared" si="100"/>
        <v>378108.3214856697</v>
      </c>
      <c r="AQ74" s="22"/>
      <c r="AR74" s="10">
        <f>IF($B$10="3BR_H",
INDEX('ns-combined'!$C:$D,MATCH($L74,'ns-combined'!$B:$B,0),MATCH(Council_Area,'ns-combined'!$C$1:$D$1,0))*1000,
INDEX('s-combined'!$C:$D,MATCH($L74,'s-combined'!$B:$B,0),MATCH(Council_Area,'s-combined'!$C$1:$D$1,0))*1000)</f>
        <v>715000</v>
      </c>
      <c r="AS74" s="22">
        <f t="shared" si="104"/>
        <v>46800</v>
      </c>
      <c r="AT74" s="10">
        <v>0</v>
      </c>
      <c r="AU74" s="22">
        <f t="shared" si="78"/>
        <v>14300</v>
      </c>
      <c r="AV74" s="22">
        <f t="shared" si="79"/>
        <v>2055.625</v>
      </c>
      <c r="AW74" s="22">
        <f>SUM($AV$3:AV74)</f>
        <v>87444.5625</v>
      </c>
      <c r="AX74" s="22">
        <f t="shared" si="80"/>
        <v>566455.4375</v>
      </c>
      <c r="AY74" s="22">
        <f t="shared" si="81"/>
        <v>2530</v>
      </c>
      <c r="AZ74" s="24">
        <f t="shared" si="82"/>
        <v>1.4153846153846154E-2</v>
      </c>
      <c r="BA74" s="24">
        <f t="shared" si="83"/>
        <v>0.35000000000000003</v>
      </c>
      <c r="BB74" s="25">
        <f>IF(MortgageRate="Discounted",_xlfn.XLOOKUP(L74,'mortgage-rates'!$A:$A,'mortgage-rates'!$E:$E)/100,_xlfn.XLOOKUP(L74,'mortgage-rates'!$A:$A,'mortgage-rates'!$D:$D)/100)</f>
        <v>7.3099999999999998E-2</v>
      </c>
      <c r="BC74" s="10">
        <f t="shared" si="101"/>
        <v>90524.701910511169</v>
      </c>
      <c r="BD74" s="10">
        <f t="shared" si="84"/>
        <v>4049.2208258741889</v>
      </c>
      <c r="BE74" s="10">
        <f t="shared" si="102"/>
        <v>1654.3389274145916</v>
      </c>
      <c r="BF74" s="10">
        <f t="shared" si="105"/>
        <v>2394.8818984595973</v>
      </c>
      <c r="BG74" s="12">
        <f t="shared" si="85"/>
        <v>6579.2208258741884</v>
      </c>
      <c r="BH74" s="22">
        <f>INDEX(cpi!B:B,MATCH($L74,cpi!A:A))</f>
        <v>136.30000000000001</v>
      </c>
      <c r="BI74" s="22">
        <f t="shared" si="86"/>
        <v>161.11111111111114</v>
      </c>
      <c r="BJ74" s="22">
        <f t="shared" si="87"/>
        <v>320.84385519322234</v>
      </c>
      <c r="BK74" s="22">
        <f t="shared" si="88"/>
        <v>313.52753796685647</v>
      </c>
      <c r="BL74" s="22">
        <f t="shared" si="89"/>
        <v>318.64896002531259</v>
      </c>
      <c r="BM74" s="22">
        <f t="shared" si="90"/>
        <v>520.2133936238198</v>
      </c>
      <c r="BN74" s="22">
        <f t="shared" si="91"/>
        <v>275</v>
      </c>
      <c r="BO74">
        <f t="shared" si="92"/>
        <v>223.53979834453094</v>
      </c>
    </row>
    <row r="75" spans="2:67" x14ac:dyDescent="0.25">
      <c r="L75" s="1">
        <f t="shared" si="103"/>
        <v>45352</v>
      </c>
      <c r="M75" s="10">
        <f t="shared" si="68"/>
        <v>405630.86421364517</v>
      </c>
      <c r="N75" s="10">
        <f t="shared" si="69"/>
        <v>465848.74248794845</v>
      </c>
      <c r="O75" s="7">
        <f t="shared" si="93"/>
        <v>0.87073512755943283</v>
      </c>
      <c r="P75" s="7">
        <f t="shared" si="70"/>
        <v>1.1203237395224126</v>
      </c>
      <c r="Q75">
        <v>73</v>
      </c>
      <c r="R75">
        <f t="shared" si="71"/>
        <v>91</v>
      </c>
      <c r="S75" s="22"/>
      <c r="T75" s="22">
        <f>IF($B$10="3BR_H",
INDEX('3BR_H-processed'!$E:$E,MATCH($L75,'3BR_H-processed'!$B:$B,0),MATCH(Council_Area,'3BR_H-processed'!$E$1:$E$1,0)),
INDEX('2BR_F-processed'!$E:$E,MATCH($L75,'2BR_F-processed'!$B:$B,0),MATCH(Council_Area,'2BR_F-processed'!$E$1:$E$1,0)))</f>
        <v>550</v>
      </c>
      <c r="U75" s="22">
        <f t="shared" si="94"/>
        <v>550</v>
      </c>
      <c r="V75" s="22">
        <f t="shared" si="95"/>
        <v>7150</v>
      </c>
      <c r="W75" s="22">
        <f>$B$53/4*BH75/_xlfn.XLOOKUP(Q_end,cpi!A:A,cpi!B:B)</f>
        <v>190.0483759502419</v>
      </c>
      <c r="X75" s="22">
        <f t="shared" si="72"/>
        <v>7340.0483759502422</v>
      </c>
      <c r="Y75" s="22">
        <f t="shared" si="73"/>
        <v>-788.32755007605192</v>
      </c>
      <c r="Z75" s="22">
        <f t="shared" si="96"/>
        <v>0</v>
      </c>
      <c r="AA75" s="22" cm="1">
        <f t="array" ref="AA75">(Y75+Z75)*eff_invest</f>
        <v>-788.32755007605192</v>
      </c>
      <c r="AB75" s="22">
        <f>AA75*(_xlfn.XLOOKUP(Q_end,cpi!A:A,cpi!B:B)/BH75)</f>
        <v>-829.60724724367071</v>
      </c>
      <c r="AC75" s="22" cm="1">
        <f t="array" ref="AC75">INDEX('msci-indices'!C:C,MATCH($L75,'msci-indices'!$B:$B)-2)</f>
        <v>2701.360248</v>
      </c>
      <c r="AD75" s="22" cm="1">
        <f t="array" ref="AD75">INDEX('msci-indices'!D:D,MATCH($L75,'msci-indices'!$B:$B)-2)</f>
        <v>2426.6837019999998</v>
      </c>
      <c r="AE75" s="22">
        <f t="shared" si="97"/>
        <v>377319.99393559364</v>
      </c>
      <c r="AF75" s="22" cm="1">
        <f t="array" ref="AF75">INDEX('msci-indices'!C:C,MATCH($L75,'msci-indices'!$B:$B)+1)</f>
        <v>2928.0916900000002</v>
      </c>
      <c r="AG75" s="22" cm="1">
        <f t="array" ref="AG75">INDEX('msci-indices'!D:D,MATCH($L75,'msci-indices'!$B:$B)+1)</f>
        <v>2563.417899</v>
      </c>
      <c r="AH75" s="22">
        <f t="shared" si="74"/>
        <v>235.82499620974602</v>
      </c>
      <c r="AI75" s="22">
        <f t="shared" si="75"/>
        <v>405630.86421364517</v>
      </c>
      <c r="AJ75" s="22">
        <f t="shared" si="98"/>
        <v>111721.44086773829</v>
      </c>
      <c r="AK75" s="22">
        <f t="shared" si="76"/>
        <v>293909.42334590689</v>
      </c>
      <c r="AL75" s="22">
        <f>AJ75*(_xlfn.XLOOKUP(Q_end,cpi!A:A,cpi!B:B)/BH75)</f>
        <v>117571.58177135805</v>
      </c>
      <c r="AM75" s="22" cm="1">
        <f t="array" ref="AM75">SUMPRODUCT($AA$3:AA75,_xlfn.SORTBY($BH$3:BH75,_xlfn.SEQUENCE(ROWS($BH$3:BH75)),-1)/$BH$3)</f>
        <v>175416.00128199859</v>
      </c>
      <c r="AN75" s="22">
        <f t="shared" si="99"/>
        <v>230214.86293164658</v>
      </c>
      <c r="AO75" s="22">
        <f t="shared" si="77"/>
        <v>0</v>
      </c>
      <c r="AP75" s="22">
        <f t="shared" si="100"/>
        <v>405630.86421364517</v>
      </c>
      <c r="AQ75" s="22"/>
      <c r="AR75" s="10">
        <f>IF($B$10="3BR_H",
INDEX('ns-combined'!$C:$D,MATCH($L75,'ns-combined'!$B:$B,0),MATCH(Council_Area,'ns-combined'!$C$1:$D$1,0))*1000,
INDEX('s-combined'!$C:$D,MATCH($L75,'s-combined'!$B:$B,0),MATCH(Council_Area,'s-combined'!$C$1:$D$1,0))*1000)</f>
        <v>705000</v>
      </c>
      <c r="AS75" s="22">
        <f t="shared" si="104"/>
        <v>47450</v>
      </c>
      <c r="AT75" s="10">
        <v>0</v>
      </c>
      <c r="AU75" s="22">
        <f t="shared" si="78"/>
        <v>14100</v>
      </c>
      <c r="AV75" s="22">
        <f t="shared" si="79"/>
        <v>2026.875</v>
      </c>
      <c r="AW75" s="22">
        <f>SUM($AV$3:AV75)</f>
        <v>89471.4375</v>
      </c>
      <c r="AX75" s="22">
        <f t="shared" si="80"/>
        <v>553978.5625</v>
      </c>
      <c r="AY75" s="22">
        <f t="shared" si="81"/>
        <v>2502.5000000000005</v>
      </c>
      <c r="AZ75" s="24">
        <f t="shared" si="82"/>
        <v>1.4198581560283691E-2</v>
      </c>
      <c r="BA75" s="24">
        <f t="shared" si="83"/>
        <v>0.35000000000000009</v>
      </c>
      <c r="BB75" s="25">
        <f>IF(MortgageRate="Discounted",_xlfn.XLOOKUP(L75,'mortgage-rates'!$A:$A,'mortgage-rates'!$E:$E)/100,_xlfn.XLOOKUP(L75,'mortgage-rates'!$A:$A,'mortgage-rates'!$D:$D)/100)</f>
        <v>7.3099999999999998E-2</v>
      </c>
      <c r="BC75" s="10">
        <f t="shared" si="101"/>
        <v>88129.820012051568</v>
      </c>
      <c r="BD75" s="10">
        <f t="shared" si="84"/>
        <v>4049.2208258741894</v>
      </c>
      <c r="BE75" s="10">
        <f t="shared" si="102"/>
        <v>1610.5724607202424</v>
      </c>
      <c r="BF75" s="10">
        <f t="shared" si="105"/>
        <v>2438.648365153947</v>
      </c>
      <c r="BG75" s="12">
        <f t="shared" si="85"/>
        <v>6551.7208258741903</v>
      </c>
      <c r="BH75" s="22">
        <f>INDEX(cpi!B:B,MATCH($L75,cpi!A:A))</f>
        <v>137.5</v>
      </c>
      <c r="BI75" s="22">
        <f t="shared" si="86"/>
        <v>162.52955082742318</v>
      </c>
      <c r="BJ75" s="22">
        <f t="shared" si="87"/>
        <v>357.853121032302</v>
      </c>
      <c r="BK75" s="22">
        <f t="shared" si="88"/>
        <v>340.36923194250375</v>
      </c>
      <c r="BL75" s="22">
        <f t="shared" si="89"/>
        <v>352.60795430536251</v>
      </c>
      <c r="BM75" s="22">
        <f t="shared" si="90"/>
        <v>574.05438699224612</v>
      </c>
      <c r="BN75" s="22">
        <f t="shared" si="91"/>
        <v>271.15384615384613</v>
      </c>
      <c r="BO75">
        <f t="shared" si="92"/>
        <v>218.61606041771489</v>
      </c>
    </row>
    <row r="76" spans="2:67" x14ac:dyDescent="0.25">
      <c r="B76" s="7"/>
      <c r="L76" s="1">
        <f t="shared" si="103"/>
        <v>45444</v>
      </c>
      <c r="M76" s="10">
        <f t="shared" si="68"/>
        <v>409023.17116385436</v>
      </c>
      <c r="N76" s="10">
        <f t="shared" si="69"/>
        <v>456327.82835310238</v>
      </c>
      <c r="O76" s="7">
        <f t="shared" si="93"/>
        <v>0.89633624282794322</v>
      </c>
      <c r="P76" s="7">
        <f t="shared" si="70"/>
        <v>1.1247970378793481</v>
      </c>
      <c r="Q76">
        <v>74</v>
      </c>
      <c r="R76">
        <f t="shared" si="71"/>
        <v>91</v>
      </c>
      <c r="S76" s="22"/>
      <c r="T76" s="22">
        <f>IF($B$10="3BR_H",
INDEX('3BR_H-processed'!$E:$E,MATCH($L76,'3BR_H-processed'!$B:$B,0),MATCH(Council_Area,'3BR_H-processed'!$E$1:$E$1,0)),
INDEX('2BR_F-processed'!$E:$E,MATCH($L76,'2BR_F-processed'!$B:$B,0),MATCH(Council_Area,'2BR_F-processed'!$E$1:$E$1,0)))</f>
        <v>540</v>
      </c>
      <c r="U76" s="22">
        <f t="shared" si="94"/>
        <v>550</v>
      </c>
      <c r="V76" s="22">
        <f t="shared" si="95"/>
        <v>7150</v>
      </c>
      <c r="W76" s="22">
        <f>$B$53/4*BH76/_xlfn.XLOOKUP(Q_end,cpi!A:A,cpi!B:B)</f>
        <v>191.98341395991707</v>
      </c>
      <c r="X76" s="22">
        <f t="shared" si="72"/>
        <v>7341.983413959917</v>
      </c>
      <c r="Y76" s="22">
        <f t="shared" si="73"/>
        <v>-814.59832428878144</v>
      </c>
      <c r="Z76" s="22">
        <f t="shared" si="96"/>
        <v>0</v>
      </c>
      <c r="AA76" s="22" cm="1">
        <f t="array" ref="AA76">(Y76+Z76)*eff_invest</f>
        <v>-814.59832428878144</v>
      </c>
      <c r="AB76" s="22">
        <f>AA76*(_xlfn.XLOOKUP(Q_end,cpi!A:A,cpi!B:B)/BH76)</f>
        <v>-848.61322911869445</v>
      </c>
      <c r="AC76" s="22" cm="1">
        <f t="array" ref="AC76">INDEX('msci-indices'!C:C,MATCH($L76,'msci-indices'!$B:$B)-2)</f>
        <v>2928.0916900000002</v>
      </c>
      <c r="AD76" s="22" cm="1">
        <f t="array" ref="AD76">INDEX('msci-indices'!D:D,MATCH($L76,'msci-indices'!$B:$B)-2)</f>
        <v>2563.417899</v>
      </c>
      <c r="AE76" s="22">
        <f t="shared" si="97"/>
        <v>404816.26588935638</v>
      </c>
      <c r="AF76" s="22" cm="1">
        <f t="array" ref="AF76">INDEX('msci-indices'!C:C,MATCH($L76,'msci-indices'!$B:$B)+1)</f>
        <v>2988.3970690000001</v>
      </c>
      <c r="AG76" s="22" cm="1">
        <f t="array" ref="AG76">INDEX('msci-indices'!D:D,MATCH($L76,'msci-indices'!$B:$B)+1)</f>
        <v>2534.3685369999998</v>
      </c>
      <c r="AH76" s="22">
        <f t="shared" si="74"/>
        <v>253.01016618084773</v>
      </c>
      <c r="AI76" s="22">
        <f t="shared" si="75"/>
        <v>409023.17116385436</v>
      </c>
      <c r="AJ76" s="22">
        <f t="shared" si="98"/>
        <v>110906.84254344951</v>
      </c>
      <c r="AK76" s="22">
        <f t="shared" si="76"/>
        <v>298116.32862040482</v>
      </c>
      <c r="AL76" s="22">
        <f>AJ76*(_xlfn.XLOOKUP(Q_end,cpi!A:A,cpi!B:B)/BH76)</f>
        <v>115537.94180012342</v>
      </c>
      <c r="AM76" s="22" cm="1">
        <f t="array" ref="AM76">SUMPRODUCT($AA$3:AA76,_xlfn.SORTBY($BH$3:BH76,_xlfn.SEQUENCE(ROWS($BH$3:BH76)),-1)/$BH$3)</f>
        <v>176267.6638537081</v>
      </c>
      <c r="AN76" s="22">
        <f t="shared" si="99"/>
        <v>232755.50731014626</v>
      </c>
      <c r="AO76" s="22">
        <f t="shared" si="77"/>
        <v>0</v>
      </c>
      <c r="AP76" s="22">
        <f t="shared" si="100"/>
        <v>409023.17116385436</v>
      </c>
      <c r="AQ76" s="22"/>
      <c r="AR76" s="10">
        <f>IF($B$10="3BR_H",
INDEX('ns-combined'!$C:$D,MATCH($L76,'ns-combined'!$B:$B,0),MATCH(Council_Area,'ns-combined'!$C$1:$D$1,0))*1000,
INDEX('s-combined'!$C:$D,MATCH($L76,'s-combined'!$B:$B,0),MATCH(Council_Area,'s-combined'!$C$1:$D$1,0))*1000)</f>
        <v>695500</v>
      </c>
      <c r="AS76" s="22">
        <f t="shared" si="104"/>
        <v>48100</v>
      </c>
      <c r="AT76" s="10">
        <v>0</v>
      </c>
      <c r="AU76" s="22">
        <f t="shared" si="78"/>
        <v>13910</v>
      </c>
      <c r="AV76" s="22">
        <f t="shared" si="79"/>
        <v>1999.5625</v>
      </c>
      <c r="AW76" s="22">
        <f>SUM($AV$3:AV76)</f>
        <v>91471</v>
      </c>
      <c r="AX76" s="22">
        <f t="shared" si="80"/>
        <v>542019</v>
      </c>
      <c r="AY76" s="22">
        <f t="shared" si="81"/>
        <v>2502.5000000000005</v>
      </c>
      <c r="AZ76" s="24">
        <f t="shared" si="82"/>
        <v>1.4392523364485984E-2</v>
      </c>
      <c r="BA76" s="24">
        <f t="shared" si="83"/>
        <v>0.35000000000000009</v>
      </c>
      <c r="BB76" s="25">
        <f>IF(MortgageRate="Discounted",_xlfn.XLOOKUP(L76,'mortgage-rates'!$A:$A,'mortgage-rates'!$E:$E)/100,_xlfn.XLOOKUP(L76,'mortgage-rates'!$A:$A,'mortgage-rates'!$D:$D)/100)</f>
        <v>7.1199999999999999E-2</v>
      </c>
      <c r="BC76" s="10">
        <f t="shared" si="101"/>
        <v>85691.171646897623</v>
      </c>
      <c r="BD76" s="10">
        <f t="shared" si="84"/>
        <v>4024.8850896711351</v>
      </c>
      <c r="BE76" s="10">
        <f t="shared" si="102"/>
        <v>1525.3028553147776</v>
      </c>
      <c r="BF76" s="10">
        <f t="shared" si="105"/>
        <v>2499.5822343563577</v>
      </c>
      <c r="BG76" s="12">
        <f t="shared" si="85"/>
        <v>6527.3850896711356</v>
      </c>
      <c r="BH76" s="22">
        <f>INDEX(cpi!B:B,MATCH($L76,cpi!A:A))</f>
        <v>138.9</v>
      </c>
      <c r="BI76" s="22">
        <f t="shared" si="86"/>
        <v>164.18439716312056</v>
      </c>
      <c r="BJ76" s="22">
        <f t="shared" si="87"/>
        <v>387.88856492244037</v>
      </c>
      <c r="BK76" s="22">
        <f t="shared" si="88"/>
        <v>359.54771555567845</v>
      </c>
      <c r="BL76" s="22">
        <f t="shared" si="89"/>
        <v>379.38631011241176</v>
      </c>
      <c r="BM76" s="22">
        <f t="shared" si="90"/>
        <v>615.88719679474923</v>
      </c>
      <c r="BN76" s="22">
        <f t="shared" si="91"/>
        <v>267.5</v>
      </c>
      <c r="BO76">
        <f t="shared" si="92"/>
        <v>213.89646905614586</v>
      </c>
    </row>
    <row r="77" spans="2:67" x14ac:dyDescent="0.25">
      <c r="B77" s="7"/>
      <c r="L77" s="1">
        <f t="shared" si="103"/>
        <v>45536</v>
      </c>
      <c r="M77" s="10">
        <f t="shared" si="68"/>
        <v>436301.54445717187</v>
      </c>
      <c r="N77" s="10">
        <f t="shared" si="69"/>
        <v>460574.91058745875</v>
      </c>
      <c r="O77" s="7">
        <f t="shared" si="93"/>
        <v>0.94729768041570817</v>
      </c>
      <c r="P77" s="7">
        <f t="shared" si="70"/>
        <v>1.1331756527422483</v>
      </c>
      <c r="Q77">
        <v>75</v>
      </c>
      <c r="R77">
        <f t="shared" si="71"/>
        <v>92</v>
      </c>
      <c r="S77" s="22"/>
      <c r="T77" s="22">
        <f>IF($B$10="3BR_H",
INDEX('3BR_H-processed'!$E:$E,MATCH($L77,'3BR_H-processed'!$B:$B,0),MATCH(Council_Area,'3BR_H-processed'!$E$1:$E$1,0)),
INDEX('2BR_F-processed'!$E:$E,MATCH($L77,'2BR_F-processed'!$B:$B,0),MATCH(Council_Area,'2BR_F-processed'!$E$1:$E$1,0)))</f>
        <v>550</v>
      </c>
      <c r="U77" s="22">
        <f t="shared" si="94"/>
        <v>550</v>
      </c>
      <c r="V77" s="22">
        <f t="shared" si="95"/>
        <v>7228.5714285714284</v>
      </c>
      <c r="W77" s="22">
        <f>$B$53/4*BH77/_xlfn.XLOOKUP(Q_end,cpi!A:A,cpi!B:B)</f>
        <v>192.25984796129924</v>
      </c>
      <c r="X77" s="22">
        <f t="shared" si="72"/>
        <v>7420.8312765327273</v>
      </c>
      <c r="Y77" s="22">
        <f t="shared" si="73"/>
        <v>-872.1278530391528</v>
      </c>
      <c r="Z77" s="22">
        <f t="shared" si="96"/>
        <v>0</v>
      </c>
      <c r="AA77" s="22" cm="1">
        <f t="array" ref="AA77">(Y77+Z77)*eff_invest</f>
        <v>-872.1278530391528</v>
      </c>
      <c r="AB77" s="22">
        <f>AA77*(_xlfn.XLOOKUP(Q_end,cpi!A:A,cpi!B:B)/BH77)</f>
        <v>-907.23867961729252</v>
      </c>
      <c r="AC77" s="22" cm="1">
        <f t="array" ref="AC77">INDEX('msci-indices'!C:C,MATCH($L77,'msci-indices'!$B:$B)-2)</f>
        <v>2988.3970690000001</v>
      </c>
      <c r="AD77" s="22" cm="1">
        <f t="array" ref="AD77">INDEX('msci-indices'!D:D,MATCH($L77,'msci-indices'!$B:$B)-2)</f>
        <v>2534.3685369999998</v>
      </c>
      <c r="AE77" s="22">
        <f t="shared" si="97"/>
        <v>408151.04331081524</v>
      </c>
      <c r="AF77" s="22" cm="1">
        <f t="array" ref="AF77">INDEX('msci-indices'!C:C,MATCH($L77,'msci-indices'!$B:$B)+1)</f>
        <v>3187.708345</v>
      </c>
      <c r="AG77" s="22" cm="1">
        <f t="array" ref="AG77">INDEX('msci-indices'!D:D,MATCH($L77,'msci-indices'!$B:$B)+1)</f>
        <v>2727.9035779999999</v>
      </c>
      <c r="AH77" s="22">
        <f t="shared" si="74"/>
        <v>255.09440206925953</v>
      </c>
      <c r="AI77" s="22">
        <f t="shared" si="75"/>
        <v>436301.54445717187</v>
      </c>
      <c r="AJ77" s="22">
        <f t="shared" si="98"/>
        <v>110034.71469041036</v>
      </c>
      <c r="AK77" s="22">
        <f t="shared" si="76"/>
        <v>326266.82976676151</v>
      </c>
      <c r="AL77" s="22">
        <f>AJ77*(_xlfn.XLOOKUP(Q_end,cpi!A:A,cpi!B:B)/BH77)</f>
        <v>114464.58098995239</v>
      </c>
      <c r="AM77" s="22" cm="1">
        <f t="array" ref="AM77">SUMPRODUCT($AA$3:AA77,_xlfn.SORTBY($BH$3:BH77,_xlfn.SEQUENCE(ROWS($BH$3:BH77)),-1)/$BH$3)</f>
        <v>176134.36954477397</v>
      </c>
      <c r="AN77" s="22">
        <f t="shared" si="99"/>
        <v>260167.1749123979</v>
      </c>
      <c r="AO77" s="22">
        <f t="shared" si="77"/>
        <v>0</v>
      </c>
      <c r="AP77" s="22">
        <f t="shared" si="100"/>
        <v>436301.54445717187</v>
      </c>
      <c r="AQ77" s="22"/>
      <c r="AR77" s="10">
        <f>IF($B$10="3BR_H",
INDEX('ns-combined'!$C:$D,MATCH($L77,'ns-combined'!$B:$B,0),MATCH(Council_Area,'ns-combined'!$C$1:$D$1,0))*1000,
INDEX('s-combined'!$C:$D,MATCH($L77,'s-combined'!$B:$B,0),MATCH(Council_Area,'s-combined'!$C$1:$D$1,0))*1000)</f>
        <v>700000</v>
      </c>
      <c r="AS77" s="22">
        <f t="shared" si="104"/>
        <v>48750</v>
      </c>
      <c r="AT77" s="10">
        <v>0</v>
      </c>
      <c r="AU77" s="22">
        <f t="shared" si="78"/>
        <v>14000</v>
      </c>
      <c r="AV77" s="22">
        <f t="shared" si="79"/>
        <v>2012.5</v>
      </c>
      <c r="AW77" s="22">
        <f>SUM($AV$3:AV77)</f>
        <v>93483.5</v>
      </c>
      <c r="AX77" s="22">
        <f t="shared" si="80"/>
        <v>543766.5</v>
      </c>
      <c r="AY77" s="22">
        <f t="shared" si="81"/>
        <v>2530</v>
      </c>
      <c r="AZ77" s="24">
        <f t="shared" si="82"/>
        <v>1.4457142857142858E-2</v>
      </c>
      <c r="BA77" s="24">
        <f t="shared" si="83"/>
        <v>0.35000000000000003</v>
      </c>
      <c r="BB77" s="25">
        <f>IF(MortgageRate="Discounted",_xlfn.XLOOKUP(L77,'mortgage-rates'!$A:$A,'mortgage-rates'!$E:$E)/100,_xlfn.XLOOKUP(L77,'mortgage-rates'!$A:$A,'mortgage-rates'!$D:$D)/100)</f>
        <v>7.0699999999999999E-2</v>
      </c>
      <c r="BC77" s="10">
        <f t="shared" si="101"/>
        <v>83191.58941254126</v>
      </c>
      <c r="BD77" s="10">
        <f t="shared" si="84"/>
        <v>4018.7034234935745</v>
      </c>
      <c r="BE77" s="10">
        <f t="shared" si="102"/>
        <v>1470.4113428666667</v>
      </c>
      <c r="BF77" s="10">
        <f t="shared" si="105"/>
        <v>2548.2920806269076</v>
      </c>
      <c r="BG77" s="12">
        <f t="shared" si="85"/>
        <v>6548.7034234935745</v>
      </c>
      <c r="BH77" s="22">
        <f>INDEX(cpi!B:B,MATCH($L77,cpi!A:A))</f>
        <v>139.1</v>
      </c>
      <c r="BI77" s="22">
        <f t="shared" si="86"/>
        <v>164.42080378250591</v>
      </c>
      <c r="BJ77" s="22">
        <f t="shared" si="87"/>
        <v>395.87730618942362</v>
      </c>
      <c r="BK77" s="22">
        <f t="shared" si="88"/>
        <v>355.47322120595709</v>
      </c>
      <c r="BL77" s="22">
        <f t="shared" si="89"/>
        <v>383.75608069438363</v>
      </c>
      <c r="BM77" s="22">
        <f t="shared" si="90"/>
        <v>620.96072493849749</v>
      </c>
      <c r="BN77" s="22">
        <f t="shared" si="91"/>
        <v>269.23076923076923</v>
      </c>
      <c r="BO77">
        <f t="shared" si="92"/>
        <v>214.58608340485986</v>
      </c>
    </row>
    <row r="78" spans="2:67" x14ac:dyDescent="0.25">
      <c r="B78" s="7"/>
      <c r="L78" s="1">
        <f t="shared" si="103"/>
        <v>45627</v>
      </c>
      <c r="M78" s="10">
        <f t="shared" si="68"/>
        <v>432456.52842944529</v>
      </c>
      <c r="N78" s="10">
        <f t="shared" si="69"/>
        <v>475117.57766808564</v>
      </c>
      <c r="O78" s="7">
        <f t="shared" si="93"/>
        <v>0.91020949077905278</v>
      </c>
      <c r="P78" s="7">
        <f t="shared" si="70"/>
        <v>1.133260076782705</v>
      </c>
      <c r="Q78">
        <v>76</v>
      </c>
      <c r="R78">
        <f t="shared" si="71"/>
        <v>92</v>
      </c>
      <c r="S78" s="22"/>
      <c r="T78" s="22">
        <f>IF($B$10="3BR_H",
INDEX('3BR_H-processed'!$E:$E,MATCH($L78,'3BR_H-processed'!$B:$B,0),MATCH(Council_Area,'3BR_H-processed'!$E$1:$E$1,0)),
INDEX('2BR_F-processed'!$E:$E,MATCH($L78,'2BR_F-processed'!$B:$B,0),MATCH(Council_Area,'2BR_F-processed'!$E$1:$E$1,0)))</f>
        <v>550</v>
      </c>
      <c r="U78" s="22">
        <f t="shared" si="94"/>
        <v>550</v>
      </c>
      <c r="V78" s="22">
        <f t="shared" si="95"/>
        <v>7228.5714285714284</v>
      </c>
      <c r="W78" s="22">
        <f>$B$53/4*BH78/_xlfn.XLOOKUP(Q_end,cpi!A:A,cpi!B:B)</f>
        <v>192.81271596406359</v>
      </c>
      <c r="X78" s="22">
        <f t="shared" si="72"/>
        <v>7421.3841445354919</v>
      </c>
      <c r="Y78" s="22">
        <f t="shared" si="73"/>
        <v>-872.68072104191742</v>
      </c>
      <c r="Z78" s="22">
        <f t="shared" si="96"/>
        <v>0</v>
      </c>
      <c r="AA78" s="22" cm="1">
        <f t="array" ref="AA78">(Y78+Z78)*eff_invest</f>
        <v>-872.68072104191742</v>
      </c>
      <c r="AB78" s="22">
        <f>AA78*(_xlfn.XLOOKUP(Q_end,cpi!A:A,cpi!B:B)/BH78)</f>
        <v>-905.21075508792433</v>
      </c>
      <c r="AC78" s="22" cm="1">
        <f t="array" ref="AC78">INDEX('msci-indices'!C:C,MATCH($L78,'msci-indices'!$B:$B)-2)</f>
        <v>3187.708345</v>
      </c>
      <c r="AD78" s="22" cm="1">
        <f t="array" ref="AD78">INDEX('msci-indices'!D:D,MATCH($L78,'msci-indices'!$B:$B)-2)</f>
        <v>2727.9035779999999</v>
      </c>
      <c r="AE78" s="22">
        <f t="shared" si="97"/>
        <v>435428.86373612995</v>
      </c>
      <c r="AF78" s="22" cm="1">
        <f t="array" ref="AF78">INDEX('msci-indices'!C:C,MATCH($L78,'msci-indices'!$B:$B)+1)</f>
        <v>3174.5512990000002</v>
      </c>
      <c r="AG78" s="22" cm="1">
        <f t="array" ref="AG78">INDEX('msci-indices'!D:D,MATCH($L78,'msci-indices'!$B:$B)+1)</f>
        <v>2697.7873119999999</v>
      </c>
      <c r="AH78" s="22">
        <f t="shared" si="74"/>
        <v>272.1430398350812</v>
      </c>
      <c r="AI78" s="22">
        <f t="shared" si="75"/>
        <v>432456.52842944529</v>
      </c>
      <c r="AJ78" s="22">
        <f t="shared" si="98"/>
        <v>109162.03396936844</v>
      </c>
      <c r="AK78" s="22">
        <f t="shared" si="76"/>
        <v>323294.49446007685</v>
      </c>
      <c r="AL78" s="22">
        <f>AJ78*(_xlfn.XLOOKUP(Q_end,cpi!A:A,cpi!B:B)/BH78)</f>
        <v>113231.15638256354</v>
      </c>
      <c r="AM78" s="22" cm="1">
        <f t="array" ref="AM78">SUMPRODUCT($AA$3:AA78,_xlfn.SORTBY($BH$3:BH78,_xlfn.SEQUENCE(ROWS($BH$3:BH78)),-1)/$BH$3)</f>
        <v>176130.70637470501</v>
      </c>
      <c r="AN78" s="22">
        <f t="shared" si="99"/>
        <v>256325.82205474027</v>
      </c>
      <c r="AO78" s="22">
        <f t="shared" si="77"/>
        <v>0</v>
      </c>
      <c r="AP78" s="22">
        <f t="shared" si="100"/>
        <v>432456.52842944529</v>
      </c>
      <c r="AQ78" s="22"/>
      <c r="AR78" s="10">
        <f>IF($B$10="3BR_H",
INDEX('ns-combined'!$C:$D,MATCH($L78,'ns-combined'!$B:$B,0),MATCH(Council_Area,'ns-combined'!$C$1:$D$1,0))*1000,
INDEX('s-combined'!$C:$D,MATCH($L78,'s-combined'!$B:$B,0),MATCH(Council_Area,'s-combined'!$C$1:$D$1,0))*1000)</f>
        <v>715000</v>
      </c>
      <c r="AS78" s="22">
        <f t="shared" si="104"/>
        <v>49400</v>
      </c>
      <c r="AT78" s="10">
        <v>0</v>
      </c>
      <c r="AU78" s="22">
        <f t="shared" si="78"/>
        <v>14300</v>
      </c>
      <c r="AV78" s="22">
        <f t="shared" si="79"/>
        <v>2055.625</v>
      </c>
      <c r="AW78" s="22">
        <f>SUM($AV$3:AV78)</f>
        <v>95539.125</v>
      </c>
      <c r="AX78" s="22">
        <f t="shared" si="80"/>
        <v>555760.875</v>
      </c>
      <c r="AY78" s="22">
        <f t="shared" si="81"/>
        <v>2530</v>
      </c>
      <c r="AZ78" s="24">
        <f t="shared" si="82"/>
        <v>1.4153846153846154E-2</v>
      </c>
      <c r="BA78" s="24">
        <f t="shared" si="83"/>
        <v>0.35000000000000003</v>
      </c>
      <c r="BB78" s="25">
        <f>IF(MortgageRate="Discounted",_xlfn.XLOOKUP(L78,'mortgage-rates'!$A:$A,'mortgage-rates'!$E:$E)/100,_xlfn.XLOOKUP(L78,'mortgage-rates'!$A:$A,'mortgage-rates'!$D:$D)/100)</f>
        <v>7.0699999999999999E-2</v>
      </c>
      <c r="BC78" s="10">
        <f t="shared" si="101"/>
        <v>80643.297331914349</v>
      </c>
      <c r="BD78" s="10">
        <f t="shared" si="84"/>
        <v>4018.703423493575</v>
      </c>
      <c r="BE78" s="10">
        <f t="shared" si="102"/>
        <v>1425.3702803415861</v>
      </c>
      <c r="BF78" s="10">
        <f t="shared" si="105"/>
        <v>2593.3331431519891</v>
      </c>
      <c r="BG78" s="12">
        <f t="shared" si="85"/>
        <v>6548.7034234935745</v>
      </c>
      <c r="BH78" s="22">
        <f>INDEX(cpi!B:B,MATCH($L78,cpi!A:A))</f>
        <v>139.5</v>
      </c>
      <c r="BI78" s="22">
        <f t="shared" si="86"/>
        <v>164.89361702127661</v>
      </c>
      <c r="BJ78" s="22">
        <f t="shared" si="87"/>
        <v>422.28036080842037</v>
      </c>
      <c r="BK78" s="22">
        <f t="shared" si="88"/>
        <v>382.61865149208802</v>
      </c>
      <c r="BL78" s="22">
        <f t="shared" si="89"/>
        <v>410.38184801352065</v>
      </c>
      <c r="BM78" s="22">
        <f t="shared" si="90"/>
        <v>662.46118273139007</v>
      </c>
      <c r="BN78" s="22">
        <f t="shared" si="91"/>
        <v>275</v>
      </c>
      <c r="BO78">
        <f t="shared" si="92"/>
        <v>219.31941279190221</v>
      </c>
    </row>
    <row r="79" spans="2:67" x14ac:dyDescent="0.25">
      <c r="L79" s="1">
        <f t="shared" si="103"/>
        <v>45717</v>
      </c>
      <c r="M79" s="10">
        <f t="shared" si="68"/>
        <v>421464.77047374944</v>
      </c>
      <c r="N79" s="10">
        <f t="shared" si="69"/>
        <v>470608.22331123764</v>
      </c>
      <c r="O79" s="7">
        <f t="shared" si="93"/>
        <v>0.89557459814086782</v>
      </c>
      <c r="P79" s="7">
        <f t="shared" si="70"/>
        <v>1.1477051989751694</v>
      </c>
      <c r="Q79">
        <v>77</v>
      </c>
      <c r="R79">
        <f t="shared" si="71"/>
        <v>90</v>
      </c>
      <c r="S79" s="22"/>
      <c r="T79" s="22">
        <f>IF($B$10="3BR_H",
INDEX('3BR_H-processed'!$E:$E,MATCH($L79,'3BR_H-processed'!$B:$B,0),MATCH(Council_Area,'3BR_H-processed'!$E$1:$E$1,0)),
INDEX('2BR_F-processed'!$E:$E,MATCH($L79,'2BR_F-processed'!$B:$B,0),MATCH(Council_Area,'2BR_F-processed'!$E$1:$E$1,0)))</f>
        <v>570</v>
      </c>
      <c r="U79" s="22">
        <f t="shared" si="94"/>
        <v>570</v>
      </c>
      <c r="V79" s="22">
        <f t="shared" si="95"/>
        <v>7328.5714285714284</v>
      </c>
      <c r="W79" s="22">
        <f>$B$53/4*BH79/_xlfn.XLOOKUP(Q_end,cpi!A:A,cpi!B:B)</f>
        <v>194.60953697304774</v>
      </c>
      <c r="X79" s="22">
        <f>V79+W79</f>
        <v>7523.1809655444758</v>
      </c>
      <c r="Y79" s="22">
        <f t="shared" si="73"/>
        <v>-968.20415419761048</v>
      </c>
      <c r="Z79" s="22">
        <f t="shared" si="96"/>
        <v>0</v>
      </c>
      <c r="AA79" s="22" cm="1">
        <f t="array" ref="AA79">(Y79+Z79)*eff_invest</f>
        <v>-968.20415419761048</v>
      </c>
      <c r="AB79" s="22">
        <f>AA79*(_xlfn.XLOOKUP(Q_end,cpi!A:A,cpi!B:B)/BH79)</f>
        <v>-995.02230903689076</v>
      </c>
      <c r="AC79" s="22" cm="1">
        <f t="array" ref="AC79">INDEX('msci-indices'!C:C,MATCH($L79,'msci-indices'!$B:$B)-2)</f>
        <v>3174.5512990000002</v>
      </c>
      <c r="AD79" s="22" cm="1">
        <f t="array" ref="AD79">INDEX('msci-indices'!D:D,MATCH($L79,'msci-indices'!$B:$B)-2)</f>
        <v>2697.7873119999999</v>
      </c>
      <c r="AE79" s="22">
        <f t="shared" si="97"/>
        <v>431488.32427524769</v>
      </c>
      <c r="AF79" s="22" cm="1">
        <f t="array" ref="AF79">INDEX('msci-indices'!C:C,MATCH($L79,'msci-indices'!$B:$B)+1)</f>
        <v>3111.4241780000002</v>
      </c>
      <c r="AG79" s="22" cm="1">
        <f t="array" ref="AG79">INDEX('msci-indices'!D:D,MATCH($L79,'msci-indices'!$B:$B)+1)</f>
        <v>2619.6825220000001</v>
      </c>
      <c r="AH79" s="22">
        <f t="shared" si="74"/>
        <v>269.68020267202979</v>
      </c>
      <c r="AI79" s="22">
        <f t="shared" si="75"/>
        <v>421464.77047374944</v>
      </c>
      <c r="AJ79" s="22">
        <f t="shared" si="98"/>
        <v>108193.82981517083</v>
      </c>
      <c r="AK79" s="22">
        <f t="shared" si="76"/>
        <v>313270.94065857859</v>
      </c>
      <c r="AL79" s="22">
        <f>AJ79*(_xlfn.XLOOKUP(Q_end,cpi!A:A,cpi!B:B)/BH79)</f>
        <v>111190.67595351717</v>
      </c>
      <c r="AM79" s="22" cm="1">
        <f t="array" ref="AM79">SUMPRODUCT($AA$3:AA79,_xlfn.SORTBY($BH$3:BH79,_xlfn.SEQUENCE(ROWS($BH$3:BH79)),-1)/$BH$3)</f>
        <v>176697.86554078845</v>
      </c>
      <c r="AN79" s="22">
        <f t="shared" si="99"/>
        <v>244766.90493296098</v>
      </c>
      <c r="AO79" s="22">
        <f t="shared" si="77"/>
        <v>0</v>
      </c>
      <c r="AP79" s="22">
        <f t="shared" si="100"/>
        <v>421464.77047374944</v>
      </c>
      <c r="AQ79" s="22"/>
      <c r="AR79" s="10">
        <f>IF($B$10="3BR_H",
INDEX('ns-combined'!$C:$D,MATCH($L79,'ns-combined'!$B:$B,0),MATCH(Council_Area,'ns-combined'!$C$1:$D$1,0))*1000,
INDEX('s-combined'!$C:$D,MATCH($L79,'s-combined'!$B:$B,0),MATCH(Council_Area,'s-combined'!$C$1:$D$1,0))*1000)</f>
        <v>710500</v>
      </c>
      <c r="AS79" s="22">
        <f t="shared" si="104"/>
        <v>50050</v>
      </c>
      <c r="AT79" s="10">
        <v>0</v>
      </c>
      <c r="AU79" s="22">
        <f t="shared" si="78"/>
        <v>14210</v>
      </c>
      <c r="AV79" s="22">
        <f t="shared" si="79"/>
        <v>2042.6875</v>
      </c>
      <c r="AW79" s="22">
        <f>SUM($AV$3:AV79)</f>
        <v>97581.8125</v>
      </c>
      <c r="AX79" s="22">
        <f t="shared" si="80"/>
        <v>548658.1875</v>
      </c>
      <c r="AY79" s="22">
        <f t="shared" si="81"/>
        <v>2565</v>
      </c>
      <c r="AZ79" s="24">
        <f t="shared" si="82"/>
        <v>1.4440534834623505E-2</v>
      </c>
      <c r="BA79" s="24">
        <f t="shared" si="83"/>
        <v>0.35000000000000003</v>
      </c>
      <c r="BB79" s="25">
        <f>IF(MortgageRate="Discounted",_xlfn.XLOOKUP(L79,'mortgage-rates'!$A:$A,'mortgage-rates'!$E:$E)/100,_xlfn.XLOOKUP(L79,'mortgage-rates'!$A:$A,'mortgage-rates'!$D:$D)/100)</f>
        <v>6.8199999999999997E-2</v>
      </c>
      <c r="BC79" s="10">
        <f t="shared" si="101"/>
        <v>78049.964188762358</v>
      </c>
      <c r="BD79" s="10">
        <f t="shared" si="84"/>
        <v>3989.9768113468654</v>
      </c>
      <c r="BE79" s="10">
        <f t="shared" si="102"/>
        <v>1330.7518894183982</v>
      </c>
      <c r="BF79" s="10">
        <f t="shared" si="105"/>
        <v>2659.2249219284672</v>
      </c>
      <c r="BG79" s="12">
        <f t="shared" si="85"/>
        <v>6554.9768113468654</v>
      </c>
      <c r="BH79" s="22">
        <f>INDEX(cpi!B:B,MATCH($L79,cpi!A:A))</f>
        <v>140.80000000000001</v>
      </c>
      <c r="BI79" s="22">
        <f t="shared" si="86"/>
        <v>166.43026004728137</v>
      </c>
      <c r="BJ79" s="22">
        <f t="shared" si="87"/>
        <v>420.53742778860141</v>
      </c>
      <c r="BK79" s="22">
        <f t="shared" si="88"/>
        <v>378.39451205481896</v>
      </c>
      <c r="BL79" s="22">
        <f t="shared" si="89"/>
        <v>407.89455306846668</v>
      </c>
      <c r="BM79" s="22">
        <f t="shared" si="90"/>
        <v>656.46604862508127</v>
      </c>
      <c r="BN79" s="22">
        <f t="shared" si="91"/>
        <v>273.26923076923077</v>
      </c>
      <c r="BO79">
        <f t="shared" si="92"/>
        <v>216.51648563056796</v>
      </c>
    </row>
    <row r="80" spans="2:67" x14ac:dyDescent="0.25">
      <c r="B80" s="7"/>
      <c r="L80" s="1">
        <f t="shared" si="103"/>
        <v>45809</v>
      </c>
      <c r="M80" s="10">
        <f t="shared" si="68"/>
        <v>465740.4651242285</v>
      </c>
      <c r="N80" s="10">
        <f t="shared" si="69"/>
        <v>467643.38573316613</v>
      </c>
      <c r="O80" s="7">
        <f t="shared" si="93"/>
        <v>0.99593082963003043</v>
      </c>
      <c r="P80" s="7">
        <f t="shared" si="70"/>
        <v>1.1654378764625133</v>
      </c>
      <c r="Q80">
        <v>78</v>
      </c>
      <c r="R80">
        <f t="shared" si="71"/>
        <v>91</v>
      </c>
      <c r="S80" s="22"/>
      <c r="T80" s="22">
        <f>IF($B$10="3BR_H",
INDEX('3BR_H-processed'!$E:$E,MATCH($L80,'3BR_H-processed'!$B:$B,0),MATCH(Council_Area,'3BR_H-processed'!$E$1:$E$1,0)),
INDEX('2BR_F-processed'!$E:$E,MATCH($L80,'2BR_F-processed'!$B:$B,0),MATCH(Council_Area,'2BR_F-processed'!$E$1:$E$1,0)))</f>
        <v>570</v>
      </c>
      <c r="U80" s="22">
        <f t="shared" si="94"/>
        <v>570</v>
      </c>
      <c r="V80" s="22">
        <f t="shared" si="95"/>
        <v>7410</v>
      </c>
      <c r="W80" s="22">
        <f>$B$53/4*BH80/_xlfn.XLOOKUP(Q_end,cpi!A:A,cpi!B:B)</f>
        <v>195.99170697995856</v>
      </c>
      <c r="X80" s="22">
        <f t="shared" si="72"/>
        <v>7605.9917069799585</v>
      </c>
      <c r="Y80" s="22">
        <f t="shared" si="73"/>
        <v>-1079.6964315366704</v>
      </c>
      <c r="Z80" s="22">
        <f t="shared" si="96"/>
        <v>0</v>
      </c>
      <c r="AA80" s="22" cm="1">
        <f t="array" ref="AA80">(Y80+Z80)*eff_invest</f>
        <v>-1079.6964315366704</v>
      </c>
      <c r="AB80" s="22">
        <f>AA80*(_xlfn.XLOOKUP(Q_end,cpi!A:A,cpi!B:B)/BH80)</f>
        <v>-1101.7776702634428</v>
      </c>
      <c r="AC80" s="22" cm="1">
        <f t="array" ref="AC80">INDEX('msci-indices'!C:C,MATCH($L80,'msci-indices'!$B:$B)-2)</f>
        <v>3111.4241780000002</v>
      </c>
      <c r="AD80" s="22" cm="1">
        <f t="array" ref="AD80">INDEX('msci-indices'!D:D,MATCH($L80,'msci-indices'!$B:$B)-2)</f>
        <v>2619.6825220000001</v>
      </c>
      <c r="AE80" s="22">
        <f t="shared" si="97"/>
        <v>420385.07404221274</v>
      </c>
      <c r="AF80" s="22" cm="1">
        <f t="array" ref="AF80">INDEX('msci-indices'!C:C,MATCH($L80,'msci-indices'!$B:$B)+1)</f>
        <v>3468.7668789999998</v>
      </c>
      <c r="AG80" s="22" cm="1">
        <f t="array" ref="AG80">INDEX('msci-indices'!D:D,MATCH($L80,'msci-indices'!$B:$B)+1)</f>
        <v>2865.243618</v>
      </c>
      <c r="AH80" s="22">
        <f t="shared" si="74"/>
        <v>262.74067127638295</v>
      </c>
      <c r="AI80" s="22">
        <f t="shared" si="75"/>
        <v>465740.4651242285</v>
      </c>
      <c r="AJ80" s="22">
        <f t="shared" si="98"/>
        <v>107114.13338363417</v>
      </c>
      <c r="AK80" s="22">
        <f t="shared" si="76"/>
        <v>358626.33174059435</v>
      </c>
      <c r="AL80" s="22">
        <f>AJ80*(_xlfn.XLOOKUP(Q_end,cpi!A:A,cpi!B:B)/BH80)</f>
        <v>109304.76093520354</v>
      </c>
      <c r="AM80" s="22" cm="1">
        <f t="array" ref="AM80">SUMPRODUCT($AA$3:AA80,_xlfn.SORTBY($BH$3:BH80,_xlfn.SEQUENCE(ROWS($BH$3:BH80)),-1)/$BH$3)</f>
        <v>176903.80655219551</v>
      </c>
      <c r="AN80" s="22">
        <f t="shared" si="99"/>
        <v>288836.65857203299</v>
      </c>
      <c r="AO80" s="22">
        <f t="shared" si="77"/>
        <v>0</v>
      </c>
      <c r="AP80" s="22">
        <f t="shared" si="100"/>
        <v>465740.4651242285</v>
      </c>
      <c r="AQ80" s="22"/>
      <c r="AR80" s="10">
        <f>IF($B$10="3BR_H",
INDEX('ns-combined'!$C:$D,MATCH($L80,'ns-combined'!$B:$B,0),MATCH(Council_Area,'ns-combined'!$C$1:$D$1,0))*1000,
INDEX('s-combined'!$C:$D,MATCH($L80,'s-combined'!$B:$B,0),MATCH(Council_Area,'s-combined'!$C$1:$D$1,0))*1000)</f>
        <v>707500</v>
      </c>
      <c r="AS80" s="22">
        <f t="shared" si="104"/>
        <v>50700</v>
      </c>
      <c r="AT80" s="10">
        <v>0</v>
      </c>
      <c r="AU80" s="22">
        <f t="shared" si="78"/>
        <v>14150</v>
      </c>
      <c r="AV80" s="22">
        <f t="shared" si="79"/>
        <v>2034.0625</v>
      </c>
      <c r="AW80" s="22">
        <f>SUM($AV$3:AV80)</f>
        <v>99615.875</v>
      </c>
      <c r="AX80" s="22">
        <f t="shared" si="80"/>
        <v>543034.125</v>
      </c>
      <c r="AY80" s="22">
        <f t="shared" si="81"/>
        <v>2593.5000000000005</v>
      </c>
      <c r="AZ80" s="24">
        <f t="shared" si="82"/>
        <v>1.4662897526501769E-2</v>
      </c>
      <c r="BA80" s="24">
        <f t="shared" si="83"/>
        <v>0.35000000000000009</v>
      </c>
      <c r="BB80" s="25">
        <f>IF(MortgageRate="Discounted",_xlfn.XLOOKUP(L80,'mortgage-rates'!$A:$A,'mortgage-rates'!$E:$E)/100,_xlfn.XLOOKUP(L80,'mortgage-rates'!$A:$A,'mortgage-rates'!$D:$D)/100)</f>
        <v>6.3E-2</v>
      </c>
      <c r="BC80" s="10">
        <f t="shared" si="101"/>
        <v>75390.739266833887</v>
      </c>
      <c r="BD80" s="10">
        <f t="shared" si="84"/>
        <v>3932.7952754432877</v>
      </c>
      <c r="BE80" s="10">
        <f t="shared" si="102"/>
        <v>1187.4041434526337</v>
      </c>
      <c r="BF80" s="10">
        <f t="shared" si="105"/>
        <v>2745.3911319906538</v>
      </c>
      <c r="BG80" s="12">
        <f t="shared" si="85"/>
        <v>6526.2952754432881</v>
      </c>
      <c r="BH80" s="22">
        <f>INDEX(cpi!B:B,MATCH($L80,cpi!A:A))</f>
        <v>141.80000000000001</v>
      </c>
      <c r="BI80" s="22">
        <f t="shared" si="86"/>
        <v>167.61229314420808</v>
      </c>
      <c r="BJ80" s="22">
        <f t="shared" si="87"/>
        <v>412.17488625480973</v>
      </c>
      <c r="BK80" s="22">
        <f t="shared" si="88"/>
        <v>367.43945130198153</v>
      </c>
      <c r="BL80" s="22">
        <f t="shared" si="89"/>
        <v>398.75425576896129</v>
      </c>
      <c r="BM80" s="22">
        <f t="shared" si="90"/>
        <v>639.57357112961529</v>
      </c>
      <c r="BN80" s="22">
        <f t="shared" si="91"/>
        <v>272.11538461538464</v>
      </c>
      <c r="BO80">
        <f t="shared" si="92"/>
        <v>214.29706691922928</v>
      </c>
    </row>
    <row r="81" spans="2:67" x14ac:dyDescent="0.25">
      <c r="B81" s="7"/>
      <c r="L81" s="1">
        <f t="shared" si="103"/>
        <v>45901</v>
      </c>
      <c r="M81" s="10">
        <f>AP81</f>
        <v>494768.70720406342</v>
      </c>
      <c r="N81" s="10">
        <f t="shared" si="69"/>
        <v>475033.15186515677</v>
      </c>
      <c r="O81" s="7">
        <f t="shared" si="93"/>
        <v>1.041545637944252</v>
      </c>
      <c r="P81" s="7">
        <f t="shared" si="70"/>
        <v>1.1778916963723336</v>
      </c>
      <c r="Q81">
        <v>79</v>
      </c>
      <c r="R81">
        <f t="shared" si="71"/>
        <v>92</v>
      </c>
      <c r="S81" s="22"/>
      <c r="T81" s="22">
        <f>IF($B$10="3BR_H",
INDEX('3BR_H-processed'!$E:$E,MATCH($L81,'3BR_H-processed'!$B:$B,0),MATCH(Council_Area,'3BR_H-processed'!$E$1:$E$1,0)),
INDEX('2BR_F-processed'!$E:$E,MATCH($L81,'2BR_F-processed'!$B:$B,0),MATCH(Council_Area,'2BR_F-processed'!$E$1:$E$1,0)))</f>
        <v>580</v>
      </c>
      <c r="U81" s="22">
        <f t="shared" si="94"/>
        <v>570</v>
      </c>
      <c r="V81" s="22">
        <f t="shared" si="95"/>
        <v>7491.4285714285716</v>
      </c>
      <c r="W81" s="22">
        <f>$B$53/4*BH81/_xlfn.XLOOKUP(Q_end,cpi!A:A,cpi!B:B)</f>
        <v>198.47961299239807</v>
      </c>
      <c r="X81" s="22">
        <f t="shared" si="72"/>
        <v>7689.9081844209695</v>
      </c>
      <c r="Y81" s="22">
        <f t="shared" si="73"/>
        <v>-1161.3723197873032</v>
      </c>
      <c r="Z81" s="22">
        <f t="shared" si="96"/>
        <v>0</v>
      </c>
      <c r="AA81" s="22" cm="1">
        <f t="array" ref="AA81">(Y81+Z81)*eff_invest</f>
        <v>-1161.3723197873032</v>
      </c>
      <c r="AB81" s="22">
        <f>AA81*(_xlfn.XLOOKUP(Q_end,cpi!A:A,cpi!B:B)/BH81)</f>
        <v>-1170.2686258580973</v>
      </c>
      <c r="AC81" s="22" cm="1">
        <f t="array" ref="AC81">INDEX('msci-indices'!C:C,MATCH($L81,'msci-indices'!$B:$B)-2)</f>
        <v>3468.7668789999998</v>
      </c>
      <c r="AD81" s="22" cm="1">
        <f t="array" ref="AD81">INDEX('msci-indices'!D:D,MATCH($L81,'msci-indices'!$B:$B)-2)</f>
        <v>2865.243618</v>
      </c>
      <c r="AE81" s="22">
        <f t="shared" si="97"/>
        <v>464579.09280444123</v>
      </c>
      <c r="AF81" s="22" cm="1">
        <f t="array" ref="AF81">INDEX('msci-indices'!C:C,MATCH($L81,'msci-indices'!$B:$B)+1)</f>
        <v>3725.5302940000001</v>
      </c>
      <c r="AG81" s="22" cm="1">
        <f t="array" ref="AG81">INDEX('msci-indices'!D:D,MATCH($L81,'msci-indices'!$B:$B)+1)</f>
        <v>2996.9746749999999</v>
      </c>
      <c r="AH81" s="22">
        <f t="shared" si="74"/>
        <v>290.3619330027758</v>
      </c>
      <c r="AI81" s="22">
        <f t="shared" si="75"/>
        <v>494768.70720406342</v>
      </c>
      <c r="AJ81" s="22">
        <f t="shared" si="98"/>
        <v>105952.76106384686</v>
      </c>
      <c r="AK81" s="22">
        <f t="shared" si="76"/>
        <v>388815.94614021655</v>
      </c>
      <c r="AL81" s="22">
        <f>AJ81*(_xlfn.XLOOKUP(Q_end,cpi!A:A,cpi!B:B)/BH81)</f>
        <v>106764.37692157827</v>
      </c>
      <c r="AM81" s="22" cm="1">
        <f t="array" ref="AM81">SUMPRODUCT($AA$3:AA81,_xlfn.SORTBY($BH$3:BH81,_xlfn.SEQUENCE(ROWS($BH$3:BH81)),-1)/$BH$3)</f>
        <v>177625.20372307886</v>
      </c>
      <c r="AN81" s="22">
        <f t="shared" si="99"/>
        <v>317143.5034809846</v>
      </c>
      <c r="AO81" s="22">
        <f t="shared" si="77"/>
        <v>0</v>
      </c>
      <c r="AP81" s="22">
        <f t="shared" si="100"/>
        <v>494768.70720406342</v>
      </c>
      <c r="AQ81" s="22"/>
      <c r="AR81" s="10">
        <f>IF($B$10="3BR_H",
INDEX('ns-combined'!$C:$D,MATCH($L81,'ns-combined'!$B:$B,0),MATCH(Council_Area,'ns-combined'!$C$1:$D$1,0))*1000,
INDEX('s-combined'!$C:$D,MATCH($L81,'s-combined'!$B:$B,0),MATCH(Council_Area,'s-combined'!$C$1:$D$1,0))*1000)</f>
        <v>715000</v>
      </c>
      <c r="AS81" s="22">
        <f t="shared" si="104"/>
        <v>51350</v>
      </c>
      <c r="AT81" s="10">
        <v>0</v>
      </c>
      <c r="AU81" s="22">
        <f t="shared" si="78"/>
        <v>14300</v>
      </c>
      <c r="AV81" s="22">
        <f t="shared" si="79"/>
        <v>2055.625</v>
      </c>
      <c r="AW81" s="22">
        <f>SUM($AV$3:AV81)</f>
        <v>101671.5</v>
      </c>
      <c r="AX81" s="22">
        <f t="shared" si="80"/>
        <v>547678.5</v>
      </c>
      <c r="AY81" s="22">
        <f t="shared" si="81"/>
        <v>2622.0000000000005</v>
      </c>
      <c r="AZ81" s="24">
        <f t="shared" si="82"/>
        <v>1.4668531468531471E-2</v>
      </c>
      <c r="BA81" s="24">
        <f t="shared" si="83"/>
        <v>0.35000000000000003</v>
      </c>
      <c r="BB81" s="25">
        <f>IF(MortgageRate="Discounted",_xlfn.XLOOKUP(L81,'mortgage-rates'!$A:$A,'mortgage-rates'!$E:$E)/100,_xlfn.XLOOKUP(L81,'mortgage-rates'!$A:$A,'mortgage-rates'!$D:$D)/100)</f>
        <v>6.0499999999999998E-2</v>
      </c>
      <c r="BC81" s="10">
        <f t="shared" si="101"/>
        <v>72645.34813484324</v>
      </c>
      <c r="BD81" s="10">
        <f t="shared" si="84"/>
        <v>3906.5358646336663</v>
      </c>
      <c r="BE81" s="10">
        <f t="shared" si="102"/>
        <v>1098.7608905395039</v>
      </c>
      <c r="BF81" s="10">
        <f t="shared" si="105"/>
        <v>2807.7749740941626</v>
      </c>
      <c r="BG81" s="12">
        <f t="shared" si="85"/>
        <v>6528.5358646336663</v>
      </c>
      <c r="BH81" s="22">
        <f>INDEX(cpi!B:B,MATCH($L81,cpi!A:A))</f>
        <v>143.6</v>
      </c>
      <c r="BI81" s="22">
        <f t="shared" si="86"/>
        <v>169.73995271867614</v>
      </c>
      <c r="BJ81" s="22">
        <f t="shared" si="87"/>
        <v>459.51259359156273</v>
      </c>
      <c r="BK81" s="22">
        <f t="shared" si="88"/>
        <v>401.88211128753886</v>
      </c>
      <c r="BL81" s="22">
        <f t="shared" si="89"/>
        <v>442.22344890035555</v>
      </c>
      <c r="BM81" s="22">
        <f t="shared" si="90"/>
        <v>706.81032178430064</v>
      </c>
      <c r="BN81" s="22">
        <f t="shared" si="91"/>
        <v>275</v>
      </c>
      <c r="BO81">
        <f t="shared" si="92"/>
        <v>216.12987243614407</v>
      </c>
    </row>
    <row r="82" spans="2:67" x14ac:dyDescent="0.25">
      <c r="B82" s="7"/>
      <c r="L82" s="1">
        <f>DATE(YEAR(L81),MONTH(L81)+3,1)</f>
        <v>45992</v>
      </c>
      <c r="M82" s="10">
        <f>AP82</f>
        <v>502356.66356245533</v>
      </c>
      <c r="N82" s="10">
        <f t="shared" si="69"/>
        <v>508846.11433925095</v>
      </c>
      <c r="O82" s="7">
        <f t="shared" si="93"/>
        <v>0.98724673217712922</v>
      </c>
      <c r="P82" s="7">
        <f t="shared" si="70"/>
        <v>1.1781245796771247</v>
      </c>
      <c r="Q82">
        <v>80</v>
      </c>
      <c r="R82">
        <f t="shared" si="71"/>
        <v>92</v>
      </c>
      <c r="S82" s="22"/>
      <c r="T82" s="22">
        <f>IF($B$10="3BR_H",
INDEX('3BR_H-processed'!$E:$E,MATCH($L82,'3BR_H-processed'!$B:$B,0),MATCH(Council_Area,'3BR_H-processed'!$E$1:$E$1,0)),
INDEX('2BR_F-processed'!$E:$E,MATCH($L82,'2BR_F-processed'!$B:$B,0),MATCH(Council_Area,'2BR_F-processed'!$E$1:$E$1,0)))</f>
        <v>600</v>
      </c>
      <c r="U82" s="22">
        <f t="shared" si="94"/>
        <v>570</v>
      </c>
      <c r="V82" s="22">
        <f t="shared" si="95"/>
        <v>7491.4285714285716</v>
      </c>
      <c r="W82" s="22">
        <f>$B$53/4*BH82/_xlfn.XLOOKUP(Q_end,cpi!A:A,cpi!B:B)</f>
        <v>200</v>
      </c>
      <c r="X82" s="22">
        <f>V82+W82</f>
        <v>7691.4285714285716</v>
      </c>
      <c r="Y82" s="22">
        <f>BG82-X82</f>
        <v>-1162.8927067949053</v>
      </c>
      <c r="Z82" s="22">
        <f t="shared" si="96"/>
        <v>0</v>
      </c>
      <c r="AA82" s="22" cm="1">
        <f t="array" ref="AA82">(Y82+Z82)*eff_invest</f>
        <v>-1162.8927067949053</v>
      </c>
      <c r="AB82" s="22">
        <f>AA82*(_xlfn.XLOOKUP(Q_end,cpi!A:A,cpi!B:B)/BH82)</f>
        <v>-1162.8927067949053</v>
      </c>
      <c r="AC82" s="22" cm="1">
        <f t="array" ref="AC82">INDEX('msci-indices'!C:C,MATCH($L82,'msci-indices'!$B:$B)-2)</f>
        <v>3725.5302940000001</v>
      </c>
      <c r="AD82" s="22" cm="1">
        <f t="array" ref="AD82">INDEX('msci-indices'!D:D,MATCH($L82,'msci-indices'!$B:$B)-2)</f>
        <v>2996.9746749999999</v>
      </c>
      <c r="AE82" s="22">
        <f t="shared" si="97"/>
        <v>493605.81449726853</v>
      </c>
      <c r="AF82" s="22" cm="1">
        <f t="array" ref="AF82">INDEX('msci-indices'!C:C,MATCH($L82,'msci-indices'!$B:$B)+1)</f>
        <v>3840.531755</v>
      </c>
      <c r="AG82" s="22" cm="1">
        <f t="array" ref="AG82">INDEX('msci-indices'!D:D,MATCH($L82,'msci-indices'!$B:$B)+1)</f>
        <v>2964.4622850000001</v>
      </c>
      <c r="AH82" s="22">
        <f t="shared" si="74"/>
        <v>308.50363406079282</v>
      </c>
      <c r="AI82" s="22">
        <f t="shared" si="75"/>
        <v>502356.66356245533</v>
      </c>
      <c r="AJ82" s="22">
        <f t="shared" si="98"/>
        <v>104789.86835705195</v>
      </c>
      <c r="AK82" s="22">
        <f t="shared" si="76"/>
        <v>397566.79520540335</v>
      </c>
      <c r="AL82" s="22">
        <f>AJ82*(_xlfn.XLOOKUP(Q_end,cpi!A:A,cpi!B:B)/BH82)</f>
        <v>104789.86835705195</v>
      </c>
      <c r="AM82" s="22" cm="1">
        <f t="array" ref="AM82">SUMPRODUCT($AA$3:AA82,_xlfn.SORTBY($BH$3:BH82,_xlfn.SEQUENCE(ROWS($BH$3:BH82)),-1)/$BH$3)</f>
        <v>177811.01198840517</v>
      </c>
      <c r="AN82" s="22">
        <f>AI82-AM82</f>
        <v>324545.65157405019</v>
      </c>
      <c r="AO82" s="22">
        <f t="shared" si="77"/>
        <v>0</v>
      </c>
      <c r="AP82" s="22">
        <f>AI82-AO82</f>
        <v>502356.66356245533</v>
      </c>
      <c r="AQ82" s="22"/>
      <c r="AR82" s="10">
        <f>IF($B$10="3BR_H",
INDEX('ns-combined'!$C:$D,MATCH($L82,'ns-combined'!$B:$B,0),MATCH(Council_Area,'ns-combined'!$C$1:$D$1,0))*1000,
INDEX('s-combined'!$C:$D,MATCH($L82,'s-combined'!$B:$B,0),MATCH(Council_Area,'s-combined'!$C$1:$D$1,0))*1000)</f>
        <v>749500</v>
      </c>
      <c r="AS82" s="22">
        <f>AS81+$AS$3</f>
        <v>52000</v>
      </c>
      <c r="AT82" s="10">
        <v>0</v>
      </c>
      <c r="AU82" s="22">
        <f t="shared" si="78"/>
        <v>14990</v>
      </c>
      <c r="AV82" s="22">
        <f t="shared" si="79"/>
        <v>2154.8125</v>
      </c>
      <c r="AW82" s="22">
        <f>SUM($AV$3:AV82)</f>
        <v>103826.3125</v>
      </c>
      <c r="AX82" s="22">
        <f t="shared" si="80"/>
        <v>578683.6875</v>
      </c>
      <c r="AY82" s="22">
        <f t="shared" si="81"/>
        <v>2622.0000000000005</v>
      </c>
      <c r="AZ82" s="24">
        <f t="shared" si="82"/>
        <v>1.3993328885923952E-2</v>
      </c>
      <c r="BA82" s="24">
        <f t="shared" si="83"/>
        <v>0.35000000000000003</v>
      </c>
      <c r="BB82" s="25">
        <f>IF(MortgageRate="Discounted",_xlfn.XLOOKUP(L82,'mortgage-rates'!$A:$A,'mortgage-rates'!$E:$E)/100,_xlfn.XLOOKUP(L82,'mortgage-rates'!$A:$A,'mortgage-rates'!$D:$D)/100)</f>
        <v>6.0499999999999998E-2</v>
      </c>
      <c r="BC82" s="10">
        <f t="shared" si="101"/>
        <v>69837.573160749074</v>
      </c>
      <c r="BD82" s="10">
        <f t="shared" si="84"/>
        <v>3906.5358646336663</v>
      </c>
      <c r="BE82" s="10">
        <f t="shared" si="102"/>
        <v>1056.2932940563296</v>
      </c>
      <c r="BF82" s="10">
        <f t="shared" si="105"/>
        <v>2850.2425705773367</v>
      </c>
      <c r="BG82" s="12">
        <f t="shared" si="85"/>
        <v>6528.5358646336663</v>
      </c>
      <c r="BH82" s="22">
        <f>INDEX(cpi!B:B,MATCH($L82,cpi!A:A))</f>
        <v>144.69999999999999</v>
      </c>
      <c r="BI82" s="22">
        <f t="shared" si="86"/>
        <v>171.04018912529551</v>
      </c>
      <c r="BJ82" s="22">
        <f t="shared" si="87"/>
        <v>493.52641662486235</v>
      </c>
      <c r="BK82" s="22">
        <f t="shared" si="88"/>
        <v>420.35884917353138</v>
      </c>
      <c r="BL82" s="22">
        <f t="shared" si="89"/>
        <v>471.57614638946308</v>
      </c>
      <c r="BM82" s="22">
        <f t="shared" si="90"/>
        <v>750.97155679856473</v>
      </c>
      <c r="BN82" s="22">
        <f t="shared" si="91"/>
        <v>288.26923076923077</v>
      </c>
      <c r="BO82">
        <f t="shared" si="92"/>
        <v>228.36542161186256</v>
      </c>
    </row>
    <row r="83" spans="2:67" x14ac:dyDescent="0.25">
      <c r="L83" s="1"/>
      <c r="M83" s="1"/>
      <c r="N83" s="1"/>
      <c r="O83" s="1"/>
      <c r="P83" s="1"/>
      <c r="R83" s="1"/>
      <c r="S83" s="7"/>
      <c r="AD83" s="30"/>
      <c r="AE83" s="30"/>
      <c r="AG83" s="30"/>
      <c r="AH83" s="30"/>
      <c r="AI83" s="30"/>
      <c r="AK83" s="30"/>
      <c r="AL83" s="30"/>
      <c r="AM83" s="30"/>
      <c r="AN83" s="30"/>
      <c r="AO83" s="30"/>
      <c r="AP83" s="7"/>
      <c r="AQ83" s="7"/>
      <c r="AR83" s="30"/>
      <c r="AS83" s="22"/>
      <c r="AT83" s="1"/>
      <c r="AU83" s="1"/>
      <c r="AV83" s="1"/>
      <c r="AW83" s="22"/>
      <c r="AX83" s="22"/>
      <c r="AY83" s="1"/>
      <c r="AZ83" s="22"/>
      <c r="BA83" s="22"/>
      <c r="BB83" s="25"/>
      <c r="BC83" s="22"/>
      <c r="BD83" s="26"/>
      <c r="BE83" s="26"/>
      <c r="BF83" s="26"/>
      <c r="BG83" s="27"/>
      <c r="BH83" s="30"/>
      <c r="BI83" s="30"/>
      <c r="BJ83" s="30"/>
      <c r="BK83" s="30"/>
      <c r="BL83" s="30"/>
      <c r="BM83" s="30"/>
      <c r="BN83" s="30"/>
    </row>
    <row r="84" spans="2:67" x14ac:dyDescent="0.25">
      <c r="L84" s="1"/>
      <c r="M84" s="1"/>
      <c r="N84" s="1"/>
      <c r="O84" s="1"/>
      <c r="P84" s="1"/>
      <c r="R84" s="1"/>
      <c r="AI84" s="11"/>
      <c r="AL84" s="11"/>
      <c r="AM84" s="22"/>
      <c r="AN84" s="22"/>
      <c r="AR84" s="1"/>
      <c r="AS84" s="1"/>
      <c r="AT84" s="1"/>
      <c r="AU84" s="1"/>
      <c r="AV84" s="1"/>
      <c r="AW84" s="1"/>
      <c r="AY84" s="1"/>
      <c r="AZ84" s="1"/>
      <c r="BA84" s="1"/>
      <c r="BB84" s="25"/>
      <c r="BC84" s="22"/>
      <c r="BD84" s="26"/>
      <c r="BE84" s="26"/>
      <c r="BF84" s="26"/>
      <c r="BG84" s="27"/>
    </row>
    <row r="85" spans="2:67" x14ac:dyDescent="0.25">
      <c r="L85" s="1"/>
      <c r="M85" s="1"/>
      <c r="N85" s="1"/>
      <c r="O85" s="1"/>
      <c r="P85" s="1"/>
      <c r="R85" s="1"/>
      <c r="AN85" s="22"/>
      <c r="AR85" s="1"/>
      <c r="AS85" s="1"/>
      <c r="AT85" s="1"/>
      <c r="AU85" s="1"/>
      <c r="AV85" s="1"/>
      <c r="AW85" s="1"/>
      <c r="AY85" s="1"/>
      <c r="AZ85" s="1"/>
      <c r="BA85" s="1"/>
      <c r="BB85" s="25"/>
      <c r="BC85" s="22"/>
      <c r="BD85" s="26"/>
      <c r="BE85" s="26"/>
      <c r="BF85" s="26"/>
      <c r="BG85" s="27"/>
    </row>
    <row r="86" spans="2:67" x14ac:dyDescent="0.25">
      <c r="AN86" s="22"/>
      <c r="BB86" s="25"/>
      <c r="BC86" s="22"/>
      <c r="BD86" s="26"/>
      <c r="BE86" s="26"/>
      <c r="BF86" s="26"/>
      <c r="BG86" s="27"/>
    </row>
    <row r="87" spans="2:67" x14ac:dyDescent="0.25">
      <c r="AN87" s="22"/>
      <c r="BB87" s="25"/>
      <c r="BC87" s="22"/>
      <c r="BD87" s="26"/>
      <c r="BE87" s="26"/>
      <c r="BF87" s="26"/>
      <c r="BG87" s="27"/>
    </row>
    <row r="88" spans="2:67" x14ac:dyDescent="0.25">
      <c r="AN88" s="22"/>
      <c r="BB88" s="25"/>
      <c r="BC88" s="22"/>
      <c r="BD88" s="26"/>
      <c r="BE88" s="26"/>
      <c r="BF88" s="26"/>
      <c r="BG88" s="27"/>
    </row>
    <row r="89" spans="2:67" x14ac:dyDescent="0.25">
      <c r="AN89" s="22"/>
      <c r="BB89" s="25"/>
      <c r="BC89" s="22"/>
      <c r="BD89" s="26"/>
      <c r="BE89" s="26"/>
      <c r="BF89" s="26"/>
      <c r="BG89" s="27"/>
    </row>
    <row r="90" spans="2:67" x14ac:dyDescent="0.25">
      <c r="AN90" s="22"/>
      <c r="BB90" s="25"/>
      <c r="BC90" s="22"/>
      <c r="BD90" s="26"/>
      <c r="BE90" s="26"/>
      <c r="BF90" s="26"/>
      <c r="BG90" s="27"/>
    </row>
    <row r="91" spans="2:67" x14ac:dyDescent="0.25">
      <c r="AN91" s="22"/>
      <c r="BB91" s="25"/>
      <c r="BC91" s="22"/>
      <c r="BD91" s="26"/>
      <c r="BE91" s="26"/>
      <c r="BF91" s="26"/>
      <c r="BG91" s="27"/>
    </row>
    <row r="92" spans="2:67" x14ac:dyDescent="0.25">
      <c r="AN92" s="22"/>
      <c r="BB92" s="25"/>
      <c r="BC92" s="22"/>
      <c r="BD92" s="26"/>
      <c r="BE92" s="26"/>
      <c r="BF92" s="26"/>
      <c r="BG92" s="27"/>
    </row>
    <row r="93" spans="2:67" x14ac:dyDescent="0.25">
      <c r="AN93" s="22"/>
      <c r="BB93" s="25"/>
      <c r="BC93" s="22"/>
      <c r="BD93" s="26"/>
      <c r="BE93" s="26"/>
      <c r="BF93" s="26"/>
      <c r="BG93" s="27"/>
    </row>
    <row r="94" spans="2:67" x14ac:dyDescent="0.25">
      <c r="AN94" s="22"/>
      <c r="BB94" s="25"/>
      <c r="BC94" s="22"/>
      <c r="BD94" s="26"/>
      <c r="BE94" s="26"/>
      <c r="BF94" s="26"/>
      <c r="BG94" s="27"/>
    </row>
    <row r="95" spans="2:67" x14ac:dyDescent="0.25">
      <c r="AN95" s="22"/>
      <c r="BB95" s="25"/>
      <c r="BC95" s="22"/>
      <c r="BD95" s="26"/>
      <c r="BE95" s="26"/>
      <c r="BF95" s="26"/>
      <c r="BG95" s="27"/>
    </row>
    <row r="96" spans="2:67" x14ac:dyDescent="0.25">
      <c r="AN96" s="22"/>
      <c r="BB96" s="25"/>
      <c r="BC96" s="22"/>
      <c r="BD96" s="26"/>
      <c r="BE96" s="26"/>
      <c r="BF96" s="26"/>
      <c r="BG96" s="27"/>
    </row>
    <row r="97" spans="40:59" x14ac:dyDescent="0.25">
      <c r="AN97" s="22"/>
      <c r="BB97" s="25"/>
      <c r="BC97" s="22"/>
      <c r="BD97" s="26"/>
      <c r="BE97" s="26"/>
      <c r="BF97" s="26"/>
      <c r="BG97" s="27"/>
    </row>
    <row r="98" spans="40:59" x14ac:dyDescent="0.25">
      <c r="AN98" s="22"/>
      <c r="BB98" s="25"/>
      <c r="BC98" s="22"/>
      <c r="BD98" s="26"/>
      <c r="BE98" s="26"/>
      <c r="BF98" s="26"/>
      <c r="BG98" s="27"/>
    </row>
    <row r="99" spans="40:59" x14ac:dyDescent="0.25">
      <c r="AN99" s="22"/>
      <c r="BB99" s="25"/>
      <c r="BC99" s="22"/>
      <c r="BD99" s="26"/>
      <c r="BE99" s="26"/>
      <c r="BF99" s="26"/>
      <c r="BG99" s="27"/>
    </row>
    <row r="100" spans="40:59" x14ac:dyDescent="0.25">
      <c r="AN100" s="22"/>
      <c r="BB100" s="25"/>
      <c r="BC100" s="22"/>
      <c r="BD100" s="26"/>
      <c r="BE100" s="26"/>
      <c r="BF100" s="26"/>
      <c r="BG100" s="27"/>
    </row>
    <row r="101" spans="40:59" x14ac:dyDescent="0.25">
      <c r="AN101" s="22"/>
      <c r="BB101" s="25"/>
      <c r="BC101" s="22"/>
      <c r="BD101" s="26"/>
      <c r="BE101" s="26"/>
      <c r="BF101" s="26"/>
      <c r="BG101" s="27"/>
    </row>
    <row r="102" spans="40:59" x14ac:dyDescent="0.25">
      <c r="AN102" s="22"/>
      <c r="BB102" s="25"/>
      <c r="BC102" s="22"/>
      <c r="BD102" s="26"/>
      <c r="BE102" s="26"/>
      <c r="BF102" s="26"/>
      <c r="BG102" s="27"/>
    </row>
    <row r="103" spans="40:59" x14ac:dyDescent="0.25">
      <c r="AN103" s="22"/>
      <c r="BB103" s="25"/>
      <c r="BC103" s="22"/>
      <c r="BD103" s="26"/>
      <c r="BE103" s="26"/>
      <c r="BF103" s="26"/>
      <c r="BG103" s="27"/>
    </row>
    <row r="104" spans="40:59" x14ac:dyDescent="0.25">
      <c r="AN104" s="22"/>
      <c r="BB104" s="25"/>
    </row>
    <row r="105" spans="40:59" x14ac:dyDescent="0.25">
      <c r="AN105" s="22"/>
      <c r="BB105" s="25"/>
    </row>
    <row r="106" spans="40:59" x14ac:dyDescent="0.25">
      <c r="AN106" s="22"/>
      <c r="BB106" s="25"/>
    </row>
    <row r="107" spans="40:59" x14ac:dyDescent="0.25">
      <c r="AN107" s="22"/>
      <c r="BB107" s="25"/>
    </row>
    <row r="108" spans="40:59" x14ac:dyDescent="0.25">
      <c r="AN108" s="22"/>
      <c r="BB108" s="25"/>
    </row>
    <row r="109" spans="40:59" x14ac:dyDescent="0.25">
      <c r="AN109" s="22"/>
      <c r="BB109" s="25"/>
    </row>
    <row r="110" spans="40:59" x14ac:dyDescent="0.25">
      <c r="AN110" s="22"/>
    </row>
    <row r="111" spans="40:59" x14ac:dyDescent="0.25">
      <c r="AN111" s="22"/>
    </row>
    <row r="112" spans="40:59" x14ac:dyDescent="0.25">
      <c r="AN112" s="22"/>
    </row>
    <row r="113" spans="40:40" x14ac:dyDescent="0.25">
      <c r="AN113" s="22"/>
    </row>
    <row r="114" spans="40:40" x14ac:dyDescent="0.25">
      <c r="AN114" s="22"/>
    </row>
    <row r="115" spans="40:40" x14ac:dyDescent="0.25">
      <c r="AN115" s="22"/>
    </row>
    <row r="116" spans="40:40" x14ac:dyDescent="0.25">
      <c r="AN116" s="22"/>
    </row>
    <row r="117" spans="40:40" x14ac:dyDescent="0.25">
      <c r="AN117" s="22"/>
    </row>
    <row r="118" spans="40:40" x14ac:dyDescent="0.25">
      <c r="AN118" s="22"/>
    </row>
    <row r="119" spans="40:40" x14ac:dyDescent="0.25">
      <c r="AN119" s="22"/>
    </row>
    <row r="120" spans="40:40" x14ac:dyDescent="0.25">
      <c r="AN120" s="22"/>
    </row>
    <row r="121" spans="40:40" x14ac:dyDescent="0.25">
      <c r="AN121" s="22"/>
    </row>
    <row r="122" spans="40:40" x14ac:dyDescent="0.25">
      <c r="AN122" s="22"/>
    </row>
    <row r="123" spans="40:40" x14ac:dyDescent="0.25">
      <c r="AN123" s="22"/>
    </row>
    <row r="124" spans="40:40" x14ac:dyDescent="0.25">
      <c r="AN124" s="22"/>
    </row>
    <row r="125" spans="40:40" x14ac:dyDescent="0.25">
      <c r="AN125" s="22"/>
    </row>
    <row r="126" spans="40:40" x14ac:dyDescent="0.25">
      <c r="AN126" s="22"/>
    </row>
    <row r="127" spans="40:40" x14ac:dyDescent="0.25">
      <c r="AN127" s="22"/>
    </row>
    <row r="128" spans="40:40" x14ac:dyDescent="0.25">
      <c r="AN128" s="22"/>
    </row>
    <row r="129" spans="40:40" x14ac:dyDescent="0.25">
      <c r="AN129" s="22"/>
    </row>
    <row r="130" spans="40:40" x14ac:dyDescent="0.25">
      <c r="AN130" s="22"/>
    </row>
    <row r="131" spans="40:40" x14ac:dyDescent="0.25">
      <c r="AN131" s="22"/>
    </row>
    <row r="132" spans="40:40" x14ac:dyDescent="0.25">
      <c r="AN132" s="22"/>
    </row>
    <row r="133" spans="40:40" x14ac:dyDescent="0.25">
      <c r="AN133" s="22"/>
    </row>
    <row r="134" spans="40:40" x14ac:dyDescent="0.25">
      <c r="AN134" s="22"/>
    </row>
    <row r="135" spans="40:40" x14ac:dyDescent="0.25">
      <c r="AN135" s="22"/>
    </row>
    <row r="136" spans="40:40" x14ac:dyDescent="0.25">
      <c r="AN136" s="22"/>
    </row>
    <row r="137" spans="40:40" x14ac:dyDescent="0.25">
      <c r="AN137" s="22"/>
    </row>
    <row r="138" spans="40:40" x14ac:dyDescent="0.25">
      <c r="AN138" s="22"/>
    </row>
    <row r="139" spans="40:40" x14ac:dyDescent="0.25">
      <c r="AN139" s="22"/>
    </row>
    <row r="140" spans="40:40" x14ac:dyDescent="0.25">
      <c r="AN140" s="22"/>
    </row>
    <row r="141" spans="40:40" x14ac:dyDescent="0.25">
      <c r="AN141" s="22"/>
    </row>
    <row r="142" spans="40:40" x14ac:dyDescent="0.25">
      <c r="AN142" s="22"/>
    </row>
    <row r="143" spans="40:40" x14ac:dyDescent="0.25">
      <c r="AN143" s="22"/>
    </row>
    <row r="144" spans="40:40" x14ac:dyDescent="0.25">
      <c r="AN144" s="22"/>
    </row>
    <row r="145" spans="40:40" x14ac:dyDescent="0.25">
      <c r="AN145" s="22"/>
    </row>
    <row r="146" spans="40:40" x14ac:dyDescent="0.25">
      <c r="AN146" s="22"/>
    </row>
    <row r="147" spans="40:40" x14ac:dyDescent="0.25">
      <c r="AN147" s="22"/>
    </row>
    <row r="148" spans="40:40" x14ac:dyDescent="0.25">
      <c r="AN148" s="22"/>
    </row>
    <row r="149" spans="40:40" x14ac:dyDescent="0.25">
      <c r="AN149" s="22"/>
    </row>
    <row r="150" spans="40:40" x14ac:dyDescent="0.25">
      <c r="AN150" s="22"/>
    </row>
    <row r="151" spans="40:40" x14ac:dyDescent="0.25">
      <c r="AN151" s="22"/>
    </row>
    <row r="152" spans="40:40" x14ac:dyDescent="0.25">
      <c r="AN152" s="22"/>
    </row>
    <row r="153" spans="40:40" x14ac:dyDescent="0.25">
      <c r="AN153" s="22"/>
    </row>
    <row r="154" spans="40:40" x14ac:dyDescent="0.25">
      <c r="AN154" s="22"/>
    </row>
    <row r="155" spans="40:40" x14ac:dyDescent="0.25">
      <c r="AN155" s="22"/>
    </row>
    <row r="156" spans="40:40" x14ac:dyDescent="0.25">
      <c r="AN156" s="22"/>
    </row>
    <row r="157" spans="40:40" x14ac:dyDescent="0.25">
      <c r="AN157" s="22"/>
    </row>
    <row r="158" spans="40:40" x14ac:dyDescent="0.25">
      <c r="AN158" s="22"/>
    </row>
    <row r="159" spans="40:40" x14ac:dyDescent="0.25">
      <c r="AN159" s="22"/>
    </row>
    <row r="160" spans="40:40" x14ac:dyDescent="0.25">
      <c r="AN160" s="22"/>
    </row>
    <row r="161" spans="40:40" x14ac:dyDescent="0.25">
      <c r="AN161" s="22"/>
    </row>
    <row r="162" spans="40:40" x14ac:dyDescent="0.25">
      <c r="AN162" s="22"/>
    </row>
    <row r="163" spans="40:40" x14ac:dyDescent="0.25">
      <c r="AN163" s="22"/>
    </row>
  </sheetData>
  <dataValidations count="4">
    <dataValidation type="list" allowBlank="1" showInputMessage="1" showErrorMessage="1" sqref="B10" xr:uid="{C8DA1B0B-B3E0-4E5A-AF49-F4473966E3DB}">
      <formula1>"2BR_F,3BR_H"</formula1>
    </dataValidation>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6679F3-8E7F-4E78-A421-D2020E983445}">
          <x14:formula1>
            <xm:f>'2BR_F-processed'!$E$1:$E$1</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workbookViewId="0">
      <selection activeCell="B30" sqref="B30"/>
    </sheetView>
  </sheetViews>
  <sheetFormatPr defaultRowHeight="15" x14ac:dyDescent="0.25"/>
  <cols>
    <col min="1" max="1" width="12.5703125" customWidth="1"/>
    <col min="2" max="2" width="59.5703125" bestFit="1" customWidth="1"/>
  </cols>
  <sheetData>
    <row r="1" spans="1:2" x14ac:dyDescent="0.25">
      <c r="B1" t="s">
        <v>466</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32" sqref="C32"/>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28" t="s">
        <v>63</v>
      </c>
      <c r="B1" s="28" t="s">
        <v>304</v>
      </c>
      <c r="C1" s="28" t="s">
        <v>460</v>
      </c>
      <c r="D1" s="28" t="s">
        <v>461</v>
      </c>
    </row>
    <row r="2" spans="1:4" x14ac:dyDescent="0.25">
      <c r="A2" t="s">
        <v>349</v>
      </c>
      <c r="B2" s="3">
        <f>DATE(YEAR(A2),MONTH(A2)+1,1)</f>
        <v>35462</v>
      </c>
      <c r="C2">
        <v>419.26599499999998</v>
      </c>
      <c r="D2">
        <v>245.207708</v>
      </c>
    </row>
    <row r="3" spans="1:4" x14ac:dyDescent="0.25">
      <c r="A3" t="s">
        <v>350</v>
      </c>
      <c r="B3" s="3">
        <f t="shared" ref="B3:B66" si="0">DATE(YEAR(A3),MONTH(A3)+1,1)</f>
        <v>35490</v>
      </c>
      <c r="C3">
        <v>421.97543999999999</v>
      </c>
      <c r="D3">
        <v>249.744114</v>
      </c>
    </row>
    <row r="4" spans="1:4" x14ac:dyDescent="0.25">
      <c r="A4" t="s">
        <v>351</v>
      </c>
      <c r="B4" s="3">
        <f t="shared" si="0"/>
        <v>35521</v>
      </c>
      <c r="C4">
        <v>412.53766899999999</v>
      </c>
      <c r="D4">
        <v>247.58019400000001</v>
      </c>
    </row>
    <row r="5" spans="1:4" x14ac:dyDescent="0.25">
      <c r="A5" t="s">
        <v>352</v>
      </c>
      <c r="B5" s="3">
        <f t="shared" si="0"/>
        <v>35551</v>
      </c>
      <c r="C5">
        <v>421.84386999999998</v>
      </c>
      <c r="D5">
        <v>254.80865900000001</v>
      </c>
    </row>
    <row r="6" spans="1:4" x14ac:dyDescent="0.25">
      <c r="A6" t="s">
        <v>353</v>
      </c>
      <c r="B6" s="3">
        <f t="shared" si="0"/>
        <v>35582</v>
      </c>
      <c r="C6">
        <v>453.076662</v>
      </c>
      <c r="D6">
        <v>267.63286599999998</v>
      </c>
    </row>
    <row r="7" spans="1:4" x14ac:dyDescent="0.25">
      <c r="A7" t="s">
        <v>354</v>
      </c>
      <c r="B7" s="3">
        <f t="shared" si="0"/>
        <v>35612</v>
      </c>
      <c r="C7">
        <v>473.95344</v>
      </c>
      <c r="D7">
        <v>281.16866099999999</v>
      </c>
    </row>
    <row r="8" spans="1:4" x14ac:dyDescent="0.25">
      <c r="A8" t="s">
        <v>355</v>
      </c>
      <c r="B8" s="3">
        <f t="shared" si="0"/>
        <v>35643</v>
      </c>
      <c r="C8">
        <v>493.872681</v>
      </c>
      <c r="D8">
        <v>282.567724</v>
      </c>
    </row>
    <row r="9" spans="1:4" x14ac:dyDescent="0.25">
      <c r="A9" t="s">
        <v>356</v>
      </c>
      <c r="B9" s="3">
        <f t="shared" si="0"/>
        <v>35674</v>
      </c>
      <c r="C9">
        <v>468.06400400000001</v>
      </c>
      <c r="D9">
        <v>268.42931800000002</v>
      </c>
    </row>
    <row r="10" spans="1:4" x14ac:dyDescent="0.25">
      <c r="A10" t="s">
        <v>357</v>
      </c>
      <c r="B10" s="3">
        <f t="shared" si="0"/>
        <v>35704</v>
      </c>
      <c r="C10">
        <v>491.88310899999999</v>
      </c>
      <c r="D10">
        <v>287.58004599999998</v>
      </c>
    </row>
    <row r="11" spans="1:4" x14ac:dyDescent="0.25">
      <c r="A11" t="s">
        <v>358</v>
      </c>
      <c r="B11" s="3">
        <f t="shared" si="0"/>
        <v>35735</v>
      </c>
      <c r="C11">
        <v>467.52385700000002</v>
      </c>
      <c r="D11">
        <v>257.39946700000002</v>
      </c>
    </row>
    <row r="12" spans="1:4" x14ac:dyDescent="0.25">
      <c r="A12" t="s">
        <v>359</v>
      </c>
      <c r="B12" s="3">
        <f t="shared" si="0"/>
        <v>35765</v>
      </c>
      <c r="C12">
        <v>470.88535200000001</v>
      </c>
      <c r="D12">
        <v>258.770014</v>
      </c>
    </row>
    <row r="13" spans="1:4" x14ac:dyDescent="0.25">
      <c r="A13" t="s">
        <v>360</v>
      </c>
      <c r="B13" s="3">
        <f t="shared" si="0"/>
        <v>35796</v>
      </c>
      <c r="C13">
        <v>475.56997200000001</v>
      </c>
      <c r="D13">
        <v>278.75803500000001</v>
      </c>
    </row>
    <row r="14" spans="1:4" x14ac:dyDescent="0.25">
      <c r="A14" t="s">
        <v>361</v>
      </c>
      <c r="B14" s="3">
        <f t="shared" si="0"/>
        <v>35827</v>
      </c>
      <c r="C14">
        <v>487.18107199999997</v>
      </c>
      <c r="D14">
        <v>282.68164000000002</v>
      </c>
    </row>
    <row r="15" spans="1:4" x14ac:dyDescent="0.25">
      <c r="A15" t="s">
        <v>362</v>
      </c>
      <c r="B15" s="3">
        <f t="shared" si="0"/>
        <v>35855</v>
      </c>
      <c r="C15">
        <v>520.56558500000006</v>
      </c>
      <c r="D15">
        <v>292.18862899999999</v>
      </c>
    </row>
    <row r="16" spans="1:4" x14ac:dyDescent="0.25">
      <c r="A16" t="s">
        <v>363</v>
      </c>
      <c r="B16" s="3">
        <f t="shared" si="0"/>
        <v>35886</v>
      </c>
      <c r="C16">
        <v>542.45833400000004</v>
      </c>
      <c r="D16">
        <v>297.69347099999999</v>
      </c>
    </row>
    <row r="17" spans="1:4" x14ac:dyDescent="0.25">
      <c r="A17" t="s">
        <v>364</v>
      </c>
      <c r="B17" s="3">
        <f t="shared" si="0"/>
        <v>35916</v>
      </c>
      <c r="C17">
        <v>547.82319199999995</v>
      </c>
      <c r="D17">
        <v>297.31546800000001</v>
      </c>
    </row>
    <row r="18" spans="1:4" x14ac:dyDescent="0.25">
      <c r="A18" t="s">
        <v>365</v>
      </c>
      <c r="B18" s="3">
        <f t="shared" si="0"/>
        <v>35947</v>
      </c>
      <c r="C18">
        <v>540.83214299999997</v>
      </c>
      <c r="D18">
        <v>294.667507</v>
      </c>
    </row>
    <row r="19" spans="1:4" x14ac:dyDescent="0.25">
      <c r="A19" t="s">
        <v>366</v>
      </c>
      <c r="B19" s="3">
        <f t="shared" si="0"/>
        <v>35977</v>
      </c>
      <c r="C19">
        <v>550.43480499999998</v>
      </c>
      <c r="D19">
        <v>293.24988500000001</v>
      </c>
    </row>
    <row r="20" spans="1:4" x14ac:dyDescent="0.25">
      <c r="A20" t="s">
        <v>367</v>
      </c>
      <c r="B20" s="3">
        <f t="shared" si="0"/>
        <v>36008</v>
      </c>
      <c r="C20">
        <v>545.83012699999995</v>
      </c>
      <c r="D20">
        <v>301.50394299999999</v>
      </c>
    </row>
    <row r="21" spans="1:4" x14ac:dyDescent="0.25">
      <c r="A21" t="s">
        <v>368</v>
      </c>
      <c r="B21" s="3">
        <f t="shared" si="0"/>
        <v>36039</v>
      </c>
      <c r="C21">
        <v>469.555497</v>
      </c>
      <c r="D21">
        <v>279.68454500000001</v>
      </c>
    </row>
    <row r="22" spans="1:4" x14ac:dyDescent="0.25">
      <c r="A22" t="s">
        <v>369</v>
      </c>
      <c r="B22" s="3">
        <f t="shared" si="0"/>
        <v>36069</v>
      </c>
      <c r="C22">
        <v>479.354175</v>
      </c>
      <c r="D22">
        <v>292.49027799999999</v>
      </c>
    </row>
    <row r="23" spans="1:4" x14ac:dyDescent="0.25">
      <c r="A23" t="s">
        <v>370</v>
      </c>
      <c r="B23" s="3">
        <f t="shared" si="0"/>
        <v>36100</v>
      </c>
      <c r="C23">
        <v>520.18450900000005</v>
      </c>
      <c r="D23">
        <v>299.94997000000001</v>
      </c>
    </row>
    <row r="24" spans="1:4" x14ac:dyDescent="0.25">
      <c r="A24" t="s">
        <v>371</v>
      </c>
      <c r="B24" s="3">
        <f t="shared" si="0"/>
        <v>36130</v>
      </c>
      <c r="C24">
        <v>548.94135900000003</v>
      </c>
      <c r="D24">
        <v>317.80167599999999</v>
      </c>
    </row>
    <row r="25" spans="1:4" x14ac:dyDescent="0.25">
      <c r="A25" t="s">
        <v>372</v>
      </c>
      <c r="B25" s="3">
        <f t="shared" si="0"/>
        <v>36161</v>
      </c>
      <c r="C25">
        <v>576.87406099999998</v>
      </c>
      <c r="D25">
        <v>326.69956000000002</v>
      </c>
    </row>
    <row r="26" spans="1:4" x14ac:dyDescent="0.25">
      <c r="A26" t="s">
        <v>373</v>
      </c>
      <c r="B26" s="3">
        <f t="shared" si="0"/>
        <v>36192</v>
      </c>
      <c r="C26">
        <v>589.02460499999995</v>
      </c>
      <c r="D26">
        <v>341.27213999999998</v>
      </c>
    </row>
    <row r="27" spans="1:4" x14ac:dyDescent="0.25">
      <c r="A27" t="s">
        <v>374</v>
      </c>
      <c r="B27" s="3">
        <f t="shared" si="0"/>
        <v>36220</v>
      </c>
      <c r="C27">
        <v>571.30165199999999</v>
      </c>
      <c r="D27">
        <v>338.67590200000001</v>
      </c>
    </row>
    <row r="28" spans="1:4" x14ac:dyDescent="0.25">
      <c r="A28" t="s">
        <v>375</v>
      </c>
      <c r="B28" s="3">
        <f t="shared" si="0"/>
        <v>36251</v>
      </c>
      <c r="C28">
        <v>595.12350400000003</v>
      </c>
      <c r="D28">
        <v>349.72103800000002</v>
      </c>
    </row>
    <row r="29" spans="1:4" x14ac:dyDescent="0.25">
      <c r="A29" t="s">
        <v>376</v>
      </c>
      <c r="B29" s="3">
        <f t="shared" si="0"/>
        <v>36281</v>
      </c>
      <c r="C29">
        <v>623.09263199999998</v>
      </c>
      <c r="D29">
        <v>362.67756600000001</v>
      </c>
    </row>
    <row r="30" spans="1:4" x14ac:dyDescent="0.25">
      <c r="A30" t="s">
        <v>377</v>
      </c>
      <c r="B30" s="3">
        <f t="shared" si="0"/>
        <v>36312</v>
      </c>
      <c r="C30">
        <v>603.66703900000005</v>
      </c>
      <c r="D30">
        <v>341.25879600000002</v>
      </c>
    </row>
    <row r="31" spans="1:4" x14ac:dyDescent="0.25">
      <c r="A31" t="s">
        <v>378</v>
      </c>
      <c r="B31" s="3">
        <f t="shared" si="0"/>
        <v>36342</v>
      </c>
      <c r="C31">
        <v>632.94609400000002</v>
      </c>
      <c r="D31">
        <v>353.43616200000002</v>
      </c>
    </row>
    <row r="32" spans="1:4" x14ac:dyDescent="0.25">
      <c r="A32" t="s">
        <v>379</v>
      </c>
      <c r="B32" s="3">
        <f t="shared" si="0"/>
        <v>36373</v>
      </c>
      <c r="C32">
        <v>632.94434100000001</v>
      </c>
      <c r="D32">
        <v>357.66240900000003</v>
      </c>
    </row>
    <row r="33" spans="1:4" x14ac:dyDescent="0.25">
      <c r="A33" t="s">
        <v>380</v>
      </c>
      <c r="B33" s="3">
        <f t="shared" si="0"/>
        <v>36404</v>
      </c>
      <c r="C33">
        <v>634.60723099999996</v>
      </c>
      <c r="D33">
        <v>349.73998799999998</v>
      </c>
    </row>
    <row r="34" spans="1:4" x14ac:dyDescent="0.25">
      <c r="A34" t="s">
        <v>381</v>
      </c>
      <c r="B34" s="3">
        <f t="shared" si="0"/>
        <v>36434</v>
      </c>
      <c r="C34">
        <v>632.02789399999995</v>
      </c>
      <c r="D34">
        <v>345.53602100000001</v>
      </c>
    </row>
    <row r="35" spans="1:4" x14ac:dyDescent="0.25">
      <c r="A35" t="s">
        <v>382</v>
      </c>
      <c r="B35" s="3">
        <f t="shared" si="0"/>
        <v>36465</v>
      </c>
      <c r="C35">
        <v>663.264994</v>
      </c>
      <c r="D35">
        <v>346.95410600000002</v>
      </c>
    </row>
    <row r="36" spans="1:4" x14ac:dyDescent="0.25">
      <c r="A36" t="s">
        <v>383</v>
      </c>
      <c r="B36" s="3">
        <f t="shared" si="0"/>
        <v>36495</v>
      </c>
      <c r="C36">
        <v>690.32487800000001</v>
      </c>
      <c r="D36">
        <v>370.51854700000001</v>
      </c>
    </row>
    <row r="37" spans="1:4" x14ac:dyDescent="0.25">
      <c r="A37" t="s">
        <v>384</v>
      </c>
      <c r="B37" s="3">
        <f t="shared" si="0"/>
        <v>36526</v>
      </c>
      <c r="C37">
        <v>745.81840699999998</v>
      </c>
      <c r="D37">
        <v>379.19121799999999</v>
      </c>
    </row>
    <row r="38" spans="1:4" x14ac:dyDescent="0.25">
      <c r="A38" t="s">
        <v>385</v>
      </c>
      <c r="B38" s="3">
        <f t="shared" si="0"/>
        <v>36557</v>
      </c>
      <c r="C38">
        <v>709.30854399999998</v>
      </c>
      <c r="D38">
        <v>373.13591100000002</v>
      </c>
    </row>
    <row r="39" spans="1:4" x14ac:dyDescent="0.25">
      <c r="A39" t="s">
        <v>386</v>
      </c>
      <c r="B39" s="3">
        <f t="shared" si="0"/>
        <v>36586</v>
      </c>
      <c r="C39">
        <v>730.75816599999996</v>
      </c>
      <c r="D39">
        <v>378.41239000000002</v>
      </c>
    </row>
    <row r="40" spans="1:4" x14ac:dyDescent="0.25">
      <c r="A40" t="s">
        <v>387</v>
      </c>
      <c r="B40" s="3">
        <f t="shared" si="0"/>
        <v>36617</v>
      </c>
      <c r="C40">
        <v>761.42918399999996</v>
      </c>
      <c r="D40">
        <v>382.68910399999999</v>
      </c>
    </row>
    <row r="41" spans="1:4" x14ac:dyDescent="0.25">
      <c r="A41" t="s">
        <v>388</v>
      </c>
      <c r="B41" s="3">
        <f t="shared" si="0"/>
        <v>36647</v>
      </c>
      <c r="C41">
        <v>716.50829499999998</v>
      </c>
      <c r="D41">
        <v>377.67006900000001</v>
      </c>
    </row>
    <row r="42" spans="1:4" x14ac:dyDescent="0.25">
      <c r="A42" t="s">
        <v>389</v>
      </c>
      <c r="B42" s="3">
        <f t="shared" si="0"/>
        <v>36678</v>
      </c>
      <c r="C42">
        <v>691.711366</v>
      </c>
      <c r="D42">
        <v>371.946934</v>
      </c>
    </row>
    <row r="43" spans="1:4" x14ac:dyDescent="0.25">
      <c r="A43" t="s">
        <v>390</v>
      </c>
      <c r="B43" s="3">
        <f t="shared" si="0"/>
        <v>36708</v>
      </c>
      <c r="C43">
        <v>723.48165300000005</v>
      </c>
      <c r="D43">
        <v>398.62485600000002</v>
      </c>
    </row>
    <row r="44" spans="1:4" x14ac:dyDescent="0.25">
      <c r="A44" t="s">
        <v>391</v>
      </c>
      <c r="B44" s="3">
        <f t="shared" si="0"/>
        <v>36739</v>
      </c>
      <c r="C44">
        <v>700.33131600000002</v>
      </c>
      <c r="D44">
        <v>394.40840900000001</v>
      </c>
    </row>
    <row r="45" spans="1:4" x14ac:dyDescent="0.25">
      <c r="A45" t="s">
        <v>392</v>
      </c>
      <c r="B45" s="3">
        <f t="shared" si="0"/>
        <v>36770</v>
      </c>
      <c r="C45">
        <v>734.25646800000004</v>
      </c>
      <c r="D45">
        <v>397.64990899999998</v>
      </c>
    </row>
    <row r="46" spans="1:4" x14ac:dyDescent="0.25">
      <c r="A46" t="s">
        <v>393</v>
      </c>
      <c r="B46" s="3">
        <f t="shared" si="0"/>
        <v>36800</v>
      </c>
      <c r="C46">
        <v>697.733655</v>
      </c>
      <c r="D46">
        <v>398.73303399999998</v>
      </c>
    </row>
    <row r="47" spans="1:4" x14ac:dyDescent="0.25">
      <c r="A47" t="s">
        <v>394</v>
      </c>
      <c r="B47" s="3">
        <f t="shared" si="0"/>
        <v>36831</v>
      </c>
      <c r="C47">
        <v>676.89342699999997</v>
      </c>
      <c r="D47">
        <v>395.55164400000001</v>
      </c>
    </row>
    <row r="48" spans="1:4" x14ac:dyDescent="0.25">
      <c r="A48" t="s">
        <v>395</v>
      </c>
      <c r="B48" s="3">
        <f t="shared" si="0"/>
        <v>36861</v>
      </c>
      <c r="C48">
        <v>627.38469599999996</v>
      </c>
      <c r="D48">
        <v>399.26271500000001</v>
      </c>
    </row>
    <row r="49" spans="1:4" x14ac:dyDescent="0.25">
      <c r="A49" t="s">
        <v>396</v>
      </c>
      <c r="B49" s="3">
        <f t="shared" si="0"/>
        <v>36892</v>
      </c>
      <c r="C49">
        <v>641.01747399999999</v>
      </c>
      <c r="D49">
        <v>392.21904599999999</v>
      </c>
    </row>
    <row r="50" spans="1:4" x14ac:dyDescent="0.25">
      <c r="A50" t="s">
        <v>397</v>
      </c>
      <c r="B50" s="3">
        <f t="shared" si="0"/>
        <v>36923</v>
      </c>
      <c r="C50">
        <v>655.66203299999995</v>
      </c>
      <c r="D50">
        <v>411.012811</v>
      </c>
    </row>
    <row r="51" spans="1:4" x14ac:dyDescent="0.25">
      <c r="A51" t="s">
        <v>398</v>
      </c>
      <c r="B51" s="3">
        <f t="shared" si="0"/>
        <v>36951</v>
      </c>
      <c r="C51">
        <v>598.73344299999997</v>
      </c>
      <c r="D51">
        <v>407.13708600000001</v>
      </c>
    </row>
    <row r="52" spans="1:4" x14ac:dyDescent="0.25">
      <c r="A52" t="s">
        <v>399</v>
      </c>
      <c r="B52" s="3">
        <f t="shared" si="0"/>
        <v>36982</v>
      </c>
      <c r="C52">
        <v>556.67208900000003</v>
      </c>
      <c r="D52">
        <v>390.11319400000002</v>
      </c>
    </row>
    <row r="53" spans="1:4" x14ac:dyDescent="0.25">
      <c r="A53" t="s">
        <v>400</v>
      </c>
      <c r="B53" s="3">
        <f t="shared" si="0"/>
        <v>37012</v>
      </c>
      <c r="C53">
        <v>599.73245699999995</v>
      </c>
      <c r="D53">
        <v>411.44194099999999</v>
      </c>
    </row>
    <row r="54" spans="1:4" x14ac:dyDescent="0.25">
      <c r="A54" t="s">
        <v>401</v>
      </c>
      <c r="B54" s="3">
        <f t="shared" si="0"/>
        <v>37043</v>
      </c>
      <c r="C54">
        <v>594.57954099999995</v>
      </c>
      <c r="D54">
        <v>416.925454</v>
      </c>
    </row>
    <row r="55" spans="1:4" x14ac:dyDescent="0.25">
      <c r="A55" t="s">
        <v>402</v>
      </c>
      <c r="B55" s="3">
        <f t="shared" si="0"/>
        <v>37073</v>
      </c>
      <c r="C55">
        <v>577.97751400000004</v>
      </c>
      <c r="D55">
        <v>428.45855299999999</v>
      </c>
    </row>
    <row r="56" spans="1:4" x14ac:dyDescent="0.25">
      <c r="A56" t="s">
        <v>403</v>
      </c>
      <c r="B56" s="3">
        <f t="shared" si="0"/>
        <v>37104</v>
      </c>
      <c r="C56">
        <v>565.59589800000003</v>
      </c>
      <c r="D56">
        <v>408.67690199999998</v>
      </c>
    </row>
    <row r="57" spans="1:4" x14ac:dyDescent="0.25">
      <c r="A57" t="s">
        <v>404</v>
      </c>
      <c r="B57" s="3">
        <f t="shared" si="0"/>
        <v>37135</v>
      </c>
      <c r="C57">
        <v>540.64853900000003</v>
      </c>
      <c r="D57">
        <v>402.90077000000002</v>
      </c>
    </row>
    <row r="58" spans="1:4" x14ac:dyDescent="0.25">
      <c r="A58" t="s">
        <v>405</v>
      </c>
      <c r="B58" s="3">
        <f t="shared" si="0"/>
        <v>37165</v>
      </c>
      <c r="C58">
        <v>489.05500599999999</v>
      </c>
      <c r="D58">
        <v>379.40931899999998</v>
      </c>
    </row>
    <row r="59" spans="1:4" x14ac:dyDescent="0.25">
      <c r="A59" t="s">
        <v>406</v>
      </c>
      <c r="B59" s="3">
        <f t="shared" si="0"/>
        <v>37196</v>
      </c>
      <c r="C59">
        <v>502.47792900000002</v>
      </c>
      <c r="D59">
        <v>403.27659899999998</v>
      </c>
    </row>
    <row r="60" spans="1:4" x14ac:dyDescent="0.25">
      <c r="A60" t="s">
        <v>407</v>
      </c>
      <c r="B60" s="3">
        <f t="shared" si="0"/>
        <v>37226</v>
      </c>
      <c r="C60">
        <v>531.14396699999998</v>
      </c>
      <c r="D60">
        <v>418.04074100000003</v>
      </c>
    </row>
    <row r="61" spans="1:4" x14ac:dyDescent="0.25">
      <c r="A61" t="s">
        <v>408</v>
      </c>
      <c r="B61" s="3">
        <f t="shared" si="0"/>
        <v>37257</v>
      </c>
      <c r="C61">
        <v>535.84732699999995</v>
      </c>
      <c r="D61">
        <v>428.29222499999997</v>
      </c>
    </row>
    <row r="62" spans="1:4" x14ac:dyDescent="0.25">
      <c r="A62" t="s">
        <v>409</v>
      </c>
      <c r="B62" s="3">
        <f t="shared" si="0"/>
        <v>37288</v>
      </c>
      <c r="C62">
        <v>519.53382099999999</v>
      </c>
      <c r="D62">
        <v>433.33055400000001</v>
      </c>
    </row>
    <row r="63" spans="1:4" x14ac:dyDescent="0.25">
      <c r="A63" t="s">
        <v>410</v>
      </c>
      <c r="B63" s="3">
        <f t="shared" si="0"/>
        <v>37316</v>
      </c>
      <c r="C63">
        <v>514.53895</v>
      </c>
      <c r="D63">
        <v>427.75501300000002</v>
      </c>
    </row>
    <row r="64" spans="1:4" x14ac:dyDescent="0.25">
      <c r="A64" t="s">
        <v>411</v>
      </c>
      <c r="B64" s="3">
        <f t="shared" si="0"/>
        <v>37347</v>
      </c>
      <c r="C64">
        <v>539.98240899999996</v>
      </c>
      <c r="D64">
        <v>432.43544200000002</v>
      </c>
    </row>
    <row r="65" spans="1:4" x14ac:dyDescent="0.25">
      <c r="A65" t="s">
        <v>412</v>
      </c>
      <c r="B65" s="3">
        <f t="shared" si="0"/>
        <v>37377</v>
      </c>
      <c r="C65">
        <v>527.11614399999996</v>
      </c>
      <c r="D65">
        <v>423.91694799999999</v>
      </c>
    </row>
    <row r="66" spans="1:4" x14ac:dyDescent="0.25">
      <c r="A66" t="s">
        <v>413</v>
      </c>
      <c r="B66" s="3">
        <f t="shared" si="0"/>
        <v>37408</v>
      </c>
      <c r="C66">
        <v>529.05337899999995</v>
      </c>
      <c r="D66">
        <v>426.374011</v>
      </c>
    </row>
    <row r="67" spans="1:4" x14ac:dyDescent="0.25">
      <c r="A67" t="s">
        <v>414</v>
      </c>
      <c r="B67" s="3">
        <f t="shared" ref="B67:B130" si="1">DATE(YEAR(A67),MONTH(A67)+1,1)</f>
        <v>37438</v>
      </c>
      <c r="C67">
        <v>497.15596299999999</v>
      </c>
      <c r="D67">
        <v>409.86811299999999</v>
      </c>
    </row>
    <row r="68" spans="1:4" x14ac:dyDescent="0.25">
      <c r="A68" t="s">
        <v>415</v>
      </c>
      <c r="B68" s="3">
        <f t="shared" si="1"/>
        <v>37469</v>
      </c>
      <c r="C68">
        <v>454.70469500000002</v>
      </c>
      <c r="D68">
        <v>391.43480699999998</v>
      </c>
    </row>
    <row r="69" spans="1:4" x14ac:dyDescent="0.25">
      <c r="A69" t="s">
        <v>416</v>
      </c>
      <c r="B69" s="3">
        <f t="shared" si="1"/>
        <v>37500</v>
      </c>
      <c r="C69">
        <v>455.95183400000002</v>
      </c>
      <c r="D69">
        <v>397.88295799999997</v>
      </c>
    </row>
    <row r="70" spans="1:4" x14ac:dyDescent="0.25">
      <c r="A70" t="s">
        <v>417</v>
      </c>
      <c r="B70" s="3">
        <f t="shared" si="1"/>
        <v>37530</v>
      </c>
      <c r="C70">
        <v>408.70013899999998</v>
      </c>
      <c r="D70">
        <v>381.60909900000001</v>
      </c>
    </row>
    <row r="71" spans="1:4" x14ac:dyDescent="0.25">
      <c r="A71" t="s">
        <v>418</v>
      </c>
      <c r="B71" s="3">
        <f t="shared" si="1"/>
        <v>37561</v>
      </c>
      <c r="C71">
        <v>435.50903099999999</v>
      </c>
      <c r="D71">
        <v>392.030418</v>
      </c>
    </row>
    <row r="72" spans="1:4" x14ac:dyDescent="0.25">
      <c r="A72" t="s">
        <v>419</v>
      </c>
      <c r="B72" s="3">
        <f t="shared" si="1"/>
        <v>37591</v>
      </c>
      <c r="C72">
        <v>458.79289399999999</v>
      </c>
      <c r="D72">
        <v>397.08247299999999</v>
      </c>
    </row>
    <row r="73" spans="1:4" x14ac:dyDescent="0.25">
      <c r="A73" t="s">
        <v>420</v>
      </c>
      <c r="B73" s="3">
        <f t="shared" si="1"/>
        <v>37622</v>
      </c>
      <c r="C73">
        <v>438.05187100000001</v>
      </c>
      <c r="D73">
        <v>389.53384599999998</v>
      </c>
    </row>
    <row r="74" spans="1:4" x14ac:dyDescent="0.25">
      <c r="A74" t="s">
        <v>421</v>
      </c>
      <c r="B74" s="3">
        <f t="shared" si="1"/>
        <v>37653</v>
      </c>
      <c r="C74">
        <v>424.98913299999998</v>
      </c>
      <c r="D74">
        <v>382.469696</v>
      </c>
    </row>
    <row r="75" spans="1:4" x14ac:dyDescent="0.25">
      <c r="A75" t="s">
        <v>422</v>
      </c>
      <c r="B75" s="3">
        <f t="shared" si="1"/>
        <v>37681</v>
      </c>
      <c r="C75">
        <v>417.71146599999997</v>
      </c>
      <c r="D75">
        <v>365.23843799999997</v>
      </c>
    </row>
    <row r="76" spans="1:4" x14ac:dyDescent="0.25">
      <c r="A76" t="s">
        <v>423</v>
      </c>
      <c r="B76" s="3">
        <f t="shared" si="1"/>
        <v>37712</v>
      </c>
      <c r="C76">
        <v>417.12785600000001</v>
      </c>
      <c r="D76">
        <v>379.85224199999999</v>
      </c>
    </row>
    <row r="77" spans="1:4" x14ac:dyDescent="0.25">
      <c r="A77" t="s">
        <v>424</v>
      </c>
      <c r="B77" s="3">
        <f t="shared" si="1"/>
        <v>37742</v>
      </c>
      <c r="C77">
        <v>453.42995200000001</v>
      </c>
      <c r="D77">
        <v>396.40645699999999</v>
      </c>
    </row>
    <row r="78" spans="1:4" x14ac:dyDescent="0.25">
      <c r="A78" t="s">
        <v>425</v>
      </c>
      <c r="B78" s="3">
        <f t="shared" si="1"/>
        <v>37773</v>
      </c>
      <c r="C78">
        <v>481.76416999999998</v>
      </c>
      <c r="D78">
        <v>395.906949</v>
      </c>
    </row>
    <row r="79" spans="1:4" x14ac:dyDescent="0.25">
      <c r="A79" t="s">
        <v>426</v>
      </c>
      <c r="B79" s="3">
        <f t="shared" si="1"/>
        <v>37803</v>
      </c>
      <c r="C79">
        <v>490.56626399999999</v>
      </c>
      <c r="D79">
        <v>401.72944899999999</v>
      </c>
    </row>
    <row r="80" spans="1:4" x14ac:dyDescent="0.25">
      <c r="A80" t="s">
        <v>427</v>
      </c>
      <c r="B80" s="3">
        <f t="shared" si="1"/>
        <v>37834</v>
      </c>
      <c r="C80">
        <v>501.40116999999998</v>
      </c>
      <c r="D80">
        <v>414.16278199999999</v>
      </c>
    </row>
    <row r="81" spans="1:4" x14ac:dyDescent="0.25">
      <c r="A81" t="s">
        <v>428</v>
      </c>
      <c r="B81" s="3">
        <f t="shared" si="1"/>
        <v>37865</v>
      </c>
      <c r="C81">
        <v>513.93189900000004</v>
      </c>
      <c r="D81">
        <v>424.92341699999997</v>
      </c>
    </row>
    <row r="82" spans="1:4" x14ac:dyDescent="0.25">
      <c r="A82" t="s">
        <v>429</v>
      </c>
      <c r="B82" s="3">
        <f t="shared" si="1"/>
        <v>37895</v>
      </c>
      <c r="C82">
        <v>517.59826499999997</v>
      </c>
      <c r="D82">
        <v>423.67713300000003</v>
      </c>
    </row>
    <row r="83" spans="1:4" x14ac:dyDescent="0.25">
      <c r="A83" t="s">
        <v>430</v>
      </c>
      <c r="B83" s="3">
        <f t="shared" si="1"/>
        <v>37926</v>
      </c>
      <c r="C83">
        <v>549.31843200000003</v>
      </c>
      <c r="D83">
        <v>437.952045</v>
      </c>
    </row>
    <row r="84" spans="1:4" x14ac:dyDescent="0.25">
      <c r="A84" t="s">
        <v>431</v>
      </c>
      <c r="B84" s="3">
        <f t="shared" si="1"/>
        <v>37956</v>
      </c>
      <c r="C84">
        <v>558.16411200000005</v>
      </c>
      <c r="D84">
        <v>428.613112</v>
      </c>
    </row>
    <row r="85" spans="1:4" x14ac:dyDescent="0.25">
      <c r="A85" t="s">
        <v>432</v>
      </c>
      <c r="B85" s="3">
        <f t="shared" si="1"/>
        <v>37987</v>
      </c>
      <c r="C85">
        <v>590.551287</v>
      </c>
      <c r="D85">
        <v>445.54745200000002</v>
      </c>
    </row>
    <row r="86" spans="1:4" x14ac:dyDescent="0.25">
      <c r="A86" t="s">
        <v>433</v>
      </c>
      <c r="B86" s="3">
        <f t="shared" si="1"/>
        <v>38018</v>
      </c>
      <c r="C86">
        <v>602.12515800000006</v>
      </c>
      <c r="D86">
        <v>441.16674499999999</v>
      </c>
    </row>
    <row r="87" spans="1:4" x14ac:dyDescent="0.25">
      <c r="A87" t="s">
        <v>434</v>
      </c>
      <c r="B87" s="3">
        <f t="shared" si="1"/>
        <v>38047</v>
      </c>
      <c r="C87">
        <v>613.194253</v>
      </c>
      <c r="D87">
        <v>455.74374999999998</v>
      </c>
    </row>
    <row r="88" spans="1:4" x14ac:dyDescent="0.25">
      <c r="A88" t="s">
        <v>435</v>
      </c>
      <c r="B88" s="3">
        <f t="shared" si="1"/>
        <v>38078</v>
      </c>
      <c r="C88">
        <v>611.92215799999997</v>
      </c>
      <c r="D88">
        <v>467.21541999999999</v>
      </c>
    </row>
    <row r="89" spans="1:4" x14ac:dyDescent="0.25">
      <c r="A89" t="s">
        <v>436</v>
      </c>
      <c r="B89" s="3">
        <f t="shared" si="1"/>
        <v>38108</v>
      </c>
      <c r="C89">
        <v>597.30290600000001</v>
      </c>
      <c r="D89">
        <v>464.64449200000001</v>
      </c>
    </row>
    <row r="90" spans="1:4" x14ac:dyDescent="0.25">
      <c r="A90" t="s">
        <v>437</v>
      </c>
      <c r="B90" s="3">
        <f t="shared" si="1"/>
        <v>38139</v>
      </c>
      <c r="C90">
        <v>602.76812500000005</v>
      </c>
      <c r="D90">
        <v>474.19775099999998</v>
      </c>
    </row>
    <row r="91" spans="1:4" x14ac:dyDescent="0.25">
      <c r="A91" t="s">
        <v>438</v>
      </c>
      <c r="B91" s="3">
        <f t="shared" si="1"/>
        <v>38169</v>
      </c>
      <c r="C91">
        <v>616.60845900000004</v>
      </c>
      <c r="D91">
        <v>485.52058799999998</v>
      </c>
    </row>
    <row r="92" spans="1:4" x14ac:dyDescent="0.25">
      <c r="A92" t="s">
        <v>439</v>
      </c>
      <c r="B92" s="3">
        <f t="shared" si="1"/>
        <v>38200</v>
      </c>
      <c r="C92">
        <v>595.14427599999999</v>
      </c>
      <c r="D92">
        <v>487.06471499999998</v>
      </c>
    </row>
    <row r="93" spans="1:4" x14ac:dyDescent="0.25">
      <c r="A93" t="s">
        <v>440</v>
      </c>
      <c r="B93" s="3">
        <f t="shared" si="1"/>
        <v>38231</v>
      </c>
      <c r="C93">
        <v>597.33135200000004</v>
      </c>
      <c r="D93">
        <v>493.48162400000001</v>
      </c>
    </row>
    <row r="94" spans="1:4" x14ac:dyDescent="0.25">
      <c r="A94" t="s">
        <v>441</v>
      </c>
      <c r="B94" s="3">
        <f t="shared" si="1"/>
        <v>38261</v>
      </c>
      <c r="C94">
        <v>609.98534900000004</v>
      </c>
      <c r="D94">
        <v>512.36401000000001</v>
      </c>
    </row>
    <row r="95" spans="1:4" x14ac:dyDescent="0.25">
      <c r="A95" t="s">
        <v>442</v>
      </c>
      <c r="B95" s="3">
        <f t="shared" si="1"/>
        <v>38292</v>
      </c>
      <c r="C95">
        <v>624.76145299999996</v>
      </c>
      <c r="D95">
        <v>528.98198500000001</v>
      </c>
    </row>
    <row r="96" spans="1:4" x14ac:dyDescent="0.25">
      <c r="A96" t="s">
        <v>443</v>
      </c>
      <c r="B96" s="3">
        <f t="shared" si="1"/>
        <v>38322</v>
      </c>
      <c r="C96">
        <v>658.97651699999994</v>
      </c>
      <c r="D96">
        <v>552.68751299999997</v>
      </c>
    </row>
    <row r="97" spans="1:6" x14ac:dyDescent="0.25">
      <c r="A97" t="s">
        <v>444</v>
      </c>
      <c r="B97" s="3">
        <f t="shared" si="1"/>
        <v>38353</v>
      </c>
      <c r="C97">
        <v>684.59750399999996</v>
      </c>
      <c r="D97">
        <v>569.48878100000002</v>
      </c>
    </row>
    <row r="98" spans="1:6" x14ac:dyDescent="0.25">
      <c r="A98" t="s">
        <v>445</v>
      </c>
      <c r="B98" s="3">
        <f t="shared" si="1"/>
        <v>38384</v>
      </c>
      <c r="C98">
        <v>670.03907500000003</v>
      </c>
      <c r="D98">
        <v>580.95268799999997</v>
      </c>
    </row>
    <row r="99" spans="1:6" x14ac:dyDescent="0.25">
      <c r="A99" t="s">
        <v>446</v>
      </c>
      <c r="B99" s="3">
        <f t="shared" si="1"/>
        <v>38412</v>
      </c>
      <c r="C99">
        <v>691.13903000000005</v>
      </c>
      <c r="D99">
        <v>595.55734399999994</v>
      </c>
    </row>
    <row r="100" spans="1:6" x14ac:dyDescent="0.25">
      <c r="A100" t="s">
        <v>447</v>
      </c>
      <c r="B100" s="3">
        <f t="shared" si="1"/>
        <v>38443</v>
      </c>
      <c r="C100">
        <v>677.689123</v>
      </c>
      <c r="D100">
        <v>588.82971399999997</v>
      </c>
    </row>
    <row r="101" spans="1:6" x14ac:dyDescent="0.25">
      <c r="A101" t="s">
        <v>448</v>
      </c>
      <c r="B101" s="3">
        <f t="shared" si="1"/>
        <v>38473</v>
      </c>
      <c r="C101">
        <v>661.56467899999996</v>
      </c>
      <c r="D101">
        <v>572.65475100000003</v>
      </c>
    </row>
    <row r="102" spans="1:6" x14ac:dyDescent="0.25">
      <c r="A102" t="s">
        <v>449</v>
      </c>
      <c r="B102" s="3">
        <f t="shared" si="1"/>
        <v>38504</v>
      </c>
      <c r="C102">
        <v>675.335868</v>
      </c>
      <c r="D102">
        <v>588.799443</v>
      </c>
    </row>
    <row r="103" spans="1:6" x14ac:dyDescent="0.25">
      <c r="A103" t="s">
        <v>450</v>
      </c>
      <c r="B103" s="3">
        <f t="shared" si="1"/>
        <v>38534</v>
      </c>
      <c r="C103">
        <v>683.308854</v>
      </c>
      <c r="D103">
        <v>619.34059000000002</v>
      </c>
    </row>
    <row r="104" spans="1:6" x14ac:dyDescent="0.25">
      <c r="A104" t="s">
        <v>451</v>
      </c>
      <c r="B104" s="3">
        <f t="shared" si="1"/>
        <v>38565</v>
      </c>
      <c r="C104">
        <v>708.72342200000003</v>
      </c>
      <c r="D104">
        <v>636.22614499999997</v>
      </c>
    </row>
    <row r="105" spans="1:6" x14ac:dyDescent="0.25">
      <c r="A105" t="s">
        <v>452</v>
      </c>
      <c r="B105" s="3">
        <f t="shared" si="1"/>
        <v>38596</v>
      </c>
      <c r="C105">
        <v>713.86385600000006</v>
      </c>
      <c r="D105">
        <v>651.01550699999996</v>
      </c>
    </row>
    <row r="106" spans="1:6" x14ac:dyDescent="0.25">
      <c r="A106" t="s">
        <v>453</v>
      </c>
      <c r="B106" s="3">
        <f t="shared" si="1"/>
        <v>38626</v>
      </c>
      <c r="C106">
        <v>731.66832699999998</v>
      </c>
      <c r="D106">
        <v>686.90116399999999</v>
      </c>
    </row>
    <row r="107" spans="1:6" x14ac:dyDescent="0.25">
      <c r="A107" t="s">
        <v>454</v>
      </c>
      <c r="B107" s="3">
        <f t="shared" si="1"/>
        <v>38657</v>
      </c>
      <c r="C107">
        <v>713.93244600000003</v>
      </c>
      <c r="D107">
        <v>659.29257500000006</v>
      </c>
    </row>
    <row r="108" spans="1:6" x14ac:dyDescent="0.25">
      <c r="A108" t="s">
        <v>455</v>
      </c>
      <c r="B108" s="3">
        <f t="shared" si="1"/>
        <v>38687</v>
      </c>
      <c r="C108">
        <v>737.88902800000005</v>
      </c>
      <c r="D108">
        <v>690.71817999999996</v>
      </c>
    </row>
    <row r="109" spans="1:6" x14ac:dyDescent="0.25">
      <c r="A109" t="s">
        <v>456</v>
      </c>
      <c r="B109" s="3">
        <f t="shared" si="1"/>
        <v>38718</v>
      </c>
      <c r="C109">
        <v>754.87961099999995</v>
      </c>
      <c r="D109">
        <v>712.95624699999996</v>
      </c>
      <c r="F109" s="3"/>
    </row>
    <row r="110" spans="1:6" x14ac:dyDescent="0.25">
      <c r="A110" t="s">
        <v>64</v>
      </c>
      <c r="B110" s="3">
        <f t="shared" si="1"/>
        <v>38749</v>
      </c>
      <c r="C110">
        <v>791.29907400000002</v>
      </c>
      <c r="D110">
        <v>739.35562500000003</v>
      </c>
    </row>
    <row r="111" spans="1:6" x14ac:dyDescent="0.25">
      <c r="A111" t="s">
        <v>65</v>
      </c>
      <c r="B111" s="3">
        <f t="shared" si="1"/>
        <v>38777</v>
      </c>
      <c r="C111">
        <v>789.79312600000003</v>
      </c>
      <c r="D111">
        <v>743.83735200000001</v>
      </c>
    </row>
    <row r="112" spans="1:6" x14ac:dyDescent="0.25">
      <c r="A112" t="s">
        <v>66</v>
      </c>
      <c r="B112" s="3">
        <f t="shared" si="1"/>
        <v>38808</v>
      </c>
      <c r="C112">
        <v>809.32011899999998</v>
      </c>
      <c r="D112">
        <v>780.24346800000001</v>
      </c>
      <c r="F112" s="3"/>
    </row>
    <row r="113" spans="1:6" x14ac:dyDescent="0.25">
      <c r="A113" t="s">
        <v>67</v>
      </c>
      <c r="B113" s="3">
        <f t="shared" si="1"/>
        <v>38838</v>
      </c>
      <c r="C113">
        <v>832.75785599999995</v>
      </c>
      <c r="D113">
        <v>800.31266500000004</v>
      </c>
    </row>
    <row r="114" spans="1:6" x14ac:dyDescent="0.25">
      <c r="A114" t="s">
        <v>68</v>
      </c>
      <c r="B114" s="3">
        <f t="shared" si="1"/>
        <v>38869</v>
      </c>
      <c r="C114">
        <v>803.43851500000005</v>
      </c>
      <c r="D114">
        <v>763.36238100000003</v>
      </c>
    </row>
    <row r="115" spans="1:6" x14ac:dyDescent="0.25">
      <c r="A115" t="s">
        <v>69</v>
      </c>
      <c r="B115" s="3">
        <f t="shared" si="1"/>
        <v>38899</v>
      </c>
      <c r="C115">
        <v>802.64573099999996</v>
      </c>
      <c r="D115">
        <v>780.02674300000001</v>
      </c>
      <c r="F115" s="3"/>
    </row>
    <row r="116" spans="1:6" x14ac:dyDescent="0.25">
      <c r="A116" t="s">
        <v>70</v>
      </c>
      <c r="B116" s="3">
        <f t="shared" si="1"/>
        <v>38930</v>
      </c>
      <c r="C116">
        <v>805.27560300000005</v>
      </c>
      <c r="D116">
        <v>766.24458300000003</v>
      </c>
    </row>
    <row r="117" spans="1:6" x14ac:dyDescent="0.25">
      <c r="A117" t="s">
        <v>71</v>
      </c>
      <c r="B117" s="3">
        <f t="shared" si="1"/>
        <v>38961</v>
      </c>
      <c r="C117">
        <v>826.06136200000003</v>
      </c>
      <c r="D117">
        <v>792.22571000000005</v>
      </c>
    </row>
    <row r="118" spans="1:6" x14ac:dyDescent="0.25">
      <c r="A118" t="s">
        <v>72</v>
      </c>
      <c r="B118" s="3">
        <f t="shared" si="1"/>
        <v>38991</v>
      </c>
      <c r="C118">
        <v>835.13401499999998</v>
      </c>
      <c r="D118">
        <v>801.24066600000003</v>
      </c>
      <c r="F118" s="3"/>
    </row>
    <row r="119" spans="1:6" x14ac:dyDescent="0.25">
      <c r="A119" t="s">
        <v>73</v>
      </c>
      <c r="B119" s="3">
        <f t="shared" si="1"/>
        <v>39022</v>
      </c>
      <c r="C119">
        <v>866.42879000000005</v>
      </c>
      <c r="D119">
        <v>837.47286199999996</v>
      </c>
    </row>
    <row r="120" spans="1:6" x14ac:dyDescent="0.25">
      <c r="A120" t="s">
        <v>74</v>
      </c>
      <c r="B120" s="3">
        <f t="shared" si="1"/>
        <v>39052</v>
      </c>
      <c r="C120">
        <v>889.05699800000002</v>
      </c>
      <c r="D120">
        <v>856.06237399999998</v>
      </c>
    </row>
    <row r="121" spans="1:6" x14ac:dyDescent="0.25">
      <c r="A121" t="s">
        <v>75</v>
      </c>
      <c r="B121" s="3">
        <f t="shared" si="1"/>
        <v>39083</v>
      </c>
      <c r="C121">
        <v>906.58022200000005</v>
      </c>
      <c r="D121">
        <v>885.32149100000004</v>
      </c>
    </row>
    <row r="122" spans="1:6" x14ac:dyDescent="0.25">
      <c r="A122" t="s">
        <v>76</v>
      </c>
      <c r="B122" s="3">
        <f t="shared" si="1"/>
        <v>39114</v>
      </c>
      <c r="C122">
        <v>918.27120000000002</v>
      </c>
      <c r="D122">
        <v>902.41136300000005</v>
      </c>
    </row>
    <row r="123" spans="1:6" x14ac:dyDescent="0.25">
      <c r="A123" t="s">
        <v>77</v>
      </c>
      <c r="B123" s="3">
        <f t="shared" si="1"/>
        <v>39142</v>
      </c>
      <c r="C123">
        <v>914.90818100000001</v>
      </c>
      <c r="D123">
        <v>916.61606400000005</v>
      </c>
    </row>
    <row r="124" spans="1:6" x14ac:dyDescent="0.25">
      <c r="A124" t="s">
        <v>78</v>
      </c>
      <c r="B124" s="3">
        <f t="shared" si="1"/>
        <v>39173</v>
      </c>
      <c r="C124">
        <v>932.09759399999996</v>
      </c>
      <c r="D124">
        <v>946.08734200000004</v>
      </c>
    </row>
    <row r="125" spans="1:6" x14ac:dyDescent="0.25">
      <c r="A125" t="s">
        <v>79</v>
      </c>
      <c r="B125" s="3">
        <f t="shared" si="1"/>
        <v>39203</v>
      </c>
      <c r="C125">
        <v>971.96099900000002</v>
      </c>
      <c r="D125">
        <v>975.14952900000003</v>
      </c>
    </row>
    <row r="126" spans="1:6" x14ac:dyDescent="0.25">
      <c r="A126" t="s">
        <v>80</v>
      </c>
      <c r="B126" s="3">
        <f t="shared" si="1"/>
        <v>39234</v>
      </c>
      <c r="C126">
        <v>1000</v>
      </c>
      <c r="D126">
        <v>1000</v>
      </c>
    </row>
    <row r="127" spans="1:6" x14ac:dyDescent="0.25">
      <c r="A127" t="s">
        <v>81</v>
      </c>
      <c r="B127" s="3">
        <f t="shared" si="1"/>
        <v>39264</v>
      </c>
      <c r="C127">
        <v>991.70582300000001</v>
      </c>
      <c r="D127">
        <v>1000.983113</v>
      </c>
    </row>
    <row r="128" spans="1:6" x14ac:dyDescent="0.25">
      <c r="A128" t="s">
        <v>82</v>
      </c>
      <c r="B128" s="3">
        <f t="shared" si="1"/>
        <v>39295</v>
      </c>
      <c r="C128">
        <v>968.58951500000001</v>
      </c>
      <c r="D128">
        <v>978.68189099999995</v>
      </c>
    </row>
    <row r="129" spans="1:4" x14ac:dyDescent="0.25">
      <c r="A129" t="s">
        <v>83</v>
      </c>
      <c r="B129" s="3">
        <f t="shared" si="1"/>
        <v>39326</v>
      </c>
      <c r="C129">
        <v>966.14903300000003</v>
      </c>
      <c r="D129">
        <v>1004.835473</v>
      </c>
    </row>
    <row r="130" spans="1:4" x14ac:dyDescent="0.25">
      <c r="A130" t="s">
        <v>84</v>
      </c>
      <c r="B130" s="3">
        <f t="shared" si="1"/>
        <v>39356</v>
      </c>
      <c r="C130">
        <v>1009.870131</v>
      </c>
      <c r="D130">
        <v>1061.067018</v>
      </c>
    </row>
    <row r="131" spans="1:4" x14ac:dyDescent="0.25">
      <c r="A131" t="s">
        <v>85</v>
      </c>
      <c r="B131" s="3">
        <f t="shared" ref="B131:B194" si="2">DATE(YEAR(A131),MONTH(A131)+1,1)</f>
        <v>39387</v>
      </c>
      <c r="C131">
        <v>1042.1508899999999</v>
      </c>
      <c r="D131">
        <v>1091.8532560000001</v>
      </c>
    </row>
    <row r="132" spans="1:4" x14ac:dyDescent="0.25">
      <c r="A132" t="s">
        <v>86</v>
      </c>
      <c r="B132" s="3">
        <f t="shared" si="2"/>
        <v>39417</v>
      </c>
      <c r="C132">
        <v>997.11917800000003</v>
      </c>
      <c r="D132">
        <v>1059.551391</v>
      </c>
    </row>
    <row r="133" spans="1:4" x14ac:dyDescent="0.25">
      <c r="A133" t="s">
        <v>87</v>
      </c>
      <c r="B133" s="3">
        <f t="shared" si="2"/>
        <v>39448</v>
      </c>
      <c r="C133">
        <v>983.50383399999998</v>
      </c>
      <c r="D133">
        <v>1030.119647</v>
      </c>
    </row>
    <row r="134" spans="1:4" x14ac:dyDescent="0.25">
      <c r="A134" t="s">
        <v>88</v>
      </c>
      <c r="B134" s="3">
        <f t="shared" si="2"/>
        <v>39479</v>
      </c>
      <c r="C134">
        <v>908.21018000000004</v>
      </c>
      <c r="D134">
        <v>917.29253800000004</v>
      </c>
    </row>
    <row r="135" spans="1:4" x14ac:dyDescent="0.25">
      <c r="A135" t="s">
        <v>89</v>
      </c>
      <c r="B135" s="3">
        <f t="shared" si="2"/>
        <v>39508</v>
      </c>
      <c r="C135">
        <v>904.24873600000001</v>
      </c>
      <c r="D135">
        <v>909.515897</v>
      </c>
    </row>
    <row r="136" spans="1:4" x14ac:dyDescent="0.25">
      <c r="A136" t="s">
        <v>90</v>
      </c>
      <c r="B136" s="3">
        <f t="shared" si="2"/>
        <v>39539</v>
      </c>
      <c r="C136">
        <v>894.99836200000004</v>
      </c>
      <c r="D136">
        <v>881.21372699999995</v>
      </c>
    </row>
    <row r="137" spans="1:4" x14ac:dyDescent="0.25">
      <c r="A137" t="s">
        <v>91</v>
      </c>
      <c r="B137" s="3">
        <f t="shared" si="2"/>
        <v>39569</v>
      </c>
      <c r="C137">
        <v>941.002206</v>
      </c>
      <c r="D137">
        <v>925.23994400000004</v>
      </c>
    </row>
    <row r="138" spans="1:4" x14ac:dyDescent="0.25">
      <c r="A138" t="s">
        <v>92</v>
      </c>
      <c r="B138" s="3">
        <f t="shared" si="2"/>
        <v>39600</v>
      </c>
      <c r="C138">
        <v>958.34058800000003</v>
      </c>
      <c r="D138">
        <v>937.70794799999999</v>
      </c>
    </row>
    <row r="139" spans="1:4" x14ac:dyDescent="0.25">
      <c r="A139" t="s">
        <v>93</v>
      </c>
      <c r="B139" s="3">
        <f t="shared" si="2"/>
        <v>39630</v>
      </c>
      <c r="C139">
        <v>881.79173700000001</v>
      </c>
      <c r="D139">
        <v>867.41146500000002</v>
      </c>
    </row>
    <row r="140" spans="1:4" x14ac:dyDescent="0.25">
      <c r="A140" t="s">
        <v>94</v>
      </c>
      <c r="B140" s="3">
        <f t="shared" si="2"/>
        <v>39661</v>
      </c>
      <c r="C140">
        <v>860.930924</v>
      </c>
      <c r="D140">
        <v>826.17445299999997</v>
      </c>
    </row>
    <row r="141" spans="1:4" x14ac:dyDescent="0.25">
      <c r="A141" t="s">
        <v>95</v>
      </c>
      <c r="B141" s="3">
        <f t="shared" si="2"/>
        <v>39692</v>
      </c>
      <c r="C141">
        <v>850.22364800000003</v>
      </c>
      <c r="D141">
        <v>862.53920200000005</v>
      </c>
    </row>
    <row r="142" spans="1:4" x14ac:dyDescent="0.25">
      <c r="A142" t="s">
        <v>96</v>
      </c>
      <c r="B142" s="3">
        <f t="shared" si="2"/>
        <v>39722</v>
      </c>
      <c r="C142">
        <v>747.65997700000003</v>
      </c>
      <c r="D142">
        <v>775.74397499999998</v>
      </c>
    </row>
    <row r="143" spans="1:4" x14ac:dyDescent="0.25">
      <c r="A143" t="s">
        <v>97</v>
      </c>
      <c r="B143" s="3">
        <f t="shared" si="2"/>
        <v>39753</v>
      </c>
      <c r="C143">
        <v>602.63365599999997</v>
      </c>
      <c r="D143">
        <v>678.90937199999996</v>
      </c>
    </row>
    <row r="144" spans="1:4" x14ac:dyDescent="0.25">
      <c r="A144" t="s">
        <v>98</v>
      </c>
      <c r="B144" s="3">
        <f t="shared" si="2"/>
        <v>39783</v>
      </c>
      <c r="C144">
        <v>562.23226099999999</v>
      </c>
      <c r="D144">
        <v>633.23523599999999</v>
      </c>
    </row>
    <row r="145" spans="1:4" x14ac:dyDescent="0.25">
      <c r="A145" t="s">
        <v>99</v>
      </c>
      <c r="B145" s="3">
        <f t="shared" si="2"/>
        <v>39814</v>
      </c>
      <c r="C145">
        <v>582.01081599999998</v>
      </c>
      <c r="D145">
        <v>630.66129899999999</v>
      </c>
    </row>
    <row r="146" spans="1:4" x14ac:dyDescent="0.25">
      <c r="A146" t="s">
        <v>100</v>
      </c>
      <c r="B146" s="3">
        <f t="shared" si="2"/>
        <v>39845</v>
      </c>
      <c r="C146">
        <v>531.75176799999997</v>
      </c>
      <c r="D146">
        <v>598.43572400000005</v>
      </c>
    </row>
    <row r="147" spans="1:4" x14ac:dyDescent="0.25">
      <c r="A147" t="s">
        <v>101</v>
      </c>
      <c r="B147" s="3">
        <f t="shared" si="2"/>
        <v>39873</v>
      </c>
      <c r="C147">
        <v>477.20596</v>
      </c>
      <c r="D147">
        <v>571.91131800000005</v>
      </c>
    </row>
    <row r="148" spans="1:4" x14ac:dyDescent="0.25">
      <c r="A148" t="s">
        <v>102</v>
      </c>
      <c r="B148" s="3">
        <f t="shared" si="2"/>
        <v>39904</v>
      </c>
      <c r="C148">
        <v>513.55423199999996</v>
      </c>
      <c r="D148">
        <v>621.64895000000001</v>
      </c>
    </row>
    <row r="149" spans="1:4" x14ac:dyDescent="0.25">
      <c r="A149" t="s">
        <v>103</v>
      </c>
      <c r="B149" s="3">
        <f t="shared" si="2"/>
        <v>39934</v>
      </c>
      <c r="C149">
        <v>574.22196699999995</v>
      </c>
      <c r="D149">
        <v>657.99675400000001</v>
      </c>
    </row>
    <row r="150" spans="1:4" x14ac:dyDescent="0.25">
      <c r="A150" t="s">
        <v>104</v>
      </c>
      <c r="B150" s="3">
        <f t="shared" si="2"/>
        <v>39965</v>
      </c>
      <c r="C150">
        <v>626.00798199999997</v>
      </c>
      <c r="D150">
        <v>667.46358999999995</v>
      </c>
    </row>
    <row r="151" spans="1:4" x14ac:dyDescent="0.25">
      <c r="A151" t="s">
        <v>105</v>
      </c>
      <c r="B151" s="3">
        <f t="shared" si="2"/>
        <v>39995</v>
      </c>
      <c r="C151">
        <v>624.35597900000005</v>
      </c>
      <c r="D151">
        <v>694.44244900000001</v>
      </c>
    </row>
    <row r="152" spans="1:4" x14ac:dyDescent="0.25">
      <c r="A152" t="s">
        <v>106</v>
      </c>
      <c r="B152" s="3">
        <f t="shared" si="2"/>
        <v>40026</v>
      </c>
      <c r="C152">
        <v>677.47592099999997</v>
      </c>
      <c r="D152">
        <v>746.74750600000004</v>
      </c>
    </row>
    <row r="153" spans="1:4" x14ac:dyDescent="0.25">
      <c r="A153" t="s">
        <v>107</v>
      </c>
      <c r="B153" s="3">
        <f t="shared" si="2"/>
        <v>40057</v>
      </c>
      <c r="C153">
        <v>707.04081299999996</v>
      </c>
      <c r="D153">
        <v>797.87444200000004</v>
      </c>
    </row>
    <row r="154" spans="1:4" x14ac:dyDescent="0.25">
      <c r="A154" t="s">
        <v>108</v>
      </c>
      <c r="B154" s="3">
        <f t="shared" si="2"/>
        <v>40087</v>
      </c>
      <c r="C154">
        <v>736.86332800000002</v>
      </c>
      <c r="D154">
        <v>849.38296100000002</v>
      </c>
    </row>
    <row r="155" spans="1:4" x14ac:dyDescent="0.25">
      <c r="A155" t="s">
        <v>109</v>
      </c>
      <c r="B155" s="3">
        <f t="shared" si="2"/>
        <v>40118</v>
      </c>
      <c r="C155">
        <v>721.77847399999996</v>
      </c>
      <c r="D155">
        <v>831.73330299999998</v>
      </c>
    </row>
    <row r="156" spans="1:4" x14ac:dyDescent="0.25">
      <c r="A156" t="s">
        <v>110</v>
      </c>
      <c r="B156" s="3">
        <f t="shared" si="2"/>
        <v>40148</v>
      </c>
      <c r="C156">
        <v>749.75539100000003</v>
      </c>
      <c r="D156">
        <v>846.90827100000001</v>
      </c>
    </row>
    <row r="157" spans="1:4" x14ac:dyDescent="0.25">
      <c r="A157" t="s">
        <v>111</v>
      </c>
      <c r="B157" s="3">
        <f t="shared" si="2"/>
        <v>40179</v>
      </c>
      <c r="C157">
        <v>765.74116200000003</v>
      </c>
      <c r="D157">
        <v>878.343298</v>
      </c>
    </row>
    <row r="158" spans="1:4" x14ac:dyDescent="0.25">
      <c r="A158" t="s">
        <v>112</v>
      </c>
      <c r="B158" s="3">
        <f t="shared" si="2"/>
        <v>40210</v>
      </c>
      <c r="C158">
        <v>735.72610499999996</v>
      </c>
      <c r="D158">
        <v>825.12266299999999</v>
      </c>
    </row>
    <row r="159" spans="1:4" x14ac:dyDescent="0.25">
      <c r="A159" t="s">
        <v>113</v>
      </c>
      <c r="B159" s="3">
        <f t="shared" si="2"/>
        <v>40238</v>
      </c>
      <c r="C159">
        <v>746.93843700000002</v>
      </c>
      <c r="D159">
        <v>844.79941899999994</v>
      </c>
    </row>
    <row r="160" spans="1:4" x14ac:dyDescent="0.25">
      <c r="A160" t="s">
        <v>114</v>
      </c>
      <c r="B160" s="3">
        <f t="shared" si="2"/>
        <v>40269</v>
      </c>
      <c r="C160">
        <v>794.63717599999995</v>
      </c>
      <c r="D160">
        <v>893.60148100000004</v>
      </c>
    </row>
    <row r="161" spans="1:4" x14ac:dyDescent="0.25">
      <c r="A161" t="s">
        <v>115</v>
      </c>
      <c r="B161" s="3">
        <f t="shared" si="2"/>
        <v>40299</v>
      </c>
      <c r="C161">
        <v>798.66063399999996</v>
      </c>
      <c r="D161">
        <v>878.31767300000001</v>
      </c>
    </row>
    <row r="162" spans="1:4" x14ac:dyDescent="0.25">
      <c r="A162" t="s">
        <v>116</v>
      </c>
      <c r="B162" s="3">
        <f t="shared" si="2"/>
        <v>40330</v>
      </c>
      <c r="C162">
        <v>722.13463200000001</v>
      </c>
      <c r="D162">
        <v>810.3655</v>
      </c>
    </row>
    <row r="163" spans="1:4" x14ac:dyDescent="0.25">
      <c r="A163" t="s">
        <v>117</v>
      </c>
      <c r="B163" s="3">
        <f t="shared" si="2"/>
        <v>40360</v>
      </c>
      <c r="C163">
        <v>696.18017999999995</v>
      </c>
      <c r="D163">
        <v>786.77036999999996</v>
      </c>
    </row>
    <row r="164" spans="1:4" x14ac:dyDescent="0.25">
      <c r="A164" t="s">
        <v>118</v>
      </c>
      <c r="B164" s="3">
        <f t="shared" si="2"/>
        <v>40391</v>
      </c>
      <c r="C164">
        <v>752.30474800000002</v>
      </c>
      <c r="D164">
        <v>823.47481000000005</v>
      </c>
    </row>
    <row r="165" spans="1:4" x14ac:dyDescent="0.25">
      <c r="A165" t="s">
        <v>119</v>
      </c>
      <c r="B165" s="3">
        <f t="shared" si="2"/>
        <v>40422</v>
      </c>
      <c r="C165">
        <v>723.35562900000002</v>
      </c>
      <c r="D165">
        <v>815.33957699999996</v>
      </c>
    </row>
    <row r="166" spans="1:4" x14ac:dyDescent="0.25">
      <c r="A166" t="s">
        <v>120</v>
      </c>
      <c r="B166" s="3">
        <f t="shared" si="2"/>
        <v>40452</v>
      </c>
      <c r="C166">
        <v>792.86985700000002</v>
      </c>
      <c r="D166">
        <v>855.92990299999997</v>
      </c>
    </row>
    <row r="167" spans="1:4" x14ac:dyDescent="0.25">
      <c r="A167" t="s">
        <v>121</v>
      </c>
      <c r="B167" s="3">
        <f t="shared" si="2"/>
        <v>40483</v>
      </c>
      <c r="C167">
        <v>822.66059399999995</v>
      </c>
      <c r="D167">
        <v>871.68818999999996</v>
      </c>
    </row>
    <row r="168" spans="1:4" x14ac:dyDescent="0.25">
      <c r="A168" t="s">
        <v>122</v>
      </c>
      <c r="B168" s="3">
        <f t="shared" si="2"/>
        <v>40513</v>
      </c>
      <c r="C168">
        <v>807.79310999999996</v>
      </c>
      <c r="D168">
        <v>861.36674900000003</v>
      </c>
    </row>
    <row r="169" spans="1:4" x14ac:dyDescent="0.25">
      <c r="A169" t="s">
        <v>123</v>
      </c>
      <c r="B169" s="3">
        <f t="shared" si="2"/>
        <v>40544</v>
      </c>
      <c r="C169">
        <v>869.423677</v>
      </c>
      <c r="D169">
        <v>894.74693600000001</v>
      </c>
    </row>
    <row r="170" spans="1:4" x14ac:dyDescent="0.25">
      <c r="A170" t="s">
        <v>124</v>
      </c>
      <c r="B170" s="3">
        <f t="shared" si="2"/>
        <v>40575</v>
      </c>
      <c r="C170">
        <v>887.43276300000002</v>
      </c>
      <c r="D170">
        <v>896.15149699999995</v>
      </c>
    </row>
    <row r="171" spans="1:4" x14ac:dyDescent="0.25">
      <c r="A171" t="s">
        <v>125</v>
      </c>
      <c r="B171" s="3">
        <f t="shared" si="2"/>
        <v>40603</v>
      </c>
      <c r="C171">
        <v>919.16656599999999</v>
      </c>
      <c r="D171">
        <v>917.41523800000004</v>
      </c>
    </row>
    <row r="172" spans="1:4" x14ac:dyDescent="0.25">
      <c r="A172" t="s">
        <v>126</v>
      </c>
      <c r="B172" s="3">
        <f t="shared" si="2"/>
        <v>40634</v>
      </c>
      <c r="C172">
        <v>912.83803799999998</v>
      </c>
      <c r="D172">
        <v>924.58628799999997</v>
      </c>
    </row>
    <row r="173" spans="1:4" x14ac:dyDescent="0.25">
      <c r="A173" t="s">
        <v>127</v>
      </c>
      <c r="B173" s="3">
        <f t="shared" si="2"/>
        <v>40664</v>
      </c>
      <c r="C173">
        <v>951.03076599999997</v>
      </c>
      <c r="D173">
        <v>921.430026</v>
      </c>
    </row>
    <row r="174" spans="1:4" x14ac:dyDescent="0.25">
      <c r="A174" t="s">
        <v>128</v>
      </c>
      <c r="B174" s="3">
        <f t="shared" si="2"/>
        <v>40695</v>
      </c>
      <c r="C174">
        <v>931.32413899999995</v>
      </c>
      <c r="D174">
        <v>901.03274399999998</v>
      </c>
    </row>
    <row r="175" spans="1:4" x14ac:dyDescent="0.25">
      <c r="A175" t="s">
        <v>129</v>
      </c>
      <c r="B175" s="3">
        <f t="shared" si="2"/>
        <v>40725</v>
      </c>
      <c r="C175">
        <v>915.80493999999999</v>
      </c>
      <c r="D175">
        <v>884.12823400000002</v>
      </c>
    </row>
    <row r="176" spans="1:4" x14ac:dyDescent="0.25">
      <c r="A176" t="s">
        <v>130</v>
      </c>
      <c r="B176" s="3">
        <f t="shared" si="2"/>
        <v>40756</v>
      </c>
      <c r="C176">
        <v>898.54166099999998</v>
      </c>
      <c r="D176">
        <v>847.32953399999997</v>
      </c>
    </row>
    <row r="177" spans="1:4" x14ac:dyDescent="0.25">
      <c r="A177" t="s">
        <v>131</v>
      </c>
      <c r="B177" s="3">
        <f t="shared" si="2"/>
        <v>40787</v>
      </c>
      <c r="C177">
        <v>833.72213099999999</v>
      </c>
      <c r="D177">
        <v>829.35161300000004</v>
      </c>
    </row>
    <row r="178" spans="1:4" x14ac:dyDescent="0.25">
      <c r="A178" t="s">
        <v>132</v>
      </c>
      <c r="B178" s="3">
        <f t="shared" si="2"/>
        <v>40817</v>
      </c>
      <c r="C178">
        <v>758.748516</v>
      </c>
      <c r="D178">
        <v>776.26675599999999</v>
      </c>
    </row>
    <row r="179" spans="1:4" x14ac:dyDescent="0.25">
      <c r="A179" t="s">
        <v>133</v>
      </c>
      <c r="B179" s="3">
        <f t="shared" si="2"/>
        <v>40848</v>
      </c>
      <c r="C179">
        <v>838.72975299999996</v>
      </c>
      <c r="D179">
        <v>834.08701799999994</v>
      </c>
    </row>
    <row r="180" spans="1:4" x14ac:dyDescent="0.25">
      <c r="A180" t="s">
        <v>134</v>
      </c>
      <c r="B180" s="3">
        <f t="shared" si="2"/>
        <v>40878</v>
      </c>
      <c r="C180">
        <v>818.29438200000004</v>
      </c>
      <c r="D180">
        <v>803.72623199999998</v>
      </c>
    </row>
    <row r="181" spans="1:4" x14ac:dyDescent="0.25">
      <c r="A181" t="s">
        <v>135</v>
      </c>
      <c r="B181" s="3">
        <f t="shared" si="2"/>
        <v>40909</v>
      </c>
      <c r="C181">
        <v>816.97540400000003</v>
      </c>
      <c r="D181">
        <v>790.49635000000001</v>
      </c>
    </row>
    <row r="182" spans="1:4" x14ac:dyDescent="0.25">
      <c r="A182" t="s">
        <v>136</v>
      </c>
      <c r="B182" s="3">
        <f t="shared" si="2"/>
        <v>40940</v>
      </c>
      <c r="C182">
        <v>860.75132900000006</v>
      </c>
      <c r="D182">
        <v>832.33436900000004</v>
      </c>
    </row>
    <row r="183" spans="1:4" x14ac:dyDescent="0.25">
      <c r="A183" t="s">
        <v>137</v>
      </c>
      <c r="B183" s="3">
        <f t="shared" si="2"/>
        <v>40969</v>
      </c>
      <c r="C183">
        <v>902.40033100000005</v>
      </c>
      <c r="D183">
        <v>848.33347300000003</v>
      </c>
    </row>
    <row r="184" spans="1:4" x14ac:dyDescent="0.25">
      <c r="A184" t="s">
        <v>138</v>
      </c>
      <c r="B184" s="3">
        <f t="shared" si="2"/>
        <v>41000</v>
      </c>
      <c r="C184">
        <v>913.58723299999997</v>
      </c>
      <c r="D184">
        <v>858.531702</v>
      </c>
    </row>
    <row r="185" spans="1:4" x14ac:dyDescent="0.25">
      <c r="A185" t="s">
        <v>139</v>
      </c>
      <c r="B185" s="3">
        <f t="shared" si="2"/>
        <v>41030</v>
      </c>
      <c r="C185">
        <v>903.73513700000001</v>
      </c>
      <c r="D185">
        <v>869.04784099999995</v>
      </c>
    </row>
    <row r="186" spans="1:4" x14ac:dyDescent="0.25">
      <c r="A186" t="s">
        <v>140</v>
      </c>
      <c r="B186" s="3">
        <f t="shared" si="2"/>
        <v>41061</v>
      </c>
      <c r="C186">
        <v>825.36333999999999</v>
      </c>
      <c r="D186">
        <v>808.81192899999996</v>
      </c>
    </row>
    <row r="187" spans="1:4" x14ac:dyDescent="0.25">
      <c r="A187" t="s">
        <v>141</v>
      </c>
      <c r="B187" s="3">
        <f t="shared" si="2"/>
        <v>41091</v>
      </c>
      <c r="C187">
        <v>865.80589099999997</v>
      </c>
      <c r="D187">
        <v>813.09506399999998</v>
      </c>
    </row>
    <row r="188" spans="1:4" x14ac:dyDescent="0.25">
      <c r="A188" t="s">
        <v>142</v>
      </c>
      <c r="B188" s="3">
        <f t="shared" si="2"/>
        <v>41122</v>
      </c>
      <c r="C188">
        <v>875.33399299999996</v>
      </c>
      <c r="D188">
        <v>846.55208700000003</v>
      </c>
    </row>
    <row r="189" spans="1:4" x14ac:dyDescent="0.25">
      <c r="A189" t="s">
        <v>143</v>
      </c>
      <c r="B189" s="3">
        <f t="shared" si="2"/>
        <v>41153</v>
      </c>
      <c r="C189">
        <v>898.356583</v>
      </c>
      <c r="D189">
        <v>864.26377200000002</v>
      </c>
    </row>
    <row r="190" spans="1:4" x14ac:dyDescent="0.25">
      <c r="A190" t="s">
        <v>144</v>
      </c>
      <c r="B190" s="3">
        <f t="shared" si="2"/>
        <v>41183</v>
      </c>
      <c r="C190">
        <v>923.89950299999998</v>
      </c>
      <c r="D190">
        <v>883.33647499999995</v>
      </c>
    </row>
    <row r="191" spans="1:4" x14ac:dyDescent="0.25">
      <c r="A191" t="s">
        <v>145</v>
      </c>
      <c r="B191" s="3">
        <f t="shared" si="2"/>
        <v>41214</v>
      </c>
      <c r="C191">
        <v>917.76942299999996</v>
      </c>
      <c r="D191">
        <v>909.15834099999995</v>
      </c>
    </row>
    <row r="192" spans="1:4" x14ac:dyDescent="0.25">
      <c r="A192" t="s">
        <v>146</v>
      </c>
      <c r="B192" s="3">
        <f t="shared" si="2"/>
        <v>41244</v>
      </c>
      <c r="C192">
        <v>929.165569</v>
      </c>
      <c r="D192">
        <v>912.10675700000002</v>
      </c>
    </row>
    <row r="193" spans="1:4" x14ac:dyDescent="0.25">
      <c r="A193" t="s">
        <v>147</v>
      </c>
      <c r="B193" s="3">
        <f t="shared" si="2"/>
        <v>41275</v>
      </c>
      <c r="C193">
        <v>948.15110700000002</v>
      </c>
      <c r="D193">
        <v>943.69728799999996</v>
      </c>
    </row>
    <row r="194" spans="1:4" x14ac:dyDescent="0.25">
      <c r="A194" t="s">
        <v>148</v>
      </c>
      <c r="B194" s="3">
        <f t="shared" si="2"/>
        <v>41306</v>
      </c>
      <c r="C194">
        <v>997.35141499999997</v>
      </c>
      <c r="D194">
        <v>990.70101599999998</v>
      </c>
    </row>
    <row r="195" spans="1:4" x14ac:dyDescent="0.25">
      <c r="A195" t="s">
        <v>149</v>
      </c>
      <c r="B195" s="3">
        <f t="shared" ref="B195:B258" si="3">DATE(YEAR(A195),MONTH(A195)+1,1)</f>
        <v>41334</v>
      </c>
      <c r="C195">
        <v>999.84499500000004</v>
      </c>
      <c r="D195">
        <v>1045.6892989999999</v>
      </c>
    </row>
    <row r="196" spans="1:4" x14ac:dyDescent="0.25">
      <c r="A196" t="s">
        <v>150</v>
      </c>
      <c r="B196" s="3">
        <f t="shared" si="3"/>
        <v>41365</v>
      </c>
      <c r="C196">
        <v>1024.705295</v>
      </c>
      <c r="D196">
        <v>1021.5672520000001</v>
      </c>
    </row>
    <row r="197" spans="1:4" x14ac:dyDescent="0.25">
      <c r="A197" t="s">
        <v>151</v>
      </c>
      <c r="B197" s="3">
        <f t="shared" si="3"/>
        <v>41395</v>
      </c>
      <c r="C197">
        <v>1054.361656</v>
      </c>
      <c r="D197">
        <v>1064.8594909999999</v>
      </c>
    </row>
    <row r="198" spans="1:4" x14ac:dyDescent="0.25">
      <c r="A198" t="s">
        <v>152</v>
      </c>
      <c r="B198" s="3">
        <f t="shared" si="3"/>
        <v>41426</v>
      </c>
      <c r="C198">
        <v>1056.115992</v>
      </c>
      <c r="D198">
        <v>1013.127438</v>
      </c>
    </row>
    <row r="199" spans="1:4" x14ac:dyDescent="0.25">
      <c r="A199" t="s">
        <v>153</v>
      </c>
      <c r="B199" s="3">
        <f t="shared" si="3"/>
        <v>41456</v>
      </c>
      <c r="C199">
        <v>1030.5183939999999</v>
      </c>
      <c r="D199">
        <v>988.35138400000005</v>
      </c>
    </row>
    <row r="200" spans="1:4" x14ac:dyDescent="0.25">
      <c r="A200" t="s">
        <v>154</v>
      </c>
      <c r="B200" s="3">
        <f t="shared" si="3"/>
        <v>41487</v>
      </c>
      <c r="C200">
        <v>1086.3616199999999</v>
      </c>
      <c r="D200">
        <v>1040.0141149999999</v>
      </c>
    </row>
    <row r="201" spans="1:4" x14ac:dyDescent="0.25">
      <c r="A201" t="s">
        <v>155</v>
      </c>
      <c r="B201" s="3">
        <f t="shared" si="3"/>
        <v>41518</v>
      </c>
      <c r="C201">
        <v>1063.5324410000001</v>
      </c>
      <c r="D201">
        <v>1065.3797830000001</v>
      </c>
    </row>
    <row r="202" spans="1:4" x14ac:dyDescent="0.25">
      <c r="A202" t="s">
        <v>156</v>
      </c>
      <c r="B202" s="3">
        <f t="shared" si="3"/>
        <v>41548</v>
      </c>
      <c r="C202">
        <v>1119.437079</v>
      </c>
      <c r="D202">
        <v>1088.458187</v>
      </c>
    </row>
    <row r="203" spans="1:4" x14ac:dyDescent="0.25">
      <c r="A203" t="s">
        <v>157</v>
      </c>
      <c r="B203" s="3">
        <f t="shared" si="3"/>
        <v>41579</v>
      </c>
      <c r="C203">
        <v>1161.9863210000001</v>
      </c>
      <c r="D203">
        <v>1132.4048290000001</v>
      </c>
    </row>
    <row r="204" spans="1:4" x14ac:dyDescent="0.25">
      <c r="A204" t="s">
        <v>158</v>
      </c>
      <c r="B204" s="3">
        <f t="shared" si="3"/>
        <v>41609</v>
      </c>
      <c r="C204">
        <v>1182.692513</v>
      </c>
      <c r="D204">
        <v>1117.8321410000001</v>
      </c>
    </row>
    <row r="205" spans="1:4" x14ac:dyDescent="0.25">
      <c r="A205" t="s">
        <v>159</v>
      </c>
      <c r="B205" s="3">
        <f t="shared" si="3"/>
        <v>41640</v>
      </c>
      <c r="C205">
        <v>1208.107446</v>
      </c>
      <c r="D205">
        <v>1124.7671330000001</v>
      </c>
    </row>
    <row r="206" spans="1:4" x14ac:dyDescent="0.25">
      <c r="A206" t="s">
        <v>160</v>
      </c>
      <c r="B206" s="3">
        <f t="shared" si="3"/>
        <v>41671</v>
      </c>
      <c r="C206">
        <v>1166.364677</v>
      </c>
      <c r="D206">
        <v>1090.6775709999999</v>
      </c>
    </row>
    <row r="207" spans="1:4" x14ac:dyDescent="0.25">
      <c r="A207" t="s">
        <v>161</v>
      </c>
      <c r="B207" s="3">
        <f t="shared" si="3"/>
        <v>41699</v>
      </c>
      <c r="C207">
        <v>1225.1595030000001</v>
      </c>
      <c r="D207">
        <v>1146.1314159999999</v>
      </c>
    </row>
    <row r="208" spans="1:4" x14ac:dyDescent="0.25">
      <c r="A208" t="s">
        <v>162</v>
      </c>
      <c r="B208" s="3">
        <f t="shared" si="3"/>
        <v>41730</v>
      </c>
      <c r="C208">
        <v>1225.920044</v>
      </c>
      <c r="D208">
        <v>1149.5383919999999</v>
      </c>
    </row>
    <row r="209" spans="1:4" x14ac:dyDescent="0.25">
      <c r="A209" t="s">
        <v>163</v>
      </c>
      <c r="B209" s="3">
        <f t="shared" si="3"/>
        <v>41760</v>
      </c>
      <c r="C209">
        <v>1233.94615</v>
      </c>
      <c r="D209">
        <v>1169.1929600000001</v>
      </c>
    </row>
    <row r="210" spans="1:4" x14ac:dyDescent="0.25">
      <c r="A210" t="s">
        <v>164</v>
      </c>
      <c r="B210" s="3">
        <f t="shared" si="3"/>
        <v>41791</v>
      </c>
      <c r="C210">
        <v>1256.811226</v>
      </c>
      <c r="D210">
        <v>1175.800176</v>
      </c>
    </row>
    <row r="211" spans="1:4" x14ac:dyDescent="0.25">
      <c r="A211" t="s">
        <v>165</v>
      </c>
      <c r="B211" s="3">
        <f t="shared" si="3"/>
        <v>41821</v>
      </c>
      <c r="C211">
        <v>1282.9430809999999</v>
      </c>
      <c r="D211">
        <v>1158.3053090000001</v>
      </c>
    </row>
    <row r="212" spans="1:4" x14ac:dyDescent="0.25">
      <c r="A212" t="s">
        <v>166</v>
      </c>
      <c r="B212" s="3">
        <f t="shared" si="3"/>
        <v>41852</v>
      </c>
      <c r="C212">
        <v>1258.1219189999999</v>
      </c>
      <c r="D212">
        <v>1210.442202</v>
      </c>
    </row>
    <row r="213" spans="1:4" x14ac:dyDescent="0.25">
      <c r="A213" t="s">
        <v>167</v>
      </c>
      <c r="B213" s="3">
        <f t="shared" si="3"/>
        <v>41883</v>
      </c>
      <c r="C213">
        <v>1287.3417750000001</v>
      </c>
      <c r="D213">
        <v>1216.533979</v>
      </c>
    </row>
    <row r="214" spans="1:4" x14ac:dyDescent="0.25">
      <c r="A214" t="s">
        <v>168</v>
      </c>
      <c r="B214" s="3">
        <f t="shared" si="3"/>
        <v>41913</v>
      </c>
      <c r="C214">
        <v>1247.292238</v>
      </c>
      <c r="D214">
        <v>1150.6246120000001</v>
      </c>
    </row>
    <row r="215" spans="1:4" x14ac:dyDescent="0.25">
      <c r="A215" t="s">
        <v>169</v>
      </c>
      <c r="B215" s="3">
        <f t="shared" si="3"/>
        <v>41944</v>
      </c>
      <c r="C215">
        <v>1257.1149820000001</v>
      </c>
      <c r="D215">
        <v>1200.80934</v>
      </c>
    </row>
    <row r="216" spans="1:4" x14ac:dyDescent="0.25">
      <c r="A216" t="s">
        <v>170</v>
      </c>
      <c r="B216" s="3">
        <f t="shared" si="3"/>
        <v>41974</v>
      </c>
      <c r="C216">
        <v>1279.6631170000001</v>
      </c>
      <c r="D216">
        <v>1158.7389129999999</v>
      </c>
    </row>
    <row r="217" spans="1:4" x14ac:dyDescent="0.25">
      <c r="A217" t="s">
        <v>171</v>
      </c>
      <c r="B217" s="3">
        <f t="shared" si="3"/>
        <v>42005</v>
      </c>
      <c r="C217">
        <v>1262.6926370000001</v>
      </c>
      <c r="D217">
        <v>1181.3296580000001</v>
      </c>
    </row>
    <row r="218" spans="1:4" x14ac:dyDescent="0.25">
      <c r="A218" t="s">
        <v>172</v>
      </c>
      <c r="B218" s="3">
        <f t="shared" si="3"/>
        <v>42036</v>
      </c>
      <c r="C218">
        <v>1239.8204470000001</v>
      </c>
      <c r="D218">
        <v>1216.3028099999999</v>
      </c>
    </row>
    <row r="219" spans="1:4" x14ac:dyDescent="0.25">
      <c r="A219" t="s">
        <v>173</v>
      </c>
      <c r="B219" s="3">
        <f t="shared" si="3"/>
        <v>42064</v>
      </c>
      <c r="C219">
        <v>1312.9645479999999</v>
      </c>
      <c r="D219">
        <v>1303.8206479999999</v>
      </c>
    </row>
    <row r="220" spans="1:4" x14ac:dyDescent="0.25">
      <c r="A220" t="s">
        <v>174</v>
      </c>
      <c r="B220" s="3">
        <f t="shared" si="3"/>
        <v>42095</v>
      </c>
      <c r="C220">
        <v>1295.5072580000001</v>
      </c>
      <c r="D220">
        <v>1301.9298140000001</v>
      </c>
    </row>
    <row r="221" spans="1:4" x14ac:dyDescent="0.25">
      <c r="A221" t="s">
        <v>175</v>
      </c>
      <c r="B221" s="3">
        <f t="shared" si="3"/>
        <v>42125</v>
      </c>
      <c r="C221">
        <v>1323.3910330000001</v>
      </c>
      <c r="D221">
        <v>1278.5228079999999</v>
      </c>
    </row>
    <row r="222" spans="1:4" x14ac:dyDescent="0.25">
      <c r="A222" t="s">
        <v>176</v>
      </c>
      <c r="B222" s="3">
        <f t="shared" si="3"/>
        <v>42156</v>
      </c>
      <c r="C222">
        <v>1329.9075350000001</v>
      </c>
      <c r="D222">
        <v>1284.440351</v>
      </c>
    </row>
    <row r="223" spans="1:4" x14ac:dyDescent="0.25">
      <c r="A223" t="s">
        <v>177</v>
      </c>
      <c r="B223" s="3">
        <f t="shared" si="3"/>
        <v>42186</v>
      </c>
      <c r="C223">
        <v>1301.506973</v>
      </c>
      <c r="D223">
        <v>1215.1659059999999</v>
      </c>
    </row>
    <row r="224" spans="1:4" x14ac:dyDescent="0.25">
      <c r="A224" t="s">
        <v>178</v>
      </c>
      <c r="B224" s="3">
        <f t="shared" si="3"/>
        <v>42217</v>
      </c>
      <c r="C224">
        <v>1320.921155</v>
      </c>
      <c r="D224">
        <v>1266.3947559999999</v>
      </c>
    </row>
    <row r="225" spans="1:4" x14ac:dyDescent="0.25">
      <c r="A225" t="s">
        <v>179</v>
      </c>
      <c r="B225" s="3">
        <f t="shared" si="3"/>
        <v>42248</v>
      </c>
      <c r="C225">
        <v>1235.829283</v>
      </c>
      <c r="D225">
        <v>1168.419913</v>
      </c>
    </row>
    <row r="226" spans="1:4" x14ac:dyDescent="0.25">
      <c r="A226" t="s">
        <v>180</v>
      </c>
      <c r="B226" s="3">
        <f t="shared" si="3"/>
        <v>42278</v>
      </c>
      <c r="C226">
        <v>1189.2854910000001</v>
      </c>
      <c r="D226">
        <v>1131.230902</v>
      </c>
    </row>
    <row r="227" spans="1:4" x14ac:dyDescent="0.25">
      <c r="A227" t="s">
        <v>181</v>
      </c>
      <c r="B227" s="3">
        <f t="shared" si="3"/>
        <v>42309</v>
      </c>
      <c r="C227">
        <v>1280.0525500000001</v>
      </c>
      <c r="D227">
        <v>1182.3183509999999</v>
      </c>
    </row>
    <row r="228" spans="1:4" x14ac:dyDescent="0.25">
      <c r="A228" t="s">
        <v>182</v>
      </c>
      <c r="B228" s="3">
        <f t="shared" si="3"/>
        <v>42339</v>
      </c>
      <c r="C228">
        <v>1276.396923</v>
      </c>
      <c r="D228">
        <v>1173.1806200000001</v>
      </c>
    </row>
    <row r="229" spans="1:4" x14ac:dyDescent="0.25">
      <c r="A229" t="s">
        <v>183</v>
      </c>
      <c r="B229" s="3">
        <f t="shared" si="3"/>
        <v>42370</v>
      </c>
      <c r="C229">
        <v>1252.64913</v>
      </c>
      <c r="D229">
        <v>1204.1584660000001</v>
      </c>
    </row>
    <row r="230" spans="1:4" x14ac:dyDescent="0.25">
      <c r="A230" t="s">
        <v>184</v>
      </c>
      <c r="B230" s="3">
        <f t="shared" si="3"/>
        <v>42401</v>
      </c>
      <c r="C230">
        <v>1174.7232409999999</v>
      </c>
      <c r="D230">
        <v>1135.118189</v>
      </c>
    </row>
    <row r="231" spans="1:4" x14ac:dyDescent="0.25">
      <c r="A231" t="s">
        <v>185</v>
      </c>
      <c r="B231" s="3">
        <f t="shared" si="3"/>
        <v>42430</v>
      </c>
      <c r="C231">
        <v>1168.1742529999999</v>
      </c>
      <c r="D231">
        <v>1117.995437</v>
      </c>
    </row>
    <row r="232" spans="1:4" x14ac:dyDescent="0.25">
      <c r="A232" t="s">
        <v>186</v>
      </c>
      <c r="B232" s="3">
        <f t="shared" si="3"/>
        <v>42461</v>
      </c>
      <c r="C232">
        <v>1249.9268750000001</v>
      </c>
      <c r="D232">
        <v>1171.1690430000001</v>
      </c>
    </row>
    <row r="233" spans="1:4" x14ac:dyDescent="0.25">
      <c r="A233" t="s">
        <v>187</v>
      </c>
      <c r="B233" s="3">
        <f t="shared" si="3"/>
        <v>42491</v>
      </c>
      <c r="C233">
        <v>1270.9766320000001</v>
      </c>
      <c r="D233">
        <v>1213.2496169999999</v>
      </c>
    </row>
    <row r="234" spans="1:4" x14ac:dyDescent="0.25">
      <c r="A234" t="s">
        <v>188</v>
      </c>
      <c r="B234" s="3">
        <f t="shared" si="3"/>
        <v>42522</v>
      </c>
      <c r="C234">
        <v>1279.197525</v>
      </c>
      <c r="D234">
        <v>1248.5950009999999</v>
      </c>
    </row>
    <row r="235" spans="1:4" x14ac:dyDescent="0.25">
      <c r="A235" t="s">
        <v>189</v>
      </c>
      <c r="B235" s="3">
        <f t="shared" si="3"/>
        <v>42552</v>
      </c>
      <c r="C235">
        <v>1263.5195100000001</v>
      </c>
      <c r="D235">
        <v>1218.479752</v>
      </c>
    </row>
    <row r="236" spans="1:4" x14ac:dyDescent="0.25">
      <c r="A236" t="s">
        <v>190</v>
      </c>
      <c r="B236" s="3">
        <f t="shared" si="3"/>
        <v>42583</v>
      </c>
      <c r="C236">
        <v>1319.082611</v>
      </c>
      <c r="D236">
        <v>1295.1543349999999</v>
      </c>
    </row>
    <row r="237" spans="1:4" x14ac:dyDescent="0.25">
      <c r="A237" t="s">
        <v>191</v>
      </c>
      <c r="B237" s="3">
        <f t="shared" si="3"/>
        <v>42614</v>
      </c>
      <c r="C237">
        <v>1320.2884340000001</v>
      </c>
      <c r="D237">
        <v>1276.4174029999999</v>
      </c>
    </row>
    <row r="238" spans="1:4" x14ac:dyDescent="0.25">
      <c r="A238" t="s">
        <v>192</v>
      </c>
      <c r="B238" s="3">
        <f t="shared" si="3"/>
        <v>42644</v>
      </c>
      <c r="C238">
        <v>1329.025858</v>
      </c>
      <c r="D238">
        <v>1284.47801</v>
      </c>
    </row>
    <row r="239" spans="1:4" x14ac:dyDescent="0.25">
      <c r="A239" t="s">
        <v>193</v>
      </c>
      <c r="B239" s="3">
        <f t="shared" si="3"/>
        <v>42675</v>
      </c>
      <c r="C239">
        <v>1300.128228</v>
      </c>
      <c r="D239">
        <v>1259.1495629999999</v>
      </c>
    </row>
    <row r="240" spans="1:4" x14ac:dyDescent="0.25">
      <c r="A240" t="s">
        <v>194</v>
      </c>
      <c r="B240" s="3">
        <f t="shared" si="3"/>
        <v>42705</v>
      </c>
      <c r="C240">
        <v>1323.644141</v>
      </c>
      <c r="D240">
        <v>1297.1031390000001</v>
      </c>
    </row>
    <row r="241" spans="1:4" x14ac:dyDescent="0.25">
      <c r="A241" t="s">
        <v>195</v>
      </c>
      <c r="B241" s="3">
        <f t="shared" si="3"/>
        <v>42736</v>
      </c>
      <c r="C241">
        <v>1355.3009059999999</v>
      </c>
      <c r="D241">
        <v>1356.3584840000001</v>
      </c>
    </row>
    <row r="242" spans="1:4" x14ac:dyDescent="0.25">
      <c r="A242" t="s">
        <v>196</v>
      </c>
      <c r="B242" s="3">
        <f t="shared" si="3"/>
        <v>42767</v>
      </c>
      <c r="C242">
        <v>1387.801056</v>
      </c>
      <c r="D242">
        <v>1345.6171670000001</v>
      </c>
    </row>
    <row r="243" spans="1:4" x14ac:dyDescent="0.25">
      <c r="A243" t="s">
        <v>197</v>
      </c>
      <c r="B243" s="3">
        <f t="shared" si="3"/>
        <v>42795</v>
      </c>
      <c r="C243">
        <v>1425.076812</v>
      </c>
      <c r="D243">
        <v>1377.4070879999999</v>
      </c>
    </row>
    <row r="244" spans="1:4" x14ac:dyDescent="0.25">
      <c r="A244" t="s">
        <v>198</v>
      </c>
      <c r="B244" s="3">
        <f t="shared" si="3"/>
        <v>42826</v>
      </c>
      <c r="C244">
        <v>1439.6180119999999</v>
      </c>
      <c r="D244">
        <v>1424.068485</v>
      </c>
    </row>
    <row r="245" spans="1:4" x14ac:dyDescent="0.25">
      <c r="A245" t="s">
        <v>199</v>
      </c>
      <c r="B245" s="3">
        <f t="shared" si="3"/>
        <v>42856</v>
      </c>
      <c r="C245">
        <v>1461.967727</v>
      </c>
      <c r="D245">
        <v>1440.8862509999999</v>
      </c>
    </row>
    <row r="246" spans="1:4" x14ac:dyDescent="0.25">
      <c r="A246" t="s">
        <v>200</v>
      </c>
      <c r="B246" s="3">
        <f t="shared" si="3"/>
        <v>42887</v>
      </c>
      <c r="C246">
        <v>1489.951247</v>
      </c>
      <c r="D246">
        <v>1395.588694</v>
      </c>
    </row>
    <row r="247" spans="1:4" x14ac:dyDescent="0.25">
      <c r="A247" t="s">
        <v>201</v>
      </c>
      <c r="B247" s="3">
        <f t="shared" si="3"/>
        <v>42917</v>
      </c>
      <c r="C247">
        <v>1498.0163219999999</v>
      </c>
      <c r="D247">
        <v>1396.8056610000001</v>
      </c>
    </row>
    <row r="248" spans="1:4" x14ac:dyDescent="0.25">
      <c r="A248" t="s">
        <v>202</v>
      </c>
      <c r="B248" s="3">
        <f t="shared" si="3"/>
        <v>42948</v>
      </c>
      <c r="C248">
        <v>1533.6114279999999</v>
      </c>
      <c r="D248">
        <v>1399.659396</v>
      </c>
    </row>
    <row r="249" spans="1:4" x14ac:dyDescent="0.25">
      <c r="A249" t="s">
        <v>203</v>
      </c>
      <c r="B249" s="3">
        <f t="shared" si="3"/>
        <v>42979</v>
      </c>
      <c r="C249">
        <v>1535.357344</v>
      </c>
      <c r="D249">
        <v>1410.4325510000001</v>
      </c>
    </row>
    <row r="250" spans="1:4" x14ac:dyDescent="0.25">
      <c r="A250" t="s">
        <v>204</v>
      </c>
      <c r="B250" s="3">
        <f t="shared" si="3"/>
        <v>43009</v>
      </c>
      <c r="C250">
        <v>1573.3488809999999</v>
      </c>
      <c r="D250">
        <v>1410.9739790000001</v>
      </c>
    </row>
    <row r="251" spans="1:4" x14ac:dyDescent="0.25">
      <c r="A251" t="s">
        <v>205</v>
      </c>
      <c r="B251" s="3">
        <f t="shared" si="3"/>
        <v>43040</v>
      </c>
      <c r="C251">
        <v>1602.1399630000001</v>
      </c>
      <c r="D251">
        <v>1467.7666369999999</v>
      </c>
    </row>
    <row r="252" spans="1:4" x14ac:dyDescent="0.25">
      <c r="A252" t="s">
        <v>206</v>
      </c>
      <c r="B252" s="3">
        <f t="shared" si="3"/>
        <v>43070</v>
      </c>
      <c r="C252">
        <v>1636.8935879999999</v>
      </c>
      <c r="D252">
        <v>1493.748163</v>
      </c>
    </row>
    <row r="253" spans="1:4" x14ac:dyDescent="0.25">
      <c r="A253" t="s">
        <v>207</v>
      </c>
      <c r="B253" s="3">
        <f t="shared" si="3"/>
        <v>43101</v>
      </c>
      <c r="C253">
        <v>1659.3666479999999</v>
      </c>
      <c r="D253">
        <v>1521.502109</v>
      </c>
    </row>
    <row r="254" spans="1:4" x14ac:dyDescent="0.25">
      <c r="A254" t="s">
        <v>208</v>
      </c>
      <c r="B254" s="3">
        <f t="shared" si="3"/>
        <v>43132</v>
      </c>
      <c r="C254">
        <v>1743.0612860000001</v>
      </c>
      <c r="D254">
        <v>1513.237273</v>
      </c>
    </row>
    <row r="255" spans="1:4" x14ac:dyDescent="0.25">
      <c r="A255" t="s">
        <v>209</v>
      </c>
      <c r="B255" s="3">
        <f t="shared" si="3"/>
        <v>43160</v>
      </c>
      <c r="C255">
        <v>1671.1820620000001</v>
      </c>
      <c r="D255">
        <v>1517.925035</v>
      </c>
    </row>
    <row r="256" spans="1:4" x14ac:dyDescent="0.25">
      <c r="A256" t="s">
        <v>210</v>
      </c>
      <c r="B256" s="3">
        <f t="shared" si="3"/>
        <v>43191</v>
      </c>
      <c r="C256">
        <v>1639.7568659999999</v>
      </c>
      <c r="D256">
        <v>1460.9362550000001</v>
      </c>
    </row>
    <row r="257" spans="1:4" x14ac:dyDescent="0.25">
      <c r="A257" t="s">
        <v>211</v>
      </c>
      <c r="B257" s="3">
        <f t="shared" si="3"/>
        <v>43221</v>
      </c>
      <c r="C257">
        <v>1658.085163</v>
      </c>
      <c r="D257">
        <v>1519.358479</v>
      </c>
    </row>
    <row r="258" spans="1:4" x14ac:dyDescent="0.25">
      <c r="A258" t="s">
        <v>212</v>
      </c>
      <c r="B258" s="3">
        <f t="shared" si="3"/>
        <v>43252</v>
      </c>
      <c r="C258">
        <v>1673.063488</v>
      </c>
      <c r="D258">
        <v>1538.849494</v>
      </c>
    </row>
    <row r="259" spans="1:4" x14ac:dyDescent="0.25">
      <c r="A259" t="s">
        <v>213</v>
      </c>
      <c r="B259" s="3">
        <f t="shared" ref="B259:B322" si="4">DATE(YEAR(A259),MONTH(A259)+1,1)</f>
        <v>43282</v>
      </c>
      <c r="C259">
        <v>1671.6050210000001</v>
      </c>
      <c r="D259">
        <v>1590.772543</v>
      </c>
    </row>
    <row r="260" spans="1:4" x14ac:dyDescent="0.25">
      <c r="A260" t="s">
        <v>214</v>
      </c>
      <c r="B260" s="3">
        <f t="shared" si="4"/>
        <v>43313</v>
      </c>
      <c r="C260">
        <v>1719.3895379999999</v>
      </c>
      <c r="D260">
        <v>1610.731295</v>
      </c>
    </row>
    <row r="261" spans="1:4" x14ac:dyDescent="0.25">
      <c r="A261" t="s">
        <v>215</v>
      </c>
      <c r="B261" s="3">
        <f t="shared" si="4"/>
        <v>43344</v>
      </c>
      <c r="C261">
        <v>1742.9115409999999</v>
      </c>
      <c r="D261">
        <v>1629.8424399999999</v>
      </c>
    </row>
    <row r="262" spans="1:4" x14ac:dyDescent="0.25">
      <c r="A262" t="s">
        <v>216</v>
      </c>
      <c r="B262" s="3">
        <f t="shared" si="4"/>
        <v>43374</v>
      </c>
      <c r="C262">
        <v>1747.837315</v>
      </c>
      <c r="D262">
        <v>1610.255349</v>
      </c>
    </row>
    <row r="263" spans="1:4" x14ac:dyDescent="0.25">
      <c r="A263" t="s">
        <v>217</v>
      </c>
      <c r="B263" s="3">
        <f t="shared" si="4"/>
        <v>43405</v>
      </c>
      <c r="C263">
        <v>1613.4191129999999</v>
      </c>
      <c r="D263">
        <v>1513.3143110000001</v>
      </c>
    </row>
    <row r="264" spans="1:4" x14ac:dyDescent="0.25">
      <c r="A264" t="s">
        <v>218</v>
      </c>
      <c r="B264" s="3">
        <f t="shared" si="4"/>
        <v>43435</v>
      </c>
      <c r="C264">
        <v>1630.6994769999999</v>
      </c>
      <c r="D264">
        <v>1480.066239</v>
      </c>
    </row>
    <row r="265" spans="1:4" x14ac:dyDescent="0.25">
      <c r="A265" t="s">
        <v>219</v>
      </c>
      <c r="B265" s="3">
        <f t="shared" si="4"/>
        <v>43466</v>
      </c>
      <c r="C265">
        <v>1503.1567950000001</v>
      </c>
      <c r="D265">
        <v>1478.088164</v>
      </c>
    </row>
    <row r="266" spans="1:4" x14ac:dyDescent="0.25">
      <c r="A266" t="s">
        <v>220</v>
      </c>
      <c r="B266" s="3">
        <f t="shared" si="4"/>
        <v>43497</v>
      </c>
      <c r="C266">
        <v>1625.0044849999999</v>
      </c>
      <c r="D266">
        <v>1535.4617659999999</v>
      </c>
    </row>
    <row r="267" spans="1:4" x14ac:dyDescent="0.25">
      <c r="A267" t="s">
        <v>221</v>
      </c>
      <c r="B267" s="3">
        <f t="shared" si="4"/>
        <v>43525</v>
      </c>
      <c r="C267">
        <v>1675.460779</v>
      </c>
      <c r="D267">
        <v>1627.519552</v>
      </c>
    </row>
    <row r="268" spans="1:4" x14ac:dyDescent="0.25">
      <c r="A268" t="s">
        <v>222</v>
      </c>
      <c r="B268" s="3">
        <f t="shared" si="4"/>
        <v>43556</v>
      </c>
      <c r="C268">
        <v>1693.1497079999999</v>
      </c>
      <c r="D268">
        <v>1637.459214</v>
      </c>
    </row>
    <row r="269" spans="1:4" x14ac:dyDescent="0.25">
      <c r="A269" t="s">
        <v>223</v>
      </c>
      <c r="B269" s="3">
        <f t="shared" si="4"/>
        <v>43586</v>
      </c>
      <c r="C269">
        <v>1752.2525250000001</v>
      </c>
      <c r="D269">
        <v>1675.4307980000001</v>
      </c>
    </row>
    <row r="270" spans="1:4" x14ac:dyDescent="0.25">
      <c r="A270" t="s">
        <v>224</v>
      </c>
      <c r="B270" s="3">
        <f t="shared" si="4"/>
        <v>43617</v>
      </c>
      <c r="C270">
        <v>1649.392507</v>
      </c>
      <c r="D270">
        <v>1705.0608460000001</v>
      </c>
    </row>
    <row r="271" spans="1:4" x14ac:dyDescent="0.25">
      <c r="A271" t="s">
        <v>225</v>
      </c>
      <c r="B271" s="3">
        <f t="shared" si="4"/>
        <v>43647</v>
      </c>
      <c r="C271">
        <v>1756.4484090000001</v>
      </c>
      <c r="D271">
        <v>1769.0189379999999</v>
      </c>
    </row>
    <row r="272" spans="1:4" x14ac:dyDescent="0.25">
      <c r="A272" t="s">
        <v>226</v>
      </c>
      <c r="B272" s="3">
        <f t="shared" si="4"/>
        <v>43678</v>
      </c>
      <c r="C272">
        <v>1765.326112</v>
      </c>
      <c r="D272">
        <v>1819.4707109999999</v>
      </c>
    </row>
    <row r="273" spans="1:4" x14ac:dyDescent="0.25">
      <c r="A273" t="s">
        <v>227</v>
      </c>
      <c r="B273" s="3">
        <f t="shared" si="4"/>
        <v>43709</v>
      </c>
      <c r="C273">
        <v>1726.168711</v>
      </c>
      <c r="D273">
        <v>1779.170615</v>
      </c>
    </row>
    <row r="274" spans="1:4" x14ac:dyDescent="0.25">
      <c r="A274" t="s">
        <v>228</v>
      </c>
      <c r="B274" s="3">
        <f t="shared" si="4"/>
        <v>43739</v>
      </c>
      <c r="C274">
        <v>1762.7547079999999</v>
      </c>
      <c r="D274">
        <v>1817.7602159999999</v>
      </c>
    </row>
    <row r="275" spans="1:4" x14ac:dyDescent="0.25">
      <c r="A275" t="s">
        <v>229</v>
      </c>
      <c r="B275" s="3">
        <f t="shared" si="4"/>
        <v>43770</v>
      </c>
      <c r="C275">
        <v>1808.0896869999999</v>
      </c>
      <c r="D275">
        <v>1808.0477020000001</v>
      </c>
    </row>
    <row r="276" spans="1:4" x14ac:dyDescent="0.25">
      <c r="A276" t="s">
        <v>230</v>
      </c>
      <c r="B276" s="3">
        <f t="shared" si="4"/>
        <v>43800</v>
      </c>
      <c r="C276">
        <v>1859.4654129999999</v>
      </c>
      <c r="D276">
        <v>1857.2461430000001</v>
      </c>
    </row>
    <row r="277" spans="1:4" x14ac:dyDescent="0.25">
      <c r="A277" t="s">
        <v>231</v>
      </c>
      <c r="B277" s="3">
        <f t="shared" si="4"/>
        <v>43831</v>
      </c>
      <c r="C277">
        <v>1916.2448380000001</v>
      </c>
      <c r="D277">
        <v>1819.5211509999999</v>
      </c>
    </row>
    <row r="278" spans="1:4" x14ac:dyDescent="0.25">
      <c r="A278" t="s">
        <v>232</v>
      </c>
      <c r="B278" s="3">
        <f t="shared" si="4"/>
        <v>43862</v>
      </c>
      <c r="C278">
        <v>1899.4351830000001</v>
      </c>
      <c r="D278">
        <v>1910.221679</v>
      </c>
    </row>
    <row r="279" spans="1:4" x14ac:dyDescent="0.25">
      <c r="A279" t="s">
        <v>233</v>
      </c>
      <c r="B279" s="3">
        <f t="shared" si="4"/>
        <v>43891</v>
      </c>
      <c r="C279">
        <v>1737.1784970000001</v>
      </c>
      <c r="D279">
        <v>1760.936571</v>
      </c>
    </row>
    <row r="280" spans="1:4" x14ac:dyDescent="0.25">
      <c r="A280" t="s">
        <v>234</v>
      </c>
      <c r="B280" s="3">
        <f t="shared" si="4"/>
        <v>43922</v>
      </c>
      <c r="C280">
        <v>1491.44822</v>
      </c>
      <c r="D280">
        <v>1384.5123450000001</v>
      </c>
    </row>
    <row r="281" spans="1:4" x14ac:dyDescent="0.25">
      <c r="A281" t="s">
        <v>235</v>
      </c>
      <c r="B281" s="3">
        <f t="shared" si="4"/>
        <v>43952</v>
      </c>
      <c r="C281">
        <v>1658.5180359999999</v>
      </c>
      <c r="D281">
        <v>1510.871146</v>
      </c>
    </row>
    <row r="282" spans="1:4" x14ac:dyDescent="0.25">
      <c r="A282" t="s">
        <v>236</v>
      </c>
      <c r="B282" s="3">
        <f t="shared" si="4"/>
        <v>43983</v>
      </c>
      <c r="C282">
        <v>1742.8376470000001</v>
      </c>
      <c r="D282">
        <v>1579.0282729999999</v>
      </c>
    </row>
    <row r="283" spans="1:4" x14ac:dyDescent="0.25">
      <c r="A283" t="s">
        <v>237</v>
      </c>
      <c r="B283" s="3">
        <f t="shared" si="4"/>
        <v>44013</v>
      </c>
      <c r="C283">
        <v>1788.7914370000001</v>
      </c>
      <c r="D283">
        <v>1621.623241</v>
      </c>
    </row>
    <row r="284" spans="1:4" x14ac:dyDescent="0.25">
      <c r="A284" t="s">
        <v>238</v>
      </c>
      <c r="B284" s="3">
        <f t="shared" si="4"/>
        <v>44044</v>
      </c>
      <c r="C284">
        <v>1872.563124</v>
      </c>
      <c r="D284">
        <v>1629.994559</v>
      </c>
    </row>
    <row r="285" spans="1:4" x14ac:dyDescent="0.25">
      <c r="A285" t="s">
        <v>239</v>
      </c>
      <c r="B285" s="3">
        <f t="shared" si="4"/>
        <v>44075</v>
      </c>
      <c r="C285">
        <v>1995.569788</v>
      </c>
      <c r="D285">
        <v>1682.5170149999999</v>
      </c>
    </row>
    <row r="286" spans="1:4" x14ac:dyDescent="0.25">
      <c r="A286" t="s">
        <v>240</v>
      </c>
      <c r="B286" s="3">
        <f t="shared" si="4"/>
        <v>44105</v>
      </c>
      <c r="C286">
        <v>1929.6383699999999</v>
      </c>
      <c r="D286">
        <v>1620.9837990000001</v>
      </c>
    </row>
    <row r="287" spans="1:4" x14ac:dyDescent="0.25">
      <c r="A287" t="s">
        <v>241</v>
      </c>
      <c r="B287" s="3">
        <f t="shared" si="4"/>
        <v>44136</v>
      </c>
      <c r="C287">
        <v>1877.204829</v>
      </c>
      <c r="D287">
        <v>1652.819984</v>
      </c>
    </row>
    <row r="288" spans="1:4" x14ac:dyDescent="0.25">
      <c r="A288" t="s">
        <v>242</v>
      </c>
      <c r="B288" s="3">
        <f t="shared" si="4"/>
        <v>44166</v>
      </c>
      <c r="C288">
        <v>2122.9344940000001</v>
      </c>
      <c r="D288">
        <v>1820.9634980000001</v>
      </c>
    </row>
    <row r="289" spans="1:4" x14ac:dyDescent="0.25">
      <c r="A289" t="s">
        <v>243</v>
      </c>
      <c r="B289" s="3">
        <f t="shared" si="4"/>
        <v>44197</v>
      </c>
      <c r="C289">
        <v>2220.940302</v>
      </c>
      <c r="D289">
        <v>1849.5394759999999</v>
      </c>
    </row>
    <row r="290" spans="1:4" x14ac:dyDescent="0.25">
      <c r="A290" t="s">
        <v>244</v>
      </c>
      <c r="B290" s="3">
        <f t="shared" si="4"/>
        <v>44228</v>
      </c>
      <c r="C290">
        <v>2207.259403</v>
      </c>
      <c r="D290">
        <v>1856.5680110000001</v>
      </c>
    </row>
    <row r="291" spans="1:4" x14ac:dyDescent="0.25">
      <c r="A291" t="s">
        <v>245</v>
      </c>
      <c r="B291" s="3">
        <f t="shared" si="4"/>
        <v>44256</v>
      </c>
      <c r="C291">
        <v>2270.5984779999999</v>
      </c>
      <c r="D291">
        <v>1887.0733270000001</v>
      </c>
    </row>
    <row r="292" spans="1:4" x14ac:dyDescent="0.25">
      <c r="A292" t="s">
        <v>246</v>
      </c>
      <c r="B292" s="3">
        <f t="shared" si="4"/>
        <v>44287</v>
      </c>
      <c r="C292">
        <v>2342.5854599999998</v>
      </c>
      <c r="D292">
        <v>1930.8659110000001</v>
      </c>
    </row>
    <row r="293" spans="1:4" x14ac:dyDescent="0.25">
      <c r="A293" t="s">
        <v>247</v>
      </c>
      <c r="B293" s="3">
        <f t="shared" si="4"/>
        <v>44317</v>
      </c>
      <c r="C293">
        <v>2449.2988399999999</v>
      </c>
      <c r="D293">
        <v>2002.1391080000001</v>
      </c>
    </row>
    <row r="294" spans="1:4" x14ac:dyDescent="0.25">
      <c r="A294" t="s">
        <v>248</v>
      </c>
      <c r="B294" s="3">
        <f t="shared" si="4"/>
        <v>44348</v>
      </c>
      <c r="C294">
        <v>2482.7468880000001</v>
      </c>
      <c r="D294">
        <v>2052.2309369999998</v>
      </c>
    </row>
    <row r="295" spans="1:4" x14ac:dyDescent="0.25">
      <c r="A295" t="s">
        <v>249</v>
      </c>
      <c r="B295" s="3">
        <f t="shared" si="4"/>
        <v>44378</v>
      </c>
      <c r="C295">
        <v>2515.6062010000001</v>
      </c>
      <c r="D295">
        <v>2095.0894480000002</v>
      </c>
    </row>
    <row r="296" spans="1:4" x14ac:dyDescent="0.25">
      <c r="A296" t="s">
        <v>250</v>
      </c>
      <c r="B296" s="3">
        <f t="shared" si="4"/>
        <v>44409</v>
      </c>
      <c r="C296">
        <v>2552.663677</v>
      </c>
      <c r="D296">
        <v>2115.2801509999999</v>
      </c>
    </row>
    <row r="297" spans="1:4" x14ac:dyDescent="0.25">
      <c r="A297" t="s">
        <v>251</v>
      </c>
      <c r="B297" s="3">
        <f t="shared" si="4"/>
        <v>44440</v>
      </c>
      <c r="C297">
        <v>2616.002708</v>
      </c>
      <c r="D297">
        <v>2165.7231299999999</v>
      </c>
    </row>
    <row r="298" spans="1:4" x14ac:dyDescent="0.25">
      <c r="A298" t="s">
        <v>252</v>
      </c>
      <c r="B298" s="3">
        <f t="shared" si="4"/>
        <v>44470</v>
      </c>
      <c r="C298">
        <v>2510.8156309999999</v>
      </c>
      <c r="D298">
        <v>2125.1172740000002</v>
      </c>
    </row>
    <row r="299" spans="1:4" x14ac:dyDescent="0.25">
      <c r="A299" t="s">
        <v>253</v>
      </c>
      <c r="B299" s="3">
        <f t="shared" si="4"/>
        <v>44501</v>
      </c>
      <c r="C299">
        <v>2646.5039860000002</v>
      </c>
      <c r="D299">
        <v>2128.4635130000001</v>
      </c>
    </row>
    <row r="300" spans="1:4" x14ac:dyDescent="0.25">
      <c r="A300" t="s">
        <v>254</v>
      </c>
      <c r="B300" s="3">
        <f t="shared" si="4"/>
        <v>44531</v>
      </c>
      <c r="C300">
        <v>2579.7578039999999</v>
      </c>
      <c r="D300">
        <v>2112.9145619999999</v>
      </c>
    </row>
    <row r="301" spans="1:4" x14ac:dyDescent="0.25">
      <c r="A301" t="s">
        <v>255</v>
      </c>
      <c r="B301" s="3">
        <f t="shared" si="4"/>
        <v>44562</v>
      </c>
      <c r="C301">
        <v>2688.1915319999998</v>
      </c>
      <c r="D301">
        <v>2173.034118</v>
      </c>
    </row>
    <row r="302" spans="1:4" x14ac:dyDescent="0.25">
      <c r="A302" t="s">
        <v>256</v>
      </c>
      <c r="B302" s="3">
        <f t="shared" si="4"/>
        <v>44593</v>
      </c>
      <c r="C302">
        <v>2538.577534</v>
      </c>
      <c r="D302">
        <v>2033.6410619999999</v>
      </c>
    </row>
    <row r="303" spans="1:4" x14ac:dyDescent="0.25">
      <c r="A303" t="s">
        <v>257</v>
      </c>
      <c r="B303" s="3">
        <f t="shared" si="4"/>
        <v>44621</v>
      </c>
      <c r="C303">
        <v>2482.6334449999999</v>
      </c>
      <c r="D303">
        <v>2081.5239350000002</v>
      </c>
    </row>
    <row r="304" spans="1:4" x14ac:dyDescent="0.25">
      <c r="A304" t="s">
        <v>258</v>
      </c>
      <c r="B304" s="3">
        <f t="shared" si="4"/>
        <v>44652</v>
      </c>
      <c r="C304">
        <v>2545.291346</v>
      </c>
      <c r="D304">
        <v>2228.6053740000002</v>
      </c>
    </row>
    <row r="305" spans="1:4" x14ac:dyDescent="0.25">
      <c r="A305" t="s">
        <v>259</v>
      </c>
      <c r="B305" s="3">
        <f t="shared" si="4"/>
        <v>44682</v>
      </c>
      <c r="C305">
        <v>2335.3613070000001</v>
      </c>
      <c r="D305">
        <v>2213.8342870000001</v>
      </c>
    </row>
    <row r="306" spans="1:4" x14ac:dyDescent="0.25">
      <c r="A306" t="s">
        <v>260</v>
      </c>
      <c r="B306" s="3">
        <f t="shared" si="4"/>
        <v>44713</v>
      </c>
      <c r="C306">
        <v>2336.3385370000001</v>
      </c>
      <c r="D306">
        <v>2155.5054009999999</v>
      </c>
    </row>
    <row r="307" spans="1:4" x14ac:dyDescent="0.25">
      <c r="A307" t="s">
        <v>261</v>
      </c>
      <c r="B307" s="3">
        <f t="shared" si="4"/>
        <v>44743</v>
      </c>
      <c r="C307">
        <v>2130.2472859999998</v>
      </c>
      <c r="D307">
        <v>1959.3691980000001</v>
      </c>
    </row>
    <row r="308" spans="1:4" x14ac:dyDescent="0.25">
      <c r="A308" t="s">
        <v>262</v>
      </c>
      <c r="B308" s="3">
        <f t="shared" si="4"/>
        <v>44774</v>
      </c>
      <c r="C308">
        <v>2302.3344550000002</v>
      </c>
      <c r="D308">
        <v>2073.8365450000001</v>
      </c>
    </row>
    <row r="309" spans="1:4" x14ac:dyDescent="0.25">
      <c r="A309" t="s">
        <v>263</v>
      </c>
      <c r="B309" s="3">
        <f t="shared" si="4"/>
        <v>44805</v>
      </c>
      <c r="C309">
        <v>2208.6026940000002</v>
      </c>
      <c r="D309">
        <v>2098.9149299999999</v>
      </c>
    </row>
    <row r="310" spans="1:4" x14ac:dyDescent="0.25">
      <c r="A310" t="s">
        <v>264</v>
      </c>
      <c r="B310" s="3">
        <f t="shared" si="4"/>
        <v>44835</v>
      </c>
      <c r="C310">
        <v>2000.7468469999999</v>
      </c>
      <c r="D310">
        <v>1968.166029</v>
      </c>
    </row>
    <row r="311" spans="1:4" x14ac:dyDescent="0.25">
      <c r="A311" t="s">
        <v>265</v>
      </c>
      <c r="B311" s="3">
        <f t="shared" si="4"/>
        <v>44866</v>
      </c>
      <c r="C311">
        <v>2146.4540019999999</v>
      </c>
      <c r="D311">
        <v>2085.9372159999998</v>
      </c>
    </row>
    <row r="312" spans="1:4" x14ac:dyDescent="0.25">
      <c r="A312" t="s">
        <v>266</v>
      </c>
      <c r="B312" s="3">
        <f t="shared" si="4"/>
        <v>44896</v>
      </c>
      <c r="C312">
        <v>2293.6830869999999</v>
      </c>
      <c r="D312">
        <v>2225.2999570000002</v>
      </c>
    </row>
    <row r="313" spans="1:4" x14ac:dyDescent="0.25">
      <c r="A313" t="s">
        <v>267</v>
      </c>
      <c r="B313" s="3">
        <f t="shared" si="4"/>
        <v>44927</v>
      </c>
      <c r="C313">
        <v>2198.4432400000001</v>
      </c>
      <c r="D313">
        <v>2149.944184</v>
      </c>
    </row>
    <row r="314" spans="1:4" x14ac:dyDescent="0.25">
      <c r="A314" t="s">
        <v>268</v>
      </c>
      <c r="B314" s="3">
        <f t="shared" si="4"/>
        <v>44958</v>
      </c>
      <c r="C314">
        <v>2359.6117850000001</v>
      </c>
      <c r="D314">
        <v>2288.160558</v>
      </c>
    </row>
    <row r="315" spans="1:4" x14ac:dyDescent="0.25">
      <c r="A315" t="s">
        <v>269</v>
      </c>
      <c r="B315" s="3">
        <f t="shared" si="4"/>
        <v>44986</v>
      </c>
      <c r="C315">
        <v>2303.9123079999999</v>
      </c>
      <c r="D315">
        <v>2228.1537530000001</v>
      </c>
    </row>
    <row r="316" spans="1:4" x14ac:dyDescent="0.25">
      <c r="A316" t="s">
        <v>270</v>
      </c>
      <c r="B316" s="3">
        <f t="shared" si="4"/>
        <v>45017</v>
      </c>
      <c r="C316">
        <v>2359.7519419999999</v>
      </c>
      <c r="D316">
        <v>2221.7402550000002</v>
      </c>
    </row>
    <row r="317" spans="1:4" x14ac:dyDescent="0.25">
      <c r="A317" t="s">
        <v>271</v>
      </c>
      <c r="B317" s="3">
        <f t="shared" si="4"/>
        <v>45047</v>
      </c>
      <c r="C317">
        <v>2396.2274729999999</v>
      </c>
      <c r="D317">
        <v>2262.3389670000001</v>
      </c>
    </row>
    <row r="318" spans="1:4" x14ac:dyDescent="0.25">
      <c r="A318" t="s">
        <v>272</v>
      </c>
      <c r="B318" s="3">
        <f t="shared" si="4"/>
        <v>45078</v>
      </c>
      <c r="C318">
        <v>2367.6177969999999</v>
      </c>
      <c r="D318">
        <v>2204.4066990000001</v>
      </c>
    </row>
    <row r="319" spans="1:4" x14ac:dyDescent="0.25">
      <c r="A319" t="s">
        <v>273</v>
      </c>
      <c r="B319" s="3">
        <f t="shared" si="4"/>
        <v>45108</v>
      </c>
      <c r="C319">
        <v>2511.4075790000002</v>
      </c>
      <c r="D319">
        <v>2245.4056799999998</v>
      </c>
    </row>
    <row r="320" spans="1:4" x14ac:dyDescent="0.25">
      <c r="A320" t="s">
        <v>274</v>
      </c>
      <c r="B320" s="3">
        <f t="shared" si="4"/>
        <v>45139</v>
      </c>
      <c r="C320">
        <v>2599.9754029999999</v>
      </c>
      <c r="D320">
        <v>2310.6147580000002</v>
      </c>
    </row>
    <row r="321" spans="1:4" x14ac:dyDescent="0.25">
      <c r="A321" t="s">
        <v>275</v>
      </c>
      <c r="B321" s="3">
        <f t="shared" si="4"/>
        <v>45170</v>
      </c>
      <c r="C321">
        <v>2533.8352030000001</v>
      </c>
      <c r="D321">
        <v>2299.4458420000001</v>
      </c>
    </row>
    <row r="322" spans="1:4" x14ac:dyDescent="0.25">
      <c r="A322" t="s">
        <v>276</v>
      </c>
      <c r="B322" s="3">
        <f t="shared" si="4"/>
        <v>45200</v>
      </c>
      <c r="C322">
        <v>2421.9848459999998</v>
      </c>
      <c r="D322">
        <v>2235.3141679999999</v>
      </c>
    </row>
    <row r="323" spans="1:4" x14ac:dyDescent="0.25">
      <c r="A323" t="s">
        <v>277</v>
      </c>
      <c r="B323" s="3">
        <f t="shared" ref="B323:B352" si="5">DATE(YEAR(A323),MONTH(A323)+1,1)</f>
        <v>45231</v>
      </c>
      <c r="C323">
        <v>2343.3858879999998</v>
      </c>
      <c r="D323">
        <v>2150.5167080000001</v>
      </c>
    </row>
    <row r="324" spans="1:4" x14ac:dyDescent="0.25">
      <c r="A324" t="s">
        <v>278</v>
      </c>
      <c r="B324" s="3">
        <f t="shared" si="5"/>
        <v>45261</v>
      </c>
      <c r="C324">
        <v>2562.9281489999998</v>
      </c>
      <c r="D324">
        <v>2259.1025599999998</v>
      </c>
    </row>
    <row r="325" spans="1:4" x14ac:dyDescent="0.25">
      <c r="A325" t="s">
        <v>279</v>
      </c>
      <c r="B325" s="3">
        <f t="shared" si="5"/>
        <v>45292</v>
      </c>
      <c r="C325">
        <v>2701.360248</v>
      </c>
      <c r="D325">
        <v>2426.6837019999998</v>
      </c>
    </row>
    <row r="326" spans="1:4" x14ac:dyDescent="0.25">
      <c r="A326" t="s">
        <v>280</v>
      </c>
      <c r="B326" s="3">
        <f t="shared" si="5"/>
        <v>45323</v>
      </c>
      <c r="C326">
        <v>2722.1422080000002</v>
      </c>
      <c r="D326">
        <v>2458.8264300000001</v>
      </c>
    </row>
    <row r="327" spans="1:4" x14ac:dyDescent="0.25">
      <c r="A327" t="s">
        <v>281</v>
      </c>
      <c r="B327" s="3">
        <f t="shared" si="5"/>
        <v>45352</v>
      </c>
      <c r="C327">
        <v>2834.978188</v>
      </c>
      <c r="D327">
        <v>2486.9474879999998</v>
      </c>
    </row>
    <row r="328" spans="1:4" x14ac:dyDescent="0.25">
      <c r="A328" t="s">
        <v>282</v>
      </c>
      <c r="B328" s="3">
        <f t="shared" si="5"/>
        <v>45383</v>
      </c>
      <c r="C328">
        <v>2928.0916900000002</v>
      </c>
      <c r="D328">
        <v>2563.417899</v>
      </c>
    </row>
    <row r="329" spans="1:4" x14ac:dyDescent="0.25">
      <c r="A329" t="s">
        <v>283</v>
      </c>
      <c r="B329" s="3">
        <f t="shared" si="5"/>
        <v>45413</v>
      </c>
      <c r="C329">
        <v>2814.8743220000001</v>
      </c>
      <c r="D329">
        <v>2483.241704</v>
      </c>
    </row>
    <row r="330" spans="1:4" x14ac:dyDescent="0.25">
      <c r="A330" t="s">
        <v>284</v>
      </c>
      <c r="B330" s="3">
        <f t="shared" si="5"/>
        <v>45444</v>
      </c>
      <c r="C330">
        <v>2940.8158749999998</v>
      </c>
      <c r="D330">
        <v>2507.5076979999999</v>
      </c>
    </row>
    <row r="331" spans="1:4" x14ac:dyDescent="0.25">
      <c r="A331" t="s">
        <v>285</v>
      </c>
      <c r="B331" s="3">
        <f t="shared" si="5"/>
        <v>45474</v>
      </c>
      <c r="C331">
        <v>2988.3970690000001</v>
      </c>
      <c r="D331">
        <v>2534.3685369999998</v>
      </c>
    </row>
    <row r="332" spans="1:4" x14ac:dyDescent="0.25">
      <c r="A332" t="s">
        <v>286</v>
      </c>
      <c r="B332" s="3">
        <f t="shared" si="5"/>
        <v>45505</v>
      </c>
      <c r="C332">
        <v>3056.3818259999998</v>
      </c>
      <c r="D332">
        <v>2636.4598879999999</v>
      </c>
    </row>
    <row r="333" spans="1:4" x14ac:dyDescent="0.25">
      <c r="A333" t="s">
        <v>287</v>
      </c>
      <c r="B333" s="3">
        <f t="shared" si="5"/>
        <v>45536</v>
      </c>
      <c r="C333">
        <v>3130.2493469999999</v>
      </c>
      <c r="D333">
        <v>2644.2470440000002</v>
      </c>
    </row>
    <row r="334" spans="1:4" x14ac:dyDescent="0.25">
      <c r="A334" t="s">
        <v>288</v>
      </c>
      <c r="B334" s="3">
        <f t="shared" si="5"/>
        <v>45566</v>
      </c>
      <c r="C334">
        <v>3187.708345</v>
      </c>
      <c r="D334">
        <v>2727.9035779999999</v>
      </c>
    </row>
    <row r="335" spans="1:4" x14ac:dyDescent="0.25">
      <c r="A335" t="s">
        <v>289</v>
      </c>
      <c r="B335" s="3">
        <f t="shared" si="5"/>
        <v>45597</v>
      </c>
      <c r="C335">
        <v>3122.1135049999998</v>
      </c>
      <c r="D335">
        <v>2686.809878</v>
      </c>
    </row>
    <row r="336" spans="1:4" x14ac:dyDescent="0.25">
      <c r="A336" t="s">
        <v>290</v>
      </c>
      <c r="B336" s="3">
        <f t="shared" si="5"/>
        <v>45627</v>
      </c>
      <c r="C336">
        <v>3271.4424450000001</v>
      </c>
      <c r="D336">
        <v>2785.710024</v>
      </c>
    </row>
    <row r="337" spans="1:4" x14ac:dyDescent="0.25">
      <c r="A337" t="s">
        <v>291</v>
      </c>
      <c r="B337" s="3">
        <f t="shared" si="5"/>
        <v>45658</v>
      </c>
      <c r="C337">
        <v>3174.5512990000002</v>
      </c>
      <c r="D337">
        <v>2697.7873119999999</v>
      </c>
    </row>
    <row r="338" spans="1:4" x14ac:dyDescent="0.25">
      <c r="A338" t="s">
        <v>292</v>
      </c>
      <c r="B338" s="3">
        <f t="shared" si="5"/>
        <v>45689</v>
      </c>
      <c r="C338">
        <v>3286.370723</v>
      </c>
      <c r="D338">
        <v>2820.6901130000001</v>
      </c>
    </row>
    <row r="339" spans="1:4" x14ac:dyDescent="0.25">
      <c r="A339" t="s">
        <v>293</v>
      </c>
      <c r="B339" s="3">
        <f t="shared" si="5"/>
        <v>45717</v>
      </c>
      <c r="C339">
        <v>3254.016721</v>
      </c>
      <c r="D339">
        <v>2711.6092140000001</v>
      </c>
    </row>
    <row r="340" spans="1:4" x14ac:dyDescent="0.25">
      <c r="A340" t="s">
        <v>294</v>
      </c>
      <c r="B340" s="3">
        <f t="shared" si="5"/>
        <v>45748</v>
      </c>
      <c r="C340">
        <v>3111.4241780000002</v>
      </c>
      <c r="D340">
        <v>2619.6825220000001</v>
      </c>
    </row>
    <row r="341" spans="1:4" x14ac:dyDescent="0.25">
      <c r="A341" t="s">
        <v>295</v>
      </c>
      <c r="B341" s="3">
        <f t="shared" si="5"/>
        <v>45778</v>
      </c>
      <c r="C341">
        <v>3138.4724179999998</v>
      </c>
      <c r="D341">
        <v>2715.6442059999999</v>
      </c>
    </row>
    <row r="342" spans="1:4" x14ac:dyDescent="0.25">
      <c r="A342" t="s">
        <v>296</v>
      </c>
      <c r="B342" s="3">
        <f t="shared" si="5"/>
        <v>45809</v>
      </c>
      <c r="C342">
        <v>3323.8839370000001</v>
      </c>
      <c r="D342">
        <v>2826.7418990000001</v>
      </c>
    </row>
    <row r="343" spans="1:4" x14ac:dyDescent="0.25">
      <c r="A343" t="s">
        <v>297</v>
      </c>
      <c r="B343" s="3">
        <f t="shared" si="5"/>
        <v>45839</v>
      </c>
      <c r="C343">
        <v>3468.7668789999998</v>
      </c>
      <c r="D343">
        <v>2865.243618</v>
      </c>
    </row>
    <row r="344" spans="1:4" x14ac:dyDescent="0.25">
      <c r="A344" t="s">
        <v>298</v>
      </c>
      <c r="B344" s="3">
        <f t="shared" si="5"/>
        <v>45870</v>
      </c>
      <c r="C344">
        <v>3513.1155220000001</v>
      </c>
      <c r="D344">
        <v>2927.5109849999999</v>
      </c>
    </row>
    <row r="345" spans="1:4" x14ac:dyDescent="0.25">
      <c r="A345" t="s">
        <v>299</v>
      </c>
      <c r="B345" s="3">
        <f t="shared" si="5"/>
        <v>45901</v>
      </c>
      <c r="C345">
        <v>3614.0871950000001</v>
      </c>
      <c r="D345">
        <v>3020.351803</v>
      </c>
    </row>
    <row r="346" spans="1:4" x14ac:dyDescent="0.25">
      <c r="A346" t="s">
        <v>300</v>
      </c>
      <c r="B346" s="3">
        <f t="shared" si="5"/>
        <v>45931</v>
      </c>
      <c r="C346">
        <v>3725.5302940000001</v>
      </c>
      <c r="D346">
        <v>2996.9746749999999</v>
      </c>
    </row>
    <row r="347" spans="1:4" x14ac:dyDescent="0.25">
      <c r="A347" t="s">
        <v>301</v>
      </c>
      <c r="B347" s="3">
        <f t="shared" si="5"/>
        <v>45962</v>
      </c>
      <c r="C347">
        <v>3793.0013990000002</v>
      </c>
      <c r="D347">
        <v>3012.4159549999999</v>
      </c>
    </row>
    <row r="348" spans="1:4" x14ac:dyDescent="0.25">
      <c r="A348" t="s">
        <v>302</v>
      </c>
      <c r="B348" s="3">
        <f t="shared" si="5"/>
        <v>45992</v>
      </c>
      <c r="C348">
        <v>3809.2578579999999</v>
      </c>
      <c r="D348">
        <v>2920.2984430000001</v>
      </c>
    </row>
    <row r="349" spans="1:4" x14ac:dyDescent="0.25">
      <c r="A349" t="s">
        <v>303</v>
      </c>
      <c r="B349" s="3">
        <f t="shared" si="5"/>
        <v>46023</v>
      </c>
      <c r="C349">
        <v>3840.531755</v>
      </c>
      <c r="D349">
        <v>2964.4622850000001</v>
      </c>
    </row>
    <row r="350" spans="1:4" x14ac:dyDescent="0.25">
      <c r="A350" t="s">
        <v>457</v>
      </c>
      <c r="B350" s="3">
        <f t="shared" si="5"/>
        <v>46054</v>
      </c>
      <c r="C350">
        <v>3940.1240859999998</v>
      </c>
      <c r="D350">
        <v>3014.8543559999998</v>
      </c>
    </row>
    <row r="351" spans="1:4" x14ac:dyDescent="0.25">
      <c r="A351" t="s">
        <v>458</v>
      </c>
      <c r="B351" s="3">
        <f t="shared" si="5"/>
        <v>46082</v>
      </c>
      <c r="C351">
        <v>3982.2917170000001</v>
      </c>
      <c r="D351">
        <v>3143.7570700000001</v>
      </c>
    </row>
    <row r="352" spans="1:4" x14ac:dyDescent="0.25">
      <c r="A352" t="s">
        <v>459</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topLeftCell="A795" workbookViewId="0">
      <selection activeCell="H823" sqref="H823"/>
    </sheetView>
  </sheetViews>
  <sheetFormatPr defaultRowHeight="15" x14ac:dyDescent="0.25"/>
  <cols>
    <col min="2" max="7" width="12.5703125" customWidth="1"/>
    <col min="8" max="8" width="10.42578125" bestFit="1" customWidth="1"/>
  </cols>
  <sheetData>
    <row r="1" spans="1:8" ht="96" x14ac:dyDescent="0.25">
      <c r="A1" s="14" t="s">
        <v>27</v>
      </c>
      <c r="B1" s="14" t="s">
        <v>28</v>
      </c>
      <c r="C1" s="14" t="s">
        <v>29</v>
      </c>
      <c r="D1" s="14" t="s">
        <v>30</v>
      </c>
      <c r="E1" s="14" t="s">
        <v>31</v>
      </c>
      <c r="F1" s="14" t="s">
        <v>32</v>
      </c>
      <c r="G1" s="14" t="s">
        <v>33</v>
      </c>
    </row>
    <row r="2" spans="1:8" x14ac:dyDescent="0.25">
      <c r="A2" s="15" t="s">
        <v>34</v>
      </c>
      <c r="B2" s="15" t="s">
        <v>28</v>
      </c>
      <c r="C2" s="15" t="s">
        <v>29</v>
      </c>
      <c r="D2" s="15" t="s">
        <v>30</v>
      </c>
      <c r="E2" s="15" t="s">
        <v>31</v>
      </c>
      <c r="F2" s="16" t="s">
        <v>32</v>
      </c>
      <c r="G2" s="16" t="s">
        <v>33</v>
      </c>
    </row>
    <row r="3" spans="1:8" x14ac:dyDescent="0.25">
      <c r="A3" s="15" t="s">
        <v>35</v>
      </c>
      <c r="B3" s="17" t="s">
        <v>36</v>
      </c>
      <c r="C3" s="17" t="s">
        <v>36</v>
      </c>
      <c r="D3" s="17" t="s">
        <v>36</v>
      </c>
      <c r="E3" s="17" t="s">
        <v>36</v>
      </c>
      <c r="F3" s="17" t="s">
        <v>36</v>
      </c>
      <c r="G3" s="17" t="s">
        <v>36</v>
      </c>
    </row>
    <row r="4" spans="1:8" x14ac:dyDescent="0.25">
      <c r="A4" s="15" t="s">
        <v>37</v>
      </c>
      <c r="B4" s="17" t="s">
        <v>38</v>
      </c>
      <c r="C4" s="17" t="s">
        <v>38</v>
      </c>
      <c r="D4" s="17" t="s">
        <v>38</v>
      </c>
      <c r="E4" s="17" t="s">
        <v>38</v>
      </c>
      <c r="F4" s="17" t="s">
        <v>38</v>
      </c>
      <c r="G4" s="17" t="s">
        <v>38</v>
      </c>
    </row>
    <row r="5" spans="1:8" ht="24.75" x14ac:dyDescent="0.25">
      <c r="A5" s="15" t="s">
        <v>39</v>
      </c>
      <c r="B5" s="17" t="s">
        <v>40</v>
      </c>
      <c r="C5" s="17" t="s">
        <v>40</v>
      </c>
      <c r="D5" s="17" t="s">
        <v>40</v>
      </c>
      <c r="E5" s="17" t="s">
        <v>40</v>
      </c>
      <c r="F5" s="17" t="s">
        <v>40</v>
      </c>
      <c r="G5" s="17" t="s">
        <v>40</v>
      </c>
    </row>
    <row r="6" spans="1:8" x14ac:dyDescent="0.25">
      <c r="A6" s="15"/>
      <c r="B6" s="15"/>
      <c r="C6" s="15"/>
      <c r="D6" s="15"/>
      <c r="E6" s="15"/>
      <c r="F6" s="15"/>
      <c r="G6" s="15"/>
    </row>
    <row r="7" spans="1:8" x14ac:dyDescent="0.25">
      <c r="A7" s="15"/>
      <c r="B7" s="18"/>
      <c r="C7" s="18"/>
      <c r="D7" s="18"/>
      <c r="E7" s="18"/>
      <c r="F7" s="18"/>
      <c r="G7" s="18"/>
    </row>
    <row r="8" spans="1:8" x14ac:dyDescent="0.25">
      <c r="A8" s="17" t="s">
        <v>41</v>
      </c>
      <c r="B8" s="15" t="s">
        <v>42</v>
      </c>
      <c r="C8" s="15" t="s">
        <v>42</v>
      </c>
      <c r="D8" s="15" t="s">
        <v>42</v>
      </c>
      <c r="E8" s="15" t="s">
        <v>42</v>
      </c>
      <c r="F8" s="15" t="s">
        <v>42</v>
      </c>
      <c r="G8" s="15" t="s">
        <v>42</v>
      </c>
    </row>
    <row r="9" spans="1:8" x14ac:dyDescent="0.25">
      <c r="A9" s="15" t="s">
        <v>43</v>
      </c>
      <c r="B9" s="19">
        <v>46087</v>
      </c>
      <c r="C9" s="19">
        <v>46087</v>
      </c>
      <c r="D9" s="19">
        <v>46087</v>
      </c>
      <c r="E9" s="19">
        <v>46087</v>
      </c>
      <c r="F9" s="19">
        <v>46087</v>
      </c>
      <c r="G9" s="19">
        <v>46087</v>
      </c>
    </row>
    <row r="10" spans="1:8" x14ac:dyDescent="0.25">
      <c r="A10" s="15" t="s">
        <v>44</v>
      </c>
      <c r="B10" s="15" t="s">
        <v>45</v>
      </c>
      <c r="C10" s="15" t="s">
        <v>46</v>
      </c>
      <c r="D10" s="15" t="s">
        <v>47</v>
      </c>
      <c r="E10" s="15" t="s">
        <v>48</v>
      </c>
      <c r="F10" s="15" t="s">
        <v>49</v>
      </c>
      <c r="G10" s="15" t="s">
        <v>50</v>
      </c>
    </row>
    <row r="11" spans="1:8" x14ac:dyDescent="0.25">
      <c r="A11" s="20">
        <v>21551</v>
      </c>
      <c r="B11" s="21"/>
      <c r="C11" s="21"/>
      <c r="D11" s="21">
        <v>5</v>
      </c>
      <c r="E11" s="21"/>
      <c r="F11" s="21"/>
      <c r="G11" s="21"/>
      <c r="H11" s="3"/>
    </row>
    <row r="12" spans="1:8" x14ac:dyDescent="0.25">
      <c r="A12" s="20">
        <v>21582</v>
      </c>
      <c r="B12" s="21"/>
      <c r="C12" s="21"/>
      <c r="D12" s="21">
        <v>5</v>
      </c>
      <c r="E12" s="21"/>
      <c r="F12" s="21"/>
      <c r="G12" s="21"/>
      <c r="H12" s="3"/>
    </row>
    <row r="13" spans="1:8" x14ac:dyDescent="0.25">
      <c r="A13" s="20">
        <v>21610</v>
      </c>
      <c r="B13" s="21"/>
      <c r="C13" s="21"/>
      <c r="D13" s="21">
        <v>5</v>
      </c>
      <c r="E13" s="21"/>
      <c r="F13" s="21"/>
      <c r="G13" s="21"/>
      <c r="H13" s="3"/>
    </row>
    <row r="14" spans="1:8" x14ac:dyDescent="0.25">
      <c r="A14" s="20">
        <v>21641</v>
      </c>
      <c r="B14" s="21"/>
      <c r="C14" s="21"/>
      <c r="D14" s="21">
        <v>5</v>
      </c>
      <c r="E14" s="21"/>
      <c r="F14" s="21"/>
      <c r="G14" s="21"/>
      <c r="H14" s="3"/>
    </row>
    <row r="15" spans="1:8" x14ac:dyDescent="0.25">
      <c r="A15" s="20">
        <v>21671</v>
      </c>
      <c r="B15" s="21"/>
      <c r="C15" s="21"/>
      <c r="D15" s="21">
        <v>5</v>
      </c>
      <c r="E15" s="21"/>
      <c r="F15" s="21"/>
      <c r="G15" s="21"/>
      <c r="H15" s="3"/>
    </row>
    <row r="16" spans="1:8" x14ac:dyDescent="0.25">
      <c r="A16" s="20">
        <v>21702</v>
      </c>
      <c r="B16" s="21"/>
      <c r="C16" s="21"/>
      <c r="D16" s="21">
        <v>5</v>
      </c>
      <c r="E16" s="21"/>
      <c r="F16" s="21"/>
      <c r="G16" s="21"/>
      <c r="H16" s="3"/>
    </row>
    <row r="17" spans="1:8" x14ac:dyDescent="0.25">
      <c r="A17" s="20">
        <v>21732</v>
      </c>
      <c r="B17" s="21"/>
      <c r="C17" s="21"/>
      <c r="D17" s="21">
        <v>5</v>
      </c>
      <c r="E17" s="21"/>
      <c r="F17" s="21"/>
      <c r="G17" s="21"/>
      <c r="H17" s="3"/>
    </row>
    <row r="18" spans="1:8" x14ac:dyDescent="0.25">
      <c r="A18" s="20">
        <v>21763</v>
      </c>
      <c r="B18" s="21"/>
      <c r="C18" s="21"/>
      <c r="D18" s="21">
        <v>5</v>
      </c>
      <c r="E18" s="21"/>
      <c r="F18" s="21"/>
      <c r="G18" s="21"/>
      <c r="H18" s="3"/>
    </row>
    <row r="19" spans="1:8" x14ac:dyDescent="0.25">
      <c r="A19" s="20">
        <v>21794</v>
      </c>
      <c r="B19" s="21"/>
      <c r="C19" s="21"/>
      <c r="D19" s="21">
        <v>5</v>
      </c>
      <c r="E19" s="21"/>
      <c r="F19" s="21"/>
      <c r="G19" s="21"/>
      <c r="H19" s="3"/>
    </row>
    <row r="20" spans="1:8" x14ac:dyDescent="0.25">
      <c r="A20" s="20">
        <v>21824</v>
      </c>
      <c r="B20" s="21"/>
      <c r="C20" s="21"/>
      <c r="D20" s="21">
        <v>5</v>
      </c>
      <c r="E20" s="21"/>
      <c r="F20" s="21"/>
      <c r="G20" s="21"/>
      <c r="H20" s="3"/>
    </row>
    <row r="21" spans="1:8" x14ac:dyDescent="0.25">
      <c r="A21" s="20">
        <v>21855</v>
      </c>
      <c r="B21" s="21"/>
      <c r="C21" s="21"/>
      <c r="D21" s="21">
        <v>5</v>
      </c>
      <c r="E21" s="21"/>
      <c r="F21" s="21"/>
      <c r="G21" s="21"/>
      <c r="H21" s="3"/>
    </row>
    <row r="22" spans="1:8" x14ac:dyDescent="0.25">
      <c r="A22" s="20">
        <v>21885</v>
      </c>
      <c r="B22" s="21"/>
      <c r="C22" s="21"/>
      <c r="D22" s="21">
        <v>5</v>
      </c>
      <c r="E22" s="21"/>
      <c r="F22" s="21"/>
      <c r="G22" s="21"/>
      <c r="H22" s="3"/>
    </row>
    <row r="23" spans="1:8" x14ac:dyDescent="0.25">
      <c r="A23" s="20">
        <v>21916</v>
      </c>
      <c r="B23" s="21"/>
      <c r="C23" s="21"/>
      <c r="D23" s="21">
        <v>5</v>
      </c>
      <c r="E23" s="21"/>
      <c r="F23" s="21"/>
      <c r="G23" s="21"/>
      <c r="H23" s="3"/>
    </row>
    <row r="24" spans="1:8" x14ac:dyDescent="0.25">
      <c r="A24" s="20">
        <v>21947</v>
      </c>
      <c r="B24" s="21"/>
      <c r="C24" s="21"/>
      <c r="D24" s="21">
        <v>5</v>
      </c>
      <c r="E24" s="21"/>
      <c r="F24" s="21"/>
      <c r="G24" s="21"/>
      <c r="H24" s="3"/>
    </row>
    <row r="25" spans="1:8" x14ac:dyDescent="0.25">
      <c r="A25" s="20">
        <v>21976</v>
      </c>
      <c r="B25" s="21"/>
      <c r="C25" s="21"/>
      <c r="D25" s="21">
        <v>5</v>
      </c>
      <c r="E25" s="21"/>
      <c r="F25" s="21"/>
      <c r="G25" s="21"/>
      <c r="H25" s="3"/>
    </row>
    <row r="26" spans="1:8" x14ac:dyDescent="0.25">
      <c r="A26" s="20">
        <v>22007</v>
      </c>
      <c r="B26" s="21"/>
      <c r="C26" s="21"/>
      <c r="D26" s="21">
        <v>5</v>
      </c>
      <c r="E26" s="21"/>
      <c r="F26" s="21"/>
      <c r="G26" s="21"/>
      <c r="H26" s="3"/>
    </row>
    <row r="27" spans="1:8" x14ac:dyDescent="0.25">
      <c r="A27" s="20">
        <v>22037</v>
      </c>
      <c r="B27" s="21"/>
      <c r="C27" s="21"/>
      <c r="D27" s="21">
        <v>5</v>
      </c>
      <c r="E27" s="21"/>
      <c r="F27" s="21"/>
      <c r="G27" s="21"/>
      <c r="H27" s="3"/>
    </row>
    <row r="28" spans="1:8" x14ac:dyDescent="0.25">
      <c r="A28" s="20">
        <v>22068</v>
      </c>
      <c r="B28" s="21"/>
      <c r="C28" s="21"/>
      <c r="D28" s="21">
        <v>5</v>
      </c>
      <c r="E28" s="21"/>
      <c r="F28" s="21"/>
      <c r="G28" s="21"/>
      <c r="H28" s="3"/>
    </row>
    <row r="29" spans="1:8" x14ac:dyDescent="0.25">
      <c r="A29" s="20">
        <v>22098</v>
      </c>
      <c r="B29" s="21"/>
      <c r="C29" s="21"/>
      <c r="D29" s="21">
        <v>5</v>
      </c>
      <c r="E29" s="21"/>
      <c r="F29" s="21"/>
      <c r="G29" s="21"/>
      <c r="H29" s="3"/>
    </row>
    <row r="30" spans="1:8" x14ac:dyDescent="0.25">
      <c r="A30" s="20">
        <v>22129</v>
      </c>
      <c r="B30" s="21"/>
      <c r="C30" s="21"/>
      <c r="D30" s="21">
        <v>5</v>
      </c>
      <c r="E30" s="21"/>
      <c r="F30" s="21"/>
      <c r="G30" s="21"/>
      <c r="H30" s="3"/>
    </row>
    <row r="31" spans="1:8" x14ac:dyDescent="0.25">
      <c r="A31" s="20">
        <v>22160</v>
      </c>
      <c r="B31" s="21"/>
      <c r="C31" s="21"/>
      <c r="D31" s="21">
        <v>5</v>
      </c>
      <c r="E31" s="21"/>
      <c r="F31" s="21"/>
      <c r="G31" s="21"/>
      <c r="H31" s="3"/>
    </row>
    <row r="32" spans="1:8" x14ac:dyDescent="0.25">
      <c r="A32" s="20">
        <v>22190</v>
      </c>
      <c r="B32" s="21"/>
      <c r="C32" s="21"/>
      <c r="D32" s="21">
        <v>5</v>
      </c>
      <c r="E32" s="21"/>
      <c r="F32" s="21"/>
      <c r="G32" s="21"/>
      <c r="H32" s="3"/>
    </row>
    <row r="33" spans="1:8" x14ac:dyDescent="0.25">
      <c r="A33" s="20">
        <v>22221</v>
      </c>
      <c r="B33" s="21"/>
      <c r="C33" s="21"/>
      <c r="D33" s="21">
        <v>5</v>
      </c>
      <c r="E33" s="21"/>
      <c r="F33" s="21"/>
      <c r="G33" s="21"/>
      <c r="H33" s="3"/>
    </row>
    <row r="34" spans="1:8" x14ac:dyDescent="0.25">
      <c r="A34" s="20">
        <v>22251</v>
      </c>
      <c r="B34" s="21"/>
      <c r="C34" s="21"/>
      <c r="D34" s="21">
        <v>5</v>
      </c>
      <c r="E34" s="21"/>
      <c r="F34" s="21"/>
      <c r="G34" s="21"/>
      <c r="H34" s="3"/>
    </row>
    <row r="35" spans="1:8" x14ac:dyDescent="0.25">
      <c r="A35" s="20">
        <v>22282</v>
      </c>
      <c r="B35" s="21"/>
      <c r="C35" s="21"/>
      <c r="D35" s="21">
        <v>5.5</v>
      </c>
      <c r="E35" s="21"/>
      <c r="F35" s="21"/>
      <c r="G35" s="21"/>
      <c r="H35" s="3"/>
    </row>
    <row r="36" spans="1:8" x14ac:dyDescent="0.25">
      <c r="A36" s="20">
        <v>22313</v>
      </c>
      <c r="B36" s="21"/>
      <c r="C36" s="21"/>
      <c r="D36" s="21">
        <v>5.5</v>
      </c>
      <c r="E36" s="21"/>
      <c r="F36" s="21"/>
      <c r="G36" s="21"/>
      <c r="H36" s="3"/>
    </row>
    <row r="37" spans="1:8" x14ac:dyDescent="0.25">
      <c r="A37" s="20">
        <v>22341</v>
      </c>
      <c r="B37" s="21"/>
      <c r="C37" s="21"/>
      <c r="D37" s="21">
        <v>5.5</v>
      </c>
      <c r="E37" s="21"/>
      <c r="F37" s="21"/>
      <c r="G37" s="21"/>
      <c r="H37" s="3"/>
    </row>
    <row r="38" spans="1:8" x14ac:dyDescent="0.25">
      <c r="A38" s="20">
        <v>22372</v>
      </c>
      <c r="B38" s="21"/>
      <c r="C38" s="21"/>
      <c r="D38" s="21">
        <v>5.5</v>
      </c>
      <c r="E38" s="21"/>
      <c r="F38" s="21"/>
      <c r="G38" s="21"/>
      <c r="H38" s="3"/>
    </row>
    <row r="39" spans="1:8" x14ac:dyDescent="0.25">
      <c r="A39" s="20">
        <v>22402</v>
      </c>
      <c r="B39" s="21"/>
      <c r="C39" s="21"/>
      <c r="D39" s="21">
        <v>5.5</v>
      </c>
      <c r="E39" s="21"/>
      <c r="F39" s="21"/>
      <c r="G39" s="21"/>
      <c r="H39" s="3"/>
    </row>
    <row r="40" spans="1:8" x14ac:dyDescent="0.25">
      <c r="A40" s="20">
        <v>22433</v>
      </c>
      <c r="B40" s="21"/>
      <c r="C40" s="21"/>
      <c r="D40" s="21">
        <v>5.5</v>
      </c>
      <c r="E40" s="21"/>
      <c r="F40" s="21"/>
      <c r="G40" s="21"/>
      <c r="H40" s="3"/>
    </row>
    <row r="41" spans="1:8" x14ac:dyDescent="0.25">
      <c r="A41" s="20">
        <v>22463</v>
      </c>
      <c r="B41" s="21"/>
      <c r="C41" s="21"/>
      <c r="D41" s="21">
        <v>5.5</v>
      </c>
      <c r="E41" s="21"/>
      <c r="F41" s="21"/>
      <c r="G41" s="21"/>
      <c r="H41" s="3"/>
    </row>
    <row r="42" spans="1:8" x14ac:dyDescent="0.25">
      <c r="A42" s="20">
        <v>22494</v>
      </c>
      <c r="B42" s="21"/>
      <c r="C42" s="21"/>
      <c r="D42" s="21">
        <v>5.5</v>
      </c>
      <c r="E42" s="21"/>
      <c r="F42" s="21"/>
      <c r="G42" s="21"/>
      <c r="H42" s="3"/>
    </row>
    <row r="43" spans="1:8" x14ac:dyDescent="0.25">
      <c r="A43" s="20">
        <v>22525</v>
      </c>
      <c r="B43" s="21"/>
      <c r="C43" s="21"/>
      <c r="D43" s="21">
        <v>5.5</v>
      </c>
      <c r="E43" s="21"/>
      <c r="F43" s="21"/>
      <c r="G43" s="21"/>
      <c r="H43" s="3"/>
    </row>
    <row r="44" spans="1:8" x14ac:dyDescent="0.25">
      <c r="A44" s="20">
        <v>22555</v>
      </c>
      <c r="B44" s="21"/>
      <c r="C44" s="21"/>
      <c r="D44" s="21">
        <v>5.5</v>
      </c>
      <c r="E44" s="21"/>
      <c r="F44" s="21"/>
      <c r="G44" s="21"/>
      <c r="H44" s="3"/>
    </row>
    <row r="45" spans="1:8" x14ac:dyDescent="0.25">
      <c r="A45" s="20">
        <v>22586</v>
      </c>
      <c r="B45" s="21"/>
      <c r="C45" s="21"/>
      <c r="D45" s="21">
        <v>5.5</v>
      </c>
      <c r="E45" s="21"/>
      <c r="F45" s="21"/>
      <c r="G45" s="21"/>
      <c r="H45" s="3"/>
    </row>
    <row r="46" spans="1:8" x14ac:dyDescent="0.25">
      <c r="A46" s="20">
        <v>22616</v>
      </c>
      <c r="B46" s="21"/>
      <c r="C46" s="21"/>
      <c r="D46" s="21">
        <v>5.5</v>
      </c>
      <c r="E46" s="21"/>
      <c r="F46" s="21"/>
      <c r="G46" s="21"/>
      <c r="H46" s="3"/>
    </row>
    <row r="47" spans="1:8" x14ac:dyDescent="0.25">
      <c r="A47" s="20">
        <v>22647</v>
      </c>
      <c r="B47" s="21"/>
      <c r="C47" s="21"/>
      <c r="D47" s="21">
        <v>5.5</v>
      </c>
      <c r="E47" s="21"/>
      <c r="F47" s="21"/>
      <c r="G47" s="21"/>
      <c r="H47" s="3"/>
    </row>
    <row r="48" spans="1:8" x14ac:dyDescent="0.25">
      <c r="A48" s="20">
        <v>22678</v>
      </c>
      <c r="B48" s="21"/>
      <c r="C48" s="21"/>
      <c r="D48" s="21">
        <v>5.5</v>
      </c>
      <c r="E48" s="21"/>
      <c r="F48" s="21"/>
      <c r="G48" s="21"/>
      <c r="H48" s="3"/>
    </row>
    <row r="49" spans="1:8" x14ac:dyDescent="0.25">
      <c r="A49" s="20">
        <v>22706</v>
      </c>
      <c r="B49" s="21"/>
      <c r="C49" s="21"/>
      <c r="D49" s="21">
        <v>5.5</v>
      </c>
      <c r="E49" s="21"/>
      <c r="F49" s="21"/>
      <c r="G49" s="21"/>
      <c r="H49" s="3"/>
    </row>
    <row r="50" spans="1:8" x14ac:dyDescent="0.25">
      <c r="A50" s="20">
        <v>22737</v>
      </c>
      <c r="B50" s="21"/>
      <c r="C50" s="21"/>
      <c r="D50" s="21">
        <v>5.5</v>
      </c>
      <c r="E50" s="21"/>
      <c r="F50" s="21"/>
      <c r="G50" s="21"/>
      <c r="H50" s="3"/>
    </row>
    <row r="51" spans="1:8" x14ac:dyDescent="0.25">
      <c r="A51" s="20">
        <v>22767</v>
      </c>
      <c r="B51" s="21"/>
      <c r="C51" s="21"/>
      <c r="D51" s="21">
        <v>5.5</v>
      </c>
      <c r="E51" s="21"/>
      <c r="F51" s="21"/>
      <c r="G51" s="21"/>
      <c r="H51" s="3"/>
    </row>
    <row r="52" spans="1:8" x14ac:dyDescent="0.25">
      <c r="A52" s="20">
        <v>22798</v>
      </c>
      <c r="B52" s="21"/>
      <c r="C52" s="21"/>
      <c r="D52" s="21">
        <v>5.5</v>
      </c>
      <c r="E52" s="21"/>
      <c r="F52" s="21"/>
      <c r="G52" s="21"/>
      <c r="H52" s="3"/>
    </row>
    <row r="53" spans="1:8" x14ac:dyDescent="0.25">
      <c r="A53" s="20">
        <v>22828</v>
      </c>
      <c r="B53" s="21"/>
      <c r="C53" s="21"/>
      <c r="D53" s="21">
        <v>5.5</v>
      </c>
      <c r="E53" s="21"/>
      <c r="F53" s="21"/>
      <c r="G53" s="21"/>
      <c r="H53" s="3"/>
    </row>
    <row r="54" spans="1:8" x14ac:dyDescent="0.25">
      <c r="A54" s="20">
        <v>22859</v>
      </c>
      <c r="B54" s="21"/>
      <c r="C54" s="21"/>
      <c r="D54" s="21">
        <v>5.5</v>
      </c>
      <c r="E54" s="21"/>
      <c r="F54" s="21"/>
      <c r="G54" s="21"/>
      <c r="H54" s="3"/>
    </row>
    <row r="55" spans="1:8" x14ac:dyDescent="0.25">
      <c r="A55" s="20">
        <v>22890</v>
      </c>
      <c r="B55" s="21"/>
      <c r="C55" s="21"/>
      <c r="D55" s="21">
        <v>5.5</v>
      </c>
      <c r="E55" s="21"/>
      <c r="F55" s="21"/>
      <c r="G55" s="21"/>
      <c r="H55" s="3"/>
    </row>
    <row r="56" spans="1:8" x14ac:dyDescent="0.25">
      <c r="A56" s="20">
        <v>22920</v>
      </c>
      <c r="B56" s="21"/>
      <c r="C56" s="21"/>
      <c r="D56" s="21">
        <v>5.5</v>
      </c>
      <c r="E56" s="21"/>
      <c r="F56" s="21"/>
      <c r="G56" s="21"/>
      <c r="H56" s="3"/>
    </row>
    <row r="57" spans="1:8" x14ac:dyDescent="0.25">
      <c r="A57" s="20">
        <v>22951</v>
      </c>
      <c r="B57" s="21"/>
      <c r="C57" s="21"/>
      <c r="D57" s="21">
        <v>5.5</v>
      </c>
      <c r="E57" s="21"/>
      <c r="F57" s="21"/>
      <c r="G57" s="21"/>
      <c r="H57" s="3"/>
    </row>
    <row r="58" spans="1:8" x14ac:dyDescent="0.25">
      <c r="A58" s="20">
        <v>22981</v>
      </c>
      <c r="B58" s="21"/>
      <c r="C58" s="21"/>
      <c r="D58" s="21">
        <v>5.5</v>
      </c>
      <c r="E58" s="21"/>
      <c r="F58" s="21"/>
      <c r="G58" s="21"/>
      <c r="H58" s="3"/>
    </row>
    <row r="59" spans="1:8" x14ac:dyDescent="0.25">
      <c r="A59" s="20">
        <v>23012</v>
      </c>
      <c r="B59" s="21"/>
      <c r="C59" s="21"/>
      <c r="D59" s="21">
        <v>5.5</v>
      </c>
      <c r="E59" s="21"/>
      <c r="F59" s="21"/>
      <c r="G59" s="21"/>
      <c r="H59" s="3"/>
    </row>
    <row r="60" spans="1:8" x14ac:dyDescent="0.25">
      <c r="A60" s="20">
        <v>23043</v>
      </c>
      <c r="B60" s="21"/>
      <c r="C60" s="21"/>
      <c r="D60" s="21">
        <v>5.5</v>
      </c>
      <c r="E60" s="21"/>
      <c r="F60" s="21"/>
      <c r="G60" s="21"/>
      <c r="H60" s="3"/>
    </row>
    <row r="61" spans="1:8" x14ac:dyDescent="0.25">
      <c r="A61" s="20">
        <v>23071</v>
      </c>
      <c r="B61" s="21"/>
      <c r="C61" s="21"/>
      <c r="D61" s="21">
        <v>5.5</v>
      </c>
      <c r="E61" s="21"/>
      <c r="F61" s="21"/>
      <c r="G61" s="21"/>
      <c r="H61" s="3"/>
    </row>
    <row r="62" spans="1:8" x14ac:dyDescent="0.25">
      <c r="A62" s="20">
        <v>23102</v>
      </c>
      <c r="B62" s="21"/>
      <c r="C62" s="21"/>
      <c r="D62" s="21">
        <v>5</v>
      </c>
      <c r="E62" s="21"/>
      <c r="F62" s="21"/>
      <c r="G62" s="21"/>
      <c r="H62" s="3"/>
    </row>
    <row r="63" spans="1:8" x14ac:dyDescent="0.25">
      <c r="A63" s="20">
        <v>23132</v>
      </c>
      <c r="B63" s="21"/>
      <c r="C63" s="21"/>
      <c r="D63" s="21">
        <v>5</v>
      </c>
      <c r="E63" s="21"/>
      <c r="F63" s="21"/>
      <c r="G63" s="21"/>
      <c r="H63" s="3"/>
    </row>
    <row r="64" spans="1:8" x14ac:dyDescent="0.25">
      <c r="A64" s="20">
        <v>23163</v>
      </c>
      <c r="B64" s="21"/>
      <c r="C64" s="21"/>
      <c r="D64" s="21">
        <v>5</v>
      </c>
      <c r="E64" s="21"/>
      <c r="F64" s="21"/>
      <c r="G64" s="21"/>
      <c r="H64" s="3"/>
    </row>
    <row r="65" spans="1:8" x14ac:dyDescent="0.25">
      <c r="A65" s="20">
        <v>23193</v>
      </c>
      <c r="B65" s="21"/>
      <c r="C65" s="21"/>
      <c r="D65" s="21">
        <v>5</v>
      </c>
      <c r="E65" s="21"/>
      <c r="F65" s="21"/>
      <c r="G65" s="21"/>
      <c r="H65" s="3"/>
    </row>
    <row r="66" spans="1:8" x14ac:dyDescent="0.25">
      <c r="A66" s="20">
        <v>23224</v>
      </c>
      <c r="B66" s="21"/>
      <c r="C66" s="21"/>
      <c r="D66" s="21">
        <v>5</v>
      </c>
      <c r="E66" s="21"/>
      <c r="F66" s="21"/>
      <c r="G66" s="21"/>
      <c r="H66" s="3"/>
    </row>
    <row r="67" spans="1:8" x14ac:dyDescent="0.25">
      <c r="A67" s="20">
        <v>23255</v>
      </c>
      <c r="B67" s="21"/>
      <c r="C67" s="21"/>
      <c r="D67" s="21">
        <v>5</v>
      </c>
      <c r="E67" s="21"/>
      <c r="F67" s="21"/>
      <c r="G67" s="21"/>
      <c r="H67" s="3"/>
    </row>
    <row r="68" spans="1:8" x14ac:dyDescent="0.25">
      <c r="A68" s="20">
        <v>23285</v>
      </c>
      <c r="B68" s="21"/>
      <c r="C68" s="21"/>
      <c r="D68" s="21">
        <v>5</v>
      </c>
      <c r="E68" s="21"/>
      <c r="F68" s="21"/>
      <c r="G68" s="21"/>
      <c r="H68" s="3"/>
    </row>
    <row r="69" spans="1:8" x14ac:dyDescent="0.25">
      <c r="A69" s="20">
        <v>23316</v>
      </c>
      <c r="B69" s="21"/>
      <c r="C69" s="21"/>
      <c r="D69" s="21">
        <v>5</v>
      </c>
      <c r="E69" s="21"/>
      <c r="F69" s="21"/>
      <c r="G69" s="21"/>
      <c r="H69" s="3"/>
    </row>
    <row r="70" spans="1:8" x14ac:dyDescent="0.25">
      <c r="A70" s="20">
        <v>23346</v>
      </c>
      <c r="B70" s="21"/>
      <c r="C70" s="21"/>
      <c r="D70" s="21">
        <v>5</v>
      </c>
      <c r="E70" s="21"/>
      <c r="F70" s="21"/>
      <c r="G70" s="21"/>
      <c r="H70" s="3"/>
    </row>
    <row r="71" spans="1:8" x14ac:dyDescent="0.25">
      <c r="A71" s="20">
        <v>23377</v>
      </c>
      <c r="B71" s="21"/>
      <c r="C71" s="21"/>
      <c r="D71" s="21">
        <v>5</v>
      </c>
      <c r="E71" s="21"/>
      <c r="F71" s="21"/>
      <c r="G71" s="21"/>
      <c r="H71" s="3"/>
    </row>
    <row r="72" spans="1:8" x14ac:dyDescent="0.25">
      <c r="A72" s="20">
        <v>23408</v>
      </c>
      <c r="B72" s="21"/>
      <c r="C72" s="21"/>
      <c r="D72" s="21">
        <v>5</v>
      </c>
      <c r="E72" s="21"/>
      <c r="F72" s="21"/>
      <c r="G72" s="21"/>
      <c r="H72" s="3"/>
    </row>
    <row r="73" spans="1:8" x14ac:dyDescent="0.25">
      <c r="A73" s="20">
        <v>23437</v>
      </c>
      <c r="B73" s="21"/>
      <c r="C73" s="21"/>
      <c r="D73" s="21">
        <v>5</v>
      </c>
      <c r="E73" s="21"/>
      <c r="F73" s="21"/>
      <c r="G73" s="21"/>
      <c r="H73" s="3"/>
    </row>
    <row r="74" spans="1:8" x14ac:dyDescent="0.25">
      <c r="A74" s="20">
        <v>23468</v>
      </c>
      <c r="B74" s="21"/>
      <c r="C74" s="21"/>
      <c r="D74" s="21">
        <v>5</v>
      </c>
      <c r="E74" s="21"/>
      <c r="F74" s="21"/>
      <c r="G74" s="21"/>
      <c r="H74" s="3"/>
    </row>
    <row r="75" spans="1:8" x14ac:dyDescent="0.25">
      <c r="A75" s="20">
        <v>23498</v>
      </c>
      <c r="B75" s="21"/>
      <c r="C75" s="21"/>
      <c r="D75" s="21">
        <v>5</v>
      </c>
      <c r="E75" s="21"/>
      <c r="F75" s="21"/>
      <c r="G75" s="21"/>
      <c r="H75" s="3"/>
    </row>
    <row r="76" spans="1:8" x14ac:dyDescent="0.25">
      <c r="A76" s="20">
        <v>23529</v>
      </c>
      <c r="B76" s="21"/>
      <c r="C76" s="21"/>
      <c r="D76" s="21">
        <v>5.13</v>
      </c>
      <c r="E76" s="21"/>
      <c r="F76" s="21"/>
      <c r="G76" s="21"/>
      <c r="H76" s="3"/>
    </row>
    <row r="77" spans="1:8" x14ac:dyDescent="0.25">
      <c r="A77" s="20">
        <v>23559</v>
      </c>
      <c r="B77" s="21"/>
      <c r="C77" s="21"/>
      <c r="D77" s="21">
        <v>5.13</v>
      </c>
      <c r="E77" s="21"/>
      <c r="F77" s="21"/>
      <c r="G77" s="21"/>
      <c r="H77" s="3"/>
    </row>
    <row r="78" spans="1:8" x14ac:dyDescent="0.25">
      <c r="A78" s="20">
        <v>23590</v>
      </c>
      <c r="B78" s="21"/>
      <c r="C78" s="21"/>
      <c r="D78" s="21">
        <v>5.13</v>
      </c>
      <c r="E78" s="21"/>
      <c r="F78" s="21"/>
      <c r="G78" s="21"/>
      <c r="H78" s="3"/>
    </row>
    <row r="79" spans="1:8" x14ac:dyDescent="0.25">
      <c r="A79" s="20">
        <v>23621</v>
      </c>
      <c r="B79" s="21"/>
      <c r="C79" s="21"/>
      <c r="D79" s="21">
        <v>5.13</v>
      </c>
      <c r="E79" s="21"/>
      <c r="F79" s="21"/>
      <c r="G79" s="21"/>
      <c r="H79" s="3"/>
    </row>
    <row r="80" spans="1:8" x14ac:dyDescent="0.25">
      <c r="A80" s="20">
        <v>23651</v>
      </c>
      <c r="B80" s="21"/>
      <c r="C80" s="21"/>
      <c r="D80" s="21">
        <v>5.13</v>
      </c>
      <c r="E80" s="21"/>
      <c r="F80" s="21"/>
      <c r="G80" s="21"/>
      <c r="H80" s="3"/>
    </row>
    <row r="81" spans="1:8" x14ac:dyDescent="0.25">
      <c r="A81" s="20">
        <v>23682</v>
      </c>
      <c r="B81" s="21"/>
      <c r="C81" s="21"/>
      <c r="D81" s="21">
        <v>5.13</v>
      </c>
      <c r="E81" s="21"/>
      <c r="F81" s="21"/>
      <c r="G81" s="21"/>
      <c r="H81" s="3"/>
    </row>
    <row r="82" spans="1:8" x14ac:dyDescent="0.25">
      <c r="A82" s="20">
        <v>23712</v>
      </c>
      <c r="B82" s="21"/>
      <c r="C82" s="21"/>
      <c r="D82" s="21">
        <v>5.13</v>
      </c>
      <c r="E82" s="21"/>
      <c r="F82" s="21"/>
      <c r="G82" s="21"/>
      <c r="H82" s="3"/>
    </row>
    <row r="83" spans="1:8" x14ac:dyDescent="0.25">
      <c r="A83" s="20">
        <v>23743</v>
      </c>
      <c r="B83" s="21"/>
      <c r="C83" s="21"/>
      <c r="D83" s="21">
        <v>5.13</v>
      </c>
      <c r="E83" s="21"/>
      <c r="F83" s="21"/>
      <c r="G83" s="21"/>
      <c r="H83" s="3"/>
    </row>
    <row r="84" spans="1:8" x14ac:dyDescent="0.25">
      <c r="A84" s="20">
        <v>23774</v>
      </c>
      <c r="B84" s="21"/>
      <c r="C84" s="21"/>
      <c r="D84" s="21">
        <v>5.13</v>
      </c>
      <c r="E84" s="21"/>
      <c r="F84" s="21"/>
      <c r="G84" s="21"/>
      <c r="H84" s="3"/>
    </row>
    <row r="85" spans="1:8" x14ac:dyDescent="0.25">
      <c r="A85" s="20">
        <v>23802</v>
      </c>
      <c r="B85" s="21"/>
      <c r="C85" s="21"/>
      <c r="D85" s="21">
        <v>5.13</v>
      </c>
      <c r="E85" s="21"/>
      <c r="F85" s="21"/>
      <c r="G85" s="21"/>
      <c r="H85" s="3"/>
    </row>
    <row r="86" spans="1:8" x14ac:dyDescent="0.25">
      <c r="A86" s="20">
        <v>23833</v>
      </c>
      <c r="B86" s="21"/>
      <c r="C86" s="21"/>
      <c r="D86" s="21">
        <v>5.38</v>
      </c>
      <c r="E86" s="21"/>
      <c r="F86" s="21"/>
      <c r="G86" s="21"/>
      <c r="H86" s="3"/>
    </row>
    <row r="87" spans="1:8" x14ac:dyDescent="0.25">
      <c r="A87" s="20">
        <v>23863</v>
      </c>
      <c r="B87" s="21"/>
      <c r="C87" s="21"/>
      <c r="D87" s="21">
        <v>5.38</v>
      </c>
      <c r="E87" s="21"/>
      <c r="F87" s="21"/>
      <c r="G87" s="21"/>
      <c r="H87" s="3"/>
    </row>
    <row r="88" spans="1:8" x14ac:dyDescent="0.25">
      <c r="A88" s="20">
        <v>23894</v>
      </c>
      <c r="B88" s="21"/>
      <c r="C88" s="21"/>
      <c r="D88" s="21">
        <v>5.38</v>
      </c>
      <c r="E88" s="21"/>
      <c r="F88" s="21"/>
      <c r="G88" s="21"/>
      <c r="H88" s="3"/>
    </row>
    <row r="89" spans="1:8" x14ac:dyDescent="0.25">
      <c r="A89" s="20">
        <v>23924</v>
      </c>
      <c r="B89" s="21"/>
      <c r="C89" s="21"/>
      <c r="D89" s="21">
        <v>5.38</v>
      </c>
      <c r="E89" s="21"/>
      <c r="F89" s="21"/>
      <c r="G89" s="21"/>
      <c r="H89" s="3"/>
    </row>
    <row r="90" spans="1:8" x14ac:dyDescent="0.25">
      <c r="A90" s="20">
        <v>23955</v>
      </c>
      <c r="B90" s="21"/>
      <c r="C90" s="21"/>
      <c r="D90" s="21">
        <v>5.38</v>
      </c>
      <c r="E90" s="21"/>
      <c r="F90" s="21"/>
      <c r="G90" s="21"/>
      <c r="H90" s="3"/>
    </row>
    <row r="91" spans="1:8" x14ac:dyDescent="0.25">
      <c r="A91" s="20">
        <v>23986</v>
      </c>
      <c r="B91" s="21"/>
      <c r="C91" s="21"/>
      <c r="D91" s="21">
        <v>5.38</v>
      </c>
      <c r="E91" s="21"/>
      <c r="F91" s="21"/>
      <c r="G91" s="21"/>
      <c r="H91" s="3"/>
    </row>
    <row r="92" spans="1:8" x14ac:dyDescent="0.25">
      <c r="A92" s="20">
        <v>24016</v>
      </c>
      <c r="B92" s="21"/>
      <c r="C92" s="21"/>
      <c r="D92" s="21">
        <v>5.38</v>
      </c>
      <c r="E92" s="21"/>
      <c r="F92" s="21"/>
      <c r="G92" s="21"/>
      <c r="H92" s="3"/>
    </row>
    <row r="93" spans="1:8" x14ac:dyDescent="0.25">
      <c r="A93" s="20">
        <v>24047</v>
      </c>
      <c r="B93" s="21"/>
      <c r="C93" s="21"/>
      <c r="D93" s="21">
        <v>5.38</v>
      </c>
      <c r="E93" s="21"/>
      <c r="F93" s="21"/>
      <c r="G93" s="21"/>
      <c r="H93" s="3"/>
    </row>
    <row r="94" spans="1:8" x14ac:dyDescent="0.25">
      <c r="A94" s="20">
        <v>24077</v>
      </c>
      <c r="B94" s="21"/>
      <c r="C94" s="21"/>
      <c r="D94" s="21">
        <v>5.38</v>
      </c>
      <c r="E94" s="21"/>
      <c r="F94" s="21"/>
      <c r="G94" s="21"/>
      <c r="H94" s="3"/>
    </row>
    <row r="95" spans="1:8" x14ac:dyDescent="0.25">
      <c r="A95" s="20">
        <v>24108</v>
      </c>
      <c r="B95" s="21"/>
      <c r="C95" s="21"/>
      <c r="D95" s="21">
        <v>5.38</v>
      </c>
      <c r="E95" s="21"/>
      <c r="F95" s="21"/>
      <c r="G95" s="21"/>
      <c r="H95" s="3"/>
    </row>
    <row r="96" spans="1:8" x14ac:dyDescent="0.25">
      <c r="A96" s="20">
        <v>24139</v>
      </c>
      <c r="B96" s="21"/>
      <c r="C96" s="21"/>
      <c r="D96" s="21">
        <v>5.38</v>
      </c>
      <c r="E96" s="21"/>
      <c r="F96" s="21"/>
      <c r="G96" s="21"/>
      <c r="H96" s="3"/>
    </row>
    <row r="97" spans="1:8" x14ac:dyDescent="0.25">
      <c r="A97" s="20">
        <v>24167</v>
      </c>
      <c r="B97" s="21"/>
      <c r="C97" s="21"/>
      <c r="D97" s="21">
        <v>5.38</v>
      </c>
      <c r="E97" s="21"/>
      <c r="F97" s="21"/>
      <c r="G97" s="21"/>
      <c r="H97" s="3"/>
    </row>
    <row r="98" spans="1:8" x14ac:dyDescent="0.25">
      <c r="A98" s="20">
        <v>24198</v>
      </c>
      <c r="B98" s="21"/>
      <c r="C98" s="21"/>
      <c r="D98" s="21">
        <v>5.38</v>
      </c>
      <c r="E98" s="21"/>
      <c r="F98" s="21"/>
      <c r="G98" s="21"/>
      <c r="H98" s="3"/>
    </row>
    <row r="99" spans="1:8" x14ac:dyDescent="0.25">
      <c r="A99" s="20">
        <v>24228</v>
      </c>
      <c r="B99" s="21"/>
      <c r="C99" s="21"/>
      <c r="D99" s="21">
        <v>5.38</v>
      </c>
      <c r="E99" s="21"/>
      <c r="F99" s="21"/>
      <c r="G99" s="21"/>
      <c r="H99" s="3"/>
    </row>
    <row r="100" spans="1:8" x14ac:dyDescent="0.25">
      <c r="A100" s="20">
        <v>24259</v>
      </c>
      <c r="B100" s="21"/>
      <c r="C100" s="21"/>
      <c r="D100" s="21">
        <v>5.38</v>
      </c>
      <c r="E100" s="21"/>
      <c r="F100" s="21"/>
      <c r="G100" s="21"/>
      <c r="H100" s="3"/>
    </row>
    <row r="101" spans="1:8" x14ac:dyDescent="0.25">
      <c r="A101" s="20">
        <v>24289</v>
      </c>
      <c r="B101" s="21"/>
      <c r="C101" s="21"/>
      <c r="D101" s="21">
        <v>5.38</v>
      </c>
      <c r="E101" s="21"/>
      <c r="F101" s="21"/>
      <c r="G101" s="21"/>
      <c r="H101" s="3"/>
    </row>
    <row r="102" spans="1:8" x14ac:dyDescent="0.25">
      <c r="A102" s="20">
        <v>24320</v>
      </c>
      <c r="B102" s="21"/>
      <c r="C102" s="21"/>
      <c r="D102" s="21">
        <v>5.38</v>
      </c>
      <c r="E102" s="21"/>
      <c r="F102" s="21"/>
      <c r="G102" s="21"/>
      <c r="H102" s="3"/>
    </row>
    <row r="103" spans="1:8" x14ac:dyDescent="0.25">
      <c r="A103" s="20">
        <v>24351</v>
      </c>
      <c r="B103" s="21"/>
      <c r="C103" s="21"/>
      <c r="D103" s="21">
        <v>5.38</v>
      </c>
      <c r="E103" s="21"/>
      <c r="F103" s="21"/>
      <c r="G103" s="21"/>
      <c r="H103" s="3"/>
    </row>
    <row r="104" spans="1:8" x14ac:dyDescent="0.25">
      <c r="A104" s="20">
        <v>24381</v>
      </c>
      <c r="B104" s="21"/>
      <c r="C104" s="21"/>
      <c r="D104" s="21">
        <v>5.38</v>
      </c>
      <c r="E104" s="21"/>
      <c r="F104" s="21"/>
      <c r="G104" s="21"/>
      <c r="H104" s="3"/>
    </row>
    <row r="105" spans="1:8" x14ac:dyDescent="0.25">
      <c r="A105" s="20">
        <v>24412</v>
      </c>
      <c r="B105" s="21"/>
      <c r="C105" s="21"/>
      <c r="D105" s="21">
        <v>5.38</v>
      </c>
      <c r="E105" s="21"/>
      <c r="F105" s="21"/>
      <c r="G105" s="21"/>
      <c r="H105" s="3"/>
    </row>
    <row r="106" spans="1:8" x14ac:dyDescent="0.25">
      <c r="A106" s="20">
        <v>24442</v>
      </c>
      <c r="B106" s="21"/>
      <c r="C106" s="21"/>
      <c r="D106" s="21">
        <v>5.38</v>
      </c>
      <c r="E106" s="21"/>
      <c r="F106" s="21"/>
      <c r="G106" s="21"/>
      <c r="H106" s="3"/>
    </row>
    <row r="107" spans="1:8" x14ac:dyDescent="0.25">
      <c r="A107" s="20">
        <v>24473</v>
      </c>
      <c r="B107" s="21"/>
      <c r="C107" s="21"/>
      <c r="D107" s="21">
        <v>5.38</v>
      </c>
      <c r="E107" s="21"/>
      <c r="F107" s="21"/>
      <c r="G107" s="21"/>
      <c r="H107" s="3"/>
    </row>
    <row r="108" spans="1:8" x14ac:dyDescent="0.25">
      <c r="A108" s="20">
        <v>24504</v>
      </c>
      <c r="B108" s="21"/>
      <c r="C108" s="21"/>
      <c r="D108" s="21">
        <v>5.38</v>
      </c>
      <c r="E108" s="21"/>
      <c r="F108" s="21"/>
      <c r="G108" s="21"/>
      <c r="H108" s="3"/>
    </row>
    <row r="109" spans="1:8" x14ac:dyDescent="0.25">
      <c r="A109" s="20">
        <v>24532</v>
      </c>
      <c r="B109" s="21"/>
      <c r="C109" s="21"/>
      <c r="D109" s="21">
        <v>5.38</v>
      </c>
      <c r="E109" s="21"/>
      <c r="F109" s="21"/>
      <c r="G109" s="21"/>
      <c r="H109" s="3"/>
    </row>
    <row r="110" spans="1:8" x14ac:dyDescent="0.25">
      <c r="A110" s="20">
        <v>24563</v>
      </c>
      <c r="B110" s="21"/>
      <c r="C110" s="21"/>
      <c r="D110" s="21">
        <v>5.38</v>
      </c>
      <c r="E110" s="21"/>
      <c r="F110" s="21"/>
      <c r="G110" s="21"/>
      <c r="H110" s="3"/>
    </row>
    <row r="111" spans="1:8" x14ac:dyDescent="0.25">
      <c r="A111" s="20">
        <v>24593</v>
      </c>
      <c r="B111" s="21"/>
      <c r="C111" s="21"/>
      <c r="D111" s="21">
        <v>5.38</v>
      </c>
      <c r="E111" s="21"/>
      <c r="F111" s="21"/>
      <c r="G111" s="21"/>
      <c r="H111" s="3"/>
    </row>
    <row r="112" spans="1:8" x14ac:dyDescent="0.25">
      <c r="A112" s="20">
        <v>24624</v>
      </c>
      <c r="B112" s="21"/>
      <c r="C112" s="21"/>
      <c r="D112" s="21">
        <v>5.38</v>
      </c>
      <c r="E112" s="21"/>
      <c r="F112" s="21"/>
      <c r="G112" s="21"/>
      <c r="H112" s="3"/>
    </row>
    <row r="113" spans="1:8" x14ac:dyDescent="0.25">
      <c r="A113" s="20">
        <v>24654</v>
      </c>
      <c r="B113" s="21"/>
      <c r="C113" s="21"/>
      <c r="D113" s="21">
        <v>5.38</v>
      </c>
      <c r="E113" s="21"/>
      <c r="F113" s="21"/>
      <c r="G113" s="21"/>
      <c r="H113" s="3"/>
    </row>
    <row r="114" spans="1:8" x14ac:dyDescent="0.25">
      <c r="A114" s="20">
        <v>24685</v>
      </c>
      <c r="B114" s="21"/>
      <c r="C114" s="21"/>
      <c r="D114" s="21">
        <v>5.38</v>
      </c>
      <c r="E114" s="21"/>
      <c r="F114" s="21"/>
      <c r="G114" s="21"/>
      <c r="H114" s="3"/>
    </row>
    <row r="115" spans="1:8" x14ac:dyDescent="0.25">
      <c r="A115" s="20">
        <v>24716</v>
      </c>
      <c r="B115" s="21"/>
      <c r="C115" s="21"/>
      <c r="D115" s="21">
        <v>5.38</v>
      </c>
      <c r="E115" s="21"/>
      <c r="F115" s="21"/>
      <c r="G115" s="21"/>
      <c r="H115" s="3"/>
    </row>
    <row r="116" spans="1:8" x14ac:dyDescent="0.25">
      <c r="A116" s="20">
        <v>24746</v>
      </c>
      <c r="B116" s="21"/>
      <c r="C116" s="21"/>
      <c r="D116" s="21">
        <v>5.38</v>
      </c>
      <c r="E116" s="21"/>
      <c r="F116" s="21"/>
      <c r="G116" s="21"/>
      <c r="H116" s="3"/>
    </row>
    <row r="117" spans="1:8" x14ac:dyDescent="0.25">
      <c r="A117" s="20">
        <v>24777</v>
      </c>
      <c r="B117" s="21"/>
      <c r="C117" s="21"/>
      <c r="D117" s="21">
        <v>5.38</v>
      </c>
      <c r="E117" s="21"/>
      <c r="F117" s="21"/>
      <c r="G117" s="21"/>
      <c r="H117" s="3"/>
    </row>
    <row r="118" spans="1:8" x14ac:dyDescent="0.25">
      <c r="A118" s="20">
        <v>24807</v>
      </c>
      <c r="B118" s="21"/>
      <c r="C118" s="21"/>
      <c r="D118" s="21">
        <v>5.38</v>
      </c>
      <c r="E118" s="21"/>
      <c r="F118" s="21"/>
      <c r="G118" s="21"/>
      <c r="H118" s="3"/>
    </row>
    <row r="119" spans="1:8" x14ac:dyDescent="0.25">
      <c r="A119" s="20">
        <v>24838</v>
      </c>
      <c r="B119" s="21"/>
      <c r="C119" s="21"/>
      <c r="D119" s="21">
        <v>5.38</v>
      </c>
      <c r="E119" s="21"/>
      <c r="F119" s="21"/>
      <c r="G119" s="21"/>
      <c r="H119" s="3"/>
    </row>
    <row r="120" spans="1:8" x14ac:dyDescent="0.25">
      <c r="A120" s="20">
        <v>24869</v>
      </c>
      <c r="B120" s="21"/>
      <c r="C120" s="21"/>
      <c r="D120" s="21">
        <v>5.38</v>
      </c>
      <c r="E120" s="21"/>
      <c r="F120" s="21"/>
      <c r="G120" s="21"/>
      <c r="H120" s="3"/>
    </row>
    <row r="121" spans="1:8" x14ac:dyDescent="0.25">
      <c r="A121" s="20">
        <v>24898</v>
      </c>
      <c r="B121" s="21"/>
      <c r="C121" s="21"/>
      <c r="D121" s="21">
        <v>5.38</v>
      </c>
      <c r="E121" s="21"/>
      <c r="F121" s="21"/>
      <c r="G121" s="21"/>
      <c r="H121" s="3"/>
    </row>
    <row r="122" spans="1:8" x14ac:dyDescent="0.25">
      <c r="A122" s="20">
        <v>24929</v>
      </c>
      <c r="B122" s="21"/>
      <c r="C122" s="21"/>
      <c r="D122" s="21">
        <v>5.38</v>
      </c>
      <c r="E122" s="21"/>
      <c r="F122" s="21"/>
      <c r="G122" s="21"/>
      <c r="H122" s="3"/>
    </row>
    <row r="123" spans="1:8" x14ac:dyDescent="0.25">
      <c r="A123" s="20">
        <v>24959</v>
      </c>
      <c r="B123" s="21"/>
      <c r="C123" s="21"/>
      <c r="D123" s="21">
        <v>5.38</v>
      </c>
      <c r="E123" s="21"/>
      <c r="F123" s="21"/>
      <c r="G123" s="21"/>
      <c r="H123" s="3"/>
    </row>
    <row r="124" spans="1:8" x14ac:dyDescent="0.25">
      <c r="A124" s="20">
        <v>24990</v>
      </c>
      <c r="B124" s="21"/>
      <c r="C124" s="21"/>
      <c r="D124" s="21">
        <v>5.38</v>
      </c>
      <c r="E124" s="21"/>
      <c r="F124" s="21"/>
      <c r="G124" s="21"/>
      <c r="H124" s="3"/>
    </row>
    <row r="125" spans="1:8" x14ac:dyDescent="0.25">
      <c r="A125" s="20">
        <v>25020</v>
      </c>
      <c r="B125" s="21"/>
      <c r="C125" s="21"/>
      <c r="D125" s="21">
        <v>5.38</v>
      </c>
      <c r="E125" s="21"/>
      <c r="F125" s="21"/>
      <c r="G125" s="21"/>
      <c r="H125" s="3"/>
    </row>
    <row r="126" spans="1:8" x14ac:dyDescent="0.25">
      <c r="A126" s="20">
        <v>25051</v>
      </c>
      <c r="B126" s="21"/>
      <c r="C126" s="21"/>
      <c r="D126" s="21">
        <v>5.88</v>
      </c>
      <c r="E126" s="21"/>
      <c r="F126" s="21"/>
      <c r="G126" s="21"/>
      <c r="H126" s="3"/>
    </row>
    <row r="127" spans="1:8" x14ac:dyDescent="0.25">
      <c r="A127" s="20">
        <v>25082</v>
      </c>
      <c r="B127" s="21"/>
      <c r="C127" s="21"/>
      <c r="D127" s="21">
        <v>5.88</v>
      </c>
      <c r="E127" s="21"/>
      <c r="F127" s="21"/>
      <c r="G127" s="21"/>
      <c r="H127" s="3"/>
    </row>
    <row r="128" spans="1:8" x14ac:dyDescent="0.25">
      <c r="A128" s="20">
        <v>25112</v>
      </c>
      <c r="B128" s="21"/>
      <c r="C128" s="21"/>
      <c r="D128" s="21">
        <v>5.88</v>
      </c>
      <c r="E128" s="21"/>
      <c r="F128" s="21"/>
      <c r="G128" s="21"/>
      <c r="H128" s="3"/>
    </row>
    <row r="129" spans="1:8" x14ac:dyDescent="0.25">
      <c r="A129" s="20">
        <v>25143</v>
      </c>
      <c r="B129" s="21"/>
      <c r="C129" s="21"/>
      <c r="D129" s="21">
        <v>5.88</v>
      </c>
      <c r="E129" s="21"/>
      <c r="F129" s="21"/>
      <c r="G129" s="21"/>
      <c r="H129" s="3"/>
    </row>
    <row r="130" spans="1:8" x14ac:dyDescent="0.25">
      <c r="A130" s="20">
        <v>25173</v>
      </c>
      <c r="B130" s="21"/>
      <c r="C130" s="21"/>
      <c r="D130" s="21">
        <v>5.88</v>
      </c>
      <c r="E130" s="21"/>
      <c r="F130" s="21"/>
      <c r="G130" s="21"/>
      <c r="H130" s="3"/>
    </row>
    <row r="131" spans="1:8" x14ac:dyDescent="0.25">
      <c r="A131" s="20">
        <v>25204</v>
      </c>
      <c r="B131" s="21"/>
      <c r="C131" s="21"/>
      <c r="D131" s="21">
        <v>5.88</v>
      </c>
      <c r="E131" s="21"/>
      <c r="F131" s="21"/>
      <c r="G131" s="21"/>
      <c r="H131" s="3"/>
    </row>
    <row r="132" spans="1:8" x14ac:dyDescent="0.25">
      <c r="A132" s="20">
        <v>25235</v>
      </c>
      <c r="B132" s="21"/>
      <c r="C132" s="21"/>
      <c r="D132" s="21">
        <v>5.88</v>
      </c>
      <c r="E132" s="21"/>
      <c r="F132" s="21"/>
      <c r="G132" s="21"/>
      <c r="H132" s="3"/>
    </row>
    <row r="133" spans="1:8" x14ac:dyDescent="0.25">
      <c r="A133" s="20">
        <v>25263</v>
      </c>
      <c r="B133" s="21"/>
      <c r="C133" s="21"/>
      <c r="D133" s="21">
        <v>5.88</v>
      </c>
      <c r="E133" s="21"/>
      <c r="F133" s="21"/>
      <c r="G133" s="21"/>
      <c r="H133" s="3"/>
    </row>
    <row r="134" spans="1:8" x14ac:dyDescent="0.25">
      <c r="A134" s="20">
        <v>25294</v>
      </c>
      <c r="B134" s="21"/>
      <c r="C134" s="21"/>
      <c r="D134" s="21">
        <v>5.88</v>
      </c>
      <c r="E134" s="21"/>
      <c r="F134" s="21"/>
      <c r="G134" s="21"/>
      <c r="H134" s="3"/>
    </row>
    <row r="135" spans="1:8" x14ac:dyDescent="0.25">
      <c r="A135" s="20">
        <v>25324</v>
      </c>
      <c r="B135" s="21"/>
      <c r="C135" s="21"/>
      <c r="D135" s="21">
        <v>5.88</v>
      </c>
      <c r="E135" s="21"/>
      <c r="F135" s="21"/>
      <c r="G135" s="21"/>
      <c r="H135" s="3"/>
    </row>
    <row r="136" spans="1:8" x14ac:dyDescent="0.25">
      <c r="A136" s="20">
        <v>25355</v>
      </c>
      <c r="B136" s="21"/>
      <c r="C136" s="21"/>
      <c r="D136" s="21">
        <v>5.88</v>
      </c>
      <c r="E136" s="21"/>
      <c r="F136" s="21"/>
      <c r="G136" s="21"/>
      <c r="H136" s="3"/>
    </row>
    <row r="137" spans="1:8" x14ac:dyDescent="0.25">
      <c r="A137" s="20">
        <v>25385</v>
      </c>
      <c r="B137" s="21"/>
      <c r="C137" s="21"/>
      <c r="D137" s="21">
        <v>5.88</v>
      </c>
      <c r="E137" s="21"/>
      <c r="F137" s="21"/>
      <c r="G137" s="21"/>
      <c r="H137" s="3"/>
    </row>
    <row r="138" spans="1:8" x14ac:dyDescent="0.25">
      <c r="A138" s="20">
        <v>25416</v>
      </c>
      <c r="B138" s="21"/>
      <c r="C138" s="21"/>
      <c r="D138" s="21">
        <v>5.88</v>
      </c>
      <c r="E138" s="21"/>
      <c r="F138" s="21"/>
      <c r="G138" s="21"/>
      <c r="H138" s="3"/>
    </row>
    <row r="139" spans="1:8" x14ac:dyDescent="0.25">
      <c r="A139" s="20">
        <v>25447</v>
      </c>
      <c r="B139" s="21"/>
      <c r="C139" s="21"/>
      <c r="D139" s="21">
        <v>5.88</v>
      </c>
      <c r="E139" s="21"/>
      <c r="F139" s="21"/>
      <c r="G139" s="21"/>
      <c r="H139" s="3"/>
    </row>
    <row r="140" spans="1:8" x14ac:dyDescent="0.25">
      <c r="A140" s="20">
        <v>25477</v>
      </c>
      <c r="B140" s="21"/>
      <c r="C140" s="21"/>
      <c r="D140" s="21">
        <v>5.88</v>
      </c>
      <c r="E140" s="21"/>
      <c r="F140" s="21"/>
      <c r="G140" s="21"/>
      <c r="H140" s="3"/>
    </row>
    <row r="141" spans="1:8" x14ac:dyDescent="0.25">
      <c r="A141" s="20">
        <v>25508</v>
      </c>
      <c r="B141" s="21"/>
      <c r="C141" s="21"/>
      <c r="D141" s="21">
        <v>5.88</v>
      </c>
      <c r="E141" s="21"/>
      <c r="F141" s="21"/>
      <c r="G141" s="21"/>
      <c r="H141" s="3"/>
    </row>
    <row r="142" spans="1:8" x14ac:dyDescent="0.25">
      <c r="A142" s="20">
        <v>25538</v>
      </c>
      <c r="B142" s="21"/>
      <c r="C142" s="21"/>
      <c r="D142" s="21">
        <v>5.88</v>
      </c>
      <c r="E142" s="21"/>
      <c r="F142" s="21"/>
      <c r="G142" s="21"/>
      <c r="H142" s="3"/>
    </row>
    <row r="143" spans="1:8" x14ac:dyDescent="0.25">
      <c r="A143" s="20">
        <v>25569</v>
      </c>
      <c r="B143" s="21"/>
      <c r="C143" s="21"/>
      <c r="D143" s="21">
        <v>5.88</v>
      </c>
      <c r="E143" s="21"/>
      <c r="F143" s="21"/>
      <c r="G143" s="21"/>
      <c r="H143" s="3"/>
    </row>
    <row r="144" spans="1:8" x14ac:dyDescent="0.25">
      <c r="A144" s="20">
        <v>25600</v>
      </c>
      <c r="B144" s="21"/>
      <c r="C144" s="21"/>
      <c r="D144" s="21">
        <v>5.88</v>
      </c>
      <c r="E144" s="21"/>
      <c r="F144" s="21"/>
      <c r="G144" s="21"/>
      <c r="H144" s="3"/>
    </row>
    <row r="145" spans="1:8" x14ac:dyDescent="0.25">
      <c r="A145" s="20">
        <v>25628</v>
      </c>
      <c r="B145" s="21"/>
      <c r="C145" s="21"/>
      <c r="D145" s="21">
        <v>5.88</v>
      </c>
      <c r="E145" s="21"/>
      <c r="F145" s="21"/>
      <c r="G145" s="21"/>
      <c r="H145" s="3"/>
    </row>
    <row r="146" spans="1:8" x14ac:dyDescent="0.25">
      <c r="A146" s="20">
        <v>25659</v>
      </c>
      <c r="B146" s="21"/>
      <c r="C146" s="21"/>
      <c r="D146" s="21">
        <v>7.25</v>
      </c>
      <c r="E146" s="21"/>
      <c r="F146" s="21"/>
      <c r="G146" s="21"/>
      <c r="H146" s="3"/>
    </row>
    <row r="147" spans="1:8" x14ac:dyDescent="0.25">
      <c r="A147" s="20">
        <v>25689</v>
      </c>
      <c r="B147" s="21"/>
      <c r="C147" s="21"/>
      <c r="D147" s="21">
        <v>7.25</v>
      </c>
      <c r="E147" s="21"/>
      <c r="F147" s="21"/>
      <c r="G147" s="21"/>
      <c r="H147" s="3"/>
    </row>
    <row r="148" spans="1:8" x14ac:dyDescent="0.25">
      <c r="A148" s="20">
        <v>25720</v>
      </c>
      <c r="B148" s="21"/>
      <c r="C148" s="21"/>
      <c r="D148" s="21">
        <v>7.25</v>
      </c>
      <c r="E148" s="21"/>
      <c r="F148" s="21"/>
      <c r="G148" s="21"/>
      <c r="H148" s="3"/>
    </row>
    <row r="149" spans="1:8" x14ac:dyDescent="0.25">
      <c r="A149" s="20">
        <v>25750</v>
      </c>
      <c r="B149" s="21"/>
      <c r="C149" s="21"/>
      <c r="D149" s="21">
        <v>7.25</v>
      </c>
      <c r="E149" s="21"/>
      <c r="F149" s="21"/>
      <c r="G149" s="21"/>
      <c r="H149" s="3"/>
    </row>
    <row r="150" spans="1:8" x14ac:dyDescent="0.25">
      <c r="A150" s="20">
        <v>25781</v>
      </c>
      <c r="B150" s="21"/>
      <c r="C150" s="21"/>
      <c r="D150" s="21">
        <v>7.25</v>
      </c>
      <c r="E150" s="21"/>
      <c r="F150" s="21"/>
      <c r="G150" s="21"/>
      <c r="H150" s="3"/>
    </row>
    <row r="151" spans="1:8" x14ac:dyDescent="0.25">
      <c r="A151" s="20">
        <v>25812</v>
      </c>
      <c r="B151" s="21"/>
      <c r="C151" s="21"/>
      <c r="D151" s="21">
        <v>7.25</v>
      </c>
      <c r="E151" s="21"/>
      <c r="F151" s="21"/>
      <c r="G151" s="21"/>
      <c r="H151" s="3"/>
    </row>
    <row r="152" spans="1:8" x14ac:dyDescent="0.25">
      <c r="A152" s="20">
        <v>25842</v>
      </c>
      <c r="B152" s="21"/>
      <c r="C152" s="21"/>
      <c r="D152" s="21">
        <v>7.25</v>
      </c>
      <c r="E152" s="21"/>
      <c r="F152" s="21"/>
      <c r="G152" s="21"/>
      <c r="H152" s="3"/>
    </row>
    <row r="153" spans="1:8" x14ac:dyDescent="0.25">
      <c r="A153" s="20">
        <v>25873</v>
      </c>
      <c r="B153" s="21"/>
      <c r="C153" s="21"/>
      <c r="D153" s="21">
        <v>7.25</v>
      </c>
      <c r="E153" s="21"/>
      <c r="F153" s="21"/>
      <c r="G153" s="21"/>
      <c r="H153" s="3"/>
    </row>
    <row r="154" spans="1:8" x14ac:dyDescent="0.25">
      <c r="A154" s="20">
        <v>25903</v>
      </c>
      <c r="B154" s="21"/>
      <c r="C154" s="21"/>
      <c r="D154" s="21">
        <v>7.25</v>
      </c>
      <c r="E154" s="21"/>
      <c r="F154" s="21"/>
      <c r="G154" s="21"/>
      <c r="H154" s="3"/>
    </row>
    <row r="155" spans="1:8" x14ac:dyDescent="0.25">
      <c r="A155" s="20">
        <v>25934</v>
      </c>
      <c r="B155" s="21"/>
      <c r="C155" s="21"/>
      <c r="D155" s="21">
        <v>7.25</v>
      </c>
      <c r="E155" s="21"/>
      <c r="F155" s="21"/>
      <c r="G155" s="21"/>
      <c r="H155" s="3"/>
    </row>
    <row r="156" spans="1:8" x14ac:dyDescent="0.25">
      <c r="A156" s="20">
        <v>25965</v>
      </c>
      <c r="B156" s="21"/>
      <c r="C156" s="21"/>
      <c r="D156" s="21">
        <v>7.25</v>
      </c>
      <c r="E156" s="21"/>
      <c r="F156" s="21"/>
      <c r="G156" s="21"/>
      <c r="H156" s="3"/>
    </row>
    <row r="157" spans="1:8" x14ac:dyDescent="0.25">
      <c r="A157" s="20">
        <v>25993</v>
      </c>
      <c r="B157" s="21"/>
      <c r="C157" s="21"/>
      <c r="D157" s="21">
        <v>7.25</v>
      </c>
      <c r="E157" s="21"/>
      <c r="F157" s="21"/>
      <c r="G157" s="21"/>
      <c r="H157" s="3"/>
    </row>
    <row r="158" spans="1:8" x14ac:dyDescent="0.25">
      <c r="A158" s="20">
        <v>26024</v>
      </c>
      <c r="B158" s="21"/>
      <c r="C158" s="21"/>
      <c r="D158" s="21">
        <v>7.25</v>
      </c>
      <c r="E158" s="21"/>
      <c r="F158" s="21"/>
      <c r="G158" s="21"/>
      <c r="H158" s="3"/>
    </row>
    <row r="159" spans="1:8" x14ac:dyDescent="0.25">
      <c r="A159" s="20">
        <v>26054</v>
      </c>
      <c r="B159" s="21"/>
      <c r="C159" s="21"/>
      <c r="D159" s="21">
        <v>7.25</v>
      </c>
      <c r="E159" s="21"/>
      <c r="F159" s="21"/>
      <c r="G159" s="21"/>
      <c r="H159" s="3"/>
    </row>
    <row r="160" spans="1:8" x14ac:dyDescent="0.25">
      <c r="A160" s="20">
        <v>26085</v>
      </c>
      <c r="B160" s="21"/>
      <c r="C160" s="21"/>
      <c r="D160" s="21">
        <v>7.25</v>
      </c>
      <c r="E160" s="21"/>
      <c r="F160" s="21"/>
      <c r="G160" s="21"/>
      <c r="H160" s="3"/>
    </row>
    <row r="161" spans="1:8" x14ac:dyDescent="0.25">
      <c r="A161" s="20">
        <v>26115</v>
      </c>
      <c r="B161" s="21"/>
      <c r="C161" s="21"/>
      <c r="D161" s="21">
        <v>7.25</v>
      </c>
      <c r="E161" s="21"/>
      <c r="F161" s="21"/>
      <c r="G161" s="21"/>
      <c r="H161" s="3"/>
    </row>
    <row r="162" spans="1:8" x14ac:dyDescent="0.25">
      <c r="A162" s="20">
        <v>26146</v>
      </c>
      <c r="B162" s="21"/>
      <c r="C162" s="21"/>
      <c r="D162" s="21">
        <v>7.25</v>
      </c>
      <c r="E162" s="21"/>
      <c r="F162" s="21"/>
      <c r="G162" s="21"/>
      <c r="H162" s="3"/>
    </row>
    <row r="163" spans="1:8" x14ac:dyDescent="0.25">
      <c r="A163" s="20">
        <v>26177</v>
      </c>
      <c r="B163" s="21"/>
      <c r="C163" s="21"/>
      <c r="D163" s="21">
        <v>7.25</v>
      </c>
      <c r="E163" s="21"/>
      <c r="F163" s="21"/>
      <c r="G163" s="21"/>
      <c r="H163" s="3"/>
    </row>
    <row r="164" spans="1:8" x14ac:dyDescent="0.25">
      <c r="A164" s="20">
        <v>26207</v>
      </c>
      <c r="B164" s="21"/>
      <c r="C164" s="21"/>
      <c r="D164" s="21">
        <v>7.25</v>
      </c>
      <c r="E164" s="21"/>
      <c r="F164" s="21"/>
      <c r="G164" s="21"/>
      <c r="H164" s="3"/>
    </row>
    <row r="165" spans="1:8" x14ac:dyDescent="0.25">
      <c r="A165" s="20">
        <v>26238</v>
      </c>
      <c r="B165" s="21"/>
      <c r="C165" s="21"/>
      <c r="D165" s="21">
        <v>7.25</v>
      </c>
      <c r="E165" s="21"/>
      <c r="F165" s="21"/>
      <c r="G165" s="21"/>
      <c r="H165" s="3"/>
    </row>
    <row r="166" spans="1:8" x14ac:dyDescent="0.25">
      <c r="A166" s="20">
        <v>26268</v>
      </c>
      <c r="B166" s="21"/>
      <c r="C166" s="21"/>
      <c r="D166" s="21">
        <v>7.25</v>
      </c>
      <c r="E166" s="21"/>
      <c r="F166" s="21"/>
      <c r="G166" s="21"/>
      <c r="H166" s="3"/>
    </row>
    <row r="167" spans="1:8" x14ac:dyDescent="0.25">
      <c r="A167" s="20">
        <v>26299</v>
      </c>
      <c r="B167" s="21"/>
      <c r="C167" s="21"/>
      <c r="D167" s="21">
        <v>7.25</v>
      </c>
      <c r="E167" s="21"/>
      <c r="F167" s="21"/>
      <c r="G167" s="21"/>
      <c r="H167" s="3"/>
    </row>
    <row r="168" spans="1:8" x14ac:dyDescent="0.25">
      <c r="A168" s="20">
        <v>26330</v>
      </c>
      <c r="B168" s="21"/>
      <c r="C168" s="21"/>
      <c r="D168" s="21">
        <v>7</v>
      </c>
      <c r="E168" s="21"/>
      <c r="F168" s="21"/>
      <c r="G168" s="21"/>
      <c r="H168" s="3"/>
    </row>
    <row r="169" spans="1:8" x14ac:dyDescent="0.25">
      <c r="A169" s="20">
        <v>26359</v>
      </c>
      <c r="B169" s="21"/>
      <c r="C169" s="21"/>
      <c r="D169" s="21">
        <v>7</v>
      </c>
      <c r="E169" s="21"/>
      <c r="F169" s="21"/>
      <c r="G169" s="21"/>
      <c r="H169" s="3"/>
    </row>
    <row r="170" spans="1:8" x14ac:dyDescent="0.25">
      <c r="A170" s="20">
        <v>26390</v>
      </c>
      <c r="B170" s="21"/>
      <c r="C170" s="21"/>
      <c r="D170" s="21">
        <v>7</v>
      </c>
      <c r="E170" s="21"/>
      <c r="F170" s="21"/>
      <c r="G170" s="21"/>
      <c r="H170" s="3"/>
    </row>
    <row r="171" spans="1:8" x14ac:dyDescent="0.25">
      <c r="A171" s="20">
        <v>26420</v>
      </c>
      <c r="B171" s="21"/>
      <c r="C171" s="21"/>
      <c r="D171" s="21">
        <v>7</v>
      </c>
      <c r="E171" s="21"/>
      <c r="F171" s="21"/>
      <c r="G171" s="21"/>
      <c r="H171" s="3"/>
    </row>
    <row r="172" spans="1:8" x14ac:dyDescent="0.25">
      <c r="A172" s="20">
        <v>26451</v>
      </c>
      <c r="B172" s="21"/>
      <c r="C172" s="21"/>
      <c r="D172" s="21">
        <v>7</v>
      </c>
      <c r="E172" s="21"/>
      <c r="F172" s="21"/>
      <c r="G172" s="21"/>
      <c r="H172" s="3"/>
    </row>
    <row r="173" spans="1:8" x14ac:dyDescent="0.25">
      <c r="A173" s="20">
        <v>26481</v>
      </c>
      <c r="B173" s="21"/>
      <c r="C173" s="21"/>
      <c r="D173" s="21">
        <v>7</v>
      </c>
      <c r="E173" s="21"/>
      <c r="F173" s="21"/>
      <c r="G173" s="21"/>
      <c r="H173" s="3"/>
    </row>
    <row r="174" spans="1:8" x14ac:dyDescent="0.25">
      <c r="A174" s="20">
        <v>26512</v>
      </c>
      <c r="B174" s="21"/>
      <c r="C174" s="21"/>
      <c r="D174" s="21">
        <v>7</v>
      </c>
      <c r="E174" s="21"/>
      <c r="F174" s="21"/>
      <c r="G174" s="21"/>
      <c r="H174" s="3"/>
    </row>
    <row r="175" spans="1:8" x14ac:dyDescent="0.25">
      <c r="A175" s="20">
        <v>26543</v>
      </c>
      <c r="B175" s="21"/>
      <c r="C175" s="21"/>
      <c r="D175" s="21">
        <v>7</v>
      </c>
      <c r="E175" s="21"/>
      <c r="F175" s="21"/>
      <c r="G175" s="21"/>
      <c r="H175" s="3"/>
    </row>
    <row r="176" spans="1:8" x14ac:dyDescent="0.25">
      <c r="A176" s="20">
        <v>26573</v>
      </c>
      <c r="B176" s="21"/>
      <c r="C176" s="21"/>
      <c r="D176" s="21">
        <v>7</v>
      </c>
      <c r="E176" s="21"/>
      <c r="F176" s="21"/>
      <c r="G176" s="21"/>
      <c r="H176" s="3"/>
    </row>
    <row r="177" spans="1:8" x14ac:dyDescent="0.25">
      <c r="A177" s="20">
        <v>26604</v>
      </c>
      <c r="B177" s="21"/>
      <c r="C177" s="21"/>
      <c r="D177" s="21">
        <v>7</v>
      </c>
      <c r="E177" s="21"/>
      <c r="F177" s="21"/>
      <c r="G177" s="21"/>
      <c r="H177" s="3"/>
    </row>
    <row r="178" spans="1:8" x14ac:dyDescent="0.25">
      <c r="A178" s="20">
        <v>26634</v>
      </c>
      <c r="B178" s="21"/>
      <c r="C178" s="21"/>
      <c r="D178" s="21">
        <v>7</v>
      </c>
      <c r="E178" s="21"/>
      <c r="F178" s="21"/>
      <c r="G178" s="21"/>
      <c r="H178" s="3"/>
    </row>
    <row r="179" spans="1:8" x14ac:dyDescent="0.25">
      <c r="A179" s="20">
        <v>26665</v>
      </c>
      <c r="B179" s="21"/>
      <c r="C179" s="21"/>
      <c r="D179" s="21">
        <v>7</v>
      </c>
      <c r="E179" s="21"/>
      <c r="F179" s="21"/>
      <c r="G179" s="21"/>
      <c r="H179" s="3"/>
    </row>
    <row r="180" spans="1:8" x14ac:dyDescent="0.25">
      <c r="A180" s="20">
        <v>26696</v>
      </c>
      <c r="B180" s="21"/>
      <c r="C180" s="21"/>
      <c r="D180" s="21">
        <v>7</v>
      </c>
      <c r="E180" s="21"/>
      <c r="F180" s="21"/>
      <c r="G180" s="21"/>
      <c r="H180" s="3"/>
    </row>
    <row r="181" spans="1:8" x14ac:dyDescent="0.25">
      <c r="A181" s="20">
        <v>26724</v>
      </c>
      <c r="B181" s="21"/>
      <c r="C181" s="21"/>
      <c r="D181" s="21">
        <v>7</v>
      </c>
      <c r="E181" s="21"/>
      <c r="F181" s="21"/>
      <c r="G181" s="21"/>
      <c r="H181" s="3"/>
    </row>
    <row r="182" spans="1:8" x14ac:dyDescent="0.25">
      <c r="A182" s="20">
        <v>26755</v>
      </c>
      <c r="B182" s="21"/>
      <c r="C182" s="21"/>
      <c r="D182" s="21">
        <v>7</v>
      </c>
      <c r="E182" s="21"/>
      <c r="F182" s="21"/>
      <c r="G182" s="21"/>
      <c r="H182" s="3"/>
    </row>
    <row r="183" spans="1:8" x14ac:dyDescent="0.25">
      <c r="A183" s="20">
        <v>26785</v>
      </c>
      <c r="B183" s="21"/>
      <c r="C183" s="21"/>
      <c r="D183" s="21">
        <v>7</v>
      </c>
      <c r="E183" s="21"/>
      <c r="F183" s="21"/>
      <c r="G183" s="21"/>
      <c r="H183" s="3"/>
    </row>
    <row r="184" spans="1:8" x14ac:dyDescent="0.25">
      <c r="A184" s="20">
        <v>26816</v>
      </c>
      <c r="B184" s="21"/>
      <c r="C184" s="21"/>
      <c r="D184" s="21">
        <v>7</v>
      </c>
      <c r="E184" s="21"/>
      <c r="F184" s="21"/>
      <c r="G184" s="21"/>
      <c r="H184" s="3"/>
    </row>
    <row r="185" spans="1:8" x14ac:dyDescent="0.25">
      <c r="A185" s="20">
        <v>26846</v>
      </c>
      <c r="B185" s="21"/>
      <c r="C185" s="21"/>
      <c r="D185" s="21">
        <v>7</v>
      </c>
      <c r="E185" s="21"/>
      <c r="F185" s="21"/>
      <c r="G185" s="21"/>
      <c r="H185" s="3"/>
    </row>
    <row r="186" spans="1:8" x14ac:dyDescent="0.25">
      <c r="A186" s="20">
        <v>26877</v>
      </c>
      <c r="B186" s="21"/>
      <c r="C186" s="21"/>
      <c r="D186" s="21">
        <v>7</v>
      </c>
      <c r="E186" s="21"/>
      <c r="F186" s="21"/>
      <c r="G186" s="21"/>
      <c r="H186" s="3"/>
    </row>
    <row r="187" spans="1:8" x14ac:dyDescent="0.25">
      <c r="A187" s="20">
        <v>26908</v>
      </c>
      <c r="B187" s="21"/>
      <c r="C187" s="21"/>
      <c r="D187" s="21">
        <v>7</v>
      </c>
      <c r="E187" s="21"/>
      <c r="F187" s="21"/>
      <c r="G187" s="21"/>
      <c r="H187" s="3"/>
    </row>
    <row r="188" spans="1:8" x14ac:dyDescent="0.25">
      <c r="A188" s="20">
        <v>26938</v>
      </c>
      <c r="B188" s="21"/>
      <c r="C188" s="21"/>
      <c r="D188" s="21">
        <v>8.3800000000000008</v>
      </c>
      <c r="E188" s="21"/>
      <c r="F188" s="21"/>
      <c r="G188" s="21"/>
      <c r="H188" s="3"/>
    </row>
    <row r="189" spans="1:8" x14ac:dyDescent="0.25">
      <c r="A189" s="20">
        <v>26969</v>
      </c>
      <c r="B189" s="21"/>
      <c r="C189" s="21"/>
      <c r="D189" s="21">
        <v>8.3800000000000008</v>
      </c>
      <c r="E189" s="21"/>
      <c r="F189" s="21"/>
      <c r="G189" s="21"/>
      <c r="H189" s="3"/>
    </row>
    <row r="190" spans="1:8" x14ac:dyDescent="0.25">
      <c r="A190" s="20">
        <v>26999</v>
      </c>
      <c r="B190" s="21"/>
      <c r="C190" s="21"/>
      <c r="D190" s="21">
        <v>8.3800000000000008</v>
      </c>
      <c r="E190" s="21"/>
      <c r="F190" s="21"/>
      <c r="G190" s="21"/>
      <c r="H190" s="3"/>
    </row>
    <row r="191" spans="1:8" x14ac:dyDescent="0.25">
      <c r="A191" s="20">
        <v>27030</v>
      </c>
      <c r="B191" s="21"/>
      <c r="C191" s="21"/>
      <c r="D191" s="21">
        <v>8.3800000000000008</v>
      </c>
      <c r="E191" s="21"/>
      <c r="F191" s="21"/>
      <c r="G191" s="21"/>
      <c r="H191" s="3"/>
    </row>
    <row r="192" spans="1:8" x14ac:dyDescent="0.25">
      <c r="A192" s="20">
        <v>27061</v>
      </c>
      <c r="B192" s="21"/>
      <c r="C192" s="21"/>
      <c r="D192" s="21">
        <v>8.3800000000000008</v>
      </c>
      <c r="E192" s="21"/>
      <c r="F192" s="21"/>
      <c r="G192" s="21"/>
      <c r="H192" s="3"/>
    </row>
    <row r="193" spans="1:8" x14ac:dyDescent="0.25">
      <c r="A193" s="20">
        <v>27089</v>
      </c>
      <c r="B193" s="21"/>
      <c r="C193" s="21"/>
      <c r="D193" s="21">
        <v>8.3800000000000008</v>
      </c>
      <c r="E193" s="21"/>
      <c r="F193" s="21"/>
      <c r="G193" s="21"/>
      <c r="H193" s="3"/>
    </row>
    <row r="194" spans="1:8" x14ac:dyDescent="0.25">
      <c r="A194" s="20">
        <v>27120</v>
      </c>
      <c r="B194" s="21"/>
      <c r="C194" s="21"/>
      <c r="D194" s="21">
        <v>8.3800000000000008</v>
      </c>
      <c r="E194" s="21"/>
      <c r="F194" s="21"/>
      <c r="G194" s="21"/>
      <c r="H194" s="3"/>
    </row>
    <row r="195" spans="1:8" x14ac:dyDescent="0.25">
      <c r="A195" s="20">
        <v>27150</v>
      </c>
      <c r="B195" s="21"/>
      <c r="C195" s="21"/>
      <c r="D195" s="21">
        <v>8.3800000000000008</v>
      </c>
      <c r="E195" s="21"/>
      <c r="F195" s="21"/>
      <c r="G195" s="21"/>
      <c r="H195" s="3"/>
    </row>
    <row r="196" spans="1:8" x14ac:dyDescent="0.25">
      <c r="A196" s="20">
        <v>27181</v>
      </c>
      <c r="B196" s="21"/>
      <c r="C196" s="21"/>
      <c r="D196" s="21">
        <v>8.3800000000000008</v>
      </c>
      <c r="E196" s="21"/>
      <c r="F196" s="21"/>
      <c r="G196" s="21"/>
      <c r="H196" s="3"/>
    </row>
    <row r="197" spans="1:8" x14ac:dyDescent="0.25">
      <c r="A197" s="20">
        <v>27211</v>
      </c>
      <c r="B197" s="21"/>
      <c r="C197" s="21"/>
      <c r="D197" s="21">
        <v>10.38</v>
      </c>
      <c r="E197" s="21"/>
      <c r="F197" s="21"/>
      <c r="G197" s="21"/>
      <c r="H197" s="3"/>
    </row>
    <row r="198" spans="1:8" x14ac:dyDescent="0.25">
      <c r="A198" s="20">
        <v>27242</v>
      </c>
      <c r="B198" s="21"/>
      <c r="C198" s="21"/>
      <c r="D198" s="21">
        <v>10.38</v>
      </c>
      <c r="E198" s="21"/>
      <c r="F198" s="21"/>
      <c r="G198" s="21"/>
      <c r="H198" s="3"/>
    </row>
    <row r="199" spans="1:8" x14ac:dyDescent="0.25">
      <c r="A199" s="20">
        <v>27273</v>
      </c>
      <c r="B199" s="21"/>
      <c r="C199" s="21"/>
      <c r="D199" s="21">
        <v>10.38</v>
      </c>
      <c r="E199" s="21"/>
      <c r="F199" s="21"/>
      <c r="G199" s="21"/>
      <c r="H199" s="3"/>
    </row>
    <row r="200" spans="1:8" x14ac:dyDescent="0.25">
      <c r="A200" s="20">
        <v>27303</v>
      </c>
      <c r="B200" s="21"/>
      <c r="C200" s="21"/>
      <c r="D200" s="21">
        <v>10.38</v>
      </c>
      <c r="E200" s="21"/>
      <c r="F200" s="21"/>
      <c r="G200" s="21"/>
      <c r="H200" s="3"/>
    </row>
    <row r="201" spans="1:8" x14ac:dyDescent="0.25">
      <c r="A201" s="20">
        <v>27334</v>
      </c>
      <c r="B201" s="21"/>
      <c r="C201" s="21"/>
      <c r="D201" s="21">
        <v>10.38</v>
      </c>
      <c r="E201" s="21"/>
      <c r="F201" s="21"/>
      <c r="G201" s="21"/>
      <c r="H201" s="3"/>
    </row>
    <row r="202" spans="1:8" x14ac:dyDescent="0.25">
      <c r="A202" s="20">
        <v>27364</v>
      </c>
      <c r="B202" s="21"/>
      <c r="C202" s="21"/>
      <c r="D202" s="21">
        <v>10.38</v>
      </c>
      <c r="E202" s="21"/>
      <c r="F202" s="21"/>
      <c r="G202" s="21"/>
      <c r="H202" s="3"/>
    </row>
    <row r="203" spans="1:8" x14ac:dyDescent="0.25">
      <c r="A203" s="20">
        <v>27395</v>
      </c>
      <c r="B203" s="21"/>
      <c r="C203" s="21"/>
      <c r="D203" s="21">
        <v>10.38</v>
      </c>
      <c r="E203" s="21"/>
      <c r="F203" s="21"/>
      <c r="G203" s="21"/>
      <c r="H203" s="3"/>
    </row>
    <row r="204" spans="1:8" x14ac:dyDescent="0.25">
      <c r="A204" s="20">
        <v>27426</v>
      </c>
      <c r="B204" s="21"/>
      <c r="C204" s="21"/>
      <c r="D204" s="21">
        <v>10.38</v>
      </c>
      <c r="E204" s="21"/>
      <c r="F204" s="21"/>
      <c r="G204" s="21"/>
      <c r="H204" s="3"/>
    </row>
    <row r="205" spans="1:8" x14ac:dyDescent="0.25">
      <c r="A205" s="20">
        <v>27454</v>
      </c>
      <c r="B205" s="21"/>
      <c r="C205" s="21"/>
      <c r="D205" s="21">
        <v>10.38</v>
      </c>
      <c r="E205" s="21"/>
      <c r="F205" s="21"/>
      <c r="G205" s="21"/>
      <c r="H205" s="3"/>
    </row>
    <row r="206" spans="1:8" x14ac:dyDescent="0.25">
      <c r="A206" s="20">
        <v>27485</v>
      </c>
      <c r="B206" s="21"/>
      <c r="C206" s="21"/>
      <c r="D206" s="21">
        <v>10.130000000000001</v>
      </c>
      <c r="E206" s="21"/>
      <c r="F206" s="21"/>
      <c r="G206" s="21"/>
      <c r="H206" s="3"/>
    </row>
    <row r="207" spans="1:8" x14ac:dyDescent="0.25">
      <c r="A207" s="20">
        <v>27515</v>
      </c>
      <c r="B207" s="21"/>
      <c r="C207" s="21"/>
      <c r="D207" s="21">
        <v>10.130000000000001</v>
      </c>
      <c r="E207" s="21"/>
      <c r="F207" s="21"/>
      <c r="G207" s="21"/>
      <c r="H207" s="3"/>
    </row>
    <row r="208" spans="1:8" x14ac:dyDescent="0.25">
      <c r="A208" s="20">
        <v>27546</v>
      </c>
      <c r="B208" s="21"/>
      <c r="C208" s="21"/>
      <c r="D208" s="21">
        <v>10.130000000000001</v>
      </c>
      <c r="E208" s="21"/>
      <c r="F208" s="21"/>
      <c r="G208" s="21"/>
      <c r="H208" s="3"/>
    </row>
    <row r="209" spans="1:8" x14ac:dyDescent="0.25">
      <c r="A209" s="20">
        <v>27576</v>
      </c>
      <c r="B209" s="21"/>
      <c r="C209" s="21"/>
      <c r="D209" s="21">
        <v>10.130000000000001</v>
      </c>
      <c r="E209" s="21"/>
      <c r="F209" s="21"/>
      <c r="G209" s="21"/>
      <c r="H209" s="3"/>
    </row>
    <row r="210" spans="1:8" x14ac:dyDescent="0.25">
      <c r="A210" s="20">
        <v>27607</v>
      </c>
      <c r="B210" s="21"/>
      <c r="C210" s="21"/>
      <c r="D210" s="21">
        <v>10.130000000000001</v>
      </c>
      <c r="E210" s="21"/>
      <c r="F210" s="21"/>
      <c r="G210" s="21"/>
      <c r="H210" s="3"/>
    </row>
    <row r="211" spans="1:8" x14ac:dyDescent="0.25">
      <c r="A211" s="20">
        <v>27638</v>
      </c>
      <c r="B211" s="21"/>
      <c r="C211" s="21"/>
      <c r="D211" s="21">
        <v>10.38</v>
      </c>
      <c r="E211" s="21"/>
      <c r="F211" s="21"/>
      <c r="G211" s="21"/>
      <c r="H211" s="3"/>
    </row>
    <row r="212" spans="1:8" x14ac:dyDescent="0.25">
      <c r="A212" s="20">
        <v>27668</v>
      </c>
      <c r="B212" s="21"/>
      <c r="C212" s="21"/>
      <c r="D212" s="21">
        <v>10.38</v>
      </c>
      <c r="E212" s="21"/>
      <c r="F212" s="21"/>
      <c r="G212" s="21"/>
      <c r="H212" s="3"/>
    </row>
    <row r="213" spans="1:8" x14ac:dyDescent="0.25">
      <c r="A213" s="20">
        <v>27699</v>
      </c>
      <c r="B213" s="21"/>
      <c r="C213" s="21"/>
      <c r="D213" s="21">
        <v>10.38</v>
      </c>
      <c r="E213" s="21"/>
      <c r="F213" s="21"/>
      <c r="G213" s="21"/>
      <c r="H213" s="3"/>
    </row>
    <row r="214" spans="1:8" x14ac:dyDescent="0.25">
      <c r="A214" s="20">
        <v>27729</v>
      </c>
      <c r="B214" s="21"/>
      <c r="C214" s="21"/>
      <c r="D214" s="21">
        <v>10.38</v>
      </c>
      <c r="E214" s="21"/>
      <c r="F214" s="21"/>
      <c r="G214" s="21"/>
      <c r="H214" s="3"/>
    </row>
    <row r="215" spans="1:8" x14ac:dyDescent="0.25">
      <c r="A215" s="20">
        <v>27760</v>
      </c>
      <c r="B215" s="21"/>
      <c r="C215" s="21"/>
      <c r="D215" s="21">
        <v>10.38</v>
      </c>
      <c r="E215" s="21"/>
      <c r="F215" s="21"/>
      <c r="G215" s="21"/>
      <c r="H215" s="3"/>
    </row>
    <row r="216" spans="1:8" x14ac:dyDescent="0.25">
      <c r="A216" s="20">
        <v>27791</v>
      </c>
      <c r="B216" s="21"/>
      <c r="C216" s="21">
        <v>10.46</v>
      </c>
      <c r="D216" s="21">
        <v>9.8800000000000008</v>
      </c>
      <c r="E216" s="21"/>
      <c r="F216" s="21"/>
      <c r="G216" s="21"/>
      <c r="H216" s="3"/>
    </row>
    <row r="217" spans="1:8" x14ac:dyDescent="0.25">
      <c r="A217" s="20">
        <v>27820</v>
      </c>
      <c r="B217" s="21"/>
      <c r="C217" s="21">
        <v>10.46</v>
      </c>
      <c r="D217" s="21">
        <v>9.8800000000000008</v>
      </c>
      <c r="E217" s="21"/>
      <c r="F217" s="21"/>
      <c r="G217" s="21"/>
      <c r="H217" s="3"/>
    </row>
    <row r="218" spans="1:8" x14ac:dyDescent="0.25">
      <c r="A218" s="20">
        <v>27851</v>
      </c>
      <c r="B218" s="21"/>
      <c r="C218" s="21">
        <v>10.46</v>
      </c>
      <c r="D218" s="21">
        <v>9.8800000000000008</v>
      </c>
      <c r="E218" s="21"/>
      <c r="F218" s="21"/>
      <c r="G218" s="21"/>
      <c r="H218" s="3"/>
    </row>
    <row r="219" spans="1:8" x14ac:dyDescent="0.25">
      <c r="A219" s="20">
        <v>27881</v>
      </c>
      <c r="B219" s="21"/>
      <c r="C219" s="21">
        <v>10.46</v>
      </c>
      <c r="D219" s="21">
        <v>9.8800000000000008</v>
      </c>
      <c r="E219" s="21"/>
      <c r="F219" s="21"/>
      <c r="G219" s="21"/>
      <c r="H219" s="3"/>
    </row>
    <row r="220" spans="1:8" x14ac:dyDescent="0.25">
      <c r="A220" s="20">
        <v>27912</v>
      </c>
      <c r="B220" s="21"/>
      <c r="C220" s="21">
        <v>10.46</v>
      </c>
      <c r="D220" s="21">
        <v>9.8800000000000008</v>
      </c>
      <c r="E220" s="21"/>
      <c r="F220" s="21"/>
      <c r="G220" s="21"/>
      <c r="H220" s="3"/>
    </row>
    <row r="221" spans="1:8" x14ac:dyDescent="0.25">
      <c r="A221" s="20">
        <v>27942</v>
      </c>
      <c r="B221" s="21"/>
      <c r="C221" s="21">
        <v>10.46</v>
      </c>
      <c r="D221" s="21">
        <v>9.8800000000000008</v>
      </c>
      <c r="E221" s="21"/>
      <c r="F221" s="21"/>
      <c r="G221" s="21"/>
      <c r="H221" s="3"/>
    </row>
    <row r="222" spans="1:8" x14ac:dyDescent="0.25">
      <c r="A222" s="20">
        <v>27973</v>
      </c>
      <c r="B222" s="21"/>
      <c r="C222" s="21">
        <v>10.46</v>
      </c>
      <c r="D222" s="21">
        <v>9.8800000000000008</v>
      </c>
      <c r="E222" s="21"/>
      <c r="F222" s="21"/>
      <c r="G222" s="21"/>
      <c r="H222" s="3"/>
    </row>
    <row r="223" spans="1:8" x14ac:dyDescent="0.25">
      <c r="A223" s="20">
        <v>28004</v>
      </c>
      <c r="B223" s="21"/>
      <c r="C223" s="21">
        <v>10.46</v>
      </c>
      <c r="D223" s="21">
        <v>9.8800000000000008</v>
      </c>
      <c r="E223" s="21"/>
      <c r="F223" s="21"/>
      <c r="G223" s="21"/>
      <c r="H223" s="3"/>
    </row>
    <row r="224" spans="1:8" x14ac:dyDescent="0.25">
      <c r="A224" s="20">
        <v>28034</v>
      </c>
      <c r="B224" s="21"/>
      <c r="C224" s="21">
        <v>10.46</v>
      </c>
      <c r="D224" s="21">
        <v>9.8800000000000008</v>
      </c>
      <c r="E224" s="21"/>
      <c r="F224" s="21"/>
      <c r="G224" s="21"/>
      <c r="H224" s="3"/>
    </row>
    <row r="225" spans="1:8" x14ac:dyDescent="0.25">
      <c r="A225" s="20">
        <v>28065</v>
      </c>
      <c r="B225" s="21"/>
      <c r="C225" s="21">
        <v>10.46</v>
      </c>
      <c r="D225" s="21">
        <v>9.8800000000000008</v>
      </c>
      <c r="E225" s="21"/>
      <c r="F225" s="21"/>
      <c r="G225" s="21"/>
      <c r="H225" s="3"/>
    </row>
    <row r="226" spans="1:8" x14ac:dyDescent="0.25">
      <c r="A226" s="20">
        <v>28095</v>
      </c>
      <c r="B226" s="21"/>
      <c r="C226" s="21">
        <v>10.46</v>
      </c>
      <c r="D226" s="21">
        <v>9.8800000000000008</v>
      </c>
      <c r="E226" s="21"/>
      <c r="F226" s="21"/>
      <c r="G226" s="21"/>
      <c r="H226" s="3"/>
    </row>
    <row r="227" spans="1:8" x14ac:dyDescent="0.25">
      <c r="A227" s="20">
        <v>28126</v>
      </c>
      <c r="B227" s="21"/>
      <c r="C227" s="21">
        <v>10.46</v>
      </c>
      <c r="D227" s="21">
        <v>9.8800000000000008</v>
      </c>
      <c r="E227" s="21"/>
      <c r="F227" s="21"/>
      <c r="G227" s="21"/>
      <c r="H227" s="3"/>
    </row>
    <row r="228" spans="1:8" x14ac:dyDescent="0.25">
      <c r="A228" s="20">
        <v>28157</v>
      </c>
      <c r="B228" s="21"/>
      <c r="C228" s="21">
        <v>10.46</v>
      </c>
      <c r="D228" s="21">
        <v>9.8800000000000008</v>
      </c>
      <c r="E228" s="21"/>
      <c r="F228" s="21"/>
      <c r="G228" s="21"/>
      <c r="H228" s="3"/>
    </row>
    <row r="229" spans="1:8" x14ac:dyDescent="0.25">
      <c r="A229" s="20">
        <v>28185</v>
      </c>
      <c r="B229" s="21"/>
      <c r="C229" s="21">
        <v>10.46</v>
      </c>
      <c r="D229" s="21">
        <v>9.8800000000000008</v>
      </c>
      <c r="E229" s="21"/>
      <c r="F229" s="21"/>
      <c r="G229" s="21"/>
      <c r="H229" s="3"/>
    </row>
    <row r="230" spans="1:8" x14ac:dyDescent="0.25">
      <c r="A230" s="20">
        <v>28216</v>
      </c>
      <c r="B230" s="21"/>
      <c r="C230" s="21">
        <v>10.46</v>
      </c>
      <c r="D230" s="21">
        <v>9.8800000000000008</v>
      </c>
      <c r="E230" s="21"/>
      <c r="F230" s="21"/>
      <c r="G230" s="21"/>
      <c r="H230" s="3"/>
    </row>
    <row r="231" spans="1:8" x14ac:dyDescent="0.25">
      <c r="A231" s="20">
        <v>28246</v>
      </c>
      <c r="B231" s="21"/>
      <c r="C231" s="21">
        <v>10.46</v>
      </c>
      <c r="D231" s="21">
        <v>9.8800000000000008</v>
      </c>
      <c r="E231" s="21"/>
      <c r="F231" s="21"/>
      <c r="G231" s="21"/>
      <c r="H231" s="3"/>
    </row>
    <row r="232" spans="1:8" x14ac:dyDescent="0.25">
      <c r="A232" s="20">
        <v>28277</v>
      </c>
      <c r="B232" s="21"/>
      <c r="C232" s="21">
        <v>10.46</v>
      </c>
      <c r="D232" s="21">
        <v>9.8800000000000008</v>
      </c>
      <c r="E232" s="21"/>
      <c r="F232" s="21"/>
      <c r="G232" s="21"/>
      <c r="H232" s="3"/>
    </row>
    <row r="233" spans="1:8" x14ac:dyDescent="0.25">
      <c r="A233" s="20">
        <v>28307</v>
      </c>
      <c r="B233" s="21"/>
      <c r="C233" s="21">
        <v>10.46</v>
      </c>
      <c r="D233" s="21">
        <v>9.8800000000000008</v>
      </c>
      <c r="E233" s="21"/>
      <c r="F233" s="21"/>
      <c r="G233" s="21"/>
      <c r="H233" s="3"/>
    </row>
    <row r="234" spans="1:8" x14ac:dyDescent="0.25">
      <c r="A234" s="20">
        <v>28338</v>
      </c>
      <c r="B234" s="21"/>
      <c r="C234" s="21">
        <v>10.46</v>
      </c>
      <c r="D234" s="21">
        <v>9.8800000000000008</v>
      </c>
      <c r="E234" s="21"/>
      <c r="F234" s="21"/>
      <c r="G234" s="21"/>
      <c r="H234" s="3"/>
    </row>
    <row r="235" spans="1:8" x14ac:dyDescent="0.25">
      <c r="A235" s="20">
        <v>28369</v>
      </c>
      <c r="B235" s="21"/>
      <c r="C235" s="21">
        <v>10.46</v>
      </c>
      <c r="D235" s="21">
        <v>9.8800000000000008</v>
      </c>
      <c r="E235" s="21"/>
      <c r="F235" s="21"/>
      <c r="G235" s="21"/>
      <c r="H235" s="3"/>
    </row>
    <row r="236" spans="1:8" x14ac:dyDescent="0.25">
      <c r="A236" s="20">
        <v>28399</v>
      </c>
      <c r="B236" s="21"/>
      <c r="C236" s="21">
        <v>10.46</v>
      </c>
      <c r="D236" s="21">
        <v>9.8800000000000008</v>
      </c>
      <c r="E236" s="21"/>
      <c r="F236" s="21"/>
      <c r="G236" s="21"/>
      <c r="H236" s="3"/>
    </row>
    <row r="237" spans="1:8" x14ac:dyDescent="0.25">
      <c r="A237" s="20">
        <v>28430</v>
      </c>
      <c r="B237" s="21"/>
      <c r="C237" s="21">
        <v>10.46</v>
      </c>
      <c r="D237" s="21">
        <v>9.8800000000000008</v>
      </c>
      <c r="E237" s="21"/>
      <c r="F237" s="21"/>
      <c r="G237" s="21"/>
      <c r="H237" s="3"/>
    </row>
    <row r="238" spans="1:8" x14ac:dyDescent="0.25">
      <c r="A238" s="20">
        <v>28460</v>
      </c>
      <c r="B238" s="21"/>
      <c r="C238" s="21">
        <v>10.46</v>
      </c>
      <c r="D238" s="21">
        <v>9.8800000000000008</v>
      </c>
      <c r="E238" s="21"/>
      <c r="F238" s="21"/>
      <c r="G238" s="21"/>
      <c r="H238" s="3"/>
    </row>
    <row r="239" spans="1:8" x14ac:dyDescent="0.25">
      <c r="A239" s="20">
        <v>28491</v>
      </c>
      <c r="B239" s="21"/>
      <c r="C239" s="21">
        <v>10.46</v>
      </c>
      <c r="D239" s="21">
        <v>9.6300000000000008</v>
      </c>
      <c r="E239" s="21"/>
      <c r="F239" s="21"/>
      <c r="G239" s="21"/>
      <c r="H239" s="3"/>
    </row>
    <row r="240" spans="1:8" x14ac:dyDescent="0.25">
      <c r="A240" s="20">
        <v>28522</v>
      </c>
      <c r="B240" s="21"/>
      <c r="C240" s="21">
        <v>10.46</v>
      </c>
      <c r="D240" s="21">
        <v>9.3800000000000008</v>
      </c>
      <c r="E240" s="21"/>
      <c r="F240" s="21"/>
      <c r="G240" s="21"/>
      <c r="H240" s="3"/>
    </row>
    <row r="241" spans="1:8" x14ac:dyDescent="0.25">
      <c r="A241" s="20">
        <v>28550</v>
      </c>
      <c r="B241" s="21"/>
      <c r="C241" s="21">
        <v>10.46</v>
      </c>
      <c r="D241" s="21">
        <v>9.3800000000000008</v>
      </c>
      <c r="E241" s="21"/>
      <c r="F241" s="21"/>
      <c r="G241" s="21"/>
      <c r="H241" s="3"/>
    </row>
    <row r="242" spans="1:8" x14ac:dyDescent="0.25">
      <c r="A242" s="20">
        <v>28581</v>
      </c>
      <c r="B242" s="21"/>
      <c r="C242" s="21">
        <v>10.46</v>
      </c>
      <c r="D242" s="21">
        <v>9.3800000000000008</v>
      </c>
      <c r="E242" s="21"/>
      <c r="F242" s="21"/>
      <c r="G242" s="21"/>
      <c r="H242" s="3"/>
    </row>
    <row r="243" spans="1:8" x14ac:dyDescent="0.25">
      <c r="A243" s="20">
        <v>28611</v>
      </c>
      <c r="B243" s="21"/>
      <c r="C243" s="21">
        <v>10.46</v>
      </c>
      <c r="D243" s="21">
        <v>9.3800000000000008</v>
      </c>
      <c r="E243" s="21"/>
      <c r="F243" s="21"/>
      <c r="G243" s="21"/>
      <c r="H243" s="3"/>
    </row>
    <row r="244" spans="1:8" x14ac:dyDescent="0.25">
      <c r="A244" s="20">
        <v>28642</v>
      </c>
      <c r="B244" s="21"/>
      <c r="C244" s="21">
        <v>10.46</v>
      </c>
      <c r="D244" s="21">
        <v>9.3800000000000008</v>
      </c>
      <c r="E244" s="21"/>
      <c r="F244" s="21"/>
      <c r="G244" s="21"/>
      <c r="H244" s="3"/>
    </row>
    <row r="245" spans="1:8" x14ac:dyDescent="0.25">
      <c r="A245" s="20">
        <v>28672</v>
      </c>
      <c r="B245" s="21"/>
      <c r="C245" s="21">
        <v>10.46</v>
      </c>
      <c r="D245" s="21">
        <v>9.3800000000000008</v>
      </c>
      <c r="E245" s="21"/>
      <c r="F245" s="21"/>
      <c r="G245" s="21"/>
      <c r="H245" s="3"/>
    </row>
    <row r="246" spans="1:8" x14ac:dyDescent="0.25">
      <c r="A246" s="20">
        <v>28703</v>
      </c>
      <c r="B246" s="21"/>
      <c r="C246" s="21">
        <v>10.46</v>
      </c>
      <c r="D246" s="21">
        <v>9.3800000000000008</v>
      </c>
      <c r="E246" s="21"/>
      <c r="F246" s="21"/>
      <c r="G246" s="21"/>
      <c r="H246" s="3"/>
    </row>
    <row r="247" spans="1:8" x14ac:dyDescent="0.25">
      <c r="A247" s="20">
        <v>28734</v>
      </c>
      <c r="B247" s="21"/>
      <c r="C247" s="21">
        <v>10.46</v>
      </c>
      <c r="D247" s="21">
        <v>9.3800000000000008</v>
      </c>
      <c r="E247" s="21"/>
      <c r="F247" s="21"/>
      <c r="G247" s="21"/>
      <c r="H247" s="3"/>
    </row>
    <row r="248" spans="1:8" x14ac:dyDescent="0.25">
      <c r="A248" s="20">
        <v>28764</v>
      </c>
      <c r="B248" s="21"/>
      <c r="C248" s="21">
        <v>10.46</v>
      </c>
      <c r="D248" s="21">
        <v>9.3800000000000008</v>
      </c>
      <c r="E248" s="21"/>
      <c r="F248" s="21"/>
      <c r="G248" s="21"/>
      <c r="H248" s="3"/>
    </row>
    <row r="249" spans="1:8" x14ac:dyDescent="0.25">
      <c r="A249" s="20">
        <v>28795</v>
      </c>
      <c r="B249" s="21"/>
      <c r="C249" s="21">
        <v>10.34</v>
      </c>
      <c r="D249" s="21">
        <v>9.3800000000000008</v>
      </c>
      <c r="E249" s="21"/>
      <c r="F249" s="21"/>
      <c r="G249" s="21"/>
      <c r="H249" s="3"/>
    </row>
    <row r="250" spans="1:8" x14ac:dyDescent="0.25">
      <c r="A250" s="20">
        <v>28825</v>
      </c>
      <c r="B250" s="21"/>
      <c r="C250" s="21">
        <v>9.9600000000000009</v>
      </c>
      <c r="D250" s="21">
        <v>9.1300000000000008</v>
      </c>
      <c r="E250" s="21"/>
      <c r="F250" s="21"/>
      <c r="G250" s="21"/>
      <c r="H250" s="3"/>
    </row>
    <row r="251" spans="1:8" x14ac:dyDescent="0.25">
      <c r="A251" s="20">
        <v>28856</v>
      </c>
      <c r="B251" s="21"/>
      <c r="C251" s="21">
        <v>9.9600000000000009</v>
      </c>
      <c r="D251" s="21">
        <v>9.1300000000000008</v>
      </c>
      <c r="E251" s="21"/>
      <c r="F251" s="21"/>
      <c r="G251" s="21"/>
      <c r="H251" s="3"/>
    </row>
    <row r="252" spans="1:8" x14ac:dyDescent="0.25">
      <c r="A252" s="20">
        <v>28887</v>
      </c>
      <c r="B252" s="21"/>
      <c r="C252" s="21">
        <v>9.9600000000000009</v>
      </c>
      <c r="D252" s="21">
        <v>9.1300000000000008</v>
      </c>
      <c r="E252" s="21"/>
      <c r="F252" s="21"/>
      <c r="G252" s="21"/>
      <c r="H252" s="3"/>
    </row>
    <row r="253" spans="1:8" x14ac:dyDescent="0.25">
      <c r="A253" s="20">
        <v>28915</v>
      </c>
      <c r="B253" s="21"/>
      <c r="C253" s="21">
        <v>9.9600000000000009</v>
      </c>
      <c r="D253" s="21">
        <v>9.1300000000000008</v>
      </c>
      <c r="E253" s="21"/>
      <c r="F253" s="21"/>
      <c r="G253" s="21"/>
      <c r="H253" s="3"/>
    </row>
    <row r="254" spans="1:8" x14ac:dyDescent="0.25">
      <c r="A254" s="20">
        <v>28946</v>
      </c>
      <c r="B254" s="21"/>
      <c r="C254" s="21">
        <v>9.9600000000000009</v>
      </c>
      <c r="D254" s="21">
        <v>9.1300000000000008</v>
      </c>
      <c r="E254" s="21"/>
      <c r="F254" s="21"/>
      <c r="G254" s="21"/>
      <c r="H254" s="3"/>
    </row>
    <row r="255" spans="1:8" x14ac:dyDescent="0.25">
      <c r="A255" s="20">
        <v>28976</v>
      </c>
      <c r="B255" s="21"/>
      <c r="C255" s="21">
        <v>9.9600000000000009</v>
      </c>
      <c r="D255" s="21">
        <v>9.1300000000000008</v>
      </c>
      <c r="E255" s="21"/>
      <c r="F255" s="21"/>
      <c r="G255" s="21"/>
      <c r="H255" s="3"/>
    </row>
    <row r="256" spans="1:8" x14ac:dyDescent="0.25">
      <c r="A256" s="20">
        <v>29007</v>
      </c>
      <c r="B256" s="21"/>
      <c r="C256" s="21">
        <v>9.9600000000000009</v>
      </c>
      <c r="D256" s="21">
        <v>9.1300000000000008</v>
      </c>
      <c r="E256" s="21"/>
      <c r="F256" s="21"/>
      <c r="G256" s="21"/>
      <c r="H256" s="3"/>
    </row>
    <row r="257" spans="1:8" x14ac:dyDescent="0.25">
      <c r="A257" s="20">
        <v>29037</v>
      </c>
      <c r="B257" s="21"/>
      <c r="C257" s="21">
        <v>9.9600000000000009</v>
      </c>
      <c r="D257" s="21">
        <v>9.1300000000000008</v>
      </c>
      <c r="E257" s="21"/>
      <c r="F257" s="21"/>
      <c r="G257" s="21"/>
      <c r="H257" s="3"/>
    </row>
    <row r="258" spans="1:8" x14ac:dyDescent="0.25">
      <c r="A258" s="20">
        <v>29068</v>
      </c>
      <c r="B258" s="21"/>
      <c r="C258" s="21">
        <v>9.9600000000000009</v>
      </c>
      <c r="D258" s="21">
        <v>9.1300000000000008</v>
      </c>
      <c r="E258" s="21"/>
      <c r="F258" s="21"/>
      <c r="G258" s="21"/>
      <c r="H258" s="3"/>
    </row>
    <row r="259" spans="1:8" x14ac:dyDescent="0.25">
      <c r="A259" s="20">
        <v>29099</v>
      </c>
      <c r="B259" s="21"/>
      <c r="C259" s="21">
        <v>9.9600000000000009</v>
      </c>
      <c r="D259" s="21">
        <v>9.1300000000000008</v>
      </c>
      <c r="E259" s="21"/>
      <c r="F259" s="21"/>
      <c r="G259" s="21"/>
      <c r="H259" s="3"/>
    </row>
    <row r="260" spans="1:8" x14ac:dyDescent="0.25">
      <c r="A260" s="20">
        <v>29129</v>
      </c>
      <c r="B260" s="21"/>
      <c r="C260" s="21">
        <v>9.9600000000000009</v>
      </c>
      <c r="D260" s="21">
        <v>9.1300000000000008</v>
      </c>
      <c r="E260" s="21"/>
      <c r="F260" s="21"/>
      <c r="G260" s="21"/>
      <c r="H260" s="3"/>
    </row>
    <row r="261" spans="1:8" x14ac:dyDescent="0.25">
      <c r="A261" s="20">
        <v>29160</v>
      </c>
      <c r="B261" s="21"/>
      <c r="C261" s="21">
        <v>9.9600000000000009</v>
      </c>
      <c r="D261" s="21">
        <v>9.1300000000000008</v>
      </c>
      <c r="E261" s="21"/>
      <c r="F261" s="21"/>
      <c r="G261" s="21"/>
      <c r="H261" s="3"/>
    </row>
    <row r="262" spans="1:8" x14ac:dyDescent="0.25">
      <c r="A262" s="20">
        <v>29190</v>
      </c>
      <c r="B262" s="21"/>
      <c r="C262" s="21">
        <v>9.9600000000000009</v>
      </c>
      <c r="D262" s="21">
        <v>9.1300000000000008</v>
      </c>
      <c r="E262" s="21"/>
      <c r="F262" s="21"/>
      <c r="G262" s="21"/>
      <c r="H262" s="3"/>
    </row>
    <row r="263" spans="1:8" x14ac:dyDescent="0.25">
      <c r="A263" s="20">
        <v>29221</v>
      </c>
      <c r="B263" s="21"/>
      <c r="C263" s="21">
        <v>9.9600000000000009</v>
      </c>
      <c r="D263" s="21">
        <v>9.1300000000000008</v>
      </c>
      <c r="E263" s="21"/>
      <c r="F263" s="21"/>
      <c r="G263" s="21"/>
      <c r="H263" s="3"/>
    </row>
    <row r="264" spans="1:8" x14ac:dyDescent="0.25">
      <c r="A264" s="20">
        <v>29252</v>
      </c>
      <c r="B264" s="21"/>
      <c r="C264" s="21">
        <v>9.9600000000000009</v>
      </c>
      <c r="D264" s="21">
        <v>9.1300000000000008</v>
      </c>
      <c r="E264" s="21"/>
      <c r="F264" s="21"/>
      <c r="G264" s="21"/>
      <c r="H264" s="3"/>
    </row>
    <row r="265" spans="1:8" x14ac:dyDescent="0.25">
      <c r="A265" s="20">
        <v>29281</v>
      </c>
      <c r="B265" s="21"/>
      <c r="C265" s="21">
        <v>10.34</v>
      </c>
      <c r="D265" s="21">
        <v>9.6300000000000008</v>
      </c>
      <c r="E265" s="21"/>
      <c r="F265" s="21"/>
      <c r="G265" s="21"/>
      <c r="H265" s="3"/>
    </row>
    <row r="266" spans="1:8" x14ac:dyDescent="0.25">
      <c r="A266" s="20">
        <v>29312</v>
      </c>
      <c r="B266" s="21"/>
      <c r="C266" s="21">
        <v>10.46</v>
      </c>
      <c r="D266" s="21">
        <v>9.8800000000000008</v>
      </c>
      <c r="E266" s="21"/>
      <c r="F266" s="21"/>
      <c r="G266" s="21"/>
      <c r="H266" s="3"/>
    </row>
    <row r="267" spans="1:8" x14ac:dyDescent="0.25">
      <c r="A267" s="20">
        <v>29342</v>
      </c>
      <c r="B267" s="21"/>
      <c r="C267" s="21">
        <v>10.46</v>
      </c>
      <c r="D267" s="21">
        <v>9.8800000000000008</v>
      </c>
      <c r="E267" s="21"/>
      <c r="F267" s="21"/>
      <c r="G267" s="21"/>
      <c r="H267" s="3"/>
    </row>
    <row r="268" spans="1:8" x14ac:dyDescent="0.25">
      <c r="A268" s="20">
        <v>29373</v>
      </c>
      <c r="B268" s="21"/>
      <c r="C268" s="21">
        <v>10.46</v>
      </c>
      <c r="D268" s="21">
        <v>9.8800000000000008</v>
      </c>
      <c r="E268" s="21"/>
      <c r="F268" s="21"/>
      <c r="G268" s="21"/>
      <c r="H268" s="3"/>
    </row>
    <row r="269" spans="1:8" x14ac:dyDescent="0.25">
      <c r="A269" s="20">
        <v>29403</v>
      </c>
      <c r="B269" s="21"/>
      <c r="C269" s="21">
        <v>10.46</v>
      </c>
      <c r="D269" s="21">
        <v>10.25</v>
      </c>
      <c r="E269" s="21"/>
      <c r="F269" s="21"/>
      <c r="G269" s="21"/>
      <c r="H269" s="3"/>
    </row>
    <row r="270" spans="1:8" x14ac:dyDescent="0.25">
      <c r="A270" s="20">
        <v>29434</v>
      </c>
      <c r="B270" s="21"/>
      <c r="C270" s="21">
        <v>10.46</v>
      </c>
      <c r="D270" s="21">
        <v>10.25</v>
      </c>
      <c r="E270" s="21"/>
      <c r="F270" s="21"/>
      <c r="G270" s="21"/>
      <c r="H270" s="3"/>
    </row>
    <row r="271" spans="1:8" x14ac:dyDescent="0.25">
      <c r="A271" s="20">
        <v>29465</v>
      </c>
      <c r="B271" s="21"/>
      <c r="C271" s="21">
        <v>10.46</v>
      </c>
      <c r="D271" s="21">
        <v>10.25</v>
      </c>
      <c r="E271" s="21"/>
      <c r="F271" s="21"/>
      <c r="G271" s="21"/>
      <c r="H271" s="3"/>
    </row>
    <row r="272" spans="1:8" x14ac:dyDescent="0.25">
      <c r="A272" s="20">
        <v>29495</v>
      </c>
      <c r="B272" s="21"/>
      <c r="C272" s="21">
        <v>10.46</v>
      </c>
      <c r="D272" s="21">
        <v>10.25</v>
      </c>
      <c r="E272" s="21"/>
      <c r="F272" s="21"/>
      <c r="G272" s="21"/>
      <c r="H272" s="3"/>
    </row>
    <row r="273" spans="1:8" x14ac:dyDescent="0.25">
      <c r="A273" s="20">
        <v>29526</v>
      </c>
      <c r="B273" s="21"/>
      <c r="C273" s="21">
        <v>10.46</v>
      </c>
      <c r="D273" s="21">
        <v>10.25</v>
      </c>
      <c r="E273" s="21"/>
      <c r="F273" s="21"/>
      <c r="G273" s="21"/>
      <c r="H273" s="3"/>
    </row>
    <row r="274" spans="1:8" x14ac:dyDescent="0.25">
      <c r="A274" s="20">
        <v>29556</v>
      </c>
      <c r="B274" s="21"/>
      <c r="C274" s="21">
        <v>11.95</v>
      </c>
      <c r="D274" s="21">
        <v>11</v>
      </c>
      <c r="E274" s="21"/>
      <c r="F274" s="21"/>
      <c r="G274" s="21"/>
      <c r="H274" s="3"/>
    </row>
    <row r="275" spans="1:8" x14ac:dyDescent="0.25">
      <c r="A275" s="20">
        <v>29587</v>
      </c>
      <c r="B275" s="21"/>
      <c r="C275" s="21">
        <v>11.95</v>
      </c>
      <c r="D275" s="21">
        <v>11.5</v>
      </c>
      <c r="E275" s="21"/>
      <c r="F275" s="21"/>
      <c r="G275" s="21"/>
      <c r="H275" s="3"/>
    </row>
    <row r="276" spans="1:8" x14ac:dyDescent="0.25">
      <c r="A276" s="20">
        <v>29618</v>
      </c>
      <c r="B276" s="21"/>
      <c r="C276" s="21">
        <v>11.95</v>
      </c>
      <c r="D276" s="21">
        <v>11.5</v>
      </c>
      <c r="E276" s="21"/>
      <c r="F276" s="21"/>
      <c r="G276" s="21"/>
      <c r="H276" s="3"/>
    </row>
    <row r="277" spans="1:8" x14ac:dyDescent="0.25">
      <c r="A277" s="20">
        <v>29646</v>
      </c>
      <c r="B277" s="21"/>
      <c r="C277" s="21">
        <v>12.2</v>
      </c>
      <c r="D277" s="21">
        <v>11.5</v>
      </c>
      <c r="E277" s="21"/>
      <c r="F277" s="21"/>
      <c r="G277" s="21"/>
      <c r="H277" s="3"/>
    </row>
    <row r="278" spans="1:8" x14ac:dyDescent="0.25">
      <c r="A278" s="20">
        <v>29677</v>
      </c>
      <c r="B278" s="21"/>
      <c r="C278" s="21">
        <v>12.38</v>
      </c>
      <c r="D278" s="21">
        <v>11.5</v>
      </c>
      <c r="E278" s="21"/>
      <c r="F278" s="21"/>
      <c r="G278" s="21"/>
      <c r="H278" s="3"/>
    </row>
    <row r="279" spans="1:8" x14ac:dyDescent="0.25">
      <c r="A279" s="20">
        <v>29707</v>
      </c>
      <c r="B279" s="21"/>
      <c r="C279" s="21">
        <v>12.38</v>
      </c>
      <c r="D279" s="21">
        <v>11.5</v>
      </c>
      <c r="E279" s="21"/>
      <c r="F279" s="21"/>
      <c r="G279" s="21"/>
      <c r="H279" s="3"/>
    </row>
    <row r="280" spans="1:8" x14ac:dyDescent="0.25">
      <c r="A280" s="20">
        <v>29738</v>
      </c>
      <c r="B280" s="21"/>
      <c r="C280" s="21">
        <v>12.38</v>
      </c>
      <c r="D280" s="21">
        <v>11.5</v>
      </c>
      <c r="E280" s="21"/>
      <c r="F280" s="21"/>
      <c r="G280" s="21"/>
      <c r="H280" s="3"/>
    </row>
    <row r="281" spans="1:8" x14ac:dyDescent="0.25">
      <c r="A281" s="20">
        <v>29768</v>
      </c>
      <c r="B281" s="21"/>
      <c r="C281" s="21">
        <v>12.46</v>
      </c>
      <c r="D281" s="21">
        <v>11.5</v>
      </c>
      <c r="E281" s="21"/>
      <c r="F281" s="21"/>
      <c r="G281" s="21"/>
      <c r="H281" s="3"/>
    </row>
    <row r="282" spans="1:8" x14ac:dyDescent="0.25">
      <c r="A282" s="20">
        <v>29799</v>
      </c>
      <c r="B282" s="21"/>
      <c r="C282" s="21">
        <v>13.46</v>
      </c>
      <c r="D282" s="21">
        <v>12</v>
      </c>
      <c r="E282" s="21"/>
      <c r="F282" s="21"/>
      <c r="G282" s="21"/>
      <c r="H282" s="3"/>
    </row>
    <row r="283" spans="1:8" x14ac:dyDescent="0.25">
      <c r="A283" s="20">
        <v>29830</v>
      </c>
      <c r="B283" s="21"/>
      <c r="C283" s="21">
        <v>13.46</v>
      </c>
      <c r="D283" s="21">
        <v>12</v>
      </c>
      <c r="E283" s="21"/>
      <c r="F283" s="21"/>
      <c r="G283" s="21"/>
      <c r="H283" s="3"/>
    </row>
    <row r="284" spans="1:8" x14ac:dyDescent="0.25">
      <c r="A284" s="20">
        <v>29860</v>
      </c>
      <c r="B284" s="21"/>
      <c r="C284" s="21">
        <v>13.46</v>
      </c>
      <c r="D284" s="21">
        <v>12.5</v>
      </c>
      <c r="E284" s="21"/>
      <c r="F284" s="21"/>
      <c r="G284" s="21"/>
      <c r="H284" s="3"/>
    </row>
    <row r="285" spans="1:8" x14ac:dyDescent="0.25">
      <c r="A285" s="20">
        <v>29891</v>
      </c>
      <c r="B285" s="21"/>
      <c r="C285" s="21">
        <v>13.46</v>
      </c>
      <c r="D285" s="21">
        <v>12.5</v>
      </c>
      <c r="E285" s="21"/>
      <c r="F285" s="21"/>
      <c r="G285" s="21"/>
      <c r="H285" s="3"/>
    </row>
    <row r="286" spans="1:8" x14ac:dyDescent="0.25">
      <c r="A286" s="20">
        <v>29921</v>
      </c>
      <c r="B286" s="21"/>
      <c r="C286" s="21">
        <v>13.46</v>
      </c>
      <c r="D286" s="21">
        <v>12.5</v>
      </c>
      <c r="E286" s="21"/>
      <c r="F286" s="21"/>
      <c r="G286" s="21"/>
      <c r="H286" s="3"/>
    </row>
    <row r="287" spans="1:8" x14ac:dyDescent="0.25">
      <c r="A287" s="20">
        <v>29952</v>
      </c>
      <c r="B287" s="21"/>
      <c r="C287" s="21">
        <v>13.46</v>
      </c>
      <c r="D287" s="21">
        <v>12.5</v>
      </c>
      <c r="E287" s="21"/>
      <c r="F287" s="21"/>
      <c r="G287" s="21"/>
      <c r="H287" s="3"/>
    </row>
    <row r="288" spans="1:8" x14ac:dyDescent="0.25">
      <c r="A288" s="20">
        <v>29983</v>
      </c>
      <c r="B288" s="21"/>
      <c r="C288" s="21">
        <v>13.46</v>
      </c>
      <c r="D288" s="21">
        <v>12.5</v>
      </c>
      <c r="E288" s="21"/>
      <c r="F288" s="21"/>
      <c r="G288" s="21"/>
      <c r="H288" s="3"/>
    </row>
    <row r="289" spans="1:8" x14ac:dyDescent="0.25">
      <c r="A289" s="20">
        <v>30011</v>
      </c>
      <c r="B289" s="21"/>
      <c r="C289" s="21">
        <v>14.21</v>
      </c>
      <c r="D289" s="21">
        <v>13</v>
      </c>
      <c r="E289" s="21"/>
      <c r="F289" s="21"/>
      <c r="G289" s="21"/>
      <c r="H289" s="3"/>
    </row>
    <row r="290" spans="1:8" x14ac:dyDescent="0.25">
      <c r="A290" s="20">
        <v>30042</v>
      </c>
      <c r="B290" s="21"/>
      <c r="C290" s="21">
        <v>14.46</v>
      </c>
      <c r="D290" s="21">
        <v>13.5</v>
      </c>
      <c r="E290" s="21"/>
      <c r="F290" s="21"/>
      <c r="G290" s="21"/>
      <c r="H290" s="3"/>
    </row>
    <row r="291" spans="1:8" x14ac:dyDescent="0.25">
      <c r="A291" s="20">
        <v>30072</v>
      </c>
      <c r="B291" s="21"/>
      <c r="C291" s="21">
        <v>14.46</v>
      </c>
      <c r="D291" s="21">
        <v>13.5</v>
      </c>
      <c r="E291" s="21"/>
      <c r="F291" s="21"/>
      <c r="G291" s="21"/>
      <c r="H291" s="3"/>
    </row>
    <row r="292" spans="1:8" x14ac:dyDescent="0.25">
      <c r="A292" s="20">
        <v>30103</v>
      </c>
      <c r="B292" s="21"/>
      <c r="C292" s="21">
        <v>14.46</v>
      </c>
      <c r="D292" s="21">
        <v>13.5</v>
      </c>
      <c r="E292" s="21"/>
      <c r="F292" s="21"/>
      <c r="G292" s="21"/>
      <c r="H292" s="3"/>
    </row>
    <row r="293" spans="1:8" x14ac:dyDescent="0.25">
      <c r="A293" s="20">
        <v>30133</v>
      </c>
      <c r="B293" s="21"/>
      <c r="C293" s="21">
        <v>14.46</v>
      </c>
      <c r="D293" s="21">
        <v>13.5</v>
      </c>
      <c r="E293" s="21"/>
      <c r="F293" s="21"/>
      <c r="G293" s="21"/>
      <c r="H293" s="3"/>
    </row>
    <row r="294" spans="1:8" x14ac:dyDescent="0.25">
      <c r="A294" s="20">
        <v>30164</v>
      </c>
      <c r="B294" s="21"/>
      <c r="C294" s="21">
        <v>14.46</v>
      </c>
      <c r="D294" s="21">
        <v>13.5</v>
      </c>
      <c r="E294" s="21"/>
      <c r="F294" s="21"/>
      <c r="G294" s="21"/>
      <c r="H294" s="3"/>
    </row>
    <row r="295" spans="1:8" x14ac:dyDescent="0.25">
      <c r="A295" s="20">
        <v>30195</v>
      </c>
      <c r="B295" s="21"/>
      <c r="C295" s="21">
        <v>14.46</v>
      </c>
      <c r="D295" s="21">
        <v>13.5</v>
      </c>
      <c r="E295" s="21"/>
      <c r="F295" s="21"/>
      <c r="G295" s="21"/>
      <c r="H295" s="3"/>
    </row>
    <row r="296" spans="1:8" x14ac:dyDescent="0.25">
      <c r="A296" s="20">
        <v>30225</v>
      </c>
      <c r="B296" s="21"/>
      <c r="C296" s="21">
        <v>14.46</v>
      </c>
      <c r="D296" s="21">
        <v>13.5</v>
      </c>
      <c r="E296" s="21"/>
      <c r="F296" s="21"/>
      <c r="G296" s="21"/>
      <c r="H296" s="3"/>
    </row>
    <row r="297" spans="1:8" x14ac:dyDescent="0.25">
      <c r="A297" s="20">
        <v>30256</v>
      </c>
      <c r="B297" s="21"/>
      <c r="C297" s="21">
        <v>14.46</v>
      </c>
      <c r="D297" s="21">
        <v>13.5</v>
      </c>
      <c r="E297" s="21"/>
      <c r="F297" s="21"/>
      <c r="G297" s="21"/>
      <c r="H297" s="3"/>
    </row>
    <row r="298" spans="1:8" x14ac:dyDescent="0.25">
      <c r="A298" s="20">
        <v>30286</v>
      </c>
      <c r="B298" s="21"/>
      <c r="C298" s="21">
        <v>14.46</v>
      </c>
      <c r="D298" s="21">
        <v>13.5</v>
      </c>
      <c r="E298" s="21"/>
      <c r="F298" s="21"/>
      <c r="G298" s="21"/>
      <c r="H298" s="3"/>
    </row>
    <row r="299" spans="1:8" x14ac:dyDescent="0.25">
      <c r="A299" s="20">
        <v>30317</v>
      </c>
      <c r="B299" s="21"/>
      <c r="C299" s="21">
        <v>13.96</v>
      </c>
      <c r="D299" s="21">
        <v>13.5</v>
      </c>
      <c r="E299" s="21"/>
      <c r="F299" s="21"/>
      <c r="G299" s="21"/>
      <c r="H299" s="3"/>
    </row>
    <row r="300" spans="1:8" x14ac:dyDescent="0.25">
      <c r="A300" s="20">
        <v>30348</v>
      </c>
      <c r="B300" s="21"/>
      <c r="C300" s="21">
        <v>13.82</v>
      </c>
      <c r="D300" s="21">
        <v>12.5</v>
      </c>
      <c r="E300" s="21"/>
      <c r="F300" s="21"/>
      <c r="G300" s="21"/>
      <c r="H300" s="3"/>
    </row>
    <row r="301" spans="1:8" x14ac:dyDescent="0.25">
      <c r="A301" s="20">
        <v>30376</v>
      </c>
      <c r="B301" s="21"/>
      <c r="C301" s="21">
        <v>13.82</v>
      </c>
      <c r="D301" s="21">
        <v>12.5</v>
      </c>
      <c r="E301" s="21"/>
      <c r="F301" s="21"/>
      <c r="G301" s="21"/>
      <c r="H301" s="3"/>
    </row>
    <row r="302" spans="1:8" x14ac:dyDescent="0.25">
      <c r="A302" s="20">
        <v>30407</v>
      </c>
      <c r="B302" s="21"/>
      <c r="C302" s="21">
        <v>13.82</v>
      </c>
      <c r="D302" s="21">
        <v>12.5</v>
      </c>
      <c r="E302" s="21"/>
      <c r="F302" s="21"/>
      <c r="G302" s="21"/>
      <c r="H302" s="3"/>
    </row>
    <row r="303" spans="1:8" x14ac:dyDescent="0.25">
      <c r="A303" s="20">
        <v>30437</v>
      </c>
      <c r="B303" s="21"/>
      <c r="C303" s="21">
        <v>13.82</v>
      </c>
      <c r="D303" s="21">
        <v>12.5</v>
      </c>
      <c r="E303" s="21"/>
      <c r="F303" s="21"/>
      <c r="G303" s="21"/>
      <c r="H303" s="3"/>
    </row>
    <row r="304" spans="1:8" x14ac:dyDescent="0.25">
      <c r="A304" s="20">
        <v>30468</v>
      </c>
      <c r="B304" s="21"/>
      <c r="C304" s="21">
        <v>13.82</v>
      </c>
      <c r="D304" s="21">
        <v>12.5</v>
      </c>
      <c r="E304" s="21"/>
      <c r="F304" s="21"/>
      <c r="G304" s="21"/>
      <c r="H304" s="3"/>
    </row>
    <row r="305" spans="1:8" x14ac:dyDescent="0.25">
      <c r="A305" s="20">
        <v>30498</v>
      </c>
      <c r="B305" s="21"/>
      <c r="C305" s="21">
        <v>13.82</v>
      </c>
      <c r="D305" s="21">
        <v>12.5</v>
      </c>
      <c r="E305" s="21"/>
      <c r="F305" s="21"/>
      <c r="G305" s="21"/>
      <c r="H305" s="3"/>
    </row>
    <row r="306" spans="1:8" x14ac:dyDescent="0.25">
      <c r="A306" s="20">
        <v>30529</v>
      </c>
      <c r="B306" s="21"/>
      <c r="C306" s="21">
        <v>13.82</v>
      </c>
      <c r="D306" s="21">
        <v>12.5</v>
      </c>
      <c r="E306" s="21"/>
      <c r="F306" s="21"/>
      <c r="G306" s="21"/>
      <c r="H306" s="3"/>
    </row>
    <row r="307" spans="1:8" x14ac:dyDescent="0.25">
      <c r="A307" s="20">
        <v>30560</v>
      </c>
      <c r="B307" s="21"/>
      <c r="C307" s="21">
        <v>13.82</v>
      </c>
      <c r="D307" s="21">
        <v>12</v>
      </c>
      <c r="E307" s="21"/>
      <c r="F307" s="21"/>
      <c r="G307" s="21"/>
      <c r="H307" s="3"/>
    </row>
    <row r="308" spans="1:8" x14ac:dyDescent="0.25">
      <c r="A308" s="20">
        <v>30590</v>
      </c>
      <c r="B308" s="21"/>
      <c r="C308" s="21">
        <v>13.82</v>
      </c>
      <c r="D308" s="21">
        <v>12</v>
      </c>
      <c r="E308" s="21"/>
      <c r="F308" s="21"/>
      <c r="G308" s="21"/>
      <c r="H308" s="3"/>
    </row>
    <row r="309" spans="1:8" x14ac:dyDescent="0.25">
      <c r="A309" s="20">
        <v>30621</v>
      </c>
      <c r="B309" s="21"/>
      <c r="C309" s="21">
        <v>13.82</v>
      </c>
      <c r="D309" s="21">
        <v>12</v>
      </c>
      <c r="E309" s="21"/>
      <c r="F309" s="21"/>
      <c r="G309" s="21"/>
      <c r="H309" s="3"/>
    </row>
    <row r="310" spans="1:8" x14ac:dyDescent="0.25">
      <c r="A310" s="20">
        <v>30651</v>
      </c>
      <c r="B310" s="21"/>
      <c r="C310" s="21">
        <v>13.82</v>
      </c>
      <c r="D310" s="21">
        <v>12</v>
      </c>
      <c r="E310" s="21"/>
      <c r="F310" s="21"/>
      <c r="G310" s="21"/>
      <c r="H310" s="3"/>
    </row>
    <row r="311" spans="1:8" x14ac:dyDescent="0.25">
      <c r="A311" s="20">
        <v>30682</v>
      </c>
      <c r="B311" s="21"/>
      <c r="C311" s="21">
        <v>13.7</v>
      </c>
      <c r="D311" s="21">
        <v>11.5</v>
      </c>
      <c r="E311" s="21"/>
      <c r="F311" s="21"/>
      <c r="G311" s="21"/>
      <c r="H311" s="3"/>
    </row>
    <row r="312" spans="1:8" x14ac:dyDescent="0.25">
      <c r="A312" s="20">
        <v>30713</v>
      </c>
      <c r="B312" s="21"/>
      <c r="C312" s="21">
        <v>13.7</v>
      </c>
      <c r="D312" s="21">
        <v>11.5</v>
      </c>
      <c r="E312" s="21"/>
      <c r="F312" s="21"/>
      <c r="G312" s="21"/>
      <c r="H312" s="3"/>
    </row>
    <row r="313" spans="1:8" x14ac:dyDescent="0.25">
      <c r="A313" s="20">
        <v>30742</v>
      </c>
      <c r="B313" s="21"/>
      <c r="C313" s="21">
        <v>13.82</v>
      </c>
      <c r="D313" s="21">
        <v>11.5</v>
      </c>
      <c r="E313" s="21"/>
      <c r="F313" s="21"/>
      <c r="G313" s="21"/>
      <c r="H313" s="3"/>
    </row>
    <row r="314" spans="1:8" x14ac:dyDescent="0.25">
      <c r="A314" s="20">
        <v>30773</v>
      </c>
      <c r="B314" s="21"/>
      <c r="C314" s="21">
        <v>13.82</v>
      </c>
      <c r="D314" s="21">
        <v>11.5</v>
      </c>
      <c r="E314" s="21"/>
      <c r="F314" s="21"/>
      <c r="G314" s="21"/>
      <c r="H314" s="3"/>
    </row>
    <row r="315" spans="1:8" x14ac:dyDescent="0.25">
      <c r="A315" s="20">
        <v>30803</v>
      </c>
      <c r="B315" s="21"/>
      <c r="C315" s="21">
        <v>13.82</v>
      </c>
      <c r="D315" s="21">
        <v>11.5</v>
      </c>
      <c r="E315" s="21"/>
      <c r="F315" s="21"/>
      <c r="G315" s="21"/>
      <c r="H315" s="3"/>
    </row>
    <row r="316" spans="1:8" x14ac:dyDescent="0.25">
      <c r="A316" s="20">
        <v>30834</v>
      </c>
      <c r="B316" s="21"/>
      <c r="C316" s="21">
        <v>13.82</v>
      </c>
      <c r="D316" s="21">
        <v>11.5</v>
      </c>
      <c r="E316" s="21"/>
      <c r="F316" s="21"/>
      <c r="G316" s="21"/>
      <c r="H316" s="3"/>
    </row>
    <row r="317" spans="1:8" x14ac:dyDescent="0.25">
      <c r="A317" s="20">
        <v>30864</v>
      </c>
      <c r="B317" s="21"/>
      <c r="C317" s="21">
        <v>13.82</v>
      </c>
      <c r="D317" s="21">
        <v>11.5</v>
      </c>
      <c r="E317" s="21"/>
      <c r="F317" s="21"/>
      <c r="G317" s="21"/>
      <c r="H317" s="3"/>
    </row>
    <row r="318" spans="1:8" x14ac:dyDescent="0.25">
      <c r="A318" s="20">
        <v>30895</v>
      </c>
      <c r="B318" s="21"/>
      <c r="C318" s="21">
        <v>13.82</v>
      </c>
      <c r="D318" s="21">
        <v>11.5</v>
      </c>
      <c r="E318" s="21"/>
      <c r="F318" s="21"/>
      <c r="G318" s="21"/>
      <c r="H318" s="3"/>
    </row>
    <row r="319" spans="1:8" x14ac:dyDescent="0.25">
      <c r="A319" s="20">
        <v>30926</v>
      </c>
      <c r="B319" s="21"/>
      <c r="C319" s="21">
        <v>13.82</v>
      </c>
      <c r="D319" s="21">
        <v>11.5</v>
      </c>
      <c r="E319" s="21"/>
      <c r="F319" s="21"/>
      <c r="G319" s="21"/>
      <c r="H319" s="3"/>
    </row>
    <row r="320" spans="1:8" x14ac:dyDescent="0.25">
      <c r="A320" s="20">
        <v>30956</v>
      </c>
      <c r="B320" s="21"/>
      <c r="C320" s="21">
        <v>13.82</v>
      </c>
      <c r="D320" s="21">
        <v>11.5</v>
      </c>
      <c r="E320" s="21"/>
      <c r="F320" s="21"/>
      <c r="G320" s="21"/>
      <c r="H320" s="3"/>
    </row>
    <row r="321" spans="1:8" x14ac:dyDescent="0.25">
      <c r="A321" s="20">
        <v>30987</v>
      </c>
      <c r="B321" s="21"/>
      <c r="C321" s="21">
        <v>13.82</v>
      </c>
      <c r="D321" s="21">
        <v>11.5</v>
      </c>
      <c r="E321" s="21"/>
      <c r="F321" s="21"/>
      <c r="G321" s="21"/>
      <c r="H321" s="3"/>
    </row>
    <row r="322" spans="1:8" x14ac:dyDescent="0.25">
      <c r="A322" s="20">
        <v>31017</v>
      </c>
      <c r="B322" s="21"/>
      <c r="C322" s="21">
        <v>13.82</v>
      </c>
      <c r="D322" s="21">
        <v>11.5</v>
      </c>
      <c r="E322" s="21"/>
      <c r="F322" s="21"/>
      <c r="G322" s="21"/>
      <c r="H322" s="3"/>
    </row>
    <row r="323" spans="1:8" x14ac:dyDescent="0.25">
      <c r="A323" s="20">
        <v>31048</v>
      </c>
      <c r="B323" s="21"/>
      <c r="C323" s="21">
        <v>13.98</v>
      </c>
      <c r="D323" s="21">
        <v>11.5</v>
      </c>
      <c r="E323" s="21"/>
      <c r="F323" s="21"/>
      <c r="G323" s="21"/>
      <c r="H323" s="3"/>
    </row>
    <row r="324" spans="1:8" x14ac:dyDescent="0.25">
      <c r="A324" s="20">
        <v>31079</v>
      </c>
      <c r="B324" s="21"/>
      <c r="C324" s="21">
        <v>13.98</v>
      </c>
      <c r="D324" s="21">
        <v>11.5</v>
      </c>
      <c r="E324" s="21"/>
      <c r="F324" s="21"/>
      <c r="G324" s="21"/>
      <c r="H324" s="3"/>
    </row>
    <row r="325" spans="1:8" x14ac:dyDescent="0.25">
      <c r="A325" s="20">
        <v>31107</v>
      </c>
      <c r="B325" s="21"/>
      <c r="C325" s="21">
        <v>14.05</v>
      </c>
      <c r="D325" s="21">
        <v>11.5</v>
      </c>
      <c r="E325" s="21"/>
      <c r="F325" s="21"/>
      <c r="G325" s="21"/>
      <c r="H325" s="3"/>
    </row>
    <row r="326" spans="1:8" x14ac:dyDescent="0.25">
      <c r="A326" s="20">
        <v>31138</v>
      </c>
      <c r="B326" s="21"/>
      <c r="C326" s="21">
        <v>14.42</v>
      </c>
      <c r="D326" s="21">
        <v>12</v>
      </c>
      <c r="E326" s="21"/>
      <c r="F326" s="21"/>
      <c r="G326" s="21"/>
      <c r="H326" s="3"/>
    </row>
    <row r="327" spans="1:8" x14ac:dyDescent="0.25">
      <c r="A327" s="20">
        <v>31168</v>
      </c>
      <c r="B327" s="21"/>
      <c r="C327" s="21">
        <v>14.48</v>
      </c>
      <c r="D327" s="21">
        <v>12</v>
      </c>
      <c r="E327" s="21"/>
      <c r="F327" s="21"/>
      <c r="G327" s="21"/>
      <c r="H327" s="3"/>
    </row>
    <row r="328" spans="1:8" x14ac:dyDescent="0.25">
      <c r="A328" s="20">
        <v>31199</v>
      </c>
      <c r="B328" s="21"/>
      <c r="C328" s="21">
        <v>15.17</v>
      </c>
      <c r="D328" s="21">
        <v>12.13</v>
      </c>
      <c r="E328" s="21"/>
      <c r="F328" s="21"/>
      <c r="G328" s="21"/>
      <c r="H328" s="3"/>
    </row>
    <row r="329" spans="1:8" x14ac:dyDescent="0.25">
      <c r="A329" s="20">
        <v>31229</v>
      </c>
      <c r="B329" s="21"/>
      <c r="C329" s="21">
        <v>15.48</v>
      </c>
      <c r="D329" s="21">
        <v>12.5</v>
      </c>
      <c r="E329" s="21"/>
      <c r="F329" s="21"/>
      <c r="G329" s="21"/>
      <c r="H329" s="3"/>
    </row>
    <row r="330" spans="1:8" x14ac:dyDescent="0.25">
      <c r="A330" s="20">
        <v>31260</v>
      </c>
      <c r="B330" s="21"/>
      <c r="C330" s="21">
        <v>15.8</v>
      </c>
      <c r="D330" s="21">
        <v>12.5</v>
      </c>
      <c r="E330" s="21"/>
      <c r="F330" s="21"/>
      <c r="G330" s="21"/>
      <c r="H330" s="3"/>
    </row>
    <row r="331" spans="1:8" x14ac:dyDescent="0.25">
      <c r="A331" s="20">
        <v>31291</v>
      </c>
      <c r="B331" s="21"/>
      <c r="C331" s="21">
        <v>16.3</v>
      </c>
      <c r="D331" s="21">
        <v>12.88</v>
      </c>
      <c r="E331" s="21"/>
      <c r="F331" s="21"/>
      <c r="G331" s="21"/>
      <c r="H331" s="3"/>
    </row>
    <row r="332" spans="1:8" x14ac:dyDescent="0.25">
      <c r="A332" s="20">
        <v>31321</v>
      </c>
      <c r="B332" s="21"/>
      <c r="C332" s="21">
        <v>16.3</v>
      </c>
      <c r="D332" s="21">
        <v>13.5</v>
      </c>
      <c r="E332" s="21"/>
      <c r="F332" s="21"/>
      <c r="G332" s="21"/>
      <c r="H332" s="3"/>
    </row>
    <row r="333" spans="1:8" x14ac:dyDescent="0.25">
      <c r="A333" s="20">
        <v>31352</v>
      </c>
      <c r="B333" s="21"/>
      <c r="C333" s="21">
        <v>16.8</v>
      </c>
      <c r="D333" s="21">
        <v>13.5</v>
      </c>
      <c r="E333" s="21"/>
      <c r="F333" s="21"/>
      <c r="G333" s="21"/>
      <c r="H333" s="3"/>
    </row>
    <row r="334" spans="1:8" x14ac:dyDescent="0.25">
      <c r="A334" s="20">
        <v>31382</v>
      </c>
      <c r="B334" s="21"/>
      <c r="C334" s="21">
        <v>18.05</v>
      </c>
      <c r="D334" s="21">
        <v>13.5</v>
      </c>
      <c r="E334" s="21"/>
      <c r="F334" s="21"/>
      <c r="G334" s="21"/>
      <c r="H334" s="3"/>
    </row>
    <row r="335" spans="1:8" x14ac:dyDescent="0.25">
      <c r="A335" s="20">
        <v>31413</v>
      </c>
      <c r="B335" s="21"/>
      <c r="C335" s="21">
        <v>18.05</v>
      </c>
      <c r="D335" s="21">
        <v>13.5</v>
      </c>
      <c r="E335" s="21"/>
      <c r="F335" s="21"/>
      <c r="G335" s="21"/>
      <c r="H335" s="3"/>
    </row>
    <row r="336" spans="1:8" x14ac:dyDescent="0.25">
      <c r="A336" s="20">
        <v>31444</v>
      </c>
      <c r="B336" s="21"/>
      <c r="C336" s="21">
        <v>18.36</v>
      </c>
      <c r="D336" s="21">
        <v>13.5</v>
      </c>
      <c r="E336" s="21"/>
      <c r="F336" s="21"/>
      <c r="G336" s="21"/>
      <c r="H336" s="3"/>
    </row>
    <row r="337" spans="1:8" x14ac:dyDescent="0.25">
      <c r="A337" s="20">
        <v>31472</v>
      </c>
      <c r="B337" s="21"/>
      <c r="C337" s="21">
        <v>18.36</v>
      </c>
      <c r="D337" s="21">
        <v>13.5</v>
      </c>
      <c r="E337" s="21"/>
      <c r="F337" s="21"/>
      <c r="G337" s="21"/>
      <c r="H337" s="3"/>
    </row>
    <row r="338" spans="1:8" x14ac:dyDescent="0.25">
      <c r="A338" s="20">
        <v>31503</v>
      </c>
      <c r="B338" s="21"/>
      <c r="C338" s="21">
        <v>18.36</v>
      </c>
      <c r="D338" s="21">
        <v>15.5</v>
      </c>
      <c r="E338" s="21"/>
      <c r="F338" s="21"/>
      <c r="G338" s="21"/>
      <c r="H338" s="3"/>
    </row>
    <row r="339" spans="1:8" x14ac:dyDescent="0.25">
      <c r="A339" s="20">
        <v>31533</v>
      </c>
      <c r="B339" s="21"/>
      <c r="C339" s="21">
        <v>17.98</v>
      </c>
      <c r="D339" s="21">
        <v>15.5</v>
      </c>
      <c r="E339" s="21"/>
      <c r="F339" s="21"/>
      <c r="G339" s="21"/>
      <c r="H339" s="3"/>
    </row>
    <row r="340" spans="1:8" x14ac:dyDescent="0.25">
      <c r="A340" s="20">
        <v>31564</v>
      </c>
      <c r="B340" s="21"/>
      <c r="C340" s="21">
        <v>17.670000000000002</v>
      </c>
      <c r="D340" s="21">
        <v>15.5</v>
      </c>
      <c r="E340" s="21"/>
      <c r="F340" s="21"/>
      <c r="G340" s="21"/>
      <c r="H340" s="3"/>
    </row>
    <row r="341" spans="1:8" x14ac:dyDescent="0.25">
      <c r="A341" s="20">
        <v>31594</v>
      </c>
      <c r="B341" s="21"/>
      <c r="C341" s="21">
        <v>17.48</v>
      </c>
      <c r="D341" s="21">
        <v>15.5</v>
      </c>
      <c r="E341" s="21"/>
      <c r="F341" s="21"/>
      <c r="G341" s="21"/>
      <c r="H341" s="3"/>
    </row>
    <row r="342" spans="1:8" x14ac:dyDescent="0.25">
      <c r="A342" s="20">
        <v>31625</v>
      </c>
      <c r="B342" s="21"/>
      <c r="C342" s="21">
        <v>18.3</v>
      </c>
      <c r="D342" s="21">
        <v>15.5</v>
      </c>
      <c r="E342" s="21"/>
      <c r="F342" s="21"/>
      <c r="G342" s="21"/>
      <c r="H342" s="3"/>
    </row>
    <row r="343" spans="1:8" x14ac:dyDescent="0.25">
      <c r="A343" s="20">
        <v>31656</v>
      </c>
      <c r="B343" s="21"/>
      <c r="C343" s="21">
        <v>18.98</v>
      </c>
      <c r="D343" s="21">
        <v>15.5</v>
      </c>
      <c r="E343" s="21"/>
      <c r="F343" s="21"/>
      <c r="G343" s="21"/>
      <c r="H343" s="3"/>
    </row>
    <row r="344" spans="1:8" x14ac:dyDescent="0.25">
      <c r="A344" s="20">
        <v>31686</v>
      </c>
      <c r="B344" s="21"/>
      <c r="C344" s="21">
        <v>18.98</v>
      </c>
      <c r="D344" s="21">
        <v>15.5</v>
      </c>
      <c r="E344" s="21"/>
      <c r="F344" s="21"/>
      <c r="G344" s="21"/>
      <c r="H344" s="3"/>
    </row>
    <row r="345" spans="1:8" x14ac:dyDescent="0.25">
      <c r="A345" s="20">
        <v>31717</v>
      </c>
      <c r="B345" s="21"/>
      <c r="C345" s="21">
        <v>18.86</v>
      </c>
      <c r="D345" s="21">
        <v>15.5</v>
      </c>
      <c r="E345" s="21"/>
      <c r="F345" s="21"/>
      <c r="G345" s="21"/>
      <c r="H345" s="3"/>
    </row>
    <row r="346" spans="1:8" x14ac:dyDescent="0.25">
      <c r="A346" s="20">
        <v>31747</v>
      </c>
      <c r="B346" s="21"/>
      <c r="C346" s="21">
        <v>18.55</v>
      </c>
      <c r="D346" s="21">
        <v>15.5</v>
      </c>
      <c r="E346" s="21"/>
      <c r="F346" s="21"/>
      <c r="G346" s="21"/>
      <c r="H346" s="3"/>
    </row>
    <row r="347" spans="1:8" x14ac:dyDescent="0.25">
      <c r="A347" s="20">
        <v>31778</v>
      </c>
      <c r="B347" s="21"/>
      <c r="C347" s="21">
        <v>18.23</v>
      </c>
      <c r="D347" s="21">
        <v>15.5</v>
      </c>
      <c r="E347" s="21"/>
      <c r="F347" s="21"/>
      <c r="G347" s="21"/>
      <c r="H347" s="3"/>
    </row>
    <row r="348" spans="1:8" x14ac:dyDescent="0.25">
      <c r="A348" s="20">
        <v>31809</v>
      </c>
      <c r="B348" s="21"/>
      <c r="C348" s="21">
        <v>18.670000000000002</v>
      </c>
      <c r="D348" s="21">
        <v>15.5</v>
      </c>
      <c r="E348" s="21"/>
      <c r="F348" s="21"/>
      <c r="G348" s="21"/>
      <c r="H348" s="3"/>
    </row>
    <row r="349" spans="1:8" x14ac:dyDescent="0.25">
      <c r="A349" s="20">
        <v>31837</v>
      </c>
      <c r="B349" s="21"/>
      <c r="C349" s="21">
        <v>18.8</v>
      </c>
      <c r="D349" s="21">
        <v>15.5</v>
      </c>
      <c r="E349" s="21"/>
      <c r="F349" s="21"/>
      <c r="G349" s="21"/>
      <c r="H349" s="3"/>
    </row>
    <row r="350" spans="1:8" x14ac:dyDescent="0.25">
      <c r="A350" s="20">
        <v>31868</v>
      </c>
      <c r="B350" s="21"/>
      <c r="C350" s="21">
        <v>18.3</v>
      </c>
      <c r="D350" s="21">
        <v>15.5</v>
      </c>
      <c r="E350" s="21"/>
      <c r="F350" s="21"/>
      <c r="G350" s="21"/>
      <c r="H350" s="3"/>
    </row>
    <row r="351" spans="1:8" x14ac:dyDescent="0.25">
      <c r="A351" s="20">
        <v>31898</v>
      </c>
      <c r="B351" s="21"/>
      <c r="C351" s="21">
        <v>17.55</v>
      </c>
      <c r="D351" s="21">
        <v>15.5</v>
      </c>
      <c r="E351" s="21"/>
      <c r="F351" s="21"/>
      <c r="G351" s="21"/>
      <c r="H351" s="3"/>
    </row>
    <row r="352" spans="1:8" x14ac:dyDescent="0.25">
      <c r="A352" s="20">
        <v>31929</v>
      </c>
      <c r="B352" s="21"/>
      <c r="C352" s="21">
        <v>17.11</v>
      </c>
      <c r="D352" s="21">
        <v>15.5</v>
      </c>
      <c r="E352" s="21"/>
      <c r="F352" s="21"/>
      <c r="G352" s="21"/>
      <c r="H352" s="3"/>
    </row>
    <row r="353" spans="1:8" x14ac:dyDescent="0.25">
      <c r="A353" s="20">
        <v>31959</v>
      </c>
      <c r="B353" s="21"/>
      <c r="C353" s="21">
        <v>16.73</v>
      </c>
      <c r="D353" s="21">
        <v>15.5</v>
      </c>
      <c r="E353" s="21"/>
      <c r="F353" s="21"/>
      <c r="G353" s="21"/>
      <c r="H353" s="3"/>
    </row>
    <row r="354" spans="1:8" x14ac:dyDescent="0.25">
      <c r="A354" s="20">
        <v>31990</v>
      </c>
      <c r="B354" s="21"/>
      <c r="C354" s="21">
        <v>16.05</v>
      </c>
      <c r="D354" s="21">
        <v>15.06</v>
      </c>
      <c r="E354" s="21"/>
      <c r="F354" s="21"/>
      <c r="G354" s="21"/>
      <c r="H354" s="3"/>
    </row>
    <row r="355" spans="1:8" x14ac:dyDescent="0.25">
      <c r="A355" s="20">
        <v>32021</v>
      </c>
      <c r="B355" s="21"/>
      <c r="C355" s="21">
        <v>15.55</v>
      </c>
      <c r="D355" s="21">
        <v>14.75</v>
      </c>
      <c r="E355" s="21"/>
      <c r="F355" s="21"/>
      <c r="G355" s="21"/>
      <c r="H355" s="3"/>
    </row>
    <row r="356" spans="1:8" x14ac:dyDescent="0.25">
      <c r="A356" s="20">
        <v>32051</v>
      </c>
      <c r="B356" s="21"/>
      <c r="C356" s="21">
        <v>14.92</v>
      </c>
      <c r="D356" s="21">
        <v>14.5</v>
      </c>
      <c r="E356" s="21"/>
      <c r="F356" s="21"/>
      <c r="G356" s="21"/>
      <c r="H356" s="3"/>
    </row>
    <row r="357" spans="1:8" x14ac:dyDescent="0.25">
      <c r="A357" s="20">
        <v>32082</v>
      </c>
      <c r="B357" s="21"/>
      <c r="C357" s="21">
        <v>14.92</v>
      </c>
      <c r="D357" s="21">
        <v>14.13</v>
      </c>
      <c r="E357" s="21"/>
      <c r="F357" s="21"/>
      <c r="G357" s="21"/>
      <c r="H357" s="3"/>
    </row>
    <row r="358" spans="1:8" x14ac:dyDescent="0.25">
      <c r="A358" s="20">
        <v>32112</v>
      </c>
      <c r="B358" s="21"/>
      <c r="C358" s="21">
        <v>14.92</v>
      </c>
      <c r="D358" s="21">
        <v>14</v>
      </c>
      <c r="E358" s="21"/>
      <c r="F358" s="21"/>
      <c r="G358" s="21"/>
      <c r="H358" s="3"/>
    </row>
    <row r="359" spans="1:8" x14ac:dyDescent="0.25">
      <c r="A359" s="20">
        <v>32143</v>
      </c>
      <c r="B359" s="21"/>
      <c r="C359" s="21">
        <v>14.55</v>
      </c>
      <c r="D359" s="21">
        <v>14</v>
      </c>
      <c r="E359" s="21"/>
      <c r="F359" s="21"/>
      <c r="G359" s="21"/>
      <c r="H359" s="3"/>
    </row>
    <row r="360" spans="1:8" x14ac:dyDescent="0.25">
      <c r="A360" s="20">
        <v>32174</v>
      </c>
      <c r="B360" s="21"/>
      <c r="C360" s="21">
        <v>14.55</v>
      </c>
      <c r="D360" s="21">
        <v>13.5</v>
      </c>
      <c r="E360" s="21"/>
      <c r="F360" s="21"/>
      <c r="G360" s="21"/>
      <c r="H360" s="3"/>
    </row>
    <row r="361" spans="1:8" x14ac:dyDescent="0.25">
      <c r="A361" s="20">
        <v>32203</v>
      </c>
      <c r="B361" s="21"/>
      <c r="C361" s="21">
        <v>14.42</v>
      </c>
      <c r="D361" s="21">
        <v>13.5</v>
      </c>
      <c r="E361" s="21"/>
      <c r="F361" s="21"/>
      <c r="G361" s="21"/>
      <c r="H361" s="3"/>
    </row>
    <row r="362" spans="1:8" x14ac:dyDescent="0.25">
      <c r="A362" s="20">
        <v>32234</v>
      </c>
      <c r="B362" s="21"/>
      <c r="C362" s="21">
        <v>14.48</v>
      </c>
      <c r="D362" s="21">
        <v>13.5</v>
      </c>
      <c r="E362" s="21"/>
      <c r="F362" s="21"/>
      <c r="G362" s="21"/>
      <c r="H362" s="3"/>
    </row>
    <row r="363" spans="1:8" x14ac:dyDescent="0.25">
      <c r="A363" s="20">
        <v>32264</v>
      </c>
      <c r="B363" s="21"/>
      <c r="C363" s="21">
        <v>14.73</v>
      </c>
      <c r="D363" s="21">
        <v>13.5</v>
      </c>
      <c r="E363" s="21"/>
      <c r="F363" s="21"/>
      <c r="G363" s="21"/>
      <c r="H363" s="3"/>
    </row>
    <row r="364" spans="1:8" x14ac:dyDescent="0.25">
      <c r="A364" s="20">
        <v>32295</v>
      </c>
      <c r="B364" s="21"/>
      <c r="C364" s="21">
        <v>15.48</v>
      </c>
      <c r="D364" s="21">
        <v>13.75</v>
      </c>
      <c r="E364" s="21"/>
      <c r="F364" s="21"/>
      <c r="G364" s="21"/>
      <c r="H364" s="3"/>
    </row>
    <row r="365" spans="1:8" x14ac:dyDescent="0.25">
      <c r="A365" s="20">
        <v>32325</v>
      </c>
      <c r="B365" s="21"/>
      <c r="C365" s="21">
        <v>15.67</v>
      </c>
      <c r="D365" s="21">
        <v>14.5</v>
      </c>
      <c r="E365" s="21"/>
      <c r="F365" s="21"/>
      <c r="G365" s="21"/>
      <c r="H365" s="3"/>
    </row>
    <row r="366" spans="1:8" x14ac:dyDescent="0.25">
      <c r="A366" s="20">
        <v>32356</v>
      </c>
      <c r="B366" s="21"/>
      <c r="C366" s="21">
        <v>15.67</v>
      </c>
      <c r="D366" s="21">
        <v>14.5</v>
      </c>
      <c r="E366" s="21"/>
      <c r="F366" s="21"/>
      <c r="G366" s="21"/>
      <c r="H366" s="3"/>
    </row>
    <row r="367" spans="1:8" x14ac:dyDescent="0.25">
      <c r="A367" s="20">
        <v>32387</v>
      </c>
      <c r="B367" s="21"/>
      <c r="C367" s="21">
        <v>16.23</v>
      </c>
      <c r="D367" s="21">
        <v>14.5</v>
      </c>
      <c r="E367" s="21"/>
      <c r="F367" s="21"/>
      <c r="G367" s="21"/>
      <c r="H367" s="3"/>
    </row>
    <row r="368" spans="1:8" x14ac:dyDescent="0.25">
      <c r="A368" s="20">
        <v>32417</v>
      </c>
      <c r="B368" s="21"/>
      <c r="C368" s="21">
        <v>16.420000000000002</v>
      </c>
      <c r="D368" s="21">
        <v>14.5</v>
      </c>
      <c r="E368" s="21"/>
      <c r="F368" s="21"/>
      <c r="G368" s="21"/>
      <c r="H368" s="3"/>
    </row>
    <row r="369" spans="1:8" x14ac:dyDescent="0.25">
      <c r="A369" s="20">
        <v>32448</v>
      </c>
      <c r="B369" s="21"/>
      <c r="C369" s="21">
        <v>16.8</v>
      </c>
      <c r="D369" s="21">
        <v>14.75</v>
      </c>
      <c r="E369" s="21"/>
      <c r="F369" s="21"/>
      <c r="G369" s="21"/>
      <c r="H369" s="3"/>
    </row>
    <row r="370" spans="1:8" x14ac:dyDescent="0.25">
      <c r="A370" s="20">
        <v>32478</v>
      </c>
      <c r="B370" s="21"/>
      <c r="C370" s="21">
        <v>16.920000000000002</v>
      </c>
      <c r="D370" s="21">
        <v>14.98</v>
      </c>
      <c r="E370" s="21"/>
      <c r="F370" s="21"/>
      <c r="G370" s="21"/>
      <c r="H370" s="3"/>
    </row>
    <row r="371" spans="1:8" x14ac:dyDescent="0.25">
      <c r="A371" s="20">
        <v>32509</v>
      </c>
      <c r="B371" s="21"/>
      <c r="C371" s="21">
        <v>17.420000000000002</v>
      </c>
      <c r="D371" s="21">
        <v>14.98</v>
      </c>
      <c r="E371" s="21"/>
      <c r="F371" s="21"/>
      <c r="G371" s="21"/>
      <c r="H371" s="3"/>
    </row>
    <row r="372" spans="1:8" x14ac:dyDescent="0.25">
      <c r="A372" s="20">
        <v>32540</v>
      </c>
      <c r="B372" s="21"/>
      <c r="C372" s="21">
        <v>18.55</v>
      </c>
      <c r="D372" s="21">
        <v>15.5</v>
      </c>
      <c r="E372" s="21"/>
      <c r="F372" s="21"/>
      <c r="G372" s="21"/>
      <c r="H372" s="3"/>
    </row>
    <row r="373" spans="1:8" x14ac:dyDescent="0.25">
      <c r="A373" s="20">
        <v>32568</v>
      </c>
      <c r="B373" s="21"/>
      <c r="C373" s="21">
        <v>19.11</v>
      </c>
      <c r="D373" s="21">
        <v>16</v>
      </c>
      <c r="E373" s="21"/>
      <c r="F373" s="21"/>
      <c r="G373" s="21"/>
      <c r="H373" s="3"/>
    </row>
    <row r="374" spans="1:8" x14ac:dyDescent="0.25">
      <c r="A374" s="20">
        <v>32599</v>
      </c>
      <c r="B374" s="21"/>
      <c r="C374" s="21">
        <v>19.3</v>
      </c>
      <c r="D374" s="21">
        <v>16</v>
      </c>
      <c r="E374" s="21"/>
      <c r="F374" s="21"/>
      <c r="G374" s="21"/>
      <c r="H374" s="3"/>
    </row>
    <row r="375" spans="1:8" x14ac:dyDescent="0.25">
      <c r="A375" s="20">
        <v>32629</v>
      </c>
      <c r="B375" s="21"/>
      <c r="C375" s="21">
        <v>19.920000000000002</v>
      </c>
      <c r="D375" s="21">
        <v>16</v>
      </c>
      <c r="E375" s="21"/>
      <c r="F375" s="21"/>
      <c r="G375" s="21"/>
      <c r="H375" s="3"/>
    </row>
    <row r="376" spans="1:8" x14ac:dyDescent="0.25">
      <c r="A376" s="20">
        <v>32660</v>
      </c>
      <c r="B376" s="21"/>
      <c r="C376" s="21">
        <v>20.3</v>
      </c>
      <c r="D376" s="21">
        <v>17</v>
      </c>
      <c r="E376" s="21"/>
      <c r="F376" s="21"/>
      <c r="G376" s="21"/>
      <c r="H376" s="3"/>
    </row>
    <row r="377" spans="1:8" x14ac:dyDescent="0.25">
      <c r="A377" s="20">
        <v>32690</v>
      </c>
      <c r="B377" s="21"/>
      <c r="C377" s="21">
        <v>20.67</v>
      </c>
      <c r="D377" s="21">
        <v>17</v>
      </c>
      <c r="E377" s="21"/>
      <c r="F377" s="21"/>
      <c r="G377" s="21"/>
      <c r="H377" s="3"/>
    </row>
    <row r="378" spans="1:8" x14ac:dyDescent="0.25">
      <c r="A378" s="20">
        <v>32721</v>
      </c>
      <c r="B378" s="21"/>
      <c r="C378" s="21">
        <v>20.67</v>
      </c>
      <c r="D378" s="21">
        <v>17</v>
      </c>
      <c r="E378" s="21"/>
      <c r="F378" s="21"/>
      <c r="G378" s="21"/>
      <c r="H378" s="3"/>
    </row>
    <row r="379" spans="1:8" x14ac:dyDescent="0.25">
      <c r="A379" s="20">
        <v>32752</v>
      </c>
      <c r="B379" s="21"/>
      <c r="C379" s="21">
        <v>20.98</v>
      </c>
      <c r="D379" s="21">
        <v>17</v>
      </c>
      <c r="E379" s="21"/>
      <c r="F379" s="21"/>
      <c r="G379" s="21"/>
      <c r="H379" s="3"/>
    </row>
    <row r="380" spans="1:8" x14ac:dyDescent="0.25">
      <c r="A380" s="20">
        <v>32782</v>
      </c>
      <c r="B380" s="21"/>
      <c r="C380" s="21">
        <v>21.05</v>
      </c>
      <c r="D380" s="21">
        <v>17</v>
      </c>
      <c r="E380" s="21"/>
      <c r="F380" s="21"/>
      <c r="G380" s="21"/>
      <c r="H380" s="3"/>
    </row>
    <row r="381" spans="1:8" x14ac:dyDescent="0.25">
      <c r="A381" s="20">
        <v>32813</v>
      </c>
      <c r="B381" s="21"/>
      <c r="C381" s="21">
        <v>21.05</v>
      </c>
      <c r="D381" s="21">
        <v>17</v>
      </c>
      <c r="E381" s="21"/>
      <c r="F381" s="21"/>
      <c r="G381" s="21"/>
      <c r="H381" s="3"/>
    </row>
    <row r="382" spans="1:8" x14ac:dyDescent="0.25">
      <c r="A382" s="20">
        <v>32843</v>
      </c>
      <c r="B382" s="21"/>
      <c r="C382" s="21">
        <v>21.05</v>
      </c>
      <c r="D382" s="21">
        <v>17</v>
      </c>
      <c r="E382" s="21"/>
      <c r="F382" s="21"/>
      <c r="G382" s="21"/>
      <c r="H382" s="3"/>
    </row>
    <row r="383" spans="1:8" x14ac:dyDescent="0.25">
      <c r="A383" s="20">
        <v>32874</v>
      </c>
      <c r="B383" s="21"/>
      <c r="C383" s="21">
        <v>20.92</v>
      </c>
      <c r="D383" s="21">
        <v>17</v>
      </c>
      <c r="E383" s="21"/>
      <c r="F383" s="21"/>
      <c r="G383" s="21"/>
      <c r="H383" s="3"/>
    </row>
    <row r="384" spans="1:8" x14ac:dyDescent="0.25">
      <c r="A384" s="20">
        <v>32905</v>
      </c>
      <c r="B384" s="21"/>
      <c r="C384" s="21">
        <v>20.36</v>
      </c>
      <c r="D384" s="21">
        <v>17</v>
      </c>
      <c r="E384" s="21"/>
      <c r="F384" s="21"/>
      <c r="G384" s="21"/>
      <c r="H384" s="3"/>
    </row>
    <row r="385" spans="1:8" x14ac:dyDescent="0.25">
      <c r="A385" s="20">
        <v>32933</v>
      </c>
      <c r="B385" s="21"/>
      <c r="C385" s="21">
        <v>20.3</v>
      </c>
      <c r="D385" s="21">
        <v>17</v>
      </c>
      <c r="E385" s="21"/>
      <c r="F385" s="21"/>
      <c r="G385" s="21"/>
      <c r="H385" s="3"/>
    </row>
    <row r="386" spans="1:8" x14ac:dyDescent="0.25">
      <c r="A386" s="20">
        <v>32964</v>
      </c>
      <c r="B386" s="21"/>
      <c r="C386" s="21">
        <v>19.3</v>
      </c>
      <c r="D386" s="21">
        <v>16.690000000000001</v>
      </c>
      <c r="E386" s="21"/>
      <c r="F386" s="21"/>
      <c r="G386" s="21"/>
      <c r="H386" s="3"/>
    </row>
    <row r="387" spans="1:8" x14ac:dyDescent="0.25">
      <c r="A387" s="20">
        <v>32994</v>
      </c>
      <c r="B387" s="21"/>
      <c r="C387" s="21">
        <v>18.920000000000002</v>
      </c>
      <c r="D387" s="21">
        <v>16.440000000000001</v>
      </c>
      <c r="E387" s="21"/>
      <c r="F387" s="21"/>
      <c r="G387" s="21"/>
      <c r="H387" s="3"/>
    </row>
    <row r="388" spans="1:8" x14ac:dyDescent="0.25">
      <c r="A388" s="20">
        <v>33025</v>
      </c>
      <c r="B388" s="21"/>
      <c r="C388" s="21">
        <v>18.920000000000002</v>
      </c>
      <c r="D388" s="21">
        <v>16.440000000000001</v>
      </c>
      <c r="E388" s="21"/>
      <c r="F388" s="21"/>
      <c r="G388" s="21"/>
      <c r="H388" s="3"/>
    </row>
    <row r="389" spans="1:8" x14ac:dyDescent="0.25">
      <c r="A389" s="20">
        <v>33055</v>
      </c>
      <c r="B389" s="21"/>
      <c r="C389" s="21">
        <v>18.670000000000002</v>
      </c>
      <c r="D389" s="21">
        <v>16.440000000000001</v>
      </c>
      <c r="E389" s="21"/>
      <c r="F389" s="21"/>
      <c r="G389" s="21"/>
      <c r="H389" s="3"/>
    </row>
    <row r="390" spans="1:8" x14ac:dyDescent="0.25">
      <c r="A390" s="20">
        <v>33086</v>
      </c>
      <c r="B390" s="21"/>
      <c r="C390" s="21">
        <v>17.86</v>
      </c>
      <c r="D390" s="21">
        <v>16.38</v>
      </c>
      <c r="E390" s="21"/>
      <c r="F390" s="21"/>
      <c r="G390" s="21"/>
      <c r="H390" s="3"/>
    </row>
    <row r="391" spans="1:8" x14ac:dyDescent="0.25">
      <c r="A391" s="20">
        <v>33117</v>
      </c>
      <c r="B391" s="21"/>
      <c r="C391" s="21">
        <v>17.23</v>
      </c>
      <c r="D391" s="21">
        <v>16.190000000000001</v>
      </c>
      <c r="E391" s="21"/>
      <c r="F391" s="21"/>
      <c r="G391" s="21">
        <v>15.5</v>
      </c>
      <c r="H391" s="3"/>
    </row>
    <row r="392" spans="1:8" x14ac:dyDescent="0.25">
      <c r="A392" s="20">
        <v>33147</v>
      </c>
      <c r="B392" s="21"/>
      <c r="C392" s="21">
        <v>16.36</v>
      </c>
      <c r="D392" s="21">
        <v>16</v>
      </c>
      <c r="E392" s="21"/>
      <c r="F392" s="21"/>
      <c r="G392" s="21">
        <v>15.13</v>
      </c>
      <c r="H392" s="3"/>
    </row>
    <row r="393" spans="1:8" x14ac:dyDescent="0.25">
      <c r="A393" s="20">
        <v>33178</v>
      </c>
      <c r="B393" s="21"/>
      <c r="C393" s="21">
        <v>16.11</v>
      </c>
      <c r="D393" s="21">
        <v>15.5</v>
      </c>
      <c r="E393" s="21"/>
      <c r="F393" s="21"/>
      <c r="G393" s="21">
        <v>14.58</v>
      </c>
      <c r="H393" s="3"/>
    </row>
    <row r="394" spans="1:8" x14ac:dyDescent="0.25">
      <c r="A394" s="20">
        <v>33208</v>
      </c>
      <c r="B394" s="21"/>
      <c r="C394" s="21">
        <v>16.11</v>
      </c>
      <c r="D394" s="21">
        <v>15.13</v>
      </c>
      <c r="E394" s="21"/>
      <c r="F394" s="21"/>
      <c r="G394" s="21">
        <v>14.52</v>
      </c>
      <c r="H394" s="3"/>
    </row>
    <row r="395" spans="1:8" x14ac:dyDescent="0.25">
      <c r="A395" s="20">
        <v>33239</v>
      </c>
      <c r="B395" s="21"/>
      <c r="C395" s="21">
        <v>15.8</v>
      </c>
      <c r="D395" s="21">
        <v>14.5</v>
      </c>
      <c r="E395" s="21"/>
      <c r="F395" s="21"/>
      <c r="G395" s="21">
        <v>14.25</v>
      </c>
      <c r="H395" s="3"/>
    </row>
    <row r="396" spans="1:8" x14ac:dyDescent="0.25">
      <c r="A396" s="20">
        <v>33270</v>
      </c>
      <c r="B396" s="21"/>
      <c r="C396" s="21">
        <v>15.61</v>
      </c>
      <c r="D396" s="21">
        <v>14.5</v>
      </c>
      <c r="E396" s="21"/>
      <c r="F396" s="21"/>
      <c r="G396" s="21">
        <v>14.33</v>
      </c>
      <c r="H396" s="3"/>
    </row>
    <row r="397" spans="1:8" x14ac:dyDescent="0.25">
      <c r="A397" s="20">
        <v>33298</v>
      </c>
      <c r="B397" s="21"/>
      <c r="C397" s="21">
        <v>15.61</v>
      </c>
      <c r="D397" s="21">
        <v>14.5</v>
      </c>
      <c r="E397" s="21"/>
      <c r="F397" s="21"/>
      <c r="G397" s="21">
        <v>14.33</v>
      </c>
      <c r="H397" s="3"/>
    </row>
    <row r="398" spans="1:8" x14ac:dyDescent="0.25">
      <c r="A398" s="20">
        <v>33329</v>
      </c>
      <c r="B398" s="21"/>
      <c r="C398" s="21">
        <v>15.3</v>
      </c>
      <c r="D398" s="21">
        <v>14.38</v>
      </c>
      <c r="E398" s="21"/>
      <c r="F398" s="21"/>
      <c r="G398" s="21">
        <v>14.17</v>
      </c>
      <c r="H398" s="3"/>
    </row>
    <row r="399" spans="1:8" x14ac:dyDescent="0.25">
      <c r="A399" s="20">
        <v>33359</v>
      </c>
      <c r="B399" s="21"/>
      <c r="C399" s="21">
        <v>14.86</v>
      </c>
      <c r="D399" s="21">
        <v>13.88</v>
      </c>
      <c r="E399" s="21"/>
      <c r="F399" s="21"/>
      <c r="G399" s="21">
        <v>14.08</v>
      </c>
      <c r="H399" s="3"/>
    </row>
    <row r="400" spans="1:8" x14ac:dyDescent="0.25">
      <c r="A400" s="20">
        <v>33390</v>
      </c>
      <c r="B400" s="21"/>
      <c r="C400" s="21">
        <v>14.61</v>
      </c>
      <c r="D400" s="21">
        <v>13.19</v>
      </c>
      <c r="E400" s="21"/>
      <c r="F400" s="21"/>
      <c r="G400" s="21">
        <v>13.67</v>
      </c>
      <c r="H400" s="3"/>
    </row>
    <row r="401" spans="1:8" x14ac:dyDescent="0.25">
      <c r="A401" s="20">
        <v>33420</v>
      </c>
      <c r="B401" s="21"/>
      <c r="C401" s="21">
        <v>14.61</v>
      </c>
      <c r="D401" s="21">
        <v>13</v>
      </c>
      <c r="E401" s="21"/>
      <c r="F401" s="21"/>
      <c r="G401" s="21">
        <v>13.5</v>
      </c>
      <c r="H401" s="3"/>
    </row>
    <row r="402" spans="1:8" x14ac:dyDescent="0.25">
      <c r="A402" s="20">
        <v>33451</v>
      </c>
      <c r="B402" s="21"/>
      <c r="C402" s="21">
        <v>14.61</v>
      </c>
      <c r="D402" s="21">
        <v>13</v>
      </c>
      <c r="E402" s="21"/>
      <c r="F402" s="21"/>
      <c r="G402" s="21">
        <v>13.5</v>
      </c>
      <c r="H402" s="3"/>
    </row>
    <row r="403" spans="1:8" x14ac:dyDescent="0.25">
      <c r="A403" s="20">
        <v>33482</v>
      </c>
      <c r="B403" s="21"/>
      <c r="C403" s="21">
        <v>13.67</v>
      </c>
      <c r="D403" s="21">
        <v>13</v>
      </c>
      <c r="E403" s="21"/>
      <c r="F403" s="21"/>
      <c r="G403" s="21">
        <v>13.5</v>
      </c>
      <c r="H403" s="3"/>
    </row>
    <row r="404" spans="1:8" x14ac:dyDescent="0.25">
      <c r="A404" s="20">
        <v>33512</v>
      </c>
      <c r="B404" s="21"/>
      <c r="C404" s="21">
        <v>13.67</v>
      </c>
      <c r="D404" s="21">
        <v>12.5</v>
      </c>
      <c r="E404" s="21"/>
      <c r="F404" s="21"/>
      <c r="G404" s="21">
        <v>13.08</v>
      </c>
      <c r="H404" s="3"/>
    </row>
    <row r="405" spans="1:8" x14ac:dyDescent="0.25">
      <c r="A405" s="20">
        <v>33543</v>
      </c>
      <c r="B405" s="21"/>
      <c r="C405" s="21">
        <v>12.92</v>
      </c>
      <c r="D405" s="21">
        <v>12.5</v>
      </c>
      <c r="E405" s="21"/>
      <c r="F405" s="21"/>
      <c r="G405" s="21">
        <v>13.08</v>
      </c>
      <c r="H405" s="3"/>
    </row>
    <row r="406" spans="1:8" x14ac:dyDescent="0.25">
      <c r="A406" s="20">
        <v>33573</v>
      </c>
      <c r="B406" s="21"/>
      <c r="C406" s="21">
        <v>12.8</v>
      </c>
      <c r="D406" s="21">
        <v>12</v>
      </c>
      <c r="E406" s="21"/>
      <c r="F406" s="21"/>
      <c r="G406" s="21">
        <v>12.75</v>
      </c>
      <c r="H406" s="3"/>
    </row>
    <row r="407" spans="1:8" x14ac:dyDescent="0.25">
      <c r="A407" s="20">
        <v>33604</v>
      </c>
      <c r="B407" s="21"/>
      <c r="C407" s="21">
        <v>12.42</v>
      </c>
      <c r="D407" s="21">
        <v>11.75</v>
      </c>
      <c r="E407" s="21"/>
      <c r="F407" s="21"/>
      <c r="G407" s="21">
        <v>12.33</v>
      </c>
      <c r="H407" s="3"/>
    </row>
    <row r="408" spans="1:8" x14ac:dyDescent="0.25">
      <c r="A408" s="20">
        <v>33635</v>
      </c>
      <c r="B408" s="21"/>
      <c r="C408" s="21">
        <v>11.98</v>
      </c>
      <c r="D408" s="21">
        <v>11</v>
      </c>
      <c r="E408" s="21"/>
      <c r="F408" s="21"/>
      <c r="G408" s="21">
        <v>12.33</v>
      </c>
      <c r="H408" s="3"/>
    </row>
    <row r="409" spans="1:8" x14ac:dyDescent="0.25">
      <c r="A409" s="20">
        <v>33664</v>
      </c>
      <c r="B409" s="21"/>
      <c r="C409" s="21">
        <v>12.17</v>
      </c>
      <c r="D409" s="21">
        <v>11</v>
      </c>
      <c r="E409" s="21"/>
      <c r="F409" s="21"/>
      <c r="G409" s="21">
        <v>12.17</v>
      </c>
      <c r="H409" s="3"/>
    </row>
    <row r="410" spans="1:8" x14ac:dyDescent="0.25">
      <c r="A410" s="20">
        <v>33695</v>
      </c>
      <c r="B410" s="21"/>
      <c r="C410" s="21">
        <v>12.17</v>
      </c>
      <c r="D410" s="21">
        <v>11</v>
      </c>
      <c r="E410" s="21"/>
      <c r="F410" s="21"/>
      <c r="G410" s="21">
        <v>12.17</v>
      </c>
      <c r="H410" s="3"/>
    </row>
    <row r="411" spans="1:8" x14ac:dyDescent="0.25">
      <c r="A411" s="20">
        <v>33725</v>
      </c>
      <c r="B411" s="21"/>
      <c r="C411" s="21">
        <v>11.86</v>
      </c>
      <c r="D411" s="21">
        <v>11</v>
      </c>
      <c r="E411" s="21"/>
      <c r="F411" s="21"/>
      <c r="G411" s="21">
        <v>11.58</v>
      </c>
      <c r="H411" s="3"/>
    </row>
    <row r="412" spans="1:8" x14ac:dyDescent="0.25">
      <c r="A412" s="20">
        <v>33756</v>
      </c>
      <c r="B412" s="21"/>
      <c r="C412" s="21">
        <v>11.17</v>
      </c>
      <c r="D412" s="21">
        <v>10.38</v>
      </c>
      <c r="E412" s="21"/>
      <c r="F412" s="21"/>
      <c r="G412" s="21">
        <v>11.58</v>
      </c>
      <c r="H412" s="3"/>
    </row>
    <row r="413" spans="1:8" x14ac:dyDescent="0.25">
      <c r="A413" s="20">
        <v>33786</v>
      </c>
      <c r="B413" s="21"/>
      <c r="C413" s="21">
        <v>11.17</v>
      </c>
      <c r="D413" s="21">
        <v>10.3</v>
      </c>
      <c r="E413" s="21"/>
      <c r="F413" s="21"/>
      <c r="G413" s="21">
        <v>10.45</v>
      </c>
      <c r="H413" s="3"/>
    </row>
    <row r="414" spans="1:8" x14ac:dyDescent="0.25">
      <c r="A414" s="20">
        <v>33817</v>
      </c>
      <c r="B414" s="21"/>
      <c r="C414" s="21">
        <v>10.48</v>
      </c>
      <c r="D414" s="21">
        <v>9.98</v>
      </c>
      <c r="E414" s="21"/>
      <c r="F414" s="21"/>
      <c r="G414" s="21">
        <v>10.38</v>
      </c>
      <c r="H414" s="3"/>
    </row>
    <row r="415" spans="1:8" x14ac:dyDescent="0.25">
      <c r="A415" s="20">
        <v>33848</v>
      </c>
      <c r="B415" s="21"/>
      <c r="C415" s="21">
        <v>10.53</v>
      </c>
      <c r="D415" s="21">
        <v>9.92</v>
      </c>
      <c r="E415" s="21"/>
      <c r="F415" s="21"/>
      <c r="G415" s="21">
        <v>10.5</v>
      </c>
      <c r="H415" s="3"/>
    </row>
    <row r="416" spans="1:8" x14ac:dyDescent="0.25">
      <c r="A416" s="20">
        <v>33878</v>
      </c>
      <c r="B416" s="21"/>
      <c r="C416" s="21">
        <v>10.53</v>
      </c>
      <c r="D416" s="21">
        <v>9.92</v>
      </c>
      <c r="E416" s="21"/>
      <c r="F416" s="21"/>
      <c r="G416" s="21">
        <v>10.5</v>
      </c>
      <c r="H416" s="3"/>
    </row>
    <row r="417" spans="1:8" x14ac:dyDescent="0.25">
      <c r="A417" s="20">
        <v>33909</v>
      </c>
      <c r="B417" s="21"/>
      <c r="C417" s="21">
        <v>10.53</v>
      </c>
      <c r="D417" s="21">
        <v>9.92</v>
      </c>
      <c r="E417" s="21"/>
      <c r="F417" s="21"/>
      <c r="G417" s="21">
        <v>10.5</v>
      </c>
      <c r="H417" s="3"/>
    </row>
    <row r="418" spans="1:8" x14ac:dyDescent="0.25">
      <c r="A418" s="20">
        <v>33939</v>
      </c>
      <c r="B418" s="21"/>
      <c r="C418" s="21">
        <v>10.53</v>
      </c>
      <c r="D418" s="21">
        <v>9.92</v>
      </c>
      <c r="E418" s="21"/>
      <c r="F418" s="21"/>
      <c r="G418" s="21">
        <v>10.5</v>
      </c>
      <c r="H418" s="3"/>
    </row>
    <row r="419" spans="1:8" x14ac:dyDescent="0.25">
      <c r="A419" s="20">
        <v>33970</v>
      </c>
      <c r="B419" s="21"/>
      <c r="C419" s="21">
        <v>10.53</v>
      </c>
      <c r="D419" s="21">
        <v>9.92</v>
      </c>
      <c r="E419" s="21"/>
      <c r="F419" s="21"/>
      <c r="G419" s="21">
        <v>10.5</v>
      </c>
      <c r="H419" s="3"/>
    </row>
    <row r="420" spans="1:8" x14ac:dyDescent="0.25">
      <c r="A420" s="20">
        <v>34001</v>
      </c>
      <c r="B420" s="21"/>
      <c r="C420" s="21">
        <v>10.53</v>
      </c>
      <c r="D420" s="21">
        <v>9.92</v>
      </c>
      <c r="E420" s="21"/>
      <c r="F420" s="21"/>
      <c r="G420" s="21">
        <v>10.49</v>
      </c>
      <c r="H420" s="3"/>
    </row>
    <row r="421" spans="1:8" x14ac:dyDescent="0.25">
      <c r="A421" s="20">
        <v>34029</v>
      </c>
      <c r="B421" s="21"/>
      <c r="C421" s="21">
        <v>10.53</v>
      </c>
      <c r="D421" s="21">
        <v>9.92</v>
      </c>
      <c r="E421" s="21"/>
      <c r="F421" s="21"/>
      <c r="G421" s="21">
        <v>10.53</v>
      </c>
      <c r="H421" s="3"/>
    </row>
    <row r="422" spans="1:8" x14ac:dyDescent="0.25">
      <c r="A422" s="20">
        <v>34060</v>
      </c>
      <c r="B422" s="21"/>
      <c r="C422" s="21">
        <v>10.16</v>
      </c>
      <c r="D422" s="21">
        <v>9.7200000000000006</v>
      </c>
      <c r="E422" s="21"/>
      <c r="F422" s="21"/>
      <c r="G422" s="21">
        <v>10.220000000000001</v>
      </c>
      <c r="H422" s="3"/>
    </row>
    <row r="423" spans="1:8" x14ac:dyDescent="0.25">
      <c r="A423" s="20">
        <v>34090</v>
      </c>
      <c r="B423" s="21"/>
      <c r="C423" s="21">
        <v>10.029999999999999</v>
      </c>
      <c r="D423" s="21">
        <v>9.5</v>
      </c>
      <c r="E423" s="21"/>
      <c r="F423" s="21"/>
      <c r="G423" s="21">
        <v>9.84</v>
      </c>
      <c r="H423" s="3"/>
    </row>
    <row r="424" spans="1:8" x14ac:dyDescent="0.25">
      <c r="A424" s="20">
        <v>34121</v>
      </c>
      <c r="B424" s="21"/>
      <c r="C424" s="21">
        <v>10.01</v>
      </c>
      <c r="D424" s="21">
        <v>9.5</v>
      </c>
      <c r="E424" s="21"/>
      <c r="F424" s="21"/>
      <c r="G424" s="21">
        <v>9.7100000000000009</v>
      </c>
      <c r="H424" s="3"/>
    </row>
    <row r="425" spans="1:8" x14ac:dyDescent="0.25">
      <c r="A425" s="20">
        <v>34151</v>
      </c>
      <c r="B425" s="21"/>
      <c r="C425" s="21">
        <v>10.01</v>
      </c>
      <c r="D425" s="21">
        <v>9.5</v>
      </c>
      <c r="E425" s="21"/>
      <c r="F425" s="21"/>
      <c r="G425" s="21">
        <v>9.51</v>
      </c>
      <c r="H425" s="3"/>
    </row>
    <row r="426" spans="1:8" x14ac:dyDescent="0.25">
      <c r="A426" s="20">
        <v>34182</v>
      </c>
      <c r="B426" s="21"/>
      <c r="C426" s="21">
        <v>9.5299999999999994</v>
      </c>
      <c r="D426" s="21">
        <v>9.5</v>
      </c>
      <c r="E426" s="21"/>
      <c r="F426" s="21"/>
      <c r="G426" s="21">
        <v>9.1</v>
      </c>
      <c r="H426" s="3"/>
    </row>
    <row r="427" spans="1:8" x14ac:dyDescent="0.25">
      <c r="A427" s="20">
        <v>34213</v>
      </c>
      <c r="B427" s="21"/>
      <c r="C427" s="21">
        <v>9.5299999999999994</v>
      </c>
      <c r="D427" s="21">
        <v>8.9</v>
      </c>
      <c r="E427" s="21"/>
      <c r="F427" s="21"/>
      <c r="G427" s="21">
        <v>8.94</v>
      </c>
      <c r="H427" s="3"/>
    </row>
    <row r="428" spans="1:8" x14ac:dyDescent="0.25">
      <c r="A428" s="20">
        <v>34243</v>
      </c>
      <c r="B428" s="21"/>
      <c r="C428" s="21">
        <v>9.5299999999999994</v>
      </c>
      <c r="D428" s="21">
        <v>8.75</v>
      </c>
      <c r="E428" s="21"/>
      <c r="F428" s="21"/>
      <c r="G428" s="21">
        <v>8.92</v>
      </c>
      <c r="H428" s="3"/>
    </row>
    <row r="429" spans="1:8" x14ac:dyDescent="0.25">
      <c r="A429" s="20">
        <v>34274</v>
      </c>
      <c r="B429" s="21"/>
      <c r="C429" s="21">
        <v>9.5299999999999994</v>
      </c>
      <c r="D429" s="21">
        <v>8.75</v>
      </c>
      <c r="E429" s="21"/>
      <c r="F429" s="21"/>
      <c r="G429" s="21">
        <v>8.91</v>
      </c>
      <c r="H429" s="3"/>
    </row>
    <row r="430" spans="1:8" x14ac:dyDescent="0.25">
      <c r="A430" s="20">
        <v>34304</v>
      </c>
      <c r="B430" s="21"/>
      <c r="C430" s="21">
        <v>9.5299999999999994</v>
      </c>
      <c r="D430" s="21">
        <v>8.75</v>
      </c>
      <c r="E430" s="21"/>
      <c r="F430" s="21"/>
      <c r="G430" s="21">
        <v>8.9</v>
      </c>
      <c r="H430" s="3"/>
    </row>
    <row r="431" spans="1:8" x14ac:dyDescent="0.25">
      <c r="A431" s="20">
        <v>34335</v>
      </c>
      <c r="B431" s="21"/>
      <c r="C431" s="21">
        <v>9.5299999999999994</v>
      </c>
      <c r="D431" s="21">
        <v>8.75</v>
      </c>
      <c r="E431" s="21"/>
      <c r="F431" s="21"/>
      <c r="G431" s="21">
        <v>8.82</v>
      </c>
      <c r="H431" s="3"/>
    </row>
    <row r="432" spans="1:8" x14ac:dyDescent="0.25">
      <c r="A432" s="20">
        <v>34366</v>
      </c>
      <c r="B432" s="21"/>
      <c r="C432" s="21">
        <v>9.5299999999999994</v>
      </c>
      <c r="D432" s="21">
        <v>8.75</v>
      </c>
      <c r="E432" s="21"/>
      <c r="F432" s="21"/>
      <c r="G432" s="21">
        <v>8.75</v>
      </c>
      <c r="H432" s="3"/>
    </row>
    <row r="433" spans="1:8" x14ac:dyDescent="0.25">
      <c r="A433" s="20">
        <v>34394</v>
      </c>
      <c r="B433" s="21"/>
      <c r="C433" s="21">
        <v>9.5299999999999994</v>
      </c>
      <c r="D433" s="21">
        <v>8.75</v>
      </c>
      <c r="E433" s="21"/>
      <c r="F433" s="21"/>
      <c r="G433" s="21">
        <v>8.74</v>
      </c>
      <c r="H433" s="3"/>
    </row>
    <row r="434" spans="1:8" x14ac:dyDescent="0.25">
      <c r="A434" s="20">
        <v>34425</v>
      </c>
      <c r="B434" s="21"/>
      <c r="C434" s="21">
        <v>9.5299999999999994</v>
      </c>
      <c r="D434" s="21">
        <v>8.75</v>
      </c>
      <c r="E434" s="21"/>
      <c r="F434" s="21"/>
      <c r="G434" s="21">
        <v>9.1300000000000008</v>
      </c>
      <c r="H434" s="3"/>
    </row>
    <row r="435" spans="1:8" x14ac:dyDescent="0.25">
      <c r="A435" s="20">
        <v>34455</v>
      </c>
      <c r="B435" s="21"/>
      <c r="C435" s="21">
        <v>9.5299999999999994</v>
      </c>
      <c r="D435" s="21">
        <v>8.75</v>
      </c>
      <c r="E435" s="21"/>
      <c r="F435" s="21"/>
      <c r="G435" s="21">
        <v>9.26</v>
      </c>
      <c r="H435" s="3"/>
    </row>
    <row r="436" spans="1:8" x14ac:dyDescent="0.25">
      <c r="A436" s="20">
        <v>34486</v>
      </c>
      <c r="B436" s="21"/>
      <c r="C436" s="21">
        <v>9.5299999999999994</v>
      </c>
      <c r="D436" s="21">
        <v>8.75</v>
      </c>
      <c r="E436" s="21"/>
      <c r="F436" s="21"/>
      <c r="G436" s="21">
        <v>9.52</v>
      </c>
      <c r="H436" s="3"/>
    </row>
    <row r="437" spans="1:8" x14ac:dyDescent="0.25">
      <c r="A437" s="20">
        <v>34516</v>
      </c>
      <c r="B437" s="21"/>
      <c r="C437" s="21">
        <v>9.5299999999999994</v>
      </c>
      <c r="D437" s="21">
        <v>8.75</v>
      </c>
      <c r="E437" s="21"/>
      <c r="F437" s="21"/>
      <c r="G437" s="21">
        <v>10.17</v>
      </c>
      <c r="H437" s="3"/>
    </row>
    <row r="438" spans="1:8" x14ac:dyDescent="0.25">
      <c r="A438" s="20">
        <v>34547</v>
      </c>
      <c r="B438" s="21"/>
      <c r="C438" s="21">
        <v>9.5299999999999994</v>
      </c>
      <c r="D438" s="21">
        <v>8.75</v>
      </c>
      <c r="E438" s="21"/>
      <c r="F438" s="21"/>
      <c r="G438" s="21">
        <v>10.24</v>
      </c>
      <c r="H438" s="3"/>
    </row>
    <row r="439" spans="1:8" x14ac:dyDescent="0.25">
      <c r="A439" s="20">
        <v>34578</v>
      </c>
      <c r="B439" s="21"/>
      <c r="C439" s="21">
        <v>9.85</v>
      </c>
      <c r="D439" s="21">
        <v>9.0500000000000007</v>
      </c>
      <c r="E439" s="21"/>
      <c r="F439" s="21"/>
      <c r="G439" s="21">
        <v>10.46</v>
      </c>
      <c r="H439" s="3"/>
    </row>
    <row r="440" spans="1:8" x14ac:dyDescent="0.25">
      <c r="A440" s="20">
        <v>34608</v>
      </c>
      <c r="B440" s="21"/>
      <c r="C440" s="21">
        <v>10.02</v>
      </c>
      <c r="D440" s="21">
        <v>9.36</v>
      </c>
      <c r="E440" s="21"/>
      <c r="F440" s="21"/>
      <c r="G440" s="21">
        <v>10.53</v>
      </c>
      <c r="H440" s="3"/>
    </row>
    <row r="441" spans="1:8" x14ac:dyDescent="0.25">
      <c r="A441" s="20">
        <v>34639</v>
      </c>
      <c r="B441" s="21"/>
      <c r="C441" s="21">
        <v>10.41</v>
      </c>
      <c r="D441" s="21">
        <v>9.57</v>
      </c>
      <c r="E441" s="21"/>
      <c r="F441" s="21"/>
      <c r="G441" s="21">
        <v>10.71</v>
      </c>
      <c r="H441" s="3"/>
    </row>
    <row r="442" spans="1:8" x14ac:dyDescent="0.25">
      <c r="A442" s="20">
        <v>34669</v>
      </c>
      <c r="B442" s="21"/>
      <c r="C442" s="21">
        <v>10.91</v>
      </c>
      <c r="D442" s="21">
        <v>9.9700000000000006</v>
      </c>
      <c r="E442" s="21"/>
      <c r="F442" s="21"/>
      <c r="G442" s="21">
        <v>11.47</v>
      </c>
      <c r="H442" s="3"/>
    </row>
    <row r="443" spans="1:8" x14ac:dyDescent="0.25">
      <c r="A443" s="20">
        <v>34700</v>
      </c>
      <c r="B443" s="21"/>
      <c r="C443" s="21">
        <v>11.4</v>
      </c>
      <c r="D443" s="21">
        <v>10.56</v>
      </c>
      <c r="E443" s="21"/>
      <c r="F443" s="21"/>
      <c r="G443" s="21">
        <v>11.69</v>
      </c>
      <c r="H443" s="3"/>
    </row>
    <row r="444" spans="1:8" x14ac:dyDescent="0.25">
      <c r="A444" s="20">
        <v>34731</v>
      </c>
      <c r="B444" s="21"/>
      <c r="C444" s="21">
        <v>11.4</v>
      </c>
      <c r="D444" s="21">
        <v>10.56</v>
      </c>
      <c r="E444" s="21"/>
      <c r="F444" s="21"/>
      <c r="G444" s="21">
        <v>11.54</v>
      </c>
      <c r="H444" s="3"/>
    </row>
    <row r="445" spans="1:8" x14ac:dyDescent="0.25">
      <c r="A445" s="20">
        <v>34759</v>
      </c>
      <c r="B445" s="21"/>
      <c r="C445" s="21">
        <v>11.33</v>
      </c>
      <c r="D445" s="21">
        <v>10.56</v>
      </c>
      <c r="E445" s="21"/>
      <c r="F445" s="21"/>
      <c r="G445" s="21">
        <v>11.31</v>
      </c>
      <c r="H445" s="3"/>
    </row>
    <row r="446" spans="1:8" x14ac:dyDescent="0.25">
      <c r="A446" s="20">
        <v>34790</v>
      </c>
      <c r="B446" s="21"/>
      <c r="C446" s="21">
        <v>11.33</v>
      </c>
      <c r="D446" s="21">
        <v>10.56</v>
      </c>
      <c r="E446" s="21"/>
      <c r="F446" s="21"/>
      <c r="G446" s="21">
        <v>11</v>
      </c>
      <c r="H446" s="3"/>
    </row>
    <row r="447" spans="1:8" x14ac:dyDescent="0.25">
      <c r="A447" s="20">
        <v>34820</v>
      </c>
      <c r="B447" s="21"/>
      <c r="C447" s="21">
        <v>11.33</v>
      </c>
      <c r="D447" s="21">
        <v>10.56</v>
      </c>
      <c r="E447" s="21"/>
      <c r="F447" s="21"/>
      <c r="G447" s="21">
        <v>10.23</v>
      </c>
      <c r="H447" s="3"/>
    </row>
    <row r="448" spans="1:8" x14ac:dyDescent="0.25">
      <c r="A448" s="20">
        <v>34851</v>
      </c>
      <c r="B448" s="21"/>
      <c r="C448" s="21">
        <v>11.33</v>
      </c>
      <c r="D448" s="21">
        <v>10.49</v>
      </c>
      <c r="E448" s="21"/>
      <c r="F448" s="21"/>
      <c r="G448" s="21">
        <v>9.74</v>
      </c>
      <c r="H448" s="3"/>
    </row>
    <row r="449" spans="1:8" x14ac:dyDescent="0.25">
      <c r="A449" s="20">
        <v>34881</v>
      </c>
      <c r="B449" s="21"/>
      <c r="C449" s="21">
        <v>11.33</v>
      </c>
      <c r="D449" s="21">
        <v>10.49</v>
      </c>
      <c r="E449" s="21"/>
      <c r="F449" s="21"/>
      <c r="G449" s="21">
        <v>9.7899999999999991</v>
      </c>
      <c r="H449" s="3"/>
    </row>
    <row r="450" spans="1:8" x14ac:dyDescent="0.25">
      <c r="A450" s="20">
        <v>34912</v>
      </c>
      <c r="B450" s="21"/>
      <c r="C450" s="21">
        <v>11.33</v>
      </c>
      <c r="D450" s="21">
        <v>10.49</v>
      </c>
      <c r="E450" s="21"/>
      <c r="F450" s="21"/>
      <c r="G450" s="21">
        <v>9.82</v>
      </c>
      <c r="H450" s="3"/>
    </row>
    <row r="451" spans="1:8" x14ac:dyDescent="0.25">
      <c r="A451" s="20">
        <v>34943</v>
      </c>
      <c r="B451" s="21"/>
      <c r="C451" s="21">
        <v>11.33</v>
      </c>
      <c r="D451" s="21">
        <v>10.49</v>
      </c>
      <c r="E451" s="21"/>
      <c r="F451" s="21"/>
      <c r="G451" s="21">
        <v>9.56</v>
      </c>
      <c r="H451" s="3"/>
    </row>
    <row r="452" spans="1:8" x14ac:dyDescent="0.25">
      <c r="A452" s="20">
        <v>34973</v>
      </c>
      <c r="B452" s="21"/>
      <c r="C452" s="21">
        <v>11.33</v>
      </c>
      <c r="D452" s="21">
        <v>10.49</v>
      </c>
      <c r="E452" s="21"/>
      <c r="F452" s="21"/>
      <c r="G452" s="21">
        <v>9.43</v>
      </c>
      <c r="H452" s="3"/>
    </row>
    <row r="453" spans="1:8" x14ac:dyDescent="0.25">
      <c r="A453" s="20">
        <v>35004</v>
      </c>
      <c r="B453" s="21"/>
      <c r="C453" s="21">
        <v>11.33</v>
      </c>
      <c r="D453" s="21">
        <v>10.48</v>
      </c>
      <c r="E453" s="21"/>
      <c r="F453" s="21"/>
      <c r="G453" s="21">
        <v>9.56</v>
      </c>
      <c r="H453" s="3"/>
    </row>
    <row r="454" spans="1:8" x14ac:dyDescent="0.25">
      <c r="A454" s="20">
        <v>35034</v>
      </c>
      <c r="B454" s="21"/>
      <c r="C454" s="21">
        <v>11.4</v>
      </c>
      <c r="D454" s="21">
        <v>10.48</v>
      </c>
      <c r="E454" s="21"/>
      <c r="F454" s="21"/>
      <c r="G454" s="21">
        <v>9.5</v>
      </c>
      <c r="H454" s="3"/>
    </row>
    <row r="455" spans="1:8" x14ac:dyDescent="0.25">
      <c r="A455" s="20">
        <v>35065</v>
      </c>
      <c r="B455" s="21"/>
      <c r="C455" s="21">
        <v>11.43</v>
      </c>
      <c r="D455" s="21">
        <v>10.48</v>
      </c>
      <c r="E455" s="21"/>
      <c r="F455" s="21"/>
      <c r="G455" s="21">
        <v>9.5</v>
      </c>
      <c r="H455" s="3"/>
    </row>
    <row r="456" spans="1:8" x14ac:dyDescent="0.25">
      <c r="A456" s="20">
        <v>35096</v>
      </c>
      <c r="B456" s="21"/>
      <c r="C456" s="21">
        <v>11.48</v>
      </c>
      <c r="D456" s="21">
        <v>10.48</v>
      </c>
      <c r="E456" s="21"/>
      <c r="F456" s="21"/>
      <c r="G456" s="21">
        <v>9.3800000000000008</v>
      </c>
      <c r="H456" s="3"/>
    </row>
    <row r="457" spans="1:8" x14ac:dyDescent="0.25">
      <c r="A457" s="20">
        <v>35125</v>
      </c>
      <c r="B457" s="21"/>
      <c r="C457" s="21">
        <v>11.48</v>
      </c>
      <c r="D457" s="21">
        <v>10.48</v>
      </c>
      <c r="E457" s="21"/>
      <c r="F457" s="21"/>
      <c r="G457" s="21">
        <v>9.39</v>
      </c>
      <c r="H457" s="3"/>
    </row>
    <row r="458" spans="1:8" x14ac:dyDescent="0.25">
      <c r="A458" s="20">
        <v>35156</v>
      </c>
      <c r="B458" s="21">
        <v>10.5</v>
      </c>
      <c r="C458" s="21">
        <v>11.48</v>
      </c>
      <c r="D458" s="21">
        <v>10.48</v>
      </c>
      <c r="E458" s="21"/>
      <c r="F458" s="21"/>
      <c r="G458" s="21">
        <v>9.57</v>
      </c>
      <c r="H458" s="3"/>
    </row>
    <row r="459" spans="1:8" x14ac:dyDescent="0.25">
      <c r="A459" s="20">
        <v>35186</v>
      </c>
      <c r="B459" s="21">
        <v>10.5</v>
      </c>
      <c r="C459" s="21">
        <v>11.48</v>
      </c>
      <c r="D459" s="21">
        <v>10.48</v>
      </c>
      <c r="E459" s="21"/>
      <c r="F459" s="21"/>
      <c r="G459" s="21">
        <v>9.56</v>
      </c>
      <c r="H459" s="3"/>
    </row>
    <row r="460" spans="1:8" x14ac:dyDescent="0.25">
      <c r="A460" s="20">
        <v>35217</v>
      </c>
      <c r="B460" s="21">
        <v>10.5</v>
      </c>
      <c r="C460" s="21">
        <v>11.48</v>
      </c>
      <c r="D460" s="21">
        <v>9.91</v>
      </c>
      <c r="E460" s="21"/>
      <c r="F460" s="21"/>
      <c r="G460" s="21">
        <v>9.59</v>
      </c>
      <c r="H460" s="3"/>
    </row>
    <row r="461" spans="1:8" x14ac:dyDescent="0.25">
      <c r="A461" s="20">
        <v>35247</v>
      </c>
      <c r="B461" s="21">
        <v>10.5</v>
      </c>
      <c r="C461" s="21">
        <v>11.48</v>
      </c>
      <c r="D461" s="21">
        <v>9.91</v>
      </c>
      <c r="E461" s="21"/>
      <c r="F461" s="21"/>
      <c r="G461" s="21">
        <v>9.59</v>
      </c>
      <c r="H461" s="3"/>
    </row>
    <row r="462" spans="1:8" x14ac:dyDescent="0.25">
      <c r="A462" s="20">
        <v>35278</v>
      </c>
      <c r="B462" s="21">
        <v>9.4</v>
      </c>
      <c r="C462" s="21">
        <v>11.11</v>
      </c>
      <c r="D462" s="21">
        <v>9.61</v>
      </c>
      <c r="E462" s="21"/>
      <c r="F462" s="21"/>
      <c r="G462" s="21">
        <v>9.11</v>
      </c>
      <c r="H462" s="3"/>
    </row>
    <row r="463" spans="1:8" x14ac:dyDescent="0.25">
      <c r="A463" s="20">
        <v>35309</v>
      </c>
      <c r="B463" s="21">
        <v>9.4</v>
      </c>
      <c r="C463" s="21">
        <v>10.98</v>
      </c>
      <c r="D463" s="21">
        <v>9.2899999999999991</v>
      </c>
      <c r="E463" s="21"/>
      <c r="F463" s="21"/>
      <c r="G463" s="21">
        <v>8.76</v>
      </c>
      <c r="H463" s="3"/>
    </row>
    <row r="464" spans="1:8" x14ac:dyDescent="0.25">
      <c r="A464" s="20">
        <v>35339</v>
      </c>
      <c r="B464" s="21">
        <v>9.4</v>
      </c>
      <c r="C464" s="21">
        <v>10.98</v>
      </c>
      <c r="D464" s="21">
        <v>9.2899999999999991</v>
      </c>
      <c r="E464" s="21"/>
      <c r="F464" s="21"/>
      <c r="G464" s="21">
        <v>8.6199999999999992</v>
      </c>
      <c r="H464" s="3"/>
    </row>
    <row r="465" spans="1:8" x14ac:dyDescent="0.25">
      <c r="A465" s="20">
        <v>35370</v>
      </c>
      <c r="B465" s="21">
        <v>9.4</v>
      </c>
      <c r="C465" s="21">
        <v>10.98</v>
      </c>
      <c r="D465" s="21">
        <v>8.8800000000000008</v>
      </c>
      <c r="E465" s="21"/>
      <c r="F465" s="21"/>
      <c r="G465" s="21">
        <v>8.4700000000000006</v>
      </c>
      <c r="H465" s="3"/>
    </row>
    <row r="466" spans="1:8" x14ac:dyDescent="0.25">
      <c r="A466" s="20">
        <v>35400</v>
      </c>
      <c r="B466" s="21">
        <v>8.9499999999999993</v>
      </c>
      <c r="C466" s="21">
        <v>10.48</v>
      </c>
      <c r="D466" s="21">
        <v>8.48</v>
      </c>
      <c r="E466" s="21"/>
      <c r="F466" s="21"/>
      <c r="G466" s="21">
        <v>8.4</v>
      </c>
      <c r="H466" s="3"/>
    </row>
    <row r="467" spans="1:8" x14ac:dyDescent="0.25">
      <c r="A467" s="20">
        <v>35431</v>
      </c>
      <c r="B467" s="21">
        <v>8.4499999999999993</v>
      </c>
      <c r="C467" s="21">
        <v>9.98</v>
      </c>
      <c r="D467" s="21">
        <v>8.25</v>
      </c>
      <c r="E467" s="21"/>
      <c r="F467" s="21"/>
      <c r="G467" s="21">
        <v>8.24</v>
      </c>
      <c r="H467" s="3"/>
    </row>
    <row r="468" spans="1:8" x14ac:dyDescent="0.25">
      <c r="A468" s="20">
        <v>35462</v>
      </c>
      <c r="B468" s="21">
        <v>7.95</v>
      </c>
      <c r="C468" s="21">
        <v>9.5</v>
      </c>
      <c r="D468" s="21">
        <v>7.55</v>
      </c>
      <c r="E468" s="21"/>
      <c r="F468" s="21"/>
      <c r="G468" s="21">
        <v>8.14</v>
      </c>
      <c r="H468" s="3"/>
    </row>
    <row r="469" spans="1:8" x14ac:dyDescent="0.25">
      <c r="A469" s="20">
        <v>35490</v>
      </c>
      <c r="B469" s="21">
        <v>7.9</v>
      </c>
      <c r="C469" s="21">
        <v>9.5</v>
      </c>
      <c r="D469" s="21">
        <v>7.55</v>
      </c>
      <c r="E469" s="21"/>
      <c r="F469" s="21"/>
      <c r="G469" s="21">
        <v>8.2100000000000009</v>
      </c>
      <c r="H469" s="3"/>
    </row>
    <row r="470" spans="1:8" x14ac:dyDescent="0.25">
      <c r="A470" s="20">
        <v>35521</v>
      </c>
      <c r="B470" s="21">
        <v>7.8</v>
      </c>
      <c r="C470" s="21">
        <v>9.5</v>
      </c>
      <c r="D470" s="21">
        <v>7.55</v>
      </c>
      <c r="E470" s="21"/>
      <c r="F470" s="21"/>
      <c r="G470" s="21">
        <v>8.2899999999999991</v>
      </c>
      <c r="H470" s="3"/>
    </row>
    <row r="471" spans="1:8" x14ac:dyDescent="0.25">
      <c r="A471" s="20">
        <v>35551</v>
      </c>
      <c r="B471" s="21">
        <v>7.55</v>
      </c>
      <c r="C471" s="21">
        <v>9.36</v>
      </c>
      <c r="D471" s="21">
        <v>7.13</v>
      </c>
      <c r="E471" s="21"/>
      <c r="F471" s="21"/>
      <c r="G471" s="21">
        <v>8.31</v>
      </c>
      <c r="H471" s="3"/>
    </row>
    <row r="472" spans="1:8" x14ac:dyDescent="0.25">
      <c r="A472" s="20">
        <v>35582</v>
      </c>
      <c r="B472" s="21">
        <v>7.5</v>
      </c>
      <c r="C472" s="21">
        <v>9.23</v>
      </c>
      <c r="D472" s="21">
        <v>7.13</v>
      </c>
      <c r="E472" s="21"/>
      <c r="F472" s="21"/>
      <c r="G472" s="21">
        <v>7.68</v>
      </c>
      <c r="H472" s="3"/>
    </row>
    <row r="473" spans="1:8" x14ac:dyDescent="0.25">
      <c r="A473" s="20">
        <v>35612</v>
      </c>
      <c r="B473" s="21">
        <v>7.4</v>
      </c>
      <c r="C473" s="21">
        <v>9.0299999999999994</v>
      </c>
      <c r="D473" s="21">
        <v>7.05</v>
      </c>
      <c r="E473" s="21"/>
      <c r="F473" s="21"/>
      <c r="G473" s="21">
        <v>7.31</v>
      </c>
      <c r="H473" s="3"/>
    </row>
    <row r="474" spans="1:8" x14ac:dyDescent="0.25">
      <c r="A474" s="20">
        <v>35643</v>
      </c>
      <c r="B474" s="21">
        <v>7.3</v>
      </c>
      <c r="C474" s="21">
        <v>8.91</v>
      </c>
      <c r="D474" s="21">
        <v>6.74</v>
      </c>
      <c r="E474" s="21"/>
      <c r="F474" s="21"/>
      <c r="G474" s="21">
        <v>7.22</v>
      </c>
      <c r="H474" s="3"/>
    </row>
    <row r="475" spans="1:8" x14ac:dyDescent="0.25">
      <c r="A475" s="20">
        <v>35674</v>
      </c>
      <c r="B475" s="21">
        <v>7</v>
      </c>
      <c r="C475" s="21">
        <v>8.58</v>
      </c>
      <c r="D475" s="21">
        <v>6.74</v>
      </c>
      <c r="E475" s="21"/>
      <c r="F475" s="21"/>
      <c r="G475" s="21">
        <v>7.07</v>
      </c>
      <c r="H475" s="3"/>
    </row>
    <row r="476" spans="1:8" x14ac:dyDescent="0.25">
      <c r="A476" s="20">
        <v>35704</v>
      </c>
      <c r="B476" s="21">
        <v>7</v>
      </c>
      <c r="C476" s="21">
        <v>8.58</v>
      </c>
      <c r="D476" s="21">
        <v>6.74</v>
      </c>
      <c r="E476" s="21"/>
      <c r="F476" s="21"/>
      <c r="G476" s="21">
        <v>6.98</v>
      </c>
      <c r="H476" s="3"/>
    </row>
    <row r="477" spans="1:8" x14ac:dyDescent="0.25">
      <c r="A477" s="20">
        <v>35735</v>
      </c>
      <c r="B477" s="21">
        <v>7</v>
      </c>
      <c r="C477" s="21">
        <v>8.58</v>
      </c>
      <c r="D477" s="21">
        <v>6.74</v>
      </c>
      <c r="E477" s="21"/>
      <c r="F477" s="21"/>
      <c r="G477" s="21">
        <v>6.98</v>
      </c>
      <c r="H477" s="3"/>
    </row>
    <row r="478" spans="1:8" x14ac:dyDescent="0.25">
      <c r="A478" s="20">
        <v>35765</v>
      </c>
      <c r="B478" s="21">
        <v>7</v>
      </c>
      <c r="C478" s="21">
        <v>8.58</v>
      </c>
      <c r="D478" s="21">
        <v>6.74</v>
      </c>
      <c r="E478" s="21"/>
      <c r="F478" s="21"/>
      <c r="G478" s="21">
        <v>6.98</v>
      </c>
      <c r="H478" s="3"/>
    </row>
    <row r="479" spans="1:8" x14ac:dyDescent="0.25">
      <c r="A479" s="20">
        <v>35796</v>
      </c>
      <c r="B479" s="21">
        <v>7</v>
      </c>
      <c r="C479" s="21">
        <v>8.58</v>
      </c>
      <c r="D479" s="21">
        <v>6.74</v>
      </c>
      <c r="E479" s="21"/>
      <c r="F479" s="21"/>
      <c r="G479" s="21">
        <v>6.66</v>
      </c>
      <c r="H479" s="3"/>
    </row>
    <row r="480" spans="1:8" x14ac:dyDescent="0.25">
      <c r="A480" s="20">
        <v>35827</v>
      </c>
      <c r="B480" s="21">
        <v>7</v>
      </c>
      <c r="C480" s="21">
        <v>8.58</v>
      </c>
      <c r="D480" s="21">
        <v>6.74</v>
      </c>
      <c r="E480" s="21"/>
      <c r="F480" s="21"/>
      <c r="G480" s="21">
        <v>6.78</v>
      </c>
      <c r="H480" s="3"/>
    </row>
    <row r="481" spans="1:8" x14ac:dyDescent="0.25">
      <c r="A481" s="20">
        <v>35855</v>
      </c>
      <c r="B481" s="21">
        <v>7</v>
      </c>
      <c r="C481" s="21">
        <v>8.1999999999999993</v>
      </c>
      <c r="D481" s="21">
        <v>6.74</v>
      </c>
      <c r="E481" s="21"/>
      <c r="F481" s="21"/>
      <c r="G481" s="21">
        <v>6.81</v>
      </c>
      <c r="H481" s="3"/>
    </row>
    <row r="482" spans="1:8" x14ac:dyDescent="0.25">
      <c r="A482" s="20">
        <v>35886</v>
      </c>
      <c r="B482" s="21">
        <v>7</v>
      </c>
      <c r="C482" s="21">
        <v>7.95</v>
      </c>
      <c r="D482" s="21">
        <v>6.74</v>
      </c>
      <c r="E482" s="21"/>
      <c r="F482" s="21"/>
      <c r="G482" s="21">
        <v>6.77</v>
      </c>
      <c r="H482" s="3"/>
    </row>
    <row r="483" spans="1:8" x14ac:dyDescent="0.25">
      <c r="A483" s="20">
        <v>35916</v>
      </c>
      <c r="B483" s="21">
        <v>6.89</v>
      </c>
      <c r="C483" s="21">
        <v>7.95</v>
      </c>
      <c r="D483" s="21">
        <v>6.74</v>
      </c>
      <c r="E483" s="21"/>
      <c r="F483" s="21"/>
      <c r="G483" s="21">
        <v>6.73</v>
      </c>
      <c r="H483" s="3"/>
    </row>
    <row r="484" spans="1:8" x14ac:dyDescent="0.25">
      <c r="A484" s="20">
        <v>35947</v>
      </c>
      <c r="B484" s="21">
        <v>6.89</v>
      </c>
      <c r="C484" s="21">
        <v>7.95</v>
      </c>
      <c r="D484" s="21">
        <v>6.74</v>
      </c>
      <c r="E484" s="21"/>
      <c r="F484" s="21"/>
      <c r="G484" s="21">
        <v>6.85</v>
      </c>
      <c r="H484" s="3"/>
    </row>
    <row r="485" spans="1:8" x14ac:dyDescent="0.25">
      <c r="A485" s="20">
        <v>35977</v>
      </c>
      <c r="B485" s="21">
        <v>6.89</v>
      </c>
      <c r="C485" s="21">
        <v>7.95</v>
      </c>
      <c r="D485" s="21">
        <v>6.74</v>
      </c>
      <c r="E485" s="21"/>
      <c r="F485" s="21"/>
      <c r="G485" s="21">
        <v>6.85</v>
      </c>
      <c r="H485" s="3"/>
    </row>
    <row r="486" spans="1:8" x14ac:dyDescent="0.25">
      <c r="A486" s="20">
        <v>36008</v>
      </c>
      <c r="B486" s="21">
        <v>6.89</v>
      </c>
      <c r="C486" s="21">
        <v>7.95</v>
      </c>
      <c r="D486" s="21">
        <v>6.74</v>
      </c>
      <c r="E486" s="21"/>
      <c r="F486" s="21"/>
      <c r="G486" s="21">
        <v>6.83</v>
      </c>
      <c r="H486" s="3"/>
    </row>
    <row r="487" spans="1:8" x14ac:dyDescent="0.25">
      <c r="A487" s="20">
        <v>36039</v>
      </c>
      <c r="B487" s="21">
        <v>6.89</v>
      </c>
      <c r="C487" s="21">
        <v>7.95</v>
      </c>
      <c r="D487" s="21">
        <v>6.74</v>
      </c>
      <c r="E487" s="21"/>
      <c r="F487" s="21"/>
      <c r="G487" s="21">
        <v>6.64</v>
      </c>
      <c r="H487" s="3"/>
    </row>
    <row r="488" spans="1:8" x14ac:dyDescent="0.25">
      <c r="A488" s="20">
        <v>36069</v>
      </c>
      <c r="B488" s="21">
        <v>6.89</v>
      </c>
      <c r="C488" s="21">
        <v>7.95</v>
      </c>
      <c r="D488" s="21">
        <v>6.74</v>
      </c>
      <c r="E488" s="21"/>
      <c r="F488" s="21"/>
      <c r="G488" s="21">
        <v>6.48</v>
      </c>
      <c r="H488" s="3"/>
    </row>
    <row r="489" spans="1:8" x14ac:dyDescent="0.25">
      <c r="A489" s="20">
        <v>36100</v>
      </c>
      <c r="B489" s="21">
        <v>6.89</v>
      </c>
      <c r="C489" s="21">
        <v>7.95</v>
      </c>
      <c r="D489" s="21">
        <v>6.74</v>
      </c>
      <c r="E489" s="21"/>
      <c r="F489" s="21"/>
      <c r="G489" s="21">
        <v>6.48</v>
      </c>
      <c r="H489" s="3"/>
    </row>
    <row r="490" spans="1:8" x14ac:dyDescent="0.25">
      <c r="A490" s="20">
        <v>36130</v>
      </c>
      <c r="B490" s="21">
        <v>6.71</v>
      </c>
      <c r="C490" s="21">
        <v>7.77</v>
      </c>
      <c r="D490" s="21">
        <v>6.52</v>
      </c>
      <c r="E490" s="21"/>
      <c r="F490" s="21"/>
      <c r="G490" s="21">
        <v>6.44</v>
      </c>
      <c r="H490" s="3"/>
    </row>
    <row r="491" spans="1:8" x14ac:dyDescent="0.25">
      <c r="A491" s="20">
        <v>36161</v>
      </c>
      <c r="B491" s="21">
        <v>6.63</v>
      </c>
      <c r="C491" s="21">
        <v>7.77</v>
      </c>
      <c r="D491" s="21">
        <v>6.52</v>
      </c>
      <c r="E491" s="21"/>
      <c r="F491" s="21"/>
      <c r="G491" s="21">
        <v>6.44</v>
      </c>
      <c r="H491" s="3"/>
    </row>
    <row r="492" spans="1:8" x14ac:dyDescent="0.25">
      <c r="A492" s="20">
        <v>36192</v>
      </c>
      <c r="B492" s="21">
        <v>6.63</v>
      </c>
      <c r="C492" s="21">
        <v>7.77</v>
      </c>
      <c r="D492" s="21">
        <v>6.52</v>
      </c>
      <c r="E492" s="21"/>
      <c r="F492" s="21"/>
      <c r="G492" s="21">
        <v>6.4</v>
      </c>
      <c r="H492" s="3"/>
    </row>
    <row r="493" spans="1:8" x14ac:dyDescent="0.25">
      <c r="A493" s="20">
        <v>36220</v>
      </c>
      <c r="B493" s="21">
        <v>6.63</v>
      </c>
      <c r="C493" s="21">
        <v>7.77</v>
      </c>
      <c r="D493" s="21">
        <v>6.52</v>
      </c>
      <c r="E493" s="21"/>
      <c r="F493" s="21"/>
      <c r="G493" s="21">
        <v>6.63</v>
      </c>
      <c r="H493" s="3"/>
    </row>
    <row r="494" spans="1:8" x14ac:dyDescent="0.25">
      <c r="A494" s="20">
        <v>36251</v>
      </c>
      <c r="B494" s="21">
        <v>6.63</v>
      </c>
      <c r="C494" s="21">
        <v>7.7</v>
      </c>
      <c r="D494" s="21">
        <v>6.52</v>
      </c>
      <c r="E494" s="21"/>
      <c r="F494" s="21"/>
      <c r="G494" s="21">
        <v>6.64</v>
      </c>
      <c r="H494" s="3"/>
    </row>
    <row r="495" spans="1:8" x14ac:dyDescent="0.25">
      <c r="A495" s="20">
        <v>36281</v>
      </c>
      <c r="B495" s="21">
        <v>6.63</v>
      </c>
      <c r="C495" s="21">
        <v>7.7</v>
      </c>
      <c r="D495" s="21">
        <v>6.52</v>
      </c>
      <c r="E495" s="21"/>
      <c r="F495" s="21"/>
      <c r="G495" s="21">
        <v>6.76</v>
      </c>
      <c r="H495" s="3"/>
    </row>
    <row r="496" spans="1:8" x14ac:dyDescent="0.25">
      <c r="A496" s="20">
        <v>36312</v>
      </c>
      <c r="B496" s="21">
        <v>6.63</v>
      </c>
      <c r="C496" s="21">
        <v>7.7</v>
      </c>
      <c r="D496" s="21">
        <v>6.52</v>
      </c>
      <c r="E496" s="21"/>
      <c r="F496" s="21"/>
      <c r="G496" s="21">
        <v>6.98</v>
      </c>
      <c r="H496" s="3"/>
    </row>
    <row r="497" spans="1:8" x14ac:dyDescent="0.25">
      <c r="A497" s="20">
        <v>36342</v>
      </c>
      <c r="B497" s="21">
        <v>6.63</v>
      </c>
      <c r="C497" s="21">
        <v>7.7</v>
      </c>
      <c r="D497" s="21">
        <v>6.55</v>
      </c>
      <c r="E497" s="21"/>
      <c r="F497" s="21"/>
      <c r="G497" s="21">
        <v>6.94</v>
      </c>
      <c r="H497" s="3"/>
    </row>
    <row r="498" spans="1:8" x14ac:dyDescent="0.25">
      <c r="A498" s="20">
        <v>36373</v>
      </c>
      <c r="B498" s="21">
        <v>6.63</v>
      </c>
      <c r="C498" s="21">
        <v>7.7</v>
      </c>
      <c r="D498" s="21">
        <v>6.55</v>
      </c>
      <c r="E498" s="21"/>
      <c r="F498" s="21"/>
      <c r="G498" s="21">
        <v>7.15</v>
      </c>
      <c r="H498" s="3"/>
    </row>
    <row r="499" spans="1:8" x14ac:dyDescent="0.25">
      <c r="A499" s="20">
        <v>36404</v>
      </c>
      <c r="B499" s="21">
        <v>6.63</v>
      </c>
      <c r="C499" s="21">
        <v>7.7</v>
      </c>
      <c r="D499" s="21">
        <v>6.55</v>
      </c>
      <c r="E499" s="21"/>
      <c r="F499" s="21"/>
      <c r="G499" s="21">
        <v>7.3</v>
      </c>
      <c r="H499" s="3"/>
    </row>
    <row r="500" spans="1:8" x14ac:dyDescent="0.25">
      <c r="A500" s="20">
        <v>36434</v>
      </c>
      <c r="B500" s="21">
        <v>6.63</v>
      </c>
      <c r="C500" s="21">
        <v>7.7</v>
      </c>
      <c r="D500" s="21">
        <v>6.55</v>
      </c>
      <c r="E500" s="21"/>
      <c r="F500" s="21"/>
      <c r="G500" s="21">
        <v>7.5</v>
      </c>
      <c r="H500" s="3"/>
    </row>
    <row r="501" spans="1:8" x14ac:dyDescent="0.25">
      <c r="A501" s="20">
        <v>36465</v>
      </c>
      <c r="B501" s="21">
        <v>6.81</v>
      </c>
      <c r="C501" s="21">
        <v>7.89</v>
      </c>
      <c r="D501" s="21">
        <v>6.75</v>
      </c>
      <c r="E501" s="21"/>
      <c r="F501" s="21"/>
      <c r="G501" s="21">
        <v>7.53</v>
      </c>
      <c r="H501" s="3"/>
    </row>
    <row r="502" spans="1:8" x14ac:dyDescent="0.25">
      <c r="A502" s="20">
        <v>36495</v>
      </c>
      <c r="B502" s="21">
        <v>6.87</v>
      </c>
      <c r="C502" s="21">
        <v>7.95</v>
      </c>
      <c r="D502" s="21">
        <v>6.8</v>
      </c>
      <c r="E502" s="21"/>
      <c r="F502" s="21"/>
      <c r="G502" s="21">
        <v>7.44</v>
      </c>
      <c r="H502" s="3"/>
    </row>
    <row r="503" spans="1:8" x14ac:dyDescent="0.25">
      <c r="A503" s="20">
        <v>36526</v>
      </c>
      <c r="B503" s="21">
        <v>6.87</v>
      </c>
      <c r="C503" s="21">
        <v>8.01</v>
      </c>
      <c r="D503" s="21">
        <v>6.8</v>
      </c>
      <c r="E503" s="21"/>
      <c r="F503" s="21"/>
      <c r="G503" s="21">
        <v>7.72</v>
      </c>
      <c r="H503" s="3"/>
    </row>
    <row r="504" spans="1:8" x14ac:dyDescent="0.25">
      <c r="A504" s="20">
        <v>36557</v>
      </c>
      <c r="B504" s="21">
        <v>7.38</v>
      </c>
      <c r="C504" s="21">
        <v>8.51</v>
      </c>
      <c r="D504" s="21">
        <v>7.3</v>
      </c>
      <c r="E504" s="21"/>
      <c r="F504" s="21"/>
      <c r="G504" s="21">
        <v>7.96</v>
      </c>
      <c r="H504" s="3"/>
    </row>
    <row r="505" spans="1:8" x14ac:dyDescent="0.25">
      <c r="A505" s="20">
        <v>36586</v>
      </c>
      <c r="B505" s="21">
        <v>7.4</v>
      </c>
      <c r="C505" s="21">
        <v>8.5299999999999994</v>
      </c>
      <c r="D505" s="21">
        <v>7.3</v>
      </c>
      <c r="E505" s="21"/>
      <c r="F505" s="21"/>
      <c r="G505" s="21">
        <v>7.88</v>
      </c>
      <c r="H505" s="3"/>
    </row>
    <row r="506" spans="1:8" x14ac:dyDescent="0.25">
      <c r="A506" s="20">
        <v>36617</v>
      </c>
      <c r="B506" s="21">
        <v>7.65</v>
      </c>
      <c r="C506" s="21">
        <v>8.7799999999999994</v>
      </c>
      <c r="D506" s="21">
        <v>7.55</v>
      </c>
      <c r="E506" s="21"/>
      <c r="F506" s="21"/>
      <c r="G506" s="21">
        <v>7.86</v>
      </c>
      <c r="H506" s="3"/>
    </row>
    <row r="507" spans="1:8" x14ac:dyDescent="0.25">
      <c r="A507" s="20">
        <v>36647</v>
      </c>
      <c r="B507" s="21">
        <v>7.9</v>
      </c>
      <c r="C507" s="21">
        <v>9.09</v>
      </c>
      <c r="D507" s="21">
        <v>7.8</v>
      </c>
      <c r="E507" s="21"/>
      <c r="F507" s="21"/>
      <c r="G507" s="21">
        <v>7.9</v>
      </c>
      <c r="H507" s="3"/>
    </row>
    <row r="508" spans="1:8" x14ac:dyDescent="0.25">
      <c r="A508" s="20">
        <v>36678</v>
      </c>
      <c r="B508" s="21">
        <v>7.9</v>
      </c>
      <c r="C508" s="21">
        <v>9.09</v>
      </c>
      <c r="D508" s="21">
        <v>7.8</v>
      </c>
      <c r="E508" s="21"/>
      <c r="F508" s="21"/>
      <c r="G508" s="21">
        <v>7.75</v>
      </c>
      <c r="H508" s="3"/>
    </row>
    <row r="509" spans="1:8" x14ac:dyDescent="0.25">
      <c r="A509" s="20">
        <v>36708</v>
      </c>
      <c r="B509" s="21">
        <v>7.93</v>
      </c>
      <c r="C509" s="21">
        <v>9.14</v>
      </c>
      <c r="D509" s="21">
        <v>7.81</v>
      </c>
      <c r="E509" s="21"/>
      <c r="F509" s="21"/>
      <c r="G509" s="21">
        <v>7.62</v>
      </c>
      <c r="H509" s="3"/>
    </row>
    <row r="510" spans="1:8" x14ac:dyDescent="0.25">
      <c r="A510" s="20">
        <v>36739</v>
      </c>
      <c r="B510" s="21">
        <v>8.1999999999999993</v>
      </c>
      <c r="C510" s="21">
        <v>9.41</v>
      </c>
      <c r="D510" s="21">
        <v>8.07</v>
      </c>
      <c r="E510" s="21"/>
      <c r="F510" s="21"/>
      <c r="G510" s="21">
        <v>7.71</v>
      </c>
      <c r="H510" s="3"/>
    </row>
    <row r="511" spans="1:8" x14ac:dyDescent="0.25">
      <c r="A511" s="20">
        <v>36770</v>
      </c>
      <c r="B511" s="21">
        <v>8.1999999999999993</v>
      </c>
      <c r="C511" s="21">
        <v>9.43</v>
      </c>
      <c r="D511" s="21">
        <v>8.07</v>
      </c>
      <c r="E511" s="21"/>
      <c r="F511" s="21"/>
      <c r="G511" s="21">
        <v>7.72</v>
      </c>
      <c r="H511" s="3"/>
    </row>
    <row r="512" spans="1:8" x14ac:dyDescent="0.25">
      <c r="A512" s="20">
        <v>36800</v>
      </c>
      <c r="B512" s="21">
        <v>8.1999999999999993</v>
      </c>
      <c r="C512" s="21">
        <v>9.43</v>
      </c>
      <c r="D512" s="21">
        <v>8.07</v>
      </c>
      <c r="E512" s="21"/>
      <c r="F512" s="21"/>
      <c r="G512" s="21">
        <v>7.7</v>
      </c>
      <c r="H512" s="3"/>
    </row>
    <row r="513" spans="1:8" x14ac:dyDescent="0.25">
      <c r="A513" s="20">
        <v>36831</v>
      </c>
      <c r="B513" s="21">
        <v>8.1999999999999993</v>
      </c>
      <c r="C513" s="21">
        <v>9.43</v>
      </c>
      <c r="D513" s="21">
        <v>8.07</v>
      </c>
      <c r="E513" s="21"/>
      <c r="F513" s="21"/>
      <c r="G513" s="21">
        <v>7.65</v>
      </c>
      <c r="H513" s="3"/>
    </row>
    <row r="514" spans="1:8" x14ac:dyDescent="0.25">
      <c r="A514" s="20">
        <v>36861</v>
      </c>
      <c r="B514" s="21">
        <v>8.1999999999999993</v>
      </c>
      <c r="C514" s="21">
        <v>9.43</v>
      </c>
      <c r="D514" s="21">
        <v>8.07</v>
      </c>
      <c r="E514" s="21"/>
      <c r="F514" s="21"/>
      <c r="G514" s="21">
        <v>7.25</v>
      </c>
      <c r="H514" s="3"/>
    </row>
    <row r="515" spans="1:8" x14ac:dyDescent="0.25">
      <c r="A515" s="20">
        <v>36892</v>
      </c>
      <c r="B515" s="21">
        <v>8.1999999999999993</v>
      </c>
      <c r="C515" s="21">
        <v>9.43</v>
      </c>
      <c r="D515" s="21">
        <v>8.07</v>
      </c>
      <c r="E515" s="21"/>
      <c r="F515" s="21"/>
      <c r="G515" s="21">
        <v>6.93</v>
      </c>
      <c r="H515" s="3"/>
    </row>
    <row r="516" spans="1:8" x14ac:dyDescent="0.25">
      <c r="A516" s="20">
        <v>36923</v>
      </c>
      <c r="B516" s="21">
        <v>7.85</v>
      </c>
      <c r="C516" s="21">
        <v>9.18</v>
      </c>
      <c r="D516" s="21">
        <v>7.57</v>
      </c>
      <c r="E516" s="21"/>
      <c r="F516" s="21"/>
      <c r="G516" s="21">
        <v>6.7</v>
      </c>
      <c r="H516" s="3"/>
    </row>
    <row r="517" spans="1:8" x14ac:dyDescent="0.25">
      <c r="A517" s="20">
        <v>36951</v>
      </c>
      <c r="B517" s="21">
        <v>7.51</v>
      </c>
      <c r="C517" s="21">
        <v>8.7200000000000006</v>
      </c>
      <c r="D517" s="21">
        <v>7.32</v>
      </c>
      <c r="E517" s="21"/>
      <c r="F517" s="21"/>
      <c r="G517" s="21">
        <v>6.39</v>
      </c>
      <c r="H517" s="3"/>
    </row>
    <row r="518" spans="1:8" x14ac:dyDescent="0.25">
      <c r="A518" s="20">
        <v>36982</v>
      </c>
      <c r="B518" s="21">
        <v>7.14</v>
      </c>
      <c r="C518" s="21">
        <v>8.4700000000000006</v>
      </c>
      <c r="D518" s="21">
        <v>6.82</v>
      </c>
      <c r="E518" s="21"/>
      <c r="F518" s="21"/>
      <c r="G518" s="21">
        <v>6.37</v>
      </c>
      <c r="H518" s="3"/>
    </row>
    <row r="519" spans="1:8" x14ac:dyDescent="0.25">
      <c r="A519" s="20">
        <v>37012</v>
      </c>
      <c r="B519" s="21">
        <v>7.01</v>
      </c>
      <c r="C519" s="21">
        <v>8.2200000000000006</v>
      </c>
      <c r="D519" s="21">
        <v>6.82</v>
      </c>
      <c r="E519" s="21"/>
      <c r="F519" s="21"/>
      <c r="G519" s="21">
        <v>6.49</v>
      </c>
      <c r="H519" s="3"/>
    </row>
    <row r="520" spans="1:8" x14ac:dyDescent="0.25">
      <c r="A520" s="20">
        <v>37043</v>
      </c>
      <c r="B520" s="21">
        <v>7.01</v>
      </c>
      <c r="C520" s="21">
        <v>8.2200000000000006</v>
      </c>
      <c r="D520" s="21">
        <v>6.82</v>
      </c>
      <c r="E520" s="21"/>
      <c r="F520" s="21"/>
      <c r="G520" s="21">
        <v>6.57</v>
      </c>
      <c r="H520" s="3"/>
    </row>
    <row r="521" spans="1:8" x14ac:dyDescent="0.25">
      <c r="A521" s="20">
        <v>37073</v>
      </c>
      <c r="B521" s="21">
        <v>7.01</v>
      </c>
      <c r="C521" s="21">
        <v>8.2200000000000006</v>
      </c>
      <c r="D521" s="21">
        <v>6.82</v>
      </c>
      <c r="E521" s="21"/>
      <c r="F521" s="21"/>
      <c r="G521" s="21">
        <v>6.8</v>
      </c>
      <c r="H521" s="3"/>
    </row>
    <row r="522" spans="1:8" x14ac:dyDescent="0.25">
      <c r="A522" s="20">
        <v>37104</v>
      </c>
      <c r="B522" s="21">
        <v>7.01</v>
      </c>
      <c r="C522" s="21">
        <v>8.2200000000000006</v>
      </c>
      <c r="D522" s="21">
        <v>6.82</v>
      </c>
      <c r="E522" s="21"/>
      <c r="F522" s="21"/>
      <c r="G522" s="21">
        <v>6.78</v>
      </c>
      <c r="H522" s="3"/>
    </row>
    <row r="523" spans="1:8" x14ac:dyDescent="0.25">
      <c r="A523" s="20">
        <v>37135</v>
      </c>
      <c r="B523" s="21">
        <v>6.72</v>
      </c>
      <c r="C523" s="21">
        <v>8.0299999999999994</v>
      </c>
      <c r="D523" s="21">
        <v>6.57</v>
      </c>
      <c r="E523" s="21"/>
      <c r="F523" s="21"/>
      <c r="G523" s="21">
        <v>6.65</v>
      </c>
      <c r="H523" s="3"/>
    </row>
    <row r="524" spans="1:8" x14ac:dyDescent="0.25">
      <c r="A524" s="20">
        <v>37165</v>
      </c>
      <c r="B524" s="21">
        <v>6.47</v>
      </c>
      <c r="C524" s="21">
        <v>7.91</v>
      </c>
      <c r="D524" s="21">
        <v>6.32</v>
      </c>
      <c r="E524" s="21"/>
      <c r="F524" s="21"/>
      <c r="G524" s="21">
        <v>6.31</v>
      </c>
      <c r="H524" s="3"/>
    </row>
    <row r="525" spans="1:8" x14ac:dyDescent="0.25">
      <c r="A525" s="20">
        <v>37196</v>
      </c>
      <c r="B525" s="21">
        <v>6.47</v>
      </c>
      <c r="C525" s="21">
        <v>7.84</v>
      </c>
      <c r="D525" s="21">
        <v>6.32</v>
      </c>
      <c r="E525" s="21"/>
      <c r="F525" s="21"/>
      <c r="G525" s="21">
        <v>5.94</v>
      </c>
      <c r="H525" s="3"/>
    </row>
    <row r="526" spans="1:8" x14ac:dyDescent="0.25">
      <c r="A526" s="20">
        <v>37226</v>
      </c>
      <c r="B526" s="21">
        <v>6.29</v>
      </c>
      <c r="C526" s="21">
        <v>7.78</v>
      </c>
      <c r="D526" s="21">
        <v>6.07</v>
      </c>
      <c r="E526" s="21"/>
      <c r="F526" s="21"/>
      <c r="G526" s="21">
        <v>5.98</v>
      </c>
      <c r="H526" s="3"/>
    </row>
    <row r="527" spans="1:8" x14ac:dyDescent="0.25">
      <c r="A527" s="20">
        <v>37257</v>
      </c>
      <c r="B527" s="21">
        <v>6.29</v>
      </c>
      <c r="C527" s="21">
        <v>7.72</v>
      </c>
      <c r="D527" s="21">
        <v>6.07</v>
      </c>
      <c r="E527" s="21"/>
      <c r="F527" s="21"/>
      <c r="G527" s="21">
        <v>6.31</v>
      </c>
      <c r="H527" s="3"/>
    </row>
    <row r="528" spans="1:8" x14ac:dyDescent="0.25">
      <c r="A528" s="20">
        <v>37288</v>
      </c>
      <c r="B528" s="21">
        <v>6.24</v>
      </c>
      <c r="C528" s="21">
        <v>7.72</v>
      </c>
      <c r="D528" s="21">
        <v>6.07</v>
      </c>
      <c r="E528" s="21"/>
      <c r="F528" s="21"/>
      <c r="G528" s="21">
        <v>6.38</v>
      </c>
      <c r="H528" s="3"/>
    </row>
    <row r="529" spans="1:8" x14ac:dyDescent="0.25">
      <c r="A529" s="20">
        <v>37316</v>
      </c>
      <c r="B529" s="21">
        <v>6.24</v>
      </c>
      <c r="C529" s="21">
        <v>7.72</v>
      </c>
      <c r="D529" s="21">
        <v>6.07</v>
      </c>
      <c r="E529" s="21"/>
      <c r="F529" s="21"/>
      <c r="G529" s="21">
        <v>6.62</v>
      </c>
      <c r="H529" s="3"/>
    </row>
    <row r="530" spans="1:8" x14ac:dyDescent="0.25">
      <c r="A530" s="20">
        <v>37347</v>
      </c>
      <c r="B530" s="21">
        <v>6.24</v>
      </c>
      <c r="C530" s="21">
        <v>7.72</v>
      </c>
      <c r="D530" s="21">
        <v>6.07</v>
      </c>
      <c r="E530" s="21"/>
      <c r="F530" s="21"/>
      <c r="G530" s="21">
        <v>6.85</v>
      </c>
      <c r="H530" s="3"/>
    </row>
    <row r="531" spans="1:8" x14ac:dyDescent="0.25">
      <c r="A531" s="20">
        <v>37377</v>
      </c>
      <c r="B531" s="21">
        <v>6.49</v>
      </c>
      <c r="C531" s="21">
        <v>7.97</v>
      </c>
      <c r="D531" s="21">
        <v>6.32</v>
      </c>
      <c r="E531" s="21"/>
      <c r="F531" s="21"/>
      <c r="G531" s="21">
        <v>6.79</v>
      </c>
      <c r="H531" s="3"/>
    </row>
    <row r="532" spans="1:8" x14ac:dyDescent="0.25">
      <c r="A532" s="20">
        <v>37408</v>
      </c>
      <c r="B532" s="21">
        <v>6.74</v>
      </c>
      <c r="C532" s="21">
        <v>8.2200000000000006</v>
      </c>
      <c r="D532" s="21">
        <v>6.57</v>
      </c>
      <c r="E532" s="21"/>
      <c r="F532" s="21"/>
      <c r="G532" s="21">
        <v>6.91</v>
      </c>
      <c r="H532" s="3"/>
    </row>
    <row r="533" spans="1:8" x14ac:dyDescent="0.25">
      <c r="A533" s="20">
        <v>37438</v>
      </c>
      <c r="B533" s="21">
        <v>6.74</v>
      </c>
      <c r="C533" s="21">
        <v>8.2200000000000006</v>
      </c>
      <c r="D533" s="21">
        <v>6.57</v>
      </c>
      <c r="E533" s="21"/>
      <c r="F533" s="21"/>
      <c r="G533" s="21">
        <v>6.75</v>
      </c>
      <c r="H533" s="3"/>
    </row>
    <row r="534" spans="1:8" x14ac:dyDescent="0.25">
      <c r="A534" s="20">
        <v>37469</v>
      </c>
      <c r="B534" s="21">
        <v>6.74</v>
      </c>
      <c r="C534" s="21">
        <v>8.2200000000000006</v>
      </c>
      <c r="D534" s="21">
        <v>6.57</v>
      </c>
      <c r="E534" s="21"/>
      <c r="F534" s="21"/>
      <c r="G534" s="21">
        <v>6.57</v>
      </c>
      <c r="H534" s="3"/>
    </row>
    <row r="535" spans="1:8" x14ac:dyDescent="0.25">
      <c r="A535" s="20">
        <v>37500</v>
      </c>
      <c r="B535" s="21">
        <v>6.74</v>
      </c>
      <c r="C535" s="21">
        <v>8.2200000000000006</v>
      </c>
      <c r="D535" s="21">
        <v>6.57</v>
      </c>
      <c r="E535" s="21"/>
      <c r="F535" s="21"/>
      <c r="G535" s="21">
        <v>6.41</v>
      </c>
      <c r="H535" s="3"/>
    </row>
    <row r="536" spans="1:8" x14ac:dyDescent="0.25">
      <c r="A536" s="20">
        <v>37530</v>
      </c>
      <c r="B536" s="21">
        <v>6.74</v>
      </c>
      <c r="C536" s="21">
        <v>8.2200000000000006</v>
      </c>
      <c r="D536" s="21">
        <v>6.57</v>
      </c>
      <c r="E536" s="21"/>
      <c r="F536" s="21"/>
      <c r="G536" s="21">
        <v>6.39</v>
      </c>
      <c r="H536" s="3"/>
    </row>
    <row r="537" spans="1:8" x14ac:dyDescent="0.25">
      <c r="A537" s="20">
        <v>37561</v>
      </c>
      <c r="B537" s="21">
        <v>6.74</v>
      </c>
      <c r="C537" s="21">
        <v>8.2200000000000006</v>
      </c>
      <c r="D537" s="21">
        <v>6.57</v>
      </c>
      <c r="E537" s="21"/>
      <c r="F537" s="21"/>
      <c r="G537" s="21">
        <v>6.39</v>
      </c>
      <c r="H537" s="3"/>
    </row>
    <row r="538" spans="1:8" x14ac:dyDescent="0.25">
      <c r="A538" s="20">
        <v>37591</v>
      </c>
      <c r="B538" s="21">
        <v>6.74</v>
      </c>
      <c r="C538" s="21">
        <v>8.2200000000000006</v>
      </c>
      <c r="D538" s="21">
        <v>6.57</v>
      </c>
      <c r="E538" s="21"/>
      <c r="F538" s="21"/>
      <c r="G538" s="21">
        <v>6.39</v>
      </c>
      <c r="H538" s="3"/>
    </row>
    <row r="539" spans="1:8" x14ac:dyDescent="0.25">
      <c r="A539" s="20">
        <v>37622</v>
      </c>
      <c r="B539" s="21">
        <v>6.74</v>
      </c>
      <c r="C539" s="21">
        <v>8.2200000000000006</v>
      </c>
      <c r="D539" s="21">
        <v>6.57</v>
      </c>
      <c r="E539" s="21"/>
      <c r="F539" s="21"/>
      <c r="G539" s="21">
        <v>6.37</v>
      </c>
      <c r="H539" s="3"/>
    </row>
    <row r="540" spans="1:8" x14ac:dyDescent="0.25">
      <c r="A540" s="20">
        <v>37653</v>
      </c>
      <c r="B540" s="21">
        <v>6.74</v>
      </c>
      <c r="C540" s="21">
        <v>8.2200000000000006</v>
      </c>
      <c r="D540" s="21">
        <v>6.57</v>
      </c>
      <c r="E540" s="21"/>
      <c r="F540" s="21"/>
      <c r="G540" s="21">
        <v>6.17</v>
      </c>
      <c r="H540" s="3"/>
    </row>
    <row r="541" spans="1:8" x14ac:dyDescent="0.25">
      <c r="A541" s="20">
        <v>37681</v>
      </c>
      <c r="B541" s="21">
        <v>6.74</v>
      </c>
      <c r="C541" s="21">
        <v>8.2200000000000006</v>
      </c>
      <c r="D541" s="21">
        <v>6.57</v>
      </c>
      <c r="E541" s="21"/>
      <c r="F541" s="21"/>
      <c r="G541" s="21">
        <v>6.09</v>
      </c>
      <c r="H541" s="3"/>
    </row>
    <row r="542" spans="1:8" x14ac:dyDescent="0.25">
      <c r="A542" s="20">
        <v>37712</v>
      </c>
      <c r="B542" s="21">
        <v>6.74</v>
      </c>
      <c r="C542" s="21">
        <v>8.2200000000000006</v>
      </c>
      <c r="D542" s="21">
        <v>6.57</v>
      </c>
      <c r="E542" s="21"/>
      <c r="F542" s="21"/>
      <c r="G542" s="21">
        <v>6.09</v>
      </c>
      <c r="H542" s="3"/>
    </row>
    <row r="543" spans="1:8" x14ac:dyDescent="0.25">
      <c r="A543" s="20">
        <v>37742</v>
      </c>
      <c r="B543" s="21">
        <v>6.77</v>
      </c>
      <c r="C543" s="21">
        <v>8.2200000000000006</v>
      </c>
      <c r="D543" s="21">
        <v>6.57</v>
      </c>
      <c r="E543" s="21"/>
      <c r="F543" s="21"/>
      <c r="G543" s="21">
        <v>6.09</v>
      </c>
      <c r="H543" s="3"/>
    </row>
    <row r="544" spans="1:8" x14ac:dyDescent="0.25">
      <c r="A544" s="20">
        <v>37773</v>
      </c>
      <c r="B544" s="21">
        <v>6.77</v>
      </c>
      <c r="C544" s="21">
        <v>8.2200000000000006</v>
      </c>
      <c r="D544" s="21">
        <v>6.57</v>
      </c>
      <c r="E544" s="21"/>
      <c r="F544" s="21"/>
      <c r="G544" s="21">
        <v>5.9</v>
      </c>
      <c r="H544" s="3"/>
    </row>
    <row r="545" spans="1:8" x14ac:dyDescent="0.25">
      <c r="A545" s="20">
        <v>37803</v>
      </c>
      <c r="B545" s="21">
        <v>6.77</v>
      </c>
      <c r="C545" s="21">
        <v>8.2200000000000006</v>
      </c>
      <c r="D545" s="21">
        <v>6.57</v>
      </c>
      <c r="E545" s="21"/>
      <c r="F545" s="21"/>
      <c r="G545" s="21">
        <v>5.94</v>
      </c>
      <c r="H545" s="3"/>
    </row>
    <row r="546" spans="1:8" x14ac:dyDescent="0.25">
      <c r="A546" s="20">
        <v>37834</v>
      </c>
      <c r="B546" s="21">
        <v>6.77</v>
      </c>
      <c r="C546" s="21">
        <v>8.2200000000000006</v>
      </c>
      <c r="D546" s="21">
        <v>6.57</v>
      </c>
      <c r="E546" s="21"/>
      <c r="F546" s="21"/>
      <c r="G546" s="21">
        <v>6.15</v>
      </c>
      <c r="H546" s="3"/>
    </row>
    <row r="547" spans="1:8" x14ac:dyDescent="0.25">
      <c r="A547" s="20">
        <v>37865</v>
      </c>
      <c r="B547" s="21">
        <v>6.77</v>
      </c>
      <c r="C547" s="21">
        <v>8.2200000000000006</v>
      </c>
      <c r="D547" s="21">
        <v>6.57</v>
      </c>
      <c r="E547" s="21"/>
      <c r="F547" s="21"/>
      <c r="G547" s="21">
        <v>6.39</v>
      </c>
      <c r="H547" s="3"/>
    </row>
    <row r="548" spans="1:8" x14ac:dyDescent="0.25">
      <c r="A548" s="20">
        <v>37895</v>
      </c>
      <c r="B548" s="21">
        <v>6.77</v>
      </c>
      <c r="C548" s="21">
        <v>8.2200000000000006</v>
      </c>
      <c r="D548" s="21">
        <v>6.57</v>
      </c>
      <c r="E548" s="21"/>
      <c r="F548" s="21"/>
      <c r="G548" s="21">
        <v>6.55</v>
      </c>
      <c r="H548" s="3"/>
    </row>
    <row r="549" spans="1:8" x14ac:dyDescent="0.25">
      <c r="A549" s="20">
        <v>37926</v>
      </c>
      <c r="B549" s="21">
        <v>7.02</v>
      </c>
      <c r="C549" s="21">
        <v>8.41</v>
      </c>
      <c r="D549" s="21">
        <v>6.82</v>
      </c>
      <c r="E549" s="21"/>
      <c r="F549" s="21"/>
      <c r="G549" s="21">
        <v>6.98</v>
      </c>
      <c r="H549" s="3"/>
    </row>
    <row r="550" spans="1:8" x14ac:dyDescent="0.25">
      <c r="A550" s="20">
        <v>37956</v>
      </c>
      <c r="B550" s="21">
        <v>7.27</v>
      </c>
      <c r="C550" s="21">
        <v>8.7200000000000006</v>
      </c>
      <c r="D550" s="21">
        <v>7.07</v>
      </c>
      <c r="E550" s="21"/>
      <c r="F550" s="21"/>
      <c r="G550" s="21">
        <v>7.15</v>
      </c>
      <c r="H550" s="3"/>
    </row>
    <row r="551" spans="1:8" x14ac:dyDescent="0.25">
      <c r="A551" s="20">
        <v>37987</v>
      </c>
      <c r="B551" s="21">
        <v>7.27</v>
      </c>
      <c r="C551" s="21">
        <v>8.7200000000000006</v>
      </c>
      <c r="D551" s="21">
        <v>7.07</v>
      </c>
      <c r="E551" s="21"/>
      <c r="F551" s="21"/>
      <c r="G551" s="21">
        <v>7.06</v>
      </c>
      <c r="H551" s="3"/>
    </row>
    <row r="552" spans="1:8" x14ac:dyDescent="0.25">
      <c r="A552" s="20">
        <v>38018</v>
      </c>
      <c r="B552" s="21">
        <v>7.27</v>
      </c>
      <c r="C552" s="21">
        <v>8.7200000000000006</v>
      </c>
      <c r="D552" s="21">
        <v>7.07</v>
      </c>
      <c r="E552" s="21"/>
      <c r="F552" s="21"/>
      <c r="G552" s="21">
        <v>6.98</v>
      </c>
      <c r="H552" s="3"/>
    </row>
    <row r="553" spans="1:8" x14ac:dyDescent="0.25">
      <c r="A553" s="20">
        <v>38047</v>
      </c>
      <c r="B553" s="21">
        <v>7.27</v>
      </c>
      <c r="C553" s="21">
        <v>8.7200000000000006</v>
      </c>
      <c r="D553" s="21">
        <v>7.07</v>
      </c>
      <c r="E553" s="21"/>
      <c r="F553" s="21"/>
      <c r="G553" s="21">
        <v>6.97</v>
      </c>
      <c r="H553" s="3"/>
    </row>
    <row r="554" spans="1:8" x14ac:dyDescent="0.25">
      <c r="A554" s="20">
        <v>38078</v>
      </c>
      <c r="B554" s="21">
        <v>7.27</v>
      </c>
      <c r="C554" s="21">
        <v>8.7200000000000006</v>
      </c>
      <c r="D554" s="21">
        <v>7.07</v>
      </c>
      <c r="E554" s="21"/>
      <c r="F554" s="21"/>
      <c r="G554" s="21">
        <v>6.97</v>
      </c>
      <c r="H554" s="3"/>
    </row>
    <row r="555" spans="1:8" x14ac:dyDescent="0.25">
      <c r="A555" s="20">
        <v>38108</v>
      </c>
      <c r="B555" s="21">
        <v>7.27</v>
      </c>
      <c r="C555" s="21">
        <v>8.7200000000000006</v>
      </c>
      <c r="D555" s="21">
        <v>7.07</v>
      </c>
      <c r="E555" s="21"/>
      <c r="F555" s="21"/>
      <c r="G555" s="21">
        <v>6.97</v>
      </c>
      <c r="H555" s="3"/>
    </row>
    <row r="556" spans="1:8" x14ac:dyDescent="0.25">
      <c r="A556" s="20">
        <v>38139</v>
      </c>
      <c r="B556" s="21">
        <v>7.27</v>
      </c>
      <c r="C556" s="21">
        <v>8.7200000000000006</v>
      </c>
      <c r="D556" s="21">
        <v>7.07</v>
      </c>
      <c r="E556" s="21">
        <v>6.59</v>
      </c>
      <c r="F556" s="21"/>
      <c r="G556" s="21">
        <v>6.95</v>
      </c>
      <c r="H556" s="3"/>
    </row>
    <row r="557" spans="1:8" x14ac:dyDescent="0.25">
      <c r="A557" s="20">
        <v>38169</v>
      </c>
      <c r="B557" s="21">
        <v>7.27</v>
      </c>
      <c r="C557" s="21">
        <v>8.7200000000000006</v>
      </c>
      <c r="D557" s="21">
        <v>7.07</v>
      </c>
      <c r="E557" s="21">
        <v>6.59</v>
      </c>
      <c r="F557" s="21"/>
      <c r="G557" s="21">
        <v>6.95</v>
      </c>
      <c r="H557" s="3"/>
    </row>
    <row r="558" spans="1:8" x14ac:dyDescent="0.25">
      <c r="A558" s="20">
        <v>38200</v>
      </c>
      <c r="B558" s="21">
        <v>7.27</v>
      </c>
      <c r="C558" s="21">
        <v>8.7200000000000006</v>
      </c>
      <c r="D558" s="21">
        <v>7.07</v>
      </c>
      <c r="E558" s="21">
        <v>6.59</v>
      </c>
      <c r="F558" s="21"/>
      <c r="G558" s="21">
        <v>6.95</v>
      </c>
      <c r="H558" s="3"/>
    </row>
    <row r="559" spans="1:8" x14ac:dyDescent="0.25">
      <c r="A559" s="20">
        <v>38231</v>
      </c>
      <c r="B559" s="21">
        <v>7.27</v>
      </c>
      <c r="C559" s="21">
        <v>8.7200000000000006</v>
      </c>
      <c r="D559" s="21">
        <v>7.07</v>
      </c>
      <c r="E559" s="21">
        <v>6.59</v>
      </c>
      <c r="F559" s="21"/>
      <c r="G559" s="21">
        <v>6.84</v>
      </c>
      <c r="H559" s="3"/>
    </row>
    <row r="560" spans="1:8" x14ac:dyDescent="0.25">
      <c r="A560" s="20">
        <v>38261</v>
      </c>
      <c r="B560" s="21">
        <v>7.27</v>
      </c>
      <c r="C560" s="21">
        <v>8.7200000000000006</v>
      </c>
      <c r="D560" s="21">
        <v>7.07</v>
      </c>
      <c r="E560" s="21">
        <v>6.59</v>
      </c>
      <c r="F560" s="21"/>
      <c r="G560" s="21">
        <v>6.68</v>
      </c>
      <c r="H560" s="3"/>
    </row>
    <row r="561" spans="1:8" x14ac:dyDescent="0.25">
      <c r="A561" s="20">
        <v>38292</v>
      </c>
      <c r="B561" s="21">
        <v>7.27</v>
      </c>
      <c r="C561" s="21">
        <v>8.7200000000000006</v>
      </c>
      <c r="D561" s="21">
        <v>7.07</v>
      </c>
      <c r="E561" s="21">
        <v>6.59</v>
      </c>
      <c r="F561" s="21"/>
      <c r="G561" s="21">
        <v>6.66</v>
      </c>
      <c r="H561" s="3"/>
    </row>
    <row r="562" spans="1:8" x14ac:dyDescent="0.25">
      <c r="A562" s="20">
        <v>38322</v>
      </c>
      <c r="B562" s="21">
        <v>7.27</v>
      </c>
      <c r="C562" s="21">
        <v>8.7200000000000006</v>
      </c>
      <c r="D562" s="21">
        <v>7.07</v>
      </c>
      <c r="E562" s="21">
        <v>6.59</v>
      </c>
      <c r="F562" s="21"/>
      <c r="G562" s="21">
        <v>6.6</v>
      </c>
      <c r="H562" s="3"/>
    </row>
    <row r="563" spans="1:8" x14ac:dyDescent="0.25">
      <c r="A563" s="20">
        <v>38353</v>
      </c>
      <c r="B563" s="21">
        <v>7.27</v>
      </c>
      <c r="C563" s="21">
        <v>8.7200000000000006</v>
      </c>
      <c r="D563" s="21">
        <v>7.07</v>
      </c>
      <c r="E563" s="21">
        <v>6.59</v>
      </c>
      <c r="F563" s="21"/>
      <c r="G563" s="21">
        <v>6.6</v>
      </c>
      <c r="H563" s="3"/>
    </row>
    <row r="564" spans="1:8" x14ac:dyDescent="0.25">
      <c r="A564" s="20">
        <v>38384</v>
      </c>
      <c r="B564" s="21">
        <v>7.27</v>
      </c>
      <c r="C564" s="21">
        <v>8.7200000000000006</v>
      </c>
      <c r="D564" s="21">
        <v>7.07</v>
      </c>
      <c r="E564" s="21">
        <v>6.59</v>
      </c>
      <c r="F564" s="21"/>
      <c r="G564" s="21">
        <v>6.75</v>
      </c>
      <c r="H564" s="3"/>
    </row>
    <row r="565" spans="1:8" x14ac:dyDescent="0.25">
      <c r="A565" s="20">
        <v>38412</v>
      </c>
      <c r="B565" s="21">
        <v>7.52</v>
      </c>
      <c r="C565" s="21">
        <v>8.9700000000000006</v>
      </c>
      <c r="D565" s="21">
        <v>7.32</v>
      </c>
      <c r="E565" s="21">
        <v>6.82</v>
      </c>
      <c r="F565" s="21"/>
      <c r="G565" s="21">
        <v>6.92</v>
      </c>
      <c r="H565" s="3"/>
    </row>
    <row r="566" spans="1:8" x14ac:dyDescent="0.25">
      <c r="A566" s="20">
        <v>38443</v>
      </c>
      <c r="B566" s="21">
        <v>7.52</v>
      </c>
      <c r="C566" s="21">
        <v>8.9700000000000006</v>
      </c>
      <c r="D566" s="21">
        <v>7.32</v>
      </c>
      <c r="E566" s="21">
        <v>6.82</v>
      </c>
      <c r="F566" s="21"/>
      <c r="G566" s="21">
        <v>6.92</v>
      </c>
      <c r="H566" s="3"/>
    </row>
    <row r="567" spans="1:8" x14ac:dyDescent="0.25">
      <c r="A567" s="20">
        <v>38473</v>
      </c>
      <c r="B567" s="21">
        <v>7.52</v>
      </c>
      <c r="C567" s="21">
        <v>8.9700000000000006</v>
      </c>
      <c r="D567" s="21">
        <v>7.32</v>
      </c>
      <c r="E567" s="21">
        <v>6.78</v>
      </c>
      <c r="F567" s="21"/>
      <c r="G567" s="21">
        <v>6.86</v>
      </c>
      <c r="H567" s="3"/>
    </row>
    <row r="568" spans="1:8" x14ac:dyDescent="0.25">
      <c r="A568" s="20">
        <v>38504</v>
      </c>
      <c r="B568" s="21">
        <v>7.52</v>
      </c>
      <c r="C568" s="21">
        <v>8.9700000000000006</v>
      </c>
      <c r="D568" s="21">
        <v>7.32</v>
      </c>
      <c r="E568" s="21">
        <v>6.78</v>
      </c>
      <c r="F568" s="21"/>
      <c r="G568" s="21">
        <v>6.86</v>
      </c>
      <c r="H568" s="3"/>
    </row>
    <row r="569" spans="1:8" x14ac:dyDescent="0.25">
      <c r="A569" s="20">
        <v>38534</v>
      </c>
      <c r="B569" s="21">
        <v>7.52</v>
      </c>
      <c r="C569" s="21">
        <v>8.9700000000000006</v>
      </c>
      <c r="D569" s="21">
        <v>7.32</v>
      </c>
      <c r="E569" s="21">
        <v>6.7</v>
      </c>
      <c r="F569" s="21"/>
      <c r="G569" s="21">
        <v>6.86</v>
      </c>
      <c r="H569" s="3"/>
    </row>
    <row r="570" spans="1:8" x14ac:dyDescent="0.25">
      <c r="A570" s="20">
        <v>38565</v>
      </c>
      <c r="B570" s="21">
        <v>7.52</v>
      </c>
      <c r="C570" s="21">
        <v>8.9700000000000006</v>
      </c>
      <c r="D570" s="21">
        <v>7.32</v>
      </c>
      <c r="E570" s="21">
        <v>6.7</v>
      </c>
      <c r="F570" s="21"/>
      <c r="G570" s="21">
        <v>6.86</v>
      </c>
      <c r="H570" s="3"/>
    </row>
    <row r="571" spans="1:8" x14ac:dyDescent="0.25">
      <c r="A571" s="20">
        <v>38596</v>
      </c>
      <c r="B571" s="21">
        <v>7.52</v>
      </c>
      <c r="C571" s="21">
        <v>8.9700000000000006</v>
      </c>
      <c r="D571" s="21">
        <v>7.32</v>
      </c>
      <c r="E571" s="21">
        <v>6.68</v>
      </c>
      <c r="F571" s="21"/>
      <c r="G571" s="21">
        <v>6.56</v>
      </c>
      <c r="H571" s="3"/>
    </row>
    <row r="572" spans="1:8" x14ac:dyDescent="0.25">
      <c r="A572" s="20">
        <v>38626</v>
      </c>
      <c r="B572" s="21">
        <v>7.52</v>
      </c>
      <c r="C572" s="21">
        <v>8.9700000000000006</v>
      </c>
      <c r="D572" s="21">
        <v>7.32</v>
      </c>
      <c r="E572" s="21">
        <v>6.72</v>
      </c>
      <c r="F572" s="21"/>
      <c r="G572" s="21">
        <v>6.56</v>
      </c>
      <c r="H572" s="3"/>
    </row>
    <row r="573" spans="1:8" x14ac:dyDescent="0.25">
      <c r="A573" s="20">
        <v>38657</v>
      </c>
      <c r="B573" s="21">
        <v>7.52</v>
      </c>
      <c r="C573" s="21">
        <v>8.9700000000000006</v>
      </c>
      <c r="D573" s="21">
        <v>7.32</v>
      </c>
      <c r="E573" s="21">
        <v>6.72</v>
      </c>
      <c r="F573" s="21"/>
      <c r="G573" s="21">
        <v>6.66</v>
      </c>
      <c r="H573" s="3"/>
    </row>
    <row r="574" spans="1:8" x14ac:dyDescent="0.25">
      <c r="A574" s="20">
        <v>38687</v>
      </c>
      <c r="B574" s="21">
        <v>7.52</v>
      </c>
      <c r="C574" s="21">
        <v>8.9700000000000006</v>
      </c>
      <c r="D574" s="21">
        <v>7.32</v>
      </c>
      <c r="E574" s="21">
        <v>6.72</v>
      </c>
      <c r="F574" s="21"/>
      <c r="G574" s="21">
        <v>6.72</v>
      </c>
      <c r="H574" s="3"/>
    </row>
    <row r="575" spans="1:8" x14ac:dyDescent="0.25">
      <c r="A575" s="20">
        <v>38718</v>
      </c>
      <c r="B575" s="21">
        <v>7.55</v>
      </c>
      <c r="C575" s="21">
        <v>8.9700000000000006</v>
      </c>
      <c r="D575" s="21">
        <v>7.32</v>
      </c>
      <c r="E575" s="21">
        <v>6.72</v>
      </c>
      <c r="F575" s="21"/>
      <c r="G575" s="21">
        <v>6.69</v>
      </c>
      <c r="H575" s="3"/>
    </row>
    <row r="576" spans="1:8" x14ac:dyDescent="0.25">
      <c r="A576" s="20">
        <v>38749</v>
      </c>
      <c r="B576" s="21">
        <v>7.55</v>
      </c>
      <c r="C576" s="21">
        <v>8.9700000000000006</v>
      </c>
      <c r="D576" s="21">
        <v>7.32</v>
      </c>
      <c r="E576" s="21">
        <v>6.64</v>
      </c>
      <c r="F576" s="21"/>
      <c r="G576" s="21">
        <v>6.69</v>
      </c>
      <c r="H576" s="3"/>
    </row>
    <row r="577" spans="1:8" x14ac:dyDescent="0.25">
      <c r="A577" s="20">
        <v>38777</v>
      </c>
      <c r="B577" s="21">
        <v>7.55</v>
      </c>
      <c r="C577" s="21">
        <v>8.9700000000000006</v>
      </c>
      <c r="D577" s="21">
        <v>7.32</v>
      </c>
      <c r="E577" s="21">
        <v>6.64</v>
      </c>
      <c r="F577" s="21"/>
      <c r="G577" s="21">
        <v>6.65</v>
      </c>
      <c r="H577" s="3"/>
    </row>
    <row r="578" spans="1:8" x14ac:dyDescent="0.25">
      <c r="A578" s="20">
        <v>38808</v>
      </c>
      <c r="B578" s="21">
        <v>7.55</v>
      </c>
      <c r="C578" s="21">
        <v>8.9700000000000006</v>
      </c>
      <c r="D578" s="21">
        <v>7.32</v>
      </c>
      <c r="E578" s="21">
        <v>6.68</v>
      </c>
      <c r="F578" s="21"/>
      <c r="G578" s="21">
        <v>6.83</v>
      </c>
      <c r="H578" s="3"/>
    </row>
    <row r="579" spans="1:8" x14ac:dyDescent="0.25">
      <c r="A579" s="20">
        <v>38838</v>
      </c>
      <c r="B579" s="21">
        <v>7.8</v>
      </c>
      <c r="C579" s="21">
        <v>9.2200000000000006</v>
      </c>
      <c r="D579" s="21">
        <v>7.57</v>
      </c>
      <c r="E579" s="21">
        <v>6.93</v>
      </c>
      <c r="F579" s="21"/>
      <c r="G579" s="21">
        <v>7.01</v>
      </c>
      <c r="H579" s="3"/>
    </row>
    <row r="580" spans="1:8" x14ac:dyDescent="0.25">
      <c r="A580" s="20">
        <v>38869</v>
      </c>
      <c r="B580" s="21">
        <v>7.8</v>
      </c>
      <c r="C580" s="21">
        <v>9.2200000000000006</v>
      </c>
      <c r="D580" s="21">
        <v>7.57</v>
      </c>
      <c r="E580" s="21">
        <v>6.93</v>
      </c>
      <c r="F580" s="21"/>
      <c r="G580" s="21">
        <v>7.05</v>
      </c>
      <c r="H580" s="3"/>
    </row>
    <row r="581" spans="1:8" x14ac:dyDescent="0.25">
      <c r="A581" s="20">
        <v>38899</v>
      </c>
      <c r="B581" s="21">
        <v>7.8</v>
      </c>
      <c r="C581" s="21">
        <v>9.2200000000000006</v>
      </c>
      <c r="D581" s="21">
        <v>7.57</v>
      </c>
      <c r="E581" s="21">
        <v>6.97</v>
      </c>
      <c r="F581" s="21"/>
      <c r="G581" s="21">
        <v>7.2</v>
      </c>
      <c r="H581" s="3"/>
    </row>
    <row r="582" spans="1:8" x14ac:dyDescent="0.25">
      <c r="A582" s="20">
        <v>38930</v>
      </c>
      <c r="B582" s="21">
        <v>8.0500000000000007</v>
      </c>
      <c r="C582" s="21">
        <v>9.4700000000000006</v>
      </c>
      <c r="D582" s="21">
        <v>7.82</v>
      </c>
      <c r="E582" s="21">
        <v>7.22</v>
      </c>
      <c r="F582" s="21"/>
      <c r="G582" s="21">
        <v>7.32</v>
      </c>
      <c r="H582" s="3"/>
    </row>
    <row r="583" spans="1:8" x14ac:dyDescent="0.25">
      <c r="A583" s="20">
        <v>38961</v>
      </c>
      <c r="B583" s="21">
        <v>8.0500000000000007</v>
      </c>
      <c r="C583" s="21">
        <v>9.4700000000000006</v>
      </c>
      <c r="D583" s="21">
        <v>7.82</v>
      </c>
      <c r="E583" s="21">
        <v>7.22</v>
      </c>
      <c r="F583" s="21"/>
      <c r="G583" s="21">
        <v>7.27</v>
      </c>
      <c r="H583" s="3"/>
    </row>
    <row r="584" spans="1:8" x14ac:dyDescent="0.25">
      <c r="A584" s="20">
        <v>38991</v>
      </c>
      <c r="B584" s="21">
        <v>8.0500000000000007</v>
      </c>
      <c r="C584" s="21">
        <v>9.4700000000000006</v>
      </c>
      <c r="D584" s="21">
        <v>7.82</v>
      </c>
      <c r="E584" s="21">
        <v>7.22</v>
      </c>
      <c r="F584" s="21"/>
      <c r="G584" s="21">
        <v>7.24</v>
      </c>
      <c r="H584" s="3"/>
    </row>
    <row r="585" spans="1:8" x14ac:dyDescent="0.25">
      <c r="A585" s="20">
        <v>39022</v>
      </c>
      <c r="B585" s="21">
        <v>8.3000000000000007</v>
      </c>
      <c r="C585" s="21">
        <v>9.7200000000000006</v>
      </c>
      <c r="D585" s="21">
        <v>8.07</v>
      </c>
      <c r="E585" s="21">
        <v>7.43</v>
      </c>
      <c r="F585" s="21"/>
      <c r="G585" s="21">
        <v>7.23</v>
      </c>
      <c r="H585" s="3"/>
    </row>
    <row r="586" spans="1:8" x14ac:dyDescent="0.25">
      <c r="A586" s="20">
        <v>39052</v>
      </c>
      <c r="B586" s="21">
        <v>8.3000000000000007</v>
      </c>
      <c r="C586" s="21">
        <v>9.7200000000000006</v>
      </c>
      <c r="D586" s="21">
        <v>8.07</v>
      </c>
      <c r="E586" s="21">
        <v>7.47</v>
      </c>
      <c r="F586" s="21"/>
      <c r="G586" s="21">
        <v>7.26</v>
      </c>
      <c r="H586" s="3"/>
    </row>
    <row r="587" spans="1:8" x14ac:dyDescent="0.25">
      <c r="A587" s="20">
        <v>39083</v>
      </c>
      <c r="B587" s="21">
        <v>8.3000000000000007</v>
      </c>
      <c r="C587" s="21">
        <v>9.7200000000000006</v>
      </c>
      <c r="D587" s="21">
        <v>8.07</v>
      </c>
      <c r="E587" s="21">
        <v>7.47</v>
      </c>
      <c r="F587" s="21"/>
      <c r="G587" s="21">
        <v>7.3</v>
      </c>
      <c r="H587" s="3"/>
    </row>
    <row r="588" spans="1:8" x14ac:dyDescent="0.25">
      <c r="A588" s="20">
        <v>39114</v>
      </c>
      <c r="B588" s="21">
        <v>8.3000000000000007</v>
      </c>
      <c r="C588" s="21">
        <v>9.7200000000000006</v>
      </c>
      <c r="D588" s="21">
        <v>8.07</v>
      </c>
      <c r="E588" s="21">
        <v>7.47</v>
      </c>
      <c r="F588" s="21"/>
      <c r="G588" s="21">
        <v>7.3</v>
      </c>
      <c r="H588" s="3"/>
    </row>
    <row r="589" spans="1:8" x14ac:dyDescent="0.25">
      <c r="A589" s="20">
        <v>39142</v>
      </c>
      <c r="B589" s="21">
        <v>8.3000000000000007</v>
      </c>
      <c r="C589" s="21">
        <v>9.7200000000000006</v>
      </c>
      <c r="D589" s="21">
        <v>8.07</v>
      </c>
      <c r="E589" s="21">
        <v>7.47</v>
      </c>
      <c r="F589" s="21"/>
      <c r="G589" s="21">
        <v>7.3</v>
      </c>
      <c r="H589" s="3"/>
    </row>
    <row r="590" spans="1:8" x14ac:dyDescent="0.25">
      <c r="A590" s="20">
        <v>39173</v>
      </c>
      <c r="B590" s="21">
        <v>8.3000000000000007</v>
      </c>
      <c r="C590" s="21">
        <v>9.7200000000000006</v>
      </c>
      <c r="D590" s="21">
        <v>8.07</v>
      </c>
      <c r="E590" s="21">
        <v>7.47</v>
      </c>
      <c r="F590" s="21"/>
      <c r="G590" s="21">
        <v>7.45</v>
      </c>
      <c r="H590" s="3"/>
    </row>
    <row r="591" spans="1:8" x14ac:dyDescent="0.25">
      <c r="A591" s="20">
        <v>39203</v>
      </c>
      <c r="B591" s="21">
        <v>8.3000000000000007</v>
      </c>
      <c r="C591" s="21">
        <v>9.7200000000000006</v>
      </c>
      <c r="D591" s="21">
        <v>8.07</v>
      </c>
      <c r="E591" s="21">
        <v>7.47</v>
      </c>
      <c r="F591" s="21"/>
      <c r="G591" s="21">
        <v>7.44</v>
      </c>
      <c r="H591" s="3"/>
    </row>
    <row r="592" spans="1:8" x14ac:dyDescent="0.25">
      <c r="A592" s="20">
        <v>39234</v>
      </c>
      <c r="B592" s="21">
        <v>8.3000000000000007</v>
      </c>
      <c r="C592" s="21">
        <v>9.7200000000000006</v>
      </c>
      <c r="D592" s="21">
        <v>8.07</v>
      </c>
      <c r="E592" s="21">
        <v>7.47</v>
      </c>
      <c r="F592" s="21"/>
      <c r="G592" s="21">
        <v>7.51</v>
      </c>
      <c r="H592" s="3"/>
    </row>
    <row r="593" spans="1:8" x14ac:dyDescent="0.25">
      <c r="A593" s="20">
        <v>39264</v>
      </c>
      <c r="B593" s="21">
        <v>8.3000000000000007</v>
      </c>
      <c r="C593" s="21">
        <v>9.7200000000000006</v>
      </c>
      <c r="D593" s="21">
        <v>8.07</v>
      </c>
      <c r="E593" s="21">
        <v>7.47</v>
      </c>
      <c r="F593" s="21"/>
      <c r="G593" s="21">
        <v>7.69</v>
      </c>
      <c r="H593" s="3"/>
    </row>
    <row r="594" spans="1:8" x14ac:dyDescent="0.25">
      <c r="A594" s="20">
        <v>39295</v>
      </c>
      <c r="B594" s="21">
        <v>8.5500000000000007</v>
      </c>
      <c r="C594" s="21">
        <v>9.9700000000000006</v>
      </c>
      <c r="D594" s="21">
        <v>8.32</v>
      </c>
      <c r="E594" s="21">
        <v>7.72</v>
      </c>
      <c r="F594" s="21"/>
      <c r="G594" s="21">
        <v>7.81</v>
      </c>
      <c r="H594" s="3"/>
    </row>
    <row r="595" spans="1:8" x14ac:dyDescent="0.25">
      <c r="A595" s="20">
        <v>39326</v>
      </c>
      <c r="B595" s="21">
        <v>8.5500000000000007</v>
      </c>
      <c r="C595" s="21">
        <v>9.9700000000000006</v>
      </c>
      <c r="D595" s="21">
        <v>8.32</v>
      </c>
      <c r="E595" s="21">
        <v>7.72</v>
      </c>
      <c r="F595" s="21"/>
      <c r="G595" s="21">
        <v>7.76</v>
      </c>
      <c r="H595" s="3"/>
    </row>
    <row r="596" spans="1:8" x14ac:dyDescent="0.25">
      <c r="A596" s="20">
        <v>39356</v>
      </c>
      <c r="B596" s="21">
        <v>8.57</v>
      </c>
      <c r="C596" s="21">
        <v>9.99</v>
      </c>
      <c r="D596" s="21">
        <v>8.32</v>
      </c>
      <c r="E596" s="21">
        <v>7.72</v>
      </c>
      <c r="F596" s="21"/>
      <c r="G596" s="21">
        <v>7.83</v>
      </c>
      <c r="H596" s="3"/>
    </row>
    <row r="597" spans="1:8" x14ac:dyDescent="0.25">
      <c r="A597" s="20">
        <v>39387</v>
      </c>
      <c r="B597" s="21">
        <v>8.82</v>
      </c>
      <c r="C597" s="21">
        <v>10.28</v>
      </c>
      <c r="D597" s="21">
        <v>8.57</v>
      </c>
      <c r="E597" s="21">
        <v>7.97</v>
      </c>
      <c r="F597" s="21"/>
      <c r="G597" s="21">
        <v>8.19</v>
      </c>
      <c r="H597" s="3"/>
    </row>
    <row r="598" spans="1:8" x14ac:dyDescent="0.25">
      <c r="A598" s="20">
        <v>39417</v>
      </c>
      <c r="B598" s="21">
        <v>8.9700000000000006</v>
      </c>
      <c r="C598" s="21">
        <v>10.43</v>
      </c>
      <c r="D598" s="21">
        <v>8.57</v>
      </c>
      <c r="E598" s="21">
        <v>7.97</v>
      </c>
      <c r="F598" s="21"/>
      <c r="G598" s="21">
        <v>8.35</v>
      </c>
      <c r="H598" s="3"/>
    </row>
    <row r="599" spans="1:8" x14ac:dyDescent="0.25">
      <c r="A599" s="20">
        <v>39448</v>
      </c>
      <c r="B599" s="21">
        <v>9.07</v>
      </c>
      <c r="C599" s="21">
        <v>10.53</v>
      </c>
      <c r="D599" s="21">
        <v>8.7200000000000006</v>
      </c>
      <c r="E599" s="21">
        <v>8.1</v>
      </c>
      <c r="F599" s="21"/>
      <c r="G599" s="21">
        <v>8.4700000000000006</v>
      </c>
      <c r="H599" s="3"/>
    </row>
    <row r="600" spans="1:8" x14ac:dyDescent="0.25">
      <c r="A600" s="20">
        <v>39479</v>
      </c>
      <c r="B600" s="21">
        <v>9.36</v>
      </c>
      <c r="C600" s="21">
        <v>10.85</v>
      </c>
      <c r="D600" s="21">
        <v>8.99</v>
      </c>
      <c r="E600" s="21">
        <v>8.33</v>
      </c>
      <c r="F600" s="21"/>
      <c r="G600" s="21">
        <v>8.7200000000000006</v>
      </c>
      <c r="H600" s="3"/>
    </row>
    <row r="601" spans="1:8" x14ac:dyDescent="0.25">
      <c r="A601" s="20">
        <v>39508</v>
      </c>
      <c r="B601" s="21">
        <v>9.7200000000000006</v>
      </c>
      <c r="C601" s="21">
        <v>11.21</v>
      </c>
      <c r="D601" s="21">
        <v>9.34</v>
      </c>
      <c r="E601" s="21">
        <v>8.6999999999999993</v>
      </c>
      <c r="F601" s="21"/>
      <c r="G601" s="21">
        <v>8.9499999999999993</v>
      </c>
      <c r="H601" s="3"/>
    </row>
    <row r="602" spans="1:8" x14ac:dyDescent="0.25">
      <c r="A602" s="20">
        <v>39539</v>
      </c>
      <c r="B602" s="21">
        <v>9.86</v>
      </c>
      <c r="C602" s="21">
        <v>11.35</v>
      </c>
      <c r="D602" s="21">
        <v>9.44</v>
      </c>
      <c r="E602" s="21">
        <v>8.82</v>
      </c>
      <c r="F602" s="21"/>
      <c r="G602" s="21">
        <v>8.9700000000000006</v>
      </c>
      <c r="H602" s="3"/>
    </row>
    <row r="603" spans="1:8" x14ac:dyDescent="0.25">
      <c r="A603" s="20">
        <v>39569</v>
      </c>
      <c r="B603" s="21">
        <v>9.89</v>
      </c>
      <c r="C603" s="21">
        <v>11.37</v>
      </c>
      <c r="D603" s="21">
        <v>9.4600000000000009</v>
      </c>
      <c r="E603" s="21">
        <v>8.84</v>
      </c>
      <c r="F603" s="21"/>
      <c r="G603" s="21">
        <v>8.9700000000000006</v>
      </c>
      <c r="H603" s="3"/>
    </row>
    <row r="604" spans="1:8" x14ac:dyDescent="0.25">
      <c r="A604" s="20">
        <v>39600</v>
      </c>
      <c r="B604" s="21">
        <v>9.99</v>
      </c>
      <c r="C604" s="21">
        <v>11.47</v>
      </c>
      <c r="D604" s="21">
        <v>9.4600000000000009</v>
      </c>
      <c r="E604" s="21">
        <v>8.84</v>
      </c>
      <c r="F604" s="21"/>
      <c r="G604" s="21">
        <v>9.3000000000000007</v>
      </c>
      <c r="H604" s="3"/>
    </row>
    <row r="605" spans="1:8" x14ac:dyDescent="0.25">
      <c r="A605" s="20">
        <v>39630</v>
      </c>
      <c r="B605" s="21">
        <v>10.1</v>
      </c>
      <c r="C605" s="21">
        <v>11.58</v>
      </c>
      <c r="D605" s="21">
        <v>9.6199999999999992</v>
      </c>
      <c r="E605" s="21">
        <v>8.9600000000000009</v>
      </c>
      <c r="F605" s="21"/>
      <c r="G605" s="21">
        <v>9.42</v>
      </c>
      <c r="H605" s="3"/>
    </row>
    <row r="606" spans="1:8" x14ac:dyDescent="0.25">
      <c r="A606" s="20">
        <v>39661</v>
      </c>
      <c r="B606" s="21">
        <v>10.1</v>
      </c>
      <c r="C606" s="21">
        <v>11.58</v>
      </c>
      <c r="D606" s="21">
        <v>9.6199999999999992</v>
      </c>
      <c r="E606" s="21">
        <v>8.9600000000000009</v>
      </c>
      <c r="F606" s="21"/>
      <c r="G606" s="21">
        <v>8.89</v>
      </c>
      <c r="H606" s="3"/>
    </row>
    <row r="607" spans="1:8" x14ac:dyDescent="0.25">
      <c r="A607" s="20">
        <v>39692</v>
      </c>
      <c r="B607" s="21">
        <v>9.9700000000000006</v>
      </c>
      <c r="C607" s="21">
        <v>11.46</v>
      </c>
      <c r="D607" s="21">
        <v>9.36</v>
      </c>
      <c r="E607" s="21">
        <v>8.76</v>
      </c>
      <c r="F607" s="21"/>
      <c r="G607" s="21">
        <v>8.48</v>
      </c>
      <c r="H607" s="3"/>
    </row>
    <row r="608" spans="1:8" x14ac:dyDescent="0.25">
      <c r="A608" s="20">
        <v>39722</v>
      </c>
      <c r="B608" s="21">
        <v>9.41</v>
      </c>
      <c r="C608" s="21">
        <v>10.93</v>
      </c>
      <c r="D608" s="21">
        <v>8.34</v>
      </c>
      <c r="E608" s="21">
        <v>7.7</v>
      </c>
      <c r="F608" s="21"/>
      <c r="G608" s="21">
        <v>7.29</v>
      </c>
      <c r="H608" s="3"/>
    </row>
    <row r="609" spans="1:8" x14ac:dyDescent="0.25">
      <c r="A609" s="20">
        <v>39753</v>
      </c>
      <c r="B609" s="21">
        <v>9.2100000000000009</v>
      </c>
      <c r="C609" s="21">
        <v>10.73</v>
      </c>
      <c r="D609" s="21">
        <v>7.73</v>
      </c>
      <c r="E609" s="21">
        <v>7.09</v>
      </c>
      <c r="F609" s="21"/>
      <c r="G609" s="21">
        <v>6.91</v>
      </c>
      <c r="H609" s="3"/>
    </row>
    <row r="610" spans="1:8" x14ac:dyDescent="0.25">
      <c r="A610" s="20">
        <v>39783</v>
      </c>
      <c r="B610" s="21">
        <v>8.35</v>
      </c>
      <c r="C610" s="21">
        <v>9.93</v>
      </c>
      <c r="D610" s="21">
        <v>6.84</v>
      </c>
      <c r="E610" s="21">
        <v>6.2</v>
      </c>
      <c r="F610" s="21"/>
      <c r="G610" s="21">
        <v>6.25</v>
      </c>
      <c r="H610" s="3"/>
    </row>
    <row r="611" spans="1:8" x14ac:dyDescent="0.25">
      <c r="A611" s="20">
        <v>39814</v>
      </c>
      <c r="B611" s="21">
        <v>8.2799999999999994</v>
      </c>
      <c r="C611" s="21">
        <v>9.93</v>
      </c>
      <c r="D611" s="21">
        <v>6.84</v>
      </c>
      <c r="E611" s="21">
        <v>6.2</v>
      </c>
      <c r="F611" s="21"/>
      <c r="G611" s="21">
        <v>5.83</v>
      </c>
      <c r="H611" s="3"/>
    </row>
    <row r="612" spans="1:8" x14ac:dyDescent="0.25">
      <c r="A612" s="20">
        <v>39845</v>
      </c>
      <c r="B612" s="21">
        <v>7.28</v>
      </c>
      <c r="C612" s="21">
        <v>8.93</v>
      </c>
      <c r="D612" s="21">
        <v>5.84</v>
      </c>
      <c r="E612" s="21">
        <v>5.18</v>
      </c>
      <c r="F612" s="21"/>
      <c r="G612" s="21">
        <v>5.67</v>
      </c>
      <c r="H612" s="3"/>
    </row>
    <row r="613" spans="1:8" x14ac:dyDescent="0.25">
      <c r="A613" s="20">
        <v>39873</v>
      </c>
      <c r="B613" s="21">
        <v>7.22</v>
      </c>
      <c r="C613" s="21">
        <v>8.93</v>
      </c>
      <c r="D613" s="21">
        <v>5.84</v>
      </c>
      <c r="E613" s="21">
        <v>5.18</v>
      </c>
      <c r="F613" s="21"/>
      <c r="G613" s="21">
        <v>5.59</v>
      </c>
      <c r="H613" s="3"/>
    </row>
    <row r="614" spans="1:8" x14ac:dyDescent="0.25">
      <c r="A614" s="20">
        <v>39904</v>
      </c>
      <c r="B614" s="21">
        <v>7.08</v>
      </c>
      <c r="C614" s="21">
        <v>8.81</v>
      </c>
      <c r="D614" s="21">
        <v>5.76</v>
      </c>
      <c r="E614" s="21">
        <v>5.12</v>
      </c>
      <c r="F614" s="21"/>
      <c r="G614" s="21">
        <v>5.87</v>
      </c>
      <c r="H614" s="3"/>
    </row>
    <row r="615" spans="1:8" x14ac:dyDescent="0.25">
      <c r="A615" s="20">
        <v>39934</v>
      </c>
      <c r="B615" s="21">
        <v>7.08</v>
      </c>
      <c r="C615" s="21">
        <v>8.81</v>
      </c>
      <c r="D615" s="21">
        <v>5.76</v>
      </c>
      <c r="E615" s="21">
        <v>5.12</v>
      </c>
      <c r="F615" s="21"/>
      <c r="G615" s="21">
        <v>6.06</v>
      </c>
      <c r="H615" s="3"/>
    </row>
    <row r="616" spans="1:8" x14ac:dyDescent="0.25">
      <c r="A616" s="20">
        <v>39965</v>
      </c>
      <c r="B616" s="21">
        <v>7.11</v>
      </c>
      <c r="C616" s="21">
        <v>8.81</v>
      </c>
      <c r="D616" s="21">
        <v>5.78</v>
      </c>
      <c r="E616" s="21">
        <v>5.14</v>
      </c>
      <c r="F616" s="21"/>
      <c r="G616" s="21">
        <v>6.52</v>
      </c>
      <c r="H616" s="3"/>
    </row>
    <row r="617" spans="1:8" x14ac:dyDescent="0.25">
      <c r="A617" s="20">
        <v>39995</v>
      </c>
      <c r="B617" s="21">
        <v>7.11</v>
      </c>
      <c r="C617" s="21">
        <v>8.81</v>
      </c>
      <c r="D617" s="21">
        <v>5.78</v>
      </c>
      <c r="E617" s="21">
        <v>5.14</v>
      </c>
      <c r="F617" s="21"/>
      <c r="G617" s="21">
        <v>6.52</v>
      </c>
      <c r="H617" s="3"/>
    </row>
    <row r="618" spans="1:8" x14ac:dyDescent="0.25">
      <c r="A618" s="20">
        <v>40026</v>
      </c>
      <c r="B618" s="21">
        <v>7.11</v>
      </c>
      <c r="C618" s="21">
        <v>8.81</v>
      </c>
      <c r="D618" s="21">
        <v>5.78</v>
      </c>
      <c r="E618" s="21">
        <v>5.14</v>
      </c>
      <c r="F618" s="21"/>
      <c r="G618" s="21">
        <v>7.01</v>
      </c>
      <c r="H618" s="3"/>
    </row>
    <row r="619" spans="1:8" x14ac:dyDescent="0.25">
      <c r="A619" s="20">
        <v>40057</v>
      </c>
      <c r="B619" s="21">
        <v>7.11</v>
      </c>
      <c r="C619" s="21">
        <v>8.81</v>
      </c>
      <c r="D619" s="21">
        <v>5.78</v>
      </c>
      <c r="E619" s="21">
        <v>5.14</v>
      </c>
      <c r="F619" s="21"/>
      <c r="G619" s="21">
        <v>7.14</v>
      </c>
      <c r="H619" s="3"/>
    </row>
    <row r="620" spans="1:8" x14ac:dyDescent="0.25">
      <c r="A620" s="20">
        <v>40087</v>
      </c>
      <c r="B620" s="21">
        <v>7.36</v>
      </c>
      <c r="C620" s="21">
        <v>9.06</v>
      </c>
      <c r="D620" s="21">
        <v>6.03</v>
      </c>
      <c r="E620" s="21">
        <v>5.39</v>
      </c>
      <c r="F620" s="21"/>
      <c r="G620" s="21">
        <v>7.62</v>
      </c>
      <c r="H620" s="3"/>
    </row>
    <row r="621" spans="1:8" x14ac:dyDescent="0.25">
      <c r="A621" s="20">
        <v>40118</v>
      </c>
      <c r="B621" s="21">
        <v>7.55</v>
      </c>
      <c r="C621" s="21">
        <v>9.25</v>
      </c>
      <c r="D621" s="21">
        <v>6.28</v>
      </c>
      <c r="E621" s="21">
        <v>5.64</v>
      </c>
      <c r="F621" s="21"/>
      <c r="G621" s="21">
        <v>7.62</v>
      </c>
      <c r="H621" s="3"/>
    </row>
    <row r="622" spans="1:8" x14ac:dyDescent="0.25">
      <c r="A622" s="20">
        <v>40148</v>
      </c>
      <c r="B622" s="21">
        <v>7.84</v>
      </c>
      <c r="C622" s="21">
        <v>9.56</v>
      </c>
      <c r="D622" s="21">
        <v>6.64</v>
      </c>
      <c r="E622" s="21">
        <v>6</v>
      </c>
      <c r="F622" s="21"/>
      <c r="G622" s="21">
        <v>7.62</v>
      </c>
      <c r="H622" s="3"/>
    </row>
    <row r="623" spans="1:8" x14ac:dyDescent="0.25">
      <c r="A623" s="20">
        <v>40179</v>
      </c>
      <c r="B623" s="21">
        <v>7.84</v>
      </c>
      <c r="C623" s="21">
        <v>9.56</v>
      </c>
      <c r="D623" s="21">
        <v>6.64</v>
      </c>
      <c r="E623" s="21">
        <v>6</v>
      </c>
      <c r="F623" s="21"/>
      <c r="G623" s="21">
        <v>7.7</v>
      </c>
      <c r="H623" s="3"/>
    </row>
    <row r="624" spans="1:8" x14ac:dyDescent="0.25">
      <c r="A624" s="20">
        <v>40210</v>
      </c>
      <c r="B624" s="21">
        <v>7.84</v>
      </c>
      <c r="C624" s="21">
        <v>9.56</v>
      </c>
      <c r="D624" s="21">
        <v>6.64</v>
      </c>
      <c r="E624" s="21">
        <v>6</v>
      </c>
      <c r="F624" s="21"/>
      <c r="G624" s="21">
        <v>7.7</v>
      </c>
      <c r="H624" s="3"/>
    </row>
    <row r="625" spans="1:8" x14ac:dyDescent="0.25">
      <c r="A625" s="20">
        <v>40238</v>
      </c>
      <c r="B625" s="21">
        <v>8.09</v>
      </c>
      <c r="C625" s="21">
        <v>9.81</v>
      </c>
      <c r="D625" s="21">
        <v>6.89</v>
      </c>
      <c r="E625" s="21">
        <v>6.25</v>
      </c>
      <c r="F625" s="21"/>
      <c r="G625" s="21">
        <v>7.73</v>
      </c>
      <c r="H625" s="3"/>
    </row>
    <row r="626" spans="1:8" x14ac:dyDescent="0.25">
      <c r="A626" s="20">
        <v>40269</v>
      </c>
      <c r="B626" s="21">
        <v>8.34</v>
      </c>
      <c r="C626" s="21">
        <v>10.06</v>
      </c>
      <c r="D626" s="21">
        <v>7.14</v>
      </c>
      <c r="E626" s="21">
        <v>6.5</v>
      </c>
      <c r="F626" s="21"/>
      <c r="G626" s="21">
        <v>7.78</v>
      </c>
      <c r="H626" s="3"/>
    </row>
    <row r="627" spans="1:8" x14ac:dyDescent="0.25">
      <c r="A627" s="20">
        <v>40299</v>
      </c>
      <c r="B627" s="21">
        <v>8.59</v>
      </c>
      <c r="C627" s="21">
        <v>10.31</v>
      </c>
      <c r="D627" s="21">
        <v>7.39</v>
      </c>
      <c r="E627" s="21">
        <v>6.75</v>
      </c>
      <c r="F627" s="21"/>
      <c r="G627" s="21">
        <v>7.77</v>
      </c>
      <c r="H627" s="3"/>
    </row>
    <row r="628" spans="1:8" x14ac:dyDescent="0.25">
      <c r="A628" s="20">
        <v>40330</v>
      </c>
      <c r="B628" s="21">
        <v>8.59</v>
      </c>
      <c r="C628" s="21">
        <v>10.31</v>
      </c>
      <c r="D628" s="21">
        <v>7.39</v>
      </c>
      <c r="E628" s="21">
        <v>6.75</v>
      </c>
      <c r="F628" s="21"/>
      <c r="G628" s="21">
        <v>7.54</v>
      </c>
      <c r="H628" s="3"/>
    </row>
    <row r="629" spans="1:8" x14ac:dyDescent="0.25">
      <c r="A629" s="20">
        <v>40360</v>
      </c>
      <c r="B629" s="21">
        <v>8.59</v>
      </c>
      <c r="C629" s="21">
        <v>10.31</v>
      </c>
      <c r="D629" s="21">
        <v>7.39</v>
      </c>
      <c r="E629" s="21">
        <v>6.75</v>
      </c>
      <c r="F629" s="21"/>
      <c r="G629" s="21">
        <v>7.48</v>
      </c>
      <c r="H629" s="3"/>
    </row>
    <row r="630" spans="1:8" x14ac:dyDescent="0.25">
      <c r="A630" s="20">
        <v>40391</v>
      </c>
      <c r="B630" s="21">
        <v>8.59</v>
      </c>
      <c r="C630" s="21">
        <v>10.31</v>
      </c>
      <c r="D630" s="21">
        <v>7.39</v>
      </c>
      <c r="E630" s="21">
        <v>6.75</v>
      </c>
      <c r="F630" s="21"/>
      <c r="G630" s="21">
        <v>7.14</v>
      </c>
      <c r="H630" s="3"/>
    </row>
    <row r="631" spans="1:8" x14ac:dyDescent="0.25">
      <c r="A631" s="20">
        <v>40422</v>
      </c>
      <c r="B631" s="21">
        <v>8.59</v>
      </c>
      <c r="C631" s="21">
        <v>10.31</v>
      </c>
      <c r="D631" s="21">
        <v>7.39</v>
      </c>
      <c r="E631" s="21">
        <v>6.75</v>
      </c>
      <c r="F631" s="21"/>
      <c r="G631" s="21">
        <v>7.47</v>
      </c>
      <c r="H631" s="3"/>
    </row>
    <row r="632" spans="1:8" x14ac:dyDescent="0.25">
      <c r="A632" s="20">
        <v>40452</v>
      </c>
      <c r="B632" s="21">
        <v>8.59</v>
      </c>
      <c r="C632" s="21">
        <v>10.31</v>
      </c>
      <c r="D632" s="21">
        <v>7.39</v>
      </c>
      <c r="E632" s="21">
        <v>6.75</v>
      </c>
      <c r="F632" s="21"/>
      <c r="G632" s="21">
        <v>7.44</v>
      </c>
      <c r="H632" s="3"/>
    </row>
    <row r="633" spans="1:8" x14ac:dyDescent="0.25">
      <c r="A633" s="20">
        <v>40483</v>
      </c>
      <c r="B633" s="21">
        <v>8.99</v>
      </c>
      <c r="C633" s="21">
        <v>10.67</v>
      </c>
      <c r="D633" s="21">
        <v>7.79</v>
      </c>
      <c r="E633" s="21">
        <v>7.15</v>
      </c>
      <c r="F633" s="21"/>
      <c r="G633" s="21">
        <v>7.34</v>
      </c>
      <c r="H633" s="3"/>
    </row>
    <row r="634" spans="1:8" x14ac:dyDescent="0.25">
      <c r="A634" s="20">
        <v>40513</v>
      </c>
      <c r="B634" s="21">
        <v>8.99</v>
      </c>
      <c r="C634" s="21">
        <v>10.67</v>
      </c>
      <c r="D634" s="21">
        <v>7.79</v>
      </c>
      <c r="E634" s="21">
        <v>7.15</v>
      </c>
      <c r="F634" s="21"/>
      <c r="G634" s="21">
        <v>7.34</v>
      </c>
      <c r="H634" s="3"/>
    </row>
    <row r="635" spans="1:8" x14ac:dyDescent="0.25">
      <c r="A635" s="20">
        <v>40544</v>
      </c>
      <c r="B635" s="21">
        <v>8.99</v>
      </c>
      <c r="C635" s="21">
        <v>10.67</v>
      </c>
      <c r="D635" s="21">
        <v>7.79</v>
      </c>
      <c r="E635" s="21">
        <v>7.15</v>
      </c>
      <c r="F635" s="21"/>
      <c r="G635" s="21">
        <v>7.42</v>
      </c>
      <c r="H635" s="3"/>
    </row>
    <row r="636" spans="1:8" x14ac:dyDescent="0.25">
      <c r="A636" s="20">
        <v>40575</v>
      </c>
      <c r="B636" s="21">
        <v>8.99</v>
      </c>
      <c r="C636" s="21">
        <v>10.67</v>
      </c>
      <c r="D636" s="21">
        <v>7.79</v>
      </c>
      <c r="E636" s="21">
        <v>7.11</v>
      </c>
      <c r="F636" s="21"/>
      <c r="G636" s="21">
        <v>7.52</v>
      </c>
      <c r="H636" s="3"/>
    </row>
    <row r="637" spans="1:8" x14ac:dyDescent="0.25">
      <c r="A637" s="20">
        <v>40603</v>
      </c>
      <c r="B637" s="21">
        <v>8.99</v>
      </c>
      <c r="C637" s="21">
        <v>10.67</v>
      </c>
      <c r="D637" s="21">
        <v>7.79</v>
      </c>
      <c r="E637" s="21">
        <v>7.11</v>
      </c>
      <c r="F637" s="21"/>
      <c r="G637" s="21">
        <v>7.41</v>
      </c>
      <c r="H637" s="3"/>
    </row>
    <row r="638" spans="1:8" x14ac:dyDescent="0.25">
      <c r="A638" s="20">
        <v>40634</v>
      </c>
      <c r="B638" s="21">
        <v>8.99</v>
      </c>
      <c r="C638" s="21">
        <v>10.67</v>
      </c>
      <c r="D638" s="21">
        <v>7.79</v>
      </c>
      <c r="E638" s="21">
        <v>7.09</v>
      </c>
      <c r="F638" s="21"/>
      <c r="G638" s="21">
        <v>7.41</v>
      </c>
      <c r="H638" s="3"/>
    </row>
    <row r="639" spans="1:8" x14ac:dyDescent="0.25">
      <c r="A639" s="20">
        <v>40664</v>
      </c>
      <c r="B639" s="21">
        <v>8.99</v>
      </c>
      <c r="C639" s="21">
        <v>10.67</v>
      </c>
      <c r="D639" s="21">
        <v>7.79</v>
      </c>
      <c r="E639" s="21">
        <v>7.08</v>
      </c>
      <c r="F639" s="21"/>
      <c r="G639" s="21">
        <v>7.41</v>
      </c>
      <c r="H639" s="3"/>
    </row>
    <row r="640" spans="1:8" x14ac:dyDescent="0.25">
      <c r="A640" s="20">
        <v>40695</v>
      </c>
      <c r="B640" s="21">
        <v>8.99</v>
      </c>
      <c r="C640" s="21">
        <v>10.67</v>
      </c>
      <c r="D640" s="21">
        <v>7.79</v>
      </c>
      <c r="E640" s="21">
        <v>7.04</v>
      </c>
      <c r="F640" s="21"/>
      <c r="G640" s="21">
        <v>7.37</v>
      </c>
      <c r="H640" s="3"/>
    </row>
    <row r="641" spans="1:8" x14ac:dyDescent="0.25">
      <c r="A641" s="20">
        <v>40725</v>
      </c>
      <c r="B641" s="21">
        <v>8.99</v>
      </c>
      <c r="C641" s="21">
        <v>10.67</v>
      </c>
      <c r="D641" s="21">
        <v>7.79</v>
      </c>
      <c r="E641" s="21">
        <v>7.04</v>
      </c>
      <c r="F641" s="21"/>
      <c r="G641" s="21">
        <v>7.12</v>
      </c>
      <c r="H641" s="3"/>
    </row>
    <row r="642" spans="1:8" x14ac:dyDescent="0.25">
      <c r="A642" s="20">
        <v>40756</v>
      </c>
      <c r="B642" s="21">
        <v>8.99</v>
      </c>
      <c r="C642" s="21">
        <v>10.67</v>
      </c>
      <c r="D642" s="21">
        <v>7.79</v>
      </c>
      <c r="E642" s="21">
        <v>7.03</v>
      </c>
      <c r="F642" s="21"/>
      <c r="G642" s="21">
        <v>6.71</v>
      </c>
      <c r="H642" s="3"/>
    </row>
    <row r="643" spans="1:8" x14ac:dyDescent="0.25">
      <c r="A643" s="20">
        <v>40787</v>
      </c>
      <c r="B643" s="21">
        <v>8.99</v>
      </c>
      <c r="C643" s="21">
        <v>10.67</v>
      </c>
      <c r="D643" s="21">
        <v>7.79</v>
      </c>
      <c r="E643" s="21">
        <v>7.03</v>
      </c>
      <c r="F643" s="21"/>
      <c r="G643" s="21">
        <v>6.61</v>
      </c>
      <c r="H643" s="3"/>
    </row>
    <row r="644" spans="1:8" x14ac:dyDescent="0.25">
      <c r="A644" s="20">
        <v>40817</v>
      </c>
      <c r="B644" s="21">
        <v>8.99</v>
      </c>
      <c r="C644" s="21">
        <v>10.67</v>
      </c>
      <c r="D644" s="21">
        <v>7.79</v>
      </c>
      <c r="E644" s="21">
        <v>7.03</v>
      </c>
      <c r="F644" s="21"/>
      <c r="G644" s="21">
        <v>6.52</v>
      </c>
      <c r="H644" s="3"/>
    </row>
    <row r="645" spans="1:8" x14ac:dyDescent="0.25">
      <c r="A645" s="20">
        <v>40848</v>
      </c>
      <c r="B645" s="21">
        <v>8.77</v>
      </c>
      <c r="C645" s="21">
        <v>10.44</v>
      </c>
      <c r="D645" s="21">
        <v>7.55</v>
      </c>
      <c r="E645" s="21">
        <v>6.79</v>
      </c>
      <c r="F645" s="21"/>
      <c r="G645" s="21">
        <v>6.39</v>
      </c>
      <c r="H645" s="3"/>
    </row>
    <row r="646" spans="1:8" x14ac:dyDescent="0.25">
      <c r="A646" s="20">
        <v>40878</v>
      </c>
      <c r="B646" s="21">
        <v>8.52</v>
      </c>
      <c r="C646" s="21">
        <v>10.26</v>
      </c>
      <c r="D646" s="21">
        <v>7.3</v>
      </c>
      <c r="E646" s="21">
        <v>6.54</v>
      </c>
      <c r="F646" s="21"/>
      <c r="G646" s="21">
        <v>6.35</v>
      </c>
      <c r="H646" s="3"/>
    </row>
    <row r="647" spans="1:8" x14ac:dyDescent="0.25">
      <c r="A647" s="20">
        <v>40909</v>
      </c>
      <c r="B647" s="21">
        <v>8.52</v>
      </c>
      <c r="C647" s="21">
        <v>10.26</v>
      </c>
      <c r="D647" s="21">
        <v>7.3</v>
      </c>
      <c r="E647" s="21">
        <v>6.59</v>
      </c>
      <c r="F647" s="21"/>
      <c r="G647" s="21">
        <v>6.35</v>
      </c>
      <c r="H647" s="3"/>
    </row>
    <row r="648" spans="1:8" x14ac:dyDescent="0.25">
      <c r="A648" s="20">
        <v>40940</v>
      </c>
      <c r="B648" s="21">
        <v>8.61</v>
      </c>
      <c r="C648" s="21">
        <v>10.34</v>
      </c>
      <c r="D648" s="21">
        <v>7.39</v>
      </c>
      <c r="E648" s="21">
        <v>6.71</v>
      </c>
      <c r="F648" s="21"/>
      <c r="G648" s="21">
        <v>6.32</v>
      </c>
      <c r="H648" s="3"/>
    </row>
    <row r="649" spans="1:8" x14ac:dyDescent="0.25">
      <c r="A649" s="20">
        <v>40969</v>
      </c>
      <c r="B649" s="21">
        <v>8.61</v>
      </c>
      <c r="C649" s="21">
        <v>10.34</v>
      </c>
      <c r="D649" s="21">
        <v>7.39</v>
      </c>
      <c r="E649" s="21">
        <v>6.71</v>
      </c>
      <c r="F649" s="21"/>
      <c r="G649" s="21">
        <v>6.47</v>
      </c>
      <c r="H649" s="3"/>
    </row>
    <row r="650" spans="1:8" x14ac:dyDescent="0.25">
      <c r="A650" s="20">
        <v>41000</v>
      </c>
      <c r="B650" s="21">
        <v>8.6199999999999992</v>
      </c>
      <c r="C650" s="21">
        <v>10.36</v>
      </c>
      <c r="D650" s="21">
        <v>7.4</v>
      </c>
      <c r="E650" s="21">
        <v>6.72</v>
      </c>
      <c r="F650" s="21"/>
      <c r="G650" s="21">
        <v>6.41</v>
      </c>
      <c r="H650" s="3"/>
    </row>
    <row r="651" spans="1:8" x14ac:dyDescent="0.25">
      <c r="A651" s="20">
        <v>41030</v>
      </c>
      <c r="B651" s="21">
        <v>8.2200000000000006</v>
      </c>
      <c r="C651" s="21">
        <v>9.99</v>
      </c>
      <c r="D651" s="21">
        <v>7.04</v>
      </c>
      <c r="E651" s="21">
        <v>6.36</v>
      </c>
      <c r="F651" s="21"/>
      <c r="G651" s="21">
        <v>6.14</v>
      </c>
      <c r="H651" s="3"/>
    </row>
    <row r="652" spans="1:8" x14ac:dyDescent="0.25">
      <c r="A652" s="20">
        <v>41061</v>
      </c>
      <c r="B652" s="21">
        <v>7.99</v>
      </c>
      <c r="C652" s="21">
        <v>9.77</v>
      </c>
      <c r="D652" s="21">
        <v>6.83</v>
      </c>
      <c r="E652" s="21">
        <v>6.13</v>
      </c>
      <c r="F652" s="21"/>
      <c r="G652" s="21">
        <v>6.08</v>
      </c>
      <c r="H652" s="3"/>
    </row>
    <row r="653" spans="1:8" x14ac:dyDescent="0.25">
      <c r="A653" s="20">
        <v>41091</v>
      </c>
      <c r="B653" s="21">
        <v>7.99</v>
      </c>
      <c r="C653" s="21">
        <v>9.77</v>
      </c>
      <c r="D653" s="21">
        <v>6.83</v>
      </c>
      <c r="E653" s="21">
        <v>6.13</v>
      </c>
      <c r="F653" s="21"/>
      <c r="G653" s="21">
        <v>5.9</v>
      </c>
      <c r="H653" s="3"/>
    </row>
    <row r="654" spans="1:8" x14ac:dyDescent="0.25">
      <c r="A654" s="20">
        <v>41122</v>
      </c>
      <c r="B654" s="21">
        <v>7.99</v>
      </c>
      <c r="C654" s="21">
        <v>9.77</v>
      </c>
      <c r="D654" s="21">
        <v>6.83</v>
      </c>
      <c r="E654" s="21">
        <v>6.1</v>
      </c>
      <c r="F654" s="21"/>
      <c r="G654" s="21">
        <v>5.88</v>
      </c>
      <c r="H654" s="3"/>
    </row>
    <row r="655" spans="1:8" x14ac:dyDescent="0.25">
      <c r="A655" s="20">
        <v>41153</v>
      </c>
      <c r="B655" s="21">
        <v>7.99</v>
      </c>
      <c r="C655" s="21">
        <v>9.77</v>
      </c>
      <c r="D655" s="21">
        <v>6.83</v>
      </c>
      <c r="E655" s="21">
        <v>6.08</v>
      </c>
      <c r="F655" s="21"/>
      <c r="G655" s="21">
        <v>5.71</v>
      </c>
      <c r="H655" s="3"/>
    </row>
    <row r="656" spans="1:8" x14ac:dyDescent="0.25">
      <c r="A656" s="20">
        <v>41183</v>
      </c>
      <c r="B656" s="21">
        <v>7.8</v>
      </c>
      <c r="C656" s="21">
        <v>9.6199999999999992</v>
      </c>
      <c r="D656" s="21">
        <v>6.64</v>
      </c>
      <c r="E656" s="21">
        <v>5.89</v>
      </c>
      <c r="F656" s="21"/>
      <c r="G656" s="21">
        <v>5.54</v>
      </c>
      <c r="H656" s="3"/>
    </row>
    <row r="657" spans="1:8" x14ac:dyDescent="0.25">
      <c r="A657" s="20">
        <v>41214</v>
      </c>
      <c r="B657" s="21">
        <v>7.8</v>
      </c>
      <c r="C657" s="21">
        <v>9.6199999999999992</v>
      </c>
      <c r="D657" s="21">
        <v>6.64</v>
      </c>
      <c r="E657" s="21">
        <v>5.84</v>
      </c>
      <c r="F657" s="21"/>
      <c r="G657" s="21">
        <v>5.54</v>
      </c>
      <c r="H657" s="3"/>
    </row>
    <row r="658" spans="1:8" x14ac:dyDescent="0.25">
      <c r="A658" s="20">
        <v>41244</v>
      </c>
      <c r="B658" s="21">
        <v>7.6</v>
      </c>
      <c r="C658" s="21">
        <v>9.44</v>
      </c>
      <c r="D658" s="21">
        <v>6.44</v>
      </c>
      <c r="E658" s="21">
        <v>5.68</v>
      </c>
      <c r="F658" s="21"/>
      <c r="G658" s="21">
        <v>5.54</v>
      </c>
      <c r="H658" s="3"/>
    </row>
    <row r="659" spans="1:8" x14ac:dyDescent="0.25">
      <c r="A659" s="20">
        <v>41275</v>
      </c>
      <c r="B659" s="21">
        <v>7.6</v>
      </c>
      <c r="C659" s="21">
        <v>9.44</v>
      </c>
      <c r="D659" s="21">
        <v>6.44</v>
      </c>
      <c r="E659" s="21">
        <v>5.68</v>
      </c>
      <c r="F659" s="21"/>
      <c r="G659" s="21">
        <v>5.52</v>
      </c>
      <c r="H659" s="3"/>
    </row>
    <row r="660" spans="1:8" x14ac:dyDescent="0.25">
      <c r="A660" s="20">
        <v>41306</v>
      </c>
      <c r="B660" s="21">
        <v>7.6</v>
      </c>
      <c r="C660" s="21">
        <v>9.44</v>
      </c>
      <c r="D660" s="21">
        <v>6.44</v>
      </c>
      <c r="E660" s="21">
        <v>5.66</v>
      </c>
      <c r="F660" s="21"/>
      <c r="G660" s="21">
        <v>5.44</v>
      </c>
      <c r="H660" s="3"/>
    </row>
    <row r="661" spans="1:8" x14ac:dyDescent="0.25">
      <c r="A661" s="20">
        <v>41334</v>
      </c>
      <c r="B661" s="21">
        <v>7.6</v>
      </c>
      <c r="C661" s="21">
        <v>9.44</v>
      </c>
      <c r="D661" s="21">
        <v>6.44</v>
      </c>
      <c r="E661" s="21">
        <v>5.62</v>
      </c>
      <c r="F661" s="21"/>
      <c r="G661" s="21">
        <v>5.44</v>
      </c>
      <c r="H661" s="3"/>
    </row>
    <row r="662" spans="1:8" x14ac:dyDescent="0.25">
      <c r="A662" s="20">
        <v>41365</v>
      </c>
      <c r="B662" s="21">
        <v>7.6</v>
      </c>
      <c r="C662" s="21">
        <v>9.44</v>
      </c>
      <c r="D662" s="21">
        <v>6.44</v>
      </c>
      <c r="E662" s="21">
        <v>5.62</v>
      </c>
      <c r="F662" s="21"/>
      <c r="G662" s="21">
        <v>5.44</v>
      </c>
      <c r="H662" s="3"/>
    </row>
    <row r="663" spans="1:8" x14ac:dyDescent="0.25">
      <c r="A663" s="20">
        <v>41395</v>
      </c>
      <c r="B663" s="21">
        <v>7.35</v>
      </c>
      <c r="C663" s="21">
        <v>9.1999999999999993</v>
      </c>
      <c r="D663" s="21">
        <v>6.18</v>
      </c>
      <c r="E663" s="21">
        <v>5.36</v>
      </c>
      <c r="F663" s="21"/>
      <c r="G663" s="21">
        <v>5.27</v>
      </c>
      <c r="H663" s="3"/>
    </row>
    <row r="664" spans="1:8" x14ac:dyDescent="0.25">
      <c r="A664" s="20">
        <v>41426</v>
      </c>
      <c r="B664" s="21">
        <v>7.35</v>
      </c>
      <c r="C664" s="21">
        <v>9.1999999999999993</v>
      </c>
      <c r="D664" s="21">
        <v>6.18</v>
      </c>
      <c r="E664" s="21">
        <v>5.36</v>
      </c>
      <c r="F664" s="21"/>
      <c r="G664" s="21">
        <v>5.13</v>
      </c>
      <c r="H664" s="3"/>
    </row>
    <row r="665" spans="1:8" x14ac:dyDescent="0.25">
      <c r="A665" s="20">
        <v>41456</v>
      </c>
      <c r="B665" s="21">
        <v>7.35</v>
      </c>
      <c r="C665" s="21">
        <v>9.1999999999999993</v>
      </c>
      <c r="D665" s="21">
        <v>6.18</v>
      </c>
      <c r="E665" s="21">
        <v>5.35</v>
      </c>
      <c r="F665" s="21"/>
      <c r="G665" s="21">
        <v>5.17</v>
      </c>
      <c r="H665" s="3"/>
    </row>
    <row r="666" spans="1:8" x14ac:dyDescent="0.25">
      <c r="A666" s="20">
        <v>41487</v>
      </c>
      <c r="B666" s="21">
        <v>7.1</v>
      </c>
      <c r="C666" s="21">
        <v>8.9499999999999993</v>
      </c>
      <c r="D666" s="21">
        <v>5.93</v>
      </c>
      <c r="E666" s="21">
        <v>5.0999999999999996</v>
      </c>
      <c r="F666" s="21"/>
      <c r="G666" s="21">
        <v>5.1100000000000003</v>
      </c>
      <c r="H666" s="3"/>
    </row>
    <row r="667" spans="1:8" x14ac:dyDescent="0.25">
      <c r="A667" s="20">
        <v>41518</v>
      </c>
      <c r="B667" s="21">
        <v>7.1</v>
      </c>
      <c r="C667" s="21">
        <v>8.9499999999999993</v>
      </c>
      <c r="D667" s="21">
        <v>5.93</v>
      </c>
      <c r="E667" s="21">
        <v>5.08</v>
      </c>
      <c r="F667" s="21"/>
      <c r="G667" s="21">
        <v>5.12</v>
      </c>
      <c r="H667" s="3"/>
    </row>
    <row r="668" spans="1:8" x14ac:dyDescent="0.25">
      <c r="A668" s="20">
        <v>41548</v>
      </c>
      <c r="B668" s="21">
        <v>7.1</v>
      </c>
      <c r="C668" s="21">
        <v>8.9499999999999993</v>
      </c>
      <c r="D668" s="21">
        <v>5.93</v>
      </c>
      <c r="E668" s="21">
        <v>5.08</v>
      </c>
      <c r="F668" s="21"/>
      <c r="G668" s="21">
        <v>5.24</v>
      </c>
      <c r="H668" s="3"/>
    </row>
    <row r="669" spans="1:8" x14ac:dyDescent="0.25">
      <c r="A669" s="20">
        <v>41579</v>
      </c>
      <c r="B669" s="21">
        <v>7.1</v>
      </c>
      <c r="C669" s="21">
        <v>8.9499999999999993</v>
      </c>
      <c r="D669" s="21">
        <v>5.93</v>
      </c>
      <c r="E669" s="21">
        <v>5.08</v>
      </c>
      <c r="F669" s="21"/>
      <c r="G669" s="21">
        <v>5.28</v>
      </c>
      <c r="H669" s="3"/>
    </row>
    <row r="670" spans="1:8" x14ac:dyDescent="0.25">
      <c r="A670" s="20">
        <v>41609</v>
      </c>
      <c r="B670" s="21">
        <v>7.1</v>
      </c>
      <c r="C670" s="21">
        <v>8.9499999999999993</v>
      </c>
      <c r="D670" s="21">
        <v>5.93</v>
      </c>
      <c r="E670" s="21">
        <v>5.0999999999999996</v>
      </c>
      <c r="F670" s="21"/>
      <c r="G670" s="21">
        <v>5.28</v>
      </c>
      <c r="H670" s="3"/>
    </row>
    <row r="671" spans="1:8" x14ac:dyDescent="0.25">
      <c r="A671" s="20">
        <v>41640</v>
      </c>
      <c r="B671" s="21">
        <v>7.1</v>
      </c>
      <c r="C671" s="21">
        <v>8.9499999999999993</v>
      </c>
      <c r="D671" s="21">
        <v>5.93</v>
      </c>
      <c r="E671" s="21">
        <v>5.08</v>
      </c>
      <c r="F671" s="21"/>
      <c r="G671" s="21">
        <v>5.29</v>
      </c>
      <c r="H671" s="3"/>
    </row>
    <row r="672" spans="1:8" x14ac:dyDescent="0.25">
      <c r="A672" s="20">
        <v>41671</v>
      </c>
      <c r="B672" s="21">
        <v>7.1</v>
      </c>
      <c r="C672" s="21">
        <v>8.9499999999999993</v>
      </c>
      <c r="D672" s="21">
        <v>5.93</v>
      </c>
      <c r="E672" s="21">
        <v>5.08</v>
      </c>
      <c r="F672" s="21"/>
      <c r="G672" s="21">
        <v>5.26</v>
      </c>
      <c r="H672" s="3"/>
    </row>
    <row r="673" spans="1:8" x14ac:dyDescent="0.25">
      <c r="A673" s="20">
        <v>41699</v>
      </c>
      <c r="B673" s="21">
        <v>7.1</v>
      </c>
      <c r="C673" s="21">
        <v>8.9499999999999993</v>
      </c>
      <c r="D673" s="21">
        <v>5.93</v>
      </c>
      <c r="E673" s="21">
        <v>5.08</v>
      </c>
      <c r="F673" s="21"/>
      <c r="G673" s="21">
        <v>5.2</v>
      </c>
      <c r="H673" s="3"/>
    </row>
    <row r="674" spans="1:8" x14ac:dyDescent="0.25">
      <c r="A674" s="20">
        <v>41730</v>
      </c>
      <c r="B674" s="21">
        <v>7.1</v>
      </c>
      <c r="C674" s="21">
        <v>8.9499999999999993</v>
      </c>
      <c r="D674" s="21">
        <v>5.93</v>
      </c>
      <c r="E674" s="21">
        <v>5.08</v>
      </c>
      <c r="F674" s="21"/>
      <c r="G674" s="21">
        <v>5.2</v>
      </c>
      <c r="H674" s="3"/>
    </row>
    <row r="675" spans="1:8" x14ac:dyDescent="0.25">
      <c r="A675" s="20">
        <v>41760</v>
      </c>
      <c r="B675" s="21">
        <v>7.1</v>
      </c>
      <c r="C675" s="21">
        <v>8.9499999999999993</v>
      </c>
      <c r="D675" s="21">
        <v>5.93</v>
      </c>
      <c r="E675" s="21">
        <v>5.08</v>
      </c>
      <c r="F675" s="21"/>
      <c r="G675" s="21">
        <v>5.2</v>
      </c>
      <c r="H675" s="3"/>
    </row>
    <row r="676" spans="1:8" x14ac:dyDescent="0.25">
      <c r="A676" s="20">
        <v>41791</v>
      </c>
      <c r="B676" s="21">
        <v>7.1</v>
      </c>
      <c r="C676" s="21">
        <v>8.9499999999999993</v>
      </c>
      <c r="D676" s="21">
        <v>5.93</v>
      </c>
      <c r="E676" s="21">
        <v>5.08</v>
      </c>
      <c r="F676" s="21"/>
      <c r="G676" s="21">
        <v>5.2</v>
      </c>
      <c r="H676" s="3"/>
    </row>
    <row r="677" spans="1:8" x14ac:dyDescent="0.25">
      <c r="A677" s="20">
        <v>41821</v>
      </c>
      <c r="B677" s="21">
        <v>7.1</v>
      </c>
      <c r="C677" s="21">
        <v>8.9499999999999993</v>
      </c>
      <c r="D677" s="21">
        <v>5.93</v>
      </c>
      <c r="E677" s="21">
        <v>5.08</v>
      </c>
      <c r="F677" s="21"/>
      <c r="G677" s="21">
        <v>5.12</v>
      </c>
      <c r="H677" s="3"/>
    </row>
    <row r="678" spans="1:8" x14ac:dyDescent="0.25">
      <c r="A678" s="20">
        <v>41852</v>
      </c>
      <c r="B678" s="21">
        <v>7.1</v>
      </c>
      <c r="C678" s="21">
        <v>8.9499999999999993</v>
      </c>
      <c r="D678" s="21">
        <v>5.93</v>
      </c>
      <c r="E678" s="21">
        <v>5.08</v>
      </c>
      <c r="F678" s="21"/>
      <c r="G678" s="21">
        <v>5.08</v>
      </c>
      <c r="H678" s="3"/>
    </row>
    <row r="679" spans="1:8" x14ac:dyDescent="0.25">
      <c r="A679" s="20">
        <v>41883</v>
      </c>
      <c r="B679" s="21">
        <v>7.1</v>
      </c>
      <c r="C679" s="21">
        <v>8.9499999999999993</v>
      </c>
      <c r="D679" s="21">
        <v>5.93</v>
      </c>
      <c r="E679" s="21">
        <v>5.08</v>
      </c>
      <c r="F679" s="21"/>
      <c r="G679" s="21">
        <v>5.08</v>
      </c>
      <c r="H679" s="3"/>
    </row>
    <row r="680" spans="1:8" x14ac:dyDescent="0.25">
      <c r="A680" s="20">
        <v>41913</v>
      </c>
      <c r="B680" s="21">
        <v>7.1</v>
      </c>
      <c r="C680" s="21">
        <v>8.9499999999999993</v>
      </c>
      <c r="D680" s="21">
        <v>5.93</v>
      </c>
      <c r="E680" s="21">
        <v>5.08</v>
      </c>
      <c r="F680" s="21"/>
      <c r="G680" s="21">
        <v>5.08</v>
      </c>
      <c r="H680" s="3"/>
    </row>
    <row r="681" spans="1:8" x14ac:dyDescent="0.25">
      <c r="A681" s="20">
        <v>41944</v>
      </c>
      <c r="B681" s="21">
        <v>7.1</v>
      </c>
      <c r="C681" s="21">
        <v>8.9499999999999993</v>
      </c>
      <c r="D681" s="21">
        <v>5.93</v>
      </c>
      <c r="E681" s="21">
        <v>5.08</v>
      </c>
      <c r="F681" s="21"/>
      <c r="G681" s="21">
        <v>5.08</v>
      </c>
      <c r="H681" s="3"/>
    </row>
    <row r="682" spans="1:8" x14ac:dyDescent="0.25">
      <c r="A682" s="20">
        <v>41974</v>
      </c>
      <c r="B682" s="21">
        <v>7.1</v>
      </c>
      <c r="C682" s="21">
        <v>8.9499999999999993</v>
      </c>
      <c r="D682" s="21">
        <v>5.93</v>
      </c>
      <c r="E682" s="21">
        <v>5.08</v>
      </c>
      <c r="F682" s="21"/>
      <c r="G682" s="21">
        <v>5.08</v>
      </c>
      <c r="H682" s="3"/>
    </row>
    <row r="683" spans="1:8" x14ac:dyDescent="0.25">
      <c r="A683" s="20">
        <v>42005</v>
      </c>
      <c r="B683" s="21">
        <v>7.1</v>
      </c>
      <c r="C683" s="21">
        <v>8.9499999999999993</v>
      </c>
      <c r="D683" s="21">
        <v>5.93</v>
      </c>
      <c r="E683" s="21">
        <v>5.08</v>
      </c>
      <c r="F683" s="21"/>
      <c r="G683" s="21">
        <v>5.08</v>
      </c>
      <c r="H683" s="3"/>
    </row>
    <row r="684" spans="1:8" x14ac:dyDescent="0.25">
      <c r="A684" s="20">
        <v>42036</v>
      </c>
      <c r="B684" s="21">
        <v>6.85</v>
      </c>
      <c r="C684" s="21">
        <v>8.76</v>
      </c>
      <c r="D684" s="21">
        <v>5.67</v>
      </c>
      <c r="E684" s="21">
        <v>4.82</v>
      </c>
      <c r="F684" s="21"/>
      <c r="G684" s="21">
        <v>4.8</v>
      </c>
      <c r="H684" s="3"/>
    </row>
    <row r="685" spans="1:8" x14ac:dyDescent="0.25">
      <c r="A685" s="20">
        <v>42064</v>
      </c>
      <c r="B685" s="21">
        <v>6.85</v>
      </c>
      <c r="C685" s="21">
        <v>8.6999999999999993</v>
      </c>
      <c r="D685" s="21">
        <v>5.67</v>
      </c>
      <c r="E685" s="21">
        <v>4.82</v>
      </c>
      <c r="F685" s="21"/>
      <c r="G685" s="21">
        <v>4.8</v>
      </c>
      <c r="H685" s="3"/>
    </row>
    <row r="686" spans="1:8" x14ac:dyDescent="0.25">
      <c r="A686" s="20">
        <v>42095</v>
      </c>
      <c r="B686" s="21">
        <v>6.85</v>
      </c>
      <c r="C686" s="21">
        <v>8.6999999999999993</v>
      </c>
      <c r="D686" s="21">
        <v>5.67</v>
      </c>
      <c r="E686" s="21">
        <v>4.82</v>
      </c>
      <c r="F686" s="21"/>
      <c r="G686" s="21">
        <v>4.8</v>
      </c>
      <c r="H686" s="3"/>
    </row>
    <row r="687" spans="1:8" x14ac:dyDescent="0.25">
      <c r="A687" s="20">
        <v>42125</v>
      </c>
      <c r="B687" s="21">
        <v>6.6</v>
      </c>
      <c r="C687" s="21">
        <v>8.4499999999999993</v>
      </c>
      <c r="D687" s="21">
        <v>5.46</v>
      </c>
      <c r="E687" s="21">
        <v>4.6100000000000003</v>
      </c>
      <c r="F687" s="21"/>
      <c r="G687" s="21">
        <v>4.8</v>
      </c>
      <c r="H687" s="3"/>
    </row>
    <row r="688" spans="1:8" x14ac:dyDescent="0.25">
      <c r="A688" s="20">
        <v>42156</v>
      </c>
      <c r="B688" s="21">
        <v>6.6</v>
      </c>
      <c r="C688" s="21">
        <v>8.4499999999999993</v>
      </c>
      <c r="D688" s="21">
        <v>5.46</v>
      </c>
      <c r="E688" s="21">
        <v>4.67</v>
      </c>
      <c r="F688" s="21"/>
      <c r="G688" s="21">
        <v>4.8</v>
      </c>
      <c r="H688" s="3"/>
    </row>
    <row r="689" spans="1:8" x14ac:dyDescent="0.25">
      <c r="A689" s="20">
        <v>42186</v>
      </c>
      <c r="B689" s="21">
        <v>6.6</v>
      </c>
      <c r="C689" s="21">
        <v>8.4499999999999993</v>
      </c>
      <c r="D689" s="21">
        <v>5.45</v>
      </c>
      <c r="E689" s="21">
        <v>4.67</v>
      </c>
      <c r="F689" s="21"/>
      <c r="G689" s="21">
        <v>4.66</v>
      </c>
      <c r="H689" s="3"/>
    </row>
    <row r="690" spans="1:8" x14ac:dyDescent="0.25">
      <c r="A690" s="20">
        <v>42217</v>
      </c>
      <c r="B690" s="21">
        <v>6.6</v>
      </c>
      <c r="C690" s="21">
        <v>8.4499999999999993</v>
      </c>
      <c r="D690" s="21">
        <v>5.46</v>
      </c>
      <c r="E690" s="21">
        <v>4.66</v>
      </c>
      <c r="F690" s="21">
        <v>5.72</v>
      </c>
      <c r="G690" s="21">
        <v>4.5199999999999996</v>
      </c>
      <c r="H690" s="3"/>
    </row>
    <row r="691" spans="1:8" x14ac:dyDescent="0.25">
      <c r="A691" s="20">
        <v>42248</v>
      </c>
      <c r="B691" s="21">
        <v>6.6</v>
      </c>
      <c r="C691" s="21">
        <v>8.4499999999999993</v>
      </c>
      <c r="D691" s="21">
        <v>5.46</v>
      </c>
      <c r="E691" s="21">
        <v>4.66</v>
      </c>
      <c r="F691" s="21">
        <v>5.72</v>
      </c>
      <c r="G691" s="21">
        <v>4.5199999999999996</v>
      </c>
      <c r="H691" s="3"/>
    </row>
    <row r="692" spans="1:8" x14ac:dyDescent="0.25">
      <c r="A692" s="20">
        <v>42278</v>
      </c>
      <c r="B692" s="21">
        <v>6.6</v>
      </c>
      <c r="C692" s="21">
        <v>8.4499999999999993</v>
      </c>
      <c r="D692" s="21">
        <v>5.46</v>
      </c>
      <c r="E692" s="21">
        <v>4.66</v>
      </c>
      <c r="F692" s="21">
        <v>5.72</v>
      </c>
      <c r="G692" s="21">
        <v>4.5</v>
      </c>
      <c r="H692" s="3"/>
    </row>
    <row r="693" spans="1:8" x14ac:dyDescent="0.25">
      <c r="A693" s="20">
        <v>42309</v>
      </c>
      <c r="B693" s="21">
        <v>6.6</v>
      </c>
      <c r="C693" s="21">
        <v>8.4499999999999993</v>
      </c>
      <c r="D693" s="21">
        <v>5.63</v>
      </c>
      <c r="E693" s="21">
        <v>4.83</v>
      </c>
      <c r="F693" s="21">
        <v>5.89</v>
      </c>
      <c r="G693" s="21">
        <v>4.43</v>
      </c>
      <c r="H693" s="3"/>
    </row>
    <row r="694" spans="1:8" x14ac:dyDescent="0.25">
      <c r="A694" s="20">
        <v>42339</v>
      </c>
      <c r="B694" s="21">
        <v>6.6</v>
      </c>
      <c r="C694" s="21">
        <v>8.4499999999999993</v>
      </c>
      <c r="D694" s="21">
        <v>5.63</v>
      </c>
      <c r="E694" s="21">
        <v>4.83</v>
      </c>
      <c r="F694" s="21">
        <v>5.89</v>
      </c>
      <c r="G694" s="21">
        <v>4.43</v>
      </c>
      <c r="H694" s="3"/>
    </row>
    <row r="695" spans="1:8" x14ac:dyDescent="0.25">
      <c r="A695" s="20">
        <v>42370</v>
      </c>
      <c r="B695" s="21">
        <v>6.6</v>
      </c>
      <c r="C695" s="21">
        <v>8.4499999999999993</v>
      </c>
      <c r="D695" s="21">
        <v>5.63</v>
      </c>
      <c r="E695" s="21">
        <v>4.83</v>
      </c>
      <c r="F695" s="21">
        <v>5.89</v>
      </c>
      <c r="G695" s="21">
        <v>4.43</v>
      </c>
      <c r="H695" s="3"/>
    </row>
    <row r="696" spans="1:8" x14ac:dyDescent="0.25">
      <c r="A696" s="20">
        <v>42401</v>
      </c>
      <c r="B696" s="21">
        <v>6.7</v>
      </c>
      <c r="C696" s="21">
        <v>8.5500000000000007</v>
      </c>
      <c r="D696" s="21">
        <v>5.63</v>
      </c>
      <c r="E696" s="21">
        <v>4.83</v>
      </c>
      <c r="F696" s="21">
        <v>5.89</v>
      </c>
      <c r="G696" s="21">
        <v>4.43</v>
      </c>
      <c r="H696" s="3"/>
    </row>
    <row r="697" spans="1:8" x14ac:dyDescent="0.25">
      <c r="A697" s="20">
        <v>42430</v>
      </c>
      <c r="B697" s="21">
        <v>6.75</v>
      </c>
      <c r="C697" s="21">
        <v>8.6</v>
      </c>
      <c r="D697" s="21">
        <v>5.63</v>
      </c>
      <c r="E697" s="21">
        <v>4.83</v>
      </c>
      <c r="F697" s="21">
        <v>5.89</v>
      </c>
      <c r="G697" s="21">
        <v>4.43</v>
      </c>
      <c r="H697" s="3"/>
    </row>
    <row r="698" spans="1:8" x14ac:dyDescent="0.25">
      <c r="A698" s="20">
        <v>42461</v>
      </c>
      <c r="B698" s="21">
        <v>6.75</v>
      </c>
      <c r="C698" s="21">
        <v>8.6</v>
      </c>
      <c r="D698" s="21">
        <v>5.63</v>
      </c>
      <c r="E698" s="21">
        <v>4.83</v>
      </c>
      <c r="F698" s="21">
        <v>5.7</v>
      </c>
      <c r="G698" s="21">
        <v>4.43</v>
      </c>
      <c r="H698" s="3"/>
    </row>
    <row r="699" spans="1:8" x14ac:dyDescent="0.25">
      <c r="A699" s="20">
        <v>42491</v>
      </c>
      <c r="B699" s="21">
        <v>6.5</v>
      </c>
      <c r="C699" s="21">
        <v>8.35</v>
      </c>
      <c r="D699" s="21">
        <v>5.39</v>
      </c>
      <c r="E699" s="21">
        <v>4.59</v>
      </c>
      <c r="F699" s="21">
        <v>5.45</v>
      </c>
      <c r="G699" s="21">
        <v>4.38</v>
      </c>
      <c r="H699" s="3"/>
    </row>
    <row r="700" spans="1:8" x14ac:dyDescent="0.25">
      <c r="A700" s="20">
        <v>42522</v>
      </c>
      <c r="B700" s="21">
        <v>6.5</v>
      </c>
      <c r="C700" s="21">
        <v>8.35</v>
      </c>
      <c r="D700" s="21">
        <v>5.39</v>
      </c>
      <c r="E700" s="21">
        <v>4.59</v>
      </c>
      <c r="F700" s="21">
        <v>5.45</v>
      </c>
      <c r="G700" s="21">
        <v>4.38</v>
      </c>
      <c r="H700" s="3"/>
    </row>
    <row r="701" spans="1:8" x14ac:dyDescent="0.25">
      <c r="A701" s="20">
        <v>42552</v>
      </c>
      <c r="B701" s="21">
        <v>6.5</v>
      </c>
      <c r="C701" s="21">
        <v>8.35</v>
      </c>
      <c r="D701" s="21">
        <v>5.39</v>
      </c>
      <c r="E701" s="21">
        <v>4.59</v>
      </c>
      <c r="F701" s="21">
        <v>5.45</v>
      </c>
      <c r="G701" s="21">
        <v>4.2699999999999996</v>
      </c>
      <c r="H701" s="3"/>
    </row>
    <row r="702" spans="1:8" x14ac:dyDescent="0.25">
      <c r="A702" s="20">
        <v>42583</v>
      </c>
      <c r="B702" s="21">
        <v>6.39</v>
      </c>
      <c r="C702" s="21">
        <v>8.24</v>
      </c>
      <c r="D702" s="21">
        <v>5.26</v>
      </c>
      <c r="E702" s="21">
        <v>4.46</v>
      </c>
      <c r="F702" s="21">
        <v>5.34</v>
      </c>
      <c r="G702" s="21">
        <v>4.0999999999999996</v>
      </c>
      <c r="H702" s="3"/>
    </row>
    <row r="703" spans="1:8" x14ac:dyDescent="0.25">
      <c r="A703" s="20">
        <v>42614</v>
      </c>
      <c r="B703" s="21">
        <v>6.39</v>
      </c>
      <c r="C703" s="21">
        <v>8.24</v>
      </c>
      <c r="D703" s="21">
        <v>5.26</v>
      </c>
      <c r="E703" s="21">
        <v>4.51</v>
      </c>
      <c r="F703" s="21">
        <v>5.34</v>
      </c>
      <c r="G703" s="21">
        <v>4.0199999999999996</v>
      </c>
      <c r="H703" s="3"/>
    </row>
    <row r="704" spans="1:8" x14ac:dyDescent="0.25">
      <c r="A704" s="20">
        <v>42644</v>
      </c>
      <c r="B704" s="21">
        <v>6.39</v>
      </c>
      <c r="C704" s="21">
        <v>8.24</v>
      </c>
      <c r="D704" s="21">
        <v>5.26</v>
      </c>
      <c r="E704" s="21">
        <v>4.51</v>
      </c>
      <c r="F704" s="21">
        <v>5.34</v>
      </c>
      <c r="G704" s="21">
        <v>4.0199999999999996</v>
      </c>
      <c r="H704" s="3"/>
    </row>
    <row r="705" spans="1:8" x14ac:dyDescent="0.25">
      <c r="A705" s="20">
        <v>42675</v>
      </c>
      <c r="B705" s="21">
        <v>6.39</v>
      </c>
      <c r="C705" s="21">
        <v>8.24</v>
      </c>
      <c r="D705" s="21">
        <v>5.26</v>
      </c>
      <c r="E705" s="21">
        <v>4.51</v>
      </c>
      <c r="F705" s="21">
        <v>5.34</v>
      </c>
      <c r="G705" s="21">
        <v>4.1100000000000003</v>
      </c>
      <c r="H705" s="3"/>
    </row>
    <row r="706" spans="1:8" x14ac:dyDescent="0.25">
      <c r="A706" s="20">
        <v>42705</v>
      </c>
      <c r="B706" s="21">
        <v>6.39</v>
      </c>
      <c r="C706" s="21">
        <v>8.24</v>
      </c>
      <c r="D706" s="21">
        <v>5.26</v>
      </c>
      <c r="E706" s="21">
        <v>4.51</v>
      </c>
      <c r="F706" s="21">
        <v>5.38</v>
      </c>
      <c r="G706" s="21">
        <v>4.1500000000000004</v>
      </c>
      <c r="H706" s="3"/>
    </row>
    <row r="707" spans="1:8" x14ac:dyDescent="0.25">
      <c r="A707" s="20">
        <v>42736</v>
      </c>
      <c r="B707" s="21">
        <v>6.39</v>
      </c>
      <c r="C707" s="21">
        <v>8.24</v>
      </c>
      <c r="D707" s="21">
        <v>5.26</v>
      </c>
      <c r="E707" s="21">
        <v>4.51</v>
      </c>
      <c r="F707" s="21">
        <v>5.38</v>
      </c>
      <c r="G707" s="21">
        <v>4.26</v>
      </c>
      <c r="H707" s="3"/>
    </row>
    <row r="708" spans="1:8" x14ac:dyDescent="0.25">
      <c r="A708" s="20">
        <v>42767</v>
      </c>
      <c r="B708" s="21">
        <v>6.39</v>
      </c>
      <c r="C708" s="21">
        <v>8.24</v>
      </c>
      <c r="D708" s="21">
        <v>5.26</v>
      </c>
      <c r="E708" s="21">
        <v>4.51</v>
      </c>
      <c r="F708" s="21">
        <v>5.38</v>
      </c>
      <c r="G708" s="21">
        <v>4.26</v>
      </c>
      <c r="H708" s="3"/>
    </row>
    <row r="709" spans="1:8" x14ac:dyDescent="0.25">
      <c r="A709" s="20">
        <v>42795</v>
      </c>
      <c r="B709" s="21">
        <v>6.39</v>
      </c>
      <c r="C709" s="21">
        <v>8.26</v>
      </c>
      <c r="D709" s="21">
        <v>5.28</v>
      </c>
      <c r="E709" s="21">
        <v>4.53</v>
      </c>
      <c r="F709" s="21">
        <v>5.46</v>
      </c>
      <c r="G709" s="21">
        <v>4.26</v>
      </c>
      <c r="H709" s="3"/>
    </row>
    <row r="710" spans="1:8" x14ac:dyDescent="0.25">
      <c r="A710" s="20">
        <v>42826</v>
      </c>
      <c r="B710" s="21">
        <v>6.43</v>
      </c>
      <c r="C710" s="21">
        <v>8.2799999999999994</v>
      </c>
      <c r="D710" s="21">
        <v>5.28</v>
      </c>
      <c r="E710" s="21">
        <v>4.53</v>
      </c>
      <c r="F710" s="21">
        <v>5.45</v>
      </c>
      <c r="G710" s="21">
        <v>4.22</v>
      </c>
      <c r="H710" s="3"/>
    </row>
    <row r="711" spans="1:8" x14ac:dyDescent="0.25">
      <c r="A711" s="20">
        <v>42856</v>
      </c>
      <c r="B711" s="21">
        <v>6.43</v>
      </c>
      <c r="C711" s="21">
        <v>8.2799999999999994</v>
      </c>
      <c r="D711" s="21">
        <v>5.29</v>
      </c>
      <c r="E711" s="21">
        <v>4.54</v>
      </c>
      <c r="F711" s="21">
        <v>5.46</v>
      </c>
      <c r="G711" s="21">
        <v>4.22</v>
      </c>
      <c r="H711" s="3"/>
    </row>
    <row r="712" spans="1:8" x14ac:dyDescent="0.25">
      <c r="A712" s="20">
        <v>42887</v>
      </c>
      <c r="B712" s="21">
        <v>6.43</v>
      </c>
      <c r="C712" s="21">
        <v>8.2799999999999994</v>
      </c>
      <c r="D712" s="21">
        <v>5.23</v>
      </c>
      <c r="E712" s="21">
        <v>4.4800000000000004</v>
      </c>
      <c r="F712" s="21">
        <v>5.71</v>
      </c>
      <c r="G712" s="21">
        <v>4.1500000000000004</v>
      </c>
      <c r="H712" s="3"/>
    </row>
    <row r="713" spans="1:8" x14ac:dyDescent="0.25">
      <c r="A713" s="20">
        <v>42917</v>
      </c>
      <c r="B713" s="21">
        <v>6.43</v>
      </c>
      <c r="C713" s="21">
        <v>8.2799999999999994</v>
      </c>
      <c r="D713" s="21">
        <v>5.22</v>
      </c>
      <c r="E713" s="21">
        <v>4.47</v>
      </c>
      <c r="F713" s="21">
        <v>5.78</v>
      </c>
      <c r="G713" s="21">
        <v>4.1500000000000004</v>
      </c>
      <c r="H713" s="3"/>
    </row>
    <row r="714" spans="1:8" x14ac:dyDescent="0.25">
      <c r="A714" s="20">
        <v>42948</v>
      </c>
      <c r="B714" s="21">
        <v>6.43</v>
      </c>
      <c r="C714" s="21">
        <v>8.2799999999999994</v>
      </c>
      <c r="D714" s="21">
        <v>5.22</v>
      </c>
      <c r="E714" s="21">
        <v>4.47</v>
      </c>
      <c r="F714" s="21">
        <v>5.78</v>
      </c>
      <c r="G714" s="21">
        <v>4.1399999999999997</v>
      </c>
      <c r="H714" s="3"/>
    </row>
    <row r="715" spans="1:8" x14ac:dyDescent="0.25">
      <c r="A715" s="20">
        <v>42979</v>
      </c>
      <c r="B715" s="21">
        <v>6.43</v>
      </c>
      <c r="C715" s="21">
        <v>8.2799999999999994</v>
      </c>
      <c r="D715" s="21">
        <v>5.22</v>
      </c>
      <c r="E715" s="21">
        <v>4.47</v>
      </c>
      <c r="F715" s="21">
        <v>5.78</v>
      </c>
      <c r="G715" s="21">
        <v>4.12</v>
      </c>
      <c r="H715" s="3"/>
    </row>
    <row r="716" spans="1:8" x14ac:dyDescent="0.25">
      <c r="A716" s="20">
        <v>43009</v>
      </c>
      <c r="B716" s="21">
        <v>6.43</v>
      </c>
      <c r="C716" s="21">
        <v>8.2799999999999994</v>
      </c>
      <c r="D716" s="21">
        <v>5.22</v>
      </c>
      <c r="E716" s="21">
        <v>4.47</v>
      </c>
      <c r="F716" s="21">
        <v>5.78</v>
      </c>
      <c r="G716" s="21">
        <v>4.12</v>
      </c>
      <c r="H716" s="3"/>
    </row>
    <row r="717" spans="1:8" x14ac:dyDescent="0.25">
      <c r="A717" s="20">
        <v>43040</v>
      </c>
      <c r="B717" s="21">
        <v>6.43</v>
      </c>
      <c r="C717" s="21">
        <v>8.2799999999999994</v>
      </c>
      <c r="D717" s="21">
        <v>5.22</v>
      </c>
      <c r="E717" s="21">
        <v>4.47</v>
      </c>
      <c r="F717" s="21">
        <v>5.78</v>
      </c>
      <c r="G717" s="21">
        <v>4.12</v>
      </c>
      <c r="H717" s="3"/>
    </row>
    <row r="718" spans="1:8" x14ac:dyDescent="0.25">
      <c r="A718" s="20">
        <v>43070</v>
      </c>
      <c r="B718" s="21">
        <v>6.43</v>
      </c>
      <c r="C718" s="21">
        <v>8.2799999999999994</v>
      </c>
      <c r="D718" s="21">
        <v>5.22</v>
      </c>
      <c r="E718" s="21">
        <v>4.51</v>
      </c>
      <c r="F718" s="21">
        <v>5.78</v>
      </c>
      <c r="G718" s="21">
        <v>4.12</v>
      </c>
      <c r="H718" s="3"/>
    </row>
    <row r="719" spans="1:8" x14ac:dyDescent="0.25">
      <c r="A719" s="20">
        <v>43101</v>
      </c>
      <c r="B719" s="21">
        <v>6.43</v>
      </c>
      <c r="C719" s="21">
        <v>8.2799999999999994</v>
      </c>
      <c r="D719" s="21">
        <v>5.22</v>
      </c>
      <c r="E719" s="21">
        <v>4.51</v>
      </c>
      <c r="F719" s="21">
        <v>5.78</v>
      </c>
      <c r="G719" s="21">
        <v>4.1399999999999997</v>
      </c>
      <c r="H719" s="3"/>
    </row>
    <row r="720" spans="1:8" x14ac:dyDescent="0.25">
      <c r="A720" s="20">
        <v>43132</v>
      </c>
      <c r="B720" s="21">
        <v>6.43</v>
      </c>
      <c r="C720" s="21">
        <v>8.2799999999999994</v>
      </c>
      <c r="D720" s="21">
        <v>5.22</v>
      </c>
      <c r="E720" s="21">
        <v>4.51</v>
      </c>
      <c r="F720" s="21">
        <v>5.78</v>
      </c>
      <c r="G720" s="21">
        <v>4.1399999999999997</v>
      </c>
      <c r="H720" s="3"/>
    </row>
    <row r="721" spans="1:8" x14ac:dyDescent="0.25">
      <c r="A721" s="20">
        <v>43160</v>
      </c>
      <c r="B721" s="21">
        <v>6.43</v>
      </c>
      <c r="C721" s="21">
        <v>8.2799999999999994</v>
      </c>
      <c r="D721" s="21">
        <v>5.22</v>
      </c>
      <c r="E721" s="21">
        <v>4.51</v>
      </c>
      <c r="F721" s="21">
        <v>5.78</v>
      </c>
      <c r="G721" s="21">
        <v>4.13</v>
      </c>
      <c r="H721" s="3"/>
    </row>
    <row r="722" spans="1:8" x14ac:dyDescent="0.25">
      <c r="A722" s="20">
        <v>43191</v>
      </c>
      <c r="B722" s="21">
        <v>6.43</v>
      </c>
      <c r="C722" s="21">
        <v>8.2799999999999994</v>
      </c>
      <c r="D722" s="21">
        <v>5.22</v>
      </c>
      <c r="E722" s="21">
        <v>4.51</v>
      </c>
      <c r="F722" s="21">
        <v>5.78</v>
      </c>
      <c r="G722" s="21">
        <v>4.13</v>
      </c>
      <c r="H722" s="3"/>
    </row>
    <row r="723" spans="1:8" x14ac:dyDescent="0.25">
      <c r="A723" s="20">
        <v>43221</v>
      </c>
      <c r="B723" s="21">
        <v>6.43</v>
      </c>
      <c r="C723" s="21">
        <v>8.2799999999999994</v>
      </c>
      <c r="D723" s="21">
        <v>5.22</v>
      </c>
      <c r="E723" s="21">
        <v>4.51</v>
      </c>
      <c r="F723" s="21">
        <v>5.78</v>
      </c>
      <c r="G723" s="21">
        <v>4.13</v>
      </c>
      <c r="H723" s="3"/>
    </row>
    <row r="724" spans="1:8" x14ac:dyDescent="0.25">
      <c r="A724" s="20">
        <v>43252</v>
      </c>
      <c r="B724" s="21">
        <v>6.43</v>
      </c>
      <c r="C724" s="21">
        <v>8.2799999999999994</v>
      </c>
      <c r="D724" s="21">
        <v>5.22</v>
      </c>
      <c r="E724" s="21">
        <v>4.51</v>
      </c>
      <c r="F724" s="21">
        <v>5.78</v>
      </c>
      <c r="G724" s="21">
        <v>4.13</v>
      </c>
      <c r="H724" s="3"/>
    </row>
    <row r="725" spans="1:8" x14ac:dyDescent="0.25">
      <c r="A725" s="20">
        <v>43282</v>
      </c>
      <c r="B725" s="21">
        <v>6.43</v>
      </c>
      <c r="C725" s="21">
        <v>8.2799999999999994</v>
      </c>
      <c r="D725" s="21">
        <v>5.22</v>
      </c>
      <c r="E725" s="21">
        <v>4.51</v>
      </c>
      <c r="F725" s="21">
        <v>5.78</v>
      </c>
      <c r="G725" s="21">
        <v>4.1100000000000003</v>
      </c>
      <c r="H725" s="3"/>
    </row>
    <row r="726" spans="1:8" x14ac:dyDescent="0.25">
      <c r="A726" s="20">
        <v>43313</v>
      </c>
      <c r="B726" s="21">
        <v>6.43</v>
      </c>
      <c r="C726" s="21">
        <v>8.2799999999999994</v>
      </c>
      <c r="D726" s="21">
        <v>5.22</v>
      </c>
      <c r="E726" s="21">
        <v>4.51</v>
      </c>
      <c r="F726" s="21">
        <v>5.78</v>
      </c>
      <c r="G726" s="21">
        <v>4.1100000000000003</v>
      </c>
      <c r="H726" s="3"/>
    </row>
    <row r="727" spans="1:8" x14ac:dyDescent="0.25">
      <c r="A727" s="20">
        <v>43344</v>
      </c>
      <c r="B727" s="21">
        <v>6.47</v>
      </c>
      <c r="C727" s="21">
        <v>8.32</v>
      </c>
      <c r="D727" s="21">
        <v>5.31</v>
      </c>
      <c r="E727" s="21">
        <v>4.62</v>
      </c>
      <c r="F727" s="21">
        <v>5.86</v>
      </c>
      <c r="G727" s="21">
        <v>4.1100000000000003</v>
      </c>
      <c r="H727" s="3"/>
    </row>
    <row r="728" spans="1:8" x14ac:dyDescent="0.25">
      <c r="A728" s="20">
        <v>43374</v>
      </c>
      <c r="B728" s="21">
        <v>6.47</v>
      </c>
      <c r="C728" s="21">
        <v>8.32</v>
      </c>
      <c r="D728" s="21">
        <v>5.34</v>
      </c>
      <c r="E728" s="21">
        <v>4.6500000000000004</v>
      </c>
      <c r="F728" s="21">
        <v>5.89</v>
      </c>
      <c r="G728" s="21">
        <v>4.1100000000000003</v>
      </c>
      <c r="H728" s="3"/>
    </row>
    <row r="729" spans="1:8" x14ac:dyDescent="0.25">
      <c r="A729" s="20">
        <v>43405</v>
      </c>
      <c r="B729" s="21">
        <v>6.47</v>
      </c>
      <c r="C729" s="21">
        <v>8.32</v>
      </c>
      <c r="D729" s="21">
        <v>5.34</v>
      </c>
      <c r="E729" s="21">
        <v>4.6500000000000004</v>
      </c>
      <c r="F729" s="21">
        <v>5.89</v>
      </c>
      <c r="G729" s="21">
        <v>4.07</v>
      </c>
      <c r="H729" s="3"/>
    </row>
    <row r="730" spans="1:8" x14ac:dyDescent="0.25">
      <c r="A730" s="20">
        <v>43435</v>
      </c>
      <c r="B730" s="21">
        <v>6.47</v>
      </c>
      <c r="C730" s="21">
        <v>8.32</v>
      </c>
      <c r="D730" s="21">
        <v>5.34</v>
      </c>
      <c r="E730" s="21">
        <v>4.6500000000000004</v>
      </c>
      <c r="F730" s="21">
        <v>5.89</v>
      </c>
      <c r="G730" s="21">
        <v>4.07</v>
      </c>
      <c r="H730" s="3"/>
    </row>
    <row r="731" spans="1:8" x14ac:dyDescent="0.25">
      <c r="A731" s="20">
        <v>43466</v>
      </c>
      <c r="B731" s="21">
        <v>6.47</v>
      </c>
      <c r="C731" s="21">
        <v>8.32</v>
      </c>
      <c r="D731" s="21">
        <v>5.37</v>
      </c>
      <c r="E731" s="21">
        <v>4.68</v>
      </c>
      <c r="F731" s="21">
        <v>5.93</v>
      </c>
      <c r="G731" s="21">
        <v>4.07</v>
      </c>
      <c r="H731" s="3"/>
    </row>
    <row r="732" spans="1:8" x14ac:dyDescent="0.25">
      <c r="A732" s="20">
        <v>43497</v>
      </c>
      <c r="B732" s="21">
        <v>6.47</v>
      </c>
      <c r="C732" s="21">
        <v>8.32</v>
      </c>
      <c r="D732" s="21">
        <v>5.37</v>
      </c>
      <c r="E732" s="21">
        <v>4.68</v>
      </c>
      <c r="F732" s="21">
        <v>5.93</v>
      </c>
      <c r="G732" s="21">
        <v>4.07</v>
      </c>
      <c r="H732" s="3"/>
    </row>
    <row r="733" spans="1:8" x14ac:dyDescent="0.25">
      <c r="A733" s="20">
        <v>43525</v>
      </c>
      <c r="B733" s="21">
        <v>6.47</v>
      </c>
      <c r="C733" s="21">
        <v>8.32</v>
      </c>
      <c r="D733" s="21">
        <v>5.37</v>
      </c>
      <c r="E733" s="21">
        <v>4.68</v>
      </c>
      <c r="F733" s="21">
        <v>5.93</v>
      </c>
      <c r="G733" s="21">
        <v>4.05</v>
      </c>
      <c r="H733" s="3"/>
    </row>
    <row r="734" spans="1:8" x14ac:dyDescent="0.25">
      <c r="A734" s="20">
        <v>43556</v>
      </c>
      <c r="B734" s="21">
        <v>6.47</v>
      </c>
      <c r="C734" s="21">
        <v>8.32</v>
      </c>
      <c r="D734" s="21">
        <v>5.37</v>
      </c>
      <c r="E734" s="21">
        <v>4.68</v>
      </c>
      <c r="F734" s="21">
        <v>5.93</v>
      </c>
      <c r="G734" s="21">
        <v>3.99</v>
      </c>
      <c r="H734" s="3"/>
    </row>
    <row r="735" spans="1:8" x14ac:dyDescent="0.25">
      <c r="A735" s="20">
        <v>43586</v>
      </c>
      <c r="B735" s="21">
        <v>6.47</v>
      </c>
      <c r="C735" s="21">
        <v>8.32</v>
      </c>
      <c r="D735" s="21">
        <v>5.37</v>
      </c>
      <c r="E735" s="21">
        <v>4.68</v>
      </c>
      <c r="F735" s="21">
        <v>5.93</v>
      </c>
      <c r="G735" s="21">
        <v>3.89</v>
      </c>
      <c r="H735" s="3"/>
    </row>
    <row r="736" spans="1:8" x14ac:dyDescent="0.25">
      <c r="A736" s="20">
        <v>43617</v>
      </c>
      <c r="B736" s="21">
        <v>6.36</v>
      </c>
      <c r="C736" s="21">
        <v>8.2100000000000009</v>
      </c>
      <c r="D736" s="21">
        <v>5.15</v>
      </c>
      <c r="E736" s="21">
        <v>4.46</v>
      </c>
      <c r="F736" s="21">
        <v>5.71</v>
      </c>
      <c r="G736" s="21">
        <v>3.88</v>
      </c>
      <c r="H736" s="3"/>
    </row>
    <row r="737" spans="1:8" x14ac:dyDescent="0.25">
      <c r="A737" s="20">
        <v>43647</v>
      </c>
      <c r="B737" s="21">
        <v>6.2</v>
      </c>
      <c r="C737" s="21">
        <v>7.74</v>
      </c>
      <c r="D737" s="21">
        <v>4.9400000000000004</v>
      </c>
      <c r="E737" s="21">
        <v>4.25</v>
      </c>
      <c r="F737" s="21">
        <v>5.49</v>
      </c>
      <c r="G737" s="21">
        <v>3.41</v>
      </c>
      <c r="H737" s="3"/>
    </row>
    <row r="738" spans="1:8" x14ac:dyDescent="0.25">
      <c r="A738" s="20">
        <v>43678</v>
      </c>
      <c r="B738" s="21">
        <v>6.2</v>
      </c>
      <c r="C738" s="21">
        <v>7.74</v>
      </c>
      <c r="D738" s="21">
        <v>4.9400000000000004</v>
      </c>
      <c r="E738" s="21">
        <v>4.25</v>
      </c>
      <c r="F738" s="21">
        <v>5.49</v>
      </c>
      <c r="G738" s="21">
        <v>3.41</v>
      </c>
      <c r="H738" s="3"/>
    </row>
    <row r="739" spans="1:8" x14ac:dyDescent="0.25">
      <c r="A739" s="20">
        <v>43709</v>
      </c>
      <c r="B739" s="21">
        <v>6.2</v>
      </c>
      <c r="C739" s="21">
        <v>7.74</v>
      </c>
      <c r="D739" s="21">
        <v>4.9400000000000004</v>
      </c>
      <c r="E739" s="21">
        <v>4.25</v>
      </c>
      <c r="F739" s="21">
        <v>5.49</v>
      </c>
      <c r="G739" s="21">
        <v>3.36</v>
      </c>
      <c r="H739" s="3"/>
    </row>
    <row r="740" spans="1:8" x14ac:dyDescent="0.25">
      <c r="A740" s="20">
        <v>43739</v>
      </c>
      <c r="B740" s="21">
        <v>6.09</v>
      </c>
      <c r="C740" s="21">
        <v>7.63</v>
      </c>
      <c r="D740" s="21">
        <v>4.8</v>
      </c>
      <c r="E740" s="21">
        <v>4.1500000000000004</v>
      </c>
      <c r="F740" s="21">
        <v>5.35</v>
      </c>
      <c r="G740" s="21">
        <v>3.1</v>
      </c>
      <c r="H740" s="3"/>
    </row>
    <row r="741" spans="1:8" x14ac:dyDescent="0.25">
      <c r="A741" s="20">
        <v>43770</v>
      </c>
      <c r="B741" s="21">
        <v>6.09</v>
      </c>
      <c r="C741" s="21">
        <v>7.63</v>
      </c>
      <c r="D741" s="21">
        <v>4.8</v>
      </c>
      <c r="E741" s="21">
        <v>4.1500000000000004</v>
      </c>
      <c r="F741" s="21">
        <v>5.35</v>
      </c>
      <c r="G741" s="21">
        <v>3.1</v>
      </c>
      <c r="H741" s="3"/>
    </row>
    <row r="742" spans="1:8" x14ac:dyDescent="0.25">
      <c r="A742" s="20">
        <v>43800</v>
      </c>
      <c r="B742" s="21">
        <v>6.09</v>
      </c>
      <c r="C742" s="21">
        <v>7.63</v>
      </c>
      <c r="D742" s="21">
        <v>4.8</v>
      </c>
      <c r="E742" s="21">
        <v>4.1500000000000004</v>
      </c>
      <c r="F742" s="21">
        <v>5.35</v>
      </c>
      <c r="G742" s="21">
        <v>3.1</v>
      </c>
      <c r="H742" s="3"/>
    </row>
    <row r="743" spans="1:8" x14ac:dyDescent="0.25">
      <c r="A743" s="20">
        <v>43831</v>
      </c>
      <c r="B743" s="21">
        <v>6.09</v>
      </c>
      <c r="C743" s="21">
        <v>7.63</v>
      </c>
      <c r="D743" s="21">
        <v>4.8</v>
      </c>
      <c r="E743" s="21">
        <v>4.1500000000000004</v>
      </c>
      <c r="F743" s="21">
        <v>5.35</v>
      </c>
      <c r="G743" s="21">
        <v>3.1</v>
      </c>
      <c r="H743" s="3"/>
    </row>
    <row r="744" spans="1:8" x14ac:dyDescent="0.25">
      <c r="A744" s="20">
        <v>43862</v>
      </c>
      <c r="B744" s="21">
        <v>6.09</v>
      </c>
      <c r="C744" s="21">
        <v>7.63</v>
      </c>
      <c r="D744" s="21">
        <v>4.8</v>
      </c>
      <c r="E744" s="21">
        <v>4.1500000000000004</v>
      </c>
      <c r="F744" s="21">
        <v>5.35</v>
      </c>
      <c r="G744" s="21">
        <v>3.08</v>
      </c>
      <c r="H744" s="3"/>
    </row>
    <row r="745" spans="1:8" x14ac:dyDescent="0.25">
      <c r="A745" s="20">
        <v>43891</v>
      </c>
      <c r="B745" s="21">
        <v>5.53</v>
      </c>
      <c r="C745" s="21">
        <v>7.32</v>
      </c>
      <c r="D745" s="21">
        <v>4.5199999999999996</v>
      </c>
      <c r="E745" s="21">
        <v>3.91</v>
      </c>
      <c r="F745" s="21">
        <v>5.0599999999999996</v>
      </c>
      <c r="G745" s="21">
        <v>2.54</v>
      </c>
      <c r="H745" s="3"/>
    </row>
    <row r="746" spans="1:8" x14ac:dyDescent="0.25">
      <c r="A746" s="20">
        <v>43922</v>
      </c>
      <c r="B746" s="21">
        <v>5.03</v>
      </c>
      <c r="C746" s="21">
        <v>6.57</v>
      </c>
      <c r="D746" s="21">
        <v>4.5199999999999996</v>
      </c>
      <c r="E746" s="21">
        <v>3.91</v>
      </c>
      <c r="F746" s="21">
        <v>5.0599999999999996</v>
      </c>
      <c r="G746" s="21">
        <v>2.54</v>
      </c>
      <c r="H746" s="3"/>
    </row>
    <row r="747" spans="1:8" x14ac:dyDescent="0.25">
      <c r="A747" s="20">
        <v>43952</v>
      </c>
      <c r="B747" s="21">
        <v>5.03</v>
      </c>
      <c r="C747" s="21">
        <v>6.57</v>
      </c>
      <c r="D747" s="21">
        <v>4.5199999999999996</v>
      </c>
      <c r="E747" s="21">
        <v>3.87</v>
      </c>
      <c r="F747" s="21">
        <v>5.0599999999999996</v>
      </c>
      <c r="G747" s="21">
        <v>2.54</v>
      </c>
      <c r="H747" s="3"/>
    </row>
    <row r="748" spans="1:8" x14ac:dyDescent="0.25">
      <c r="A748" s="20">
        <v>43983</v>
      </c>
      <c r="B748" s="21">
        <v>5.03</v>
      </c>
      <c r="C748" s="21">
        <v>6.57</v>
      </c>
      <c r="D748" s="21">
        <v>4.5199999999999996</v>
      </c>
      <c r="E748" s="21">
        <v>3.65</v>
      </c>
      <c r="F748" s="21">
        <v>5.0599999999999996</v>
      </c>
      <c r="G748" s="21">
        <v>2.39</v>
      </c>
      <c r="H748" s="3"/>
    </row>
    <row r="749" spans="1:8" x14ac:dyDescent="0.25">
      <c r="A749" s="20">
        <v>44013</v>
      </c>
      <c r="B749" s="21">
        <v>5.03</v>
      </c>
      <c r="C749" s="21">
        <v>6.51</v>
      </c>
      <c r="D749" s="21">
        <v>4.5199999999999996</v>
      </c>
      <c r="E749" s="21">
        <v>3.65</v>
      </c>
      <c r="F749" s="21">
        <v>5.0599999999999996</v>
      </c>
      <c r="G749" s="21">
        <v>2.39</v>
      </c>
      <c r="H749" s="3"/>
    </row>
    <row r="750" spans="1:8" x14ac:dyDescent="0.25">
      <c r="A750" s="20">
        <v>44044</v>
      </c>
      <c r="B750" s="21">
        <v>5.03</v>
      </c>
      <c r="C750" s="21">
        <v>6.51</v>
      </c>
      <c r="D750" s="21">
        <v>4.5199999999999996</v>
      </c>
      <c r="E750" s="21">
        <v>3.65</v>
      </c>
      <c r="F750" s="21">
        <v>5.0599999999999996</v>
      </c>
      <c r="G750" s="21">
        <v>2.39</v>
      </c>
      <c r="H750" s="3"/>
    </row>
    <row r="751" spans="1:8" x14ac:dyDescent="0.25">
      <c r="A751" s="20">
        <v>44075</v>
      </c>
      <c r="B751" s="21">
        <v>5.03</v>
      </c>
      <c r="C751" s="21">
        <v>6.51</v>
      </c>
      <c r="D751" s="21">
        <v>4.5199999999999996</v>
      </c>
      <c r="E751" s="21">
        <v>3.65</v>
      </c>
      <c r="F751" s="21">
        <v>5.0599999999999996</v>
      </c>
      <c r="G751" s="21">
        <v>2.39</v>
      </c>
      <c r="H751" s="3"/>
    </row>
    <row r="752" spans="1:8" x14ac:dyDescent="0.25">
      <c r="A752" s="20">
        <v>44105</v>
      </c>
      <c r="B752" s="21">
        <v>5.03</v>
      </c>
      <c r="C752" s="21">
        <v>6.51</v>
      </c>
      <c r="D752" s="21">
        <v>4.5199999999999996</v>
      </c>
      <c r="E752" s="21">
        <v>3.65</v>
      </c>
      <c r="F752" s="21">
        <v>5.0599999999999996</v>
      </c>
      <c r="G752" s="21">
        <v>2.39</v>
      </c>
      <c r="H752" s="3"/>
    </row>
    <row r="753" spans="1:8" x14ac:dyDescent="0.25">
      <c r="A753" s="20">
        <v>44136</v>
      </c>
      <c r="B753" s="21">
        <v>5.03</v>
      </c>
      <c r="C753" s="21">
        <v>6.51</v>
      </c>
      <c r="D753" s="21">
        <v>4.5199999999999996</v>
      </c>
      <c r="E753" s="21">
        <v>3.65</v>
      </c>
      <c r="F753" s="21">
        <v>5.0599999999999996</v>
      </c>
      <c r="G753" s="21">
        <v>2.2000000000000002</v>
      </c>
      <c r="H753" s="3"/>
    </row>
    <row r="754" spans="1:8" x14ac:dyDescent="0.25">
      <c r="A754" s="20">
        <v>44166</v>
      </c>
      <c r="B754" s="21">
        <v>5.03</v>
      </c>
      <c r="C754" s="21">
        <v>6.51</v>
      </c>
      <c r="D754" s="21">
        <v>4.5199999999999996</v>
      </c>
      <c r="E754" s="21">
        <v>3.65</v>
      </c>
      <c r="F754" s="21">
        <v>5.0599999999999996</v>
      </c>
      <c r="G754" s="21">
        <v>2.2000000000000002</v>
      </c>
      <c r="H754" s="3"/>
    </row>
    <row r="755" spans="1:8" x14ac:dyDescent="0.25">
      <c r="A755" s="20">
        <v>44197</v>
      </c>
      <c r="B755" s="21">
        <v>5.03</v>
      </c>
      <c r="C755" s="21">
        <v>6.51</v>
      </c>
      <c r="D755" s="21">
        <v>4.5199999999999996</v>
      </c>
      <c r="E755" s="21">
        <v>3.65</v>
      </c>
      <c r="F755" s="21">
        <v>5.0599999999999996</v>
      </c>
      <c r="G755" s="21">
        <v>2.2000000000000002</v>
      </c>
      <c r="H755" s="3"/>
    </row>
    <row r="756" spans="1:8" x14ac:dyDescent="0.25">
      <c r="A756" s="20">
        <v>44228</v>
      </c>
      <c r="B756" s="21">
        <v>5.03</v>
      </c>
      <c r="C756" s="21">
        <v>6.51</v>
      </c>
      <c r="D756" s="21">
        <v>4.5199999999999996</v>
      </c>
      <c r="E756" s="21">
        <v>3.65</v>
      </c>
      <c r="F756" s="21">
        <v>5.0599999999999996</v>
      </c>
      <c r="G756" s="21">
        <v>2.19</v>
      </c>
      <c r="H756" s="3"/>
    </row>
    <row r="757" spans="1:8" x14ac:dyDescent="0.25">
      <c r="A757" s="20">
        <v>44256</v>
      </c>
      <c r="B757" s="21">
        <v>5.03</v>
      </c>
      <c r="C757" s="21">
        <v>6.51</v>
      </c>
      <c r="D757" s="21">
        <v>4.5199999999999996</v>
      </c>
      <c r="E757" s="21">
        <v>3.65</v>
      </c>
      <c r="F757" s="21">
        <v>5.0599999999999996</v>
      </c>
      <c r="G757" s="21">
        <v>2.14</v>
      </c>
      <c r="H757" s="3"/>
    </row>
    <row r="758" spans="1:8" x14ac:dyDescent="0.25">
      <c r="A758" s="20">
        <v>44287</v>
      </c>
      <c r="B758" s="21">
        <v>5.03</v>
      </c>
      <c r="C758" s="21">
        <v>6.51</v>
      </c>
      <c r="D758" s="21">
        <v>4.5199999999999996</v>
      </c>
      <c r="E758" s="21">
        <v>3.59</v>
      </c>
      <c r="F758" s="21">
        <v>5.0599999999999996</v>
      </c>
      <c r="G758" s="21">
        <v>2.14</v>
      </c>
      <c r="H758" s="3"/>
    </row>
    <row r="759" spans="1:8" x14ac:dyDescent="0.25">
      <c r="A759" s="20">
        <v>44317</v>
      </c>
      <c r="B759" s="21">
        <v>5.03</v>
      </c>
      <c r="C759" s="21">
        <v>6.51</v>
      </c>
      <c r="D759" s="21">
        <v>4.5199999999999996</v>
      </c>
      <c r="E759" s="21">
        <v>3.59</v>
      </c>
      <c r="F759" s="21">
        <v>5.0599999999999996</v>
      </c>
      <c r="G759" s="21">
        <v>2.15</v>
      </c>
      <c r="H759" s="3"/>
    </row>
    <row r="760" spans="1:8" x14ac:dyDescent="0.25">
      <c r="A760" s="20">
        <v>44348</v>
      </c>
      <c r="B760" s="21">
        <v>5.03</v>
      </c>
      <c r="C760" s="21">
        <v>6.51</v>
      </c>
      <c r="D760" s="21">
        <v>4.5199999999999996</v>
      </c>
      <c r="E760" s="21">
        <v>3.59</v>
      </c>
      <c r="F760" s="21">
        <v>5.0599999999999996</v>
      </c>
      <c r="G760" s="21">
        <v>2.19</v>
      </c>
      <c r="H760" s="3"/>
    </row>
    <row r="761" spans="1:8" x14ac:dyDescent="0.25">
      <c r="A761" s="20">
        <v>44378</v>
      </c>
      <c r="B761" s="21">
        <v>5.03</v>
      </c>
      <c r="C761" s="21">
        <v>6.51</v>
      </c>
      <c r="D761" s="21">
        <v>4.5199999999999996</v>
      </c>
      <c r="E761" s="21">
        <v>3.6</v>
      </c>
      <c r="F761" s="21">
        <v>5.0599999999999996</v>
      </c>
      <c r="G761" s="21">
        <v>2.19</v>
      </c>
      <c r="H761" s="3"/>
    </row>
    <row r="762" spans="1:8" x14ac:dyDescent="0.25">
      <c r="A762" s="20">
        <v>44409</v>
      </c>
      <c r="B762" s="21">
        <v>5.03</v>
      </c>
      <c r="C762" s="21">
        <v>6.51</v>
      </c>
      <c r="D762" s="21">
        <v>4.5199999999999996</v>
      </c>
      <c r="E762" s="21">
        <v>3.45</v>
      </c>
      <c r="F762" s="21">
        <v>5.0599999999999996</v>
      </c>
      <c r="G762" s="21">
        <v>2.19</v>
      </c>
      <c r="H762" s="3"/>
    </row>
    <row r="763" spans="1:8" x14ac:dyDescent="0.25">
      <c r="A763" s="20">
        <v>44440</v>
      </c>
      <c r="B763" s="21">
        <v>4.75</v>
      </c>
      <c r="C763" s="21">
        <v>6.51</v>
      </c>
      <c r="D763" s="21">
        <v>4.5199999999999996</v>
      </c>
      <c r="E763" s="21">
        <v>3.45</v>
      </c>
      <c r="F763" s="21">
        <v>5.0599999999999996</v>
      </c>
      <c r="G763" s="21">
        <v>2.25</v>
      </c>
      <c r="H763" s="3"/>
    </row>
    <row r="764" spans="1:8" x14ac:dyDescent="0.25">
      <c r="A764" s="20">
        <v>44470</v>
      </c>
      <c r="B764" s="21">
        <v>4.75</v>
      </c>
      <c r="C764" s="21">
        <v>6.51</v>
      </c>
      <c r="D764" s="21">
        <v>4.5199999999999996</v>
      </c>
      <c r="E764" s="21">
        <v>3.45</v>
      </c>
      <c r="F764" s="21">
        <v>5.0599999999999996</v>
      </c>
      <c r="G764" s="21">
        <v>2.4700000000000002</v>
      </c>
      <c r="H764" s="3"/>
    </row>
    <row r="765" spans="1:8" x14ac:dyDescent="0.25">
      <c r="A765" s="20">
        <v>44501</v>
      </c>
      <c r="B765" s="21">
        <v>4.75</v>
      </c>
      <c r="C765" s="21">
        <v>6.51</v>
      </c>
      <c r="D765" s="21">
        <v>4.5199999999999996</v>
      </c>
      <c r="E765" s="21">
        <v>3.45</v>
      </c>
      <c r="F765" s="21">
        <v>5.0599999999999996</v>
      </c>
      <c r="G765" s="21">
        <v>2.93</v>
      </c>
      <c r="H765" s="3"/>
    </row>
    <row r="766" spans="1:8" x14ac:dyDescent="0.25">
      <c r="A766" s="20">
        <v>44531</v>
      </c>
      <c r="B766" s="21">
        <v>4.75</v>
      </c>
      <c r="C766" s="21">
        <v>6.51</v>
      </c>
      <c r="D766" s="21">
        <v>4.5199999999999996</v>
      </c>
      <c r="E766" s="21">
        <v>3.45</v>
      </c>
      <c r="F766" s="21">
        <v>5.0599999999999996</v>
      </c>
      <c r="G766" s="21">
        <v>3.17</v>
      </c>
      <c r="H766" s="3"/>
    </row>
    <row r="767" spans="1:8" x14ac:dyDescent="0.25">
      <c r="A767" s="20">
        <v>44562</v>
      </c>
      <c r="B767" s="21">
        <v>4.75</v>
      </c>
      <c r="C767" s="21">
        <v>6.51</v>
      </c>
      <c r="D767" s="21">
        <v>4.5199999999999996</v>
      </c>
      <c r="E767" s="21">
        <v>3.45</v>
      </c>
      <c r="F767" s="21">
        <v>5.0599999999999996</v>
      </c>
      <c r="G767" s="21">
        <v>3.23</v>
      </c>
      <c r="H767" s="3"/>
    </row>
    <row r="768" spans="1:8" x14ac:dyDescent="0.25">
      <c r="A768" s="20">
        <v>44593</v>
      </c>
      <c r="B768" s="21">
        <v>4.75</v>
      </c>
      <c r="C768" s="21">
        <v>6.51</v>
      </c>
      <c r="D768" s="21">
        <v>4.5199999999999996</v>
      </c>
      <c r="E768" s="21">
        <v>3.45</v>
      </c>
      <c r="F768" s="21">
        <v>5.0599999999999996</v>
      </c>
      <c r="G768" s="21">
        <v>3.48</v>
      </c>
      <c r="H768" s="3"/>
    </row>
    <row r="769" spans="1:8" x14ac:dyDescent="0.25">
      <c r="A769" s="20">
        <v>44621</v>
      </c>
      <c r="B769" s="21">
        <v>4.75</v>
      </c>
      <c r="C769" s="21">
        <v>6.51</v>
      </c>
      <c r="D769" s="21">
        <v>4.5199999999999996</v>
      </c>
      <c r="E769" s="21">
        <v>3.45</v>
      </c>
      <c r="F769" s="21">
        <v>5.0599999999999996</v>
      </c>
      <c r="G769" s="21">
        <v>3.83</v>
      </c>
      <c r="H769" s="3"/>
    </row>
    <row r="770" spans="1:8" x14ac:dyDescent="0.25">
      <c r="A770" s="20">
        <v>44652</v>
      </c>
      <c r="B770" s="21">
        <v>4.75</v>
      </c>
      <c r="C770" s="21">
        <v>6.51</v>
      </c>
      <c r="D770" s="21">
        <v>4.5199999999999996</v>
      </c>
      <c r="E770" s="21">
        <v>3.45</v>
      </c>
      <c r="F770" s="21">
        <v>5.0599999999999996</v>
      </c>
      <c r="G770" s="21">
        <v>4.34</v>
      </c>
      <c r="H770" s="3"/>
    </row>
    <row r="771" spans="1:8" x14ac:dyDescent="0.25">
      <c r="A771" s="20">
        <v>44682</v>
      </c>
      <c r="B771" s="21">
        <v>5</v>
      </c>
      <c r="C771" s="21">
        <v>6.79</v>
      </c>
      <c r="D771" s="21">
        <v>4.7699999999999996</v>
      </c>
      <c r="E771" s="21">
        <v>3.7</v>
      </c>
      <c r="F771" s="21">
        <v>5.31</v>
      </c>
      <c r="G771" s="21">
        <v>4.72</v>
      </c>
      <c r="H771" s="3"/>
    </row>
    <row r="772" spans="1:8" x14ac:dyDescent="0.25">
      <c r="A772" s="20">
        <v>44713</v>
      </c>
      <c r="B772" s="21">
        <v>5.5</v>
      </c>
      <c r="C772" s="21">
        <v>7.26</v>
      </c>
      <c r="D772" s="21">
        <v>5.27</v>
      </c>
      <c r="E772" s="21">
        <v>4.2</v>
      </c>
      <c r="F772" s="21">
        <v>5.81</v>
      </c>
      <c r="G772" s="21">
        <v>5.66</v>
      </c>
      <c r="H772" s="3"/>
    </row>
    <row r="773" spans="1:8" x14ac:dyDescent="0.25">
      <c r="A773" s="20">
        <v>44743</v>
      </c>
      <c r="B773" s="21">
        <v>6</v>
      </c>
      <c r="C773" s="21">
        <v>7.76</v>
      </c>
      <c r="D773" s="21">
        <v>5.77</v>
      </c>
      <c r="E773" s="21">
        <v>4.7</v>
      </c>
      <c r="F773" s="21">
        <v>6.31</v>
      </c>
      <c r="G773" s="21">
        <v>6.14</v>
      </c>
      <c r="H773" s="3"/>
    </row>
    <row r="774" spans="1:8" x14ac:dyDescent="0.25">
      <c r="A774" s="20">
        <v>44774</v>
      </c>
      <c r="B774" s="21">
        <v>6.5</v>
      </c>
      <c r="C774" s="21">
        <v>8.2899999999999991</v>
      </c>
      <c r="D774" s="21">
        <v>6.27</v>
      </c>
      <c r="E774" s="21">
        <v>5.2</v>
      </c>
      <c r="F774" s="21">
        <v>6.81</v>
      </c>
      <c r="G774" s="21">
        <v>6.06</v>
      </c>
      <c r="H774" s="3"/>
    </row>
    <row r="775" spans="1:8" x14ac:dyDescent="0.25">
      <c r="A775" s="20">
        <v>44805</v>
      </c>
      <c r="B775" s="21">
        <v>7</v>
      </c>
      <c r="C775" s="21">
        <v>8.7899999999999991</v>
      </c>
      <c r="D775" s="21">
        <v>6.77</v>
      </c>
      <c r="E775" s="21">
        <v>5.7</v>
      </c>
      <c r="F775" s="21">
        <v>7.31</v>
      </c>
      <c r="G775" s="21">
        <v>6.05</v>
      </c>
      <c r="H775" s="3"/>
    </row>
    <row r="776" spans="1:8" x14ac:dyDescent="0.25">
      <c r="A776" s="20">
        <v>44835</v>
      </c>
      <c r="B776" s="21">
        <v>7.25</v>
      </c>
      <c r="C776" s="21">
        <v>9.0399999999999991</v>
      </c>
      <c r="D776" s="21">
        <v>7.02</v>
      </c>
      <c r="E776" s="21">
        <v>5.95</v>
      </c>
      <c r="F776" s="21">
        <v>7.56</v>
      </c>
      <c r="G776" s="21">
        <v>6.24</v>
      </c>
      <c r="H776" s="3"/>
    </row>
    <row r="777" spans="1:8" x14ac:dyDescent="0.25">
      <c r="A777" s="20">
        <v>44866</v>
      </c>
      <c r="B777" s="21">
        <v>7.5</v>
      </c>
      <c r="C777" s="21">
        <v>9.2899999999999991</v>
      </c>
      <c r="D777" s="21">
        <v>7.27</v>
      </c>
      <c r="E777" s="21">
        <v>5.72</v>
      </c>
      <c r="F777" s="21">
        <v>7.81</v>
      </c>
      <c r="G777" s="21">
        <v>6.3</v>
      </c>
      <c r="H777" s="3"/>
    </row>
    <row r="778" spans="1:8" x14ac:dyDescent="0.25">
      <c r="A778" s="20">
        <v>44896</v>
      </c>
      <c r="B778" s="21">
        <v>7.75</v>
      </c>
      <c r="C778" s="21">
        <v>9.51</v>
      </c>
      <c r="D778" s="21">
        <v>7.52</v>
      </c>
      <c r="E778" s="21">
        <v>5.97</v>
      </c>
      <c r="F778" s="21">
        <v>8.06</v>
      </c>
      <c r="G778" s="21">
        <v>6.24</v>
      </c>
      <c r="H778" s="3"/>
    </row>
    <row r="779" spans="1:8" x14ac:dyDescent="0.25">
      <c r="A779" s="20">
        <v>44927</v>
      </c>
      <c r="B779" s="21">
        <v>7.75</v>
      </c>
      <c r="C779" s="21">
        <v>9.51</v>
      </c>
      <c r="D779" s="21">
        <v>7.52</v>
      </c>
      <c r="E779" s="21">
        <v>5.97</v>
      </c>
      <c r="F779" s="21">
        <v>8.06</v>
      </c>
      <c r="G779" s="21">
        <v>6.24</v>
      </c>
      <c r="H779" s="3"/>
    </row>
    <row r="780" spans="1:8" x14ac:dyDescent="0.25">
      <c r="A780" s="20">
        <v>44958</v>
      </c>
      <c r="B780" s="21">
        <v>8</v>
      </c>
      <c r="C780" s="21">
        <v>9.76</v>
      </c>
      <c r="D780" s="21">
        <v>7.77</v>
      </c>
      <c r="E780" s="21">
        <v>6.22</v>
      </c>
      <c r="F780" s="21">
        <v>8.31</v>
      </c>
      <c r="G780" s="21">
        <v>6.26</v>
      </c>
      <c r="H780" s="3"/>
    </row>
    <row r="781" spans="1:8" x14ac:dyDescent="0.25">
      <c r="A781" s="20">
        <v>44986</v>
      </c>
      <c r="B781" s="21">
        <v>8.25</v>
      </c>
      <c r="C781" s="21">
        <v>10.01</v>
      </c>
      <c r="D781" s="21">
        <v>8.02</v>
      </c>
      <c r="E781" s="21">
        <v>6.43</v>
      </c>
      <c r="F781" s="21">
        <v>8.56</v>
      </c>
      <c r="G781" s="21">
        <v>6.27</v>
      </c>
      <c r="H781" s="3"/>
    </row>
    <row r="782" spans="1:8" x14ac:dyDescent="0.25">
      <c r="A782" s="20">
        <v>45017</v>
      </c>
      <c r="B782" s="21">
        <v>8.44</v>
      </c>
      <c r="C782" s="21">
        <v>10.01</v>
      </c>
      <c r="D782" s="21">
        <v>8.02</v>
      </c>
      <c r="E782" s="21">
        <v>6.49</v>
      </c>
      <c r="F782" s="21">
        <v>8.56</v>
      </c>
      <c r="G782" s="21">
        <v>5.97</v>
      </c>
      <c r="H782" s="3"/>
    </row>
    <row r="783" spans="1:8" x14ac:dyDescent="0.25">
      <c r="A783" s="20">
        <v>45047</v>
      </c>
      <c r="B783" s="21">
        <v>8.5</v>
      </c>
      <c r="C783" s="21">
        <v>10.26</v>
      </c>
      <c r="D783" s="21">
        <v>8.27</v>
      </c>
      <c r="E783" s="21">
        <v>6.79</v>
      </c>
      <c r="F783" s="21">
        <v>8.7899999999999991</v>
      </c>
      <c r="G783" s="21">
        <v>5.97</v>
      </c>
      <c r="H783" s="3"/>
    </row>
    <row r="784" spans="1:8" x14ac:dyDescent="0.25">
      <c r="A784" s="20">
        <v>45078</v>
      </c>
      <c r="B784" s="21">
        <v>8.75</v>
      </c>
      <c r="C784" s="21">
        <v>10.51</v>
      </c>
      <c r="D784" s="21">
        <v>8.52</v>
      </c>
      <c r="E784" s="21">
        <v>7.06</v>
      </c>
      <c r="F784" s="21">
        <v>9.0399999999999991</v>
      </c>
      <c r="G784" s="21">
        <v>6.38</v>
      </c>
      <c r="H784" s="3"/>
    </row>
    <row r="785" spans="1:8" x14ac:dyDescent="0.25">
      <c r="A785" s="20">
        <v>45108</v>
      </c>
      <c r="B785" s="21">
        <v>8.75</v>
      </c>
      <c r="C785" s="21">
        <v>10.51</v>
      </c>
      <c r="D785" s="21">
        <v>8.52</v>
      </c>
      <c r="E785" s="21">
        <v>7.06</v>
      </c>
      <c r="F785" s="21">
        <v>9.0399999999999991</v>
      </c>
      <c r="G785" s="21">
        <v>6.65</v>
      </c>
      <c r="H785" s="3"/>
    </row>
    <row r="786" spans="1:8" x14ac:dyDescent="0.25">
      <c r="A786" s="20">
        <v>45139</v>
      </c>
      <c r="B786" s="21">
        <v>8.75</v>
      </c>
      <c r="C786" s="21">
        <v>10.51</v>
      </c>
      <c r="D786" s="21">
        <v>8.52</v>
      </c>
      <c r="E786" s="21">
        <v>7.06</v>
      </c>
      <c r="F786" s="21">
        <v>9.0399999999999991</v>
      </c>
      <c r="G786" s="21">
        <v>6.58</v>
      </c>
      <c r="H786" s="3"/>
    </row>
    <row r="787" spans="1:8" x14ac:dyDescent="0.25">
      <c r="A787" s="20">
        <v>45170</v>
      </c>
      <c r="B787" s="21">
        <v>8.75</v>
      </c>
      <c r="C787" s="21">
        <v>10.51</v>
      </c>
      <c r="D787" s="21">
        <v>8.52</v>
      </c>
      <c r="E787" s="21">
        <v>7.06</v>
      </c>
      <c r="F787" s="21">
        <v>9.0399999999999991</v>
      </c>
      <c r="G787" s="21">
        <v>6.56</v>
      </c>
      <c r="H787" s="3"/>
    </row>
    <row r="788" spans="1:8" x14ac:dyDescent="0.25">
      <c r="A788" s="20">
        <v>45200</v>
      </c>
      <c r="B788" s="21">
        <v>8.75</v>
      </c>
      <c r="C788" s="21">
        <v>10.51</v>
      </c>
      <c r="D788" s="21">
        <v>8.52</v>
      </c>
      <c r="E788" s="21">
        <v>7.06</v>
      </c>
      <c r="F788" s="21">
        <v>9.0399999999999991</v>
      </c>
      <c r="G788" s="21">
        <v>6.56</v>
      </c>
      <c r="H788" s="3"/>
    </row>
    <row r="789" spans="1:8" x14ac:dyDescent="0.25">
      <c r="A789" s="20">
        <v>45231</v>
      </c>
      <c r="B789" s="21">
        <v>9</v>
      </c>
      <c r="C789" s="21">
        <v>10.79</v>
      </c>
      <c r="D789" s="21">
        <v>8.77</v>
      </c>
      <c r="E789" s="21">
        <v>7.31</v>
      </c>
      <c r="F789" s="21">
        <v>9.2899999999999991</v>
      </c>
      <c r="G789" s="21">
        <v>6.8</v>
      </c>
      <c r="H789" s="3"/>
    </row>
    <row r="790" spans="1:8" x14ac:dyDescent="0.25">
      <c r="A790" s="20">
        <v>45261</v>
      </c>
      <c r="B790" s="21">
        <v>9</v>
      </c>
      <c r="C790" s="21">
        <v>10.79</v>
      </c>
      <c r="D790" s="21">
        <v>8.77</v>
      </c>
      <c r="E790" s="21">
        <v>7.31</v>
      </c>
      <c r="F790" s="21">
        <v>9.2899999999999991</v>
      </c>
      <c r="G790" s="21">
        <v>6.8</v>
      </c>
      <c r="H790" s="3"/>
    </row>
    <row r="791" spans="1:8" x14ac:dyDescent="0.25">
      <c r="A791" s="20">
        <v>45292</v>
      </c>
      <c r="B791" s="21">
        <v>9</v>
      </c>
      <c r="C791" s="21">
        <v>10.79</v>
      </c>
      <c r="D791" s="21">
        <v>8.77</v>
      </c>
      <c r="E791" s="21">
        <v>7.31</v>
      </c>
      <c r="F791" s="21">
        <v>9.2899999999999991</v>
      </c>
      <c r="G791" s="21">
        <v>6.8</v>
      </c>
      <c r="H791" s="3"/>
    </row>
    <row r="792" spans="1:8" x14ac:dyDescent="0.25">
      <c r="A792" s="20">
        <v>45323</v>
      </c>
      <c r="B792" s="21">
        <v>9</v>
      </c>
      <c r="C792" s="21">
        <v>10.79</v>
      </c>
      <c r="D792" s="21">
        <v>8.77</v>
      </c>
      <c r="E792" s="21">
        <v>7.31</v>
      </c>
      <c r="F792" s="21">
        <v>9.2899999999999991</v>
      </c>
      <c r="G792" s="21">
        <v>6.8</v>
      </c>
      <c r="H792" s="3"/>
    </row>
    <row r="793" spans="1:8" x14ac:dyDescent="0.25">
      <c r="A793" s="20">
        <v>45352</v>
      </c>
      <c r="B793" s="21">
        <v>9</v>
      </c>
      <c r="C793" s="21">
        <v>10.79</v>
      </c>
      <c r="D793" s="21">
        <v>8.77</v>
      </c>
      <c r="E793" s="21">
        <v>7.31</v>
      </c>
      <c r="F793" s="21">
        <v>9.2899999999999991</v>
      </c>
      <c r="G793" s="21">
        <v>6.8</v>
      </c>
      <c r="H793" s="3"/>
    </row>
    <row r="794" spans="1:8" x14ac:dyDescent="0.25">
      <c r="A794" s="20">
        <v>45383</v>
      </c>
      <c r="B794" s="21">
        <v>9</v>
      </c>
      <c r="C794" s="21">
        <v>10.79</v>
      </c>
      <c r="D794" s="21">
        <v>8.77</v>
      </c>
      <c r="E794" s="21">
        <v>7.12</v>
      </c>
      <c r="F794" s="21">
        <v>9.2899999999999991</v>
      </c>
      <c r="G794" s="21">
        <v>6.8</v>
      </c>
      <c r="H794" s="3"/>
    </row>
    <row r="795" spans="1:8" x14ac:dyDescent="0.25">
      <c r="A795" s="20">
        <v>45413</v>
      </c>
      <c r="B795" s="21">
        <v>9</v>
      </c>
      <c r="C795" s="21">
        <v>10.79</v>
      </c>
      <c r="D795" s="21">
        <v>8.77</v>
      </c>
      <c r="E795" s="21">
        <v>7.12</v>
      </c>
      <c r="F795" s="21">
        <v>9.2899999999999991</v>
      </c>
      <c r="G795" s="21">
        <v>6.8</v>
      </c>
      <c r="H795" s="3"/>
    </row>
    <row r="796" spans="1:8" x14ac:dyDescent="0.25">
      <c r="A796" s="20">
        <v>45444</v>
      </c>
      <c r="B796" s="21">
        <v>9</v>
      </c>
      <c r="C796" s="21">
        <v>10.79</v>
      </c>
      <c r="D796" s="21">
        <v>8.77</v>
      </c>
      <c r="E796" s="21">
        <v>7.12</v>
      </c>
      <c r="F796" s="21">
        <v>9.2899999999999991</v>
      </c>
      <c r="G796" s="21">
        <v>6.8</v>
      </c>
      <c r="H796" s="3"/>
    </row>
    <row r="797" spans="1:8" x14ac:dyDescent="0.25">
      <c r="A797" s="20">
        <v>45474</v>
      </c>
      <c r="B797" s="21">
        <v>9</v>
      </c>
      <c r="C797" s="21">
        <v>10.79</v>
      </c>
      <c r="D797" s="21">
        <v>8.77</v>
      </c>
      <c r="E797" s="21">
        <v>7.12</v>
      </c>
      <c r="F797" s="21">
        <v>9.2899999999999991</v>
      </c>
      <c r="G797" s="21">
        <v>6.68</v>
      </c>
      <c r="H797" s="3"/>
    </row>
    <row r="798" spans="1:8" x14ac:dyDescent="0.25">
      <c r="A798" s="20">
        <v>45505</v>
      </c>
      <c r="B798" s="21">
        <v>9</v>
      </c>
      <c r="C798" s="21">
        <v>10.79</v>
      </c>
      <c r="D798" s="21">
        <v>8.77</v>
      </c>
      <c r="E798" s="21">
        <v>7.07</v>
      </c>
      <c r="F798" s="21">
        <v>9.2899999999999991</v>
      </c>
      <c r="G798" s="21">
        <v>6.27</v>
      </c>
      <c r="H798" s="3"/>
    </row>
    <row r="799" spans="1:8" x14ac:dyDescent="0.25">
      <c r="A799" s="20">
        <v>45536</v>
      </c>
      <c r="B799" s="21">
        <v>9</v>
      </c>
      <c r="C799" s="21">
        <v>10.79</v>
      </c>
      <c r="D799" s="21">
        <v>8.77</v>
      </c>
      <c r="E799" s="21">
        <v>7.07</v>
      </c>
      <c r="F799" s="21">
        <v>9.2899999999999991</v>
      </c>
      <c r="G799" s="21">
        <v>6.27</v>
      </c>
      <c r="H799" s="3"/>
    </row>
    <row r="800" spans="1:8" x14ac:dyDescent="0.25">
      <c r="A800" s="20">
        <v>45566</v>
      </c>
      <c r="B800" s="21">
        <v>9</v>
      </c>
      <c r="C800" s="21">
        <v>10.79</v>
      </c>
      <c r="D800" s="21">
        <v>8.77</v>
      </c>
      <c r="E800" s="21">
        <v>7.07</v>
      </c>
      <c r="F800" s="21">
        <v>9.2899999999999991</v>
      </c>
      <c r="G800" s="21">
        <v>6.08</v>
      </c>
      <c r="H800" s="3"/>
    </row>
    <row r="801" spans="1:8" x14ac:dyDescent="0.25">
      <c r="A801" s="20">
        <v>45597</v>
      </c>
      <c r="B801" s="21">
        <v>9</v>
      </c>
      <c r="C801" s="21">
        <v>10.79</v>
      </c>
      <c r="D801" s="21">
        <v>8.77</v>
      </c>
      <c r="E801" s="21">
        <v>7.07</v>
      </c>
      <c r="F801" s="21">
        <v>9.2899999999999991</v>
      </c>
      <c r="G801" s="21">
        <v>6.08</v>
      </c>
      <c r="H801" s="3"/>
    </row>
    <row r="802" spans="1:8" x14ac:dyDescent="0.25">
      <c r="A802" s="20">
        <v>45627</v>
      </c>
      <c r="B802" s="21">
        <v>9</v>
      </c>
      <c r="C802" s="21">
        <v>10.79</v>
      </c>
      <c r="D802" s="21">
        <v>8.77</v>
      </c>
      <c r="E802" s="21">
        <v>7.07</v>
      </c>
      <c r="F802" s="21">
        <v>9.2899999999999991</v>
      </c>
      <c r="G802" s="21">
        <v>6.08</v>
      </c>
      <c r="H802" s="3"/>
    </row>
    <row r="803" spans="1:8" x14ac:dyDescent="0.25">
      <c r="A803" s="20">
        <v>45658</v>
      </c>
      <c r="B803" s="21">
        <v>9</v>
      </c>
      <c r="C803" s="21">
        <v>10.79</v>
      </c>
      <c r="D803" s="21">
        <v>8.77</v>
      </c>
      <c r="E803" s="21">
        <v>7.07</v>
      </c>
      <c r="F803" s="21">
        <v>9.2899999999999991</v>
      </c>
      <c r="G803" s="21">
        <v>6.08</v>
      </c>
      <c r="H803" s="3"/>
    </row>
    <row r="804" spans="1:8" x14ac:dyDescent="0.25">
      <c r="A804" s="20">
        <v>45689</v>
      </c>
      <c r="B804" s="21">
        <v>8.8699999999999992</v>
      </c>
      <c r="C804" s="21">
        <v>10.63</v>
      </c>
      <c r="D804" s="21">
        <v>8.6199999999999992</v>
      </c>
      <c r="E804" s="21">
        <v>6.88</v>
      </c>
      <c r="F804" s="21">
        <v>9.1</v>
      </c>
      <c r="G804" s="21">
        <v>6.03</v>
      </c>
      <c r="H804" s="3"/>
    </row>
    <row r="805" spans="1:8" x14ac:dyDescent="0.25">
      <c r="A805" s="20">
        <v>45717</v>
      </c>
      <c r="B805" s="21">
        <v>8.75</v>
      </c>
      <c r="C805" s="21">
        <v>10.51</v>
      </c>
      <c r="D805" s="21">
        <v>8.52</v>
      </c>
      <c r="E805" s="21">
        <v>6.82</v>
      </c>
      <c r="F805" s="21">
        <v>9.0399999999999991</v>
      </c>
      <c r="G805" s="21">
        <v>6.03</v>
      </c>
      <c r="H805" s="3"/>
    </row>
    <row r="806" spans="1:8" x14ac:dyDescent="0.25">
      <c r="A806" s="20">
        <v>45748</v>
      </c>
      <c r="B806" s="21">
        <v>8.75</v>
      </c>
      <c r="C806" s="21">
        <v>10.51</v>
      </c>
      <c r="D806" s="21">
        <v>8.52</v>
      </c>
      <c r="E806" s="21">
        <v>6.55</v>
      </c>
      <c r="F806" s="21">
        <v>9.0399999999999991</v>
      </c>
      <c r="G806" s="21">
        <v>5.94</v>
      </c>
      <c r="H806" s="3"/>
    </row>
    <row r="807" spans="1:8" x14ac:dyDescent="0.25">
      <c r="A807" s="20">
        <v>45778</v>
      </c>
      <c r="B807" s="21">
        <v>8.6199999999999992</v>
      </c>
      <c r="C807" s="21">
        <v>10.38</v>
      </c>
      <c r="D807" s="21">
        <v>8.3699999999999992</v>
      </c>
      <c r="E807" s="21">
        <v>6.37</v>
      </c>
      <c r="F807" s="21">
        <v>8.85</v>
      </c>
      <c r="G807" s="21">
        <v>5.88</v>
      </c>
      <c r="H807" s="3"/>
    </row>
    <row r="808" spans="1:8" x14ac:dyDescent="0.25">
      <c r="A808" s="20">
        <v>45809</v>
      </c>
      <c r="B808" s="21">
        <v>8.5</v>
      </c>
      <c r="C808" s="21">
        <v>10.26</v>
      </c>
      <c r="D808" s="21">
        <v>8.27</v>
      </c>
      <c r="E808" s="21">
        <v>6.3</v>
      </c>
      <c r="F808" s="21">
        <v>8.7899999999999991</v>
      </c>
      <c r="G808" s="21">
        <v>5.88</v>
      </c>
      <c r="H808" s="3"/>
    </row>
    <row r="809" spans="1:8" x14ac:dyDescent="0.25">
      <c r="A809" s="20">
        <v>45839</v>
      </c>
      <c r="B809" s="21">
        <v>8.5</v>
      </c>
      <c r="C809" s="21">
        <v>10.26</v>
      </c>
      <c r="D809" s="21">
        <v>8.27</v>
      </c>
      <c r="E809" s="21">
        <v>6.3</v>
      </c>
      <c r="F809" s="21">
        <v>8.7899999999999991</v>
      </c>
      <c r="G809" s="21">
        <v>5.81</v>
      </c>
      <c r="H809" s="3"/>
    </row>
    <row r="810" spans="1:8" x14ac:dyDescent="0.25">
      <c r="A810" s="20">
        <v>45870</v>
      </c>
      <c r="B810" s="21">
        <v>8.25</v>
      </c>
      <c r="C810" s="21">
        <v>10.01</v>
      </c>
      <c r="D810" s="21">
        <v>8.02</v>
      </c>
      <c r="E810" s="21">
        <v>6.05</v>
      </c>
      <c r="F810" s="21">
        <v>8.5399999999999991</v>
      </c>
      <c r="G810" s="21">
        <v>5.52</v>
      </c>
      <c r="H810" s="3"/>
    </row>
    <row r="811" spans="1:8" x14ac:dyDescent="0.25">
      <c r="A811" s="20">
        <v>45901</v>
      </c>
      <c r="B811" s="21">
        <v>8.25</v>
      </c>
      <c r="C811" s="21">
        <v>10.01</v>
      </c>
      <c r="D811" s="21">
        <v>8.02</v>
      </c>
      <c r="E811" s="21">
        <v>6.05</v>
      </c>
      <c r="F811" s="21">
        <v>8.5399999999999991</v>
      </c>
      <c r="G811" s="21">
        <v>5.52</v>
      </c>
      <c r="H811" s="3"/>
    </row>
    <row r="812" spans="1:8" x14ac:dyDescent="0.25">
      <c r="A812" s="20">
        <v>45931</v>
      </c>
      <c r="B812" s="21">
        <v>8.25</v>
      </c>
      <c r="C812" s="21">
        <v>10.01</v>
      </c>
      <c r="D812" s="21">
        <v>8.02</v>
      </c>
      <c r="E812" s="21">
        <v>6.05</v>
      </c>
      <c r="F812" s="21">
        <v>8.5399999999999991</v>
      </c>
      <c r="G812" s="21">
        <v>5.52</v>
      </c>
      <c r="H812" s="3"/>
    </row>
    <row r="813" spans="1:8" x14ac:dyDescent="0.25">
      <c r="A813" s="20">
        <v>45962</v>
      </c>
      <c r="B813" s="21">
        <v>8.25</v>
      </c>
      <c r="C813" s="21">
        <v>10.01</v>
      </c>
      <c r="D813" s="21">
        <v>8.02</v>
      </c>
      <c r="E813" s="21">
        <v>6.05</v>
      </c>
      <c r="F813" s="21">
        <v>8.5399999999999991</v>
      </c>
      <c r="G813" s="21">
        <v>5.56</v>
      </c>
      <c r="H813" s="3"/>
    </row>
    <row r="814" spans="1:8" x14ac:dyDescent="0.25">
      <c r="A814" s="20">
        <v>45992</v>
      </c>
      <c r="B814" s="21">
        <v>8.25</v>
      </c>
      <c r="C814" s="21">
        <v>10.01</v>
      </c>
      <c r="D814" s="21">
        <v>8.02</v>
      </c>
      <c r="E814" s="21">
        <v>6.05</v>
      </c>
      <c r="F814" s="21">
        <v>8.5399999999999991</v>
      </c>
      <c r="G814" s="21">
        <v>5.77</v>
      </c>
      <c r="H814" s="3"/>
    </row>
    <row r="815" spans="1:8" x14ac:dyDescent="0.25">
      <c r="A815" s="20">
        <v>46023</v>
      </c>
      <c r="B815" s="21">
        <v>8.25</v>
      </c>
      <c r="C815" s="21">
        <v>10.01</v>
      </c>
      <c r="D815" s="21">
        <v>8.02</v>
      </c>
      <c r="E815" s="21">
        <v>6.05</v>
      </c>
      <c r="F815" s="21">
        <v>8.5399999999999991</v>
      </c>
      <c r="G815" s="21">
        <v>5.99</v>
      </c>
      <c r="H815" s="3"/>
    </row>
    <row r="816" spans="1:8" x14ac:dyDescent="0.25">
      <c r="A816" s="20">
        <v>46054</v>
      </c>
      <c r="B816" s="21">
        <v>8.5</v>
      </c>
      <c r="C816" s="21">
        <v>10.26</v>
      </c>
      <c r="D816" s="21">
        <v>8.27</v>
      </c>
      <c r="E816" s="21">
        <v>6.3</v>
      </c>
      <c r="F816" s="21">
        <v>8.7899999999999991</v>
      </c>
      <c r="G816" s="21">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B140-3029-4A50-92A2-2EBFC006705E}">
  <sheetPr>
    <tabColor rgb="FFFF0000"/>
  </sheetPr>
  <dimension ref="A1:G14"/>
  <sheetViews>
    <sheetView workbookViewId="0">
      <selection activeCell="G10" sqref="G10"/>
    </sheetView>
  </sheetViews>
  <sheetFormatPr defaultRowHeight="15" x14ac:dyDescent="0.25"/>
  <cols>
    <col min="1" max="6" width="12.85546875" customWidth="1"/>
  </cols>
  <sheetData>
    <row r="1" spans="1:7" x14ac:dyDescent="0.25">
      <c r="A1" t="s">
        <v>633</v>
      </c>
      <c r="B1" t="s">
        <v>5</v>
      </c>
      <c r="C1" t="s">
        <v>557</v>
      </c>
      <c r="D1" t="s">
        <v>637</v>
      </c>
      <c r="E1" t="s">
        <v>638</v>
      </c>
      <c r="F1" t="s">
        <v>639</v>
      </c>
      <c r="G1" t="s">
        <v>640</v>
      </c>
    </row>
    <row r="2" spans="1:7" x14ac:dyDescent="0.25">
      <c r="A2" s="1">
        <v>44896</v>
      </c>
      <c r="B2">
        <v>550</v>
      </c>
      <c r="C2">
        <v>470</v>
      </c>
      <c r="D2" s="7">
        <f>_xlfn.XLOOKUP(A2,'rai-values-3bh'!E:E,'rai-values-3bh'!H:H)</f>
        <v>560.89805057955732</v>
      </c>
      <c r="E2" s="7">
        <f>B2/$D2</f>
        <v>0.98057035397378056</v>
      </c>
      <c r="F2" s="7">
        <f>C2/$D2</f>
        <v>0.83794193885032153</v>
      </c>
    </row>
    <row r="3" spans="1:7" x14ac:dyDescent="0.25">
      <c r="A3" s="1">
        <v>44986</v>
      </c>
      <c r="B3">
        <v>550</v>
      </c>
      <c r="C3">
        <v>475</v>
      </c>
      <c r="D3" s="7">
        <f>_xlfn.XLOOKUP(A3,'rai-values-3bh'!E:E,'rai-values-3bh'!H:H)</f>
        <v>560.89805057955732</v>
      </c>
      <c r="E3" s="7">
        <f t="shared" ref="E3:F14" si="0">B3/$D3</f>
        <v>0.98057035397378056</v>
      </c>
      <c r="F3" s="7">
        <f t="shared" si="0"/>
        <v>0.84685621479553774</v>
      </c>
    </row>
    <row r="4" spans="1:7" x14ac:dyDescent="0.25">
      <c r="A4" s="1">
        <v>45078</v>
      </c>
      <c r="B4">
        <v>530</v>
      </c>
      <c r="C4">
        <v>450</v>
      </c>
      <c r="D4" s="7">
        <f>_xlfn.XLOOKUP(A4,'rai-values-3bh'!E:E,'rai-values-3bh'!H:H)</f>
        <v>530.30361145703603</v>
      </c>
      <c r="E4" s="7">
        <f t="shared" si="0"/>
        <v>0.99942747616558403</v>
      </c>
      <c r="F4" s="7">
        <f t="shared" si="0"/>
        <v>0.84857049863115619</v>
      </c>
    </row>
    <row r="5" spans="1:7" x14ac:dyDescent="0.25">
      <c r="A5" s="1">
        <v>45170</v>
      </c>
      <c r="B5">
        <v>530</v>
      </c>
      <c r="C5">
        <v>450</v>
      </c>
      <c r="D5" s="7">
        <f>_xlfn.XLOOKUP(A5,'rai-values-3bh'!E:E,'rai-values-3bh'!H:H)</f>
        <v>553.29638854296388</v>
      </c>
      <c r="E5" s="7">
        <f t="shared" si="0"/>
        <v>0.95789528175972383</v>
      </c>
      <c r="F5" s="7">
        <f t="shared" si="0"/>
        <v>0.8133073147016523</v>
      </c>
    </row>
    <row r="6" spans="1:7" x14ac:dyDescent="0.25">
      <c r="A6" s="1">
        <v>45261</v>
      </c>
      <c r="B6">
        <v>550</v>
      </c>
      <c r="C6">
        <v>450</v>
      </c>
      <c r="D6" s="7">
        <f>_xlfn.XLOOKUP(A6,'rai-values-3bh'!E:E,'rai-values-3bh'!H:H)</f>
        <v>574.17549754458514</v>
      </c>
      <c r="E6" s="7">
        <f t="shared" si="0"/>
        <v>0.95789528175972383</v>
      </c>
      <c r="F6" s="7">
        <f t="shared" si="0"/>
        <v>0.78373250325795585</v>
      </c>
    </row>
    <row r="7" spans="1:7" x14ac:dyDescent="0.25">
      <c r="A7" s="1">
        <v>45352</v>
      </c>
      <c r="B7">
        <v>550</v>
      </c>
      <c r="C7">
        <v>460</v>
      </c>
      <c r="D7" s="7">
        <f>_xlfn.XLOOKUP(A7,'rai-values-3bh'!E:E,'rai-values-3bh'!H:H)</f>
        <v>548.31173639392819</v>
      </c>
      <c r="E7" s="7">
        <f t="shared" si="0"/>
        <v>1.0030790214653711</v>
      </c>
      <c r="F7" s="7">
        <f t="shared" si="0"/>
        <v>0.83893881795285585</v>
      </c>
    </row>
    <row r="8" spans="1:7" x14ac:dyDescent="0.25">
      <c r="A8" s="1">
        <v>45444</v>
      </c>
      <c r="B8">
        <v>540</v>
      </c>
      <c r="C8">
        <v>460</v>
      </c>
      <c r="D8" s="7">
        <f>_xlfn.XLOOKUP(A8,'rai-values-3bh'!E:E,'rai-values-3bh'!H:H)</f>
        <v>529.24002382370452</v>
      </c>
      <c r="E8" s="7">
        <f t="shared" si="0"/>
        <v>1.0203309948075274</v>
      </c>
      <c r="F8" s="7">
        <f t="shared" si="0"/>
        <v>0.8691708474286346</v>
      </c>
    </row>
    <row r="9" spans="1:7" x14ac:dyDescent="0.25">
      <c r="A9" s="1">
        <v>45536</v>
      </c>
      <c r="B9">
        <v>550</v>
      </c>
      <c r="C9">
        <v>460</v>
      </c>
      <c r="D9" s="7">
        <f>_xlfn.XLOOKUP(A9,'rai-values-3bh'!E:E,'rai-values-3bh'!H:H)</f>
        <v>567.94594594594605</v>
      </c>
      <c r="E9" s="7">
        <f t="shared" si="0"/>
        <v>0.96840201770248391</v>
      </c>
      <c r="F9" s="7">
        <f t="shared" si="0"/>
        <v>0.80993623298753192</v>
      </c>
    </row>
    <row r="10" spans="1:7" x14ac:dyDescent="0.25">
      <c r="A10" s="1">
        <v>45627</v>
      </c>
      <c r="B10">
        <v>550</v>
      </c>
      <c r="C10">
        <v>460</v>
      </c>
      <c r="D10" s="7">
        <f>_xlfn.XLOOKUP(A10,'rai-values-3bh'!E:E,'rai-values-3bh'!H:H)</f>
        <v>567.94594594594605</v>
      </c>
      <c r="E10" s="7">
        <f t="shared" si="0"/>
        <v>0.96840201770248391</v>
      </c>
      <c r="F10" s="7">
        <f t="shared" si="0"/>
        <v>0.80993623298753192</v>
      </c>
    </row>
    <row r="11" spans="1:7" x14ac:dyDescent="0.25">
      <c r="A11" s="1">
        <v>45717</v>
      </c>
      <c r="B11">
        <v>570</v>
      </c>
      <c r="C11">
        <v>480</v>
      </c>
      <c r="D11" s="7">
        <f>_xlfn.XLOOKUP(A11,'rai-values-3bh'!E:E,'rai-values-3bh'!H:H)</f>
        <v>567.94594594594605</v>
      </c>
      <c r="E11" s="7">
        <f t="shared" si="0"/>
        <v>1.0036166365280288</v>
      </c>
      <c r="F11" s="7">
        <f t="shared" si="0"/>
        <v>0.84515085181307681</v>
      </c>
    </row>
    <row r="12" spans="1:7" x14ac:dyDescent="0.25">
      <c r="A12" s="1">
        <v>45809</v>
      </c>
      <c r="B12">
        <v>570</v>
      </c>
      <c r="C12">
        <v>500</v>
      </c>
      <c r="D12" s="7">
        <f>_xlfn.XLOOKUP(A12,'rai-values-3bh'!E:E,'rai-values-3bh'!H:H)</f>
        <v>578.36697247706422</v>
      </c>
      <c r="E12" s="7">
        <f t="shared" si="0"/>
        <v>0.98553345388788427</v>
      </c>
      <c r="F12" s="7">
        <f t="shared" si="0"/>
        <v>0.86450302972621429</v>
      </c>
    </row>
    <row r="13" spans="1:7" x14ac:dyDescent="0.25">
      <c r="A13" s="1">
        <v>45901</v>
      </c>
      <c r="B13">
        <v>580</v>
      </c>
      <c r="C13">
        <v>490</v>
      </c>
      <c r="D13" s="7" t="e">
        <f>_xlfn.XLOOKUP(A13,'rai-values-3bh'!E:E,'rai-values-3bh'!H:H)</f>
        <v>#DIV/0!</v>
      </c>
      <c r="E13" s="46" t="e">
        <f t="shared" si="0"/>
        <v>#DIV/0!</v>
      </c>
      <c r="F13" s="46" t="e">
        <f t="shared" si="0"/>
        <v>#DIV/0!</v>
      </c>
    </row>
    <row r="14" spans="1:7" x14ac:dyDescent="0.25">
      <c r="A14" s="1">
        <v>45992</v>
      </c>
      <c r="B14">
        <v>600</v>
      </c>
      <c r="C14">
        <v>480</v>
      </c>
      <c r="D14" s="7" t="e">
        <f>_xlfn.XLOOKUP(A14,'rai-values-3bh'!E:E,'rai-values-3bh'!H:H)</f>
        <v>#DIV/0!</v>
      </c>
      <c r="E14" s="46" t="e">
        <f t="shared" si="0"/>
        <v>#DIV/0!</v>
      </c>
      <c r="F14" s="46" t="e">
        <f t="shared" si="0"/>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9194-BCD9-42F8-AB42-5331A10B1A16}">
  <sheetPr>
    <tabColor rgb="FFFF0000"/>
  </sheetPr>
  <dimension ref="A1:D13"/>
  <sheetViews>
    <sheetView workbookViewId="0">
      <selection activeCell="A3" sqref="A3"/>
    </sheetView>
  </sheetViews>
  <sheetFormatPr defaultRowHeight="15" x14ac:dyDescent="0.25"/>
  <cols>
    <col min="1" max="1" width="11.85546875" customWidth="1"/>
    <col min="2" max="3" width="19.85546875" customWidth="1"/>
  </cols>
  <sheetData>
    <row r="1" spans="1:4" x14ac:dyDescent="0.25">
      <c r="A1" t="s">
        <v>641</v>
      </c>
      <c r="D1" s="48" t="s">
        <v>642</v>
      </c>
    </row>
    <row r="2" spans="1:4" x14ac:dyDescent="0.25">
      <c r="A2" t="s">
        <v>665</v>
      </c>
      <c r="B2" t="s">
        <v>643</v>
      </c>
      <c r="C2" t="s">
        <v>644</v>
      </c>
    </row>
    <row r="3" spans="1:4" x14ac:dyDescent="0.25">
      <c r="A3">
        <v>2008</v>
      </c>
      <c r="B3">
        <v>295</v>
      </c>
      <c r="C3">
        <v>251</v>
      </c>
    </row>
    <row r="4" spans="1:4" x14ac:dyDescent="0.25">
      <c r="A4">
        <v>2010</v>
      </c>
      <c r="B4">
        <v>318</v>
      </c>
      <c r="C4">
        <v>263</v>
      </c>
    </row>
    <row r="5" spans="1:4" x14ac:dyDescent="0.25">
      <c r="A5">
        <v>2015</v>
      </c>
      <c r="B5">
        <v>329</v>
      </c>
      <c r="C5">
        <v>277</v>
      </c>
    </row>
    <row r="6" spans="1:4" x14ac:dyDescent="0.25">
      <c r="A6">
        <v>2016</v>
      </c>
      <c r="B6">
        <v>351</v>
      </c>
      <c r="C6">
        <v>290</v>
      </c>
    </row>
    <row r="7" spans="1:4" x14ac:dyDescent="0.25">
      <c r="A7">
        <v>2017</v>
      </c>
      <c r="B7">
        <v>372</v>
      </c>
      <c r="C7">
        <v>309</v>
      </c>
    </row>
    <row r="8" spans="1:4" x14ac:dyDescent="0.25">
      <c r="A8">
        <v>2018</v>
      </c>
      <c r="B8">
        <v>407</v>
      </c>
      <c r="C8">
        <v>344</v>
      </c>
    </row>
    <row r="9" spans="1:4" x14ac:dyDescent="0.25">
      <c r="A9">
        <v>2019</v>
      </c>
      <c r="B9">
        <v>445</v>
      </c>
      <c r="C9">
        <v>379</v>
      </c>
    </row>
    <row r="10" spans="1:4" x14ac:dyDescent="0.25">
      <c r="A10">
        <v>2020</v>
      </c>
      <c r="B10">
        <v>457</v>
      </c>
      <c r="C10">
        <v>400</v>
      </c>
    </row>
    <row r="11" spans="1:4" x14ac:dyDescent="0.25">
      <c r="A11">
        <v>2021</v>
      </c>
      <c r="B11">
        <v>481</v>
      </c>
      <c r="C11">
        <v>410</v>
      </c>
    </row>
    <row r="12" spans="1:4" x14ac:dyDescent="0.25">
      <c r="A12" s="1">
        <v>44713</v>
      </c>
      <c r="B12">
        <v>520</v>
      </c>
      <c r="C12">
        <v>438</v>
      </c>
    </row>
    <row r="13" spans="1:4" x14ac:dyDescent="0.25">
      <c r="A13" s="1">
        <v>44896</v>
      </c>
      <c r="B13">
        <v>550</v>
      </c>
      <c r="C13">
        <v>450</v>
      </c>
    </row>
  </sheetData>
  <hyperlinks>
    <hyperlink ref="D1" r:id="rId1" xr:uid="{B15FD65B-4FD1-4A0E-8FF8-8631018504D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679F-2DC1-4787-81E2-7164773EA4E4}">
  <sheetPr>
    <tabColor rgb="FFFF0000"/>
    <pageSetUpPr autoPageBreaks="0"/>
  </sheetPr>
  <dimension ref="A1:L63"/>
  <sheetViews>
    <sheetView zoomScaleNormal="100" workbookViewId="0">
      <selection activeCell="F20" sqref="F20"/>
    </sheetView>
  </sheetViews>
  <sheetFormatPr defaultRowHeight="15" x14ac:dyDescent="0.25"/>
  <cols>
    <col min="8" max="8" width="20" bestFit="1" customWidth="1"/>
  </cols>
  <sheetData>
    <row r="1" spans="1:12" x14ac:dyDescent="0.25">
      <c r="E1" t="s">
        <v>645</v>
      </c>
      <c r="H1" t="s">
        <v>660</v>
      </c>
    </row>
    <row r="2" spans="1:12" x14ac:dyDescent="0.25">
      <c r="A2" t="s">
        <v>646</v>
      </c>
      <c r="E2" t="s">
        <v>647</v>
      </c>
      <c r="H2" t="s">
        <v>661</v>
      </c>
    </row>
    <row r="3" spans="1:12" x14ac:dyDescent="0.25">
      <c r="A3" t="s">
        <v>648</v>
      </c>
      <c r="B3" t="s">
        <v>631</v>
      </c>
      <c r="C3" t="s">
        <v>649</v>
      </c>
      <c r="E3" t="s">
        <v>2</v>
      </c>
      <c r="F3" t="s">
        <v>650</v>
      </c>
      <c r="G3" t="s">
        <v>651</v>
      </c>
      <c r="H3" t="s">
        <v>652</v>
      </c>
    </row>
    <row r="4" spans="1:12" x14ac:dyDescent="0.25">
      <c r="A4" t="s">
        <v>655</v>
      </c>
      <c r="B4">
        <v>2011</v>
      </c>
      <c r="C4" s="47">
        <v>78163</v>
      </c>
      <c r="E4" s="1">
        <v>40603</v>
      </c>
      <c r="F4">
        <f>IF(MONTH(E4)&gt;6,YEAR(E4)+1,YEAR(E4))</f>
        <v>2011</v>
      </c>
      <c r="G4">
        <v>170</v>
      </c>
      <c r="H4" s="7">
        <f>(100/G4)*0.3*(_xlfn.XLOOKUP(F4,B:B,C:C)/(365/7))</f>
        <v>264.53231265108786</v>
      </c>
    </row>
    <row r="5" spans="1:12" x14ac:dyDescent="0.25">
      <c r="A5" t="s">
        <v>655</v>
      </c>
      <c r="B5">
        <v>2012</v>
      </c>
      <c r="C5" s="47">
        <v>81358</v>
      </c>
      <c r="E5" s="1">
        <v>40695</v>
      </c>
      <c r="F5">
        <f t="shared" ref="F5:F63" si="0">IF(MONTH(E5)&gt;6,YEAR(E5)+1,YEAR(E5))</f>
        <v>2011</v>
      </c>
      <c r="G5">
        <v>167</v>
      </c>
      <c r="H5" s="7">
        <f t="shared" ref="H5:H63" si="1">(100/G5)*0.3*(_xlfn.XLOOKUP(F5,B:B,C:C)/(365/7))</f>
        <v>269.28439012386184</v>
      </c>
      <c r="L5" s="47"/>
    </row>
    <row r="6" spans="1:12" x14ac:dyDescent="0.25">
      <c r="A6" t="s">
        <v>655</v>
      </c>
      <c r="B6">
        <v>2013</v>
      </c>
      <c r="C6" s="47">
        <v>83462</v>
      </c>
      <c r="E6" s="1">
        <v>40787</v>
      </c>
      <c r="F6">
        <f t="shared" si="0"/>
        <v>2012</v>
      </c>
      <c r="G6">
        <v>167</v>
      </c>
      <c r="H6" s="7">
        <f t="shared" si="1"/>
        <v>280.29169059141981</v>
      </c>
      <c r="L6" s="47"/>
    </row>
    <row r="7" spans="1:12" x14ac:dyDescent="0.25">
      <c r="A7" t="s">
        <v>655</v>
      </c>
      <c r="B7">
        <v>2014</v>
      </c>
      <c r="C7" s="47">
        <v>82940</v>
      </c>
      <c r="E7" s="1">
        <v>40878</v>
      </c>
      <c r="F7">
        <f t="shared" si="0"/>
        <v>2012</v>
      </c>
      <c r="G7">
        <v>167</v>
      </c>
      <c r="H7" s="7">
        <f t="shared" si="1"/>
        <v>280.29169059141981</v>
      </c>
      <c r="L7" s="47"/>
    </row>
    <row r="8" spans="1:12" x14ac:dyDescent="0.25">
      <c r="A8" t="s">
        <v>655</v>
      </c>
      <c r="B8">
        <v>2015</v>
      </c>
      <c r="C8" s="47">
        <v>84937</v>
      </c>
      <c r="E8" s="1">
        <v>40969</v>
      </c>
      <c r="F8">
        <f t="shared" si="0"/>
        <v>2012</v>
      </c>
      <c r="G8">
        <v>174</v>
      </c>
      <c r="H8" s="7">
        <f t="shared" si="1"/>
        <v>269.01558809636271</v>
      </c>
      <c r="L8" s="47"/>
    </row>
    <row r="9" spans="1:12" x14ac:dyDescent="0.25">
      <c r="A9" t="s">
        <v>655</v>
      </c>
      <c r="B9">
        <v>2016</v>
      </c>
      <c r="C9" s="47">
        <v>86935</v>
      </c>
      <c r="E9" s="1">
        <v>41061</v>
      </c>
      <c r="F9">
        <f t="shared" si="0"/>
        <v>2012</v>
      </c>
      <c r="G9">
        <v>181</v>
      </c>
      <c r="H9" s="7">
        <f t="shared" si="1"/>
        <v>258.61167032468023</v>
      </c>
      <c r="L9" s="47"/>
    </row>
    <row r="10" spans="1:12" x14ac:dyDescent="0.25">
      <c r="A10" t="s">
        <v>655</v>
      </c>
      <c r="B10">
        <v>2017</v>
      </c>
      <c r="C10" s="47">
        <v>90009</v>
      </c>
      <c r="E10" s="1">
        <v>41153</v>
      </c>
      <c r="F10">
        <f t="shared" si="0"/>
        <v>2013</v>
      </c>
      <c r="G10">
        <v>188</v>
      </c>
      <c r="H10" s="7">
        <f t="shared" si="1"/>
        <v>255.42145147187406</v>
      </c>
      <c r="L10" s="47"/>
    </row>
    <row r="11" spans="1:12" x14ac:dyDescent="0.25">
      <c r="A11" t="s">
        <v>655</v>
      </c>
      <c r="B11">
        <v>2018</v>
      </c>
      <c r="C11" s="47">
        <v>93082</v>
      </c>
      <c r="E11" s="1">
        <v>41244</v>
      </c>
      <c r="F11">
        <f t="shared" si="0"/>
        <v>2013</v>
      </c>
      <c r="G11">
        <v>181</v>
      </c>
      <c r="H11" s="7">
        <f t="shared" si="1"/>
        <v>265.29962915310676</v>
      </c>
      <c r="L11" s="47"/>
    </row>
    <row r="12" spans="1:12" x14ac:dyDescent="0.25">
      <c r="A12" t="s">
        <v>655</v>
      </c>
      <c r="B12">
        <v>2019</v>
      </c>
      <c r="C12" s="47">
        <v>95170</v>
      </c>
      <c r="E12" s="1">
        <v>41334</v>
      </c>
      <c r="F12">
        <f t="shared" si="0"/>
        <v>2013</v>
      </c>
      <c r="G12">
        <v>178</v>
      </c>
      <c r="H12" s="7">
        <f t="shared" si="1"/>
        <v>269.770971217485</v>
      </c>
      <c r="L12" s="47"/>
    </row>
    <row r="13" spans="1:12" x14ac:dyDescent="0.25">
      <c r="A13" t="s">
        <v>655</v>
      </c>
      <c r="B13">
        <v>2020</v>
      </c>
      <c r="C13" s="47">
        <v>97259</v>
      </c>
      <c r="E13" s="1">
        <v>41426</v>
      </c>
      <c r="F13">
        <f t="shared" si="0"/>
        <v>2013</v>
      </c>
      <c r="G13">
        <v>185</v>
      </c>
      <c r="H13" s="7">
        <f t="shared" si="1"/>
        <v>259.56342095520176</v>
      </c>
      <c r="L13" s="47"/>
    </row>
    <row r="14" spans="1:12" x14ac:dyDescent="0.25">
      <c r="A14" t="s">
        <v>655</v>
      </c>
      <c r="B14">
        <v>2021</v>
      </c>
      <c r="C14" s="47">
        <v>99410</v>
      </c>
      <c r="E14" s="1">
        <v>41518</v>
      </c>
      <c r="F14">
        <f t="shared" si="0"/>
        <v>2014</v>
      </c>
      <c r="G14">
        <v>185</v>
      </c>
      <c r="H14" s="7">
        <f t="shared" si="1"/>
        <v>257.94002221399484</v>
      </c>
      <c r="L14" s="47"/>
    </row>
    <row r="15" spans="1:12" x14ac:dyDescent="0.25">
      <c r="A15" t="s">
        <v>655</v>
      </c>
      <c r="B15">
        <v>2022</v>
      </c>
      <c r="C15" s="47">
        <v>98993</v>
      </c>
      <c r="E15" s="1">
        <v>41609</v>
      </c>
      <c r="F15">
        <f t="shared" si="0"/>
        <v>2014</v>
      </c>
      <c r="G15">
        <v>182</v>
      </c>
      <c r="H15" s="7">
        <f t="shared" si="1"/>
        <v>262.1917808219178</v>
      </c>
      <c r="L15" s="47"/>
    </row>
    <row r="16" spans="1:12" x14ac:dyDescent="0.25">
      <c r="A16" t="s">
        <v>655</v>
      </c>
      <c r="B16">
        <v>2023</v>
      </c>
      <c r="C16" s="47">
        <v>101389</v>
      </c>
      <c r="E16" s="1">
        <v>41699</v>
      </c>
      <c r="F16">
        <f t="shared" si="0"/>
        <v>2014</v>
      </c>
      <c r="G16">
        <v>177</v>
      </c>
      <c r="H16" s="7">
        <f t="shared" si="1"/>
        <v>269.59832830276292</v>
      </c>
      <c r="L16" s="47"/>
    </row>
    <row r="17" spans="1:12" x14ac:dyDescent="0.25">
      <c r="A17" t="s">
        <v>655</v>
      </c>
      <c r="B17">
        <v>2024</v>
      </c>
      <c r="C17" s="47">
        <v>105785</v>
      </c>
      <c r="E17" s="1">
        <v>41791</v>
      </c>
      <c r="F17">
        <f t="shared" si="0"/>
        <v>2014</v>
      </c>
      <c r="G17">
        <v>177</v>
      </c>
      <c r="H17" s="7">
        <f t="shared" si="1"/>
        <v>269.59832830276292</v>
      </c>
      <c r="L17" s="47"/>
    </row>
    <row r="18" spans="1:12" x14ac:dyDescent="0.25">
      <c r="A18" t="s">
        <v>655</v>
      </c>
      <c r="B18">
        <v>2025</v>
      </c>
      <c r="C18" s="47">
        <v>109573</v>
      </c>
      <c r="E18" s="1">
        <v>41883</v>
      </c>
      <c r="F18">
        <f t="shared" si="0"/>
        <v>2015</v>
      </c>
      <c r="G18">
        <v>181</v>
      </c>
      <c r="H18" s="7">
        <f t="shared" si="1"/>
        <v>269.98819344584876</v>
      </c>
      <c r="L18" s="47"/>
    </row>
    <row r="19" spans="1:12" x14ac:dyDescent="0.25">
      <c r="E19" s="1">
        <v>41974</v>
      </c>
      <c r="F19">
        <f t="shared" si="0"/>
        <v>2015</v>
      </c>
      <c r="G19">
        <v>177</v>
      </c>
      <c r="H19" s="7">
        <f t="shared" si="1"/>
        <v>276.0896215463199</v>
      </c>
      <c r="L19" s="47"/>
    </row>
    <row r="20" spans="1:12" x14ac:dyDescent="0.25">
      <c r="E20" s="1">
        <v>42064</v>
      </c>
      <c r="F20">
        <f t="shared" si="0"/>
        <v>2015</v>
      </c>
      <c r="G20">
        <v>175</v>
      </c>
      <c r="H20" s="7">
        <f t="shared" si="1"/>
        <v>279.24493150684924</v>
      </c>
    </row>
    <row r="21" spans="1:12" x14ac:dyDescent="0.25">
      <c r="E21" s="1">
        <v>42156</v>
      </c>
      <c r="F21">
        <f t="shared" si="0"/>
        <v>2015</v>
      </c>
      <c r="G21">
        <v>178</v>
      </c>
      <c r="H21" s="7">
        <f t="shared" si="1"/>
        <v>274.53855625673384</v>
      </c>
    </row>
    <row r="22" spans="1:12" x14ac:dyDescent="0.25">
      <c r="E22" s="1">
        <v>42248</v>
      </c>
      <c r="F22">
        <f t="shared" si="0"/>
        <v>2016</v>
      </c>
      <c r="G22">
        <v>178</v>
      </c>
      <c r="H22" s="7">
        <f t="shared" si="1"/>
        <v>280.99661382176384</v>
      </c>
    </row>
    <row r="23" spans="1:12" x14ac:dyDescent="0.25">
      <c r="E23" s="1">
        <v>42339</v>
      </c>
      <c r="F23">
        <f t="shared" si="0"/>
        <v>2016</v>
      </c>
      <c r="G23">
        <v>175</v>
      </c>
      <c r="H23" s="7">
        <f t="shared" si="1"/>
        <v>285.81369863013691</v>
      </c>
    </row>
    <row r="24" spans="1:12" x14ac:dyDescent="0.25">
      <c r="E24" s="1">
        <v>42430</v>
      </c>
      <c r="F24">
        <f t="shared" si="0"/>
        <v>2016</v>
      </c>
      <c r="G24">
        <v>167</v>
      </c>
      <c r="H24" s="7">
        <f t="shared" si="1"/>
        <v>299.50537281601174</v>
      </c>
    </row>
    <row r="25" spans="1:12" x14ac:dyDescent="0.25">
      <c r="E25" s="1">
        <v>42522</v>
      </c>
      <c r="F25">
        <f t="shared" si="0"/>
        <v>2016</v>
      </c>
      <c r="G25">
        <v>179</v>
      </c>
      <c r="H25" s="7">
        <f t="shared" si="1"/>
        <v>279.42680033672605</v>
      </c>
    </row>
    <row r="26" spans="1:12" x14ac:dyDescent="0.25">
      <c r="E26" s="1">
        <v>42614</v>
      </c>
      <c r="F26">
        <f t="shared" si="0"/>
        <v>2017</v>
      </c>
      <c r="G26">
        <v>176</v>
      </c>
      <c r="H26" s="7">
        <f t="shared" si="1"/>
        <v>294.23863636363637</v>
      </c>
    </row>
    <row r="27" spans="1:12" x14ac:dyDescent="0.25">
      <c r="E27" s="1">
        <v>42705</v>
      </c>
      <c r="F27">
        <f t="shared" si="0"/>
        <v>2017</v>
      </c>
      <c r="G27">
        <v>167</v>
      </c>
      <c r="H27" s="7">
        <f t="shared" si="1"/>
        <v>310.09580838323348</v>
      </c>
    </row>
    <row r="28" spans="1:12" x14ac:dyDescent="0.25">
      <c r="E28" s="1">
        <v>42795</v>
      </c>
      <c r="F28">
        <f t="shared" si="0"/>
        <v>2017</v>
      </c>
      <c r="G28">
        <v>162</v>
      </c>
      <c r="H28" s="7">
        <f t="shared" si="1"/>
        <v>319.66666666666663</v>
      </c>
    </row>
    <row r="29" spans="1:12" x14ac:dyDescent="0.25">
      <c r="E29" s="1">
        <v>42887</v>
      </c>
      <c r="F29">
        <f t="shared" si="0"/>
        <v>2017</v>
      </c>
      <c r="G29">
        <v>168</v>
      </c>
      <c r="H29" s="7">
        <f t="shared" si="1"/>
        <v>308.25</v>
      </c>
    </row>
    <row r="30" spans="1:12" x14ac:dyDescent="0.25">
      <c r="E30" s="1">
        <v>42979</v>
      </c>
      <c r="F30">
        <f t="shared" si="0"/>
        <v>2018</v>
      </c>
      <c r="G30">
        <v>162</v>
      </c>
      <c r="H30" s="7">
        <f t="shared" si="1"/>
        <v>330.58041603247079</v>
      </c>
    </row>
    <row r="31" spans="1:12" x14ac:dyDescent="0.25">
      <c r="E31" s="1">
        <v>43070</v>
      </c>
      <c r="F31">
        <f t="shared" si="0"/>
        <v>2018</v>
      </c>
      <c r="G31">
        <v>162</v>
      </c>
      <c r="H31" s="7">
        <f t="shared" si="1"/>
        <v>330.58041603247079</v>
      </c>
    </row>
    <row r="32" spans="1:12" x14ac:dyDescent="0.25">
      <c r="E32" s="1">
        <v>43160</v>
      </c>
      <c r="F32">
        <f t="shared" si="0"/>
        <v>2018</v>
      </c>
      <c r="G32">
        <v>158</v>
      </c>
      <c r="H32" s="7">
        <f t="shared" si="1"/>
        <v>338.9495404889891</v>
      </c>
    </row>
    <row r="33" spans="5:8" x14ac:dyDescent="0.25">
      <c r="E33" s="1">
        <v>43252</v>
      </c>
      <c r="F33">
        <f t="shared" si="0"/>
        <v>2018</v>
      </c>
      <c r="G33">
        <v>153</v>
      </c>
      <c r="H33" s="7">
        <f t="shared" si="1"/>
        <v>350.02632285791026</v>
      </c>
    </row>
    <row r="34" spans="5:8" x14ac:dyDescent="0.25">
      <c r="E34" s="1">
        <v>43344</v>
      </c>
      <c r="F34">
        <f t="shared" si="0"/>
        <v>2019</v>
      </c>
      <c r="G34">
        <v>156</v>
      </c>
      <c r="H34" s="7">
        <f t="shared" si="1"/>
        <v>350.99578503688093</v>
      </c>
    </row>
    <row r="35" spans="5:8" x14ac:dyDescent="0.25">
      <c r="E35" s="1">
        <v>43435</v>
      </c>
      <c r="F35">
        <f t="shared" si="0"/>
        <v>2019</v>
      </c>
      <c r="G35">
        <v>153</v>
      </c>
      <c r="H35" s="7">
        <f t="shared" si="1"/>
        <v>357.87805533172173</v>
      </c>
    </row>
    <row r="36" spans="5:8" x14ac:dyDescent="0.25">
      <c r="E36" s="1">
        <v>43525</v>
      </c>
      <c r="F36">
        <f t="shared" si="0"/>
        <v>2019</v>
      </c>
      <c r="G36">
        <v>144</v>
      </c>
      <c r="H36" s="7">
        <f t="shared" si="1"/>
        <v>380.24543378995429</v>
      </c>
    </row>
    <row r="37" spans="5:8" x14ac:dyDescent="0.25">
      <c r="E37" s="1">
        <v>43617</v>
      </c>
      <c r="F37">
        <f t="shared" si="0"/>
        <v>2019</v>
      </c>
      <c r="G37">
        <v>148</v>
      </c>
      <c r="H37" s="7">
        <f t="shared" si="1"/>
        <v>369.96853017400957</v>
      </c>
    </row>
    <row r="38" spans="5:8" x14ac:dyDescent="0.25">
      <c r="E38" s="1">
        <v>43709</v>
      </c>
      <c r="F38">
        <f t="shared" si="0"/>
        <v>2020</v>
      </c>
      <c r="G38">
        <v>144</v>
      </c>
      <c r="H38" s="7">
        <f t="shared" si="1"/>
        <v>388.59189497716892</v>
      </c>
    </row>
    <row r="39" spans="5:8" x14ac:dyDescent="0.25">
      <c r="E39" s="1">
        <v>43800</v>
      </c>
      <c r="F39">
        <f t="shared" si="0"/>
        <v>2020</v>
      </c>
      <c r="G39">
        <v>139</v>
      </c>
      <c r="H39" s="7">
        <f t="shared" si="1"/>
        <v>402.57002069577209</v>
      </c>
    </row>
    <row r="40" spans="5:8" x14ac:dyDescent="0.25">
      <c r="E40" s="1">
        <v>43891</v>
      </c>
      <c r="F40">
        <f t="shared" si="0"/>
        <v>2020</v>
      </c>
      <c r="G40">
        <v>140</v>
      </c>
      <c r="H40" s="7">
        <f t="shared" si="1"/>
        <v>399.69452054794516</v>
      </c>
    </row>
    <row r="41" spans="5:8" x14ac:dyDescent="0.25">
      <c r="E41" s="1">
        <v>43983</v>
      </c>
      <c r="F41">
        <f t="shared" si="0"/>
        <v>2020</v>
      </c>
      <c r="G41">
        <v>152</v>
      </c>
      <c r="H41" s="7">
        <f t="shared" si="1"/>
        <v>368.1396899783706</v>
      </c>
    </row>
    <row r="42" spans="5:8" x14ac:dyDescent="0.25">
      <c r="E42" s="1">
        <v>44075</v>
      </c>
      <c r="F42">
        <f t="shared" si="0"/>
        <v>2021</v>
      </c>
      <c r="G42">
        <v>148</v>
      </c>
      <c r="H42" s="7">
        <f t="shared" si="1"/>
        <v>386.45131432802663</v>
      </c>
    </row>
    <row r="43" spans="5:8" x14ac:dyDescent="0.25">
      <c r="E43" s="1">
        <v>44166</v>
      </c>
      <c r="F43">
        <f t="shared" si="0"/>
        <v>2021</v>
      </c>
      <c r="G43">
        <v>146</v>
      </c>
      <c r="H43" s="7">
        <f t="shared" si="1"/>
        <v>391.74516794895845</v>
      </c>
    </row>
    <row r="44" spans="5:8" x14ac:dyDescent="0.25">
      <c r="E44" s="1">
        <v>44256</v>
      </c>
      <c r="F44">
        <f t="shared" si="0"/>
        <v>2021</v>
      </c>
      <c r="G44">
        <v>143</v>
      </c>
      <c r="H44" s="7">
        <f t="shared" si="1"/>
        <v>399.96359804578975</v>
      </c>
    </row>
    <row r="45" spans="5:8" x14ac:dyDescent="0.25">
      <c r="E45" s="1">
        <v>44348</v>
      </c>
      <c r="F45">
        <f t="shared" si="0"/>
        <v>2021</v>
      </c>
      <c r="G45">
        <v>143</v>
      </c>
      <c r="H45" s="7">
        <f t="shared" si="1"/>
        <v>399.96359804578975</v>
      </c>
    </row>
    <row r="46" spans="5:8" x14ac:dyDescent="0.25">
      <c r="E46" s="1">
        <v>44440</v>
      </c>
      <c r="F46">
        <f t="shared" si="0"/>
        <v>2022</v>
      </c>
      <c r="G46">
        <v>140</v>
      </c>
      <c r="H46" s="7">
        <f t="shared" si="1"/>
        <v>406.82054794520542</v>
      </c>
    </row>
    <row r="47" spans="5:8" x14ac:dyDescent="0.25">
      <c r="E47" s="1">
        <v>44531</v>
      </c>
      <c r="F47">
        <f t="shared" si="0"/>
        <v>2022</v>
      </c>
      <c r="G47">
        <v>137</v>
      </c>
      <c r="H47" s="7">
        <f t="shared" si="1"/>
        <v>415.72902709729021</v>
      </c>
    </row>
    <row r="48" spans="5:8" x14ac:dyDescent="0.25">
      <c r="E48" s="1">
        <v>44621</v>
      </c>
      <c r="F48">
        <f t="shared" si="0"/>
        <v>2022</v>
      </c>
      <c r="G48">
        <v>127</v>
      </c>
      <c r="H48" s="7">
        <f t="shared" si="1"/>
        <v>448.46359616006896</v>
      </c>
    </row>
    <row r="49" spans="5:8" x14ac:dyDescent="0.25">
      <c r="E49" s="1">
        <v>44713</v>
      </c>
      <c r="F49">
        <f t="shared" si="0"/>
        <v>2022</v>
      </c>
      <c r="G49">
        <v>127</v>
      </c>
      <c r="H49" s="7">
        <f t="shared" si="1"/>
        <v>448.46359616006896</v>
      </c>
    </row>
    <row r="50" spans="5:8" x14ac:dyDescent="0.25">
      <c r="E50" s="1">
        <v>44805</v>
      </c>
      <c r="F50">
        <f t="shared" si="0"/>
        <v>2023</v>
      </c>
      <c r="G50">
        <v>127</v>
      </c>
      <c r="H50" s="7">
        <f t="shared" si="1"/>
        <v>459.31808866357454</v>
      </c>
    </row>
    <row r="51" spans="5:8" x14ac:dyDescent="0.25">
      <c r="E51" s="1">
        <v>44896</v>
      </c>
      <c r="F51">
        <f t="shared" si="0"/>
        <v>2023</v>
      </c>
      <c r="G51">
        <v>127</v>
      </c>
      <c r="H51" s="7">
        <f t="shared" si="1"/>
        <v>459.31808866357454</v>
      </c>
    </row>
    <row r="52" spans="5:8" x14ac:dyDescent="0.25">
      <c r="E52" s="1">
        <v>44986</v>
      </c>
      <c r="F52">
        <f t="shared" si="0"/>
        <v>2023</v>
      </c>
      <c r="G52">
        <v>127</v>
      </c>
      <c r="H52" s="7">
        <f t="shared" si="1"/>
        <v>459.31808866357454</v>
      </c>
    </row>
    <row r="53" spans="5:8" x14ac:dyDescent="0.25">
      <c r="E53" s="1">
        <v>45078</v>
      </c>
      <c r="F53">
        <f t="shared" si="0"/>
        <v>2023</v>
      </c>
      <c r="G53">
        <v>130</v>
      </c>
      <c r="H53" s="7">
        <f t="shared" si="1"/>
        <v>448.71844046364595</v>
      </c>
    </row>
    <row r="54" spans="5:8" x14ac:dyDescent="0.25">
      <c r="E54" s="1">
        <v>45170</v>
      </c>
      <c r="F54">
        <f t="shared" si="0"/>
        <v>2024</v>
      </c>
      <c r="G54">
        <v>130</v>
      </c>
      <c r="H54" s="7">
        <f t="shared" si="1"/>
        <v>468.17386722866178</v>
      </c>
    </row>
    <row r="55" spans="5:8" x14ac:dyDescent="0.25">
      <c r="E55" s="1">
        <v>45261</v>
      </c>
      <c r="F55">
        <f t="shared" si="0"/>
        <v>2024</v>
      </c>
      <c r="G55">
        <v>130</v>
      </c>
      <c r="H55" s="7">
        <f t="shared" si="1"/>
        <v>468.17386722866178</v>
      </c>
    </row>
    <row r="56" spans="5:8" x14ac:dyDescent="0.25">
      <c r="E56" s="1">
        <v>45352</v>
      </c>
      <c r="F56">
        <f t="shared" si="0"/>
        <v>2024</v>
      </c>
      <c r="G56">
        <v>133</v>
      </c>
      <c r="H56" s="7">
        <f t="shared" si="1"/>
        <v>457.61355443403022</v>
      </c>
    </row>
    <row r="57" spans="5:8" x14ac:dyDescent="0.25">
      <c r="E57" s="1">
        <v>45444</v>
      </c>
      <c r="F57">
        <f t="shared" si="0"/>
        <v>2024</v>
      </c>
      <c r="G57">
        <v>136</v>
      </c>
      <c r="H57" s="7">
        <f t="shared" si="1"/>
        <v>447.51913779210315</v>
      </c>
    </row>
    <row r="58" spans="5:8" x14ac:dyDescent="0.25">
      <c r="E58" s="1">
        <v>45536</v>
      </c>
      <c r="F58">
        <f t="shared" si="0"/>
        <v>2025</v>
      </c>
      <c r="G58">
        <v>133</v>
      </c>
      <c r="H58" s="7">
        <f t="shared" si="1"/>
        <v>474</v>
      </c>
    </row>
    <row r="59" spans="5:8" x14ac:dyDescent="0.25">
      <c r="E59" s="1">
        <v>45627</v>
      </c>
      <c r="F59">
        <f t="shared" si="0"/>
        <v>2025</v>
      </c>
      <c r="G59">
        <v>130</v>
      </c>
      <c r="H59" s="7">
        <f t="shared" si="1"/>
        <v>484.93846153846158</v>
      </c>
    </row>
    <row r="60" spans="5:8" x14ac:dyDescent="0.25">
      <c r="E60" s="1">
        <v>45717</v>
      </c>
      <c r="F60">
        <f t="shared" si="0"/>
        <v>2025</v>
      </c>
      <c r="G60">
        <v>132</v>
      </c>
      <c r="H60" s="7">
        <f t="shared" si="1"/>
        <v>477.59090909090912</v>
      </c>
    </row>
    <row r="61" spans="5:8" x14ac:dyDescent="0.25">
      <c r="E61" s="1">
        <v>45809</v>
      </c>
      <c r="F61">
        <f t="shared" si="0"/>
        <v>2025</v>
      </c>
      <c r="G61">
        <v>132</v>
      </c>
      <c r="H61" s="7">
        <f t="shared" si="1"/>
        <v>477.59090909090912</v>
      </c>
    </row>
    <row r="62" spans="5:8" x14ac:dyDescent="0.25">
      <c r="E62" s="1">
        <v>45901</v>
      </c>
      <c r="F62">
        <f t="shared" si="0"/>
        <v>2026</v>
      </c>
      <c r="H62" s="7" t="e">
        <f t="shared" si="1"/>
        <v>#DIV/0!</v>
      </c>
    </row>
    <row r="63" spans="5:8" x14ac:dyDescent="0.25">
      <c r="E63" s="1">
        <v>45992</v>
      </c>
      <c r="F63">
        <f t="shared" si="0"/>
        <v>2026</v>
      </c>
      <c r="H63" s="7" t="e">
        <f t="shared" si="1"/>
        <v>#DIV/0!</v>
      </c>
    </row>
  </sheetData>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8C56-5EB4-4A17-883F-45F034504F13}">
  <sheetPr>
    <tabColor rgb="FFFF0000"/>
    <pageSetUpPr autoPageBreaks="0"/>
  </sheetPr>
  <dimension ref="A1:H63"/>
  <sheetViews>
    <sheetView zoomScaleNormal="100" workbookViewId="0">
      <selection activeCell="N13" sqref="N13"/>
    </sheetView>
  </sheetViews>
  <sheetFormatPr defaultRowHeight="15" x14ac:dyDescent="0.25"/>
  <cols>
    <col min="8" max="8" width="20" bestFit="1" customWidth="1"/>
  </cols>
  <sheetData>
    <row r="1" spans="1:8" x14ac:dyDescent="0.25">
      <c r="E1" t="s">
        <v>645</v>
      </c>
      <c r="H1" t="s">
        <v>656</v>
      </c>
    </row>
    <row r="2" spans="1:8" x14ac:dyDescent="0.25">
      <c r="A2" t="s">
        <v>646</v>
      </c>
      <c r="E2" t="s">
        <v>647</v>
      </c>
      <c r="H2" t="s">
        <v>657</v>
      </c>
    </row>
    <row r="3" spans="1:8" x14ac:dyDescent="0.25">
      <c r="A3" t="s">
        <v>648</v>
      </c>
      <c r="B3" t="s">
        <v>631</v>
      </c>
      <c r="C3" t="s">
        <v>649</v>
      </c>
      <c r="E3" t="s">
        <v>2</v>
      </c>
      <c r="F3" t="s">
        <v>650</v>
      </c>
      <c r="G3" t="s">
        <v>651</v>
      </c>
      <c r="H3" t="s">
        <v>652</v>
      </c>
    </row>
    <row r="4" spans="1:8" x14ac:dyDescent="0.25">
      <c r="A4" t="s">
        <v>655</v>
      </c>
      <c r="B4">
        <v>2011</v>
      </c>
      <c r="C4" s="47">
        <v>78163</v>
      </c>
      <c r="E4" s="1">
        <v>40603</v>
      </c>
      <c r="F4">
        <f>IF(MONTH(E4)&gt;6,YEAR(E4)+1,YEAR(E4))</f>
        <v>2011</v>
      </c>
      <c r="G4">
        <v>141</v>
      </c>
      <c r="H4" s="7">
        <f>(100/G4)*0.3*(_xlfn.XLOOKUP(F4,B:B,C:C)/(365/7))</f>
        <v>318.93966773535413</v>
      </c>
    </row>
    <row r="5" spans="1:8" x14ac:dyDescent="0.25">
      <c r="A5" t="s">
        <v>655</v>
      </c>
      <c r="B5">
        <v>2012</v>
      </c>
      <c r="C5" s="47">
        <v>81358</v>
      </c>
      <c r="E5" s="1">
        <v>40695</v>
      </c>
      <c r="F5">
        <f t="shared" ref="F5:F63" si="0">IF(MONTH(E5)&gt;6,YEAR(E5)+1,YEAR(E5))</f>
        <v>2011</v>
      </c>
      <c r="G5">
        <v>141</v>
      </c>
      <c r="H5" s="7">
        <f t="shared" ref="H5:H63" si="1">(100/G5)*0.3*(_xlfn.XLOOKUP(F5,B:B,C:C)/(365/7))</f>
        <v>318.93966773535413</v>
      </c>
    </row>
    <row r="6" spans="1:8" x14ac:dyDescent="0.25">
      <c r="A6" t="s">
        <v>655</v>
      </c>
      <c r="B6">
        <v>2013</v>
      </c>
      <c r="C6" s="47">
        <v>83462</v>
      </c>
      <c r="E6" s="1">
        <v>40787</v>
      </c>
      <c r="F6">
        <f t="shared" si="0"/>
        <v>2012</v>
      </c>
      <c r="G6">
        <v>141</v>
      </c>
      <c r="H6" s="7">
        <f t="shared" si="1"/>
        <v>331.97668318274555</v>
      </c>
    </row>
    <row r="7" spans="1:8" x14ac:dyDescent="0.25">
      <c r="A7" t="s">
        <v>655</v>
      </c>
      <c r="B7">
        <v>2014</v>
      </c>
      <c r="C7" s="47">
        <v>82940</v>
      </c>
      <c r="E7" s="1">
        <v>40878</v>
      </c>
      <c r="F7">
        <f t="shared" si="0"/>
        <v>2012</v>
      </c>
      <c r="G7">
        <v>141</v>
      </c>
      <c r="H7" s="7">
        <f t="shared" si="1"/>
        <v>331.97668318274555</v>
      </c>
    </row>
    <row r="8" spans="1:8" x14ac:dyDescent="0.25">
      <c r="A8" t="s">
        <v>655</v>
      </c>
      <c r="B8">
        <v>2015</v>
      </c>
      <c r="C8" s="47">
        <v>84937</v>
      </c>
      <c r="E8" s="1">
        <v>40969</v>
      </c>
      <c r="F8">
        <f t="shared" si="0"/>
        <v>2012</v>
      </c>
      <c r="G8">
        <v>144</v>
      </c>
      <c r="H8" s="7">
        <f t="shared" si="1"/>
        <v>325.06050228310494</v>
      </c>
    </row>
    <row r="9" spans="1:8" x14ac:dyDescent="0.25">
      <c r="A9" t="s">
        <v>655</v>
      </c>
      <c r="B9">
        <v>2016</v>
      </c>
      <c r="C9" s="47">
        <v>86935</v>
      </c>
      <c r="E9" s="1">
        <v>41061</v>
      </c>
      <c r="F9">
        <f t="shared" si="0"/>
        <v>2012</v>
      </c>
      <c r="G9">
        <v>151</v>
      </c>
      <c r="H9" s="7">
        <f t="shared" si="1"/>
        <v>309.99147237594121</v>
      </c>
    </row>
    <row r="10" spans="1:8" x14ac:dyDescent="0.25">
      <c r="A10" t="s">
        <v>655</v>
      </c>
      <c r="B10">
        <v>2017</v>
      </c>
      <c r="C10" s="47">
        <v>90009</v>
      </c>
      <c r="E10" s="1">
        <v>41153</v>
      </c>
      <c r="F10">
        <f t="shared" si="0"/>
        <v>2013</v>
      </c>
      <c r="G10">
        <v>151</v>
      </c>
      <c r="H10" s="7">
        <f t="shared" si="1"/>
        <v>318.00816474643926</v>
      </c>
    </row>
    <row r="11" spans="1:8" x14ac:dyDescent="0.25">
      <c r="A11" t="s">
        <v>655</v>
      </c>
      <c r="B11">
        <v>2018</v>
      </c>
      <c r="C11" s="47">
        <v>93082</v>
      </c>
      <c r="E11" s="1">
        <v>41244</v>
      </c>
      <c r="F11">
        <f t="shared" si="0"/>
        <v>2013</v>
      </c>
      <c r="G11">
        <v>151</v>
      </c>
      <c r="H11" s="7">
        <f t="shared" si="1"/>
        <v>318.00816474643926</v>
      </c>
    </row>
    <row r="12" spans="1:8" x14ac:dyDescent="0.25">
      <c r="A12" t="s">
        <v>655</v>
      </c>
      <c r="B12">
        <v>2019</v>
      </c>
      <c r="C12" s="47">
        <v>95170</v>
      </c>
      <c r="E12" s="1">
        <v>41334</v>
      </c>
      <c r="F12">
        <f t="shared" si="0"/>
        <v>2013</v>
      </c>
      <c r="G12">
        <v>150</v>
      </c>
      <c r="H12" s="7">
        <f t="shared" si="1"/>
        <v>320.12821917808219</v>
      </c>
    </row>
    <row r="13" spans="1:8" x14ac:dyDescent="0.25">
      <c r="A13" t="s">
        <v>655</v>
      </c>
      <c r="B13">
        <v>2020</v>
      </c>
      <c r="C13" s="47">
        <v>97259</v>
      </c>
      <c r="E13" s="1">
        <v>41426</v>
      </c>
      <c r="F13">
        <f t="shared" si="0"/>
        <v>2013</v>
      </c>
      <c r="G13">
        <v>155</v>
      </c>
      <c r="H13" s="7">
        <f t="shared" si="1"/>
        <v>309.80150243040214</v>
      </c>
    </row>
    <row r="14" spans="1:8" x14ac:dyDescent="0.25">
      <c r="A14" t="s">
        <v>655</v>
      </c>
      <c r="B14">
        <v>2021</v>
      </c>
      <c r="C14" s="47">
        <v>99410</v>
      </c>
      <c r="E14" s="1">
        <v>41518</v>
      </c>
      <c r="F14">
        <f t="shared" si="0"/>
        <v>2014</v>
      </c>
      <c r="G14">
        <v>150</v>
      </c>
      <c r="H14" s="7">
        <f t="shared" si="1"/>
        <v>318.12602739726026</v>
      </c>
    </row>
    <row r="15" spans="1:8" x14ac:dyDescent="0.25">
      <c r="A15" t="s">
        <v>655</v>
      </c>
      <c r="B15">
        <v>2022</v>
      </c>
      <c r="C15" s="47">
        <v>98993</v>
      </c>
      <c r="E15" s="1">
        <v>41609</v>
      </c>
      <c r="F15">
        <f t="shared" si="0"/>
        <v>2014</v>
      </c>
      <c r="G15">
        <v>150</v>
      </c>
      <c r="H15" s="7">
        <f t="shared" si="1"/>
        <v>318.12602739726026</v>
      </c>
    </row>
    <row r="16" spans="1:8" x14ac:dyDescent="0.25">
      <c r="A16" t="s">
        <v>655</v>
      </c>
      <c r="B16">
        <v>2023</v>
      </c>
      <c r="C16" s="47">
        <v>101389</v>
      </c>
      <c r="E16" s="1">
        <v>41699</v>
      </c>
      <c r="F16">
        <f t="shared" si="0"/>
        <v>2014</v>
      </c>
      <c r="G16">
        <v>145</v>
      </c>
      <c r="H16" s="7">
        <f t="shared" si="1"/>
        <v>329.09589041095887</v>
      </c>
    </row>
    <row r="17" spans="1:8" x14ac:dyDescent="0.25">
      <c r="A17" t="s">
        <v>655</v>
      </c>
      <c r="B17">
        <v>2024</v>
      </c>
      <c r="C17" s="47">
        <v>105785</v>
      </c>
      <c r="E17" s="1">
        <v>41791</v>
      </c>
      <c r="F17">
        <f t="shared" si="0"/>
        <v>2014</v>
      </c>
      <c r="G17">
        <v>150</v>
      </c>
      <c r="H17" s="7">
        <f t="shared" si="1"/>
        <v>318.12602739726026</v>
      </c>
    </row>
    <row r="18" spans="1:8" x14ac:dyDescent="0.25">
      <c r="A18" t="s">
        <v>655</v>
      </c>
      <c r="B18">
        <v>2025</v>
      </c>
      <c r="C18" s="47">
        <v>109573</v>
      </c>
      <c r="E18" s="1">
        <v>41883</v>
      </c>
      <c r="F18">
        <f t="shared" si="0"/>
        <v>2015</v>
      </c>
      <c r="G18">
        <v>154</v>
      </c>
      <c r="H18" s="7">
        <f t="shared" si="1"/>
        <v>317.3237858032378</v>
      </c>
    </row>
    <row r="19" spans="1:8" x14ac:dyDescent="0.25">
      <c r="E19" s="1">
        <v>41974</v>
      </c>
      <c r="F19">
        <f t="shared" si="0"/>
        <v>2015</v>
      </c>
      <c r="G19">
        <v>147</v>
      </c>
      <c r="H19" s="7">
        <f t="shared" si="1"/>
        <v>332.43444227005864</v>
      </c>
    </row>
    <row r="20" spans="1:8" x14ac:dyDescent="0.25">
      <c r="E20" s="1">
        <v>42064</v>
      </c>
      <c r="F20">
        <f t="shared" si="0"/>
        <v>2015</v>
      </c>
      <c r="G20">
        <v>144</v>
      </c>
      <c r="H20" s="7">
        <f t="shared" si="1"/>
        <v>339.36015981735153</v>
      </c>
    </row>
    <row r="21" spans="1:8" x14ac:dyDescent="0.25">
      <c r="E21" s="1">
        <v>42156</v>
      </c>
      <c r="F21">
        <f t="shared" si="0"/>
        <v>2015</v>
      </c>
      <c r="G21">
        <v>153</v>
      </c>
      <c r="H21" s="7">
        <f t="shared" si="1"/>
        <v>319.39779747515445</v>
      </c>
    </row>
    <row r="22" spans="1:8" x14ac:dyDescent="0.25">
      <c r="E22" s="1">
        <v>42248</v>
      </c>
      <c r="F22">
        <f t="shared" si="0"/>
        <v>2016</v>
      </c>
      <c r="G22">
        <v>151</v>
      </c>
      <c r="H22" s="7">
        <f t="shared" si="1"/>
        <v>331.241041458768</v>
      </c>
    </row>
    <row r="23" spans="1:8" x14ac:dyDescent="0.25">
      <c r="E23" s="1">
        <v>42339</v>
      </c>
      <c r="F23">
        <f t="shared" si="0"/>
        <v>2016</v>
      </c>
      <c r="G23">
        <v>148</v>
      </c>
      <c r="H23" s="7">
        <f t="shared" si="1"/>
        <v>337.95538689374297</v>
      </c>
    </row>
    <row r="24" spans="1:8" x14ac:dyDescent="0.25">
      <c r="E24" s="1">
        <v>42430</v>
      </c>
      <c r="F24">
        <f t="shared" si="0"/>
        <v>2016</v>
      </c>
      <c r="G24">
        <v>143</v>
      </c>
      <c r="H24" s="7">
        <f t="shared" si="1"/>
        <v>349.77200881310461</v>
      </c>
    </row>
    <row r="25" spans="1:8" x14ac:dyDescent="0.25">
      <c r="E25" s="1">
        <v>42522</v>
      </c>
      <c r="F25">
        <f t="shared" si="0"/>
        <v>2016</v>
      </c>
      <c r="G25">
        <v>148</v>
      </c>
      <c r="H25" s="7">
        <f t="shared" si="1"/>
        <v>337.95538689374297</v>
      </c>
    </row>
    <row r="26" spans="1:8" x14ac:dyDescent="0.25">
      <c r="E26" s="1">
        <v>42614</v>
      </c>
      <c r="F26">
        <f t="shared" si="0"/>
        <v>2017</v>
      </c>
      <c r="G26">
        <v>152</v>
      </c>
      <c r="H26" s="7">
        <f t="shared" si="1"/>
        <v>340.6973684210526</v>
      </c>
    </row>
    <row r="27" spans="1:8" x14ac:dyDescent="0.25">
      <c r="E27" s="1">
        <v>42705</v>
      </c>
      <c r="F27">
        <f t="shared" si="0"/>
        <v>2017</v>
      </c>
      <c r="G27">
        <v>143</v>
      </c>
      <c r="H27" s="7">
        <f t="shared" si="1"/>
        <v>362.13986013986005</v>
      </c>
    </row>
    <row r="28" spans="1:8" x14ac:dyDescent="0.25">
      <c r="E28" s="1">
        <v>42795</v>
      </c>
      <c r="F28">
        <f t="shared" si="0"/>
        <v>2017</v>
      </c>
      <c r="G28">
        <v>144</v>
      </c>
      <c r="H28" s="7">
        <f t="shared" si="1"/>
        <v>359.62499999999994</v>
      </c>
    </row>
    <row r="29" spans="1:8" x14ac:dyDescent="0.25">
      <c r="E29" s="1">
        <v>42887</v>
      </c>
      <c r="F29">
        <f t="shared" si="0"/>
        <v>2017</v>
      </c>
      <c r="G29">
        <v>143</v>
      </c>
      <c r="H29" s="7">
        <f t="shared" si="1"/>
        <v>362.13986013986005</v>
      </c>
    </row>
    <row r="30" spans="1:8" x14ac:dyDescent="0.25">
      <c r="E30" s="1">
        <v>42979</v>
      </c>
      <c r="F30">
        <f t="shared" si="0"/>
        <v>2018</v>
      </c>
      <c r="G30">
        <v>140</v>
      </c>
      <c r="H30" s="7">
        <f t="shared" si="1"/>
        <v>382.52876712328759</v>
      </c>
    </row>
    <row r="31" spans="1:8" x14ac:dyDescent="0.25">
      <c r="E31" s="1">
        <v>43070</v>
      </c>
      <c r="F31">
        <f t="shared" si="0"/>
        <v>2018</v>
      </c>
      <c r="G31">
        <v>138</v>
      </c>
      <c r="H31" s="7">
        <f t="shared" si="1"/>
        <v>388.07266229898744</v>
      </c>
    </row>
    <row r="32" spans="1:8" x14ac:dyDescent="0.25">
      <c r="E32" s="1">
        <v>43160</v>
      </c>
      <c r="F32">
        <f t="shared" si="0"/>
        <v>2018</v>
      </c>
      <c r="G32">
        <v>134</v>
      </c>
      <c r="H32" s="7">
        <f t="shared" si="1"/>
        <v>399.65692087507665</v>
      </c>
    </row>
    <row r="33" spans="5:8" x14ac:dyDescent="0.25">
      <c r="E33" s="1">
        <v>43252</v>
      </c>
      <c r="F33">
        <f t="shared" si="0"/>
        <v>2018</v>
      </c>
      <c r="G33">
        <v>134</v>
      </c>
      <c r="H33" s="7">
        <f t="shared" si="1"/>
        <v>399.65692087507665</v>
      </c>
    </row>
    <row r="34" spans="5:8" x14ac:dyDescent="0.25">
      <c r="E34" s="1">
        <v>43344</v>
      </c>
      <c r="F34">
        <f t="shared" si="0"/>
        <v>2019</v>
      </c>
      <c r="G34">
        <v>134</v>
      </c>
      <c r="H34" s="7">
        <f t="shared" si="1"/>
        <v>408.6219586996524</v>
      </c>
    </row>
    <row r="35" spans="5:8" x14ac:dyDescent="0.25">
      <c r="E35" s="1">
        <v>43435</v>
      </c>
      <c r="F35">
        <f t="shared" si="0"/>
        <v>2019</v>
      </c>
      <c r="G35">
        <v>134</v>
      </c>
      <c r="H35" s="7">
        <f t="shared" si="1"/>
        <v>408.6219586996524</v>
      </c>
    </row>
    <row r="36" spans="5:8" x14ac:dyDescent="0.25">
      <c r="E36" s="1">
        <v>43525</v>
      </c>
      <c r="F36">
        <f t="shared" si="0"/>
        <v>2019</v>
      </c>
      <c r="G36">
        <v>128</v>
      </c>
      <c r="H36" s="7">
        <f t="shared" si="1"/>
        <v>427.77611301369859</v>
      </c>
    </row>
    <row r="37" spans="5:8" x14ac:dyDescent="0.25">
      <c r="E37" s="1">
        <v>43617</v>
      </c>
      <c r="F37">
        <f t="shared" si="0"/>
        <v>2019</v>
      </c>
      <c r="G37">
        <v>122</v>
      </c>
      <c r="H37" s="7">
        <f t="shared" si="1"/>
        <v>448.81428250617557</v>
      </c>
    </row>
    <row r="38" spans="5:8" x14ac:dyDescent="0.25">
      <c r="E38" s="1">
        <v>43709</v>
      </c>
      <c r="F38">
        <f t="shared" si="0"/>
        <v>2020</v>
      </c>
      <c r="G38">
        <v>124</v>
      </c>
      <c r="H38" s="7">
        <f t="shared" si="1"/>
        <v>451.26800707026064</v>
      </c>
    </row>
    <row r="39" spans="5:8" x14ac:dyDescent="0.25">
      <c r="E39" s="1">
        <v>43800</v>
      </c>
      <c r="F39">
        <f t="shared" si="0"/>
        <v>2020</v>
      </c>
      <c r="G39">
        <v>122</v>
      </c>
      <c r="H39" s="7">
        <f t="shared" si="1"/>
        <v>458.66584325174034</v>
      </c>
    </row>
    <row r="40" spans="5:8" x14ac:dyDescent="0.25">
      <c r="E40" s="1">
        <v>43891</v>
      </c>
      <c r="F40">
        <f t="shared" si="0"/>
        <v>2020</v>
      </c>
      <c r="G40">
        <v>118</v>
      </c>
      <c r="H40" s="7">
        <f t="shared" si="1"/>
        <v>474.21383793824003</v>
      </c>
    </row>
    <row r="41" spans="5:8" x14ac:dyDescent="0.25">
      <c r="E41" s="1">
        <v>43983</v>
      </c>
      <c r="F41">
        <f t="shared" si="0"/>
        <v>2020</v>
      </c>
      <c r="G41">
        <v>128</v>
      </c>
      <c r="H41" s="7">
        <f t="shared" si="1"/>
        <v>437.16588184931504</v>
      </c>
    </row>
    <row r="42" spans="5:8" x14ac:dyDescent="0.25">
      <c r="E42" s="1">
        <v>44075</v>
      </c>
      <c r="F42">
        <f t="shared" si="0"/>
        <v>2021</v>
      </c>
      <c r="G42">
        <v>125</v>
      </c>
      <c r="H42" s="7">
        <f t="shared" si="1"/>
        <v>457.5583561643835</v>
      </c>
    </row>
    <row r="43" spans="5:8" x14ac:dyDescent="0.25">
      <c r="E43" s="1">
        <v>44166</v>
      </c>
      <c r="F43">
        <f t="shared" si="0"/>
        <v>2021</v>
      </c>
      <c r="G43">
        <v>121</v>
      </c>
      <c r="H43" s="7">
        <f t="shared" si="1"/>
        <v>472.6842522359334</v>
      </c>
    </row>
    <row r="44" spans="5:8" x14ac:dyDescent="0.25">
      <c r="E44" s="1">
        <v>44256</v>
      </c>
      <c r="F44">
        <f t="shared" si="0"/>
        <v>2021</v>
      </c>
      <c r="G44">
        <v>119</v>
      </c>
      <c r="H44" s="7">
        <f t="shared" si="1"/>
        <v>480.62852538275581</v>
      </c>
    </row>
    <row r="45" spans="5:8" x14ac:dyDescent="0.25">
      <c r="E45" s="1">
        <v>44348</v>
      </c>
      <c r="F45">
        <f t="shared" si="0"/>
        <v>2021</v>
      </c>
      <c r="G45">
        <v>117</v>
      </c>
      <c r="H45" s="7">
        <f t="shared" si="1"/>
        <v>488.84439761152083</v>
      </c>
    </row>
    <row r="46" spans="5:8" x14ac:dyDescent="0.25">
      <c r="E46" s="1">
        <v>44440</v>
      </c>
      <c r="F46">
        <f t="shared" si="0"/>
        <v>2022</v>
      </c>
      <c r="G46">
        <v>116</v>
      </c>
      <c r="H46" s="7">
        <f t="shared" si="1"/>
        <v>490.9903164855927</v>
      </c>
    </row>
    <row r="47" spans="5:8" x14ac:dyDescent="0.25">
      <c r="E47" s="1">
        <v>44531</v>
      </c>
      <c r="F47">
        <f t="shared" si="0"/>
        <v>2022</v>
      </c>
      <c r="G47">
        <v>115</v>
      </c>
      <c r="H47" s="7">
        <f t="shared" si="1"/>
        <v>495.25979749851098</v>
      </c>
    </row>
    <row r="48" spans="5:8" x14ac:dyDescent="0.25">
      <c r="E48" s="1">
        <v>44621</v>
      </c>
      <c r="F48">
        <f t="shared" si="0"/>
        <v>2022</v>
      </c>
      <c r="G48">
        <v>109</v>
      </c>
      <c r="H48" s="7">
        <f t="shared" si="1"/>
        <v>522.52180470026394</v>
      </c>
    </row>
    <row r="49" spans="5:8" x14ac:dyDescent="0.25">
      <c r="E49" s="1">
        <v>44713</v>
      </c>
      <c r="F49">
        <f t="shared" si="0"/>
        <v>2022</v>
      </c>
      <c r="G49">
        <v>106</v>
      </c>
      <c r="H49" s="7">
        <f t="shared" si="1"/>
        <v>537.31015766347889</v>
      </c>
    </row>
    <row r="50" spans="5:8" x14ac:dyDescent="0.25">
      <c r="E50" s="1">
        <v>44805</v>
      </c>
      <c r="F50">
        <f t="shared" si="0"/>
        <v>2023</v>
      </c>
      <c r="G50">
        <v>104</v>
      </c>
      <c r="H50" s="7">
        <f t="shared" si="1"/>
        <v>560.89805057955732</v>
      </c>
    </row>
    <row r="51" spans="5:8" x14ac:dyDescent="0.25">
      <c r="E51" s="1">
        <v>44896</v>
      </c>
      <c r="F51">
        <f t="shared" si="0"/>
        <v>2023</v>
      </c>
      <c r="G51">
        <v>104</v>
      </c>
      <c r="H51" s="7">
        <f t="shared" si="1"/>
        <v>560.89805057955732</v>
      </c>
    </row>
    <row r="52" spans="5:8" x14ac:dyDescent="0.25">
      <c r="E52" s="1">
        <v>44986</v>
      </c>
      <c r="F52">
        <f t="shared" si="0"/>
        <v>2023</v>
      </c>
      <c r="G52">
        <v>104</v>
      </c>
      <c r="H52" s="7">
        <f t="shared" si="1"/>
        <v>560.89805057955732</v>
      </c>
    </row>
    <row r="53" spans="5:8" x14ac:dyDescent="0.25">
      <c r="E53" s="1">
        <v>45078</v>
      </c>
      <c r="F53">
        <f t="shared" si="0"/>
        <v>2023</v>
      </c>
      <c r="G53">
        <v>110</v>
      </c>
      <c r="H53" s="7">
        <f t="shared" si="1"/>
        <v>530.30361145703603</v>
      </c>
    </row>
    <row r="54" spans="5:8" x14ac:dyDescent="0.25">
      <c r="E54" s="1">
        <v>45170</v>
      </c>
      <c r="F54">
        <f t="shared" si="0"/>
        <v>2024</v>
      </c>
      <c r="G54">
        <v>110</v>
      </c>
      <c r="H54" s="7">
        <f t="shared" si="1"/>
        <v>553.29638854296388</v>
      </c>
    </row>
    <row r="55" spans="5:8" x14ac:dyDescent="0.25">
      <c r="E55" s="1">
        <v>45261</v>
      </c>
      <c r="F55">
        <f t="shared" si="0"/>
        <v>2024</v>
      </c>
      <c r="G55">
        <v>106</v>
      </c>
      <c r="H55" s="7">
        <f t="shared" si="1"/>
        <v>574.17549754458514</v>
      </c>
    </row>
    <row r="56" spans="5:8" x14ac:dyDescent="0.25">
      <c r="E56" s="1">
        <v>45352</v>
      </c>
      <c r="F56">
        <f t="shared" si="0"/>
        <v>2024</v>
      </c>
      <c r="G56">
        <v>111</v>
      </c>
      <c r="H56" s="7">
        <f t="shared" si="1"/>
        <v>548.31173639392819</v>
      </c>
    </row>
    <row r="57" spans="5:8" x14ac:dyDescent="0.25">
      <c r="E57" s="1">
        <v>45444</v>
      </c>
      <c r="F57">
        <f t="shared" si="0"/>
        <v>2024</v>
      </c>
      <c r="G57">
        <v>115</v>
      </c>
      <c r="H57" s="7">
        <f t="shared" si="1"/>
        <v>529.24002382370452</v>
      </c>
    </row>
    <row r="58" spans="5:8" x14ac:dyDescent="0.25">
      <c r="E58" s="1">
        <v>45536</v>
      </c>
      <c r="F58">
        <f t="shared" si="0"/>
        <v>2025</v>
      </c>
      <c r="G58">
        <v>111</v>
      </c>
      <c r="H58" s="7">
        <f t="shared" si="1"/>
        <v>567.94594594594605</v>
      </c>
    </row>
    <row r="59" spans="5:8" x14ac:dyDescent="0.25">
      <c r="E59" s="1">
        <v>45627</v>
      </c>
      <c r="F59">
        <f t="shared" si="0"/>
        <v>2025</v>
      </c>
      <c r="G59">
        <v>111</v>
      </c>
      <c r="H59" s="7">
        <f t="shared" si="1"/>
        <v>567.94594594594605</v>
      </c>
    </row>
    <row r="60" spans="5:8" x14ac:dyDescent="0.25">
      <c r="E60" s="1">
        <v>45717</v>
      </c>
      <c r="F60">
        <f t="shared" si="0"/>
        <v>2025</v>
      </c>
      <c r="G60">
        <v>111</v>
      </c>
      <c r="H60" s="7">
        <f t="shared" si="1"/>
        <v>567.94594594594605</v>
      </c>
    </row>
    <row r="61" spans="5:8" x14ac:dyDescent="0.25">
      <c r="E61" s="1">
        <v>45809</v>
      </c>
      <c r="F61">
        <f t="shared" si="0"/>
        <v>2025</v>
      </c>
      <c r="G61">
        <v>109</v>
      </c>
      <c r="H61" s="7">
        <f t="shared" si="1"/>
        <v>578.36697247706422</v>
      </c>
    </row>
    <row r="62" spans="5:8" x14ac:dyDescent="0.25">
      <c r="E62" s="1">
        <v>45901</v>
      </c>
      <c r="F62">
        <f t="shared" si="0"/>
        <v>2026</v>
      </c>
      <c r="H62" s="7" t="e">
        <f t="shared" si="1"/>
        <v>#DIV/0!</v>
      </c>
    </row>
    <row r="63" spans="5:8" x14ac:dyDescent="0.25">
      <c r="E63" s="1">
        <v>45992</v>
      </c>
      <c r="F63">
        <f t="shared" si="0"/>
        <v>2026</v>
      </c>
      <c r="H63" s="7" t="e">
        <f t="shared" si="1"/>
        <v>#DIV/0!</v>
      </c>
    </row>
  </sheetData>
  <pageMargins left="0.7" right="0.7" top="0.75" bottom="0.75" header="0.3" footer="0.3"/>
  <pageSetup paperSize="9"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K109"/>
  <sheetViews>
    <sheetView workbookViewId="0">
      <pane ySplit="1" topLeftCell="A29" activePane="bottomLeft" state="frozen"/>
      <selection pane="bottomLeft" activeCell="C67" sqref="C67"/>
    </sheetView>
  </sheetViews>
  <sheetFormatPr defaultRowHeight="15" x14ac:dyDescent="0.25"/>
  <cols>
    <col min="1" max="1" width="33.42578125" bestFit="1" customWidth="1"/>
    <col min="5" max="5" width="11" bestFit="1" customWidth="1"/>
  </cols>
  <sheetData>
    <row r="1" spans="1:11" x14ac:dyDescent="0.25">
      <c r="A1" t="s">
        <v>6</v>
      </c>
      <c r="B1" s="1" t="s">
        <v>1</v>
      </c>
      <c r="C1" t="s">
        <v>650</v>
      </c>
      <c r="D1" s="1" t="s">
        <v>632</v>
      </c>
      <c r="E1" s="5" t="s">
        <v>654</v>
      </c>
      <c r="F1" t="s">
        <v>634</v>
      </c>
      <c r="G1" t="s">
        <v>635</v>
      </c>
      <c r="H1" t="s">
        <v>653</v>
      </c>
      <c r="I1" t="s">
        <v>658</v>
      </c>
      <c r="J1" s="6" t="s">
        <v>659</v>
      </c>
      <c r="K1" s="6" t="s">
        <v>636</v>
      </c>
    </row>
    <row r="2" spans="1:11" x14ac:dyDescent="0.25">
      <c r="A2" t="s">
        <v>3</v>
      </c>
      <c r="B2" s="1">
        <v>38777</v>
      </c>
      <c r="C2">
        <v>2006</v>
      </c>
      <c r="D2" s="23">
        <f>MONTH(B2)</f>
        <v>3</v>
      </c>
      <c r="E2" cm="1">
        <f t="array" ref="E2">_xlfn.XLOOKUP(TRUE,ISNUMBER(F2:I2),F2:I2)</f>
        <v>232.26421800947864</v>
      </c>
      <c r="H2" s="1"/>
      <c r="I2">
        <f t="shared" ref="I2:I6" si="0">$G$8*(J2/$J$8)</f>
        <v>232.26421800947864</v>
      </c>
      <c r="J2">
        <v>78.099999999999994</v>
      </c>
      <c r="K2">
        <v>72.900000000000006</v>
      </c>
    </row>
    <row r="3" spans="1:11" x14ac:dyDescent="0.25">
      <c r="A3" t="s">
        <v>0</v>
      </c>
      <c r="B3" s="1">
        <v>38869</v>
      </c>
      <c r="C3">
        <v>2006</v>
      </c>
      <c r="D3" s="23">
        <f>MONTH(B3)</f>
        <v>6</v>
      </c>
      <c r="E3" cm="1">
        <f t="array" ref="E3">_xlfn.XLOOKUP(TRUE,ISNUMBER(F3:I3),F3:I3)</f>
        <v>235.23815165876775</v>
      </c>
      <c r="I3">
        <f t="shared" si="0"/>
        <v>235.23815165876775</v>
      </c>
      <c r="J3">
        <v>79.099999999999994</v>
      </c>
      <c r="K3">
        <v>73.5</v>
      </c>
    </row>
    <row r="4" spans="1:11" x14ac:dyDescent="0.25">
      <c r="B4" s="1">
        <v>38961</v>
      </c>
      <c r="C4">
        <v>2007</v>
      </c>
      <c r="D4" s="23">
        <f>MONTH(B4)</f>
        <v>9</v>
      </c>
      <c r="E4" cm="1">
        <f t="array" ref="E4">_xlfn.XLOOKUP(TRUE,ISNUMBER(F4:I4),F4:I4)</f>
        <v>237.91469194312793</v>
      </c>
      <c r="I4">
        <f t="shared" si="0"/>
        <v>237.91469194312793</v>
      </c>
      <c r="J4">
        <v>80</v>
      </c>
      <c r="K4">
        <v>74.3</v>
      </c>
    </row>
    <row r="5" spans="1:11" x14ac:dyDescent="0.25">
      <c r="B5" s="1">
        <v>39052</v>
      </c>
      <c r="C5">
        <v>2007</v>
      </c>
      <c r="D5" s="23">
        <f>MONTH(B5)</f>
        <v>12</v>
      </c>
      <c r="E5" cm="1">
        <f t="array" ref="E5">_xlfn.XLOOKUP(TRUE,ISNUMBER(F5:I5),F5:I5)</f>
        <v>239.10426540284359</v>
      </c>
      <c r="I5">
        <f t="shared" si="0"/>
        <v>239.10426540284359</v>
      </c>
      <c r="J5">
        <v>80.400000000000006</v>
      </c>
      <c r="K5">
        <v>75</v>
      </c>
    </row>
    <row r="6" spans="1:11" x14ac:dyDescent="0.25">
      <c r="B6" s="1">
        <v>39142</v>
      </c>
      <c r="C6">
        <v>2007</v>
      </c>
      <c r="D6" s="23">
        <f t="shared" ref="D6:D37" si="1">MONTH(B6)</f>
        <v>3</v>
      </c>
      <c r="E6" cm="1">
        <f t="array" ref="E6">_xlfn.XLOOKUP(TRUE,ISNUMBER(F6:I6),F6:I6)</f>
        <v>244.457345971564</v>
      </c>
      <c r="I6">
        <f t="shared" si="0"/>
        <v>244.457345971564</v>
      </c>
      <c r="J6">
        <v>82.2</v>
      </c>
      <c r="K6">
        <v>76.099999999999994</v>
      </c>
    </row>
    <row r="7" spans="1:11" x14ac:dyDescent="0.25">
      <c r="B7" s="1">
        <v>39234</v>
      </c>
      <c r="C7">
        <v>2007</v>
      </c>
      <c r="D7" s="23">
        <f t="shared" si="1"/>
        <v>6</v>
      </c>
      <c r="E7" cm="1">
        <f t="array" ref="E7">_xlfn.XLOOKUP(TRUE,ISNUMBER(F7:I7),F7:I7)</f>
        <v>248.02606635071092</v>
      </c>
      <c r="I7">
        <f>$G$8*(J7/$J$8)</f>
        <v>248.02606635071092</v>
      </c>
      <c r="J7">
        <v>83.4</v>
      </c>
      <c r="K7">
        <v>77.3</v>
      </c>
    </row>
    <row r="8" spans="1:11" x14ac:dyDescent="0.25">
      <c r="B8" s="1">
        <v>39326</v>
      </c>
      <c r="C8">
        <v>2008</v>
      </c>
      <c r="D8" s="23">
        <f t="shared" si="1"/>
        <v>9</v>
      </c>
      <c r="E8" cm="1">
        <f t="array" ref="E8">_xlfn.XLOOKUP(TRUE,ISNUMBER(F8:I8),F8:I8)</f>
        <v>251</v>
      </c>
      <c r="G8" s="45">
        <f>_xlfn.XLOOKUP(C8,'Ableson and Joyeux 2023'!A:A,'Ableson and Joyeux 2023'!C:C)</f>
        <v>251</v>
      </c>
      <c r="J8">
        <v>84.4</v>
      </c>
      <c r="K8">
        <v>78.599999999999994</v>
      </c>
    </row>
    <row r="9" spans="1:11" x14ac:dyDescent="0.25">
      <c r="B9" s="1">
        <v>39417</v>
      </c>
      <c r="C9">
        <v>2008</v>
      </c>
      <c r="D9" s="23">
        <f t="shared" si="1"/>
        <v>12</v>
      </c>
      <c r="E9" cm="1">
        <f t="array" ref="E9">_xlfn.XLOOKUP(TRUE,ISNUMBER(F9:I9),F9:I9)</f>
        <v>251</v>
      </c>
      <c r="G9" s="45">
        <f>_xlfn.XLOOKUP(C9,'Ableson and Joyeux 2023'!A:A,'Ableson and Joyeux 2023'!C:C)</f>
        <v>251</v>
      </c>
      <c r="J9">
        <v>84.7</v>
      </c>
      <c r="K9">
        <v>80</v>
      </c>
    </row>
    <row r="10" spans="1:11" x14ac:dyDescent="0.25">
      <c r="B10" s="1">
        <v>39508</v>
      </c>
      <c r="C10">
        <v>2008</v>
      </c>
      <c r="D10" s="23">
        <f t="shared" si="1"/>
        <v>3</v>
      </c>
      <c r="E10" cm="1">
        <f t="array" ref="E10">_xlfn.XLOOKUP(TRUE,ISNUMBER(F10:I10),F10:I10)</f>
        <v>251</v>
      </c>
      <c r="G10" s="45">
        <f>_xlfn.XLOOKUP(C10,'Ableson and Joyeux 2023'!A:A,'Ableson and Joyeux 2023'!C:C)</f>
        <v>251</v>
      </c>
      <c r="J10">
        <v>86.2</v>
      </c>
      <c r="K10">
        <v>81.400000000000006</v>
      </c>
    </row>
    <row r="11" spans="1:11" x14ac:dyDescent="0.25">
      <c r="B11" s="1">
        <v>39600</v>
      </c>
      <c r="C11">
        <v>2008</v>
      </c>
      <c r="D11" s="23">
        <f t="shared" si="1"/>
        <v>6</v>
      </c>
      <c r="E11" cm="1">
        <f t="array" ref="E11">_xlfn.XLOOKUP(TRUE,ISNUMBER(F11:I11),F11:I11)</f>
        <v>251</v>
      </c>
      <c r="G11" s="45">
        <f>_xlfn.XLOOKUP(C11,'Ableson and Joyeux 2023'!A:A,'Ableson and Joyeux 2023'!C:C)</f>
        <v>251</v>
      </c>
      <c r="J11">
        <v>87.1</v>
      </c>
      <c r="K11">
        <v>83.3</v>
      </c>
    </row>
    <row r="12" spans="1:11" x14ac:dyDescent="0.25">
      <c r="B12" s="1">
        <v>39692</v>
      </c>
      <c r="C12">
        <v>2009</v>
      </c>
      <c r="D12" s="23">
        <f t="shared" si="1"/>
        <v>9</v>
      </c>
      <c r="E12" cm="1">
        <f t="array" ref="E12">_xlfn.XLOOKUP(TRUE,ISNUMBER(F12:I12),F12:I12)</f>
        <v>250.17768147345612</v>
      </c>
      <c r="I12">
        <f t="shared" ref="I12:I14" si="2">$G$16*(J12/$J$16)</f>
        <v>250.17768147345612</v>
      </c>
      <c r="J12">
        <v>87.8</v>
      </c>
      <c r="K12">
        <v>85</v>
      </c>
    </row>
    <row r="13" spans="1:11" x14ac:dyDescent="0.25">
      <c r="B13" s="1">
        <v>39783</v>
      </c>
      <c r="C13">
        <v>2009</v>
      </c>
      <c r="D13" s="23">
        <f t="shared" si="1"/>
        <v>12</v>
      </c>
      <c r="E13" cm="1">
        <f t="array" ref="E13">_xlfn.XLOOKUP(TRUE,ISNUMBER(F13:I13),F13:I13)</f>
        <v>253.31202600216687</v>
      </c>
      <c r="I13">
        <f t="shared" si="2"/>
        <v>253.31202600216687</v>
      </c>
      <c r="J13">
        <v>88.9</v>
      </c>
      <c r="K13">
        <v>86.7</v>
      </c>
    </row>
    <row r="14" spans="1:11" x14ac:dyDescent="0.25">
      <c r="B14" s="1">
        <v>39873</v>
      </c>
      <c r="C14">
        <v>2009</v>
      </c>
      <c r="D14" s="23">
        <f t="shared" si="1"/>
        <v>3</v>
      </c>
      <c r="E14" cm="1">
        <f t="array" ref="E14">_xlfn.XLOOKUP(TRUE,ISNUMBER(F14:I14),F14:I14)</f>
        <v>257.30119176598049</v>
      </c>
      <c r="I14">
        <f t="shared" si="2"/>
        <v>257.30119176598049</v>
      </c>
      <c r="J14">
        <v>90.3</v>
      </c>
      <c r="K14">
        <v>88</v>
      </c>
    </row>
    <row r="15" spans="1:11" x14ac:dyDescent="0.25">
      <c r="B15" s="1">
        <v>39965</v>
      </c>
      <c r="C15">
        <v>2009</v>
      </c>
      <c r="D15" s="23">
        <f t="shared" si="1"/>
        <v>6</v>
      </c>
      <c r="E15" cm="1">
        <f t="array" ref="E15">_xlfn.XLOOKUP(TRUE,ISNUMBER(F15:I15),F15:I15)</f>
        <v>261.29035752979416</v>
      </c>
      <c r="I15">
        <f>$G$16*(J15/$J$16)</f>
        <v>261.29035752979416</v>
      </c>
      <c r="J15">
        <v>91.7</v>
      </c>
      <c r="K15">
        <v>89.3</v>
      </c>
    </row>
    <row r="16" spans="1:11" x14ac:dyDescent="0.25">
      <c r="B16" s="1">
        <v>40057</v>
      </c>
      <c r="C16">
        <v>2010</v>
      </c>
      <c r="D16" s="23">
        <f t="shared" si="1"/>
        <v>9</v>
      </c>
      <c r="E16" cm="1">
        <f t="array" ref="E16">_xlfn.XLOOKUP(TRUE,ISNUMBER(F16:I16),F16:I16)</f>
        <v>263</v>
      </c>
      <c r="G16" s="45">
        <f>_xlfn.XLOOKUP(C16,'Ableson and Joyeux 2023'!A:A,'Ableson and Joyeux 2023'!C:C)</f>
        <v>263</v>
      </c>
      <c r="J16">
        <v>92.3</v>
      </c>
      <c r="K16">
        <v>90.3</v>
      </c>
    </row>
    <row r="17" spans="2:11" x14ac:dyDescent="0.25">
      <c r="B17" s="1">
        <v>40148</v>
      </c>
      <c r="C17">
        <v>2010</v>
      </c>
      <c r="D17" s="23">
        <f t="shared" si="1"/>
        <v>12</v>
      </c>
      <c r="E17" cm="1">
        <f t="array" ref="E17">_xlfn.XLOOKUP(TRUE,ISNUMBER(F17:I17),F17:I17)</f>
        <v>263</v>
      </c>
      <c r="G17" s="45">
        <f>_xlfn.XLOOKUP(C17,'Ableson and Joyeux 2023'!A:A,'Ableson and Joyeux 2023'!C:C)</f>
        <v>263</v>
      </c>
      <c r="J17">
        <v>93</v>
      </c>
      <c r="K17">
        <v>91.2</v>
      </c>
    </row>
    <row r="18" spans="2:11" x14ac:dyDescent="0.25">
      <c r="B18" s="1">
        <v>40238</v>
      </c>
      <c r="C18">
        <v>2010</v>
      </c>
      <c r="D18" s="23">
        <f t="shared" si="1"/>
        <v>3</v>
      </c>
      <c r="E18" cm="1">
        <f t="array" ref="E18">_xlfn.XLOOKUP(TRUE,ISNUMBER(F18:I18),F18:I18)</f>
        <v>263</v>
      </c>
      <c r="G18" s="45">
        <f>_xlfn.XLOOKUP(C18,'Ableson and Joyeux 2023'!A:A,'Ableson and Joyeux 2023'!C:C)</f>
        <v>263</v>
      </c>
      <c r="J18">
        <v>93.8</v>
      </c>
      <c r="K18">
        <v>92.1</v>
      </c>
    </row>
    <row r="19" spans="2:11" x14ac:dyDescent="0.25">
      <c r="B19" s="1">
        <v>40330</v>
      </c>
      <c r="C19">
        <v>2010</v>
      </c>
      <c r="D19" s="23">
        <f t="shared" si="1"/>
        <v>6</v>
      </c>
      <c r="E19" cm="1">
        <f t="array" ref="E19">_xlfn.XLOOKUP(TRUE,ISNUMBER(F19:I19),F19:I19)</f>
        <v>263</v>
      </c>
      <c r="G19" s="45">
        <f>_xlfn.XLOOKUP(C19,'Ableson and Joyeux 2023'!A:A,'Ableson and Joyeux 2023'!C:C)</f>
        <v>263</v>
      </c>
      <c r="J19">
        <v>94.9</v>
      </c>
      <c r="K19">
        <v>93</v>
      </c>
    </row>
    <row r="20" spans="2:11" x14ac:dyDescent="0.25">
      <c r="B20" s="1">
        <v>40422</v>
      </c>
      <c r="C20">
        <v>2011</v>
      </c>
      <c r="D20" s="23">
        <f t="shared" si="1"/>
        <v>9</v>
      </c>
      <c r="E20" cm="1">
        <f t="array" ref="E20">_xlfn.XLOOKUP(TRUE,ISNUMBER(F20:I20),F20:I20)</f>
        <v>258.84053133380013</v>
      </c>
      <c r="I20">
        <f>$H$22*(J20/$J$22)</f>
        <v>258.84053133380013</v>
      </c>
      <c r="J20">
        <v>95.5</v>
      </c>
      <c r="K20">
        <v>94.1</v>
      </c>
    </row>
    <row r="21" spans="2:11" x14ac:dyDescent="0.25">
      <c r="B21" s="1">
        <v>40513</v>
      </c>
      <c r="C21">
        <v>2011</v>
      </c>
      <c r="D21" s="23">
        <f t="shared" si="1"/>
        <v>12</v>
      </c>
      <c r="E21" cm="1">
        <f t="array" ref="E21">_xlfn.XLOOKUP(TRUE,ISNUMBER(F21:I21),F21:I21)</f>
        <v>261.00882897848118</v>
      </c>
      <c r="I21">
        <f>$H$22*(J21/$J$22)</f>
        <v>261.00882897848118</v>
      </c>
      <c r="J21">
        <v>96.3</v>
      </c>
      <c r="K21">
        <v>95.1</v>
      </c>
    </row>
    <row r="22" spans="2:11" x14ac:dyDescent="0.25">
      <c r="B22" s="1">
        <v>40603</v>
      </c>
      <c r="C22">
        <v>2011</v>
      </c>
      <c r="D22" s="23">
        <f t="shared" si="1"/>
        <v>3</v>
      </c>
      <c r="E22" cm="1">
        <f t="array" ref="E22">_xlfn.XLOOKUP(TRUE,ISNUMBER(F22:I22),F22:I22)</f>
        <v>264.53231265108786</v>
      </c>
      <c r="H22" s="7">
        <f>_xlfn.XLOOKUP(B22,'rai-values-2bf'!E:E,'rai-values-2bf'!H:H)</f>
        <v>264.53231265108786</v>
      </c>
      <c r="J22">
        <v>97.6</v>
      </c>
      <c r="K22">
        <v>96.2</v>
      </c>
    </row>
    <row r="23" spans="2:11" x14ac:dyDescent="0.25">
      <c r="B23" s="1">
        <v>40695</v>
      </c>
      <c r="C23">
        <v>2011</v>
      </c>
      <c r="D23" s="23">
        <f t="shared" si="1"/>
        <v>6</v>
      </c>
      <c r="E23" cm="1">
        <f t="array" ref="E23">_xlfn.XLOOKUP(TRUE,ISNUMBER(F23:I23),F23:I23)</f>
        <v>269.28439012386184</v>
      </c>
      <c r="H23" s="7">
        <f>_xlfn.XLOOKUP(B23,'rai-values-2bf'!E:E,'rai-values-2bf'!H:H)</f>
        <v>269.28439012386184</v>
      </c>
      <c r="J23">
        <v>98.9</v>
      </c>
      <c r="K23">
        <v>97.2</v>
      </c>
    </row>
    <row r="24" spans="2:11" x14ac:dyDescent="0.25">
      <c r="B24" s="1">
        <v>40787</v>
      </c>
      <c r="C24">
        <v>2012</v>
      </c>
      <c r="D24" s="23">
        <f t="shared" si="1"/>
        <v>9</v>
      </c>
      <c r="E24" cm="1">
        <f t="array" ref="E24">_xlfn.XLOOKUP(TRUE,ISNUMBER(F24:I24),F24:I24)</f>
        <v>280.29169059141981</v>
      </c>
      <c r="H24" s="7">
        <f>_xlfn.XLOOKUP(B24,'rai-values-2bf'!E:E,'rai-values-2bf'!H:H)</f>
        <v>280.29169059141981</v>
      </c>
      <c r="J24">
        <v>99.3</v>
      </c>
      <c r="K24">
        <v>98.5</v>
      </c>
    </row>
    <row r="25" spans="2:11" x14ac:dyDescent="0.25">
      <c r="B25" s="1">
        <v>40878</v>
      </c>
      <c r="C25">
        <v>2012</v>
      </c>
      <c r="D25" s="23">
        <f t="shared" si="1"/>
        <v>12</v>
      </c>
      <c r="E25" cm="1">
        <f t="array" ref="E25">_xlfn.XLOOKUP(TRUE,ISNUMBER(F25:I25),F25:I25)</f>
        <v>280.29169059141981</v>
      </c>
      <c r="H25" s="7">
        <f>_xlfn.XLOOKUP(B25,'rai-values-2bf'!E:E,'rai-values-2bf'!H:H)</f>
        <v>280.29169059141981</v>
      </c>
      <c r="J25">
        <v>99.6</v>
      </c>
      <c r="K25">
        <v>99.6</v>
      </c>
    </row>
    <row r="26" spans="2:11" x14ac:dyDescent="0.25">
      <c r="B26" s="1">
        <v>40969</v>
      </c>
      <c r="C26">
        <v>2012</v>
      </c>
      <c r="D26" s="23">
        <f t="shared" si="1"/>
        <v>3</v>
      </c>
      <c r="E26" cm="1">
        <f t="array" ref="E26">_xlfn.XLOOKUP(TRUE,ISNUMBER(F26:I26),F26:I26)</f>
        <v>269.01558809636271</v>
      </c>
      <c r="H26" s="7">
        <f>_xlfn.XLOOKUP(B26,'rai-values-2bf'!E:E,'rai-values-2bf'!H:H)</f>
        <v>269.01558809636271</v>
      </c>
      <c r="J26">
        <v>100.1</v>
      </c>
      <c r="K26">
        <v>100.5</v>
      </c>
    </row>
    <row r="27" spans="2:11" x14ac:dyDescent="0.25">
      <c r="B27" s="1">
        <v>41061</v>
      </c>
      <c r="C27">
        <v>2012</v>
      </c>
      <c r="D27" s="23">
        <f t="shared" si="1"/>
        <v>6</v>
      </c>
      <c r="E27" cm="1">
        <f t="array" ref="E27">_xlfn.XLOOKUP(TRUE,ISNUMBER(F27:I27),F27:I27)</f>
        <v>258.61167032468023</v>
      </c>
      <c r="H27" s="7">
        <f>_xlfn.XLOOKUP(B27,'rai-values-2bf'!E:E,'rai-values-2bf'!H:H)</f>
        <v>258.61167032468023</v>
      </c>
      <c r="J27">
        <v>100.9</v>
      </c>
      <c r="K27">
        <v>101.5</v>
      </c>
    </row>
    <row r="28" spans="2:11" x14ac:dyDescent="0.25">
      <c r="B28" s="1">
        <v>41153</v>
      </c>
      <c r="C28">
        <v>2013</v>
      </c>
      <c r="D28" s="23">
        <f t="shared" si="1"/>
        <v>9</v>
      </c>
      <c r="E28" cm="1">
        <f t="array" ref="E28">_xlfn.XLOOKUP(TRUE,ISNUMBER(F28:I28),F28:I28)</f>
        <v>255.42145147187406</v>
      </c>
      <c r="H28" s="7">
        <f>_xlfn.XLOOKUP(B28,'rai-values-2bf'!E:E,'rai-values-2bf'!H:H)</f>
        <v>255.42145147187406</v>
      </c>
      <c r="J28">
        <v>101</v>
      </c>
      <c r="K28">
        <v>102.4</v>
      </c>
    </row>
    <row r="29" spans="2:11" x14ac:dyDescent="0.25">
      <c r="B29" s="1">
        <v>41244</v>
      </c>
      <c r="C29">
        <v>2013</v>
      </c>
      <c r="D29" s="23">
        <f t="shared" si="1"/>
        <v>12</v>
      </c>
      <c r="E29" cm="1">
        <f t="array" ref="E29">_xlfn.XLOOKUP(TRUE,ISNUMBER(F29:I29),F29:I29)</f>
        <v>265.29962915310676</v>
      </c>
      <c r="H29" s="7">
        <f>_xlfn.XLOOKUP(B29,'rai-values-2bf'!E:E,'rai-values-2bf'!H:H)</f>
        <v>265.29962915310676</v>
      </c>
      <c r="J29">
        <v>101.3</v>
      </c>
      <c r="K29">
        <v>103.3</v>
      </c>
    </row>
    <row r="30" spans="2:11" x14ac:dyDescent="0.25">
      <c r="B30" s="1">
        <v>41334</v>
      </c>
      <c r="C30">
        <v>2013</v>
      </c>
      <c r="D30" s="23">
        <f t="shared" si="1"/>
        <v>3</v>
      </c>
      <c r="E30" cm="1">
        <f t="array" ref="E30">_xlfn.XLOOKUP(TRUE,ISNUMBER(F30:I30),F30:I30)</f>
        <v>269.770971217485</v>
      </c>
      <c r="H30" s="7">
        <f>_xlfn.XLOOKUP(B30,'rai-values-2bf'!E:E,'rai-values-2bf'!H:H)</f>
        <v>269.770971217485</v>
      </c>
      <c r="J30">
        <v>101.3</v>
      </c>
      <c r="K30">
        <v>104</v>
      </c>
    </row>
    <row r="31" spans="2:11" x14ac:dyDescent="0.25">
      <c r="B31" s="1">
        <v>41426</v>
      </c>
      <c r="C31">
        <v>2013</v>
      </c>
      <c r="D31" s="23">
        <f t="shared" si="1"/>
        <v>6</v>
      </c>
      <c r="E31" cm="1">
        <f t="array" ref="E31">_xlfn.XLOOKUP(TRUE,ISNUMBER(F31:I31),F31:I31)</f>
        <v>259.56342095520176</v>
      </c>
      <c r="H31" s="7">
        <f>_xlfn.XLOOKUP(B31,'rai-values-2bf'!E:E,'rai-values-2bf'!H:H)</f>
        <v>259.56342095520176</v>
      </c>
      <c r="J31">
        <v>101.7</v>
      </c>
      <c r="K31">
        <v>105</v>
      </c>
    </row>
    <row r="32" spans="2:11" x14ac:dyDescent="0.25">
      <c r="B32" s="1">
        <v>41518</v>
      </c>
      <c r="C32">
        <v>2014</v>
      </c>
      <c r="D32" s="23">
        <f t="shared" si="1"/>
        <v>9</v>
      </c>
      <c r="E32" cm="1">
        <f t="array" ref="E32">_xlfn.XLOOKUP(TRUE,ISNUMBER(F32:I32),F32:I32)</f>
        <v>257.94002221399484</v>
      </c>
      <c r="H32" s="7">
        <f>_xlfn.XLOOKUP(B32,'rai-values-2bf'!E:E,'rai-values-2bf'!H:H)</f>
        <v>257.94002221399484</v>
      </c>
      <c r="J32">
        <v>101.9</v>
      </c>
      <c r="K32">
        <v>105.7</v>
      </c>
    </row>
    <row r="33" spans="1:11" x14ac:dyDescent="0.25">
      <c r="B33" s="1">
        <v>41609</v>
      </c>
      <c r="C33">
        <v>2014</v>
      </c>
      <c r="D33" s="23">
        <f t="shared" si="1"/>
        <v>12</v>
      </c>
      <c r="E33" cm="1">
        <f t="array" ref="E33">_xlfn.XLOOKUP(TRUE,ISNUMBER(F33:I33),F33:I33)</f>
        <v>262.1917808219178</v>
      </c>
      <c r="H33" s="7">
        <f>_xlfn.XLOOKUP(B33,'rai-values-2bf'!E:E,'rai-values-2bf'!H:H)</f>
        <v>262.1917808219178</v>
      </c>
      <c r="J33">
        <v>102.3</v>
      </c>
      <c r="K33">
        <v>106.4</v>
      </c>
    </row>
    <row r="34" spans="1:11" x14ac:dyDescent="0.25">
      <c r="B34" s="1">
        <v>41699</v>
      </c>
      <c r="C34">
        <v>2014</v>
      </c>
      <c r="D34" s="23">
        <f t="shared" si="1"/>
        <v>3</v>
      </c>
      <c r="E34" cm="1">
        <f t="array" ref="E34">_xlfn.XLOOKUP(TRUE,ISNUMBER(F34:I34),F34:I34)</f>
        <v>269.59832830276292</v>
      </c>
      <c r="H34" s="7">
        <f>_xlfn.XLOOKUP(B34,'rai-values-2bf'!E:E,'rai-values-2bf'!H:H)</f>
        <v>269.59832830276292</v>
      </c>
      <c r="J34">
        <v>102.5</v>
      </c>
      <c r="K34">
        <v>107</v>
      </c>
    </row>
    <row r="35" spans="1:11" x14ac:dyDescent="0.25">
      <c r="B35" s="1">
        <v>41791</v>
      </c>
      <c r="C35">
        <v>2014</v>
      </c>
      <c r="D35" s="23">
        <f t="shared" si="1"/>
        <v>6</v>
      </c>
      <c r="E35" cm="1">
        <f t="array" ref="E35">_xlfn.XLOOKUP(TRUE,ISNUMBER(F35:I35),F35:I35)</f>
        <v>269.59832830276292</v>
      </c>
      <c r="H35" s="7">
        <f>_xlfn.XLOOKUP(B35,'rai-values-2bf'!E:E,'rai-values-2bf'!H:H)</f>
        <v>269.59832830276292</v>
      </c>
      <c r="J35">
        <v>102.9</v>
      </c>
      <c r="K35">
        <v>107.5</v>
      </c>
    </row>
    <row r="36" spans="1:11" x14ac:dyDescent="0.25">
      <c r="B36" s="1">
        <v>41883</v>
      </c>
      <c r="C36">
        <v>2015</v>
      </c>
      <c r="D36" s="23">
        <f t="shared" si="1"/>
        <v>9</v>
      </c>
      <c r="E36" cm="1">
        <f t="array" ref="E36">_xlfn.XLOOKUP(TRUE,ISNUMBER(F36:I36),F36:I36)</f>
        <v>277</v>
      </c>
      <c r="G36" s="45">
        <f>_xlfn.XLOOKUP(C36,'Ableson and Joyeux 2023'!A:A,'Ableson and Joyeux 2023'!C:C)</f>
        <v>277</v>
      </c>
      <c r="H36" s="7">
        <f>_xlfn.XLOOKUP(B36,'rai-values-2bf'!E:E,'rai-values-2bf'!H:H)</f>
        <v>269.98819344584876</v>
      </c>
      <c r="J36">
        <v>102.9</v>
      </c>
      <c r="K36">
        <v>108.3</v>
      </c>
    </row>
    <row r="37" spans="1:11" x14ac:dyDescent="0.25">
      <c r="B37" s="1">
        <v>41974</v>
      </c>
      <c r="C37">
        <v>2015</v>
      </c>
      <c r="D37" s="23">
        <f t="shared" si="1"/>
        <v>12</v>
      </c>
      <c r="E37" cm="1">
        <f t="array" ref="E37">_xlfn.XLOOKUP(TRUE,ISNUMBER(F37:I37),F37:I37)</f>
        <v>277</v>
      </c>
      <c r="G37" s="45">
        <f>_xlfn.XLOOKUP(C37,'Ableson and Joyeux 2023'!A:A,'Ableson and Joyeux 2023'!C:C)</f>
        <v>277</v>
      </c>
      <c r="H37" s="7">
        <f>_xlfn.XLOOKUP(B37,'rai-values-2bf'!E:E,'rai-values-2bf'!H:H)</f>
        <v>276.0896215463199</v>
      </c>
      <c r="J37">
        <v>103.3</v>
      </c>
      <c r="K37">
        <v>108.9</v>
      </c>
    </row>
    <row r="38" spans="1:11" x14ac:dyDescent="0.25">
      <c r="B38" s="1">
        <v>42064</v>
      </c>
      <c r="C38">
        <v>2015</v>
      </c>
      <c r="D38" s="23">
        <f t="shared" ref="D38:D69" si="3">MONTH(B38)</f>
        <v>3</v>
      </c>
      <c r="E38" cm="1">
        <f t="array" ref="E38">_xlfn.XLOOKUP(TRUE,ISNUMBER(F38:I38),F38:I38)</f>
        <v>277</v>
      </c>
      <c r="G38" s="45">
        <f>_xlfn.XLOOKUP(C38,'Ableson and Joyeux 2023'!A:A,'Ableson and Joyeux 2023'!C:C)</f>
        <v>277</v>
      </c>
      <c r="H38" s="7">
        <f>_xlfn.XLOOKUP(B38,'rai-values-2bf'!E:E,'rai-values-2bf'!H:H)</f>
        <v>279.24493150684924</v>
      </c>
      <c r="J38">
        <v>103.6</v>
      </c>
      <c r="K38">
        <v>109.2</v>
      </c>
    </row>
    <row r="39" spans="1:11" x14ac:dyDescent="0.25">
      <c r="B39" s="1">
        <v>42156</v>
      </c>
      <c r="C39">
        <v>2015</v>
      </c>
      <c r="D39" s="23">
        <f t="shared" si="3"/>
        <v>6</v>
      </c>
      <c r="E39" cm="1">
        <f t="array" ref="E39">_xlfn.XLOOKUP(TRUE,ISNUMBER(F39:I39),F39:I39)</f>
        <v>277</v>
      </c>
      <c r="G39" s="45">
        <f>_xlfn.XLOOKUP(C39,'Ableson and Joyeux 2023'!A:A,'Ableson and Joyeux 2023'!C:C)</f>
        <v>277</v>
      </c>
      <c r="H39" s="7">
        <f>_xlfn.XLOOKUP(B39,'rai-values-2bf'!E:E,'rai-values-2bf'!H:H)</f>
        <v>274.53855625673384</v>
      </c>
      <c r="J39">
        <v>104</v>
      </c>
      <c r="K39">
        <v>109.6</v>
      </c>
    </row>
    <row r="40" spans="1:11" x14ac:dyDescent="0.25">
      <c r="B40" s="1">
        <v>42248</v>
      </c>
      <c r="C40">
        <v>2016</v>
      </c>
      <c r="D40" s="23">
        <f t="shared" si="3"/>
        <v>9</v>
      </c>
      <c r="E40" cm="1">
        <f t="array" ref="E40">_xlfn.XLOOKUP(TRUE,ISNUMBER(F40:I40),F40:I40)</f>
        <v>290</v>
      </c>
      <c r="G40" s="45">
        <f>_xlfn.XLOOKUP(C40,'Ableson and Joyeux 2023'!A:A,'Ableson and Joyeux 2023'!C:C)</f>
        <v>290</v>
      </c>
      <c r="H40" s="7">
        <f>_xlfn.XLOOKUP(B40,'rai-values-2bf'!E:E,'rai-values-2bf'!H:H)</f>
        <v>280.99661382176384</v>
      </c>
      <c r="J40">
        <v>104</v>
      </c>
      <c r="K40">
        <v>109.9</v>
      </c>
    </row>
    <row r="41" spans="1:11" x14ac:dyDescent="0.25">
      <c r="B41" s="1">
        <v>42339</v>
      </c>
      <c r="C41">
        <v>2016</v>
      </c>
      <c r="D41" s="23">
        <f t="shared" si="3"/>
        <v>12</v>
      </c>
      <c r="E41" cm="1">
        <f t="array" ref="E41">_xlfn.XLOOKUP(TRUE,ISNUMBER(F41:I41),F41:I41)</f>
        <v>290</v>
      </c>
      <c r="G41" s="45">
        <f>_xlfn.XLOOKUP(C41,'Ableson and Joyeux 2023'!A:A,'Ableson and Joyeux 2023'!C:C)</f>
        <v>290</v>
      </c>
      <c r="H41" s="7">
        <f>_xlfn.XLOOKUP(B41,'rai-values-2bf'!E:E,'rai-values-2bf'!H:H)</f>
        <v>285.81369863013691</v>
      </c>
      <c r="J41">
        <v>104.3</v>
      </c>
      <c r="K41">
        <v>110.1</v>
      </c>
    </row>
    <row r="42" spans="1:11" x14ac:dyDescent="0.25">
      <c r="B42" s="1">
        <v>42430</v>
      </c>
      <c r="C42">
        <v>2016</v>
      </c>
      <c r="D42" s="23">
        <f t="shared" si="3"/>
        <v>3</v>
      </c>
      <c r="E42" cm="1">
        <f t="array" ref="E42">_xlfn.XLOOKUP(TRUE,ISNUMBER(F42:I42),F42:I42)</f>
        <v>290</v>
      </c>
      <c r="G42" s="45">
        <f>_xlfn.XLOOKUP(C42,'Ableson and Joyeux 2023'!A:A,'Ableson and Joyeux 2023'!C:C)</f>
        <v>290</v>
      </c>
      <c r="H42" s="7">
        <f>_xlfn.XLOOKUP(B42,'rai-values-2bf'!E:E,'rai-values-2bf'!H:H)</f>
        <v>299.50537281601174</v>
      </c>
      <c r="J42">
        <v>105.1</v>
      </c>
      <c r="K42">
        <v>110.2</v>
      </c>
    </row>
    <row r="43" spans="1:11" x14ac:dyDescent="0.25">
      <c r="B43" s="1">
        <v>42522</v>
      </c>
      <c r="C43">
        <v>2016</v>
      </c>
      <c r="D43" s="23">
        <f t="shared" si="3"/>
        <v>6</v>
      </c>
      <c r="E43" cm="1">
        <f t="array" ref="E43">_xlfn.XLOOKUP(TRUE,ISNUMBER(F43:I43),F43:I43)</f>
        <v>290</v>
      </c>
      <c r="G43" s="45">
        <f>_xlfn.XLOOKUP(C43,'Ableson and Joyeux 2023'!A:A,'Ableson and Joyeux 2023'!C:C)</f>
        <v>290</v>
      </c>
      <c r="H43" s="7">
        <f>_xlfn.XLOOKUP(B43,'rai-values-2bf'!E:E,'rai-values-2bf'!H:H)</f>
        <v>279.42680033672605</v>
      </c>
      <c r="J43">
        <v>106.1</v>
      </c>
      <c r="K43">
        <v>110.4</v>
      </c>
    </row>
    <row r="44" spans="1:11" x14ac:dyDescent="0.25">
      <c r="B44" s="1">
        <v>42614</v>
      </c>
      <c r="C44">
        <v>2017</v>
      </c>
      <c r="D44" s="23">
        <f t="shared" si="3"/>
        <v>9</v>
      </c>
      <c r="E44" cm="1">
        <f t="array" ref="E44">_xlfn.XLOOKUP(TRUE,ISNUMBER(F44:I44),F44:I44)</f>
        <v>309</v>
      </c>
      <c r="G44" s="45">
        <f>_xlfn.XLOOKUP(C44,'Ableson and Joyeux 2023'!A:A,'Ableson and Joyeux 2023'!C:C)</f>
        <v>309</v>
      </c>
      <c r="H44" s="7">
        <f>_xlfn.XLOOKUP(B44,'rai-values-2bf'!E:E,'rai-values-2bf'!H:H)</f>
        <v>294.23863636363637</v>
      </c>
      <c r="J44">
        <v>106.9</v>
      </c>
      <c r="K44">
        <v>110.7</v>
      </c>
    </row>
    <row r="45" spans="1:11" x14ac:dyDescent="0.25">
      <c r="B45" s="1">
        <v>42705</v>
      </c>
      <c r="C45">
        <v>2017</v>
      </c>
      <c r="D45" s="23">
        <f t="shared" si="3"/>
        <v>12</v>
      </c>
      <c r="E45" cm="1">
        <f t="array" ref="E45">_xlfn.XLOOKUP(TRUE,ISNUMBER(F45:I45),F45:I45)</f>
        <v>309</v>
      </c>
      <c r="G45" s="45">
        <f>_xlfn.XLOOKUP(C45,'Ableson and Joyeux 2023'!A:A,'Ableson and Joyeux 2023'!C:C)</f>
        <v>309</v>
      </c>
      <c r="H45" s="7">
        <f>_xlfn.XLOOKUP(B45,'rai-values-2bf'!E:E,'rai-values-2bf'!H:H)</f>
        <v>310.09580838323348</v>
      </c>
      <c r="J45">
        <v>108</v>
      </c>
      <c r="K45">
        <v>110.8</v>
      </c>
    </row>
    <row r="46" spans="1:11" x14ac:dyDescent="0.25">
      <c r="A46" s="3"/>
      <c r="B46" s="1">
        <v>42795</v>
      </c>
      <c r="C46">
        <v>2017</v>
      </c>
      <c r="D46" s="23">
        <f t="shared" si="3"/>
        <v>3</v>
      </c>
      <c r="E46" cm="1">
        <f t="array" ref="E46">_xlfn.XLOOKUP(TRUE,ISNUMBER(F46:I46),F46:I46)</f>
        <v>309</v>
      </c>
      <c r="G46" s="45">
        <f>_xlfn.XLOOKUP(C46,'Ableson and Joyeux 2023'!A:A,'Ableson and Joyeux 2023'!C:C)</f>
        <v>309</v>
      </c>
      <c r="H46" s="7">
        <f>_xlfn.XLOOKUP(B46,'rai-values-2bf'!E:E,'rai-values-2bf'!H:H)</f>
        <v>319.66666666666663</v>
      </c>
      <c r="J46">
        <v>109.5</v>
      </c>
      <c r="K46">
        <v>110.9</v>
      </c>
    </row>
    <row r="47" spans="1:11" x14ac:dyDescent="0.25">
      <c r="A47" s="3"/>
      <c r="B47" s="1">
        <v>42887</v>
      </c>
      <c r="C47">
        <v>2017</v>
      </c>
      <c r="D47" s="23">
        <f t="shared" si="3"/>
        <v>6</v>
      </c>
      <c r="E47" cm="1">
        <f t="array" ref="E47">_xlfn.XLOOKUP(TRUE,ISNUMBER(F47:I47),F47:I47)</f>
        <v>309</v>
      </c>
      <c r="G47" s="45">
        <f>_xlfn.XLOOKUP(C47,'Ableson and Joyeux 2023'!A:A,'Ableson and Joyeux 2023'!C:C)</f>
        <v>309</v>
      </c>
      <c r="H47" s="7">
        <f>_xlfn.XLOOKUP(B47,'rai-values-2bf'!E:E,'rai-values-2bf'!H:H)</f>
        <v>308.25</v>
      </c>
      <c r="J47">
        <v>110.6</v>
      </c>
      <c r="K47">
        <v>111.1</v>
      </c>
    </row>
    <row r="48" spans="1:11" x14ac:dyDescent="0.25">
      <c r="A48" s="3"/>
      <c r="B48" s="1">
        <v>42979</v>
      </c>
      <c r="C48">
        <v>2018</v>
      </c>
      <c r="D48" s="23">
        <f t="shared" si="3"/>
        <v>9</v>
      </c>
      <c r="E48" cm="1">
        <f t="array" ref="E48">_xlfn.XLOOKUP(TRUE,ISNUMBER(F48:I48),F48:I48)</f>
        <v>344</v>
      </c>
      <c r="G48" s="45">
        <f>_xlfn.XLOOKUP(C48,'Ableson and Joyeux 2023'!A:A,'Ableson and Joyeux 2023'!C:C)</f>
        <v>344</v>
      </c>
      <c r="H48" s="7">
        <f>_xlfn.XLOOKUP(B48,'rai-values-2bf'!E:E,'rai-values-2bf'!H:H)</f>
        <v>330.58041603247079</v>
      </c>
      <c r="J48">
        <v>111.3</v>
      </c>
      <c r="K48">
        <v>111.3</v>
      </c>
    </row>
    <row r="49" spans="1:11" x14ac:dyDescent="0.25">
      <c r="A49" s="3"/>
      <c r="B49" s="1">
        <v>43070</v>
      </c>
      <c r="C49">
        <v>2018</v>
      </c>
      <c r="D49" s="23">
        <f t="shared" si="3"/>
        <v>12</v>
      </c>
      <c r="E49" cm="1">
        <f t="array" ref="E49">_xlfn.XLOOKUP(TRUE,ISNUMBER(F49:I49),F49:I49)</f>
        <v>344</v>
      </c>
      <c r="G49" s="45">
        <f>_xlfn.XLOOKUP(C49,'Ableson and Joyeux 2023'!A:A,'Ableson and Joyeux 2023'!C:C)</f>
        <v>344</v>
      </c>
      <c r="H49" s="7">
        <f>_xlfn.XLOOKUP(B49,'rai-values-2bf'!E:E,'rai-values-2bf'!H:H)</f>
        <v>330.58041603247079</v>
      </c>
      <c r="J49">
        <v>111.8</v>
      </c>
      <c r="K49">
        <v>111.6</v>
      </c>
    </row>
    <row r="50" spans="1:11" x14ac:dyDescent="0.25">
      <c r="A50" s="3"/>
      <c r="B50" s="1">
        <v>43160</v>
      </c>
      <c r="C50">
        <v>2018</v>
      </c>
      <c r="D50" s="23">
        <f t="shared" si="3"/>
        <v>3</v>
      </c>
      <c r="E50" cm="1">
        <f t="array" ref="E50">_xlfn.XLOOKUP(TRUE,ISNUMBER(F50:I50),F50:I50)</f>
        <v>344</v>
      </c>
      <c r="G50" s="45">
        <f>_xlfn.XLOOKUP(C50,'Ableson and Joyeux 2023'!A:A,'Ableson and Joyeux 2023'!C:C)</f>
        <v>344</v>
      </c>
      <c r="H50" s="7">
        <f>_xlfn.XLOOKUP(B50,'rai-values-2bf'!E:E,'rai-values-2bf'!H:H)</f>
        <v>338.9495404889891</v>
      </c>
      <c r="K50">
        <v>111.8</v>
      </c>
    </row>
    <row r="51" spans="1:11" x14ac:dyDescent="0.25">
      <c r="A51" s="3"/>
      <c r="B51" s="1">
        <v>43252</v>
      </c>
      <c r="C51">
        <v>2018</v>
      </c>
      <c r="D51" s="23">
        <f t="shared" si="3"/>
        <v>6</v>
      </c>
      <c r="E51" cm="1">
        <f t="array" ref="E51">_xlfn.XLOOKUP(TRUE,ISNUMBER(F51:I51),F51:I51)</f>
        <v>344</v>
      </c>
      <c r="G51" s="45">
        <f>_xlfn.XLOOKUP(C51,'Ableson and Joyeux 2023'!A:A,'Ableson and Joyeux 2023'!C:C)</f>
        <v>344</v>
      </c>
      <c r="H51" s="7">
        <f>_xlfn.XLOOKUP(B51,'rai-values-2bf'!E:E,'rai-values-2bf'!H:H)</f>
        <v>350.02632285791026</v>
      </c>
      <c r="K51">
        <v>111.8</v>
      </c>
    </row>
    <row r="52" spans="1:11" x14ac:dyDescent="0.25">
      <c r="A52" s="3"/>
      <c r="B52" s="1">
        <v>43344</v>
      </c>
      <c r="C52">
        <v>2019</v>
      </c>
      <c r="D52" s="23">
        <f t="shared" si="3"/>
        <v>9</v>
      </c>
      <c r="E52" cm="1">
        <f t="array" ref="E52">_xlfn.XLOOKUP(TRUE,ISNUMBER(F52:I52),F52:I52)</f>
        <v>379</v>
      </c>
      <c r="G52" s="45">
        <f>_xlfn.XLOOKUP(C52,'Ableson and Joyeux 2023'!A:A,'Ableson and Joyeux 2023'!C:C)</f>
        <v>379</v>
      </c>
      <c r="H52" s="7">
        <f>_xlfn.XLOOKUP(B52,'rai-values-2bf'!E:E,'rai-values-2bf'!H:H)</f>
        <v>350.99578503688093</v>
      </c>
      <c r="K52">
        <v>112</v>
      </c>
    </row>
    <row r="53" spans="1:11" x14ac:dyDescent="0.25">
      <c r="A53" s="3"/>
      <c r="B53" s="1">
        <v>43435</v>
      </c>
      <c r="C53">
        <v>2019</v>
      </c>
      <c r="D53" s="23">
        <f t="shared" si="3"/>
        <v>12</v>
      </c>
      <c r="E53" cm="1">
        <f t="array" ref="E53">_xlfn.XLOOKUP(TRUE,ISNUMBER(F53:I53),F53:I53)</f>
        <v>379</v>
      </c>
      <c r="G53" s="45">
        <f>_xlfn.XLOOKUP(C53,'Ableson and Joyeux 2023'!A:A,'Ableson and Joyeux 2023'!C:C)</f>
        <v>379</v>
      </c>
      <c r="H53" s="7">
        <f>_xlfn.XLOOKUP(B53,'rai-values-2bf'!E:E,'rai-values-2bf'!H:H)</f>
        <v>357.87805533172173</v>
      </c>
      <c r="K53">
        <v>112.2</v>
      </c>
    </row>
    <row r="54" spans="1:11" x14ac:dyDescent="0.25">
      <c r="A54" s="3"/>
      <c r="B54" s="1">
        <v>43525</v>
      </c>
      <c r="C54">
        <v>2019</v>
      </c>
      <c r="D54" s="23">
        <f t="shared" si="3"/>
        <v>3</v>
      </c>
      <c r="E54" cm="1">
        <f t="array" ref="E54">_xlfn.XLOOKUP(TRUE,ISNUMBER(F54:I54),F54:I54)</f>
        <v>379</v>
      </c>
      <c r="G54" s="45">
        <f>_xlfn.XLOOKUP(C54,'Ableson and Joyeux 2023'!A:A,'Ableson and Joyeux 2023'!C:C)</f>
        <v>379</v>
      </c>
      <c r="H54" s="7">
        <f>_xlfn.XLOOKUP(B54,'rai-values-2bf'!E:E,'rai-values-2bf'!H:H)</f>
        <v>380.24543378995429</v>
      </c>
      <c r="K54">
        <v>112.3</v>
      </c>
    </row>
    <row r="55" spans="1:11" x14ac:dyDescent="0.25">
      <c r="A55" s="3"/>
      <c r="B55" s="1">
        <v>43617</v>
      </c>
      <c r="C55">
        <v>2019</v>
      </c>
      <c r="D55" s="23">
        <f t="shared" si="3"/>
        <v>6</v>
      </c>
      <c r="E55" cm="1">
        <f t="array" ref="E55">_xlfn.XLOOKUP(TRUE,ISNUMBER(F55:I55),F55:I55)</f>
        <v>379</v>
      </c>
      <c r="G55" s="45">
        <f>_xlfn.XLOOKUP(C55,'Ableson and Joyeux 2023'!A:A,'Ableson and Joyeux 2023'!C:C)</f>
        <v>379</v>
      </c>
      <c r="H55" s="7">
        <f>_xlfn.XLOOKUP(B55,'rai-values-2bf'!E:E,'rai-values-2bf'!H:H)</f>
        <v>369.96853017400957</v>
      </c>
      <c r="K55">
        <v>112.3</v>
      </c>
    </row>
    <row r="56" spans="1:11" x14ac:dyDescent="0.25">
      <c r="A56" s="3"/>
      <c r="B56" s="1">
        <v>43709</v>
      </c>
      <c r="C56">
        <v>2020</v>
      </c>
      <c r="D56" s="23">
        <f t="shared" si="3"/>
        <v>9</v>
      </c>
      <c r="E56" cm="1">
        <f t="array" ref="E56">_xlfn.XLOOKUP(TRUE,ISNUMBER(F56:I56),F56:I56)</f>
        <v>400</v>
      </c>
      <c r="G56" s="45">
        <f>_xlfn.XLOOKUP(C56,'Ableson and Joyeux 2023'!A:A,'Ableson and Joyeux 2023'!C:C)</f>
        <v>400</v>
      </c>
      <c r="H56" s="7">
        <f>_xlfn.XLOOKUP(B56,'rai-values-2bf'!E:E,'rai-values-2bf'!H:H)</f>
        <v>388.59189497716892</v>
      </c>
      <c r="K56">
        <v>112.4</v>
      </c>
    </row>
    <row r="57" spans="1:11" x14ac:dyDescent="0.25">
      <c r="A57" s="3"/>
      <c r="B57" s="1">
        <v>43800</v>
      </c>
      <c r="C57">
        <v>2020</v>
      </c>
      <c r="D57" s="23">
        <f t="shared" si="3"/>
        <v>12</v>
      </c>
      <c r="E57" cm="1">
        <f t="array" ref="E57">_xlfn.XLOOKUP(TRUE,ISNUMBER(F57:I57),F57:I57)</f>
        <v>400</v>
      </c>
      <c r="G57" s="45">
        <f>_xlfn.XLOOKUP(C57,'Ableson and Joyeux 2023'!A:A,'Ableson and Joyeux 2023'!C:C)</f>
        <v>400</v>
      </c>
      <c r="H57" s="7">
        <f>_xlfn.XLOOKUP(B57,'rai-values-2bf'!E:E,'rai-values-2bf'!H:H)</f>
        <v>402.57002069577209</v>
      </c>
      <c r="K57">
        <v>112.4</v>
      </c>
    </row>
    <row r="58" spans="1:11" x14ac:dyDescent="0.25">
      <c r="A58" s="3"/>
      <c r="B58" s="1">
        <v>43891</v>
      </c>
      <c r="C58">
        <v>2020</v>
      </c>
      <c r="D58" s="23">
        <f t="shared" si="3"/>
        <v>3</v>
      </c>
      <c r="E58" cm="1">
        <f t="array" ref="E58">_xlfn.XLOOKUP(TRUE,ISNUMBER(F58:I58),F58:I58)</f>
        <v>400</v>
      </c>
      <c r="G58" s="45">
        <f>_xlfn.XLOOKUP(C58,'Ableson and Joyeux 2023'!A:A,'Ableson and Joyeux 2023'!C:C)</f>
        <v>400</v>
      </c>
      <c r="H58" s="7">
        <f>_xlfn.XLOOKUP(B58,'rai-values-2bf'!E:E,'rai-values-2bf'!H:H)</f>
        <v>399.69452054794516</v>
      </c>
      <c r="K58">
        <v>112.5</v>
      </c>
    </row>
    <row r="59" spans="1:11" x14ac:dyDescent="0.25">
      <c r="A59" s="3"/>
      <c r="B59" s="1">
        <v>43983</v>
      </c>
      <c r="C59">
        <v>2020</v>
      </c>
      <c r="D59" s="23">
        <f t="shared" si="3"/>
        <v>6</v>
      </c>
      <c r="E59" cm="1">
        <f t="array" ref="E59">_xlfn.XLOOKUP(TRUE,ISNUMBER(F59:I59),F59:I59)</f>
        <v>400</v>
      </c>
      <c r="G59" s="45">
        <f>_xlfn.XLOOKUP(C59,'Ableson and Joyeux 2023'!A:A,'Ableson and Joyeux 2023'!C:C)</f>
        <v>400</v>
      </c>
      <c r="H59" s="7">
        <f>_xlfn.XLOOKUP(B59,'rai-values-2bf'!E:E,'rai-values-2bf'!H:H)</f>
        <v>368.1396899783706</v>
      </c>
      <c r="K59">
        <v>111</v>
      </c>
    </row>
    <row r="60" spans="1:11" x14ac:dyDescent="0.25">
      <c r="A60" s="3"/>
      <c r="B60" s="1">
        <v>44075</v>
      </c>
      <c r="C60">
        <v>2021</v>
      </c>
      <c r="D60" s="23">
        <f t="shared" si="3"/>
        <v>9</v>
      </c>
      <c r="E60" cm="1">
        <f t="array" ref="E60">_xlfn.XLOOKUP(TRUE,ISNUMBER(F60:I60),F60:I60)</f>
        <v>410</v>
      </c>
      <c r="G60" s="45">
        <f>_xlfn.XLOOKUP(C60,'Ableson and Joyeux 2023'!A:A,'Ableson and Joyeux 2023'!C:C)</f>
        <v>410</v>
      </c>
      <c r="H60" s="7">
        <f>_xlfn.XLOOKUP(B60,'rai-values-2bf'!E:E,'rai-values-2bf'!H:H)</f>
        <v>386.45131432802663</v>
      </c>
      <c r="K60">
        <v>110.8</v>
      </c>
    </row>
    <row r="61" spans="1:11" x14ac:dyDescent="0.25">
      <c r="A61" s="3"/>
      <c r="B61" s="1">
        <v>44166</v>
      </c>
      <c r="C61">
        <v>2021</v>
      </c>
      <c r="D61" s="23">
        <f t="shared" si="3"/>
        <v>12</v>
      </c>
      <c r="E61" cm="1">
        <f t="array" ref="E61">_xlfn.XLOOKUP(TRUE,ISNUMBER(F61:I61),F61:I61)</f>
        <v>410</v>
      </c>
      <c r="G61" s="45">
        <f>_xlfn.XLOOKUP(C61,'Ableson and Joyeux 2023'!A:A,'Ableson and Joyeux 2023'!C:C)</f>
        <v>410</v>
      </c>
      <c r="H61" s="7">
        <f>_xlfn.XLOOKUP(B61,'rai-values-2bf'!E:E,'rai-values-2bf'!H:H)</f>
        <v>391.74516794895845</v>
      </c>
      <c r="K61">
        <v>110.9</v>
      </c>
    </row>
    <row r="62" spans="1:11" x14ac:dyDescent="0.25">
      <c r="A62" s="3"/>
      <c r="B62" s="1">
        <v>44256</v>
      </c>
      <c r="C62">
        <v>2021</v>
      </c>
      <c r="D62" s="23">
        <f t="shared" si="3"/>
        <v>3</v>
      </c>
      <c r="E62" cm="1">
        <f t="array" ref="E62">_xlfn.XLOOKUP(TRUE,ISNUMBER(F62:I62),F62:I62)</f>
        <v>410</v>
      </c>
      <c r="G62" s="45">
        <f>_xlfn.XLOOKUP(C62,'Ableson and Joyeux 2023'!A:A,'Ableson and Joyeux 2023'!C:C)</f>
        <v>410</v>
      </c>
      <c r="H62" s="7">
        <f>_xlfn.XLOOKUP(B62,'rai-values-2bf'!E:E,'rai-values-2bf'!H:H)</f>
        <v>399.96359804578975</v>
      </c>
      <c r="K62">
        <v>110.9</v>
      </c>
    </row>
    <row r="63" spans="1:11" x14ac:dyDescent="0.25">
      <c r="A63" s="3"/>
      <c r="B63" s="1">
        <v>44348</v>
      </c>
      <c r="C63">
        <v>2021</v>
      </c>
      <c r="D63" s="23">
        <f t="shared" si="3"/>
        <v>6</v>
      </c>
      <c r="E63" cm="1">
        <f t="array" ref="E63">_xlfn.XLOOKUP(TRUE,ISNUMBER(F63:I63),F63:I63)</f>
        <v>410</v>
      </c>
      <c r="G63" s="45">
        <f>_xlfn.XLOOKUP(C63,'Ableson and Joyeux 2023'!A:A,'Ableson and Joyeux 2023'!C:C)</f>
        <v>410</v>
      </c>
      <c r="H63" s="7">
        <f>_xlfn.XLOOKUP(B63,'rai-values-2bf'!E:E,'rai-values-2bf'!H:H)</f>
        <v>399.96359804578975</v>
      </c>
      <c r="K63">
        <v>111</v>
      </c>
    </row>
    <row r="64" spans="1:11" x14ac:dyDescent="0.25">
      <c r="A64" s="3"/>
      <c r="B64" s="1">
        <v>44440</v>
      </c>
      <c r="C64">
        <v>2022</v>
      </c>
      <c r="D64" s="23">
        <f t="shared" si="3"/>
        <v>9</v>
      </c>
      <c r="E64" cm="1">
        <f t="array" ref="E64">_xlfn.XLOOKUP(TRUE,ISNUMBER(F64:I64),F64:I64)</f>
        <v>406.82054794520542</v>
      </c>
      <c r="H64" s="7">
        <f>_xlfn.XLOOKUP(B64,'rai-values-2bf'!E:E,'rai-values-2bf'!H:H)</f>
        <v>406.82054794520542</v>
      </c>
      <c r="K64">
        <v>111.2</v>
      </c>
    </row>
    <row r="65" spans="1:11" x14ac:dyDescent="0.25">
      <c r="A65" s="3"/>
      <c r="B65" s="1">
        <v>44531</v>
      </c>
      <c r="C65">
        <v>2022</v>
      </c>
      <c r="D65" s="23">
        <f t="shared" si="3"/>
        <v>12</v>
      </c>
      <c r="E65" cm="1">
        <f t="array" ref="E65">_xlfn.XLOOKUP(TRUE,ISNUMBER(F65:I65),F65:I65)</f>
        <v>415.72902709729021</v>
      </c>
      <c r="H65" s="7">
        <f>_xlfn.XLOOKUP(B65,'rai-values-2bf'!E:E,'rai-values-2bf'!H:H)</f>
        <v>415.72902709729021</v>
      </c>
      <c r="K65">
        <v>111.3</v>
      </c>
    </row>
    <row r="66" spans="1:11" x14ac:dyDescent="0.25">
      <c r="A66" s="3"/>
      <c r="B66" s="1">
        <v>44621</v>
      </c>
      <c r="C66">
        <v>2022</v>
      </c>
      <c r="D66" s="23">
        <f t="shared" si="3"/>
        <v>3</v>
      </c>
      <c r="E66" cm="1">
        <f t="array" ref="E66">_xlfn.XLOOKUP(TRUE,ISNUMBER(F66:I66),F66:I66)</f>
        <v>448.46359616006896</v>
      </c>
      <c r="H66" s="7">
        <f>_xlfn.XLOOKUP(B66,'rai-values-2bf'!E:E,'rai-values-2bf'!H:H)</f>
        <v>448.46359616006896</v>
      </c>
      <c r="K66">
        <v>112.1</v>
      </c>
    </row>
    <row r="67" spans="1:11" x14ac:dyDescent="0.25">
      <c r="A67" s="3"/>
      <c r="B67" s="1">
        <v>44713</v>
      </c>
      <c r="C67">
        <v>2022</v>
      </c>
      <c r="D67" s="23">
        <f t="shared" si="3"/>
        <v>6</v>
      </c>
      <c r="E67" cm="1">
        <f t="array" ref="E67">_xlfn.XLOOKUP(TRUE,ISNUMBER(F67:I67),F67:I67)</f>
        <v>438</v>
      </c>
      <c r="G67" s="45">
        <f>_xlfn.XLOOKUP(B67,'Ableson and Joyeux 2023'!A:A,'Ableson and Joyeux 2023'!C:C)</f>
        <v>438</v>
      </c>
      <c r="H67" s="7">
        <f>_xlfn.XLOOKUP(B67,'rai-values-2bf'!E:E,'rai-values-2bf'!H:H)</f>
        <v>448.46359616006896</v>
      </c>
      <c r="K67">
        <v>112.7</v>
      </c>
    </row>
    <row r="68" spans="1:11" x14ac:dyDescent="0.25">
      <c r="A68" s="3"/>
      <c r="B68" s="1">
        <v>44805</v>
      </c>
      <c r="C68">
        <v>2023</v>
      </c>
      <c r="D68" s="23">
        <f t="shared" si="3"/>
        <v>9</v>
      </c>
      <c r="E68" cm="1">
        <f t="array" ref="E68">_xlfn.XLOOKUP(TRUE,ISNUMBER(F68:I68),F68:I68)</f>
        <v>459.31808866357454</v>
      </c>
      <c r="H68" s="7">
        <f>_xlfn.XLOOKUP(B68,'rai-values-2bf'!E:E,'rai-values-2bf'!H:H)</f>
        <v>459.31808866357454</v>
      </c>
      <c r="K68">
        <v>114.2</v>
      </c>
    </row>
    <row r="69" spans="1:11" x14ac:dyDescent="0.25">
      <c r="A69" s="3"/>
      <c r="B69" s="1">
        <v>44896</v>
      </c>
      <c r="C69">
        <v>2023</v>
      </c>
      <c r="D69" s="23">
        <f t="shared" si="3"/>
        <v>12</v>
      </c>
      <c r="E69" cm="1">
        <f t="array" ref="E69">_xlfn.XLOOKUP(TRUE,ISNUMBER(F69:I69),F69:I69)</f>
        <v>470</v>
      </c>
      <c r="F69">
        <f>_xlfn.XLOOKUP(B69,'domain-values'!A:A,'domain-values'!C:C)</f>
        <v>470</v>
      </c>
      <c r="G69" s="45">
        <f>_xlfn.XLOOKUP(B69,'Ableson and Joyeux 2023'!A:A,'Ableson and Joyeux 2023'!C:C)</f>
        <v>450</v>
      </c>
      <c r="H69" s="7">
        <f>_xlfn.XLOOKUP(B69,'rai-values-2bf'!E:E,'rai-values-2bf'!H:H)</f>
        <v>459.31808866357454</v>
      </c>
      <c r="K69">
        <v>115.8</v>
      </c>
    </row>
    <row r="70" spans="1:11" x14ac:dyDescent="0.25">
      <c r="A70" s="3"/>
      <c r="B70" s="1">
        <v>44986</v>
      </c>
      <c r="C70">
        <v>2023</v>
      </c>
      <c r="D70" s="23">
        <f t="shared" ref="D70:D81" si="4">MONTH(B70)</f>
        <v>3</v>
      </c>
      <c r="E70" cm="1">
        <f t="array" ref="E70">_xlfn.XLOOKUP(TRUE,ISNUMBER(F70:I70),F70:I70)</f>
        <v>475</v>
      </c>
      <c r="F70">
        <f>_xlfn.XLOOKUP(B70,'domain-values'!A:A,'domain-values'!C:C)</f>
        <v>475</v>
      </c>
      <c r="H70" s="7">
        <f>_xlfn.XLOOKUP(B70,'rai-values-2bf'!E:E,'rai-values-2bf'!H:H)</f>
        <v>459.31808866357454</v>
      </c>
      <c r="K70">
        <v>117.7</v>
      </c>
    </row>
    <row r="71" spans="1:11" x14ac:dyDescent="0.25">
      <c r="A71" s="3"/>
      <c r="B71" s="1">
        <v>45078</v>
      </c>
      <c r="C71">
        <v>2023</v>
      </c>
      <c r="D71" s="23">
        <f t="shared" si="4"/>
        <v>6</v>
      </c>
      <c r="E71" cm="1">
        <f t="array" ref="E71">_xlfn.XLOOKUP(TRUE,ISNUMBER(F71:I71),F71:I71)</f>
        <v>450</v>
      </c>
      <c r="F71">
        <f>_xlfn.XLOOKUP(B71,'domain-values'!A:A,'domain-values'!C:C)</f>
        <v>450</v>
      </c>
      <c r="H71" s="7">
        <f>_xlfn.XLOOKUP(B71,'rai-values-2bf'!E:E,'rai-values-2bf'!H:H)</f>
        <v>448.71844046364595</v>
      </c>
      <c r="K71">
        <v>120.3</v>
      </c>
    </row>
    <row r="72" spans="1:11" x14ac:dyDescent="0.25">
      <c r="A72" s="3"/>
      <c r="B72" s="1">
        <v>45170</v>
      </c>
      <c r="C72">
        <v>2024</v>
      </c>
      <c r="D72" s="23">
        <f t="shared" si="4"/>
        <v>9</v>
      </c>
      <c r="E72" cm="1">
        <f t="array" ref="E72">_xlfn.XLOOKUP(TRUE,ISNUMBER(F72:I72),F72:I72)</f>
        <v>450</v>
      </c>
      <c r="F72">
        <f>_xlfn.XLOOKUP(B72,'domain-values'!A:A,'domain-values'!C:C)</f>
        <v>450</v>
      </c>
      <c r="H72" s="7">
        <f>_xlfn.XLOOKUP(B72,'rai-values-2bf'!E:E,'rai-values-2bf'!H:H)</f>
        <v>468.17386722866178</v>
      </c>
      <c r="K72">
        <v>122.9</v>
      </c>
    </row>
    <row r="73" spans="1:11" x14ac:dyDescent="0.25">
      <c r="A73" s="3"/>
      <c r="B73" s="1">
        <v>45261</v>
      </c>
      <c r="C73">
        <v>2024</v>
      </c>
      <c r="D73" s="23">
        <f t="shared" si="4"/>
        <v>12</v>
      </c>
      <c r="E73" cm="1">
        <f t="array" ref="E73">_xlfn.XLOOKUP(TRUE,ISNUMBER(F73:I73),F73:I73)</f>
        <v>450</v>
      </c>
      <c r="F73">
        <f>_xlfn.XLOOKUP(B73,'domain-values'!A:A,'domain-values'!C:C)</f>
        <v>450</v>
      </c>
      <c r="H73" s="7">
        <f>_xlfn.XLOOKUP(B73,'rai-values-2bf'!E:E,'rai-values-2bf'!H:H)</f>
        <v>468.17386722866178</v>
      </c>
      <c r="K73">
        <v>124.2</v>
      </c>
    </row>
    <row r="74" spans="1:11" x14ac:dyDescent="0.25">
      <c r="A74" s="3"/>
      <c r="B74" s="1">
        <v>45352</v>
      </c>
      <c r="C74">
        <v>2024</v>
      </c>
      <c r="D74" s="23">
        <f t="shared" si="4"/>
        <v>3</v>
      </c>
      <c r="E74" cm="1">
        <f t="array" ref="E74">_xlfn.XLOOKUP(TRUE,ISNUMBER(F74:I74),F74:I74)</f>
        <v>460</v>
      </c>
      <c r="F74">
        <f>_xlfn.XLOOKUP(B74,'domain-values'!A:A,'domain-values'!C:C)</f>
        <v>460</v>
      </c>
      <c r="H74" s="7">
        <f>_xlfn.XLOOKUP(B74,'rai-values-2bf'!E:E,'rai-values-2bf'!H:H)</f>
        <v>457.61355443403022</v>
      </c>
      <c r="K74">
        <v>126.9</v>
      </c>
    </row>
    <row r="75" spans="1:11" x14ac:dyDescent="0.25">
      <c r="A75" s="3"/>
      <c r="B75" s="1">
        <v>45444</v>
      </c>
      <c r="C75">
        <v>2024</v>
      </c>
      <c r="D75" s="23">
        <f t="shared" si="4"/>
        <v>6</v>
      </c>
      <c r="E75" cm="1">
        <f t="array" ref="E75">_xlfn.XLOOKUP(TRUE,ISNUMBER(F75:I75),F75:I75)</f>
        <v>460</v>
      </c>
      <c r="F75">
        <f>_xlfn.XLOOKUP(B75,'domain-values'!A:A,'domain-values'!C:C)</f>
        <v>460</v>
      </c>
      <c r="H75" s="7">
        <f>_xlfn.XLOOKUP(B75,'rai-values-2bf'!E:E,'rai-values-2bf'!H:H)</f>
        <v>447.51913779210315</v>
      </c>
      <c r="K75">
        <v>129.1</v>
      </c>
    </row>
    <row r="76" spans="1:11" x14ac:dyDescent="0.25">
      <c r="A76" s="3"/>
      <c r="B76" s="1">
        <v>45536</v>
      </c>
      <c r="C76">
        <v>2025</v>
      </c>
      <c r="D76" s="23">
        <f t="shared" si="4"/>
        <v>9</v>
      </c>
      <c r="E76" cm="1">
        <f t="array" ref="E76">_xlfn.XLOOKUP(TRUE,ISNUMBER(F76:I76),F76:I76)</f>
        <v>460</v>
      </c>
      <c r="F76">
        <f>_xlfn.XLOOKUP(B76,'domain-values'!A:A,'domain-values'!C:C)</f>
        <v>460</v>
      </c>
      <c r="H76" s="7">
        <f>_xlfn.XLOOKUP(B76,'rai-values-2bf'!E:E,'rai-values-2bf'!H:H)</f>
        <v>474</v>
      </c>
      <c r="K76">
        <v>131.19999999999999</v>
      </c>
    </row>
    <row r="77" spans="1:11" x14ac:dyDescent="0.25">
      <c r="A77" s="3"/>
      <c r="B77" s="1">
        <v>45627</v>
      </c>
      <c r="C77">
        <v>2025</v>
      </c>
      <c r="D77" s="23">
        <f t="shared" si="4"/>
        <v>12</v>
      </c>
      <c r="E77" cm="1">
        <f t="array" ref="E77">_xlfn.XLOOKUP(TRUE,ISNUMBER(F77:I77),F77:I77)</f>
        <v>460</v>
      </c>
      <c r="F77">
        <f>_xlfn.XLOOKUP(B77,'domain-values'!A:A,'domain-values'!C:C)</f>
        <v>460</v>
      </c>
      <c r="H77" s="7">
        <f>_xlfn.XLOOKUP(B77,'rai-values-2bf'!E:E,'rai-values-2bf'!H:H)</f>
        <v>484.93846153846158</v>
      </c>
      <c r="K77">
        <v>132.19999999999999</v>
      </c>
    </row>
    <row r="78" spans="1:11" x14ac:dyDescent="0.25">
      <c r="A78" s="3"/>
      <c r="B78" s="1">
        <v>45717</v>
      </c>
      <c r="C78">
        <v>2025</v>
      </c>
      <c r="D78" s="23">
        <f t="shared" si="4"/>
        <v>3</v>
      </c>
      <c r="E78" cm="1">
        <f t="array" ref="E78">_xlfn.XLOOKUP(TRUE,ISNUMBER(F78:I78),F78:I78)</f>
        <v>480</v>
      </c>
      <c r="F78">
        <f>_xlfn.XLOOKUP(B78,'domain-values'!A:A,'domain-values'!C:C)</f>
        <v>480</v>
      </c>
      <c r="H78" s="7">
        <f>_xlfn.XLOOKUP(B78,'rai-values-2bf'!E:E,'rai-values-2bf'!H:H)</f>
        <v>477.59090909090912</v>
      </c>
      <c r="K78">
        <v>133.9</v>
      </c>
    </row>
    <row r="79" spans="1:11" x14ac:dyDescent="0.25">
      <c r="A79" s="3"/>
      <c r="B79" s="1">
        <v>45809</v>
      </c>
      <c r="C79">
        <v>2025</v>
      </c>
      <c r="D79" s="23">
        <f t="shared" si="4"/>
        <v>6</v>
      </c>
      <c r="E79" cm="1">
        <f t="array" ref="E79">_xlfn.XLOOKUP(TRUE,ISNUMBER(F79:I79),F79:I79)</f>
        <v>500</v>
      </c>
      <c r="F79">
        <f>_xlfn.XLOOKUP(B79,'domain-values'!A:A,'domain-values'!C:C)</f>
        <v>500</v>
      </c>
      <c r="H79" s="7">
        <f>_xlfn.XLOOKUP(B79,'rai-values-2bf'!E:E,'rai-values-2bf'!H:H)</f>
        <v>477.59090909090912</v>
      </c>
      <c r="K79">
        <v>134.9</v>
      </c>
    </row>
    <row r="80" spans="1:11" x14ac:dyDescent="0.25">
      <c r="A80" s="3"/>
      <c r="B80" s="1">
        <v>45901</v>
      </c>
      <c r="C80">
        <v>2026</v>
      </c>
      <c r="D80" s="23">
        <f t="shared" si="4"/>
        <v>9</v>
      </c>
      <c r="E80" cm="1">
        <f t="array" ref="E80">_xlfn.XLOOKUP(TRUE,ISNUMBER(F80:I80),F80:I80)</f>
        <v>490</v>
      </c>
      <c r="F80">
        <f>_xlfn.XLOOKUP(B80,'domain-values'!A:A,'domain-values'!C:C)</f>
        <v>490</v>
      </c>
      <c r="H80" s="7"/>
      <c r="K80">
        <v>136.1</v>
      </c>
    </row>
    <row r="81" spans="1:11" x14ac:dyDescent="0.25">
      <c r="A81" s="3"/>
      <c r="B81" s="1">
        <v>45992</v>
      </c>
      <c r="C81">
        <v>2026</v>
      </c>
      <c r="D81" s="23">
        <f t="shared" si="4"/>
        <v>12</v>
      </c>
      <c r="E81" cm="1">
        <f t="array" ref="E81">_xlfn.XLOOKUP(TRUE,ISNUMBER(F81:I81),F81:I81)</f>
        <v>480</v>
      </c>
      <c r="F81">
        <f>_xlfn.XLOOKUP(B81,'domain-values'!A:A,'domain-values'!C:C)</f>
        <v>480</v>
      </c>
      <c r="H81" s="7"/>
      <c r="K81">
        <v>137.5</v>
      </c>
    </row>
    <row r="82" spans="1:11" x14ac:dyDescent="0.25">
      <c r="A82" s="3"/>
      <c r="E82" s="7"/>
    </row>
    <row r="83" spans="1:11" x14ac:dyDescent="0.25">
      <c r="A83" s="3"/>
      <c r="E83" s="7"/>
    </row>
    <row r="84" spans="1:11" x14ac:dyDescent="0.25">
      <c r="A84" s="3"/>
      <c r="E84" s="7"/>
    </row>
    <row r="85" spans="1:11" x14ac:dyDescent="0.25">
      <c r="A85" s="3"/>
      <c r="E85" s="7"/>
    </row>
    <row r="86" spans="1:11" x14ac:dyDescent="0.25">
      <c r="A86" s="3"/>
      <c r="E86" s="7"/>
    </row>
    <row r="87" spans="1:11" x14ac:dyDescent="0.25">
      <c r="A87" s="3"/>
      <c r="E87" s="7"/>
    </row>
    <row r="88" spans="1:11" x14ac:dyDescent="0.25">
      <c r="A88" s="3"/>
      <c r="E88" s="7"/>
    </row>
    <row r="89" spans="1:11" x14ac:dyDescent="0.25">
      <c r="A89" s="3"/>
      <c r="E89" s="7"/>
    </row>
    <row r="90" spans="1:11" x14ac:dyDescent="0.25">
      <c r="A90" s="3"/>
      <c r="E90" s="7"/>
    </row>
    <row r="91" spans="1:11" x14ac:dyDescent="0.25">
      <c r="A91" s="3"/>
      <c r="E91" s="7"/>
    </row>
    <row r="92" spans="1:11" x14ac:dyDescent="0.25">
      <c r="A92" s="3"/>
      <c r="E92" s="7"/>
    </row>
    <row r="93" spans="1:11" x14ac:dyDescent="0.25">
      <c r="A93" s="3"/>
      <c r="E93" s="7"/>
    </row>
    <row r="94" spans="1:11" x14ac:dyDescent="0.25">
      <c r="A94" s="3"/>
      <c r="E94" s="7"/>
    </row>
    <row r="95" spans="1:11" x14ac:dyDescent="0.25">
      <c r="A95" s="3"/>
      <c r="E95" s="7"/>
    </row>
    <row r="96" spans="1:11"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K109"/>
  <sheetViews>
    <sheetView workbookViewId="0">
      <pane ySplit="1" topLeftCell="A2" activePane="bottomLeft" state="frozen"/>
      <selection pane="bottomLeft" activeCell="H22" sqref="H22"/>
    </sheetView>
  </sheetViews>
  <sheetFormatPr defaultRowHeight="15" x14ac:dyDescent="0.25"/>
  <cols>
    <col min="1" max="1" width="33.42578125" bestFit="1" customWidth="1"/>
    <col min="5" max="5" width="11" bestFit="1" customWidth="1"/>
  </cols>
  <sheetData>
    <row r="1" spans="1:11" x14ac:dyDescent="0.25">
      <c r="A1" t="s">
        <v>5</v>
      </c>
      <c r="B1" s="1" t="s">
        <v>1</v>
      </c>
      <c r="C1" t="s">
        <v>650</v>
      </c>
      <c r="D1" s="1" t="s">
        <v>632</v>
      </c>
      <c r="E1" s="5" t="s">
        <v>654</v>
      </c>
      <c r="F1" t="s">
        <v>634</v>
      </c>
      <c r="G1" t="s">
        <v>635</v>
      </c>
      <c r="H1" t="s">
        <v>653</v>
      </c>
      <c r="I1" t="s">
        <v>658</v>
      </c>
      <c r="J1" s="6" t="s">
        <v>659</v>
      </c>
      <c r="K1" s="6" t="s">
        <v>636</v>
      </c>
    </row>
    <row r="2" spans="1:11" x14ac:dyDescent="0.25">
      <c r="A2" t="s">
        <v>4</v>
      </c>
      <c r="B2" s="1">
        <v>38777</v>
      </c>
      <c r="C2">
        <v>2006</v>
      </c>
      <c r="D2" s="23">
        <f>MONTH(B2)</f>
        <v>3</v>
      </c>
      <c r="E2" cm="1">
        <f t="array" ref="E2">_xlfn.XLOOKUP(TRUE,ISNUMBER(F2:I2),F2:I2)</f>
        <v>272.97985781990519</v>
      </c>
      <c r="H2" s="7"/>
      <c r="I2">
        <f t="shared" ref="I2:I6" si="0">$G$8*(J2/$J$8)</f>
        <v>272.97985781990519</v>
      </c>
      <c r="J2">
        <v>78.099999999999994</v>
      </c>
      <c r="K2">
        <v>72.900000000000006</v>
      </c>
    </row>
    <row r="3" spans="1:11" x14ac:dyDescent="0.25">
      <c r="A3" t="s">
        <v>0</v>
      </c>
      <c r="B3" s="1">
        <v>38869</v>
      </c>
      <c r="C3">
        <v>2006</v>
      </c>
      <c r="D3" s="23">
        <f>MONTH(B3)</f>
        <v>6</v>
      </c>
      <c r="E3" cm="1">
        <f t="array" ref="E3">_xlfn.XLOOKUP(TRUE,ISNUMBER(F3:I3),F3:I3)</f>
        <v>276.4751184834123</v>
      </c>
      <c r="H3" s="7"/>
      <c r="I3">
        <f t="shared" si="0"/>
        <v>276.4751184834123</v>
      </c>
      <c r="J3">
        <v>79.099999999999994</v>
      </c>
      <c r="K3">
        <v>73.5</v>
      </c>
    </row>
    <row r="4" spans="1:11" x14ac:dyDescent="0.25">
      <c r="B4" s="1">
        <v>38961</v>
      </c>
      <c r="C4">
        <v>2007</v>
      </c>
      <c r="D4" s="23">
        <f>MONTH(B4)</f>
        <v>9</v>
      </c>
      <c r="E4" cm="1">
        <f t="array" ref="E4">_xlfn.XLOOKUP(TRUE,ISNUMBER(F4:I4),F4:I4)</f>
        <v>279.62085308056868</v>
      </c>
      <c r="H4" s="7"/>
      <c r="I4">
        <f t="shared" si="0"/>
        <v>279.62085308056868</v>
      </c>
      <c r="J4">
        <v>80</v>
      </c>
      <c r="K4">
        <v>74.3</v>
      </c>
    </row>
    <row r="5" spans="1:11" x14ac:dyDescent="0.25">
      <c r="B5" s="1">
        <v>39052</v>
      </c>
      <c r="C5">
        <v>2007</v>
      </c>
      <c r="D5" s="23">
        <f>MONTH(B5)</f>
        <v>12</v>
      </c>
      <c r="E5" cm="1">
        <f t="array" ref="E5">_xlfn.XLOOKUP(TRUE,ISNUMBER(F5:I5),F5:I5)</f>
        <v>281.01895734597156</v>
      </c>
      <c r="H5" s="7"/>
      <c r="I5">
        <f t="shared" si="0"/>
        <v>281.01895734597156</v>
      </c>
      <c r="J5">
        <v>80.400000000000006</v>
      </c>
      <c r="K5">
        <v>75</v>
      </c>
    </row>
    <row r="6" spans="1:11" x14ac:dyDescent="0.25">
      <c r="B6" s="1">
        <v>39142</v>
      </c>
      <c r="C6">
        <v>2007</v>
      </c>
      <c r="D6" s="23">
        <f t="shared" ref="D6:D37" si="1">MONTH(B6)</f>
        <v>3</v>
      </c>
      <c r="E6" cm="1">
        <f t="array" ref="E6">_xlfn.XLOOKUP(TRUE,ISNUMBER(F6:I6),F6:I6)</f>
        <v>287.31042654028437</v>
      </c>
      <c r="H6" s="7"/>
      <c r="I6">
        <f t="shared" si="0"/>
        <v>287.31042654028437</v>
      </c>
      <c r="J6">
        <v>82.2</v>
      </c>
      <c r="K6">
        <v>76.099999999999994</v>
      </c>
    </row>
    <row r="7" spans="1:11" x14ac:dyDescent="0.25">
      <c r="B7" s="1">
        <v>39234</v>
      </c>
      <c r="C7">
        <v>2007</v>
      </c>
      <c r="D7" s="23">
        <f t="shared" si="1"/>
        <v>6</v>
      </c>
      <c r="E7" cm="1">
        <f t="array" ref="E7">_xlfn.XLOOKUP(TRUE,ISNUMBER(F7:I7),F7:I7)</f>
        <v>291.50473933649289</v>
      </c>
      <c r="H7" s="7"/>
      <c r="I7">
        <f>$G$8*(J7/$J$8)</f>
        <v>291.50473933649289</v>
      </c>
      <c r="J7">
        <v>83.4</v>
      </c>
      <c r="K7">
        <v>77.3</v>
      </c>
    </row>
    <row r="8" spans="1:11" x14ac:dyDescent="0.25">
      <c r="B8" s="1">
        <v>39326</v>
      </c>
      <c r="C8">
        <v>2008</v>
      </c>
      <c r="D8" s="23">
        <f t="shared" si="1"/>
        <v>9</v>
      </c>
      <c r="E8" cm="1">
        <f t="array" ref="E8">_xlfn.XLOOKUP(TRUE,ISNUMBER(F8:I8),F8:I8)</f>
        <v>295</v>
      </c>
      <c r="G8" s="45">
        <f>_xlfn.XLOOKUP(C8,'Ableson and Joyeux 2023'!A:A,'Ableson and Joyeux 2023'!B:B)</f>
        <v>295</v>
      </c>
      <c r="H8" s="7"/>
      <c r="J8">
        <v>84.4</v>
      </c>
      <c r="K8">
        <v>78.599999999999994</v>
      </c>
    </row>
    <row r="9" spans="1:11" x14ac:dyDescent="0.25">
      <c r="B9" s="1">
        <v>39417</v>
      </c>
      <c r="C9">
        <v>2008</v>
      </c>
      <c r="D9" s="23">
        <f t="shared" si="1"/>
        <v>12</v>
      </c>
      <c r="E9" cm="1">
        <f t="array" ref="E9">_xlfn.XLOOKUP(TRUE,ISNUMBER(F9:I9),F9:I9)</f>
        <v>295</v>
      </c>
      <c r="G9" s="45">
        <f>_xlfn.XLOOKUP(C9,'Ableson and Joyeux 2023'!A:A,'Ableson and Joyeux 2023'!B:B)</f>
        <v>295</v>
      </c>
      <c r="H9" s="7"/>
      <c r="J9">
        <v>84.7</v>
      </c>
      <c r="K9">
        <v>80</v>
      </c>
    </row>
    <row r="10" spans="1:11" x14ac:dyDescent="0.25">
      <c r="B10" s="1">
        <v>39508</v>
      </c>
      <c r="C10">
        <v>2008</v>
      </c>
      <c r="D10" s="23">
        <f t="shared" si="1"/>
        <v>3</v>
      </c>
      <c r="E10" cm="1">
        <f t="array" ref="E10">_xlfn.XLOOKUP(TRUE,ISNUMBER(F10:I10),F10:I10)</f>
        <v>295</v>
      </c>
      <c r="G10" s="45">
        <f>_xlfn.XLOOKUP(C10,'Ableson and Joyeux 2023'!A:A,'Ableson and Joyeux 2023'!B:B)</f>
        <v>295</v>
      </c>
      <c r="H10" s="7"/>
      <c r="J10">
        <v>86.2</v>
      </c>
      <c r="K10">
        <v>81.400000000000006</v>
      </c>
    </row>
    <row r="11" spans="1:11" x14ac:dyDescent="0.25">
      <c r="B11" s="1">
        <v>39600</v>
      </c>
      <c r="C11">
        <v>2008</v>
      </c>
      <c r="D11" s="23">
        <f t="shared" si="1"/>
        <v>6</v>
      </c>
      <c r="E11" cm="1">
        <f t="array" ref="E11">_xlfn.XLOOKUP(TRUE,ISNUMBER(F11:I11),F11:I11)</f>
        <v>295</v>
      </c>
      <c r="G11" s="45">
        <f>_xlfn.XLOOKUP(C11,'Ableson and Joyeux 2023'!A:A,'Ableson and Joyeux 2023'!B:B)</f>
        <v>295</v>
      </c>
      <c r="H11" s="7"/>
      <c r="J11">
        <v>87.1</v>
      </c>
      <c r="K11">
        <v>83.3</v>
      </c>
    </row>
    <row r="12" spans="1:11" x14ac:dyDescent="0.25">
      <c r="B12" s="1">
        <v>39692</v>
      </c>
      <c r="C12">
        <v>2009</v>
      </c>
      <c r="D12" s="23">
        <f t="shared" si="1"/>
        <v>9</v>
      </c>
      <c r="E12" cm="1">
        <f t="array" ref="E12">_xlfn.XLOOKUP(TRUE,ISNUMBER(F12:I12),F12:I12)</f>
        <v>302.49620801733477</v>
      </c>
      <c r="H12" s="7"/>
      <c r="I12">
        <f t="shared" ref="I12:I14" si="2">$G$16*(J12/$J$16)</f>
        <v>302.49620801733477</v>
      </c>
      <c r="J12">
        <v>87.8</v>
      </c>
      <c r="K12">
        <v>85</v>
      </c>
    </row>
    <row r="13" spans="1:11" x14ac:dyDescent="0.25">
      <c r="B13" s="1">
        <v>39783</v>
      </c>
      <c r="C13">
        <v>2009</v>
      </c>
      <c r="D13" s="23">
        <f t="shared" si="1"/>
        <v>12</v>
      </c>
      <c r="E13" cm="1">
        <f t="array" ref="E13">_xlfn.XLOOKUP(TRUE,ISNUMBER(F13:I13),F13:I13)</f>
        <v>306.28602383531961</v>
      </c>
      <c r="H13" s="7"/>
      <c r="I13">
        <f t="shared" si="2"/>
        <v>306.28602383531961</v>
      </c>
      <c r="J13">
        <v>88.9</v>
      </c>
      <c r="K13">
        <v>86.7</v>
      </c>
    </row>
    <row r="14" spans="1:11" x14ac:dyDescent="0.25">
      <c r="B14" s="1">
        <v>39873</v>
      </c>
      <c r="C14">
        <v>2009</v>
      </c>
      <c r="D14" s="23">
        <f t="shared" si="1"/>
        <v>3</v>
      </c>
      <c r="E14" cm="1">
        <f t="array" ref="E14">_xlfn.XLOOKUP(TRUE,ISNUMBER(F14:I14),F14:I14)</f>
        <v>311.10942578548213</v>
      </c>
      <c r="H14" s="7"/>
      <c r="I14">
        <f t="shared" si="2"/>
        <v>311.10942578548213</v>
      </c>
      <c r="J14">
        <v>90.3</v>
      </c>
      <c r="K14">
        <v>88</v>
      </c>
    </row>
    <row r="15" spans="1:11" x14ac:dyDescent="0.25">
      <c r="B15" s="1">
        <v>39965</v>
      </c>
      <c r="C15">
        <v>2009</v>
      </c>
      <c r="D15" s="23">
        <f t="shared" si="1"/>
        <v>6</v>
      </c>
      <c r="E15" cm="1">
        <f t="array" ref="E15">_xlfn.XLOOKUP(TRUE,ISNUMBER(F15:I15),F15:I15)</f>
        <v>315.93282773564465</v>
      </c>
      <c r="H15" s="7"/>
      <c r="I15">
        <f>$G$16*(J15/$J$16)</f>
        <v>315.93282773564465</v>
      </c>
      <c r="J15">
        <v>91.7</v>
      </c>
      <c r="K15">
        <v>89.3</v>
      </c>
    </row>
    <row r="16" spans="1:11" x14ac:dyDescent="0.25">
      <c r="B16" s="1">
        <v>40057</v>
      </c>
      <c r="C16">
        <v>2010</v>
      </c>
      <c r="D16" s="23">
        <f t="shared" si="1"/>
        <v>9</v>
      </c>
      <c r="E16" cm="1">
        <f t="array" ref="E16">_xlfn.XLOOKUP(TRUE,ISNUMBER(F16:I16),F16:I16)</f>
        <v>318</v>
      </c>
      <c r="G16" s="45">
        <f>_xlfn.XLOOKUP(C16,'Ableson and Joyeux 2023'!A:A,'Ableson and Joyeux 2023'!B:B)</f>
        <v>318</v>
      </c>
      <c r="H16" s="7"/>
      <c r="J16">
        <v>92.3</v>
      </c>
      <c r="K16">
        <v>90.3</v>
      </c>
    </row>
    <row r="17" spans="2:11" x14ac:dyDescent="0.25">
      <c r="B17" s="1">
        <v>40148</v>
      </c>
      <c r="C17">
        <v>2010</v>
      </c>
      <c r="D17" s="23">
        <f t="shared" si="1"/>
        <v>12</v>
      </c>
      <c r="E17" cm="1">
        <f t="array" ref="E17">_xlfn.XLOOKUP(TRUE,ISNUMBER(F17:I17),F17:I17)</f>
        <v>318</v>
      </c>
      <c r="G17" s="45">
        <f>_xlfn.XLOOKUP(C17,'Ableson and Joyeux 2023'!A:A,'Ableson and Joyeux 2023'!B:B)</f>
        <v>318</v>
      </c>
      <c r="H17" s="7"/>
      <c r="J17">
        <v>93</v>
      </c>
      <c r="K17">
        <v>91.2</v>
      </c>
    </row>
    <row r="18" spans="2:11" x14ac:dyDescent="0.25">
      <c r="B18" s="1">
        <v>40238</v>
      </c>
      <c r="C18">
        <v>2010</v>
      </c>
      <c r="D18" s="23">
        <f t="shared" si="1"/>
        <v>3</v>
      </c>
      <c r="E18" cm="1">
        <f t="array" ref="E18">_xlfn.XLOOKUP(TRUE,ISNUMBER(F18:I18),F18:I18)</f>
        <v>318</v>
      </c>
      <c r="G18" s="45">
        <f>_xlfn.XLOOKUP(C18,'Ableson and Joyeux 2023'!A:A,'Ableson and Joyeux 2023'!B:B)</f>
        <v>318</v>
      </c>
      <c r="H18" s="7"/>
      <c r="J18">
        <v>93.8</v>
      </c>
      <c r="K18">
        <v>92.1</v>
      </c>
    </row>
    <row r="19" spans="2:11" x14ac:dyDescent="0.25">
      <c r="B19" s="1">
        <v>40330</v>
      </c>
      <c r="C19">
        <v>2010</v>
      </c>
      <c r="D19" s="23">
        <f t="shared" si="1"/>
        <v>6</v>
      </c>
      <c r="E19" cm="1">
        <f t="array" ref="E19">_xlfn.XLOOKUP(TRUE,ISNUMBER(F19:I19),F19:I19)</f>
        <v>318</v>
      </c>
      <c r="G19" s="45">
        <f>_xlfn.XLOOKUP(C19,'Ableson and Joyeux 2023'!A:A,'Ableson and Joyeux 2023'!B:B)</f>
        <v>318</v>
      </c>
      <c r="H19" s="7"/>
      <c r="J19">
        <v>94.9</v>
      </c>
      <c r="K19">
        <v>93</v>
      </c>
    </row>
    <row r="20" spans="2:11" x14ac:dyDescent="0.25">
      <c r="B20" s="1">
        <v>40422</v>
      </c>
      <c r="C20">
        <v>2011</v>
      </c>
      <c r="D20" s="23">
        <f t="shared" si="1"/>
        <v>9</v>
      </c>
      <c r="E20" cm="1">
        <f t="array" ref="E20">_xlfn.XLOOKUP(TRUE,ISNUMBER(F20:I20),F20:I20)</f>
        <v>312.07723635990084</v>
      </c>
      <c r="H20" s="7"/>
      <c r="I20">
        <f t="shared" ref="I20:I21" si="3">$H$22*(J20/$J$22)</f>
        <v>312.07723635990084</v>
      </c>
      <c r="J20">
        <v>95.5</v>
      </c>
      <c r="K20">
        <v>94.1</v>
      </c>
    </row>
    <row r="21" spans="2:11" x14ac:dyDescent="0.25">
      <c r="B21" s="1">
        <v>40513</v>
      </c>
      <c r="C21">
        <v>2011</v>
      </c>
      <c r="D21" s="23">
        <f t="shared" si="1"/>
        <v>12</v>
      </c>
      <c r="E21" cm="1">
        <f t="array" ref="E21">_xlfn.XLOOKUP(TRUE,ISNUMBER(F21:I21),F21:I21)</f>
        <v>314.69149593150212</v>
      </c>
      <c r="H21" s="7"/>
      <c r="I21">
        <f t="shared" si="3"/>
        <v>314.69149593150212</v>
      </c>
      <c r="J21">
        <v>96.3</v>
      </c>
      <c r="K21">
        <v>95.1</v>
      </c>
    </row>
    <row r="22" spans="2:11" x14ac:dyDescent="0.25">
      <c r="B22" s="1">
        <v>40603</v>
      </c>
      <c r="C22">
        <v>2011</v>
      </c>
      <c r="D22" s="23">
        <f t="shared" si="1"/>
        <v>3</v>
      </c>
      <c r="E22" cm="1">
        <f t="array" ref="E22">_xlfn.XLOOKUP(TRUE,ISNUMBER(F22:I22),F22:I22)</f>
        <v>318.93966773535413</v>
      </c>
      <c r="H22" s="7">
        <f>_xlfn.XLOOKUP(B22,'rai-values-3bh'!E:E,'rai-values-3bh'!H:H)</f>
        <v>318.93966773535413</v>
      </c>
      <c r="J22">
        <v>97.6</v>
      </c>
      <c r="K22">
        <v>96.2</v>
      </c>
    </row>
    <row r="23" spans="2:11" x14ac:dyDescent="0.25">
      <c r="B23" s="1">
        <v>40695</v>
      </c>
      <c r="C23">
        <v>2011</v>
      </c>
      <c r="D23" s="23">
        <f t="shared" si="1"/>
        <v>6</v>
      </c>
      <c r="E23" cm="1">
        <f t="array" ref="E23">_xlfn.XLOOKUP(TRUE,ISNUMBER(F23:I23),F23:I23)</f>
        <v>318.93966773535413</v>
      </c>
      <c r="H23" s="7">
        <f>_xlfn.XLOOKUP(B23,'rai-values-3bh'!E:E,'rai-values-3bh'!H:H)</f>
        <v>318.93966773535413</v>
      </c>
      <c r="J23">
        <v>98.9</v>
      </c>
      <c r="K23">
        <v>97.2</v>
      </c>
    </row>
    <row r="24" spans="2:11" x14ac:dyDescent="0.25">
      <c r="B24" s="1">
        <v>40787</v>
      </c>
      <c r="C24">
        <v>2012</v>
      </c>
      <c r="D24" s="23">
        <f t="shared" si="1"/>
        <v>9</v>
      </c>
      <c r="E24" cm="1">
        <f t="array" ref="E24">_xlfn.XLOOKUP(TRUE,ISNUMBER(F24:I24),F24:I24)</f>
        <v>331.97668318274555</v>
      </c>
      <c r="H24" s="7">
        <f>_xlfn.XLOOKUP(B24,'rai-values-3bh'!E:E,'rai-values-3bh'!H:H)</f>
        <v>331.97668318274555</v>
      </c>
      <c r="J24">
        <v>99.3</v>
      </c>
      <c r="K24">
        <v>98.5</v>
      </c>
    </row>
    <row r="25" spans="2:11" x14ac:dyDescent="0.25">
      <c r="B25" s="1">
        <v>40878</v>
      </c>
      <c r="C25">
        <v>2012</v>
      </c>
      <c r="D25" s="23">
        <f t="shared" si="1"/>
        <v>12</v>
      </c>
      <c r="E25" cm="1">
        <f t="array" ref="E25">_xlfn.XLOOKUP(TRUE,ISNUMBER(F25:I25),F25:I25)</f>
        <v>331.97668318274555</v>
      </c>
      <c r="H25" s="7">
        <f>_xlfn.XLOOKUP(B25,'rai-values-3bh'!E:E,'rai-values-3bh'!H:H)</f>
        <v>331.97668318274555</v>
      </c>
      <c r="J25">
        <v>99.6</v>
      </c>
      <c r="K25">
        <v>99.6</v>
      </c>
    </row>
    <row r="26" spans="2:11" x14ac:dyDescent="0.25">
      <c r="B26" s="1">
        <v>40969</v>
      </c>
      <c r="C26">
        <v>2012</v>
      </c>
      <c r="D26" s="23">
        <f t="shared" si="1"/>
        <v>3</v>
      </c>
      <c r="E26" cm="1">
        <f t="array" ref="E26">_xlfn.XLOOKUP(TRUE,ISNUMBER(F26:I26),F26:I26)</f>
        <v>325.06050228310494</v>
      </c>
      <c r="H26" s="7">
        <f>_xlfn.XLOOKUP(B26,'rai-values-3bh'!E:E,'rai-values-3bh'!H:H)</f>
        <v>325.06050228310494</v>
      </c>
      <c r="J26">
        <v>100.1</v>
      </c>
      <c r="K26">
        <v>100.5</v>
      </c>
    </row>
    <row r="27" spans="2:11" x14ac:dyDescent="0.25">
      <c r="B27" s="1">
        <v>41061</v>
      </c>
      <c r="C27">
        <v>2012</v>
      </c>
      <c r="D27" s="23">
        <f t="shared" si="1"/>
        <v>6</v>
      </c>
      <c r="E27" cm="1">
        <f t="array" ref="E27">_xlfn.XLOOKUP(TRUE,ISNUMBER(F27:I27),F27:I27)</f>
        <v>309.99147237594121</v>
      </c>
      <c r="H27" s="7">
        <f>_xlfn.XLOOKUP(B27,'rai-values-3bh'!E:E,'rai-values-3bh'!H:H)</f>
        <v>309.99147237594121</v>
      </c>
      <c r="J27">
        <v>100.9</v>
      </c>
      <c r="K27">
        <v>101.5</v>
      </c>
    </row>
    <row r="28" spans="2:11" x14ac:dyDescent="0.25">
      <c r="B28" s="1">
        <v>41153</v>
      </c>
      <c r="C28">
        <v>2013</v>
      </c>
      <c r="D28" s="23">
        <f t="shared" si="1"/>
        <v>9</v>
      </c>
      <c r="E28" cm="1">
        <f t="array" ref="E28">_xlfn.XLOOKUP(TRUE,ISNUMBER(F28:I28),F28:I28)</f>
        <v>318.00816474643926</v>
      </c>
      <c r="H28" s="7">
        <f>_xlfn.XLOOKUP(B28,'rai-values-3bh'!E:E,'rai-values-3bh'!H:H)</f>
        <v>318.00816474643926</v>
      </c>
      <c r="J28">
        <v>101</v>
      </c>
      <c r="K28">
        <v>102.4</v>
      </c>
    </row>
    <row r="29" spans="2:11" x14ac:dyDescent="0.25">
      <c r="B29" s="1">
        <v>41244</v>
      </c>
      <c r="C29">
        <v>2013</v>
      </c>
      <c r="D29" s="23">
        <f t="shared" si="1"/>
        <v>12</v>
      </c>
      <c r="E29" cm="1">
        <f t="array" ref="E29">_xlfn.XLOOKUP(TRUE,ISNUMBER(F29:I29),F29:I29)</f>
        <v>318.00816474643926</v>
      </c>
      <c r="H29" s="7">
        <f>_xlfn.XLOOKUP(B29,'rai-values-3bh'!E:E,'rai-values-3bh'!H:H)</f>
        <v>318.00816474643926</v>
      </c>
      <c r="J29">
        <v>101.3</v>
      </c>
      <c r="K29">
        <v>103.3</v>
      </c>
    </row>
    <row r="30" spans="2:11" x14ac:dyDescent="0.25">
      <c r="B30" s="1">
        <v>41334</v>
      </c>
      <c r="C30">
        <v>2013</v>
      </c>
      <c r="D30" s="23">
        <f t="shared" si="1"/>
        <v>3</v>
      </c>
      <c r="E30" cm="1">
        <f t="array" ref="E30">_xlfn.XLOOKUP(TRUE,ISNUMBER(F30:I30),F30:I30)</f>
        <v>320.12821917808219</v>
      </c>
      <c r="H30" s="7">
        <f>_xlfn.XLOOKUP(B30,'rai-values-3bh'!E:E,'rai-values-3bh'!H:H)</f>
        <v>320.12821917808219</v>
      </c>
      <c r="J30">
        <v>101.3</v>
      </c>
      <c r="K30">
        <v>104</v>
      </c>
    </row>
    <row r="31" spans="2:11" x14ac:dyDescent="0.25">
      <c r="B31" s="1">
        <v>41426</v>
      </c>
      <c r="C31">
        <v>2013</v>
      </c>
      <c r="D31" s="23">
        <f t="shared" si="1"/>
        <v>6</v>
      </c>
      <c r="E31" cm="1">
        <f t="array" ref="E31">_xlfn.XLOOKUP(TRUE,ISNUMBER(F31:I31),F31:I31)</f>
        <v>309.80150243040214</v>
      </c>
      <c r="H31" s="7">
        <f>_xlfn.XLOOKUP(B31,'rai-values-3bh'!E:E,'rai-values-3bh'!H:H)</f>
        <v>309.80150243040214</v>
      </c>
      <c r="J31">
        <v>101.7</v>
      </c>
      <c r="K31">
        <v>105</v>
      </c>
    </row>
    <row r="32" spans="2:11" x14ac:dyDescent="0.25">
      <c r="B32" s="1">
        <v>41518</v>
      </c>
      <c r="C32">
        <v>2014</v>
      </c>
      <c r="D32" s="23">
        <f t="shared" si="1"/>
        <v>9</v>
      </c>
      <c r="E32" cm="1">
        <f t="array" ref="E32">_xlfn.XLOOKUP(TRUE,ISNUMBER(F32:I32),F32:I32)</f>
        <v>318.12602739726026</v>
      </c>
      <c r="H32" s="7">
        <f>_xlfn.XLOOKUP(B32,'rai-values-3bh'!E:E,'rai-values-3bh'!H:H)</f>
        <v>318.12602739726026</v>
      </c>
      <c r="J32">
        <v>101.9</v>
      </c>
      <c r="K32">
        <v>105.7</v>
      </c>
    </row>
    <row r="33" spans="1:11" x14ac:dyDescent="0.25">
      <c r="B33" s="1">
        <v>41609</v>
      </c>
      <c r="C33">
        <v>2014</v>
      </c>
      <c r="D33" s="23">
        <f t="shared" si="1"/>
        <v>12</v>
      </c>
      <c r="E33" cm="1">
        <f t="array" ref="E33">_xlfn.XLOOKUP(TRUE,ISNUMBER(F33:I33),F33:I33)</f>
        <v>318.12602739726026</v>
      </c>
      <c r="H33" s="7">
        <f>_xlfn.XLOOKUP(B33,'rai-values-3bh'!E:E,'rai-values-3bh'!H:H)</f>
        <v>318.12602739726026</v>
      </c>
      <c r="J33">
        <v>102.3</v>
      </c>
      <c r="K33">
        <v>106.4</v>
      </c>
    </row>
    <row r="34" spans="1:11" x14ac:dyDescent="0.25">
      <c r="B34" s="1">
        <v>41699</v>
      </c>
      <c r="C34">
        <v>2014</v>
      </c>
      <c r="D34" s="23">
        <f t="shared" si="1"/>
        <v>3</v>
      </c>
      <c r="E34" cm="1">
        <f t="array" ref="E34">_xlfn.XLOOKUP(TRUE,ISNUMBER(F34:I34),F34:I34)</f>
        <v>329.09589041095887</v>
      </c>
      <c r="H34" s="7">
        <f>_xlfn.XLOOKUP(B34,'rai-values-3bh'!E:E,'rai-values-3bh'!H:H)</f>
        <v>329.09589041095887</v>
      </c>
      <c r="J34">
        <v>102.5</v>
      </c>
      <c r="K34">
        <v>107</v>
      </c>
    </row>
    <row r="35" spans="1:11" x14ac:dyDescent="0.25">
      <c r="B35" s="1">
        <v>41791</v>
      </c>
      <c r="C35">
        <v>2014</v>
      </c>
      <c r="D35" s="23">
        <f t="shared" si="1"/>
        <v>6</v>
      </c>
      <c r="E35" cm="1">
        <f t="array" ref="E35">_xlfn.XLOOKUP(TRUE,ISNUMBER(F35:I35),F35:I35)</f>
        <v>318.12602739726026</v>
      </c>
      <c r="H35" s="7">
        <f>_xlfn.XLOOKUP(B35,'rai-values-3bh'!E:E,'rai-values-3bh'!H:H)</f>
        <v>318.12602739726026</v>
      </c>
      <c r="J35">
        <v>102.9</v>
      </c>
      <c r="K35">
        <v>107.5</v>
      </c>
    </row>
    <row r="36" spans="1:11" x14ac:dyDescent="0.25">
      <c r="B36" s="1">
        <v>41883</v>
      </c>
      <c r="C36">
        <v>2015</v>
      </c>
      <c r="D36" s="23">
        <f t="shared" si="1"/>
        <v>9</v>
      </c>
      <c r="E36" cm="1">
        <f t="array" ref="E36">_xlfn.XLOOKUP(TRUE,ISNUMBER(F36:I36),F36:I36)</f>
        <v>329</v>
      </c>
      <c r="G36" s="45">
        <f>_xlfn.XLOOKUP(C36,'Ableson and Joyeux 2023'!A:A,'Ableson and Joyeux 2023'!B:B)</f>
        <v>329</v>
      </c>
      <c r="H36" s="7">
        <f>_xlfn.XLOOKUP(B36,'rai-values-3bh'!E:E,'rai-values-3bh'!H:H)</f>
        <v>317.3237858032378</v>
      </c>
      <c r="J36">
        <v>102.9</v>
      </c>
      <c r="K36">
        <v>108.3</v>
      </c>
    </row>
    <row r="37" spans="1:11" x14ac:dyDescent="0.25">
      <c r="B37" s="1">
        <v>41974</v>
      </c>
      <c r="C37">
        <v>2015</v>
      </c>
      <c r="D37" s="23">
        <f t="shared" si="1"/>
        <v>12</v>
      </c>
      <c r="E37" cm="1">
        <f t="array" ref="E37">_xlfn.XLOOKUP(TRUE,ISNUMBER(F37:I37),F37:I37)</f>
        <v>329</v>
      </c>
      <c r="G37" s="45">
        <f>_xlfn.XLOOKUP(C37,'Ableson and Joyeux 2023'!A:A,'Ableson and Joyeux 2023'!B:B)</f>
        <v>329</v>
      </c>
      <c r="H37" s="7">
        <f>_xlfn.XLOOKUP(B37,'rai-values-3bh'!E:E,'rai-values-3bh'!H:H)</f>
        <v>332.43444227005864</v>
      </c>
      <c r="J37">
        <v>103.3</v>
      </c>
      <c r="K37">
        <v>108.9</v>
      </c>
    </row>
    <row r="38" spans="1:11" x14ac:dyDescent="0.25">
      <c r="B38" s="1">
        <v>42064</v>
      </c>
      <c r="C38">
        <v>2015</v>
      </c>
      <c r="D38" s="23">
        <f t="shared" ref="D38:D69" si="4">MONTH(B38)</f>
        <v>3</v>
      </c>
      <c r="E38" cm="1">
        <f t="array" ref="E38">_xlfn.XLOOKUP(TRUE,ISNUMBER(F38:I38),F38:I38)</f>
        <v>329</v>
      </c>
      <c r="G38" s="45">
        <f>_xlfn.XLOOKUP(C38,'Ableson and Joyeux 2023'!A:A,'Ableson and Joyeux 2023'!B:B)</f>
        <v>329</v>
      </c>
      <c r="H38" s="7">
        <f>_xlfn.XLOOKUP(B38,'rai-values-3bh'!E:E,'rai-values-3bh'!H:H)</f>
        <v>339.36015981735153</v>
      </c>
      <c r="J38">
        <v>103.6</v>
      </c>
      <c r="K38">
        <v>109.2</v>
      </c>
    </row>
    <row r="39" spans="1:11" x14ac:dyDescent="0.25">
      <c r="B39" s="1">
        <v>42156</v>
      </c>
      <c r="C39">
        <v>2015</v>
      </c>
      <c r="D39" s="23">
        <f t="shared" si="4"/>
        <v>6</v>
      </c>
      <c r="E39" cm="1">
        <f t="array" ref="E39">_xlfn.XLOOKUP(TRUE,ISNUMBER(F39:I39),F39:I39)</f>
        <v>329</v>
      </c>
      <c r="G39" s="45">
        <f>_xlfn.XLOOKUP(C39,'Ableson and Joyeux 2023'!A:A,'Ableson and Joyeux 2023'!B:B)</f>
        <v>329</v>
      </c>
      <c r="H39" s="7">
        <f>_xlfn.XLOOKUP(B39,'rai-values-3bh'!E:E,'rai-values-3bh'!H:H)</f>
        <v>319.39779747515445</v>
      </c>
      <c r="J39">
        <v>104</v>
      </c>
      <c r="K39">
        <v>109.6</v>
      </c>
    </row>
    <row r="40" spans="1:11" x14ac:dyDescent="0.25">
      <c r="B40" s="1">
        <v>42248</v>
      </c>
      <c r="C40">
        <v>2016</v>
      </c>
      <c r="D40" s="23">
        <f t="shared" si="4"/>
        <v>9</v>
      </c>
      <c r="E40" cm="1">
        <f t="array" ref="E40">_xlfn.XLOOKUP(TRUE,ISNUMBER(F40:I40),F40:I40)</f>
        <v>351</v>
      </c>
      <c r="G40" s="45">
        <f>_xlfn.XLOOKUP(C40,'Ableson and Joyeux 2023'!A:A,'Ableson and Joyeux 2023'!B:B)</f>
        <v>351</v>
      </c>
      <c r="H40" s="7">
        <f>_xlfn.XLOOKUP(B40,'rai-values-3bh'!E:E,'rai-values-3bh'!H:H)</f>
        <v>331.241041458768</v>
      </c>
      <c r="J40">
        <v>104</v>
      </c>
      <c r="K40">
        <v>109.9</v>
      </c>
    </row>
    <row r="41" spans="1:11" x14ac:dyDescent="0.25">
      <c r="B41" s="1">
        <v>42339</v>
      </c>
      <c r="C41">
        <v>2016</v>
      </c>
      <c r="D41" s="23">
        <f t="shared" si="4"/>
        <v>12</v>
      </c>
      <c r="E41" cm="1">
        <f t="array" ref="E41">_xlfn.XLOOKUP(TRUE,ISNUMBER(F41:I41),F41:I41)</f>
        <v>351</v>
      </c>
      <c r="G41" s="45">
        <f>_xlfn.XLOOKUP(C41,'Ableson and Joyeux 2023'!A:A,'Ableson and Joyeux 2023'!B:B)</f>
        <v>351</v>
      </c>
      <c r="H41" s="7">
        <f>_xlfn.XLOOKUP(B41,'rai-values-3bh'!E:E,'rai-values-3bh'!H:H)</f>
        <v>337.95538689374297</v>
      </c>
      <c r="J41">
        <v>104.3</v>
      </c>
      <c r="K41">
        <v>110.1</v>
      </c>
    </row>
    <row r="42" spans="1:11" x14ac:dyDescent="0.25">
      <c r="B42" s="1">
        <v>42430</v>
      </c>
      <c r="C42">
        <v>2016</v>
      </c>
      <c r="D42" s="23">
        <f t="shared" si="4"/>
        <v>3</v>
      </c>
      <c r="E42" cm="1">
        <f t="array" ref="E42">_xlfn.XLOOKUP(TRUE,ISNUMBER(F42:I42),F42:I42)</f>
        <v>351</v>
      </c>
      <c r="G42" s="45">
        <f>_xlfn.XLOOKUP(C42,'Ableson and Joyeux 2023'!A:A,'Ableson and Joyeux 2023'!B:B)</f>
        <v>351</v>
      </c>
      <c r="H42" s="7">
        <f>_xlfn.XLOOKUP(B42,'rai-values-3bh'!E:E,'rai-values-3bh'!H:H)</f>
        <v>349.77200881310461</v>
      </c>
      <c r="J42">
        <v>105.1</v>
      </c>
      <c r="K42">
        <v>110.2</v>
      </c>
    </row>
    <row r="43" spans="1:11" x14ac:dyDescent="0.25">
      <c r="B43" s="1">
        <v>42522</v>
      </c>
      <c r="C43">
        <v>2016</v>
      </c>
      <c r="D43" s="23">
        <f t="shared" si="4"/>
        <v>6</v>
      </c>
      <c r="E43" cm="1">
        <f t="array" ref="E43">_xlfn.XLOOKUP(TRUE,ISNUMBER(F43:I43),F43:I43)</f>
        <v>351</v>
      </c>
      <c r="G43" s="45">
        <f>_xlfn.XLOOKUP(C43,'Ableson and Joyeux 2023'!A:A,'Ableson and Joyeux 2023'!B:B)</f>
        <v>351</v>
      </c>
      <c r="H43" s="7">
        <f>_xlfn.XLOOKUP(B43,'rai-values-3bh'!E:E,'rai-values-3bh'!H:H)</f>
        <v>337.95538689374297</v>
      </c>
      <c r="J43">
        <v>106.1</v>
      </c>
      <c r="K43">
        <v>110.4</v>
      </c>
    </row>
    <row r="44" spans="1:11" x14ac:dyDescent="0.25">
      <c r="B44" s="1">
        <v>42614</v>
      </c>
      <c r="C44">
        <v>2017</v>
      </c>
      <c r="D44" s="23">
        <f t="shared" si="4"/>
        <v>9</v>
      </c>
      <c r="E44" cm="1">
        <f t="array" ref="E44">_xlfn.XLOOKUP(TRUE,ISNUMBER(F44:I44),F44:I44)</f>
        <v>372</v>
      </c>
      <c r="G44" s="45">
        <f>_xlfn.XLOOKUP(C44,'Ableson and Joyeux 2023'!A:A,'Ableson and Joyeux 2023'!B:B)</f>
        <v>372</v>
      </c>
      <c r="H44" s="7">
        <f>_xlfn.XLOOKUP(B44,'rai-values-3bh'!E:E,'rai-values-3bh'!H:H)</f>
        <v>340.6973684210526</v>
      </c>
      <c r="J44">
        <v>106.9</v>
      </c>
      <c r="K44">
        <v>110.7</v>
      </c>
    </row>
    <row r="45" spans="1:11" x14ac:dyDescent="0.25">
      <c r="B45" s="1">
        <v>42705</v>
      </c>
      <c r="C45">
        <v>2017</v>
      </c>
      <c r="D45" s="23">
        <f t="shared" si="4"/>
        <v>12</v>
      </c>
      <c r="E45" cm="1">
        <f t="array" ref="E45">_xlfn.XLOOKUP(TRUE,ISNUMBER(F45:I45),F45:I45)</f>
        <v>372</v>
      </c>
      <c r="G45" s="45">
        <f>_xlfn.XLOOKUP(C45,'Ableson and Joyeux 2023'!A:A,'Ableson and Joyeux 2023'!B:B)</f>
        <v>372</v>
      </c>
      <c r="H45" s="7">
        <f>_xlfn.XLOOKUP(B45,'rai-values-3bh'!E:E,'rai-values-3bh'!H:H)</f>
        <v>362.13986013986005</v>
      </c>
      <c r="J45">
        <v>108</v>
      </c>
      <c r="K45">
        <v>110.8</v>
      </c>
    </row>
    <row r="46" spans="1:11" x14ac:dyDescent="0.25">
      <c r="A46" s="3"/>
      <c r="B46" s="1">
        <v>42795</v>
      </c>
      <c r="C46">
        <v>2017</v>
      </c>
      <c r="D46" s="23">
        <f t="shared" si="4"/>
        <v>3</v>
      </c>
      <c r="E46" cm="1">
        <f t="array" ref="E46">_xlfn.XLOOKUP(TRUE,ISNUMBER(F46:I46),F46:I46)</f>
        <v>372</v>
      </c>
      <c r="G46" s="45">
        <f>_xlfn.XLOOKUP(C46,'Ableson and Joyeux 2023'!A:A,'Ableson and Joyeux 2023'!B:B)</f>
        <v>372</v>
      </c>
      <c r="H46" s="7">
        <f>_xlfn.XLOOKUP(B46,'rai-values-3bh'!E:E,'rai-values-3bh'!H:H)</f>
        <v>359.62499999999994</v>
      </c>
      <c r="J46">
        <v>109.5</v>
      </c>
      <c r="K46">
        <v>110.9</v>
      </c>
    </row>
    <row r="47" spans="1:11" x14ac:dyDescent="0.25">
      <c r="A47" s="3"/>
      <c r="B47" s="1">
        <v>42887</v>
      </c>
      <c r="C47">
        <v>2017</v>
      </c>
      <c r="D47" s="23">
        <f t="shared" si="4"/>
        <v>6</v>
      </c>
      <c r="E47" cm="1">
        <f t="array" ref="E47">_xlfn.XLOOKUP(TRUE,ISNUMBER(F47:I47),F47:I47)</f>
        <v>372</v>
      </c>
      <c r="G47" s="45">
        <f>_xlfn.XLOOKUP(C47,'Ableson and Joyeux 2023'!A:A,'Ableson and Joyeux 2023'!B:B)</f>
        <v>372</v>
      </c>
      <c r="H47" s="7">
        <f>_xlfn.XLOOKUP(B47,'rai-values-3bh'!E:E,'rai-values-3bh'!H:H)</f>
        <v>362.13986013986005</v>
      </c>
      <c r="J47">
        <v>110.6</v>
      </c>
      <c r="K47">
        <v>111.1</v>
      </c>
    </row>
    <row r="48" spans="1:11" x14ac:dyDescent="0.25">
      <c r="A48" s="3"/>
      <c r="B48" s="1">
        <v>42979</v>
      </c>
      <c r="C48">
        <v>2018</v>
      </c>
      <c r="D48" s="23">
        <f t="shared" si="4"/>
        <v>9</v>
      </c>
      <c r="E48" cm="1">
        <f t="array" ref="E48">_xlfn.XLOOKUP(TRUE,ISNUMBER(F48:I48),F48:I48)</f>
        <v>407</v>
      </c>
      <c r="G48" s="45">
        <f>_xlfn.XLOOKUP(C48,'Ableson and Joyeux 2023'!A:A,'Ableson and Joyeux 2023'!B:B)</f>
        <v>407</v>
      </c>
      <c r="H48" s="7">
        <f>_xlfn.XLOOKUP(B48,'rai-values-3bh'!E:E,'rai-values-3bh'!H:H)</f>
        <v>382.52876712328759</v>
      </c>
      <c r="J48">
        <v>111.3</v>
      </c>
      <c r="K48">
        <v>111.3</v>
      </c>
    </row>
    <row r="49" spans="1:11" x14ac:dyDescent="0.25">
      <c r="A49" s="3"/>
      <c r="B49" s="1">
        <v>43070</v>
      </c>
      <c r="C49">
        <v>2018</v>
      </c>
      <c r="D49" s="23">
        <f t="shared" si="4"/>
        <v>12</v>
      </c>
      <c r="E49" cm="1">
        <f t="array" ref="E49">_xlfn.XLOOKUP(TRUE,ISNUMBER(F49:I49),F49:I49)</f>
        <v>407</v>
      </c>
      <c r="G49" s="45">
        <f>_xlfn.XLOOKUP(C49,'Ableson and Joyeux 2023'!A:A,'Ableson and Joyeux 2023'!B:B)</f>
        <v>407</v>
      </c>
      <c r="H49" s="7">
        <f>_xlfn.XLOOKUP(B49,'rai-values-3bh'!E:E,'rai-values-3bh'!H:H)</f>
        <v>388.07266229898744</v>
      </c>
      <c r="J49">
        <v>111.8</v>
      </c>
      <c r="K49">
        <v>111.6</v>
      </c>
    </row>
    <row r="50" spans="1:11" x14ac:dyDescent="0.25">
      <c r="A50" s="3"/>
      <c r="B50" s="1">
        <v>43160</v>
      </c>
      <c r="C50">
        <v>2018</v>
      </c>
      <c r="D50" s="23">
        <f t="shared" si="4"/>
        <v>3</v>
      </c>
      <c r="E50" cm="1">
        <f t="array" ref="E50">_xlfn.XLOOKUP(TRUE,ISNUMBER(F50:I50),F50:I50)</f>
        <v>407</v>
      </c>
      <c r="G50" s="45">
        <f>_xlfn.XLOOKUP(C50,'Ableson and Joyeux 2023'!A:A,'Ableson and Joyeux 2023'!B:B)</f>
        <v>407</v>
      </c>
      <c r="H50" s="7">
        <f>_xlfn.XLOOKUP(B50,'rai-values-3bh'!E:E,'rai-values-3bh'!H:H)</f>
        <v>399.65692087507665</v>
      </c>
      <c r="K50">
        <v>111.8</v>
      </c>
    </row>
    <row r="51" spans="1:11" x14ac:dyDescent="0.25">
      <c r="A51" s="3"/>
      <c r="B51" s="1">
        <v>43252</v>
      </c>
      <c r="C51">
        <v>2018</v>
      </c>
      <c r="D51" s="23">
        <f t="shared" si="4"/>
        <v>6</v>
      </c>
      <c r="E51" cm="1">
        <f t="array" ref="E51">_xlfn.XLOOKUP(TRUE,ISNUMBER(F51:I51),F51:I51)</f>
        <v>407</v>
      </c>
      <c r="G51" s="45">
        <f>_xlfn.XLOOKUP(C51,'Ableson and Joyeux 2023'!A:A,'Ableson and Joyeux 2023'!B:B)</f>
        <v>407</v>
      </c>
      <c r="H51" s="7">
        <f>_xlfn.XLOOKUP(B51,'rai-values-3bh'!E:E,'rai-values-3bh'!H:H)</f>
        <v>399.65692087507665</v>
      </c>
      <c r="K51">
        <v>111.8</v>
      </c>
    </row>
    <row r="52" spans="1:11" x14ac:dyDescent="0.25">
      <c r="A52" s="3"/>
      <c r="B52" s="1">
        <v>43344</v>
      </c>
      <c r="C52">
        <v>2019</v>
      </c>
      <c r="D52" s="23">
        <f t="shared" si="4"/>
        <v>9</v>
      </c>
      <c r="E52" cm="1">
        <f t="array" ref="E52">_xlfn.XLOOKUP(TRUE,ISNUMBER(F52:I52),F52:I52)</f>
        <v>445</v>
      </c>
      <c r="G52" s="45">
        <f>_xlfn.XLOOKUP(C52,'Ableson and Joyeux 2023'!A:A,'Ableson and Joyeux 2023'!B:B)</f>
        <v>445</v>
      </c>
      <c r="H52" s="7">
        <f>_xlfn.XLOOKUP(B52,'rai-values-3bh'!E:E,'rai-values-3bh'!H:H)</f>
        <v>408.6219586996524</v>
      </c>
      <c r="K52">
        <v>112</v>
      </c>
    </row>
    <row r="53" spans="1:11" x14ac:dyDescent="0.25">
      <c r="A53" s="3"/>
      <c r="B53" s="1">
        <v>43435</v>
      </c>
      <c r="C53">
        <v>2019</v>
      </c>
      <c r="D53" s="23">
        <f t="shared" si="4"/>
        <v>12</v>
      </c>
      <c r="E53" cm="1">
        <f t="array" ref="E53">_xlfn.XLOOKUP(TRUE,ISNUMBER(F53:I53),F53:I53)</f>
        <v>445</v>
      </c>
      <c r="G53" s="45">
        <f>_xlfn.XLOOKUP(C53,'Ableson and Joyeux 2023'!A:A,'Ableson and Joyeux 2023'!B:B)</f>
        <v>445</v>
      </c>
      <c r="H53" s="7">
        <f>_xlfn.XLOOKUP(B53,'rai-values-3bh'!E:E,'rai-values-3bh'!H:H)</f>
        <v>408.6219586996524</v>
      </c>
      <c r="K53">
        <v>112.2</v>
      </c>
    </row>
    <row r="54" spans="1:11" x14ac:dyDescent="0.25">
      <c r="A54" s="3"/>
      <c r="B54" s="1">
        <v>43525</v>
      </c>
      <c r="C54">
        <v>2019</v>
      </c>
      <c r="D54" s="23">
        <f t="shared" si="4"/>
        <v>3</v>
      </c>
      <c r="E54" cm="1">
        <f t="array" ref="E54">_xlfn.XLOOKUP(TRUE,ISNUMBER(F54:I54),F54:I54)</f>
        <v>445</v>
      </c>
      <c r="G54" s="45">
        <f>_xlfn.XLOOKUP(C54,'Ableson and Joyeux 2023'!A:A,'Ableson and Joyeux 2023'!B:B)</f>
        <v>445</v>
      </c>
      <c r="H54" s="7">
        <f>_xlfn.XLOOKUP(B54,'rai-values-3bh'!E:E,'rai-values-3bh'!H:H)</f>
        <v>427.77611301369859</v>
      </c>
      <c r="K54">
        <v>112.3</v>
      </c>
    </row>
    <row r="55" spans="1:11" x14ac:dyDescent="0.25">
      <c r="A55" s="3"/>
      <c r="B55" s="1">
        <v>43617</v>
      </c>
      <c r="C55">
        <v>2019</v>
      </c>
      <c r="D55" s="23">
        <f t="shared" si="4"/>
        <v>6</v>
      </c>
      <c r="E55" cm="1">
        <f t="array" ref="E55">_xlfn.XLOOKUP(TRUE,ISNUMBER(F55:I55),F55:I55)</f>
        <v>445</v>
      </c>
      <c r="G55" s="45">
        <f>_xlfn.XLOOKUP(C55,'Ableson and Joyeux 2023'!A:A,'Ableson and Joyeux 2023'!B:B)</f>
        <v>445</v>
      </c>
      <c r="H55" s="7">
        <f>_xlfn.XLOOKUP(B55,'rai-values-3bh'!E:E,'rai-values-3bh'!H:H)</f>
        <v>448.81428250617557</v>
      </c>
      <c r="K55">
        <v>112.3</v>
      </c>
    </row>
    <row r="56" spans="1:11" x14ac:dyDescent="0.25">
      <c r="A56" s="3"/>
      <c r="B56" s="1">
        <v>43709</v>
      </c>
      <c r="C56">
        <v>2020</v>
      </c>
      <c r="D56" s="23">
        <f t="shared" si="4"/>
        <v>9</v>
      </c>
      <c r="E56" cm="1">
        <f t="array" ref="E56">_xlfn.XLOOKUP(TRUE,ISNUMBER(F56:I56),F56:I56)</f>
        <v>457</v>
      </c>
      <c r="G56" s="45">
        <f>_xlfn.XLOOKUP(C56,'Ableson and Joyeux 2023'!A:A,'Ableson and Joyeux 2023'!B:B)</f>
        <v>457</v>
      </c>
      <c r="H56" s="7">
        <f>_xlfn.XLOOKUP(B56,'rai-values-3bh'!E:E,'rai-values-3bh'!H:H)</f>
        <v>451.26800707026064</v>
      </c>
      <c r="K56">
        <v>112.4</v>
      </c>
    </row>
    <row r="57" spans="1:11" x14ac:dyDescent="0.25">
      <c r="A57" s="3"/>
      <c r="B57" s="1">
        <v>43800</v>
      </c>
      <c r="C57">
        <v>2020</v>
      </c>
      <c r="D57" s="23">
        <f t="shared" si="4"/>
        <v>12</v>
      </c>
      <c r="E57" cm="1">
        <f t="array" ref="E57">_xlfn.XLOOKUP(TRUE,ISNUMBER(F57:I57),F57:I57)</f>
        <v>457</v>
      </c>
      <c r="G57" s="45">
        <f>_xlfn.XLOOKUP(C57,'Ableson and Joyeux 2023'!A:A,'Ableson and Joyeux 2023'!B:B)</f>
        <v>457</v>
      </c>
      <c r="H57" s="7">
        <f>_xlfn.XLOOKUP(B57,'rai-values-3bh'!E:E,'rai-values-3bh'!H:H)</f>
        <v>458.66584325174034</v>
      </c>
      <c r="K57">
        <v>112.4</v>
      </c>
    </row>
    <row r="58" spans="1:11" x14ac:dyDescent="0.25">
      <c r="A58" s="3"/>
      <c r="B58" s="1">
        <v>43891</v>
      </c>
      <c r="C58">
        <v>2020</v>
      </c>
      <c r="D58" s="23">
        <f t="shared" si="4"/>
        <v>3</v>
      </c>
      <c r="E58" cm="1">
        <f t="array" ref="E58">_xlfn.XLOOKUP(TRUE,ISNUMBER(F58:I58),F58:I58)</f>
        <v>457</v>
      </c>
      <c r="G58" s="45">
        <f>_xlfn.XLOOKUP(C58,'Ableson and Joyeux 2023'!A:A,'Ableson and Joyeux 2023'!B:B)</f>
        <v>457</v>
      </c>
      <c r="H58" s="7">
        <f>_xlfn.XLOOKUP(B58,'rai-values-3bh'!E:E,'rai-values-3bh'!H:H)</f>
        <v>474.21383793824003</v>
      </c>
      <c r="K58">
        <v>112.5</v>
      </c>
    </row>
    <row r="59" spans="1:11" x14ac:dyDescent="0.25">
      <c r="A59" s="3"/>
      <c r="B59" s="1">
        <v>43983</v>
      </c>
      <c r="C59">
        <v>2020</v>
      </c>
      <c r="D59" s="23">
        <f t="shared" si="4"/>
        <v>6</v>
      </c>
      <c r="E59" cm="1">
        <f t="array" ref="E59">_xlfn.XLOOKUP(TRUE,ISNUMBER(F59:I59),F59:I59)</f>
        <v>457</v>
      </c>
      <c r="G59" s="45">
        <f>_xlfn.XLOOKUP(C59,'Ableson and Joyeux 2023'!A:A,'Ableson and Joyeux 2023'!B:B)</f>
        <v>457</v>
      </c>
      <c r="H59" s="7">
        <f>_xlfn.XLOOKUP(B59,'rai-values-3bh'!E:E,'rai-values-3bh'!H:H)</f>
        <v>437.16588184931504</v>
      </c>
      <c r="K59">
        <v>111</v>
      </c>
    </row>
    <row r="60" spans="1:11" x14ac:dyDescent="0.25">
      <c r="A60" s="3"/>
      <c r="B60" s="1">
        <v>44075</v>
      </c>
      <c r="C60">
        <v>2021</v>
      </c>
      <c r="D60" s="23">
        <f t="shared" si="4"/>
        <v>9</v>
      </c>
      <c r="E60" cm="1">
        <f t="array" ref="E60">_xlfn.XLOOKUP(TRUE,ISNUMBER(F60:I60),F60:I60)</f>
        <v>481</v>
      </c>
      <c r="G60" s="45">
        <f>_xlfn.XLOOKUP(C60,'Ableson and Joyeux 2023'!A:A,'Ableson and Joyeux 2023'!B:B)</f>
        <v>481</v>
      </c>
      <c r="H60" s="7">
        <f>_xlfn.XLOOKUP(B60,'rai-values-3bh'!E:E,'rai-values-3bh'!H:H)</f>
        <v>457.5583561643835</v>
      </c>
      <c r="K60">
        <v>110.8</v>
      </c>
    </row>
    <row r="61" spans="1:11" x14ac:dyDescent="0.25">
      <c r="A61" s="3"/>
      <c r="B61" s="1">
        <v>44166</v>
      </c>
      <c r="C61">
        <v>2021</v>
      </c>
      <c r="D61" s="23">
        <f t="shared" si="4"/>
        <v>12</v>
      </c>
      <c r="E61" cm="1">
        <f t="array" ref="E61">_xlfn.XLOOKUP(TRUE,ISNUMBER(F61:I61),F61:I61)</f>
        <v>481</v>
      </c>
      <c r="G61" s="45">
        <f>_xlfn.XLOOKUP(C61,'Ableson and Joyeux 2023'!A:A,'Ableson and Joyeux 2023'!B:B)</f>
        <v>481</v>
      </c>
      <c r="H61" s="7">
        <f>_xlfn.XLOOKUP(B61,'rai-values-3bh'!E:E,'rai-values-3bh'!H:H)</f>
        <v>472.6842522359334</v>
      </c>
      <c r="K61">
        <v>110.9</v>
      </c>
    </row>
    <row r="62" spans="1:11" x14ac:dyDescent="0.25">
      <c r="A62" s="3"/>
      <c r="B62" s="1">
        <v>44256</v>
      </c>
      <c r="C62">
        <v>2021</v>
      </c>
      <c r="D62" s="23">
        <f t="shared" si="4"/>
        <v>3</v>
      </c>
      <c r="E62" cm="1">
        <f t="array" ref="E62">_xlfn.XLOOKUP(TRUE,ISNUMBER(F62:I62),F62:I62)</f>
        <v>481</v>
      </c>
      <c r="G62" s="45">
        <f>_xlfn.XLOOKUP(C62,'Ableson and Joyeux 2023'!A:A,'Ableson and Joyeux 2023'!B:B)</f>
        <v>481</v>
      </c>
      <c r="H62" s="7">
        <f>_xlfn.XLOOKUP(B62,'rai-values-3bh'!E:E,'rai-values-3bh'!H:H)</f>
        <v>480.62852538275581</v>
      </c>
      <c r="K62">
        <v>110.9</v>
      </c>
    </row>
    <row r="63" spans="1:11" x14ac:dyDescent="0.25">
      <c r="A63" s="3"/>
      <c r="B63" s="1">
        <v>44348</v>
      </c>
      <c r="C63">
        <v>2021</v>
      </c>
      <c r="D63" s="23">
        <f t="shared" si="4"/>
        <v>6</v>
      </c>
      <c r="E63" cm="1">
        <f t="array" ref="E63">_xlfn.XLOOKUP(TRUE,ISNUMBER(F63:I63),F63:I63)</f>
        <v>481</v>
      </c>
      <c r="G63" s="45">
        <f>_xlfn.XLOOKUP(C63,'Ableson and Joyeux 2023'!A:A,'Ableson and Joyeux 2023'!B:B)</f>
        <v>481</v>
      </c>
      <c r="H63" s="7">
        <f>_xlfn.XLOOKUP(B63,'rai-values-3bh'!E:E,'rai-values-3bh'!H:H)</f>
        <v>488.84439761152083</v>
      </c>
      <c r="K63">
        <v>111</v>
      </c>
    </row>
    <row r="64" spans="1:11" x14ac:dyDescent="0.25">
      <c r="A64" s="3"/>
      <c r="B64" s="1">
        <v>44440</v>
      </c>
      <c r="C64">
        <v>2022</v>
      </c>
      <c r="D64" s="23">
        <f t="shared" si="4"/>
        <v>9</v>
      </c>
      <c r="E64" cm="1">
        <f t="array" ref="E64">_xlfn.XLOOKUP(TRUE,ISNUMBER(F64:I64),F64:I64)</f>
        <v>490.9903164855927</v>
      </c>
      <c r="H64" s="7">
        <f>_xlfn.XLOOKUP(B64,'rai-values-3bh'!E:E,'rai-values-3bh'!H:H)</f>
        <v>490.9903164855927</v>
      </c>
      <c r="K64">
        <v>111.2</v>
      </c>
    </row>
    <row r="65" spans="1:11" x14ac:dyDescent="0.25">
      <c r="A65" s="3"/>
      <c r="B65" s="1">
        <v>44531</v>
      </c>
      <c r="C65">
        <v>2022</v>
      </c>
      <c r="D65" s="23">
        <f t="shared" si="4"/>
        <v>12</v>
      </c>
      <c r="E65" cm="1">
        <f t="array" ref="E65">_xlfn.XLOOKUP(TRUE,ISNUMBER(F65:I65),F65:I65)</f>
        <v>495.25979749851098</v>
      </c>
      <c r="H65" s="7">
        <f>_xlfn.XLOOKUP(B65,'rai-values-3bh'!E:E,'rai-values-3bh'!H:H)</f>
        <v>495.25979749851098</v>
      </c>
      <c r="K65">
        <v>111.3</v>
      </c>
    </row>
    <row r="66" spans="1:11" x14ac:dyDescent="0.25">
      <c r="A66" s="3"/>
      <c r="B66" s="1">
        <v>44621</v>
      </c>
      <c r="C66">
        <v>2022</v>
      </c>
      <c r="D66" s="23">
        <f t="shared" si="4"/>
        <v>3</v>
      </c>
      <c r="E66" cm="1">
        <f t="array" ref="E66">_xlfn.XLOOKUP(TRUE,ISNUMBER(F66:I66),F66:I66)</f>
        <v>522.52180470026394</v>
      </c>
      <c r="H66" s="7">
        <f>_xlfn.XLOOKUP(B66,'rai-values-3bh'!E:E,'rai-values-3bh'!H:H)</f>
        <v>522.52180470026394</v>
      </c>
      <c r="K66">
        <v>112.1</v>
      </c>
    </row>
    <row r="67" spans="1:11" x14ac:dyDescent="0.25">
      <c r="A67" s="3"/>
      <c r="B67" s="1">
        <v>44713</v>
      </c>
      <c r="C67">
        <v>2022</v>
      </c>
      <c r="D67" s="23">
        <f t="shared" si="4"/>
        <v>6</v>
      </c>
      <c r="E67" cm="1">
        <f t="array" ref="E67">_xlfn.XLOOKUP(TRUE,ISNUMBER(F67:I67),F67:I67)</f>
        <v>520</v>
      </c>
      <c r="G67" s="45">
        <f>_xlfn.XLOOKUP(B67,'Ableson and Joyeux 2023'!A:A,'Ableson and Joyeux 2023'!B:B)</f>
        <v>520</v>
      </c>
      <c r="H67" s="7">
        <f>_xlfn.XLOOKUP(B67,'rai-values-3bh'!E:E,'rai-values-3bh'!H:H)</f>
        <v>537.31015766347889</v>
      </c>
      <c r="K67">
        <v>112.7</v>
      </c>
    </row>
    <row r="68" spans="1:11" x14ac:dyDescent="0.25">
      <c r="A68" s="3"/>
      <c r="B68" s="1">
        <v>44805</v>
      </c>
      <c r="C68">
        <v>2023</v>
      </c>
      <c r="D68" s="23">
        <f t="shared" si="4"/>
        <v>9</v>
      </c>
      <c r="E68" cm="1">
        <f t="array" ref="E68">_xlfn.XLOOKUP(TRUE,ISNUMBER(F68:I68),F68:I68)</f>
        <v>560.89805057955732</v>
      </c>
      <c r="H68" s="7">
        <f>_xlfn.XLOOKUP(B68,'rai-values-3bh'!E:E,'rai-values-3bh'!H:H)</f>
        <v>560.89805057955732</v>
      </c>
      <c r="K68">
        <v>114.2</v>
      </c>
    </row>
    <row r="69" spans="1:11" x14ac:dyDescent="0.25">
      <c r="A69" s="3"/>
      <c r="B69" s="1">
        <v>44896</v>
      </c>
      <c r="C69">
        <v>2023</v>
      </c>
      <c r="D69" s="23">
        <f t="shared" si="4"/>
        <v>12</v>
      </c>
      <c r="E69" cm="1">
        <f t="array" ref="E69">_xlfn.XLOOKUP(TRUE,ISNUMBER(F69:I69),F69:I69)</f>
        <v>550</v>
      </c>
      <c r="F69">
        <f>_xlfn.XLOOKUP(B69,'domain-values'!A:A,'domain-values'!B:B)</f>
        <v>550</v>
      </c>
      <c r="G69" s="45">
        <f>_xlfn.XLOOKUP(B69,'Ableson and Joyeux 2023'!A:A,'Ableson and Joyeux 2023'!B:B)</f>
        <v>550</v>
      </c>
      <c r="H69" s="7">
        <f>_xlfn.XLOOKUP(B69,'rai-values-3bh'!E:E,'rai-values-3bh'!H:H)</f>
        <v>560.89805057955732</v>
      </c>
      <c r="K69">
        <v>115.8</v>
      </c>
    </row>
    <row r="70" spans="1:11" x14ac:dyDescent="0.25">
      <c r="A70" s="3"/>
      <c r="B70" s="1">
        <v>44986</v>
      </c>
      <c r="C70">
        <v>2023</v>
      </c>
      <c r="D70" s="23">
        <f t="shared" ref="D70:D81" si="5">MONTH(B70)</f>
        <v>3</v>
      </c>
      <c r="E70" cm="1">
        <f t="array" ref="E70">_xlfn.XLOOKUP(TRUE,ISNUMBER(F70:I70),F70:I70)</f>
        <v>550</v>
      </c>
      <c r="F70">
        <f>_xlfn.XLOOKUP(B70,'domain-values'!A:A,'domain-values'!B:B)</f>
        <v>550</v>
      </c>
      <c r="H70" s="7">
        <f>_xlfn.XLOOKUP(B70,'rai-values-3bh'!E:E,'rai-values-3bh'!H:H)</f>
        <v>560.89805057955732</v>
      </c>
      <c r="K70">
        <v>117.7</v>
      </c>
    </row>
    <row r="71" spans="1:11" x14ac:dyDescent="0.25">
      <c r="A71" s="3"/>
      <c r="B71" s="1">
        <v>45078</v>
      </c>
      <c r="C71">
        <v>2023</v>
      </c>
      <c r="D71" s="23">
        <f t="shared" si="5"/>
        <v>6</v>
      </c>
      <c r="E71" cm="1">
        <f t="array" ref="E71">_xlfn.XLOOKUP(TRUE,ISNUMBER(F71:I71),F71:I71)</f>
        <v>530</v>
      </c>
      <c r="F71">
        <f>_xlfn.XLOOKUP(B71,'domain-values'!A:A,'domain-values'!B:B)</f>
        <v>530</v>
      </c>
      <c r="H71" s="7">
        <f>_xlfn.XLOOKUP(B71,'rai-values-3bh'!E:E,'rai-values-3bh'!H:H)</f>
        <v>530.30361145703603</v>
      </c>
      <c r="K71">
        <v>120.3</v>
      </c>
    </row>
    <row r="72" spans="1:11" x14ac:dyDescent="0.25">
      <c r="A72" s="3"/>
      <c r="B72" s="1">
        <v>45170</v>
      </c>
      <c r="C72">
        <v>2024</v>
      </c>
      <c r="D72" s="23">
        <f t="shared" si="5"/>
        <v>9</v>
      </c>
      <c r="E72" cm="1">
        <f t="array" ref="E72">_xlfn.XLOOKUP(TRUE,ISNUMBER(F72:I72),F72:I72)</f>
        <v>530</v>
      </c>
      <c r="F72">
        <f>_xlfn.XLOOKUP(B72,'domain-values'!A:A,'domain-values'!B:B)</f>
        <v>530</v>
      </c>
      <c r="H72" s="7">
        <f>_xlfn.XLOOKUP(B72,'rai-values-3bh'!E:E,'rai-values-3bh'!H:H)</f>
        <v>553.29638854296388</v>
      </c>
      <c r="K72">
        <v>122.9</v>
      </c>
    </row>
    <row r="73" spans="1:11" x14ac:dyDescent="0.25">
      <c r="A73" s="3"/>
      <c r="B73" s="1">
        <v>45261</v>
      </c>
      <c r="C73">
        <v>2024</v>
      </c>
      <c r="D73" s="23">
        <f t="shared" si="5"/>
        <v>12</v>
      </c>
      <c r="E73" cm="1">
        <f t="array" ref="E73">_xlfn.XLOOKUP(TRUE,ISNUMBER(F73:I73),F73:I73)</f>
        <v>550</v>
      </c>
      <c r="F73">
        <f>_xlfn.XLOOKUP(B73,'domain-values'!A:A,'domain-values'!B:B)</f>
        <v>550</v>
      </c>
      <c r="H73" s="7">
        <f>_xlfn.XLOOKUP(B73,'rai-values-3bh'!E:E,'rai-values-3bh'!H:H)</f>
        <v>574.17549754458514</v>
      </c>
      <c r="K73">
        <v>124.2</v>
      </c>
    </row>
    <row r="74" spans="1:11" x14ac:dyDescent="0.25">
      <c r="A74" s="3"/>
      <c r="B74" s="1">
        <v>45352</v>
      </c>
      <c r="C74">
        <v>2024</v>
      </c>
      <c r="D74" s="23">
        <f t="shared" si="5"/>
        <v>3</v>
      </c>
      <c r="E74" cm="1">
        <f t="array" ref="E74">_xlfn.XLOOKUP(TRUE,ISNUMBER(F74:I74),F74:I74)</f>
        <v>550</v>
      </c>
      <c r="F74">
        <f>_xlfn.XLOOKUP(B74,'domain-values'!A:A,'domain-values'!B:B)</f>
        <v>550</v>
      </c>
      <c r="H74" s="7">
        <f>_xlfn.XLOOKUP(B74,'rai-values-3bh'!E:E,'rai-values-3bh'!H:H)</f>
        <v>548.31173639392819</v>
      </c>
      <c r="K74">
        <v>126.9</v>
      </c>
    </row>
    <row r="75" spans="1:11" x14ac:dyDescent="0.25">
      <c r="A75" s="3"/>
      <c r="B75" s="1">
        <v>45444</v>
      </c>
      <c r="C75">
        <v>2024</v>
      </c>
      <c r="D75" s="23">
        <f t="shared" si="5"/>
        <v>6</v>
      </c>
      <c r="E75" cm="1">
        <f t="array" ref="E75">_xlfn.XLOOKUP(TRUE,ISNUMBER(F75:I75),F75:I75)</f>
        <v>540</v>
      </c>
      <c r="F75">
        <f>_xlfn.XLOOKUP(B75,'domain-values'!A:A,'domain-values'!B:B)</f>
        <v>540</v>
      </c>
      <c r="H75" s="7">
        <f>_xlfn.XLOOKUP(B75,'rai-values-3bh'!E:E,'rai-values-3bh'!H:H)</f>
        <v>529.24002382370452</v>
      </c>
      <c r="K75">
        <v>129.1</v>
      </c>
    </row>
    <row r="76" spans="1:11" x14ac:dyDescent="0.25">
      <c r="A76" s="3"/>
      <c r="B76" s="1">
        <v>45536</v>
      </c>
      <c r="C76">
        <v>2025</v>
      </c>
      <c r="D76" s="23">
        <f t="shared" si="5"/>
        <v>9</v>
      </c>
      <c r="E76" cm="1">
        <f t="array" ref="E76">_xlfn.XLOOKUP(TRUE,ISNUMBER(F76:I76),F76:I76)</f>
        <v>550</v>
      </c>
      <c r="F76">
        <f>_xlfn.XLOOKUP(B76,'domain-values'!A:A,'domain-values'!B:B)</f>
        <v>550</v>
      </c>
      <c r="H76" s="7">
        <f>_xlfn.XLOOKUP(B76,'rai-values-3bh'!E:E,'rai-values-3bh'!H:H)</f>
        <v>567.94594594594605</v>
      </c>
      <c r="K76">
        <v>131.19999999999999</v>
      </c>
    </row>
    <row r="77" spans="1:11" x14ac:dyDescent="0.25">
      <c r="A77" s="3"/>
      <c r="B77" s="1">
        <v>45627</v>
      </c>
      <c r="C77">
        <v>2025</v>
      </c>
      <c r="D77" s="23">
        <f t="shared" si="5"/>
        <v>12</v>
      </c>
      <c r="E77" cm="1">
        <f t="array" ref="E77">_xlfn.XLOOKUP(TRUE,ISNUMBER(F77:I77),F77:I77)</f>
        <v>550</v>
      </c>
      <c r="F77">
        <f>_xlfn.XLOOKUP(B77,'domain-values'!A:A,'domain-values'!B:B)</f>
        <v>550</v>
      </c>
      <c r="H77" s="7">
        <f>_xlfn.XLOOKUP(B77,'rai-values-3bh'!E:E,'rai-values-3bh'!H:H)</f>
        <v>567.94594594594605</v>
      </c>
      <c r="K77">
        <v>132.19999999999999</v>
      </c>
    </row>
    <row r="78" spans="1:11" x14ac:dyDescent="0.25">
      <c r="A78" s="3"/>
      <c r="B78" s="1">
        <v>45717</v>
      </c>
      <c r="C78">
        <v>2025</v>
      </c>
      <c r="D78" s="23">
        <f t="shared" si="5"/>
        <v>3</v>
      </c>
      <c r="E78" cm="1">
        <f t="array" ref="E78">_xlfn.XLOOKUP(TRUE,ISNUMBER(F78:I78),F78:I78)</f>
        <v>570</v>
      </c>
      <c r="F78">
        <f>_xlfn.XLOOKUP(B78,'domain-values'!A:A,'domain-values'!B:B)</f>
        <v>570</v>
      </c>
      <c r="H78" s="7">
        <f>_xlfn.XLOOKUP(B78,'rai-values-3bh'!E:E,'rai-values-3bh'!H:H)</f>
        <v>567.94594594594605</v>
      </c>
      <c r="K78">
        <v>133.9</v>
      </c>
    </row>
    <row r="79" spans="1:11" x14ac:dyDescent="0.25">
      <c r="A79" s="3"/>
      <c r="B79" s="1">
        <v>45809</v>
      </c>
      <c r="C79">
        <v>2025</v>
      </c>
      <c r="D79" s="23">
        <f t="shared" si="5"/>
        <v>6</v>
      </c>
      <c r="E79" cm="1">
        <f t="array" ref="E79">_xlfn.XLOOKUP(TRUE,ISNUMBER(F79:I79),F79:I79)</f>
        <v>570</v>
      </c>
      <c r="F79">
        <f>_xlfn.XLOOKUP(B79,'domain-values'!A:A,'domain-values'!B:B)</f>
        <v>570</v>
      </c>
      <c r="H79" s="7">
        <f>_xlfn.XLOOKUP(B79,'rai-values-3bh'!E:E,'rai-values-3bh'!H:H)</f>
        <v>578.36697247706422</v>
      </c>
      <c r="K79">
        <v>134.9</v>
      </c>
    </row>
    <row r="80" spans="1:11" x14ac:dyDescent="0.25">
      <c r="A80" s="3"/>
      <c r="B80" s="1">
        <v>45901</v>
      </c>
      <c r="C80">
        <v>2026</v>
      </c>
      <c r="D80" s="23">
        <f t="shared" si="5"/>
        <v>9</v>
      </c>
      <c r="E80" cm="1">
        <f t="array" ref="E80">_xlfn.XLOOKUP(TRUE,ISNUMBER(F80:I80),F80:I80)</f>
        <v>580</v>
      </c>
      <c r="F80">
        <f>_xlfn.XLOOKUP(B80,'domain-values'!A:A,'domain-values'!B:B)</f>
        <v>580</v>
      </c>
      <c r="H80" s="7"/>
      <c r="K80">
        <v>136.1</v>
      </c>
    </row>
    <row r="81" spans="1:11" x14ac:dyDescent="0.25">
      <c r="A81" s="3"/>
      <c r="B81" s="1">
        <v>45992</v>
      </c>
      <c r="C81">
        <v>2026</v>
      </c>
      <c r="D81" s="23">
        <f t="shared" si="5"/>
        <v>12</v>
      </c>
      <c r="E81" cm="1">
        <f t="array" ref="E81">_xlfn.XLOOKUP(TRUE,ISNUMBER(F81:I81),F81:I81)</f>
        <v>600</v>
      </c>
      <c r="F81">
        <f>_xlfn.XLOOKUP(B81,'domain-values'!A:A,'domain-values'!B:B)</f>
        <v>600</v>
      </c>
      <c r="H81" s="7"/>
      <c r="K81">
        <v>137.5</v>
      </c>
    </row>
    <row r="82" spans="1:11" x14ac:dyDescent="0.25">
      <c r="A82" s="3"/>
      <c r="E82" s="7"/>
    </row>
    <row r="83" spans="1:11" x14ac:dyDescent="0.25">
      <c r="A83" s="3"/>
      <c r="E83" s="7"/>
    </row>
    <row r="84" spans="1:11" x14ac:dyDescent="0.25">
      <c r="A84" s="3"/>
      <c r="E84" s="7"/>
    </row>
    <row r="85" spans="1:11" x14ac:dyDescent="0.25">
      <c r="A85" s="3"/>
      <c r="E85" s="7"/>
    </row>
    <row r="86" spans="1:11" x14ac:dyDescent="0.25">
      <c r="A86" s="3"/>
      <c r="E86" s="7"/>
    </row>
    <row r="87" spans="1:11" x14ac:dyDescent="0.25">
      <c r="A87" s="3"/>
      <c r="E87" s="7"/>
    </row>
    <row r="88" spans="1:11" x14ac:dyDescent="0.25">
      <c r="A88" s="3"/>
      <c r="E88" s="7"/>
    </row>
    <row r="89" spans="1:11" x14ac:dyDescent="0.25">
      <c r="A89" s="3"/>
      <c r="E89" s="7"/>
    </row>
    <row r="90" spans="1:11" x14ac:dyDescent="0.25">
      <c r="A90" s="3"/>
      <c r="E90" s="7"/>
    </row>
    <row r="91" spans="1:11" x14ac:dyDescent="0.25">
      <c r="A91" s="3"/>
      <c r="E91" s="7"/>
    </row>
    <row r="92" spans="1:11" x14ac:dyDescent="0.25">
      <c r="A92" s="3"/>
      <c r="E92" s="7"/>
    </row>
    <row r="93" spans="1:11" x14ac:dyDescent="0.25">
      <c r="A93" s="3"/>
      <c r="E93" s="7"/>
    </row>
    <row r="94" spans="1:11" x14ac:dyDescent="0.25">
      <c r="A94" s="3"/>
      <c r="E94" s="7"/>
    </row>
    <row r="95" spans="1:11" x14ac:dyDescent="0.25">
      <c r="A95" s="3"/>
      <c r="E95" s="7"/>
    </row>
    <row r="96" spans="1:11"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W36" sqref="W36"/>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809-5450-4201-B4D8-CDF1566DB35B}">
  <sheetPr>
    <tabColor theme="7"/>
  </sheetPr>
  <dimension ref="A1:BI106"/>
  <sheetViews>
    <sheetView workbookViewId="0">
      <pane xSplit="1" ySplit="10" topLeftCell="B11" activePane="bottomRight" state="frozen"/>
      <selection pane="topRight" activeCell="B1" sqref="B1"/>
      <selection pane="bottomLeft" activeCell="A11" sqref="A11"/>
      <selection pane="bottomRight" activeCell="F112" sqref="F112"/>
    </sheetView>
  </sheetViews>
  <sheetFormatPr defaultColWidth="14.7109375" defaultRowHeight="11.25" x14ac:dyDescent="0.2"/>
  <cols>
    <col min="1" max="16384" width="14.7109375" style="39"/>
  </cols>
  <sheetData>
    <row r="1" spans="1:61" s="35" customFormat="1" ht="99.95" customHeight="1" x14ac:dyDescent="0.2">
      <c r="B1" s="36" t="s">
        <v>497</v>
      </c>
      <c r="C1" s="36" t="s">
        <v>498</v>
      </c>
      <c r="D1" s="36" t="s">
        <v>499</v>
      </c>
      <c r="E1" s="36" t="s">
        <v>500</v>
      </c>
      <c r="F1" s="36" t="s">
        <v>501</v>
      </c>
      <c r="G1" s="36" t="s">
        <v>502</v>
      </c>
      <c r="H1" s="36" t="s">
        <v>503</v>
      </c>
      <c r="I1" s="36" t="s">
        <v>504</v>
      </c>
      <c r="J1" s="36" t="s">
        <v>505</v>
      </c>
      <c r="K1" s="36" t="s">
        <v>506</v>
      </c>
      <c r="L1" s="36" t="s">
        <v>507</v>
      </c>
      <c r="M1" s="36" t="s">
        <v>508</v>
      </c>
      <c r="N1" s="36" t="s">
        <v>509</v>
      </c>
      <c r="O1" s="36" t="s">
        <v>510</v>
      </c>
      <c r="P1" s="36" t="s">
        <v>511</v>
      </c>
      <c r="Q1" s="36" t="s">
        <v>512</v>
      </c>
      <c r="R1" s="36" t="s">
        <v>513</v>
      </c>
      <c r="S1" s="36" t="s">
        <v>514</v>
      </c>
      <c r="T1" s="36" t="s">
        <v>515</v>
      </c>
      <c r="U1" s="36" t="s">
        <v>516</v>
      </c>
      <c r="V1" s="36" t="s">
        <v>517</v>
      </c>
      <c r="W1" s="36" t="s">
        <v>518</v>
      </c>
      <c r="X1" s="36" t="s">
        <v>519</v>
      </c>
      <c r="Y1" s="36" t="s">
        <v>520</v>
      </c>
      <c r="Z1" s="36" t="s">
        <v>521</v>
      </c>
      <c r="AA1" s="36" t="s">
        <v>522</v>
      </c>
      <c r="AB1" s="36" t="s">
        <v>523</v>
      </c>
      <c r="AC1" s="36" t="s">
        <v>524</v>
      </c>
      <c r="AD1" s="36" t="s">
        <v>525</v>
      </c>
      <c r="AE1" s="36" t="s">
        <v>526</v>
      </c>
      <c r="AF1" s="36" t="s">
        <v>527</v>
      </c>
      <c r="AG1" s="36" t="s">
        <v>528</v>
      </c>
      <c r="AH1" s="36" t="s">
        <v>529</v>
      </c>
      <c r="AI1" s="36" t="s">
        <v>530</v>
      </c>
      <c r="AJ1" s="36" t="s">
        <v>531</v>
      </c>
      <c r="AK1" s="36" t="s">
        <v>532</v>
      </c>
      <c r="AL1" s="36" t="s">
        <v>533</v>
      </c>
      <c r="AM1" s="36" t="s">
        <v>534</v>
      </c>
      <c r="AN1" s="36" t="s">
        <v>535</v>
      </c>
      <c r="AO1" s="36" t="s">
        <v>536</v>
      </c>
      <c r="AP1" s="36" t="s">
        <v>537</v>
      </c>
      <c r="AQ1" s="36" t="s">
        <v>538</v>
      </c>
      <c r="AR1" s="36" t="s">
        <v>539</v>
      </c>
      <c r="AS1" s="36" t="s">
        <v>540</v>
      </c>
      <c r="AT1" s="36" t="s">
        <v>541</v>
      </c>
      <c r="AU1" s="36" t="s">
        <v>542</v>
      </c>
      <c r="AV1" s="36" t="s">
        <v>543</v>
      </c>
      <c r="AW1" s="36" t="s">
        <v>544</v>
      </c>
      <c r="AX1" s="36" t="s">
        <v>545</v>
      </c>
      <c r="AY1" s="36" t="s">
        <v>546</v>
      </c>
      <c r="AZ1" s="36" t="s">
        <v>547</v>
      </c>
      <c r="BA1" s="36" t="s">
        <v>548</v>
      </c>
      <c r="BB1" s="36" t="s">
        <v>549</v>
      </c>
      <c r="BC1" s="36" t="s">
        <v>550</v>
      </c>
      <c r="BD1" s="36" t="s">
        <v>551</v>
      </c>
      <c r="BE1" s="36" t="s">
        <v>552</v>
      </c>
      <c r="BF1" s="36" t="s">
        <v>553</v>
      </c>
      <c r="BG1" s="36" t="s">
        <v>554</v>
      </c>
      <c r="BH1" s="36" t="s">
        <v>555</v>
      </c>
      <c r="BI1" s="36" t="s">
        <v>556</v>
      </c>
    </row>
    <row r="2" spans="1:61" x14ac:dyDescent="0.2">
      <c r="A2" s="37" t="s">
        <v>557</v>
      </c>
      <c r="B2" s="38" t="s">
        <v>558</v>
      </c>
      <c r="C2" s="38" t="s">
        <v>558</v>
      </c>
      <c r="D2" s="38" t="s">
        <v>558</v>
      </c>
      <c r="E2" s="38" t="s">
        <v>558</v>
      </c>
      <c r="F2" s="38" t="s">
        <v>558</v>
      </c>
      <c r="G2" s="38" t="s">
        <v>558</v>
      </c>
      <c r="H2" s="38" t="s">
        <v>558</v>
      </c>
      <c r="I2" s="38" t="s">
        <v>558</v>
      </c>
      <c r="J2" s="38" t="s">
        <v>558</v>
      </c>
      <c r="K2" s="38" t="s">
        <v>558</v>
      </c>
      <c r="L2" s="38" t="s">
        <v>558</v>
      </c>
      <c r="M2" s="38" t="s">
        <v>558</v>
      </c>
      <c r="N2" s="38" t="s">
        <v>558</v>
      </c>
      <c r="O2" s="38" t="s">
        <v>558</v>
      </c>
      <c r="P2" s="38" t="s">
        <v>558</v>
      </c>
      <c r="Q2" s="38" t="s">
        <v>558</v>
      </c>
      <c r="R2" s="38" t="s">
        <v>558</v>
      </c>
      <c r="S2" s="38" t="s">
        <v>558</v>
      </c>
      <c r="T2" s="38" t="s">
        <v>558</v>
      </c>
      <c r="U2" s="38" t="s">
        <v>558</v>
      </c>
      <c r="V2" s="38" t="s">
        <v>558</v>
      </c>
      <c r="W2" s="38" t="s">
        <v>558</v>
      </c>
      <c r="X2" s="38" t="s">
        <v>558</v>
      </c>
      <c r="Y2" s="38" t="s">
        <v>558</v>
      </c>
      <c r="Z2" s="38" t="s">
        <v>558</v>
      </c>
      <c r="AA2" s="38" t="s">
        <v>558</v>
      </c>
      <c r="AB2" s="38" t="s">
        <v>558</v>
      </c>
      <c r="AC2" s="38" t="s">
        <v>558</v>
      </c>
      <c r="AD2" s="38" t="s">
        <v>558</v>
      </c>
      <c r="AE2" s="38" t="s">
        <v>558</v>
      </c>
      <c r="AF2" s="38" t="s">
        <v>559</v>
      </c>
      <c r="AG2" s="38" t="s">
        <v>559</v>
      </c>
      <c r="AH2" s="38" t="s">
        <v>559</v>
      </c>
      <c r="AI2" s="38" t="s">
        <v>559</v>
      </c>
      <c r="AJ2" s="38" t="s">
        <v>559</v>
      </c>
      <c r="AK2" s="38" t="s">
        <v>559</v>
      </c>
      <c r="AL2" s="38" t="s">
        <v>559</v>
      </c>
      <c r="AM2" s="38" t="s">
        <v>559</v>
      </c>
      <c r="AN2" s="38" t="s">
        <v>559</v>
      </c>
      <c r="AO2" s="38" t="s">
        <v>559</v>
      </c>
      <c r="AP2" s="38" t="s">
        <v>559</v>
      </c>
      <c r="AQ2" s="38" t="s">
        <v>559</v>
      </c>
      <c r="AR2" s="38" t="s">
        <v>559</v>
      </c>
      <c r="AS2" s="38" t="s">
        <v>559</v>
      </c>
      <c r="AT2" s="38" t="s">
        <v>559</v>
      </c>
      <c r="AU2" s="38" t="s">
        <v>559</v>
      </c>
      <c r="AV2" s="38" t="s">
        <v>559</v>
      </c>
      <c r="AW2" s="38" t="s">
        <v>559</v>
      </c>
      <c r="AX2" s="38" t="s">
        <v>559</v>
      </c>
      <c r="AY2" s="38" t="s">
        <v>559</v>
      </c>
      <c r="AZ2" s="38" t="s">
        <v>559</v>
      </c>
      <c r="BA2" s="38" t="s">
        <v>559</v>
      </c>
      <c r="BB2" s="38" t="s">
        <v>559</v>
      </c>
      <c r="BC2" s="38" t="s">
        <v>559</v>
      </c>
      <c r="BD2" s="38" t="s">
        <v>559</v>
      </c>
      <c r="BE2" s="38" t="s">
        <v>559</v>
      </c>
      <c r="BF2" s="38" t="s">
        <v>559</v>
      </c>
      <c r="BG2" s="38" t="s">
        <v>559</v>
      </c>
      <c r="BH2" s="38" t="s">
        <v>559</v>
      </c>
      <c r="BI2" s="38" t="s">
        <v>559</v>
      </c>
    </row>
    <row r="3" spans="1:61" x14ac:dyDescent="0.2">
      <c r="A3" s="37" t="s">
        <v>560</v>
      </c>
      <c r="B3" s="38" t="s">
        <v>38</v>
      </c>
      <c r="C3" s="38" t="s">
        <v>38</v>
      </c>
      <c r="D3" s="38" t="s">
        <v>38</v>
      </c>
      <c r="E3" s="38" t="s">
        <v>38</v>
      </c>
      <c r="F3" s="38" t="s">
        <v>38</v>
      </c>
      <c r="G3" s="38" t="s">
        <v>38</v>
      </c>
      <c r="H3" s="38" t="s">
        <v>38</v>
      </c>
      <c r="I3" s="38" t="s">
        <v>38</v>
      </c>
      <c r="J3" s="38" t="s">
        <v>38</v>
      </c>
      <c r="K3" s="38" t="s">
        <v>38</v>
      </c>
      <c r="L3" s="38" t="s">
        <v>38</v>
      </c>
      <c r="M3" s="38" t="s">
        <v>38</v>
      </c>
      <c r="N3" s="38" t="s">
        <v>38</v>
      </c>
      <c r="O3" s="38" t="s">
        <v>38</v>
      </c>
      <c r="P3" s="38" t="s">
        <v>38</v>
      </c>
      <c r="Q3" s="38" t="s">
        <v>38</v>
      </c>
      <c r="R3" s="38" t="s">
        <v>38</v>
      </c>
      <c r="S3" s="38" t="s">
        <v>38</v>
      </c>
      <c r="T3" s="38" t="s">
        <v>38</v>
      </c>
      <c r="U3" s="38" t="s">
        <v>38</v>
      </c>
      <c r="V3" s="38" t="s">
        <v>38</v>
      </c>
      <c r="W3" s="38" t="s">
        <v>38</v>
      </c>
      <c r="X3" s="38" t="s">
        <v>38</v>
      </c>
      <c r="Y3" s="38" t="s">
        <v>38</v>
      </c>
      <c r="Z3" s="38" t="s">
        <v>38</v>
      </c>
      <c r="AA3" s="38" t="s">
        <v>38</v>
      </c>
      <c r="AB3" s="38" t="s">
        <v>38</v>
      </c>
      <c r="AC3" s="38" t="s">
        <v>38</v>
      </c>
      <c r="AD3" s="38" t="s">
        <v>38</v>
      </c>
      <c r="AE3" s="38" t="s">
        <v>38</v>
      </c>
      <c r="AF3" s="38" t="s">
        <v>38</v>
      </c>
      <c r="AG3" s="38" t="s">
        <v>38</v>
      </c>
      <c r="AH3" s="38" t="s">
        <v>38</v>
      </c>
      <c r="AI3" s="38" t="s">
        <v>38</v>
      </c>
      <c r="AJ3" s="38" t="s">
        <v>38</v>
      </c>
      <c r="AK3" s="38" t="s">
        <v>38</v>
      </c>
      <c r="AL3" s="38" t="s">
        <v>38</v>
      </c>
      <c r="AM3" s="38" t="s">
        <v>38</v>
      </c>
      <c r="AN3" s="38" t="s">
        <v>38</v>
      </c>
      <c r="AO3" s="38" t="s">
        <v>38</v>
      </c>
      <c r="AP3" s="38" t="s">
        <v>38</v>
      </c>
      <c r="AQ3" s="38" t="s">
        <v>38</v>
      </c>
      <c r="AR3" s="38" t="s">
        <v>38</v>
      </c>
      <c r="AS3" s="38" t="s">
        <v>38</v>
      </c>
      <c r="AT3" s="38" t="s">
        <v>38</v>
      </c>
      <c r="AU3" s="38" t="s">
        <v>38</v>
      </c>
      <c r="AV3" s="38" t="s">
        <v>38</v>
      </c>
      <c r="AW3" s="38" t="s">
        <v>38</v>
      </c>
      <c r="AX3" s="38" t="s">
        <v>38</v>
      </c>
      <c r="AY3" s="38" t="s">
        <v>38</v>
      </c>
      <c r="AZ3" s="38" t="s">
        <v>38</v>
      </c>
      <c r="BA3" s="38" t="s">
        <v>38</v>
      </c>
      <c r="BB3" s="38" t="s">
        <v>38</v>
      </c>
      <c r="BC3" s="38" t="s">
        <v>38</v>
      </c>
      <c r="BD3" s="38" t="s">
        <v>38</v>
      </c>
      <c r="BE3" s="38" t="s">
        <v>38</v>
      </c>
      <c r="BF3" s="38" t="s">
        <v>38</v>
      </c>
      <c r="BG3" s="38" t="s">
        <v>38</v>
      </c>
      <c r="BH3" s="38" t="s">
        <v>38</v>
      </c>
      <c r="BI3" s="38" t="s">
        <v>38</v>
      </c>
    </row>
    <row r="4" spans="1:61" x14ac:dyDescent="0.2">
      <c r="A4" s="37" t="s">
        <v>561</v>
      </c>
      <c r="B4" s="38" t="s">
        <v>562</v>
      </c>
      <c r="C4" s="38" t="s">
        <v>562</v>
      </c>
      <c r="D4" s="38" t="s">
        <v>562</v>
      </c>
      <c r="E4" s="38" t="s">
        <v>562</v>
      </c>
      <c r="F4" s="38" t="s">
        <v>562</v>
      </c>
      <c r="G4" s="38" t="s">
        <v>562</v>
      </c>
      <c r="H4" s="38" t="s">
        <v>562</v>
      </c>
      <c r="I4" s="38" t="s">
        <v>562</v>
      </c>
      <c r="J4" s="38" t="s">
        <v>562</v>
      </c>
      <c r="K4" s="38" t="s">
        <v>562</v>
      </c>
      <c r="L4" s="38" t="s">
        <v>562</v>
      </c>
      <c r="M4" s="38" t="s">
        <v>562</v>
      </c>
      <c r="N4" s="38" t="s">
        <v>562</v>
      </c>
      <c r="O4" s="38" t="s">
        <v>562</v>
      </c>
      <c r="P4" s="38" t="s">
        <v>562</v>
      </c>
      <c r="Q4" s="38" t="s">
        <v>562</v>
      </c>
      <c r="R4" s="38" t="s">
        <v>562</v>
      </c>
      <c r="S4" s="38" t="s">
        <v>562</v>
      </c>
      <c r="T4" s="38" t="s">
        <v>562</v>
      </c>
      <c r="U4" s="38" t="s">
        <v>562</v>
      </c>
      <c r="V4" s="38" t="s">
        <v>562</v>
      </c>
      <c r="W4" s="38" t="s">
        <v>562</v>
      </c>
      <c r="X4" s="38" t="s">
        <v>562</v>
      </c>
      <c r="Y4" s="38" t="s">
        <v>562</v>
      </c>
      <c r="Z4" s="38" t="s">
        <v>562</v>
      </c>
      <c r="AA4" s="38" t="s">
        <v>562</v>
      </c>
      <c r="AB4" s="38" t="s">
        <v>562</v>
      </c>
      <c r="AC4" s="38" t="s">
        <v>562</v>
      </c>
      <c r="AD4" s="38" t="s">
        <v>562</v>
      </c>
      <c r="AE4" s="38" t="s">
        <v>562</v>
      </c>
      <c r="AF4" s="38" t="s">
        <v>562</v>
      </c>
      <c r="AG4" s="38" t="s">
        <v>562</v>
      </c>
      <c r="AH4" s="38" t="s">
        <v>562</v>
      </c>
      <c r="AI4" s="38" t="s">
        <v>562</v>
      </c>
      <c r="AJ4" s="38" t="s">
        <v>562</v>
      </c>
      <c r="AK4" s="38" t="s">
        <v>562</v>
      </c>
      <c r="AL4" s="38" t="s">
        <v>562</v>
      </c>
      <c r="AM4" s="38" t="s">
        <v>562</v>
      </c>
      <c r="AN4" s="38" t="s">
        <v>562</v>
      </c>
      <c r="AO4" s="38" t="s">
        <v>562</v>
      </c>
      <c r="AP4" s="38" t="s">
        <v>562</v>
      </c>
      <c r="AQ4" s="38" t="s">
        <v>562</v>
      </c>
      <c r="AR4" s="38" t="s">
        <v>562</v>
      </c>
      <c r="AS4" s="38" t="s">
        <v>562</v>
      </c>
      <c r="AT4" s="38" t="s">
        <v>562</v>
      </c>
      <c r="AU4" s="38" t="s">
        <v>562</v>
      </c>
      <c r="AV4" s="38" t="s">
        <v>562</v>
      </c>
      <c r="AW4" s="38" t="s">
        <v>562</v>
      </c>
      <c r="AX4" s="38" t="s">
        <v>562</v>
      </c>
      <c r="AY4" s="38" t="s">
        <v>562</v>
      </c>
      <c r="AZ4" s="38" t="s">
        <v>562</v>
      </c>
      <c r="BA4" s="38" t="s">
        <v>562</v>
      </c>
      <c r="BB4" s="38" t="s">
        <v>562</v>
      </c>
      <c r="BC4" s="38" t="s">
        <v>562</v>
      </c>
      <c r="BD4" s="38" t="s">
        <v>562</v>
      </c>
      <c r="BE4" s="38" t="s">
        <v>562</v>
      </c>
      <c r="BF4" s="38" t="s">
        <v>562</v>
      </c>
      <c r="BG4" s="38" t="s">
        <v>562</v>
      </c>
      <c r="BH4" s="38" t="s">
        <v>562</v>
      </c>
      <c r="BI4" s="38" t="s">
        <v>562</v>
      </c>
    </row>
    <row r="5" spans="1:61" x14ac:dyDescent="0.2">
      <c r="A5" s="37" t="s">
        <v>35</v>
      </c>
      <c r="B5" s="38" t="s">
        <v>2</v>
      </c>
      <c r="C5" s="38" t="s">
        <v>2</v>
      </c>
      <c r="D5" s="38" t="s">
        <v>2</v>
      </c>
      <c r="E5" s="38" t="s">
        <v>2</v>
      </c>
      <c r="F5" s="38" t="s">
        <v>2</v>
      </c>
      <c r="G5" s="38" t="s">
        <v>2</v>
      </c>
      <c r="H5" s="38" t="s">
        <v>2</v>
      </c>
      <c r="I5" s="38" t="s">
        <v>2</v>
      </c>
      <c r="J5" s="38" t="s">
        <v>2</v>
      </c>
      <c r="K5" s="38" t="s">
        <v>2</v>
      </c>
      <c r="L5" s="38" t="s">
        <v>2</v>
      </c>
      <c r="M5" s="38" t="s">
        <v>2</v>
      </c>
      <c r="N5" s="38" t="s">
        <v>2</v>
      </c>
      <c r="O5" s="38" t="s">
        <v>2</v>
      </c>
      <c r="P5" s="38" t="s">
        <v>2</v>
      </c>
      <c r="Q5" s="38" t="s">
        <v>2</v>
      </c>
      <c r="R5" s="38" t="s">
        <v>2</v>
      </c>
      <c r="S5" s="38" t="s">
        <v>2</v>
      </c>
      <c r="T5" s="38" t="s">
        <v>2</v>
      </c>
      <c r="U5" s="38" t="s">
        <v>2</v>
      </c>
      <c r="V5" s="38" t="s">
        <v>2</v>
      </c>
      <c r="W5" s="38" t="s">
        <v>2</v>
      </c>
      <c r="X5" s="38" t="s">
        <v>2</v>
      </c>
      <c r="Y5" s="38" t="s">
        <v>2</v>
      </c>
      <c r="Z5" s="38" t="s">
        <v>2</v>
      </c>
      <c r="AA5" s="38" t="s">
        <v>2</v>
      </c>
      <c r="AB5" s="38" t="s">
        <v>2</v>
      </c>
      <c r="AC5" s="38" t="s">
        <v>2</v>
      </c>
      <c r="AD5" s="38" t="s">
        <v>2</v>
      </c>
      <c r="AE5" s="38" t="s">
        <v>2</v>
      </c>
      <c r="AF5" s="38" t="s">
        <v>2</v>
      </c>
      <c r="AG5" s="38" t="s">
        <v>2</v>
      </c>
      <c r="AH5" s="38" t="s">
        <v>2</v>
      </c>
      <c r="AI5" s="38" t="s">
        <v>2</v>
      </c>
      <c r="AJ5" s="38" t="s">
        <v>2</v>
      </c>
      <c r="AK5" s="38" t="s">
        <v>2</v>
      </c>
      <c r="AL5" s="38" t="s">
        <v>2</v>
      </c>
      <c r="AM5" s="38" t="s">
        <v>2</v>
      </c>
      <c r="AN5" s="38" t="s">
        <v>2</v>
      </c>
      <c r="AO5" s="38" t="s">
        <v>2</v>
      </c>
      <c r="AP5" s="38" t="s">
        <v>2</v>
      </c>
      <c r="AQ5" s="38" t="s">
        <v>2</v>
      </c>
      <c r="AR5" s="38" t="s">
        <v>2</v>
      </c>
      <c r="AS5" s="38" t="s">
        <v>2</v>
      </c>
      <c r="AT5" s="38" t="s">
        <v>2</v>
      </c>
      <c r="AU5" s="38" t="s">
        <v>2</v>
      </c>
      <c r="AV5" s="38" t="s">
        <v>2</v>
      </c>
      <c r="AW5" s="38" t="s">
        <v>2</v>
      </c>
      <c r="AX5" s="38" t="s">
        <v>2</v>
      </c>
      <c r="AY5" s="38" t="s">
        <v>2</v>
      </c>
      <c r="AZ5" s="38" t="s">
        <v>2</v>
      </c>
      <c r="BA5" s="38" t="s">
        <v>2</v>
      </c>
      <c r="BB5" s="38" t="s">
        <v>2</v>
      </c>
      <c r="BC5" s="38" t="s">
        <v>2</v>
      </c>
      <c r="BD5" s="38" t="s">
        <v>2</v>
      </c>
      <c r="BE5" s="38" t="s">
        <v>2</v>
      </c>
      <c r="BF5" s="38" t="s">
        <v>2</v>
      </c>
      <c r="BG5" s="38" t="s">
        <v>2</v>
      </c>
      <c r="BH5" s="38" t="s">
        <v>2</v>
      </c>
      <c r="BI5" s="38" t="s">
        <v>2</v>
      </c>
    </row>
    <row r="6" spans="1:61" x14ac:dyDescent="0.2">
      <c r="A6" s="37" t="s">
        <v>563</v>
      </c>
      <c r="B6" s="39">
        <v>3</v>
      </c>
      <c r="C6" s="39">
        <v>3</v>
      </c>
      <c r="D6" s="39">
        <v>3</v>
      </c>
      <c r="E6" s="39">
        <v>3</v>
      </c>
      <c r="F6" s="39">
        <v>3</v>
      </c>
      <c r="G6" s="39">
        <v>3</v>
      </c>
      <c r="H6" s="39">
        <v>3</v>
      </c>
      <c r="I6" s="39">
        <v>3</v>
      </c>
      <c r="J6" s="39">
        <v>3</v>
      </c>
      <c r="K6" s="39">
        <v>3</v>
      </c>
      <c r="L6" s="39">
        <v>3</v>
      </c>
      <c r="M6" s="39">
        <v>3</v>
      </c>
      <c r="N6" s="39">
        <v>3</v>
      </c>
      <c r="O6" s="39">
        <v>3</v>
      </c>
      <c r="P6" s="39">
        <v>3</v>
      </c>
      <c r="Q6" s="39">
        <v>3</v>
      </c>
      <c r="R6" s="39">
        <v>3</v>
      </c>
      <c r="S6" s="39">
        <v>3</v>
      </c>
      <c r="T6" s="39">
        <v>3</v>
      </c>
      <c r="U6" s="39">
        <v>3</v>
      </c>
      <c r="V6" s="39">
        <v>3</v>
      </c>
      <c r="W6" s="39">
        <v>3</v>
      </c>
      <c r="X6" s="39">
        <v>3</v>
      </c>
      <c r="Y6" s="39">
        <v>3</v>
      </c>
      <c r="Z6" s="39">
        <v>3</v>
      </c>
      <c r="AA6" s="39">
        <v>3</v>
      </c>
      <c r="AB6" s="39">
        <v>3</v>
      </c>
      <c r="AC6" s="39">
        <v>3</v>
      </c>
      <c r="AD6" s="39">
        <v>3</v>
      </c>
      <c r="AE6" s="39">
        <v>3</v>
      </c>
      <c r="AF6" s="39">
        <v>3</v>
      </c>
      <c r="AG6" s="39">
        <v>3</v>
      </c>
      <c r="AH6" s="39">
        <v>3</v>
      </c>
      <c r="AI6" s="39">
        <v>3</v>
      </c>
      <c r="AJ6" s="39">
        <v>3</v>
      </c>
      <c r="AK6" s="39">
        <v>3</v>
      </c>
      <c r="AL6" s="39">
        <v>3</v>
      </c>
      <c r="AM6" s="39">
        <v>3</v>
      </c>
      <c r="AN6" s="39">
        <v>3</v>
      </c>
      <c r="AO6" s="39">
        <v>3</v>
      </c>
      <c r="AP6" s="39">
        <v>3</v>
      </c>
      <c r="AQ6" s="39">
        <v>3</v>
      </c>
      <c r="AR6" s="39">
        <v>3</v>
      </c>
      <c r="AS6" s="39">
        <v>3</v>
      </c>
      <c r="AT6" s="39">
        <v>3</v>
      </c>
      <c r="AU6" s="39">
        <v>3</v>
      </c>
      <c r="AV6" s="39">
        <v>3</v>
      </c>
      <c r="AW6" s="39">
        <v>3</v>
      </c>
      <c r="AX6" s="39">
        <v>3</v>
      </c>
      <c r="AY6" s="39">
        <v>3</v>
      </c>
      <c r="AZ6" s="39">
        <v>3</v>
      </c>
      <c r="BA6" s="39">
        <v>3</v>
      </c>
      <c r="BB6" s="39">
        <v>3</v>
      </c>
      <c r="BC6" s="39">
        <v>3</v>
      </c>
      <c r="BD6" s="39">
        <v>3</v>
      </c>
      <c r="BE6" s="39">
        <v>3</v>
      </c>
      <c r="BF6" s="39">
        <v>3</v>
      </c>
      <c r="BG6" s="39">
        <v>3</v>
      </c>
      <c r="BH6" s="39">
        <v>3</v>
      </c>
      <c r="BI6" s="39">
        <v>3</v>
      </c>
    </row>
    <row r="7" spans="1:61" s="41" customFormat="1" x14ac:dyDescent="0.2">
      <c r="A7" s="40" t="s">
        <v>564</v>
      </c>
      <c r="B7" s="41">
        <v>37316</v>
      </c>
      <c r="C7" s="41">
        <v>37865</v>
      </c>
      <c r="D7" s="41">
        <v>37316</v>
      </c>
      <c r="E7" s="41">
        <v>37865</v>
      </c>
      <c r="F7" s="41">
        <v>37316</v>
      </c>
      <c r="G7" s="41">
        <v>37865</v>
      </c>
      <c r="H7" s="41">
        <v>37316</v>
      </c>
      <c r="I7" s="41">
        <v>37865</v>
      </c>
      <c r="J7" s="41">
        <v>37316</v>
      </c>
      <c r="K7" s="41">
        <v>37865</v>
      </c>
      <c r="L7" s="41">
        <v>37316</v>
      </c>
      <c r="M7" s="41">
        <v>37865</v>
      </c>
      <c r="N7" s="41">
        <v>37316</v>
      </c>
      <c r="O7" s="41">
        <v>37865</v>
      </c>
      <c r="P7" s="41">
        <v>37316</v>
      </c>
      <c r="Q7" s="41">
        <v>37865</v>
      </c>
      <c r="R7" s="41">
        <v>37865</v>
      </c>
      <c r="S7" s="41">
        <v>37865</v>
      </c>
      <c r="T7" s="41">
        <v>37865</v>
      </c>
      <c r="U7" s="41">
        <v>37865</v>
      </c>
      <c r="V7" s="41">
        <v>37865</v>
      </c>
      <c r="W7" s="41">
        <v>37865</v>
      </c>
      <c r="X7" s="41">
        <v>37865</v>
      </c>
      <c r="Y7" s="41">
        <v>37865</v>
      </c>
      <c r="Z7" s="41">
        <v>37865</v>
      </c>
      <c r="AA7" s="41">
        <v>37865</v>
      </c>
      <c r="AB7" s="41">
        <v>37865</v>
      </c>
      <c r="AC7" s="41">
        <v>37865</v>
      </c>
      <c r="AD7" s="41">
        <v>37865</v>
      </c>
      <c r="AE7" s="41">
        <v>37865</v>
      </c>
      <c r="AF7" s="41">
        <v>37316</v>
      </c>
      <c r="AG7" s="41">
        <v>37865</v>
      </c>
      <c r="AH7" s="41">
        <v>37316</v>
      </c>
      <c r="AI7" s="41">
        <v>37865</v>
      </c>
      <c r="AJ7" s="41">
        <v>37316</v>
      </c>
      <c r="AK7" s="41">
        <v>37865</v>
      </c>
      <c r="AL7" s="41">
        <v>37316</v>
      </c>
      <c r="AM7" s="41">
        <v>37865</v>
      </c>
      <c r="AN7" s="41">
        <v>37316</v>
      </c>
      <c r="AO7" s="41">
        <v>37865</v>
      </c>
      <c r="AP7" s="41">
        <v>37316</v>
      </c>
      <c r="AQ7" s="41">
        <v>37865</v>
      </c>
      <c r="AR7" s="41">
        <v>37316</v>
      </c>
      <c r="AS7" s="41">
        <v>37865</v>
      </c>
      <c r="AT7" s="41">
        <v>37316</v>
      </c>
      <c r="AU7" s="41">
        <v>37865</v>
      </c>
      <c r="AV7" s="41">
        <v>37865</v>
      </c>
      <c r="AW7" s="41">
        <v>37865</v>
      </c>
      <c r="AX7" s="41">
        <v>37865</v>
      </c>
      <c r="AY7" s="41">
        <v>37865</v>
      </c>
      <c r="AZ7" s="41">
        <v>37865</v>
      </c>
      <c r="BA7" s="41">
        <v>37865</v>
      </c>
      <c r="BB7" s="41">
        <v>37865</v>
      </c>
      <c r="BC7" s="41">
        <v>37865</v>
      </c>
      <c r="BD7" s="41">
        <v>37865</v>
      </c>
      <c r="BE7" s="41">
        <v>37865</v>
      </c>
      <c r="BF7" s="41">
        <v>37865</v>
      </c>
      <c r="BG7" s="41">
        <v>37865</v>
      </c>
      <c r="BH7" s="41">
        <v>37865</v>
      </c>
      <c r="BI7" s="41">
        <v>37865</v>
      </c>
    </row>
    <row r="8" spans="1:61" s="41" customFormat="1" x14ac:dyDescent="0.2">
      <c r="A8" s="40" t="s">
        <v>565</v>
      </c>
      <c r="B8" s="41">
        <v>45992</v>
      </c>
      <c r="C8" s="41">
        <v>45992</v>
      </c>
      <c r="D8" s="41">
        <v>45992</v>
      </c>
      <c r="E8" s="41">
        <v>45992</v>
      </c>
      <c r="F8" s="41">
        <v>45992</v>
      </c>
      <c r="G8" s="41">
        <v>45992</v>
      </c>
      <c r="H8" s="41">
        <v>45992</v>
      </c>
      <c r="I8" s="41">
        <v>45992</v>
      </c>
      <c r="J8" s="41">
        <v>45992</v>
      </c>
      <c r="K8" s="41">
        <v>45992</v>
      </c>
      <c r="L8" s="41">
        <v>45992</v>
      </c>
      <c r="M8" s="41">
        <v>45992</v>
      </c>
      <c r="N8" s="41">
        <v>45992</v>
      </c>
      <c r="O8" s="41">
        <v>45992</v>
      </c>
      <c r="P8" s="41">
        <v>45992</v>
      </c>
      <c r="Q8" s="41">
        <v>45992</v>
      </c>
      <c r="R8" s="41">
        <v>45992</v>
      </c>
      <c r="S8" s="41">
        <v>45992</v>
      </c>
      <c r="T8" s="41">
        <v>45992</v>
      </c>
      <c r="U8" s="41">
        <v>45992</v>
      </c>
      <c r="V8" s="41">
        <v>45992</v>
      </c>
      <c r="W8" s="41">
        <v>45992</v>
      </c>
      <c r="X8" s="41">
        <v>45992</v>
      </c>
      <c r="Y8" s="41">
        <v>45992</v>
      </c>
      <c r="Z8" s="41">
        <v>45992</v>
      </c>
      <c r="AA8" s="41">
        <v>45992</v>
      </c>
      <c r="AB8" s="41">
        <v>45992</v>
      </c>
      <c r="AC8" s="41">
        <v>45992</v>
      </c>
      <c r="AD8" s="41">
        <v>45992</v>
      </c>
      <c r="AE8" s="41">
        <v>45992</v>
      </c>
      <c r="AF8" s="41">
        <v>45992</v>
      </c>
      <c r="AG8" s="41">
        <v>45992</v>
      </c>
      <c r="AH8" s="41">
        <v>45992</v>
      </c>
      <c r="AI8" s="41">
        <v>45992</v>
      </c>
      <c r="AJ8" s="41">
        <v>45992</v>
      </c>
      <c r="AK8" s="41">
        <v>45992</v>
      </c>
      <c r="AL8" s="41">
        <v>45992</v>
      </c>
      <c r="AM8" s="41">
        <v>45992</v>
      </c>
      <c r="AN8" s="41">
        <v>45992</v>
      </c>
      <c r="AO8" s="41">
        <v>45992</v>
      </c>
      <c r="AP8" s="41">
        <v>45992</v>
      </c>
      <c r="AQ8" s="41">
        <v>45992</v>
      </c>
      <c r="AR8" s="41">
        <v>45992</v>
      </c>
      <c r="AS8" s="41">
        <v>45992</v>
      </c>
      <c r="AT8" s="41">
        <v>45992</v>
      </c>
      <c r="AU8" s="41">
        <v>45992</v>
      </c>
      <c r="AV8" s="41">
        <v>45992</v>
      </c>
      <c r="AW8" s="41">
        <v>45992</v>
      </c>
      <c r="AX8" s="41">
        <v>45992</v>
      </c>
      <c r="AY8" s="41">
        <v>45992</v>
      </c>
      <c r="AZ8" s="41">
        <v>45992</v>
      </c>
      <c r="BA8" s="41">
        <v>45992</v>
      </c>
      <c r="BB8" s="41">
        <v>45992</v>
      </c>
      <c r="BC8" s="41">
        <v>45992</v>
      </c>
      <c r="BD8" s="41">
        <v>45992</v>
      </c>
      <c r="BE8" s="41">
        <v>45992</v>
      </c>
      <c r="BF8" s="41">
        <v>45992</v>
      </c>
      <c r="BG8" s="41">
        <v>45992</v>
      </c>
      <c r="BH8" s="41">
        <v>45992</v>
      </c>
      <c r="BI8" s="41">
        <v>45992</v>
      </c>
    </row>
    <row r="9" spans="1:61" x14ac:dyDescent="0.2">
      <c r="A9" s="37" t="s">
        <v>566</v>
      </c>
      <c r="B9" s="39">
        <v>96</v>
      </c>
      <c r="C9" s="39">
        <v>90</v>
      </c>
      <c r="D9" s="39">
        <v>96</v>
      </c>
      <c r="E9" s="39">
        <v>90</v>
      </c>
      <c r="F9" s="39">
        <v>96</v>
      </c>
      <c r="G9" s="39">
        <v>90</v>
      </c>
      <c r="H9" s="39">
        <v>96</v>
      </c>
      <c r="I9" s="39">
        <v>90</v>
      </c>
      <c r="J9" s="39">
        <v>96</v>
      </c>
      <c r="K9" s="39">
        <v>90</v>
      </c>
      <c r="L9" s="39">
        <v>96</v>
      </c>
      <c r="M9" s="39">
        <v>90</v>
      </c>
      <c r="N9" s="39">
        <v>96</v>
      </c>
      <c r="O9" s="39">
        <v>90</v>
      </c>
      <c r="P9" s="39">
        <v>96</v>
      </c>
      <c r="Q9" s="39">
        <v>90</v>
      </c>
      <c r="R9" s="39">
        <v>90</v>
      </c>
      <c r="S9" s="39">
        <v>90</v>
      </c>
      <c r="T9" s="39">
        <v>90</v>
      </c>
      <c r="U9" s="39">
        <v>90</v>
      </c>
      <c r="V9" s="39">
        <v>90</v>
      </c>
      <c r="W9" s="39">
        <v>90</v>
      </c>
      <c r="X9" s="39">
        <v>90</v>
      </c>
      <c r="Y9" s="39">
        <v>90</v>
      </c>
      <c r="Z9" s="39">
        <v>90</v>
      </c>
      <c r="AA9" s="39">
        <v>90</v>
      </c>
      <c r="AB9" s="39">
        <v>90</v>
      </c>
      <c r="AC9" s="39">
        <v>90</v>
      </c>
      <c r="AD9" s="39">
        <v>90</v>
      </c>
      <c r="AE9" s="39">
        <v>90</v>
      </c>
      <c r="AF9" s="39">
        <v>96</v>
      </c>
      <c r="AG9" s="39">
        <v>90</v>
      </c>
      <c r="AH9" s="39">
        <v>96</v>
      </c>
      <c r="AI9" s="39">
        <v>90</v>
      </c>
      <c r="AJ9" s="39">
        <v>96</v>
      </c>
      <c r="AK9" s="39">
        <v>90</v>
      </c>
      <c r="AL9" s="39">
        <v>96</v>
      </c>
      <c r="AM9" s="39">
        <v>90</v>
      </c>
      <c r="AN9" s="39">
        <v>96</v>
      </c>
      <c r="AO9" s="39">
        <v>90</v>
      </c>
      <c r="AP9" s="39">
        <v>96</v>
      </c>
      <c r="AQ9" s="39">
        <v>90</v>
      </c>
      <c r="AR9" s="39">
        <v>96</v>
      </c>
      <c r="AS9" s="39">
        <v>90</v>
      </c>
      <c r="AT9" s="39">
        <v>96</v>
      </c>
      <c r="AU9" s="39">
        <v>90</v>
      </c>
      <c r="AV9" s="39">
        <v>90</v>
      </c>
      <c r="AW9" s="39">
        <v>90</v>
      </c>
      <c r="AX9" s="39">
        <v>90</v>
      </c>
      <c r="AY9" s="39">
        <v>90</v>
      </c>
      <c r="AZ9" s="39">
        <v>90</v>
      </c>
      <c r="BA9" s="39">
        <v>90</v>
      </c>
      <c r="BB9" s="39">
        <v>90</v>
      </c>
      <c r="BC9" s="39">
        <v>90</v>
      </c>
      <c r="BD9" s="39">
        <v>90</v>
      </c>
      <c r="BE9" s="39">
        <v>90</v>
      </c>
      <c r="BF9" s="39">
        <v>90</v>
      </c>
      <c r="BG9" s="39">
        <v>90</v>
      </c>
      <c r="BH9" s="39">
        <v>90</v>
      </c>
      <c r="BI9" s="39">
        <v>90</v>
      </c>
    </row>
    <row r="10" spans="1:61" x14ac:dyDescent="0.2">
      <c r="A10" s="37" t="s">
        <v>44</v>
      </c>
      <c r="B10" s="38" t="s">
        <v>567</v>
      </c>
      <c r="C10" s="38" t="s">
        <v>568</v>
      </c>
      <c r="D10" s="38" t="s">
        <v>569</v>
      </c>
      <c r="E10" s="38" t="s">
        <v>570</v>
      </c>
      <c r="F10" s="38" t="s">
        <v>571</v>
      </c>
      <c r="G10" s="38" t="s">
        <v>572</v>
      </c>
      <c r="H10" s="38" t="s">
        <v>573</v>
      </c>
      <c r="I10" s="38" t="s">
        <v>574</v>
      </c>
      <c r="J10" s="38" t="s">
        <v>575</v>
      </c>
      <c r="K10" s="38" t="s">
        <v>576</v>
      </c>
      <c r="L10" s="38" t="s">
        <v>577</v>
      </c>
      <c r="M10" s="38" t="s">
        <v>578</v>
      </c>
      <c r="N10" s="38" t="s">
        <v>579</v>
      </c>
      <c r="O10" s="38" t="s">
        <v>580</v>
      </c>
      <c r="P10" s="38" t="s">
        <v>581</v>
      </c>
      <c r="Q10" s="38" t="s">
        <v>582</v>
      </c>
      <c r="R10" s="38" t="s">
        <v>583</v>
      </c>
      <c r="S10" s="38" t="s">
        <v>584</v>
      </c>
      <c r="T10" s="38" t="s">
        <v>585</v>
      </c>
      <c r="U10" s="38" t="s">
        <v>586</v>
      </c>
      <c r="V10" s="38" t="s">
        <v>587</v>
      </c>
      <c r="W10" s="38" t="s">
        <v>588</v>
      </c>
      <c r="X10" s="38" t="s">
        <v>589</v>
      </c>
      <c r="Y10" s="38" t="s">
        <v>590</v>
      </c>
      <c r="Z10" s="38" t="s">
        <v>591</v>
      </c>
      <c r="AA10" s="38" t="s">
        <v>592</v>
      </c>
      <c r="AB10" s="38" t="s">
        <v>593</v>
      </c>
      <c r="AC10" s="38" t="s">
        <v>594</v>
      </c>
      <c r="AD10" s="38" t="s">
        <v>595</v>
      </c>
      <c r="AE10" s="38" t="s">
        <v>596</v>
      </c>
      <c r="AF10" s="38" t="s">
        <v>597</v>
      </c>
      <c r="AG10" s="38" t="s">
        <v>598</v>
      </c>
      <c r="AH10" s="38" t="s">
        <v>599</v>
      </c>
      <c r="AI10" s="38" t="s">
        <v>600</v>
      </c>
      <c r="AJ10" s="38" t="s">
        <v>601</v>
      </c>
      <c r="AK10" s="38" t="s">
        <v>602</v>
      </c>
      <c r="AL10" s="38" t="s">
        <v>603</v>
      </c>
      <c r="AM10" s="38" t="s">
        <v>604</v>
      </c>
      <c r="AN10" s="38" t="s">
        <v>605</v>
      </c>
      <c r="AO10" s="38" t="s">
        <v>606</v>
      </c>
      <c r="AP10" s="38" t="s">
        <v>607</v>
      </c>
      <c r="AQ10" s="38" t="s">
        <v>608</v>
      </c>
      <c r="AR10" s="38" t="s">
        <v>609</v>
      </c>
      <c r="AS10" s="38" t="s">
        <v>610</v>
      </c>
      <c r="AT10" s="38" t="s">
        <v>611</v>
      </c>
      <c r="AU10" s="38" t="s">
        <v>612</v>
      </c>
      <c r="AV10" s="38" t="s">
        <v>613</v>
      </c>
      <c r="AW10" s="38" t="s">
        <v>614</v>
      </c>
      <c r="AX10" s="38" t="s">
        <v>615</v>
      </c>
      <c r="AY10" s="38" t="s">
        <v>616</v>
      </c>
      <c r="AZ10" s="38" t="s">
        <v>617</v>
      </c>
      <c r="BA10" s="38" t="s">
        <v>618</v>
      </c>
      <c r="BB10" s="38" t="s">
        <v>619</v>
      </c>
      <c r="BC10" s="38" t="s">
        <v>620</v>
      </c>
      <c r="BD10" s="38" t="s">
        <v>621</v>
      </c>
      <c r="BE10" s="38" t="s">
        <v>622</v>
      </c>
      <c r="BF10" s="38" t="s">
        <v>623</v>
      </c>
      <c r="BG10" s="38" t="s">
        <v>624</v>
      </c>
      <c r="BH10" s="38" t="s">
        <v>625</v>
      </c>
      <c r="BI10" s="38" t="s">
        <v>626</v>
      </c>
    </row>
    <row r="11" spans="1:61" x14ac:dyDescent="0.2">
      <c r="A11" s="42">
        <v>37316</v>
      </c>
      <c r="B11" s="43">
        <v>365</v>
      </c>
      <c r="D11" s="43">
        <v>241</v>
      </c>
      <c r="F11" s="43">
        <v>185</v>
      </c>
      <c r="H11" s="43">
        <v>166</v>
      </c>
      <c r="J11" s="43">
        <v>190</v>
      </c>
      <c r="L11" s="43">
        <v>123.3</v>
      </c>
      <c r="N11" s="43">
        <v>190</v>
      </c>
      <c r="P11" s="43">
        <v>245</v>
      </c>
      <c r="AF11" s="44">
        <v>13078</v>
      </c>
      <c r="AH11" s="44">
        <v>16024</v>
      </c>
      <c r="AJ11" s="44">
        <v>11042</v>
      </c>
      <c r="AL11" s="44">
        <v>5534</v>
      </c>
      <c r="AN11" s="44">
        <v>8929</v>
      </c>
      <c r="AP11" s="44">
        <v>1482</v>
      </c>
      <c r="AR11" s="44">
        <v>432</v>
      </c>
      <c r="AT11" s="44">
        <v>1553</v>
      </c>
    </row>
    <row r="12" spans="1:61" x14ac:dyDescent="0.2">
      <c r="A12" s="42">
        <v>37408</v>
      </c>
      <c r="B12" s="43">
        <v>393.5</v>
      </c>
      <c r="D12" s="43">
        <v>260</v>
      </c>
      <c r="F12" s="43">
        <v>182.6</v>
      </c>
      <c r="H12" s="43">
        <v>175</v>
      </c>
      <c r="J12" s="43">
        <v>190</v>
      </c>
      <c r="L12" s="43">
        <v>117</v>
      </c>
      <c r="N12" s="43">
        <v>188.3</v>
      </c>
      <c r="P12" s="43">
        <v>258</v>
      </c>
      <c r="AF12" s="44">
        <v>15569</v>
      </c>
      <c r="AH12" s="44">
        <v>17304</v>
      </c>
      <c r="AJ12" s="44">
        <v>11948</v>
      </c>
      <c r="AL12" s="44">
        <v>5574</v>
      </c>
      <c r="AN12" s="44">
        <v>8286</v>
      </c>
      <c r="AP12" s="44">
        <v>1475</v>
      </c>
      <c r="AR12" s="44">
        <v>472</v>
      </c>
      <c r="AT12" s="44">
        <v>1773</v>
      </c>
    </row>
    <row r="13" spans="1:61" x14ac:dyDescent="0.2">
      <c r="A13" s="42">
        <v>37500</v>
      </c>
      <c r="B13" s="43">
        <v>413</v>
      </c>
      <c r="D13" s="43">
        <v>265</v>
      </c>
      <c r="F13" s="43">
        <v>198</v>
      </c>
      <c r="H13" s="43">
        <v>181</v>
      </c>
      <c r="J13" s="43">
        <v>195</v>
      </c>
      <c r="L13" s="43">
        <v>124</v>
      </c>
      <c r="N13" s="43">
        <v>190</v>
      </c>
      <c r="P13" s="43">
        <v>275</v>
      </c>
      <c r="AF13" s="44">
        <v>16761</v>
      </c>
      <c r="AH13" s="44">
        <v>15888</v>
      </c>
      <c r="AJ13" s="44">
        <v>11772</v>
      </c>
      <c r="AL13" s="44">
        <v>4983</v>
      </c>
      <c r="AN13" s="44">
        <v>7340</v>
      </c>
      <c r="AP13" s="44">
        <v>1491</v>
      </c>
      <c r="AR13" s="44">
        <v>512</v>
      </c>
      <c r="AT13" s="44">
        <v>1411</v>
      </c>
    </row>
    <row r="14" spans="1:61" x14ac:dyDescent="0.2">
      <c r="A14" s="42">
        <v>37591</v>
      </c>
      <c r="B14" s="43">
        <v>444</v>
      </c>
      <c r="D14" s="43">
        <v>280</v>
      </c>
      <c r="F14" s="43">
        <v>208</v>
      </c>
      <c r="H14" s="43">
        <v>195</v>
      </c>
      <c r="J14" s="43">
        <v>206</v>
      </c>
      <c r="L14" s="43">
        <v>128</v>
      </c>
      <c r="N14" s="43">
        <v>195</v>
      </c>
      <c r="P14" s="43">
        <v>291</v>
      </c>
      <c r="AF14" s="44">
        <v>15447</v>
      </c>
      <c r="AH14" s="44">
        <v>16320</v>
      </c>
      <c r="AJ14" s="44">
        <v>11552</v>
      </c>
      <c r="AL14" s="44">
        <v>5139</v>
      </c>
      <c r="AN14" s="44">
        <v>7673</v>
      </c>
      <c r="AP14" s="44">
        <v>1474</v>
      </c>
      <c r="AR14" s="44">
        <v>469</v>
      </c>
      <c r="AT14" s="44">
        <v>1504</v>
      </c>
    </row>
    <row r="15" spans="1:61" x14ac:dyDescent="0.2">
      <c r="A15" s="42">
        <v>37681</v>
      </c>
      <c r="B15" s="43">
        <v>434.5</v>
      </c>
      <c r="D15" s="43">
        <v>270</v>
      </c>
      <c r="F15" s="43">
        <v>225</v>
      </c>
      <c r="H15" s="43">
        <v>209.4</v>
      </c>
      <c r="J15" s="43">
        <v>216</v>
      </c>
      <c r="L15" s="43">
        <v>145</v>
      </c>
      <c r="N15" s="43">
        <v>198</v>
      </c>
      <c r="P15" s="43">
        <v>300</v>
      </c>
      <c r="AF15" s="44">
        <v>13734</v>
      </c>
      <c r="AH15" s="44">
        <v>14699</v>
      </c>
      <c r="AJ15" s="44">
        <v>13572</v>
      </c>
      <c r="AL15" s="44">
        <v>5229</v>
      </c>
      <c r="AN15" s="44">
        <v>9446</v>
      </c>
      <c r="AP15" s="44">
        <v>1607</v>
      </c>
      <c r="AR15" s="44">
        <v>497</v>
      </c>
      <c r="AT15" s="44">
        <v>1386</v>
      </c>
    </row>
    <row r="16" spans="1:61" x14ac:dyDescent="0.2">
      <c r="A16" s="42">
        <v>37773</v>
      </c>
      <c r="B16" s="43">
        <v>460</v>
      </c>
      <c r="D16" s="43">
        <v>287.5</v>
      </c>
      <c r="F16" s="43">
        <v>240</v>
      </c>
      <c r="H16" s="43">
        <v>220.5</v>
      </c>
      <c r="J16" s="43">
        <v>225</v>
      </c>
      <c r="L16" s="43">
        <v>149</v>
      </c>
      <c r="N16" s="43">
        <v>200.5</v>
      </c>
      <c r="P16" s="43">
        <v>334.5</v>
      </c>
      <c r="AF16" s="44">
        <v>16415</v>
      </c>
      <c r="AH16" s="44">
        <v>16655</v>
      </c>
      <c r="AJ16" s="44">
        <v>13095</v>
      </c>
      <c r="AL16" s="44">
        <v>5317</v>
      </c>
      <c r="AN16" s="44">
        <v>9902</v>
      </c>
      <c r="AP16" s="44">
        <v>1561</v>
      </c>
      <c r="AR16" s="44">
        <v>562</v>
      </c>
      <c r="AT16" s="44">
        <v>1617</v>
      </c>
    </row>
    <row r="17" spans="1:61" x14ac:dyDescent="0.2">
      <c r="A17" s="42">
        <v>37865</v>
      </c>
      <c r="B17" s="43">
        <v>480</v>
      </c>
      <c r="C17" s="43">
        <v>247.3</v>
      </c>
      <c r="D17" s="43">
        <v>295</v>
      </c>
      <c r="E17" s="43">
        <v>176</v>
      </c>
      <c r="F17" s="43">
        <v>269</v>
      </c>
      <c r="G17" s="43">
        <v>197</v>
      </c>
      <c r="H17" s="43">
        <v>235</v>
      </c>
      <c r="I17" s="43">
        <v>150</v>
      </c>
      <c r="J17" s="43">
        <v>236</v>
      </c>
      <c r="K17" s="43">
        <v>160</v>
      </c>
      <c r="L17" s="43">
        <v>165</v>
      </c>
      <c r="M17" s="43">
        <v>125</v>
      </c>
      <c r="N17" s="43">
        <v>214</v>
      </c>
      <c r="O17" s="43">
        <v>195</v>
      </c>
      <c r="P17" s="43">
        <v>360</v>
      </c>
      <c r="Q17" s="43">
        <v>371</v>
      </c>
      <c r="R17" s="43">
        <v>240</v>
      </c>
      <c r="S17" s="43">
        <v>276</v>
      </c>
      <c r="T17" s="43">
        <v>160</v>
      </c>
      <c r="U17" s="43">
        <v>221</v>
      </c>
      <c r="V17" s="43">
        <v>230</v>
      </c>
      <c r="W17" s="43">
        <v>182.5</v>
      </c>
      <c r="X17" s="43">
        <v>82</v>
      </c>
      <c r="Y17" s="43">
        <v>195</v>
      </c>
      <c r="Z17" s="43">
        <v>135.5</v>
      </c>
      <c r="AA17" s="43">
        <v>165</v>
      </c>
      <c r="AB17" s="43">
        <v>130</v>
      </c>
      <c r="AC17" s="43">
        <v>130</v>
      </c>
      <c r="AD17" s="43">
        <v>136</v>
      </c>
      <c r="AE17" s="43">
        <v>290</v>
      </c>
      <c r="AF17" s="44">
        <v>17027</v>
      </c>
      <c r="AG17" s="44">
        <v>15816</v>
      </c>
      <c r="AH17" s="44">
        <v>17317</v>
      </c>
      <c r="AI17" s="44">
        <v>9910</v>
      </c>
      <c r="AJ17" s="44">
        <v>14494</v>
      </c>
      <c r="AK17" s="44">
        <v>17000</v>
      </c>
      <c r="AL17" s="44">
        <v>4831</v>
      </c>
      <c r="AM17" s="44">
        <v>2254</v>
      </c>
      <c r="AN17" s="44">
        <v>8247</v>
      </c>
      <c r="AO17" s="44">
        <v>3277</v>
      </c>
      <c r="AP17" s="44">
        <v>1594</v>
      </c>
      <c r="AQ17" s="44">
        <v>2968</v>
      </c>
      <c r="AR17" s="44">
        <v>642</v>
      </c>
      <c r="AS17" s="44">
        <v>191</v>
      </c>
      <c r="AT17" s="44">
        <v>1437</v>
      </c>
      <c r="AU17" s="44">
        <v>13969</v>
      </c>
      <c r="AV17" s="44">
        <v>3383</v>
      </c>
      <c r="AW17" s="44">
        <v>8010</v>
      </c>
      <c r="AX17" s="44">
        <v>1163</v>
      </c>
      <c r="AY17" s="44">
        <v>5754</v>
      </c>
      <c r="AZ17" s="44">
        <v>9466</v>
      </c>
      <c r="BA17" s="44">
        <v>1935</v>
      </c>
      <c r="BB17" s="44">
        <v>301</v>
      </c>
      <c r="BC17" s="44">
        <v>2927</v>
      </c>
      <c r="BD17" s="44">
        <v>497</v>
      </c>
      <c r="BE17" s="44">
        <v>477</v>
      </c>
      <c r="BF17" s="44">
        <v>319</v>
      </c>
      <c r="BG17" s="44">
        <v>367</v>
      </c>
      <c r="BH17" s="44">
        <v>86</v>
      </c>
      <c r="BI17" s="44">
        <v>1023</v>
      </c>
    </row>
    <row r="18" spans="1:61" x14ac:dyDescent="0.2">
      <c r="A18" s="42">
        <v>37956</v>
      </c>
      <c r="B18" s="43">
        <v>520</v>
      </c>
      <c r="C18" s="43">
        <v>255</v>
      </c>
      <c r="D18" s="43">
        <v>320</v>
      </c>
      <c r="E18" s="43">
        <v>185</v>
      </c>
      <c r="F18" s="43">
        <v>296.39999999999998</v>
      </c>
      <c r="G18" s="43">
        <v>205</v>
      </c>
      <c r="H18" s="43">
        <v>247.5</v>
      </c>
      <c r="I18" s="43">
        <v>162</v>
      </c>
      <c r="J18" s="43">
        <v>250</v>
      </c>
      <c r="K18" s="43">
        <v>164</v>
      </c>
      <c r="L18" s="43">
        <v>182.3</v>
      </c>
      <c r="M18" s="43">
        <v>139.30000000000001</v>
      </c>
      <c r="N18" s="43">
        <v>226</v>
      </c>
      <c r="O18" s="43">
        <v>204.5</v>
      </c>
      <c r="P18" s="43">
        <v>375</v>
      </c>
      <c r="Q18" s="43">
        <v>387</v>
      </c>
      <c r="R18" s="43">
        <v>250</v>
      </c>
      <c r="S18" s="43">
        <v>285</v>
      </c>
      <c r="T18" s="43">
        <v>170</v>
      </c>
      <c r="U18" s="43">
        <v>241.6</v>
      </c>
      <c r="V18" s="43">
        <v>240</v>
      </c>
      <c r="W18" s="43">
        <v>191</v>
      </c>
      <c r="X18" s="43">
        <v>85</v>
      </c>
      <c r="Y18" s="43">
        <v>198</v>
      </c>
      <c r="Z18" s="43">
        <v>138</v>
      </c>
      <c r="AA18" s="43">
        <v>175</v>
      </c>
      <c r="AB18" s="43">
        <v>120</v>
      </c>
      <c r="AC18" s="43">
        <v>135.5</v>
      </c>
      <c r="AD18" s="43">
        <v>129</v>
      </c>
      <c r="AE18" s="43">
        <v>300</v>
      </c>
      <c r="AF18" s="44">
        <v>11847</v>
      </c>
      <c r="AG18" s="44">
        <v>13175</v>
      </c>
      <c r="AH18" s="44">
        <v>14573</v>
      </c>
      <c r="AI18" s="44">
        <v>8962</v>
      </c>
      <c r="AJ18" s="44">
        <v>9212</v>
      </c>
      <c r="AK18" s="44">
        <v>15007</v>
      </c>
      <c r="AL18" s="44">
        <v>4597</v>
      </c>
      <c r="AM18" s="44">
        <v>2101</v>
      </c>
      <c r="AN18" s="44">
        <v>6893</v>
      </c>
      <c r="AO18" s="44">
        <v>2985</v>
      </c>
      <c r="AP18" s="44">
        <v>1258</v>
      </c>
      <c r="AQ18" s="44">
        <v>2050</v>
      </c>
      <c r="AR18" s="44">
        <v>630</v>
      </c>
      <c r="AS18" s="44">
        <v>194</v>
      </c>
      <c r="AT18" s="44">
        <v>1232</v>
      </c>
      <c r="AU18" s="44">
        <v>9830</v>
      </c>
      <c r="AV18" s="44">
        <v>2730</v>
      </c>
      <c r="AW18" s="44">
        <v>6753</v>
      </c>
      <c r="AX18" s="44">
        <v>1101</v>
      </c>
      <c r="AY18" s="44">
        <v>3663</v>
      </c>
      <c r="AZ18" s="44">
        <v>6382</v>
      </c>
      <c r="BA18" s="44">
        <v>1684</v>
      </c>
      <c r="BB18" s="44">
        <v>297</v>
      </c>
      <c r="BC18" s="44">
        <v>2517</v>
      </c>
      <c r="BD18" s="44">
        <v>461</v>
      </c>
      <c r="BE18" s="44">
        <v>329</v>
      </c>
      <c r="BF18" s="44">
        <v>293</v>
      </c>
      <c r="BG18" s="44">
        <v>372</v>
      </c>
      <c r="BH18" s="44">
        <v>95</v>
      </c>
      <c r="BI18" s="44">
        <v>921</v>
      </c>
    </row>
    <row r="19" spans="1:61" x14ac:dyDescent="0.2">
      <c r="A19" s="42">
        <v>38047</v>
      </c>
      <c r="B19" s="43">
        <v>523</v>
      </c>
      <c r="C19" s="43">
        <v>265</v>
      </c>
      <c r="D19" s="43">
        <v>305</v>
      </c>
      <c r="E19" s="43">
        <v>190</v>
      </c>
      <c r="F19" s="43">
        <v>302.7</v>
      </c>
      <c r="G19" s="43">
        <v>224</v>
      </c>
      <c r="H19" s="43">
        <v>250</v>
      </c>
      <c r="I19" s="43">
        <v>166.6</v>
      </c>
      <c r="J19" s="43">
        <v>255</v>
      </c>
      <c r="K19" s="43">
        <v>178</v>
      </c>
      <c r="L19" s="43">
        <v>200</v>
      </c>
      <c r="M19" s="43">
        <v>156</v>
      </c>
      <c r="N19" s="43">
        <v>239.5</v>
      </c>
      <c r="O19" s="43">
        <v>217.8</v>
      </c>
      <c r="P19" s="43">
        <v>375</v>
      </c>
      <c r="Q19" s="43">
        <v>380</v>
      </c>
      <c r="R19" s="43">
        <v>269</v>
      </c>
      <c r="S19" s="43">
        <v>272.5</v>
      </c>
      <c r="T19" s="43">
        <v>173</v>
      </c>
      <c r="U19" s="43">
        <v>249</v>
      </c>
      <c r="V19" s="43">
        <v>257</v>
      </c>
      <c r="W19" s="43">
        <v>193.5</v>
      </c>
      <c r="X19" s="43">
        <v>82.9</v>
      </c>
      <c r="Y19" s="43">
        <v>208</v>
      </c>
      <c r="Z19" s="43">
        <v>139</v>
      </c>
      <c r="AA19" s="43">
        <v>192</v>
      </c>
      <c r="AB19" s="43">
        <v>145</v>
      </c>
      <c r="AC19" s="43">
        <v>147.1</v>
      </c>
      <c r="AD19" s="43">
        <v>150</v>
      </c>
      <c r="AE19" s="43">
        <v>295</v>
      </c>
      <c r="AF19" s="44">
        <v>10210</v>
      </c>
      <c r="AG19" s="44">
        <v>11193</v>
      </c>
      <c r="AH19" s="44">
        <v>12802</v>
      </c>
      <c r="AI19" s="44">
        <v>8553</v>
      </c>
      <c r="AJ19" s="44">
        <v>9169</v>
      </c>
      <c r="AK19" s="44">
        <v>14930</v>
      </c>
      <c r="AL19" s="44">
        <v>4648</v>
      </c>
      <c r="AM19" s="44">
        <v>2198</v>
      </c>
      <c r="AN19" s="44">
        <v>7688</v>
      </c>
      <c r="AO19" s="44">
        <v>3296</v>
      </c>
      <c r="AP19" s="44">
        <v>1262</v>
      </c>
      <c r="AQ19" s="44">
        <v>2047</v>
      </c>
      <c r="AR19" s="44">
        <v>542</v>
      </c>
      <c r="AS19" s="44">
        <v>182</v>
      </c>
      <c r="AT19" s="44">
        <v>1031</v>
      </c>
      <c r="AU19" s="44">
        <v>7610</v>
      </c>
      <c r="AV19" s="44">
        <v>2369</v>
      </c>
      <c r="AW19" s="44">
        <v>5546</v>
      </c>
      <c r="AX19" s="44">
        <v>1125</v>
      </c>
      <c r="AY19" s="44">
        <v>3160</v>
      </c>
      <c r="AZ19" s="44">
        <v>5802</v>
      </c>
      <c r="BA19" s="44">
        <v>1770</v>
      </c>
      <c r="BB19" s="44">
        <v>294</v>
      </c>
      <c r="BC19" s="44">
        <v>2811</v>
      </c>
      <c r="BD19" s="44">
        <v>455</v>
      </c>
      <c r="BE19" s="44">
        <v>407</v>
      </c>
      <c r="BF19" s="44">
        <v>278</v>
      </c>
      <c r="BG19" s="44">
        <v>272</v>
      </c>
      <c r="BH19" s="44">
        <v>77</v>
      </c>
      <c r="BI19" s="44">
        <v>789</v>
      </c>
    </row>
    <row r="20" spans="1:61" x14ac:dyDescent="0.2">
      <c r="A20" s="42">
        <v>38139</v>
      </c>
      <c r="B20" s="43">
        <v>498</v>
      </c>
      <c r="C20" s="43">
        <v>270</v>
      </c>
      <c r="D20" s="43">
        <v>307.5</v>
      </c>
      <c r="E20" s="43">
        <v>195</v>
      </c>
      <c r="F20" s="43">
        <v>305</v>
      </c>
      <c r="G20" s="43">
        <v>235</v>
      </c>
      <c r="H20" s="43">
        <v>257.5</v>
      </c>
      <c r="I20" s="43">
        <v>169</v>
      </c>
      <c r="J20" s="43">
        <v>262</v>
      </c>
      <c r="K20" s="43">
        <v>178</v>
      </c>
      <c r="L20" s="43">
        <v>225</v>
      </c>
      <c r="M20" s="43">
        <v>156</v>
      </c>
      <c r="N20" s="43">
        <v>248.8</v>
      </c>
      <c r="O20" s="43">
        <v>215</v>
      </c>
      <c r="P20" s="43">
        <v>375</v>
      </c>
      <c r="Q20" s="43">
        <v>380</v>
      </c>
      <c r="R20" s="43">
        <v>265</v>
      </c>
      <c r="S20" s="43">
        <v>280</v>
      </c>
      <c r="T20" s="43">
        <v>172</v>
      </c>
      <c r="U20" s="43">
        <v>249</v>
      </c>
      <c r="V20" s="43">
        <v>264</v>
      </c>
      <c r="W20" s="43">
        <v>200</v>
      </c>
      <c r="X20" s="43">
        <v>81.5</v>
      </c>
      <c r="Y20" s="43">
        <v>215</v>
      </c>
      <c r="Z20" s="43">
        <v>148.5</v>
      </c>
      <c r="AA20" s="43">
        <v>192.8</v>
      </c>
      <c r="AB20" s="43">
        <v>149</v>
      </c>
      <c r="AC20" s="43">
        <v>152</v>
      </c>
      <c r="AD20" s="43">
        <v>130</v>
      </c>
      <c r="AE20" s="43">
        <v>300</v>
      </c>
      <c r="AF20" s="44">
        <v>11922</v>
      </c>
      <c r="AG20" s="44">
        <v>11226</v>
      </c>
      <c r="AH20" s="44">
        <v>13623</v>
      </c>
      <c r="AI20" s="44">
        <v>8079</v>
      </c>
      <c r="AJ20" s="44">
        <v>8421</v>
      </c>
      <c r="AK20" s="44">
        <v>13054</v>
      </c>
      <c r="AL20" s="44">
        <v>4499</v>
      </c>
      <c r="AM20" s="44">
        <v>2074</v>
      </c>
      <c r="AN20" s="44">
        <v>6773</v>
      </c>
      <c r="AO20" s="44">
        <v>2869</v>
      </c>
      <c r="AP20" s="44">
        <v>1094</v>
      </c>
      <c r="AQ20" s="44">
        <v>1654</v>
      </c>
      <c r="AR20" s="44">
        <v>536</v>
      </c>
      <c r="AS20" s="44">
        <v>207</v>
      </c>
      <c r="AT20" s="44">
        <v>1145</v>
      </c>
      <c r="AU20" s="44">
        <v>10106</v>
      </c>
      <c r="AV20" s="44">
        <v>2331</v>
      </c>
      <c r="AW20" s="44">
        <v>6178</v>
      </c>
      <c r="AX20" s="44">
        <v>1027</v>
      </c>
      <c r="AY20" s="44">
        <v>2924</v>
      </c>
      <c r="AZ20" s="44">
        <v>4890</v>
      </c>
      <c r="BA20" s="44">
        <v>1694</v>
      </c>
      <c r="BB20" s="44">
        <v>297</v>
      </c>
      <c r="BC20" s="44">
        <v>2262</v>
      </c>
      <c r="BD20" s="44">
        <v>406</v>
      </c>
      <c r="BE20" s="44">
        <v>336</v>
      </c>
      <c r="BF20" s="44">
        <v>235</v>
      </c>
      <c r="BG20" s="44">
        <v>341</v>
      </c>
      <c r="BH20" s="44">
        <v>69</v>
      </c>
      <c r="BI20" s="44">
        <v>655</v>
      </c>
    </row>
    <row r="21" spans="1:61" x14ac:dyDescent="0.2">
      <c r="A21" s="42">
        <v>38231</v>
      </c>
      <c r="B21" s="43">
        <v>500</v>
      </c>
      <c r="C21" s="43">
        <v>275</v>
      </c>
      <c r="D21" s="43">
        <v>302</v>
      </c>
      <c r="E21" s="43">
        <v>195</v>
      </c>
      <c r="F21" s="43">
        <v>305</v>
      </c>
      <c r="G21" s="43">
        <v>244</v>
      </c>
      <c r="H21" s="43">
        <v>261</v>
      </c>
      <c r="I21" s="43">
        <v>175</v>
      </c>
      <c r="J21" s="43">
        <v>259</v>
      </c>
      <c r="K21" s="43">
        <v>185</v>
      </c>
      <c r="L21" s="43">
        <v>230</v>
      </c>
      <c r="M21" s="43">
        <v>160</v>
      </c>
      <c r="N21" s="43">
        <v>245</v>
      </c>
      <c r="O21" s="43">
        <v>227.5</v>
      </c>
      <c r="P21" s="43">
        <v>352.5</v>
      </c>
      <c r="Q21" s="43">
        <v>380</v>
      </c>
      <c r="R21" s="43">
        <v>260</v>
      </c>
      <c r="S21" s="43">
        <v>276</v>
      </c>
      <c r="T21" s="43">
        <v>175</v>
      </c>
      <c r="U21" s="43">
        <v>264</v>
      </c>
      <c r="V21" s="43">
        <v>269</v>
      </c>
      <c r="W21" s="43">
        <v>220</v>
      </c>
      <c r="X21" s="43">
        <v>90.8</v>
      </c>
      <c r="Y21" s="43">
        <v>215</v>
      </c>
      <c r="Z21" s="43">
        <v>156</v>
      </c>
      <c r="AA21" s="43">
        <v>195</v>
      </c>
      <c r="AB21" s="43">
        <v>155</v>
      </c>
      <c r="AC21" s="43">
        <v>156.5</v>
      </c>
      <c r="AD21" s="43">
        <v>170.3</v>
      </c>
      <c r="AE21" s="43">
        <v>280</v>
      </c>
      <c r="AF21" s="44">
        <v>10240</v>
      </c>
      <c r="AG21" s="44">
        <v>9570</v>
      </c>
      <c r="AH21" s="44">
        <v>13974</v>
      </c>
      <c r="AI21" s="44">
        <v>8461</v>
      </c>
      <c r="AJ21" s="44">
        <v>8546</v>
      </c>
      <c r="AK21" s="44">
        <v>13264</v>
      </c>
      <c r="AL21" s="44">
        <v>4462</v>
      </c>
      <c r="AM21" s="44">
        <v>2016</v>
      </c>
      <c r="AN21" s="44">
        <v>8522</v>
      </c>
      <c r="AO21" s="44">
        <v>3517</v>
      </c>
      <c r="AP21" s="44">
        <v>976</v>
      </c>
      <c r="AQ21" s="44">
        <v>1601</v>
      </c>
      <c r="AR21" s="44">
        <v>586</v>
      </c>
      <c r="AS21" s="44">
        <v>214</v>
      </c>
      <c r="AT21" s="44">
        <v>843</v>
      </c>
      <c r="AU21" s="44">
        <v>8179</v>
      </c>
      <c r="AV21" s="44">
        <v>1758</v>
      </c>
      <c r="AW21" s="44">
        <v>6658</v>
      </c>
      <c r="AX21" s="44">
        <v>1156</v>
      </c>
      <c r="AY21" s="44">
        <v>3188</v>
      </c>
      <c r="AZ21" s="44">
        <v>5176</v>
      </c>
      <c r="BA21" s="44">
        <v>1990</v>
      </c>
      <c r="BB21" s="44">
        <v>272</v>
      </c>
      <c r="BC21" s="44">
        <v>3193</v>
      </c>
      <c r="BD21" s="44">
        <v>454</v>
      </c>
      <c r="BE21" s="44">
        <v>287</v>
      </c>
      <c r="BF21" s="44">
        <v>215</v>
      </c>
      <c r="BG21" s="44">
        <v>387</v>
      </c>
      <c r="BH21" s="44">
        <v>86</v>
      </c>
      <c r="BI21" s="44">
        <v>727</v>
      </c>
    </row>
    <row r="22" spans="1:61" x14ac:dyDescent="0.2">
      <c r="A22" s="42">
        <v>38322</v>
      </c>
      <c r="B22" s="43">
        <v>515</v>
      </c>
      <c r="C22" s="43">
        <v>278</v>
      </c>
      <c r="D22" s="43">
        <v>321</v>
      </c>
      <c r="E22" s="43">
        <v>205</v>
      </c>
      <c r="F22" s="43">
        <v>310</v>
      </c>
      <c r="G22" s="43">
        <v>255</v>
      </c>
      <c r="H22" s="43">
        <v>270</v>
      </c>
      <c r="I22" s="43">
        <v>182</v>
      </c>
      <c r="J22" s="43">
        <v>280</v>
      </c>
      <c r="K22" s="43">
        <v>199.8</v>
      </c>
      <c r="L22" s="43">
        <v>237.3</v>
      </c>
      <c r="M22" s="43">
        <v>166.5</v>
      </c>
      <c r="N22" s="43">
        <v>259</v>
      </c>
      <c r="O22" s="43">
        <v>227</v>
      </c>
      <c r="P22" s="43">
        <v>372</v>
      </c>
      <c r="Q22" s="43">
        <v>390</v>
      </c>
      <c r="R22" s="43">
        <v>265</v>
      </c>
      <c r="S22" s="43">
        <v>281</v>
      </c>
      <c r="T22" s="43">
        <v>180</v>
      </c>
      <c r="U22" s="43">
        <v>267</v>
      </c>
      <c r="V22" s="43">
        <v>278</v>
      </c>
      <c r="W22" s="43">
        <v>220</v>
      </c>
      <c r="X22" s="43">
        <v>112</v>
      </c>
      <c r="Y22" s="43">
        <v>229</v>
      </c>
      <c r="Z22" s="43">
        <v>165</v>
      </c>
      <c r="AA22" s="43">
        <v>200</v>
      </c>
      <c r="AB22" s="43">
        <v>158</v>
      </c>
      <c r="AC22" s="43">
        <v>171</v>
      </c>
      <c r="AD22" s="43">
        <v>175</v>
      </c>
      <c r="AE22" s="43">
        <v>289</v>
      </c>
      <c r="AF22" s="44">
        <v>10843</v>
      </c>
      <c r="AG22" s="44">
        <v>10303</v>
      </c>
      <c r="AH22" s="44">
        <v>14959</v>
      </c>
      <c r="AI22" s="44">
        <v>8369</v>
      </c>
      <c r="AJ22" s="44">
        <v>8295</v>
      </c>
      <c r="AK22" s="44">
        <v>13349</v>
      </c>
      <c r="AL22" s="44">
        <v>4588</v>
      </c>
      <c r="AM22" s="44">
        <v>2066</v>
      </c>
      <c r="AN22" s="44">
        <v>7680</v>
      </c>
      <c r="AO22" s="44">
        <v>3352</v>
      </c>
      <c r="AP22" s="44">
        <v>1000</v>
      </c>
      <c r="AQ22" s="44">
        <v>1518</v>
      </c>
      <c r="AR22" s="44">
        <v>573</v>
      </c>
      <c r="AS22" s="44">
        <v>233</v>
      </c>
      <c r="AT22" s="44">
        <v>1168</v>
      </c>
      <c r="AU22" s="44">
        <v>8506</v>
      </c>
      <c r="AV22" s="44">
        <v>2006</v>
      </c>
      <c r="AW22" s="44">
        <v>7071</v>
      </c>
      <c r="AX22" s="44">
        <v>1123</v>
      </c>
      <c r="AY22" s="44">
        <v>3031</v>
      </c>
      <c r="AZ22" s="44">
        <v>5136</v>
      </c>
      <c r="BA22" s="44">
        <v>1693</v>
      </c>
      <c r="BB22" s="44">
        <v>241</v>
      </c>
      <c r="BC22" s="44">
        <v>2887</v>
      </c>
      <c r="BD22" s="44">
        <v>433</v>
      </c>
      <c r="BE22" s="44">
        <v>267</v>
      </c>
      <c r="BF22" s="44">
        <v>159</v>
      </c>
      <c r="BG22" s="44">
        <v>337</v>
      </c>
      <c r="BH22" s="44">
        <v>93</v>
      </c>
      <c r="BI22" s="44">
        <v>770</v>
      </c>
    </row>
    <row r="23" spans="1:61" x14ac:dyDescent="0.2">
      <c r="A23" s="42">
        <v>38412</v>
      </c>
      <c r="B23" s="43">
        <v>486</v>
      </c>
      <c r="C23" s="43">
        <v>280</v>
      </c>
      <c r="D23" s="43">
        <v>310</v>
      </c>
      <c r="E23" s="43">
        <v>210</v>
      </c>
      <c r="F23" s="43">
        <v>312</v>
      </c>
      <c r="G23" s="43">
        <v>270</v>
      </c>
      <c r="H23" s="43">
        <v>270</v>
      </c>
      <c r="I23" s="43">
        <v>187</v>
      </c>
      <c r="J23" s="43">
        <v>290</v>
      </c>
      <c r="K23" s="43">
        <v>225</v>
      </c>
      <c r="L23" s="43">
        <v>240</v>
      </c>
      <c r="M23" s="43">
        <v>179</v>
      </c>
      <c r="N23" s="43">
        <v>275</v>
      </c>
      <c r="O23" s="43">
        <v>231</v>
      </c>
      <c r="P23" s="43">
        <v>374.7</v>
      </c>
      <c r="Q23" s="43">
        <v>385</v>
      </c>
      <c r="R23" s="43">
        <v>270</v>
      </c>
      <c r="S23" s="43">
        <v>285</v>
      </c>
      <c r="T23" s="43">
        <v>190</v>
      </c>
      <c r="U23" s="43">
        <v>257</v>
      </c>
      <c r="V23" s="43">
        <v>282.5</v>
      </c>
      <c r="W23" s="43">
        <v>212</v>
      </c>
      <c r="X23" s="43">
        <v>125</v>
      </c>
      <c r="Y23" s="43">
        <v>235</v>
      </c>
      <c r="Z23" s="43">
        <v>183</v>
      </c>
      <c r="AA23" s="43">
        <v>220</v>
      </c>
      <c r="AB23" s="43">
        <v>166</v>
      </c>
      <c r="AC23" s="43">
        <v>175</v>
      </c>
      <c r="AD23" s="43">
        <v>170.5</v>
      </c>
      <c r="AE23" s="43">
        <v>304.5</v>
      </c>
      <c r="AF23" s="44">
        <v>8967</v>
      </c>
      <c r="AG23" s="44">
        <v>9110</v>
      </c>
      <c r="AH23" s="44">
        <v>13292</v>
      </c>
      <c r="AI23" s="44">
        <v>8020</v>
      </c>
      <c r="AJ23" s="44">
        <v>8731</v>
      </c>
      <c r="AK23" s="44">
        <v>13591</v>
      </c>
      <c r="AL23" s="44">
        <v>4412</v>
      </c>
      <c r="AM23" s="44">
        <v>2045</v>
      </c>
      <c r="AN23" s="44">
        <v>8619</v>
      </c>
      <c r="AO23" s="44">
        <v>3851</v>
      </c>
      <c r="AP23" s="44">
        <v>875</v>
      </c>
      <c r="AQ23" s="44">
        <v>1514</v>
      </c>
      <c r="AR23" s="44">
        <v>596</v>
      </c>
      <c r="AS23" s="44">
        <v>199</v>
      </c>
      <c r="AT23" s="44">
        <v>1002</v>
      </c>
      <c r="AU23" s="44">
        <v>6743</v>
      </c>
      <c r="AV23" s="44">
        <v>1862</v>
      </c>
      <c r="AW23" s="44">
        <v>6617</v>
      </c>
      <c r="AX23" s="44">
        <v>1188</v>
      </c>
      <c r="AY23" s="44">
        <v>2761</v>
      </c>
      <c r="AZ23" s="44">
        <v>5073</v>
      </c>
      <c r="BA23" s="44">
        <v>1785</v>
      </c>
      <c r="BB23" s="44">
        <v>216</v>
      </c>
      <c r="BC23" s="44">
        <v>3289</v>
      </c>
      <c r="BD23" s="44">
        <v>457</v>
      </c>
      <c r="BE23" s="44">
        <v>239</v>
      </c>
      <c r="BF23" s="44">
        <v>217</v>
      </c>
      <c r="BG23" s="44">
        <v>374</v>
      </c>
      <c r="BH23" s="44">
        <v>102</v>
      </c>
      <c r="BI23" s="44">
        <v>705</v>
      </c>
    </row>
    <row r="24" spans="1:61" x14ac:dyDescent="0.2">
      <c r="A24" s="42">
        <v>38504</v>
      </c>
      <c r="B24" s="43">
        <v>500</v>
      </c>
      <c r="C24" s="43">
        <v>280</v>
      </c>
      <c r="D24" s="43">
        <v>320</v>
      </c>
      <c r="E24" s="43">
        <v>205</v>
      </c>
      <c r="F24" s="43">
        <v>312</v>
      </c>
      <c r="G24" s="43">
        <v>280</v>
      </c>
      <c r="H24" s="43">
        <v>271</v>
      </c>
      <c r="I24" s="43">
        <v>192</v>
      </c>
      <c r="J24" s="43">
        <v>300</v>
      </c>
      <c r="K24" s="43">
        <v>230</v>
      </c>
      <c r="L24" s="43">
        <v>250</v>
      </c>
      <c r="M24" s="43">
        <v>178.3</v>
      </c>
      <c r="N24" s="43">
        <v>280</v>
      </c>
      <c r="O24" s="43">
        <v>230</v>
      </c>
      <c r="P24" s="43">
        <v>373.5</v>
      </c>
      <c r="Q24" s="43">
        <v>387</v>
      </c>
      <c r="R24" s="43">
        <v>262</v>
      </c>
      <c r="S24" s="43">
        <v>287</v>
      </c>
      <c r="T24" s="43">
        <v>190</v>
      </c>
      <c r="U24" s="43">
        <v>265</v>
      </c>
      <c r="V24" s="43">
        <v>282</v>
      </c>
      <c r="W24" s="43">
        <v>216.5</v>
      </c>
      <c r="X24" s="43">
        <v>124.8</v>
      </c>
      <c r="Y24" s="43">
        <v>247.5</v>
      </c>
      <c r="Z24" s="43">
        <v>175</v>
      </c>
      <c r="AA24" s="43">
        <v>233.5</v>
      </c>
      <c r="AB24" s="43">
        <v>170</v>
      </c>
      <c r="AC24" s="43">
        <v>207</v>
      </c>
      <c r="AD24" s="43">
        <v>180</v>
      </c>
      <c r="AE24" s="43">
        <v>307.8</v>
      </c>
      <c r="AF24" s="44">
        <v>10272</v>
      </c>
      <c r="AG24" s="44">
        <v>9338</v>
      </c>
      <c r="AH24" s="44">
        <v>15115</v>
      </c>
      <c r="AI24" s="44">
        <v>8235</v>
      </c>
      <c r="AJ24" s="44">
        <v>8287</v>
      </c>
      <c r="AK24" s="44">
        <v>12026</v>
      </c>
      <c r="AL24" s="44">
        <v>4424</v>
      </c>
      <c r="AM24" s="44">
        <v>1907</v>
      </c>
      <c r="AN24" s="44">
        <v>8604</v>
      </c>
      <c r="AO24" s="44">
        <v>3416</v>
      </c>
      <c r="AP24" s="44">
        <v>852</v>
      </c>
      <c r="AQ24" s="44">
        <v>1256</v>
      </c>
      <c r="AR24" s="44">
        <v>567</v>
      </c>
      <c r="AS24" s="44">
        <v>194</v>
      </c>
      <c r="AT24" s="44">
        <v>1071</v>
      </c>
      <c r="AU24" s="44">
        <v>8076</v>
      </c>
      <c r="AV24" s="44">
        <v>1745</v>
      </c>
      <c r="AW24" s="44">
        <v>7434</v>
      </c>
      <c r="AX24" s="44">
        <v>1078</v>
      </c>
      <c r="AY24" s="44">
        <v>2789</v>
      </c>
      <c r="AZ24" s="44">
        <v>4502</v>
      </c>
      <c r="BA24" s="44">
        <v>1665</v>
      </c>
      <c r="BB24" s="44">
        <v>238</v>
      </c>
      <c r="BC24" s="44">
        <v>3194</v>
      </c>
      <c r="BD24" s="44">
        <v>429</v>
      </c>
      <c r="BE24" s="44">
        <v>242</v>
      </c>
      <c r="BF24" s="44">
        <v>163</v>
      </c>
      <c r="BG24" s="44">
        <v>322</v>
      </c>
      <c r="BH24" s="44">
        <v>82</v>
      </c>
      <c r="BI24" s="44">
        <v>832</v>
      </c>
    </row>
    <row r="25" spans="1:61" x14ac:dyDescent="0.2">
      <c r="A25" s="42">
        <v>38596</v>
      </c>
      <c r="B25" s="43">
        <v>490</v>
      </c>
      <c r="C25" s="43">
        <v>280</v>
      </c>
      <c r="D25" s="43">
        <v>320</v>
      </c>
      <c r="E25" s="43">
        <v>210</v>
      </c>
      <c r="F25" s="43">
        <v>314.89999999999998</v>
      </c>
      <c r="G25" s="43">
        <v>285</v>
      </c>
      <c r="H25" s="43">
        <v>275</v>
      </c>
      <c r="I25" s="43">
        <v>189.3</v>
      </c>
      <c r="J25" s="43">
        <v>315</v>
      </c>
      <c r="K25" s="43">
        <v>245</v>
      </c>
      <c r="L25" s="43">
        <v>245</v>
      </c>
      <c r="M25" s="43">
        <v>180</v>
      </c>
      <c r="N25" s="43">
        <v>295</v>
      </c>
      <c r="O25" s="43">
        <v>232</v>
      </c>
      <c r="P25" s="43">
        <v>365</v>
      </c>
      <c r="Q25" s="43">
        <v>380</v>
      </c>
      <c r="R25" s="43">
        <v>268</v>
      </c>
      <c r="S25" s="43">
        <v>286</v>
      </c>
      <c r="T25" s="43">
        <v>191.3</v>
      </c>
      <c r="U25" s="43">
        <v>271.7</v>
      </c>
      <c r="V25" s="43">
        <v>282</v>
      </c>
      <c r="W25" s="43">
        <v>225.3</v>
      </c>
      <c r="X25" s="43">
        <v>131</v>
      </c>
      <c r="Y25" s="43">
        <v>255</v>
      </c>
      <c r="Z25" s="43">
        <v>190</v>
      </c>
      <c r="AA25" s="43">
        <v>200</v>
      </c>
      <c r="AB25" s="43">
        <v>175</v>
      </c>
      <c r="AC25" s="43">
        <v>195</v>
      </c>
      <c r="AD25" s="43">
        <v>188.5</v>
      </c>
      <c r="AE25" s="43">
        <v>305</v>
      </c>
      <c r="AF25" s="44">
        <v>10834</v>
      </c>
      <c r="AG25" s="44">
        <v>9838</v>
      </c>
      <c r="AH25" s="44">
        <v>14188</v>
      </c>
      <c r="AI25" s="44">
        <v>7820</v>
      </c>
      <c r="AJ25" s="44">
        <v>8955</v>
      </c>
      <c r="AK25" s="44">
        <v>12954</v>
      </c>
      <c r="AL25" s="44">
        <v>4516</v>
      </c>
      <c r="AM25" s="44">
        <v>1950</v>
      </c>
      <c r="AN25" s="44">
        <v>8947</v>
      </c>
      <c r="AO25" s="44">
        <v>3655</v>
      </c>
      <c r="AP25" s="44">
        <v>980</v>
      </c>
      <c r="AQ25" s="44">
        <v>1536</v>
      </c>
      <c r="AR25" s="44">
        <v>586</v>
      </c>
      <c r="AS25" s="44">
        <v>232</v>
      </c>
      <c r="AT25" s="44">
        <v>1037</v>
      </c>
      <c r="AU25" s="44">
        <v>8566</v>
      </c>
      <c r="AV25" s="44">
        <v>2055</v>
      </c>
      <c r="AW25" s="44">
        <v>7295</v>
      </c>
      <c r="AX25" s="44">
        <v>1043</v>
      </c>
      <c r="AY25" s="44">
        <v>2842</v>
      </c>
      <c r="AZ25" s="44">
        <v>4991</v>
      </c>
      <c r="BA25" s="44">
        <v>1704</v>
      </c>
      <c r="BB25" s="44">
        <v>251</v>
      </c>
      <c r="BC25" s="44">
        <v>3396</v>
      </c>
      <c r="BD25" s="44">
        <v>495</v>
      </c>
      <c r="BE25" s="44">
        <v>297</v>
      </c>
      <c r="BF25" s="44">
        <v>174</v>
      </c>
      <c r="BG25" s="44">
        <v>361</v>
      </c>
      <c r="BH25" s="44">
        <v>84</v>
      </c>
      <c r="BI25" s="44">
        <v>778</v>
      </c>
    </row>
    <row r="26" spans="1:61" x14ac:dyDescent="0.2">
      <c r="A26" s="42">
        <v>38687</v>
      </c>
      <c r="B26" s="43">
        <v>500</v>
      </c>
      <c r="C26" s="43">
        <v>285</v>
      </c>
      <c r="D26" s="43">
        <v>332</v>
      </c>
      <c r="E26" s="43">
        <v>220</v>
      </c>
      <c r="F26" s="43">
        <v>320</v>
      </c>
      <c r="G26" s="43">
        <v>290</v>
      </c>
      <c r="H26" s="43">
        <v>280</v>
      </c>
      <c r="I26" s="43">
        <v>199</v>
      </c>
      <c r="J26" s="43">
        <v>340</v>
      </c>
      <c r="K26" s="43">
        <v>265</v>
      </c>
      <c r="L26" s="43">
        <v>252.5</v>
      </c>
      <c r="M26" s="43">
        <v>192</v>
      </c>
      <c r="N26" s="43">
        <v>320</v>
      </c>
      <c r="O26" s="43">
        <v>246</v>
      </c>
      <c r="P26" s="43">
        <v>387</v>
      </c>
      <c r="Q26" s="43">
        <v>383</v>
      </c>
      <c r="R26" s="43">
        <v>270</v>
      </c>
      <c r="S26" s="43">
        <v>290</v>
      </c>
      <c r="T26" s="43">
        <v>195</v>
      </c>
      <c r="U26" s="43">
        <v>280</v>
      </c>
      <c r="V26" s="43">
        <v>290</v>
      </c>
      <c r="W26" s="43">
        <v>228.8</v>
      </c>
      <c r="X26" s="43">
        <v>145</v>
      </c>
      <c r="Y26" s="43">
        <v>276</v>
      </c>
      <c r="Z26" s="43">
        <v>220</v>
      </c>
      <c r="AA26" s="43">
        <v>215</v>
      </c>
      <c r="AB26" s="43">
        <v>165</v>
      </c>
      <c r="AC26" s="43">
        <v>225</v>
      </c>
      <c r="AD26" s="43">
        <v>197.8</v>
      </c>
      <c r="AE26" s="43">
        <v>308</v>
      </c>
      <c r="AF26" s="44">
        <v>9786</v>
      </c>
      <c r="AG26" s="44">
        <v>10586</v>
      </c>
      <c r="AH26" s="44">
        <v>15709</v>
      </c>
      <c r="AI26" s="44">
        <v>8773</v>
      </c>
      <c r="AJ26" s="44">
        <v>8485</v>
      </c>
      <c r="AK26" s="44">
        <v>12749</v>
      </c>
      <c r="AL26" s="44">
        <v>4512</v>
      </c>
      <c r="AM26" s="44">
        <v>2032</v>
      </c>
      <c r="AN26" s="44">
        <v>9147</v>
      </c>
      <c r="AO26" s="44">
        <v>3715</v>
      </c>
      <c r="AP26" s="44">
        <v>1020</v>
      </c>
      <c r="AQ26" s="44">
        <v>1500</v>
      </c>
      <c r="AR26" s="44">
        <v>566</v>
      </c>
      <c r="AS26" s="44">
        <v>253</v>
      </c>
      <c r="AT26" s="44">
        <v>1205</v>
      </c>
      <c r="AU26" s="44">
        <v>7810</v>
      </c>
      <c r="AV26" s="44">
        <v>2081</v>
      </c>
      <c r="AW26" s="44">
        <v>7369</v>
      </c>
      <c r="AX26" s="44">
        <v>1126</v>
      </c>
      <c r="AY26" s="44">
        <v>2706</v>
      </c>
      <c r="AZ26" s="44">
        <v>4559</v>
      </c>
      <c r="BA26" s="44">
        <v>1840</v>
      </c>
      <c r="BB26" s="44">
        <v>281</v>
      </c>
      <c r="BC26" s="44">
        <v>3304</v>
      </c>
      <c r="BD26" s="44">
        <v>492</v>
      </c>
      <c r="BE26" s="44">
        <v>301</v>
      </c>
      <c r="BF26" s="44">
        <v>207</v>
      </c>
      <c r="BG26" s="44">
        <v>399</v>
      </c>
      <c r="BH26" s="44">
        <v>82</v>
      </c>
      <c r="BI26" s="44">
        <v>845</v>
      </c>
    </row>
    <row r="27" spans="1:61" x14ac:dyDescent="0.2">
      <c r="A27" s="42">
        <v>38777</v>
      </c>
      <c r="B27" s="43">
        <v>470</v>
      </c>
      <c r="C27" s="43">
        <v>290</v>
      </c>
      <c r="D27" s="43">
        <v>330</v>
      </c>
      <c r="E27" s="43">
        <v>224</v>
      </c>
      <c r="F27" s="43">
        <v>325</v>
      </c>
      <c r="G27" s="43">
        <v>309</v>
      </c>
      <c r="H27" s="43">
        <v>280</v>
      </c>
      <c r="I27" s="43">
        <v>210</v>
      </c>
      <c r="J27" s="43">
        <v>370</v>
      </c>
      <c r="K27" s="43">
        <v>295</v>
      </c>
      <c r="L27" s="43">
        <v>260</v>
      </c>
      <c r="M27" s="43">
        <v>192</v>
      </c>
      <c r="N27" s="43">
        <v>341.5</v>
      </c>
      <c r="O27" s="43">
        <v>215</v>
      </c>
      <c r="P27" s="43">
        <v>385</v>
      </c>
      <c r="Q27" s="43">
        <v>375</v>
      </c>
      <c r="R27" s="43">
        <v>280</v>
      </c>
      <c r="S27" s="43">
        <v>299.5</v>
      </c>
      <c r="T27" s="43">
        <v>200</v>
      </c>
      <c r="U27" s="43">
        <v>280</v>
      </c>
      <c r="V27" s="43">
        <v>292.60000000000002</v>
      </c>
      <c r="W27" s="43">
        <v>225</v>
      </c>
      <c r="X27" s="43">
        <v>151.30000000000001</v>
      </c>
      <c r="Y27" s="43">
        <v>292</v>
      </c>
      <c r="Z27" s="43">
        <v>235</v>
      </c>
      <c r="AA27" s="43">
        <v>225</v>
      </c>
      <c r="AB27" s="43">
        <v>170</v>
      </c>
      <c r="AC27" s="43">
        <v>235</v>
      </c>
      <c r="AD27" s="43">
        <v>170</v>
      </c>
      <c r="AE27" s="43">
        <v>310</v>
      </c>
      <c r="AF27" s="44">
        <v>10484</v>
      </c>
      <c r="AG27" s="44">
        <v>10290</v>
      </c>
      <c r="AH27" s="44">
        <v>12882</v>
      </c>
      <c r="AI27" s="44">
        <v>7811</v>
      </c>
      <c r="AJ27" s="44">
        <v>10005</v>
      </c>
      <c r="AK27" s="44">
        <v>14329</v>
      </c>
      <c r="AL27" s="44">
        <v>4842</v>
      </c>
      <c r="AM27" s="44">
        <v>2199</v>
      </c>
      <c r="AN27" s="44">
        <v>10203</v>
      </c>
      <c r="AO27" s="44">
        <v>4111</v>
      </c>
      <c r="AP27" s="44">
        <v>1243</v>
      </c>
      <c r="AQ27" s="44">
        <v>1848</v>
      </c>
      <c r="AR27" s="44">
        <v>554</v>
      </c>
      <c r="AS27" s="44">
        <v>271</v>
      </c>
      <c r="AT27" s="44">
        <v>1141</v>
      </c>
      <c r="AU27" s="44">
        <v>7690</v>
      </c>
      <c r="AV27" s="44">
        <v>2185</v>
      </c>
      <c r="AW27" s="44">
        <v>6237</v>
      </c>
      <c r="AX27" s="44">
        <v>1164</v>
      </c>
      <c r="AY27" s="44">
        <v>3157</v>
      </c>
      <c r="AZ27" s="44">
        <v>5372</v>
      </c>
      <c r="BA27" s="44">
        <v>1778</v>
      </c>
      <c r="BB27" s="44">
        <v>300</v>
      </c>
      <c r="BC27" s="44">
        <v>3499</v>
      </c>
      <c r="BD27" s="44">
        <v>455</v>
      </c>
      <c r="BE27" s="44">
        <v>365</v>
      </c>
      <c r="BF27" s="44">
        <v>203</v>
      </c>
      <c r="BG27" s="44">
        <v>354</v>
      </c>
      <c r="BH27" s="44">
        <v>103</v>
      </c>
      <c r="BI27" s="44">
        <v>793</v>
      </c>
    </row>
    <row r="28" spans="1:61" x14ac:dyDescent="0.2">
      <c r="A28" s="42">
        <v>38869</v>
      </c>
      <c r="B28" s="43">
        <v>495</v>
      </c>
      <c r="C28" s="43">
        <v>290</v>
      </c>
      <c r="D28" s="43">
        <v>345</v>
      </c>
      <c r="E28" s="43">
        <v>220</v>
      </c>
      <c r="F28" s="43">
        <v>330</v>
      </c>
      <c r="G28" s="43">
        <v>312.5</v>
      </c>
      <c r="H28" s="43">
        <v>286</v>
      </c>
      <c r="I28" s="43">
        <v>210</v>
      </c>
      <c r="J28" s="43">
        <v>415</v>
      </c>
      <c r="K28" s="43">
        <v>324</v>
      </c>
      <c r="L28" s="43">
        <v>270</v>
      </c>
      <c r="M28" s="43">
        <v>200</v>
      </c>
      <c r="N28" s="43">
        <v>349.5</v>
      </c>
      <c r="O28" s="43">
        <v>240</v>
      </c>
      <c r="P28" s="43">
        <v>399.5</v>
      </c>
      <c r="Q28" s="43">
        <v>390</v>
      </c>
      <c r="R28" s="43">
        <v>277.5</v>
      </c>
      <c r="S28" s="43">
        <v>306.60000000000002</v>
      </c>
      <c r="T28" s="43">
        <v>197.8</v>
      </c>
      <c r="U28" s="43">
        <v>295</v>
      </c>
      <c r="V28" s="43">
        <v>295</v>
      </c>
      <c r="W28" s="43">
        <v>235</v>
      </c>
      <c r="X28" s="43">
        <v>145</v>
      </c>
      <c r="Y28" s="43">
        <v>332.5</v>
      </c>
      <c r="Z28" s="43">
        <v>230</v>
      </c>
      <c r="AA28" s="43">
        <v>229</v>
      </c>
      <c r="AB28" s="43">
        <v>178.5</v>
      </c>
      <c r="AC28" s="43">
        <v>245</v>
      </c>
      <c r="AD28" s="43">
        <v>198</v>
      </c>
      <c r="AE28" s="43">
        <v>325</v>
      </c>
      <c r="AF28" s="44">
        <v>11867</v>
      </c>
      <c r="AG28" s="44">
        <v>10371</v>
      </c>
      <c r="AH28" s="44">
        <v>14022</v>
      </c>
      <c r="AI28" s="44">
        <v>7700</v>
      </c>
      <c r="AJ28" s="44">
        <v>9189</v>
      </c>
      <c r="AK28" s="44">
        <v>13152</v>
      </c>
      <c r="AL28" s="44">
        <v>4928</v>
      </c>
      <c r="AM28" s="44">
        <v>2111</v>
      </c>
      <c r="AN28" s="44">
        <v>8864</v>
      </c>
      <c r="AO28" s="44">
        <v>3574</v>
      </c>
      <c r="AP28" s="44">
        <v>1124</v>
      </c>
      <c r="AQ28" s="44">
        <v>1569</v>
      </c>
      <c r="AR28" s="44">
        <v>514</v>
      </c>
      <c r="AS28" s="44">
        <v>229</v>
      </c>
      <c r="AT28" s="44">
        <v>1294</v>
      </c>
      <c r="AU28" s="44">
        <v>9547</v>
      </c>
      <c r="AV28" s="44">
        <v>2233</v>
      </c>
      <c r="AW28" s="44">
        <v>7092</v>
      </c>
      <c r="AX28" s="44">
        <v>1072</v>
      </c>
      <c r="AY28" s="44">
        <v>3246</v>
      </c>
      <c r="AZ28" s="44">
        <v>4764</v>
      </c>
      <c r="BA28" s="44">
        <v>1988</v>
      </c>
      <c r="BB28" s="44">
        <v>236</v>
      </c>
      <c r="BC28" s="44">
        <v>2903</v>
      </c>
      <c r="BD28" s="44">
        <v>478</v>
      </c>
      <c r="BE28" s="44">
        <v>317</v>
      </c>
      <c r="BF28" s="44">
        <v>226</v>
      </c>
      <c r="BG28" s="44">
        <v>324</v>
      </c>
      <c r="BH28" s="44">
        <v>77</v>
      </c>
      <c r="BI28" s="44">
        <v>1006</v>
      </c>
    </row>
    <row r="29" spans="1:61" x14ac:dyDescent="0.2">
      <c r="A29" s="42">
        <v>38961</v>
      </c>
      <c r="B29" s="43">
        <v>482</v>
      </c>
      <c r="C29" s="43">
        <v>285</v>
      </c>
      <c r="D29" s="43">
        <v>346</v>
      </c>
      <c r="E29" s="43">
        <v>222</v>
      </c>
      <c r="F29" s="43">
        <v>335</v>
      </c>
      <c r="G29" s="43">
        <v>318.39999999999998</v>
      </c>
      <c r="H29" s="43">
        <v>290</v>
      </c>
      <c r="I29" s="43">
        <v>200</v>
      </c>
      <c r="J29" s="43">
        <v>450</v>
      </c>
      <c r="K29" s="43">
        <v>335</v>
      </c>
      <c r="L29" s="43">
        <v>270</v>
      </c>
      <c r="M29" s="43">
        <v>195</v>
      </c>
      <c r="N29" s="43">
        <v>360</v>
      </c>
      <c r="O29" s="43">
        <v>247.5</v>
      </c>
      <c r="P29" s="43">
        <v>413</v>
      </c>
      <c r="Q29" s="43">
        <v>380</v>
      </c>
      <c r="R29" s="43">
        <v>275</v>
      </c>
      <c r="S29" s="43">
        <v>315</v>
      </c>
      <c r="T29" s="43">
        <v>191</v>
      </c>
      <c r="U29" s="43">
        <v>292</v>
      </c>
      <c r="V29" s="43">
        <v>300</v>
      </c>
      <c r="W29" s="43">
        <v>240</v>
      </c>
      <c r="X29" s="43">
        <v>131</v>
      </c>
      <c r="Y29" s="43">
        <v>350</v>
      </c>
      <c r="Z29" s="43">
        <v>260</v>
      </c>
      <c r="AA29" s="43">
        <v>230</v>
      </c>
      <c r="AB29" s="43">
        <v>180.8</v>
      </c>
      <c r="AC29" s="43">
        <v>246.5</v>
      </c>
      <c r="AD29" s="43">
        <v>213.5</v>
      </c>
      <c r="AE29" s="43">
        <v>312</v>
      </c>
      <c r="AF29" s="44">
        <v>11078</v>
      </c>
      <c r="AG29" s="44">
        <v>10226</v>
      </c>
      <c r="AH29" s="44">
        <v>14401</v>
      </c>
      <c r="AI29" s="44">
        <v>7954</v>
      </c>
      <c r="AJ29" s="44">
        <v>9954</v>
      </c>
      <c r="AK29" s="44">
        <v>14102</v>
      </c>
      <c r="AL29" s="44">
        <v>4774</v>
      </c>
      <c r="AM29" s="44">
        <v>2103</v>
      </c>
      <c r="AN29" s="44">
        <v>7184</v>
      </c>
      <c r="AO29" s="44">
        <v>3070</v>
      </c>
      <c r="AP29" s="44">
        <v>956</v>
      </c>
      <c r="AQ29" s="44">
        <v>1619</v>
      </c>
      <c r="AR29" s="44">
        <v>535</v>
      </c>
      <c r="AS29" s="44">
        <v>200</v>
      </c>
      <c r="AT29" s="44">
        <v>1136</v>
      </c>
      <c r="AU29" s="44">
        <v>8849</v>
      </c>
      <c r="AV29" s="44">
        <v>2229</v>
      </c>
      <c r="AW29" s="44">
        <v>7461</v>
      </c>
      <c r="AX29" s="44">
        <v>1136</v>
      </c>
      <c r="AY29" s="44">
        <v>3397</v>
      </c>
      <c r="AZ29" s="44">
        <v>5049</v>
      </c>
      <c r="BA29" s="44">
        <v>2011</v>
      </c>
      <c r="BB29" s="44">
        <v>238</v>
      </c>
      <c r="BC29" s="44">
        <v>2810</v>
      </c>
      <c r="BD29" s="44">
        <v>442</v>
      </c>
      <c r="BE29" s="44">
        <v>337</v>
      </c>
      <c r="BF29" s="44">
        <v>240</v>
      </c>
      <c r="BG29" s="44">
        <v>340</v>
      </c>
      <c r="BH29" s="44">
        <v>91</v>
      </c>
      <c r="BI29" s="44">
        <v>915</v>
      </c>
    </row>
    <row r="30" spans="1:61" x14ac:dyDescent="0.2">
      <c r="A30" s="42">
        <v>39052</v>
      </c>
      <c r="B30" s="43">
        <v>500</v>
      </c>
      <c r="C30" s="43">
        <v>290</v>
      </c>
      <c r="D30" s="43">
        <v>360</v>
      </c>
      <c r="E30" s="43">
        <v>230</v>
      </c>
      <c r="F30" s="43">
        <v>343.5</v>
      </c>
      <c r="G30" s="43">
        <v>330</v>
      </c>
      <c r="H30" s="43">
        <v>300</v>
      </c>
      <c r="I30" s="43">
        <v>215</v>
      </c>
      <c r="J30" s="43">
        <v>470</v>
      </c>
      <c r="K30" s="43">
        <v>350</v>
      </c>
      <c r="L30" s="43">
        <v>278</v>
      </c>
      <c r="M30" s="43">
        <v>199</v>
      </c>
      <c r="N30" s="43">
        <v>380</v>
      </c>
      <c r="O30" s="43">
        <v>260</v>
      </c>
      <c r="P30" s="43">
        <v>420.8</v>
      </c>
      <c r="Q30" s="43">
        <v>393.1</v>
      </c>
      <c r="R30" s="43">
        <v>277</v>
      </c>
      <c r="S30" s="43">
        <v>315</v>
      </c>
      <c r="T30" s="43">
        <v>192</v>
      </c>
      <c r="U30" s="43">
        <v>298</v>
      </c>
      <c r="V30" s="43">
        <v>310</v>
      </c>
      <c r="W30" s="43">
        <v>246</v>
      </c>
      <c r="X30" s="43">
        <v>150</v>
      </c>
      <c r="Y30" s="43">
        <v>362.5</v>
      </c>
      <c r="Z30" s="43">
        <v>297</v>
      </c>
      <c r="AA30" s="43">
        <v>231</v>
      </c>
      <c r="AB30" s="43">
        <v>185.5</v>
      </c>
      <c r="AC30" s="43">
        <v>260</v>
      </c>
      <c r="AD30" s="43">
        <v>198</v>
      </c>
      <c r="AE30" s="43">
        <v>317.5</v>
      </c>
      <c r="AF30" s="44">
        <v>11450</v>
      </c>
      <c r="AG30" s="44">
        <v>10374</v>
      </c>
      <c r="AH30" s="44">
        <v>15088</v>
      </c>
      <c r="AI30" s="44">
        <v>7533</v>
      </c>
      <c r="AJ30" s="44">
        <v>9627</v>
      </c>
      <c r="AK30" s="44">
        <v>13529</v>
      </c>
      <c r="AL30" s="44">
        <v>4955</v>
      </c>
      <c r="AM30" s="44">
        <v>2235</v>
      </c>
      <c r="AN30" s="44">
        <v>5860</v>
      </c>
      <c r="AO30" s="44">
        <v>2513</v>
      </c>
      <c r="AP30" s="44">
        <v>971</v>
      </c>
      <c r="AQ30" s="44">
        <v>1556</v>
      </c>
      <c r="AR30" s="44">
        <v>495</v>
      </c>
      <c r="AS30" s="44">
        <v>204</v>
      </c>
      <c r="AT30" s="44">
        <v>1318</v>
      </c>
      <c r="AU30" s="44">
        <v>8884</v>
      </c>
      <c r="AV30" s="44">
        <v>2166</v>
      </c>
      <c r="AW30" s="44">
        <v>7587</v>
      </c>
      <c r="AX30" s="44">
        <v>1107</v>
      </c>
      <c r="AY30" s="44">
        <v>3314</v>
      </c>
      <c r="AZ30" s="44">
        <v>5026</v>
      </c>
      <c r="BA30" s="44">
        <v>1886</v>
      </c>
      <c r="BB30" s="44">
        <v>259</v>
      </c>
      <c r="BC30" s="44">
        <v>2226</v>
      </c>
      <c r="BD30" s="44">
        <v>362</v>
      </c>
      <c r="BE30" s="44">
        <v>318</v>
      </c>
      <c r="BF30" s="44">
        <v>236</v>
      </c>
      <c r="BG30" s="44">
        <v>306</v>
      </c>
      <c r="BH30" s="44">
        <v>71</v>
      </c>
      <c r="BI30" s="44">
        <v>945</v>
      </c>
    </row>
    <row r="31" spans="1:61" x14ac:dyDescent="0.2">
      <c r="A31" s="42">
        <v>39142</v>
      </c>
      <c r="B31" s="43">
        <v>480</v>
      </c>
      <c r="C31" s="43">
        <v>300</v>
      </c>
      <c r="D31" s="43">
        <v>345</v>
      </c>
      <c r="E31" s="43">
        <v>230</v>
      </c>
      <c r="F31" s="43">
        <v>352</v>
      </c>
      <c r="G31" s="43">
        <v>347</v>
      </c>
      <c r="H31" s="43">
        <v>305</v>
      </c>
      <c r="I31" s="43">
        <v>223</v>
      </c>
      <c r="J31" s="43">
        <v>475</v>
      </c>
      <c r="K31" s="43">
        <v>370</v>
      </c>
      <c r="L31" s="43">
        <v>280</v>
      </c>
      <c r="M31" s="43">
        <v>210</v>
      </c>
      <c r="N31" s="43">
        <v>389.5</v>
      </c>
      <c r="O31" s="43">
        <v>250</v>
      </c>
      <c r="P31" s="43">
        <v>430</v>
      </c>
      <c r="Q31" s="43">
        <v>380</v>
      </c>
      <c r="R31" s="43">
        <v>270</v>
      </c>
      <c r="S31" s="43">
        <v>320</v>
      </c>
      <c r="T31" s="43">
        <v>200</v>
      </c>
      <c r="U31" s="43">
        <v>305</v>
      </c>
      <c r="V31" s="43">
        <v>320</v>
      </c>
      <c r="W31" s="43">
        <v>245</v>
      </c>
      <c r="X31" s="43">
        <v>150</v>
      </c>
      <c r="Y31" s="43">
        <v>370</v>
      </c>
      <c r="Z31" s="43">
        <v>285</v>
      </c>
      <c r="AA31" s="43">
        <v>240</v>
      </c>
      <c r="AB31" s="43">
        <v>184</v>
      </c>
      <c r="AC31" s="43">
        <v>280</v>
      </c>
      <c r="AD31" s="43">
        <v>232.8</v>
      </c>
      <c r="AE31" s="43">
        <v>325</v>
      </c>
      <c r="AF31" s="44">
        <v>11641</v>
      </c>
      <c r="AG31" s="44">
        <v>10605</v>
      </c>
      <c r="AH31" s="44">
        <v>15291</v>
      </c>
      <c r="AI31" s="44">
        <v>8528</v>
      </c>
      <c r="AJ31" s="44">
        <v>12341</v>
      </c>
      <c r="AK31" s="44">
        <v>15869</v>
      </c>
      <c r="AL31" s="44">
        <v>5396</v>
      </c>
      <c r="AM31" s="44">
        <v>2363</v>
      </c>
      <c r="AN31" s="44">
        <v>6548</v>
      </c>
      <c r="AO31" s="44">
        <v>2693</v>
      </c>
      <c r="AP31" s="44">
        <v>1210</v>
      </c>
      <c r="AQ31" s="44">
        <v>1775</v>
      </c>
      <c r="AR31" s="44">
        <v>496</v>
      </c>
      <c r="AS31" s="44">
        <v>183</v>
      </c>
      <c r="AT31" s="44">
        <v>1308</v>
      </c>
      <c r="AU31" s="44">
        <v>9065</v>
      </c>
      <c r="AV31" s="44">
        <v>2339</v>
      </c>
      <c r="AW31" s="44">
        <v>8296</v>
      </c>
      <c r="AX31" s="44">
        <v>1267</v>
      </c>
      <c r="AY31" s="44">
        <v>4020</v>
      </c>
      <c r="AZ31" s="44">
        <v>6339</v>
      </c>
      <c r="BA31" s="44">
        <v>2135</v>
      </c>
      <c r="BB31" s="44">
        <v>303</v>
      </c>
      <c r="BC31" s="44">
        <v>2428</v>
      </c>
      <c r="BD31" s="44">
        <v>362</v>
      </c>
      <c r="BE31" s="44">
        <v>406</v>
      </c>
      <c r="BF31" s="44">
        <v>285</v>
      </c>
      <c r="BG31" s="44">
        <v>406</v>
      </c>
      <c r="BH31" s="44">
        <v>86</v>
      </c>
      <c r="BI31" s="44">
        <v>1076</v>
      </c>
    </row>
    <row r="32" spans="1:61" x14ac:dyDescent="0.2">
      <c r="A32" s="42">
        <v>39234</v>
      </c>
      <c r="B32" s="43">
        <v>512.29999999999995</v>
      </c>
      <c r="C32" s="43">
        <v>300</v>
      </c>
      <c r="D32" s="43">
        <v>362</v>
      </c>
      <c r="E32" s="43">
        <v>230</v>
      </c>
      <c r="F32" s="43">
        <v>375</v>
      </c>
      <c r="G32" s="43">
        <v>365</v>
      </c>
      <c r="H32" s="43">
        <v>315</v>
      </c>
      <c r="I32" s="43">
        <v>223.3</v>
      </c>
      <c r="J32" s="43">
        <v>465</v>
      </c>
      <c r="K32" s="43">
        <v>374</v>
      </c>
      <c r="L32" s="43">
        <v>291.5</v>
      </c>
      <c r="M32" s="43">
        <v>220</v>
      </c>
      <c r="N32" s="43">
        <v>395</v>
      </c>
      <c r="O32" s="43">
        <v>278.8</v>
      </c>
      <c r="P32" s="43">
        <v>445</v>
      </c>
      <c r="Q32" s="43">
        <v>395</v>
      </c>
      <c r="R32" s="43">
        <v>280</v>
      </c>
      <c r="S32" s="43">
        <v>340</v>
      </c>
      <c r="T32" s="43">
        <v>201</v>
      </c>
      <c r="U32" s="43">
        <v>325</v>
      </c>
      <c r="V32" s="43">
        <v>327</v>
      </c>
      <c r="W32" s="43">
        <v>265</v>
      </c>
      <c r="X32" s="43">
        <v>156</v>
      </c>
      <c r="Y32" s="43">
        <v>370</v>
      </c>
      <c r="Z32" s="43">
        <v>299</v>
      </c>
      <c r="AA32" s="43">
        <v>240</v>
      </c>
      <c r="AB32" s="43">
        <v>191</v>
      </c>
      <c r="AC32" s="43">
        <v>302.5</v>
      </c>
      <c r="AD32" s="43">
        <v>213</v>
      </c>
      <c r="AE32" s="43">
        <v>355</v>
      </c>
      <c r="AF32" s="44">
        <v>13978</v>
      </c>
      <c r="AG32" s="44">
        <v>11810</v>
      </c>
      <c r="AH32" s="44">
        <v>17528</v>
      </c>
      <c r="AI32" s="44">
        <v>8752</v>
      </c>
      <c r="AJ32" s="44">
        <v>11698</v>
      </c>
      <c r="AK32" s="44">
        <v>14731</v>
      </c>
      <c r="AL32" s="44">
        <v>5762</v>
      </c>
      <c r="AM32" s="44">
        <v>2464</v>
      </c>
      <c r="AN32" s="44">
        <v>6139</v>
      </c>
      <c r="AO32" s="44">
        <v>2753</v>
      </c>
      <c r="AP32" s="44">
        <v>1195</v>
      </c>
      <c r="AQ32" s="44">
        <v>1665</v>
      </c>
      <c r="AR32" s="44">
        <v>450</v>
      </c>
      <c r="AS32" s="44">
        <v>172</v>
      </c>
      <c r="AT32" s="44">
        <v>1260</v>
      </c>
      <c r="AU32" s="44">
        <v>11923</v>
      </c>
      <c r="AV32" s="44">
        <v>2541</v>
      </c>
      <c r="AW32" s="44">
        <v>10408</v>
      </c>
      <c r="AX32" s="44">
        <v>1188</v>
      </c>
      <c r="AY32" s="44">
        <v>4227</v>
      </c>
      <c r="AZ32" s="44">
        <v>6132</v>
      </c>
      <c r="BA32" s="44">
        <v>2196</v>
      </c>
      <c r="BB32" s="44">
        <v>348</v>
      </c>
      <c r="BC32" s="44">
        <v>2206</v>
      </c>
      <c r="BD32" s="44">
        <v>339</v>
      </c>
      <c r="BE32" s="44">
        <v>394</v>
      </c>
      <c r="BF32" s="44">
        <v>253</v>
      </c>
      <c r="BG32" s="44">
        <v>450</v>
      </c>
      <c r="BH32" s="44">
        <v>85</v>
      </c>
      <c r="BI32" s="44">
        <v>1136</v>
      </c>
    </row>
    <row r="33" spans="1:61" x14ac:dyDescent="0.2">
      <c r="A33" s="42">
        <v>39326</v>
      </c>
      <c r="B33" s="43">
        <v>514</v>
      </c>
      <c r="C33" s="43">
        <v>300</v>
      </c>
      <c r="D33" s="43">
        <v>370</v>
      </c>
      <c r="E33" s="43">
        <v>233.5</v>
      </c>
      <c r="F33" s="43">
        <v>390</v>
      </c>
      <c r="G33" s="43">
        <v>376</v>
      </c>
      <c r="H33" s="43">
        <v>335</v>
      </c>
      <c r="I33" s="43">
        <v>228</v>
      </c>
      <c r="J33" s="43">
        <v>475</v>
      </c>
      <c r="K33" s="43">
        <v>376.4</v>
      </c>
      <c r="L33" s="43">
        <v>285</v>
      </c>
      <c r="M33" s="43">
        <v>220</v>
      </c>
      <c r="N33" s="43">
        <v>400</v>
      </c>
      <c r="O33" s="43">
        <v>270</v>
      </c>
      <c r="P33" s="43">
        <v>460</v>
      </c>
      <c r="Q33" s="43">
        <v>400</v>
      </c>
      <c r="R33" s="43">
        <v>275</v>
      </c>
      <c r="S33" s="43">
        <v>345</v>
      </c>
      <c r="T33" s="43">
        <v>205</v>
      </c>
      <c r="U33" s="43">
        <v>340</v>
      </c>
      <c r="V33" s="43">
        <v>330</v>
      </c>
      <c r="W33" s="43">
        <v>285</v>
      </c>
      <c r="X33" s="43">
        <v>166.6</v>
      </c>
      <c r="Y33" s="43">
        <v>376</v>
      </c>
      <c r="Z33" s="43">
        <v>307.3</v>
      </c>
      <c r="AA33" s="43">
        <v>250</v>
      </c>
      <c r="AB33" s="43">
        <v>190</v>
      </c>
      <c r="AC33" s="43">
        <v>310</v>
      </c>
      <c r="AD33" s="43">
        <v>219</v>
      </c>
      <c r="AE33" s="43">
        <v>365</v>
      </c>
      <c r="AF33" s="44">
        <v>13014</v>
      </c>
      <c r="AG33" s="44">
        <v>11531</v>
      </c>
      <c r="AH33" s="44">
        <v>17375</v>
      </c>
      <c r="AI33" s="44">
        <v>8675</v>
      </c>
      <c r="AJ33" s="44">
        <v>11840</v>
      </c>
      <c r="AK33" s="44">
        <v>15139</v>
      </c>
      <c r="AL33" s="44">
        <v>5457</v>
      </c>
      <c r="AM33" s="44">
        <v>2394</v>
      </c>
      <c r="AN33" s="44">
        <v>6151</v>
      </c>
      <c r="AO33" s="44">
        <v>2813</v>
      </c>
      <c r="AP33" s="44">
        <v>1062</v>
      </c>
      <c r="AQ33" s="44">
        <v>1738</v>
      </c>
      <c r="AR33" s="44">
        <v>464</v>
      </c>
      <c r="AS33" s="44">
        <v>211</v>
      </c>
      <c r="AT33" s="44">
        <v>1259</v>
      </c>
      <c r="AU33" s="44">
        <v>11817</v>
      </c>
      <c r="AV33" s="44">
        <v>2552</v>
      </c>
      <c r="AW33" s="44">
        <v>11507</v>
      </c>
      <c r="AX33" s="44">
        <v>1369</v>
      </c>
      <c r="AY33" s="44">
        <v>4321</v>
      </c>
      <c r="AZ33" s="44">
        <v>6512</v>
      </c>
      <c r="BA33" s="44">
        <v>2136</v>
      </c>
      <c r="BB33" s="44">
        <v>324</v>
      </c>
      <c r="BC33" s="44">
        <v>2041</v>
      </c>
      <c r="BD33" s="44">
        <v>426</v>
      </c>
      <c r="BE33" s="44">
        <v>414</v>
      </c>
      <c r="BF33" s="44">
        <v>301</v>
      </c>
      <c r="BG33" s="44">
        <v>452</v>
      </c>
      <c r="BH33" s="44">
        <v>95</v>
      </c>
      <c r="BI33" s="44">
        <v>959</v>
      </c>
    </row>
    <row r="34" spans="1:61" x14ac:dyDescent="0.2">
      <c r="A34" s="42">
        <v>39417</v>
      </c>
      <c r="B34" s="43">
        <v>540</v>
      </c>
      <c r="C34" s="43">
        <v>310</v>
      </c>
      <c r="D34" s="43">
        <v>410</v>
      </c>
      <c r="E34" s="43">
        <v>245</v>
      </c>
      <c r="F34" s="43">
        <v>415</v>
      </c>
      <c r="G34" s="43">
        <v>380</v>
      </c>
      <c r="H34" s="43">
        <v>358</v>
      </c>
      <c r="I34" s="43">
        <v>245</v>
      </c>
      <c r="J34" s="43">
        <v>480</v>
      </c>
      <c r="K34" s="43">
        <v>379.5</v>
      </c>
      <c r="L34" s="43">
        <v>310</v>
      </c>
      <c r="M34" s="43">
        <v>230</v>
      </c>
      <c r="N34" s="43">
        <v>418.5</v>
      </c>
      <c r="O34" s="43">
        <v>289</v>
      </c>
      <c r="P34" s="43">
        <v>468</v>
      </c>
      <c r="Q34" s="43">
        <v>410</v>
      </c>
      <c r="R34" s="43">
        <v>292</v>
      </c>
      <c r="S34" s="43">
        <v>365</v>
      </c>
      <c r="T34" s="43">
        <v>210</v>
      </c>
      <c r="U34" s="43">
        <v>357</v>
      </c>
      <c r="V34" s="43">
        <v>348</v>
      </c>
      <c r="W34" s="43">
        <v>290</v>
      </c>
      <c r="X34" s="43">
        <v>169.5</v>
      </c>
      <c r="Y34" s="43">
        <v>385</v>
      </c>
      <c r="Z34" s="43">
        <v>319.5</v>
      </c>
      <c r="AA34" s="43">
        <v>260</v>
      </c>
      <c r="AB34" s="43">
        <v>196.3</v>
      </c>
      <c r="AC34" s="43">
        <v>307.5</v>
      </c>
      <c r="AD34" s="43">
        <v>210</v>
      </c>
      <c r="AE34" s="43">
        <v>365</v>
      </c>
      <c r="AF34" s="44">
        <v>12960</v>
      </c>
      <c r="AG34" s="44">
        <v>11322</v>
      </c>
      <c r="AH34" s="44">
        <v>18143</v>
      </c>
      <c r="AI34" s="44">
        <v>8973</v>
      </c>
      <c r="AJ34" s="44">
        <v>10406</v>
      </c>
      <c r="AK34" s="44">
        <v>13608</v>
      </c>
      <c r="AL34" s="44">
        <v>5334</v>
      </c>
      <c r="AM34" s="44">
        <v>2373</v>
      </c>
      <c r="AN34" s="44">
        <v>6314</v>
      </c>
      <c r="AO34" s="44">
        <v>2500</v>
      </c>
      <c r="AP34" s="44">
        <v>1096</v>
      </c>
      <c r="AQ34" s="44">
        <v>1669</v>
      </c>
      <c r="AR34" s="44">
        <v>411</v>
      </c>
      <c r="AS34" s="44">
        <v>187</v>
      </c>
      <c r="AT34" s="44">
        <v>1380</v>
      </c>
      <c r="AU34" s="44">
        <v>11523</v>
      </c>
      <c r="AV34" s="44">
        <v>2470</v>
      </c>
      <c r="AW34" s="44">
        <v>11227</v>
      </c>
      <c r="AX34" s="44">
        <v>1372</v>
      </c>
      <c r="AY34" s="44">
        <v>3686</v>
      </c>
      <c r="AZ34" s="44">
        <v>5485</v>
      </c>
      <c r="BA34" s="44">
        <v>2029</v>
      </c>
      <c r="BB34" s="44">
        <v>330</v>
      </c>
      <c r="BC34" s="44">
        <v>2106</v>
      </c>
      <c r="BD34" s="44">
        <v>320</v>
      </c>
      <c r="BE34" s="44">
        <v>311</v>
      </c>
      <c r="BF34" s="44">
        <v>252</v>
      </c>
      <c r="BG34" s="44">
        <v>375</v>
      </c>
      <c r="BH34" s="44">
        <v>73</v>
      </c>
      <c r="BI34" s="44">
        <v>1022</v>
      </c>
    </row>
    <row r="35" spans="1:61" x14ac:dyDescent="0.2">
      <c r="A35" s="42">
        <v>39508</v>
      </c>
      <c r="B35" s="43">
        <v>495</v>
      </c>
      <c r="C35" s="43">
        <v>308</v>
      </c>
      <c r="D35" s="43">
        <v>385</v>
      </c>
      <c r="E35" s="43">
        <v>243.5</v>
      </c>
      <c r="F35" s="43">
        <v>425</v>
      </c>
      <c r="G35" s="43">
        <v>380</v>
      </c>
      <c r="H35" s="43">
        <v>360</v>
      </c>
      <c r="I35" s="43">
        <v>250</v>
      </c>
      <c r="J35" s="43">
        <v>470</v>
      </c>
      <c r="K35" s="43">
        <v>390</v>
      </c>
      <c r="L35" s="43">
        <v>308.5</v>
      </c>
      <c r="M35" s="43">
        <v>239.5</v>
      </c>
      <c r="N35" s="43">
        <v>420</v>
      </c>
      <c r="O35" s="43">
        <v>285</v>
      </c>
      <c r="P35" s="43">
        <v>470</v>
      </c>
      <c r="Q35" s="43">
        <v>397.5</v>
      </c>
      <c r="R35" s="43">
        <v>288.3</v>
      </c>
      <c r="S35" s="43">
        <v>360</v>
      </c>
      <c r="T35" s="43">
        <v>229</v>
      </c>
      <c r="U35" s="43">
        <v>360</v>
      </c>
      <c r="V35" s="43">
        <v>355</v>
      </c>
      <c r="W35" s="43">
        <v>295</v>
      </c>
      <c r="X35" s="43">
        <v>175</v>
      </c>
      <c r="Y35" s="43">
        <v>380</v>
      </c>
      <c r="Z35" s="43">
        <v>320</v>
      </c>
      <c r="AA35" s="43">
        <v>245</v>
      </c>
      <c r="AB35" s="43">
        <v>200</v>
      </c>
      <c r="AC35" s="43">
        <v>306.3</v>
      </c>
      <c r="AD35" s="43">
        <v>225</v>
      </c>
      <c r="AE35" s="43">
        <v>370</v>
      </c>
      <c r="AF35" s="44">
        <v>9631</v>
      </c>
      <c r="AG35" s="44">
        <v>9338</v>
      </c>
      <c r="AH35" s="44">
        <v>13154</v>
      </c>
      <c r="AI35" s="44">
        <v>7639</v>
      </c>
      <c r="AJ35" s="44">
        <v>8405</v>
      </c>
      <c r="AK35" s="44">
        <v>10820</v>
      </c>
      <c r="AL35" s="44">
        <v>4567</v>
      </c>
      <c r="AM35" s="44">
        <v>2156</v>
      </c>
      <c r="AN35" s="44">
        <v>5487</v>
      </c>
      <c r="AO35" s="44">
        <v>2139</v>
      </c>
      <c r="AP35" s="44">
        <v>939</v>
      </c>
      <c r="AQ35" s="44">
        <v>1488</v>
      </c>
      <c r="AR35" s="44">
        <v>357</v>
      </c>
      <c r="AS35" s="44">
        <v>174</v>
      </c>
      <c r="AT35" s="44">
        <v>960</v>
      </c>
      <c r="AU35" s="44">
        <v>8753</v>
      </c>
      <c r="AV35" s="44">
        <v>2166</v>
      </c>
      <c r="AW35" s="44">
        <v>7886</v>
      </c>
      <c r="AX35" s="44">
        <v>1159</v>
      </c>
      <c r="AY35" s="44">
        <v>2691</v>
      </c>
      <c r="AZ35" s="44">
        <v>4622</v>
      </c>
      <c r="BA35" s="44">
        <v>1834</v>
      </c>
      <c r="BB35" s="44">
        <v>307</v>
      </c>
      <c r="BC35" s="44">
        <v>1901</v>
      </c>
      <c r="BD35" s="44">
        <v>308</v>
      </c>
      <c r="BE35" s="44">
        <v>325</v>
      </c>
      <c r="BF35" s="44">
        <v>223</v>
      </c>
      <c r="BG35" s="44">
        <v>348</v>
      </c>
      <c r="BH35" s="44">
        <v>87</v>
      </c>
      <c r="BI35" s="44">
        <v>776</v>
      </c>
    </row>
    <row r="36" spans="1:61" x14ac:dyDescent="0.2">
      <c r="A36" s="42">
        <v>39600</v>
      </c>
      <c r="B36" s="43">
        <v>517</v>
      </c>
      <c r="C36" s="43">
        <v>305</v>
      </c>
      <c r="D36" s="43">
        <v>400</v>
      </c>
      <c r="E36" s="43">
        <v>239</v>
      </c>
      <c r="F36" s="43">
        <v>425</v>
      </c>
      <c r="G36" s="43">
        <v>380</v>
      </c>
      <c r="H36" s="43">
        <v>365</v>
      </c>
      <c r="I36" s="43">
        <v>240</v>
      </c>
      <c r="J36" s="43">
        <v>455</v>
      </c>
      <c r="K36" s="43">
        <v>360</v>
      </c>
      <c r="L36" s="43">
        <v>305</v>
      </c>
      <c r="M36" s="43">
        <v>230</v>
      </c>
      <c r="N36" s="43">
        <v>422.3</v>
      </c>
      <c r="O36" s="43">
        <v>285</v>
      </c>
      <c r="P36" s="43">
        <v>474</v>
      </c>
      <c r="Q36" s="43">
        <v>395</v>
      </c>
      <c r="R36" s="43">
        <v>272.3</v>
      </c>
      <c r="S36" s="43">
        <v>360</v>
      </c>
      <c r="T36" s="43">
        <v>210</v>
      </c>
      <c r="U36" s="43">
        <v>367</v>
      </c>
      <c r="V36" s="43">
        <v>355</v>
      </c>
      <c r="W36" s="43">
        <v>290</v>
      </c>
      <c r="X36" s="43">
        <v>173.8</v>
      </c>
      <c r="Y36" s="43">
        <v>372.3</v>
      </c>
      <c r="Z36" s="43">
        <v>313</v>
      </c>
      <c r="AA36" s="43">
        <v>257</v>
      </c>
      <c r="AB36" s="43">
        <v>205</v>
      </c>
      <c r="AC36" s="43">
        <v>310</v>
      </c>
      <c r="AD36" s="43">
        <v>222.5</v>
      </c>
      <c r="AE36" s="43">
        <v>352</v>
      </c>
      <c r="AF36" s="44">
        <v>10618</v>
      </c>
      <c r="AG36" s="44">
        <v>8501</v>
      </c>
      <c r="AH36" s="44">
        <v>14039</v>
      </c>
      <c r="AI36" s="44">
        <v>7134</v>
      </c>
      <c r="AJ36" s="44">
        <v>6616</v>
      </c>
      <c r="AK36" s="44">
        <v>7770</v>
      </c>
      <c r="AL36" s="44">
        <v>4437</v>
      </c>
      <c r="AM36" s="44">
        <v>1703</v>
      </c>
      <c r="AN36" s="44">
        <v>4356</v>
      </c>
      <c r="AO36" s="44">
        <v>1738</v>
      </c>
      <c r="AP36" s="44">
        <v>811</v>
      </c>
      <c r="AQ36" s="44">
        <v>1369</v>
      </c>
      <c r="AR36" s="44">
        <v>388</v>
      </c>
      <c r="AS36" s="44">
        <v>175</v>
      </c>
      <c r="AT36" s="44">
        <v>1021</v>
      </c>
      <c r="AU36" s="44">
        <v>9971</v>
      </c>
      <c r="AV36" s="44">
        <v>1842</v>
      </c>
      <c r="AW36" s="44">
        <v>8465</v>
      </c>
      <c r="AX36" s="44">
        <v>1082</v>
      </c>
      <c r="AY36" s="44">
        <v>2198</v>
      </c>
      <c r="AZ36" s="44">
        <v>3266</v>
      </c>
      <c r="BA36" s="44">
        <v>1662</v>
      </c>
      <c r="BB36" s="44">
        <v>202</v>
      </c>
      <c r="BC36" s="44">
        <v>1478</v>
      </c>
      <c r="BD36" s="44">
        <v>240</v>
      </c>
      <c r="BE36" s="44">
        <v>267</v>
      </c>
      <c r="BF36" s="44">
        <v>172</v>
      </c>
      <c r="BG36" s="44">
        <v>296</v>
      </c>
      <c r="BH36" s="44">
        <v>80</v>
      </c>
      <c r="BI36" s="44">
        <v>965</v>
      </c>
    </row>
    <row r="37" spans="1:61" x14ac:dyDescent="0.2">
      <c r="A37" s="42">
        <v>39692</v>
      </c>
      <c r="B37" s="43">
        <v>482</v>
      </c>
      <c r="C37" s="43">
        <v>297.5</v>
      </c>
      <c r="D37" s="43">
        <v>385</v>
      </c>
      <c r="E37" s="43">
        <v>235</v>
      </c>
      <c r="F37" s="43">
        <v>410</v>
      </c>
      <c r="G37" s="43">
        <v>365</v>
      </c>
      <c r="H37" s="43">
        <v>360</v>
      </c>
      <c r="I37" s="43">
        <v>245</v>
      </c>
      <c r="J37" s="43">
        <v>440</v>
      </c>
      <c r="K37" s="43">
        <v>365</v>
      </c>
      <c r="L37" s="43">
        <v>292.5</v>
      </c>
      <c r="M37" s="43">
        <v>235</v>
      </c>
      <c r="N37" s="43">
        <v>430</v>
      </c>
      <c r="O37" s="43">
        <v>285</v>
      </c>
      <c r="P37" s="43">
        <v>447</v>
      </c>
      <c r="Q37" s="43">
        <v>385</v>
      </c>
      <c r="R37" s="43">
        <v>280</v>
      </c>
      <c r="S37" s="43">
        <v>365</v>
      </c>
      <c r="T37" s="43">
        <v>198</v>
      </c>
      <c r="U37" s="43">
        <v>350</v>
      </c>
      <c r="V37" s="43">
        <v>340</v>
      </c>
      <c r="W37" s="43">
        <v>315.10000000000002</v>
      </c>
      <c r="X37" s="43">
        <v>190</v>
      </c>
      <c r="Y37" s="43">
        <v>360</v>
      </c>
      <c r="Z37" s="43">
        <v>300</v>
      </c>
      <c r="AA37" s="43">
        <v>240</v>
      </c>
      <c r="AB37" s="43">
        <v>200</v>
      </c>
      <c r="AC37" s="43">
        <v>348</v>
      </c>
      <c r="AD37" s="43">
        <v>220</v>
      </c>
      <c r="AE37" s="43">
        <v>365</v>
      </c>
      <c r="AF37" s="44">
        <v>10653</v>
      </c>
      <c r="AG37" s="44">
        <v>8156</v>
      </c>
      <c r="AH37" s="44">
        <v>13119</v>
      </c>
      <c r="AI37" s="44">
        <v>6418</v>
      </c>
      <c r="AJ37" s="44">
        <v>7103</v>
      </c>
      <c r="AK37" s="44">
        <v>9421</v>
      </c>
      <c r="AL37" s="44">
        <v>4166</v>
      </c>
      <c r="AM37" s="44">
        <v>1542</v>
      </c>
      <c r="AN37" s="44">
        <v>5020</v>
      </c>
      <c r="AO37" s="44">
        <v>1929</v>
      </c>
      <c r="AP37" s="44">
        <v>782</v>
      </c>
      <c r="AQ37" s="44">
        <v>1220</v>
      </c>
      <c r="AR37" s="44">
        <v>439</v>
      </c>
      <c r="AS37" s="44">
        <v>162</v>
      </c>
      <c r="AT37" s="44">
        <v>1000</v>
      </c>
      <c r="AU37" s="44">
        <v>9828</v>
      </c>
      <c r="AV37" s="44">
        <v>1761</v>
      </c>
      <c r="AW37" s="44">
        <v>7748</v>
      </c>
      <c r="AX37" s="44">
        <v>1003</v>
      </c>
      <c r="AY37" s="44">
        <v>2450</v>
      </c>
      <c r="AZ37" s="44">
        <v>3392</v>
      </c>
      <c r="BA37" s="44">
        <v>1788</v>
      </c>
      <c r="BB37" s="44">
        <v>181</v>
      </c>
      <c r="BC37" s="44">
        <v>1643</v>
      </c>
      <c r="BD37" s="44">
        <v>259</v>
      </c>
      <c r="BE37" s="44">
        <v>251</v>
      </c>
      <c r="BF37" s="44">
        <v>185</v>
      </c>
      <c r="BG37" s="44">
        <v>367</v>
      </c>
      <c r="BH37" s="44">
        <v>72</v>
      </c>
      <c r="BI37" s="44">
        <v>758</v>
      </c>
    </row>
    <row r="38" spans="1:61" x14ac:dyDescent="0.2">
      <c r="A38" s="42">
        <v>39783</v>
      </c>
      <c r="B38" s="43">
        <v>468</v>
      </c>
      <c r="C38" s="43">
        <v>290</v>
      </c>
      <c r="D38" s="43">
        <v>385</v>
      </c>
      <c r="E38" s="43">
        <v>236</v>
      </c>
      <c r="F38" s="43">
        <v>399</v>
      </c>
      <c r="G38" s="43">
        <v>365</v>
      </c>
      <c r="H38" s="43">
        <v>355</v>
      </c>
      <c r="I38" s="43">
        <v>245</v>
      </c>
      <c r="J38" s="43">
        <v>425</v>
      </c>
      <c r="K38" s="43">
        <v>351</v>
      </c>
      <c r="L38" s="43">
        <v>300</v>
      </c>
      <c r="M38" s="43">
        <v>225</v>
      </c>
      <c r="N38" s="43">
        <v>445</v>
      </c>
      <c r="O38" s="43">
        <v>296.8</v>
      </c>
      <c r="P38" s="43">
        <v>450</v>
      </c>
      <c r="Q38" s="43">
        <v>373</v>
      </c>
      <c r="R38" s="43">
        <v>280</v>
      </c>
      <c r="S38" s="43">
        <v>350</v>
      </c>
      <c r="T38" s="43">
        <v>195</v>
      </c>
      <c r="U38" s="43">
        <v>350</v>
      </c>
      <c r="V38" s="43">
        <v>316</v>
      </c>
      <c r="W38" s="43">
        <v>300.8</v>
      </c>
      <c r="X38" s="43">
        <v>202</v>
      </c>
      <c r="Y38" s="43">
        <v>350</v>
      </c>
      <c r="Z38" s="43">
        <v>300</v>
      </c>
      <c r="AA38" s="43">
        <v>245</v>
      </c>
      <c r="AB38" s="43">
        <v>200</v>
      </c>
      <c r="AC38" s="43">
        <v>329</v>
      </c>
      <c r="AD38" s="43">
        <v>240</v>
      </c>
      <c r="AE38" s="43">
        <v>360.5</v>
      </c>
      <c r="AF38" s="44">
        <v>11240</v>
      </c>
      <c r="AG38" s="44">
        <v>8893</v>
      </c>
      <c r="AH38" s="44">
        <v>13092</v>
      </c>
      <c r="AI38" s="44">
        <v>6793</v>
      </c>
      <c r="AJ38" s="44">
        <v>6938</v>
      </c>
      <c r="AK38" s="44">
        <v>9240</v>
      </c>
      <c r="AL38" s="44">
        <v>4225</v>
      </c>
      <c r="AM38" s="44">
        <v>1670</v>
      </c>
      <c r="AN38" s="44">
        <v>4254</v>
      </c>
      <c r="AO38" s="44">
        <v>1707</v>
      </c>
      <c r="AP38" s="44">
        <v>860</v>
      </c>
      <c r="AQ38" s="44">
        <v>1353</v>
      </c>
      <c r="AR38" s="44">
        <v>459</v>
      </c>
      <c r="AS38" s="44">
        <v>169</v>
      </c>
      <c r="AT38" s="44">
        <v>988</v>
      </c>
      <c r="AU38" s="44">
        <v>10127</v>
      </c>
      <c r="AV38" s="44">
        <v>1907</v>
      </c>
      <c r="AW38" s="44">
        <v>7470</v>
      </c>
      <c r="AX38" s="44">
        <v>1029</v>
      </c>
      <c r="AY38" s="44">
        <v>2463</v>
      </c>
      <c r="AZ38" s="44">
        <v>3233</v>
      </c>
      <c r="BA38" s="44">
        <v>1720</v>
      </c>
      <c r="BB38" s="44">
        <v>228</v>
      </c>
      <c r="BC38" s="44">
        <v>1406</v>
      </c>
      <c r="BD38" s="44">
        <v>217</v>
      </c>
      <c r="BE38" s="44">
        <v>320</v>
      </c>
      <c r="BF38" s="44">
        <v>215</v>
      </c>
      <c r="BG38" s="44">
        <v>328</v>
      </c>
      <c r="BH38" s="44">
        <v>71</v>
      </c>
      <c r="BI38" s="44">
        <v>715</v>
      </c>
    </row>
    <row r="39" spans="1:61" x14ac:dyDescent="0.2">
      <c r="A39" s="42">
        <v>39873</v>
      </c>
      <c r="B39" s="43">
        <v>448</v>
      </c>
      <c r="C39" s="43">
        <v>300</v>
      </c>
      <c r="D39" s="43">
        <v>375</v>
      </c>
      <c r="E39" s="43">
        <v>238</v>
      </c>
      <c r="F39" s="43">
        <v>400</v>
      </c>
      <c r="G39" s="43">
        <v>370</v>
      </c>
      <c r="H39" s="43">
        <v>353.5</v>
      </c>
      <c r="I39" s="43">
        <v>248</v>
      </c>
      <c r="J39" s="43">
        <v>439</v>
      </c>
      <c r="K39" s="43">
        <v>360</v>
      </c>
      <c r="L39" s="43">
        <v>296.5</v>
      </c>
      <c r="M39" s="43">
        <v>235</v>
      </c>
      <c r="N39" s="43">
        <v>455</v>
      </c>
      <c r="O39" s="43">
        <v>321</v>
      </c>
      <c r="P39" s="43">
        <v>459.5</v>
      </c>
      <c r="Q39" s="43">
        <v>380</v>
      </c>
      <c r="R39" s="43">
        <v>270.5</v>
      </c>
      <c r="S39" s="43">
        <v>348</v>
      </c>
      <c r="T39" s="43">
        <v>210</v>
      </c>
      <c r="U39" s="43">
        <v>349.8</v>
      </c>
      <c r="V39" s="43">
        <v>324</v>
      </c>
      <c r="W39" s="43">
        <v>300</v>
      </c>
      <c r="X39" s="43">
        <v>175</v>
      </c>
      <c r="Y39" s="43">
        <v>350</v>
      </c>
      <c r="Z39" s="43">
        <v>315</v>
      </c>
      <c r="AA39" s="43">
        <v>255</v>
      </c>
      <c r="AB39" s="43">
        <v>213</v>
      </c>
      <c r="AC39" s="43">
        <v>370</v>
      </c>
      <c r="AD39" s="43">
        <v>249</v>
      </c>
      <c r="AE39" s="43">
        <v>372.5</v>
      </c>
      <c r="AF39" s="44">
        <v>12259</v>
      </c>
      <c r="AG39" s="44">
        <v>10211</v>
      </c>
      <c r="AH39" s="44">
        <v>13091</v>
      </c>
      <c r="AI39" s="44">
        <v>7329</v>
      </c>
      <c r="AJ39" s="44">
        <v>9329</v>
      </c>
      <c r="AK39" s="44">
        <v>11278</v>
      </c>
      <c r="AL39" s="44">
        <v>4585</v>
      </c>
      <c r="AM39" s="44">
        <v>2048</v>
      </c>
      <c r="AN39" s="44">
        <v>5916</v>
      </c>
      <c r="AO39" s="44">
        <v>2164</v>
      </c>
      <c r="AP39" s="44">
        <v>1100</v>
      </c>
      <c r="AQ39" s="44">
        <v>1634</v>
      </c>
      <c r="AR39" s="44">
        <v>425</v>
      </c>
      <c r="AS39" s="44">
        <v>198</v>
      </c>
      <c r="AT39" s="44">
        <v>1122</v>
      </c>
      <c r="AU39" s="44">
        <v>11641</v>
      </c>
      <c r="AV39" s="44">
        <v>2324</v>
      </c>
      <c r="AW39" s="44">
        <v>7684</v>
      </c>
      <c r="AX39" s="44">
        <v>1270</v>
      </c>
      <c r="AY39" s="44">
        <v>3162</v>
      </c>
      <c r="AZ39" s="44">
        <v>4165</v>
      </c>
      <c r="BA39" s="44">
        <v>1865</v>
      </c>
      <c r="BB39" s="44">
        <v>223</v>
      </c>
      <c r="BC39" s="44">
        <v>1989</v>
      </c>
      <c r="BD39" s="44">
        <v>288</v>
      </c>
      <c r="BE39" s="44">
        <v>436</v>
      </c>
      <c r="BF39" s="44">
        <v>312</v>
      </c>
      <c r="BG39" s="44">
        <v>421</v>
      </c>
      <c r="BH39" s="44">
        <v>87</v>
      </c>
      <c r="BI39" s="44">
        <v>849</v>
      </c>
    </row>
    <row r="40" spans="1:61" x14ac:dyDescent="0.2">
      <c r="A40" s="42">
        <v>39965</v>
      </c>
      <c r="B40" s="43">
        <v>490</v>
      </c>
      <c r="C40" s="43">
        <v>300</v>
      </c>
      <c r="D40" s="43">
        <v>400</v>
      </c>
      <c r="E40" s="43">
        <v>245</v>
      </c>
      <c r="F40" s="43">
        <v>420</v>
      </c>
      <c r="G40" s="43">
        <v>372.8</v>
      </c>
      <c r="H40" s="43">
        <v>363</v>
      </c>
      <c r="I40" s="43">
        <v>245</v>
      </c>
      <c r="J40" s="43">
        <v>455</v>
      </c>
      <c r="K40" s="43">
        <v>370</v>
      </c>
      <c r="L40" s="43">
        <v>310</v>
      </c>
      <c r="M40" s="43">
        <v>240</v>
      </c>
      <c r="N40" s="43">
        <v>465</v>
      </c>
      <c r="O40" s="43">
        <v>335</v>
      </c>
      <c r="P40" s="43">
        <v>455</v>
      </c>
      <c r="Q40" s="43">
        <v>398</v>
      </c>
      <c r="R40" s="43">
        <v>280</v>
      </c>
      <c r="S40" s="43">
        <v>379.5</v>
      </c>
      <c r="T40" s="43">
        <v>217.8</v>
      </c>
      <c r="U40" s="43">
        <v>365</v>
      </c>
      <c r="V40" s="43">
        <v>330</v>
      </c>
      <c r="W40" s="43">
        <v>310</v>
      </c>
      <c r="X40" s="43">
        <v>174.5</v>
      </c>
      <c r="Y40" s="43">
        <v>380</v>
      </c>
      <c r="Z40" s="43">
        <v>325</v>
      </c>
      <c r="AA40" s="43">
        <v>260</v>
      </c>
      <c r="AB40" s="43">
        <v>220</v>
      </c>
      <c r="AC40" s="43">
        <v>360</v>
      </c>
      <c r="AD40" s="43">
        <v>300</v>
      </c>
      <c r="AE40" s="43">
        <v>375</v>
      </c>
      <c r="AF40" s="44">
        <v>14318</v>
      </c>
      <c r="AG40" s="44">
        <v>9672</v>
      </c>
      <c r="AH40" s="44">
        <v>15315</v>
      </c>
      <c r="AI40" s="44">
        <v>8359</v>
      </c>
      <c r="AJ40" s="44">
        <v>8806</v>
      </c>
      <c r="AK40" s="44">
        <v>9924</v>
      </c>
      <c r="AL40" s="44">
        <v>4877</v>
      </c>
      <c r="AM40" s="44">
        <v>1885</v>
      </c>
      <c r="AN40" s="44">
        <v>7148</v>
      </c>
      <c r="AO40" s="44">
        <v>2136</v>
      </c>
      <c r="AP40" s="44">
        <v>1001</v>
      </c>
      <c r="AQ40" s="44">
        <v>1609</v>
      </c>
      <c r="AR40" s="44">
        <v>469</v>
      </c>
      <c r="AS40" s="44">
        <v>174</v>
      </c>
      <c r="AT40" s="44">
        <v>1319</v>
      </c>
      <c r="AU40" s="44">
        <v>13995</v>
      </c>
      <c r="AV40" s="44">
        <v>2296</v>
      </c>
      <c r="AW40" s="44">
        <v>9685</v>
      </c>
      <c r="AX40" s="44">
        <v>1402</v>
      </c>
      <c r="AY40" s="44">
        <v>3246</v>
      </c>
      <c r="AZ40" s="44">
        <v>3966</v>
      </c>
      <c r="BA40" s="44">
        <v>1898</v>
      </c>
      <c r="BB40" s="44">
        <v>262</v>
      </c>
      <c r="BC40" s="44">
        <v>2376</v>
      </c>
      <c r="BD40" s="44">
        <v>278</v>
      </c>
      <c r="BE40" s="44">
        <v>348</v>
      </c>
      <c r="BF40" s="44">
        <v>272</v>
      </c>
      <c r="BG40" s="44">
        <v>441</v>
      </c>
      <c r="BH40" s="44">
        <v>91</v>
      </c>
      <c r="BI40" s="44">
        <v>1165</v>
      </c>
    </row>
    <row r="41" spans="1:61" x14ac:dyDescent="0.2">
      <c r="A41" s="42">
        <v>40057</v>
      </c>
      <c r="B41" s="43">
        <v>500</v>
      </c>
      <c r="C41" s="43">
        <v>310</v>
      </c>
      <c r="D41" s="43">
        <v>422</v>
      </c>
      <c r="E41" s="43">
        <v>250</v>
      </c>
      <c r="F41" s="43">
        <v>430</v>
      </c>
      <c r="G41" s="43">
        <v>380</v>
      </c>
      <c r="H41" s="43">
        <v>370</v>
      </c>
      <c r="I41" s="43">
        <v>260</v>
      </c>
      <c r="J41" s="43">
        <v>473</v>
      </c>
      <c r="K41" s="43">
        <v>375</v>
      </c>
      <c r="L41" s="43">
        <v>310.10000000000002</v>
      </c>
      <c r="M41" s="43">
        <v>245</v>
      </c>
      <c r="N41" s="43">
        <v>490</v>
      </c>
      <c r="O41" s="43">
        <v>345</v>
      </c>
      <c r="P41" s="43">
        <v>456</v>
      </c>
      <c r="Q41" s="43">
        <v>423</v>
      </c>
      <c r="R41" s="43">
        <v>289</v>
      </c>
      <c r="S41" s="43">
        <v>392</v>
      </c>
      <c r="T41" s="43">
        <v>221</v>
      </c>
      <c r="U41" s="43">
        <v>370</v>
      </c>
      <c r="V41" s="43">
        <v>345</v>
      </c>
      <c r="W41" s="43">
        <v>310</v>
      </c>
      <c r="X41" s="43">
        <v>170</v>
      </c>
      <c r="Y41" s="43">
        <v>390</v>
      </c>
      <c r="Z41" s="43">
        <v>331</v>
      </c>
      <c r="AA41" s="43">
        <v>270</v>
      </c>
      <c r="AB41" s="43">
        <v>220</v>
      </c>
      <c r="AC41" s="43">
        <v>377</v>
      </c>
      <c r="AD41" s="43">
        <v>307.5</v>
      </c>
      <c r="AE41" s="43">
        <v>378</v>
      </c>
      <c r="AF41" s="44">
        <v>14816</v>
      </c>
      <c r="AG41" s="44">
        <v>12211</v>
      </c>
      <c r="AH41" s="44">
        <v>16313</v>
      </c>
      <c r="AI41" s="44">
        <v>8296</v>
      </c>
      <c r="AJ41" s="44">
        <v>9068</v>
      </c>
      <c r="AK41" s="44">
        <v>10999</v>
      </c>
      <c r="AL41" s="44">
        <v>4473</v>
      </c>
      <c r="AM41" s="44">
        <v>1922</v>
      </c>
      <c r="AN41" s="44">
        <v>7701</v>
      </c>
      <c r="AO41" s="44">
        <v>2348</v>
      </c>
      <c r="AP41" s="44">
        <v>1033</v>
      </c>
      <c r="AQ41" s="44">
        <v>1528</v>
      </c>
      <c r="AR41" s="44">
        <v>436</v>
      </c>
      <c r="AS41" s="44">
        <v>199</v>
      </c>
      <c r="AT41" s="44">
        <v>1381</v>
      </c>
      <c r="AU41" s="44">
        <v>16289</v>
      </c>
      <c r="AV41" s="44">
        <v>2959</v>
      </c>
      <c r="AW41" s="44">
        <v>11517</v>
      </c>
      <c r="AX41" s="44">
        <v>1499</v>
      </c>
      <c r="AY41" s="44">
        <v>3820</v>
      </c>
      <c r="AZ41" s="44">
        <v>4622</v>
      </c>
      <c r="BA41" s="44">
        <v>1818</v>
      </c>
      <c r="BB41" s="44">
        <v>253</v>
      </c>
      <c r="BC41" s="44">
        <v>2842</v>
      </c>
      <c r="BD41" s="44">
        <v>390</v>
      </c>
      <c r="BE41" s="44">
        <v>418</v>
      </c>
      <c r="BF41" s="44">
        <v>288</v>
      </c>
      <c r="BG41" s="44">
        <v>463</v>
      </c>
      <c r="BH41" s="44">
        <v>90</v>
      </c>
      <c r="BI41" s="44">
        <v>1347</v>
      </c>
    </row>
    <row r="42" spans="1:61" x14ac:dyDescent="0.2">
      <c r="A42" s="42">
        <v>40148</v>
      </c>
      <c r="B42" s="43">
        <v>595</v>
      </c>
      <c r="C42" s="43">
        <v>340</v>
      </c>
      <c r="D42" s="43">
        <v>477.5</v>
      </c>
      <c r="E42" s="43">
        <v>266.5</v>
      </c>
      <c r="F42" s="43">
        <v>455</v>
      </c>
      <c r="G42" s="43">
        <v>395</v>
      </c>
      <c r="H42" s="43">
        <v>398.8</v>
      </c>
      <c r="I42" s="43">
        <v>267</v>
      </c>
      <c r="J42" s="43">
        <v>505</v>
      </c>
      <c r="K42" s="43">
        <v>400</v>
      </c>
      <c r="L42" s="43">
        <v>350</v>
      </c>
      <c r="M42" s="43">
        <v>252.3</v>
      </c>
      <c r="N42" s="43">
        <v>520</v>
      </c>
      <c r="O42" s="43">
        <v>368</v>
      </c>
      <c r="P42" s="43">
        <v>509</v>
      </c>
      <c r="Q42" s="43">
        <v>450</v>
      </c>
      <c r="R42" s="43">
        <v>310</v>
      </c>
      <c r="S42" s="43">
        <v>421</v>
      </c>
      <c r="T42" s="43">
        <v>232</v>
      </c>
      <c r="U42" s="43">
        <v>381</v>
      </c>
      <c r="V42" s="43">
        <v>356.1</v>
      </c>
      <c r="W42" s="43">
        <v>326.8</v>
      </c>
      <c r="X42" s="43">
        <v>196</v>
      </c>
      <c r="Y42" s="43">
        <v>415</v>
      </c>
      <c r="Z42" s="43">
        <v>339</v>
      </c>
      <c r="AA42" s="43">
        <v>285</v>
      </c>
      <c r="AB42" s="43">
        <v>220</v>
      </c>
      <c r="AC42" s="43">
        <v>400</v>
      </c>
      <c r="AD42" s="43">
        <v>332.5</v>
      </c>
      <c r="AE42" s="43">
        <v>402.5</v>
      </c>
      <c r="AF42" s="44">
        <v>12786</v>
      </c>
      <c r="AG42" s="44">
        <v>10119</v>
      </c>
      <c r="AH42" s="44">
        <v>16586</v>
      </c>
      <c r="AI42" s="44">
        <v>7422</v>
      </c>
      <c r="AJ42" s="44">
        <v>7844</v>
      </c>
      <c r="AK42" s="44">
        <v>9791</v>
      </c>
      <c r="AL42" s="44">
        <v>4234</v>
      </c>
      <c r="AM42" s="44">
        <v>1718</v>
      </c>
      <c r="AN42" s="44">
        <v>6635</v>
      </c>
      <c r="AO42" s="44">
        <v>2017</v>
      </c>
      <c r="AP42" s="44">
        <v>921</v>
      </c>
      <c r="AQ42" s="44">
        <v>1286</v>
      </c>
      <c r="AR42" s="44">
        <v>363</v>
      </c>
      <c r="AS42" s="44">
        <v>157</v>
      </c>
      <c r="AT42" s="44">
        <v>1297</v>
      </c>
      <c r="AU42" s="44">
        <v>11800</v>
      </c>
      <c r="AV42" s="44">
        <v>2643</v>
      </c>
      <c r="AW42" s="44">
        <v>9724</v>
      </c>
      <c r="AX42" s="44">
        <v>1298</v>
      </c>
      <c r="AY42" s="44">
        <v>3206</v>
      </c>
      <c r="AZ42" s="44">
        <v>3772</v>
      </c>
      <c r="BA42" s="44">
        <v>1770</v>
      </c>
      <c r="BB42" s="44">
        <v>229</v>
      </c>
      <c r="BC42" s="44">
        <v>2383</v>
      </c>
      <c r="BD42" s="44">
        <v>375</v>
      </c>
      <c r="BE42" s="44">
        <v>335</v>
      </c>
      <c r="BF42" s="44">
        <v>230</v>
      </c>
      <c r="BG42" s="44">
        <v>316</v>
      </c>
      <c r="BH42" s="44">
        <v>60</v>
      </c>
      <c r="BI42" s="44">
        <v>1043</v>
      </c>
    </row>
    <row r="43" spans="1:61" x14ac:dyDescent="0.2">
      <c r="A43" s="42">
        <v>40238</v>
      </c>
      <c r="B43" s="43">
        <v>583</v>
      </c>
      <c r="C43" s="43">
        <v>340</v>
      </c>
      <c r="D43" s="43">
        <v>468</v>
      </c>
      <c r="E43" s="43">
        <v>275</v>
      </c>
      <c r="F43" s="43">
        <v>460</v>
      </c>
      <c r="G43" s="43">
        <v>400</v>
      </c>
      <c r="H43" s="43">
        <v>402</v>
      </c>
      <c r="I43" s="43">
        <v>280</v>
      </c>
      <c r="J43" s="43">
        <v>518</v>
      </c>
      <c r="K43" s="43">
        <v>410</v>
      </c>
      <c r="L43" s="43">
        <v>350.5</v>
      </c>
      <c r="M43" s="43">
        <v>262</v>
      </c>
      <c r="N43" s="43">
        <v>529</v>
      </c>
      <c r="O43" s="43">
        <v>364</v>
      </c>
      <c r="P43" s="43">
        <v>530</v>
      </c>
      <c r="Q43" s="43">
        <v>450</v>
      </c>
      <c r="R43" s="43">
        <v>306</v>
      </c>
      <c r="S43" s="43">
        <v>424</v>
      </c>
      <c r="T43" s="43">
        <v>235</v>
      </c>
      <c r="U43" s="43">
        <v>385</v>
      </c>
      <c r="V43" s="43">
        <v>360</v>
      </c>
      <c r="W43" s="43">
        <v>333</v>
      </c>
      <c r="X43" s="43">
        <v>199.5</v>
      </c>
      <c r="Y43" s="43">
        <v>420</v>
      </c>
      <c r="Z43" s="43">
        <v>347.5</v>
      </c>
      <c r="AA43" s="43">
        <v>278.5</v>
      </c>
      <c r="AB43" s="43">
        <v>226.5</v>
      </c>
      <c r="AC43" s="43">
        <v>430.2</v>
      </c>
      <c r="AD43" s="43">
        <v>335</v>
      </c>
      <c r="AE43" s="43">
        <v>410</v>
      </c>
      <c r="AF43" s="44">
        <v>11091</v>
      </c>
      <c r="AG43" s="44">
        <v>8729</v>
      </c>
      <c r="AH43" s="44">
        <v>14148</v>
      </c>
      <c r="AI43" s="44">
        <v>7161</v>
      </c>
      <c r="AJ43" s="44">
        <v>7640</v>
      </c>
      <c r="AK43" s="44">
        <v>9304</v>
      </c>
      <c r="AL43" s="44">
        <v>3993</v>
      </c>
      <c r="AM43" s="44">
        <v>1681</v>
      </c>
      <c r="AN43" s="44">
        <v>6401</v>
      </c>
      <c r="AO43" s="44">
        <v>2010</v>
      </c>
      <c r="AP43" s="44">
        <v>976</v>
      </c>
      <c r="AQ43" s="44">
        <v>1333</v>
      </c>
      <c r="AR43" s="44">
        <v>339</v>
      </c>
      <c r="AS43" s="44">
        <v>86</v>
      </c>
      <c r="AT43" s="44">
        <v>971</v>
      </c>
      <c r="AU43" s="44">
        <v>9925</v>
      </c>
      <c r="AV43" s="44">
        <v>2093</v>
      </c>
      <c r="AW43" s="44">
        <v>9015</v>
      </c>
      <c r="AX43" s="44">
        <v>1271</v>
      </c>
      <c r="AY43" s="44">
        <v>2960</v>
      </c>
      <c r="AZ43" s="44">
        <v>3793</v>
      </c>
      <c r="BA43" s="44">
        <v>1605</v>
      </c>
      <c r="BB43" s="44">
        <v>191</v>
      </c>
      <c r="BC43" s="44">
        <v>2496</v>
      </c>
      <c r="BD43" s="44">
        <v>328</v>
      </c>
      <c r="BE43" s="44">
        <v>296</v>
      </c>
      <c r="BF43" s="44">
        <v>211</v>
      </c>
      <c r="BG43" s="44">
        <v>285</v>
      </c>
      <c r="BH43" s="44">
        <v>23</v>
      </c>
      <c r="BI43" s="44">
        <v>878</v>
      </c>
    </row>
    <row r="44" spans="1:61" x14ac:dyDescent="0.2">
      <c r="A44" s="42">
        <v>40330</v>
      </c>
      <c r="B44" s="43">
        <v>612.5</v>
      </c>
      <c r="C44" s="43">
        <v>340</v>
      </c>
      <c r="D44" s="43">
        <v>500</v>
      </c>
      <c r="E44" s="43">
        <v>278.2</v>
      </c>
      <c r="F44" s="43">
        <v>465</v>
      </c>
      <c r="G44" s="43">
        <v>395</v>
      </c>
      <c r="H44" s="43">
        <v>410</v>
      </c>
      <c r="I44" s="43">
        <v>278</v>
      </c>
      <c r="J44" s="43">
        <v>510</v>
      </c>
      <c r="K44" s="43">
        <v>385</v>
      </c>
      <c r="L44" s="43">
        <v>343.8</v>
      </c>
      <c r="M44" s="43">
        <v>257</v>
      </c>
      <c r="N44" s="43">
        <v>530</v>
      </c>
      <c r="O44" s="43">
        <v>395</v>
      </c>
      <c r="P44" s="43">
        <v>516.20000000000005</v>
      </c>
      <c r="Q44" s="43">
        <v>480</v>
      </c>
      <c r="R44" s="43">
        <v>305</v>
      </c>
      <c r="S44" s="43">
        <v>450</v>
      </c>
      <c r="T44" s="43">
        <v>229.8</v>
      </c>
      <c r="U44" s="43">
        <v>392.5</v>
      </c>
      <c r="V44" s="43">
        <v>355</v>
      </c>
      <c r="W44" s="43">
        <v>337.5</v>
      </c>
      <c r="X44" s="43">
        <v>172.5</v>
      </c>
      <c r="Y44" s="43">
        <v>417</v>
      </c>
      <c r="Z44" s="43">
        <v>348.5</v>
      </c>
      <c r="AA44" s="43">
        <v>280</v>
      </c>
      <c r="AB44" s="43">
        <v>235</v>
      </c>
      <c r="AC44" s="43">
        <v>430</v>
      </c>
      <c r="AD44" s="43">
        <v>320</v>
      </c>
      <c r="AE44" s="43">
        <v>413.5</v>
      </c>
      <c r="AF44" s="44">
        <v>12610</v>
      </c>
      <c r="AG44" s="44">
        <v>9551</v>
      </c>
      <c r="AH44" s="44">
        <v>15641</v>
      </c>
      <c r="AI44" s="44">
        <v>7249</v>
      </c>
      <c r="AJ44" s="44">
        <v>6869</v>
      </c>
      <c r="AK44" s="44">
        <v>8203</v>
      </c>
      <c r="AL44" s="44">
        <v>4197</v>
      </c>
      <c r="AM44" s="44">
        <v>1461</v>
      </c>
      <c r="AN44" s="44">
        <v>5064</v>
      </c>
      <c r="AO44" s="44">
        <v>1468</v>
      </c>
      <c r="AP44" s="44">
        <v>841</v>
      </c>
      <c r="AQ44" s="44">
        <v>1214</v>
      </c>
      <c r="AR44" s="44">
        <v>310</v>
      </c>
      <c r="AS44" s="44">
        <v>122</v>
      </c>
      <c r="AT44" s="44">
        <v>1234</v>
      </c>
      <c r="AU44" s="44">
        <v>12183</v>
      </c>
      <c r="AV44" s="44">
        <v>2379</v>
      </c>
      <c r="AW44" s="44">
        <v>9884</v>
      </c>
      <c r="AX44" s="44">
        <v>1206</v>
      </c>
      <c r="AY44" s="44">
        <v>2823</v>
      </c>
      <c r="AZ44" s="44">
        <v>3224</v>
      </c>
      <c r="BA44" s="44">
        <v>1665</v>
      </c>
      <c r="BB44" s="44">
        <v>150</v>
      </c>
      <c r="BC44" s="44">
        <v>1815</v>
      </c>
      <c r="BD44" s="44">
        <v>196</v>
      </c>
      <c r="BE44" s="44">
        <v>279</v>
      </c>
      <c r="BF44" s="44">
        <v>180</v>
      </c>
      <c r="BG44" s="44">
        <v>296</v>
      </c>
      <c r="BH44" s="44">
        <v>71</v>
      </c>
      <c r="BI44" s="44">
        <v>1509</v>
      </c>
    </row>
    <row r="45" spans="1:61" x14ac:dyDescent="0.2">
      <c r="A45" s="42">
        <v>40422</v>
      </c>
      <c r="B45" s="43">
        <v>598</v>
      </c>
      <c r="C45" s="43">
        <v>340</v>
      </c>
      <c r="D45" s="43">
        <v>488.3</v>
      </c>
      <c r="E45" s="43">
        <v>280</v>
      </c>
      <c r="F45" s="43">
        <v>460</v>
      </c>
      <c r="G45" s="43">
        <v>388</v>
      </c>
      <c r="H45" s="43">
        <v>400</v>
      </c>
      <c r="I45" s="43">
        <v>275</v>
      </c>
      <c r="J45" s="43">
        <v>500</v>
      </c>
      <c r="K45" s="43">
        <v>380</v>
      </c>
      <c r="L45" s="43">
        <v>340</v>
      </c>
      <c r="M45" s="43">
        <v>260</v>
      </c>
      <c r="N45" s="43">
        <v>535</v>
      </c>
      <c r="O45" s="43">
        <v>421.5</v>
      </c>
      <c r="P45" s="43">
        <v>530</v>
      </c>
      <c r="Q45" s="43">
        <v>477</v>
      </c>
      <c r="R45" s="43">
        <v>300</v>
      </c>
      <c r="S45" s="43">
        <v>445</v>
      </c>
      <c r="T45" s="43">
        <v>235</v>
      </c>
      <c r="U45" s="43">
        <v>383.8</v>
      </c>
      <c r="V45" s="43">
        <v>347.5</v>
      </c>
      <c r="W45" s="43">
        <v>330.5</v>
      </c>
      <c r="X45" s="43">
        <v>200</v>
      </c>
      <c r="Y45" s="43">
        <v>410</v>
      </c>
      <c r="Z45" s="43">
        <v>329</v>
      </c>
      <c r="AA45" s="43">
        <v>287.5</v>
      </c>
      <c r="AB45" s="43">
        <v>235</v>
      </c>
      <c r="AC45" s="43">
        <v>400</v>
      </c>
      <c r="AD45" s="43">
        <v>307.3</v>
      </c>
      <c r="AE45" s="43">
        <v>425</v>
      </c>
      <c r="AF45" s="44">
        <v>11334</v>
      </c>
      <c r="AG45" s="44">
        <v>9204</v>
      </c>
      <c r="AH45" s="44">
        <v>13632</v>
      </c>
      <c r="AI45" s="44">
        <v>6607</v>
      </c>
      <c r="AJ45" s="44">
        <v>6930</v>
      </c>
      <c r="AK45" s="44">
        <v>8490</v>
      </c>
      <c r="AL45" s="44">
        <v>4128</v>
      </c>
      <c r="AM45" s="44">
        <v>1513</v>
      </c>
      <c r="AN45" s="44">
        <v>5131</v>
      </c>
      <c r="AO45" s="44">
        <v>1561</v>
      </c>
      <c r="AP45" s="44">
        <v>840</v>
      </c>
      <c r="AQ45" s="44">
        <v>1176</v>
      </c>
      <c r="AR45" s="44">
        <v>278</v>
      </c>
      <c r="AS45" s="44">
        <v>159</v>
      </c>
      <c r="AT45" s="44">
        <v>1042</v>
      </c>
      <c r="AU45" s="44">
        <v>11407</v>
      </c>
      <c r="AV45" s="44">
        <v>2169</v>
      </c>
      <c r="AW45" s="44">
        <v>9544</v>
      </c>
      <c r="AX45" s="44">
        <v>1164</v>
      </c>
      <c r="AY45" s="44">
        <v>2618</v>
      </c>
      <c r="AZ45" s="44">
        <v>2951</v>
      </c>
      <c r="BA45" s="44">
        <v>1615</v>
      </c>
      <c r="BB45" s="44">
        <v>190</v>
      </c>
      <c r="BC45" s="44">
        <v>1810</v>
      </c>
      <c r="BD45" s="44">
        <v>207</v>
      </c>
      <c r="BE45" s="44">
        <v>276</v>
      </c>
      <c r="BF45" s="44">
        <v>241</v>
      </c>
      <c r="BG45" s="44">
        <v>276</v>
      </c>
      <c r="BH45" s="44">
        <v>64</v>
      </c>
      <c r="BI45" s="44">
        <v>955</v>
      </c>
    </row>
    <row r="46" spans="1:61" x14ac:dyDescent="0.2">
      <c r="A46" s="42">
        <v>40513</v>
      </c>
      <c r="B46" s="43">
        <v>620</v>
      </c>
      <c r="C46" s="43">
        <v>340</v>
      </c>
      <c r="D46" s="43">
        <v>520</v>
      </c>
      <c r="E46" s="43">
        <v>292.5</v>
      </c>
      <c r="F46" s="43">
        <v>460</v>
      </c>
      <c r="G46" s="43">
        <v>387.5</v>
      </c>
      <c r="H46" s="43">
        <v>410</v>
      </c>
      <c r="I46" s="43">
        <v>277.3</v>
      </c>
      <c r="J46" s="43">
        <v>500</v>
      </c>
      <c r="K46" s="43">
        <v>385</v>
      </c>
      <c r="L46" s="43">
        <v>345</v>
      </c>
      <c r="M46" s="43">
        <v>260</v>
      </c>
      <c r="N46" s="43">
        <v>545</v>
      </c>
      <c r="O46" s="43">
        <v>435</v>
      </c>
      <c r="P46" s="43">
        <v>534.5</v>
      </c>
      <c r="Q46" s="43">
        <v>487.6</v>
      </c>
      <c r="R46" s="43">
        <v>305</v>
      </c>
      <c r="S46" s="43">
        <v>460</v>
      </c>
      <c r="T46" s="43">
        <v>255</v>
      </c>
      <c r="U46" s="43">
        <v>385</v>
      </c>
      <c r="V46" s="43">
        <v>347.5</v>
      </c>
      <c r="W46" s="43">
        <v>335</v>
      </c>
      <c r="X46" s="43">
        <v>185</v>
      </c>
      <c r="Y46" s="43">
        <v>410</v>
      </c>
      <c r="Z46" s="43">
        <v>335</v>
      </c>
      <c r="AA46" s="43">
        <v>288</v>
      </c>
      <c r="AB46" s="43">
        <v>230</v>
      </c>
      <c r="AC46" s="43">
        <v>420.5</v>
      </c>
      <c r="AD46" s="43">
        <v>350</v>
      </c>
      <c r="AE46" s="43">
        <v>424.9</v>
      </c>
      <c r="AF46" s="44">
        <v>11704</v>
      </c>
      <c r="AG46" s="44">
        <v>9206</v>
      </c>
      <c r="AH46" s="44">
        <v>13141</v>
      </c>
      <c r="AI46" s="44">
        <v>5922</v>
      </c>
      <c r="AJ46" s="44">
        <v>6385</v>
      </c>
      <c r="AK46" s="44">
        <v>8115</v>
      </c>
      <c r="AL46" s="44">
        <v>4009</v>
      </c>
      <c r="AM46" s="44">
        <v>1410</v>
      </c>
      <c r="AN46" s="44">
        <v>4959</v>
      </c>
      <c r="AO46" s="44">
        <v>1585</v>
      </c>
      <c r="AP46" s="44">
        <v>837</v>
      </c>
      <c r="AQ46" s="44">
        <v>1184</v>
      </c>
      <c r="AR46" s="44">
        <v>277</v>
      </c>
      <c r="AS46" s="44">
        <v>139</v>
      </c>
      <c r="AT46" s="44">
        <v>1324</v>
      </c>
      <c r="AU46" s="44">
        <v>10797</v>
      </c>
      <c r="AV46" s="44">
        <v>2162</v>
      </c>
      <c r="AW46" s="44">
        <v>7410</v>
      </c>
      <c r="AX46" s="44">
        <v>876</v>
      </c>
      <c r="AY46" s="44">
        <v>2348</v>
      </c>
      <c r="AZ46" s="44">
        <v>2787</v>
      </c>
      <c r="BA46" s="44">
        <v>1554</v>
      </c>
      <c r="BB46" s="44">
        <v>161</v>
      </c>
      <c r="BC46" s="44">
        <v>1856</v>
      </c>
      <c r="BD46" s="44">
        <v>193</v>
      </c>
      <c r="BE46" s="44">
        <v>315</v>
      </c>
      <c r="BF46" s="44">
        <v>177</v>
      </c>
      <c r="BG46" s="44">
        <v>221</v>
      </c>
      <c r="BH46" s="44">
        <v>64</v>
      </c>
      <c r="BI46" s="44">
        <v>1108</v>
      </c>
    </row>
    <row r="47" spans="1:61" x14ac:dyDescent="0.2">
      <c r="A47" s="42">
        <v>40603</v>
      </c>
      <c r="B47" s="43">
        <v>575</v>
      </c>
      <c r="C47" s="43">
        <v>345</v>
      </c>
      <c r="D47" s="43">
        <v>485</v>
      </c>
      <c r="E47" s="43">
        <v>293</v>
      </c>
      <c r="F47" s="43">
        <v>450</v>
      </c>
      <c r="G47" s="43">
        <v>392.8</v>
      </c>
      <c r="H47" s="43">
        <v>400</v>
      </c>
      <c r="I47" s="43">
        <v>270</v>
      </c>
      <c r="J47" s="43">
        <v>500</v>
      </c>
      <c r="K47" s="43">
        <v>385.3</v>
      </c>
      <c r="L47" s="43">
        <v>338</v>
      </c>
      <c r="M47" s="43">
        <v>263.89999999999998</v>
      </c>
      <c r="N47" s="43">
        <v>510</v>
      </c>
      <c r="O47" s="43">
        <v>430</v>
      </c>
      <c r="P47" s="43">
        <v>530</v>
      </c>
      <c r="Q47" s="43">
        <v>479</v>
      </c>
      <c r="R47" s="43">
        <v>299</v>
      </c>
      <c r="S47" s="43">
        <v>445</v>
      </c>
      <c r="T47" s="43">
        <v>250</v>
      </c>
      <c r="U47" s="43">
        <v>379</v>
      </c>
      <c r="V47" s="43">
        <v>340</v>
      </c>
      <c r="W47" s="43">
        <v>339</v>
      </c>
      <c r="X47" s="43">
        <v>210</v>
      </c>
      <c r="Y47" s="43">
        <v>405</v>
      </c>
      <c r="Z47" s="43">
        <v>310</v>
      </c>
      <c r="AA47" s="43">
        <v>291.5</v>
      </c>
      <c r="AB47" s="43">
        <v>235</v>
      </c>
      <c r="AC47" s="43">
        <v>415</v>
      </c>
      <c r="AD47" s="43">
        <v>335</v>
      </c>
      <c r="AE47" s="43">
        <v>415</v>
      </c>
      <c r="AF47" s="44">
        <v>9917</v>
      </c>
      <c r="AG47" s="44">
        <v>8195</v>
      </c>
      <c r="AH47" s="44">
        <v>10767</v>
      </c>
      <c r="AI47" s="44">
        <v>5715</v>
      </c>
      <c r="AJ47" s="44">
        <v>5874</v>
      </c>
      <c r="AK47" s="44">
        <v>7438</v>
      </c>
      <c r="AL47" s="44">
        <v>3719</v>
      </c>
      <c r="AM47" s="44">
        <v>1437</v>
      </c>
      <c r="AN47" s="44">
        <v>5661</v>
      </c>
      <c r="AO47" s="44">
        <v>1670</v>
      </c>
      <c r="AP47" s="44">
        <v>849</v>
      </c>
      <c r="AQ47" s="44">
        <v>1236</v>
      </c>
      <c r="AR47" s="44">
        <v>270</v>
      </c>
      <c r="AS47" s="44">
        <v>123</v>
      </c>
      <c r="AT47" s="44">
        <v>1001</v>
      </c>
      <c r="AU47" s="44">
        <v>9188</v>
      </c>
      <c r="AV47" s="44">
        <v>1847</v>
      </c>
      <c r="AW47" s="44">
        <v>5680</v>
      </c>
      <c r="AX47" s="44">
        <v>764</v>
      </c>
      <c r="AY47" s="44">
        <v>2039</v>
      </c>
      <c r="AZ47" s="44">
        <v>2556</v>
      </c>
      <c r="BA47" s="44">
        <v>1519</v>
      </c>
      <c r="BB47" s="44">
        <v>154</v>
      </c>
      <c r="BC47" s="44">
        <v>1968</v>
      </c>
      <c r="BD47" s="44">
        <v>200</v>
      </c>
      <c r="BE47" s="44">
        <v>294</v>
      </c>
      <c r="BF47" s="44">
        <v>191</v>
      </c>
      <c r="BG47" s="44">
        <v>191</v>
      </c>
      <c r="BH47" s="44">
        <v>51</v>
      </c>
      <c r="BI47" s="44">
        <v>1103</v>
      </c>
    </row>
    <row r="48" spans="1:61" x14ac:dyDescent="0.2">
      <c r="A48" s="42">
        <v>40695</v>
      </c>
      <c r="B48" s="43">
        <v>592</v>
      </c>
      <c r="C48" s="43">
        <v>342</v>
      </c>
      <c r="D48" s="43">
        <v>502.5</v>
      </c>
      <c r="E48" s="43">
        <v>295</v>
      </c>
      <c r="F48" s="43">
        <v>442</v>
      </c>
      <c r="G48" s="43">
        <v>383</v>
      </c>
      <c r="H48" s="43">
        <v>395</v>
      </c>
      <c r="I48" s="43">
        <v>275</v>
      </c>
      <c r="J48" s="43">
        <v>485</v>
      </c>
      <c r="K48" s="43">
        <v>380</v>
      </c>
      <c r="L48" s="43">
        <v>330</v>
      </c>
      <c r="M48" s="43">
        <v>250</v>
      </c>
      <c r="N48" s="43">
        <v>500</v>
      </c>
      <c r="O48" s="43">
        <v>400</v>
      </c>
      <c r="P48" s="43">
        <v>533</v>
      </c>
      <c r="Q48" s="43">
        <v>485</v>
      </c>
      <c r="R48" s="43">
        <v>297.3</v>
      </c>
      <c r="S48" s="43">
        <v>450</v>
      </c>
      <c r="T48" s="43">
        <v>248.3</v>
      </c>
      <c r="U48" s="43">
        <v>382.5</v>
      </c>
      <c r="V48" s="43">
        <v>335</v>
      </c>
      <c r="W48" s="43">
        <v>328.5</v>
      </c>
      <c r="X48" s="43">
        <v>176.5</v>
      </c>
      <c r="Y48" s="43">
        <v>405</v>
      </c>
      <c r="Z48" s="43">
        <v>335</v>
      </c>
      <c r="AA48" s="43">
        <v>294</v>
      </c>
      <c r="AB48" s="43">
        <v>232.5</v>
      </c>
      <c r="AC48" s="43">
        <v>415</v>
      </c>
      <c r="AD48" s="43">
        <v>315</v>
      </c>
      <c r="AE48" s="43">
        <v>415</v>
      </c>
      <c r="AF48" s="44">
        <v>11165</v>
      </c>
      <c r="AG48" s="44">
        <v>8791</v>
      </c>
      <c r="AH48" s="44">
        <v>12686</v>
      </c>
      <c r="AI48" s="44">
        <v>6235</v>
      </c>
      <c r="AJ48" s="44">
        <v>5954</v>
      </c>
      <c r="AK48" s="44">
        <v>7524</v>
      </c>
      <c r="AL48" s="44">
        <v>3667</v>
      </c>
      <c r="AM48" s="44">
        <v>1329</v>
      </c>
      <c r="AN48" s="44">
        <v>5145</v>
      </c>
      <c r="AO48" s="44">
        <v>1695</v>
      </c>
      <c r="AP48" s="44">
        <v>708</v>
      </c>
      <c r="AQ48" s="44">
        <v>1062</v>
      </c>
      <c r="AR48" s="44">
        <v>315</v>
      </c>
      <c r="AS48" s="44">
        <v>130</v>
      </c>
      <c r="AT48" s="44">
        <v>1187</v>
      </c>
      <c r="AU48" s="44">
        <v>10384</v>
      </c>
      <c r="AV48" s="44">
        <v>1986</v>
      </c>
      <c r="AW48" s="44">
        <v>7118</v>
      </c>
      <c r="AX48" s="44">
        <v>846</v>
      </c>
      <c r="AY48" s="44">
        <v>2064</v>
      </c>
      <c r="AZ48" s="44">
        <v>2539</v>
      </c>
      <c r="BA48" s="44">
        <v>1522</v>
      </c>
      <c r="BB48" s="44">
        <v>162</v>
      </c>
      <c r="BC48" s="44">
        <v>1861</v>
      </c>
      <c r="BD48" s="44">
        <v>217</v>
      </c>
      <c r="BE48" s="44">
        <v>278</v>
      </c>
      <c r="BF48" s="44">
        <v>187</v>
      </c>
      <c r="BG48" s="44">
        <v>241</v>
      </c>
      <c r="BH48" s="44">
        <v>49</v>
      </c>
      <c r="BI48" s="44">
        <v>1146</v>
      </c>
    </row>
    <row r="49" spans="1:61" x14ac:dyDescent="0.2">
      <c r="A49" s="42">
        <v>40787</v>
      </c>
      <c r="B49" s="43">
        <v>567</v>
      </c>
      <c r="C49" s="43">
        <v>335</v>
      </c>
      <c r="D49" s="43">
        <v>487</v>
      </c>
      <c r="E49" s="43">
        <v>286.5</v>
      </c>
      <c r="F49" s="43">
        <v>433</v>
      </c>
      <c r="G49" s="43">
        <v>380</v>
      </c>
      <c r="H49" s="43">
        <v>390</v>
      </c>
      <c r="I49" s="43">
        <v>260</v>
      </c>
      <c r="J49" s="43">
        <v>470</v>
      </c>
      <c r="K49" s="43">
        <v>375</v>
      </c>
      <c r="L49" s="43">
        <v>335</v>
      </c>
      <c r="M49" s="43">
        <v>250</v>
      </c>
      <c r="N49" s="43">
        <v>497</v>
      </c>
      <c r="O49" s="43">
        <v>397</v>
      </c>
      <c r="P49" s="43">
        <v>490</v>
      </c>
      <c r="Q49" s="43">
        <v>480</v>
      </c>
      <c r="R49" s="43">
        <v>290</v>
      </c>
      <c r="S49" s="43">
        <v>437.5</v>
      </c>
      <c r="T49" s="43">
        <v>235</v>
      </c>
      <c r="U49" s="43">
        <v>370</v>
      </c>
      <c r="V49" s="43">
        <v>325.8</v>
      </c>
      <c r="W49" s="43">
        <v>320</v>
      </c>
      <c r="X49" s="43">
        <v>190</v>
      </c>
      <c r="Y49" s="43">
        <v>395</v>
      </c>
      <c r="Z49" s="43">
        <v>315</v>
      </c>
      <c r="AA49" s="43">
        <v>272.5</v>
      </c>
      <c r="AB49" s="43">
        <v>228.5</v>
      </c>
      <c r="AC49" s="43">
        <v>398</v>
      </c>
      <c r="AD49" s="43">
        <v>360.5</v>
      </c>
      <c r="AE49" s="43">
        <v>425</v>
      </c>
      <c r="AF49" s="44">
        <v>11397</v>
      </c>
      <c r="AG49" s="44">
        <v>8934</v>
      </c>
      <c r="AH49" s="44">
        <v>11960</v>
      </c>
      <c r="AI49" s="44">
        <v>5617</v>
      </c>
      <c r="AJ49" s="44">
        <v>6615</v>
      </c>
      <c r="AK49" s="44">
        <v>8598</v>
      </c>
      <c r="AL49" s="44">
        <v>3566</v>
      </c>
      <c r="AM49" s="44">
        <v>1317</v>
      </c>
      <c r="AN49" s="44">
        <v>5454</v>
      </c>
      <c r="AO49" s="44">
        <v>1661</v>
      </c>
      <c r="AP49" s="44">
        <v>680</v>
      </c>
      <c r="AQ49" s="44">
        <v>1025</v>
      </c>
      <c r="AR49" s="44">
        <v>335</v>
      </c>
      <c r="AS49" s="44">
        <v>123</v>
      </c>
      <c r="AT49" s="44">
        <v>1201</v>
      </c>
      <c r="AU49" s="44">
        <v>10565</v>
      </c>
      <c r="AV49" s="44">
        <v>1928</v>
      </c>
      <c r="AW49" s="44">
        <v>6375</v>
      </c>
      <c r="AX49" s="44">
        <v>805</v>
      </c>
      <c r="AY49" s="44">
        <v>2397</v>
      </c>
      <c r="AZ49" s="44">
        <v>2823</v>
      </c>
      <c r="BA49" s="44">
        <v>1371</v>
      </c>
      <c r="BB49" s="44">
        <v>153</v>
      </c>
      <c r="BC49" s="44">
        <v>1767</v>
      </c>
      <c r="BD49" s="44">
        <v>193</v>
      </c>
      <c r="BE49" s="44">
        <v>217</v>
      </c>
      <c r="BF49" s="44">
        <v>189</v>
      </c>
      <c r="BG49" s="44">
        <v>208</v>
      </c>
      <c r="BH49" s="44">
        <v>36</v>
      </c>
      <c r="BI49" s="44">
        <v>871</v>
      </c>
    </row>
    <row r="50" spans="1:61" x14ac:dyDescent="0.2">
      <c r="A50" s="42">
        <v>40878</v>
      </c>
      <c r="B50" s="43">
        <v>533</v>
      </c>
      <c r="C50" s="43">
        <v>330</v>
      </c>
      <c r="D50" s="43">
        <v>495</v>
      </c>
      <c r="E50" s="43">
        <v>290.5</v>
      </c>
      <c r="F50" s="43">
        <v>430</v>
      </c>
      <c r="G50" s="43">
        <v>380</v>
      </c>
      <c r="H50" s="43">
        <v>385</v>
      </c>
      <c r="I50" s="43">
        <v>270</v>
      </c>
      <c r="J50" s="43">
        <v>480</v>
      </c>
      <c r="K50" s="43">
        <v>372.5</v>
      </c>
      <c r="L50" s="43">
        <v>337.5</v>
      </c>
      <c r="M50" s="43">
        <v>250</v>
      </c>
      <c r="N50" s="43">
        <v>515</v>
      </c>
      <c r="O50" s="43">
        <v>410</v>
      </c>
      <c r="P50" s="43">
        <v>500</v>
      </c>
      <c r="Q50" s="43">
        <v>460</v>
      </c>
      <c r="R50" s="43">
        <v>297</v>
      </c>
      <c r="S50" s="43">
        <v>432.5</v>
      </c>
      <c r="T50" s="43">
        <v>245.3</v>
      </c>
      <c r="U50" s="43">
        <v>380</v>
      </c>
      <c r="V50" s="43">
        <v>327.10000000000002</v>
      </c>
      <c r="W50" s="43">
        <v>327.3</v>
      </c>
      <c r="X50" s="43">
        <v>176</v>
      </c>
      <c r="Y50" s="43">
        <v>400</v>
      </c>
      <c r="Z50" s="43">
        <v>328.3</v>
      </c>
      <c r="AA50" s="43">
        <v>275</v>
      </c>
      <c r="AB50" s="43">
        <v>240</v>
      </c>
      <c r="AC50" s="43">
        <v>399.5</v>
      </c>
      <c r="AD50" s="43">
        <v>336.5</v>
      </c>
      <c r="AE50" s="43">
        <v>415</v>
      </c>
      <c r="AF50" s="44">
        <v>13950</v>
      </c>
      <c r="AG50" s="44">
        <v>11050</v>
      </c>
      <c r="AH50" s="44">
        <v>12819</v>
      </c>
      <c r="AI50" s="44">
        <v>6335</v>
      </c>
      <c r="AJ50" s="44">
        <v>6447</v>
      </c>
      <c r="AK50" s="44">
        <v>8498</v>
      </c>
      <c r="AL50" s="44">
        <v>3566</v>
      </c>
      <c r="AM50" s="44">
        <v>1346</v>
      </c>
      <c r="AN50" s="44">
        <v>5784</v>
      </c>
      <c r="AO50" s="44">
        <v>1801</v>
      </c>
      <c r="AP50" s="44">
        <v>769</v>
      </c>
      <c r="AQ50" s="44">
        <v>959</v>
      </c>
      <c r="AR50" s="44">
        <v>425</v>
      </c>
      <c r="AS50" s="44">
        <v>122</v>
      </c>
      <c r="AT50" s="44">
        <v>1214</v>
      </c>
      <c r="AU50" s="44">
        <v>13108</v>
      </c>
      <c r="AV50" s="44">
        <v>2240</v>
      </c>
      <c r="AW50" s="44">
        <v>6840</v>
      </c>
      <c r="AX50" s="44">
        <v>834</v>
      </c>
      <c r="AY50" s="44">
        <v>2619</v>
      </c>
      <c r="AZ50" s="44">
        <v>2964</v>
      </c>
      <c r="BA50" s="44">
        <v>1276</v>
      </c>
      <c r="BB50" s="44">
        <v>170</v>
      </c>
      <c r="BC50" s="44">
        <v>1989</v>
      </c>
      <c r="BD50" s="44">
        <v>240</v>
      </c>
      <c r="BE50" s="44">
        <v>177</v>
      </c>
      <c r="BF50" s="44">
        <v>142</v>
      </c>
      <c r="BG50" s="44">
        <v>266</v>
      </c>
      <c r="BH50" s="44">
        <v>49</v>
      </c>
      <c r="BI50" s="44">
        <v>896</v>
      </c>
    </row>
    <row r="51" spans="1:61" x14ac:dyDescent="0.2">
      <c r="A51" s="42">
        <v>40969</v>
      </c>
      <c r="B51" s="43">
        <v>607.5</v>
      </c>
      <c r="C51" s="43">
        <v>345</v>
      </c>
      <c r="D51" s="43">
        <v>478</v>
      </c>
      <c r="E51" s="43">
        <v>297.5</v>
      </c>
      <c r="F51" s="43">
        <v>430</v>
      </c>
      <c r="G51" s="43">
        <v>380</v>
      </c>
      <c r="H51" s="43">
        <v>382</v>
      </c>
      <c r="I51" s="43">
        <v>270</v>
      </c>
      <c r="J51" s="43">
        <v>489.5</v>
      </c>
      <c r="K51" s="43">
        <v>385</v>
      </c>
      <c r="L51" s="43">
        <v>343</v>
      </c>
      <c r="M51" s="43">
        <v>250</v>
      </c>
      <c r="N51" s="43">
        <v>525</v>
      </c>
      <c r="O51" s="43">
        <v>395</v>
      </c>
      <c r="P51" s="43">
        <v>512.5</v>
      </c>
      <c r="Q51" s="43">
        <v>500</v>
      </c>
      <c r="R51" s="43">
        <v>298.5</v>
      </c>
      <c r="S51" s="43">
        <v>430</v>
      </c>
      <c r="T51" s="43">
        <v>245</v>
      </c>
      <c r="U51" s="43">
        <v>376</v>
      </c>
      <c r="V51" s="43">
        <v>330</v>
      </c>
      <c r="W51" s="43">
        <v>317</v>
      </c>
      <c r="X51" s="43">
        <v>180</v>
      </c>
      <c r="Y51" s="43">
        <v>406</v>
      </c>
      <c r="Z51" s="43">
        <v>325</v>
      </c>
      <c r="AA51" s="43">
        <v>268.8</v>
      </c>
      <c r="AB51" s="43">
        <v>228</v>
      </c>
      <c r="AC51" s="43">
        <v>420</v>
      </c>
      <c r="AD51" s="43">
        <v>310</v>
      </c>
      <c r="AE51" s="43">
        <v>415</v>
      </c>
      <c r="AF51" s="44">
        <v>9593</v>
      </c>
      <c r="AG51" s="44">
        <v>7811</v>
      </c>
      <c r="AH51" s="44">
        <v>11757</v>
      </c>
      <c r="AI51" s="44">
        <v>5919</v>
      </c>
      <c r="AJ51" s="44">
        <v>6811</v>
      </c>
      <c r="AK51" s="44">
        <v>9341</v>
      </c>
      <c r="AL51" s="44">
        <v>3681</v>
      </c>
      <c r="AM51" s="44">
        <v>1415</v>
      </c>
      <c r="AN51" s="44">
        <v>5995</v>
      </c>
      <c r="AO51" s="44">
        <v>1973</v>
      </c>
      <c r="AP51" s="44">
        <v>751</v>
      </c>
      <c r="AQ51" s="44">
        <v>1087</v>
      </c>
      <c r="AR51" s="44">
        <v>458</v>
      </c>
      <c r="AS51" s="44">
        <v>134</v>
      </c>
      <c r="AT51" s="44">
        <v>1099</v>
      </c>
      <c r="AU51" s="44">
        <v>7821</v>
      </c>
      <c r="AV51" s="44">
        <v>1878</v>
      </c>
      <c r="AW51" s="44">
        <v>5399</v>
      </c>
      <c r="AX51" s="44">
        <v>758</v>
      </c>
      <c r="AY51" s="44">
        <v>2858</v>
      </c>
      <c r="AZ51" s="44">
        <v>3103</v>
      </c>
      <c r="BA51" s="44">
        <v>1279</v>
      </c>
      <c r="BB51" s="44">
        <v>180</v>
      </c>
      <c r="BC51" s="44">
        <v>2143</v>
      </c>
      <c r="BD51" s="44">
        <v>203</v>
      </c>
      <c r="BE51" s="44">
        <v>242</v>
      </c>
      <c r="BF51" s="44">
        <v>155</v>
      </c>
      <c r="BG51" s="44">
        <v>323</v>
      </c>
      <c r="BH51" s="44">
        <v>52</v>
      </c>
      <c r="BI51" s="44">
        <v>816</v>
      </c>
    </row>
    <row r="52" spans="1:61" x14ac:dyDescent="0.2">
      <c r="A52" s="42">
        <v>41061</v>
      </c>
      <c r="B52" s="43">
        <v>600</v>
      </c>
      <c r="C52" s="43">
        <v>346</v>
      </c>
      <c r="D52" s="43">
        <v>485</v>
      </c>
      <c r="E52" s="43">
        <v>285</v>
      </c>
      <c r="F52" s="43">
        <v>435</v>
      </c>
      <c r="G52" s="43">
        <v>375</v>
      </c>
      <c r="H52" s="43">
        <v>385</v>
      </c>
      <c r="I52" s="43">
        <v>270</v>
      </c>
      <c r="J52" s="43">
        <v>499</v>
      </c>
      <c r="K52" s="43">
        <v>375</v>
      </c>
      <c r="L52" s="43">
        <v>327.5</v>
      </c>
      <c r="M52" s="43">
        <v>247</v>
      </c>
      <c r="N52" s="43">
        <v>543.5</v>
      </c>
      <c r="O52" s="43">
        <v>392.5</v>
      </c>
      <c r="P52" s="43">
        <v>482.5</v>
      </c>
      <c r="Q52" s="43">
        <v>510</v>
      </c>
      <c r="R52" s="43">
        <v>306.5</v>
      </c>
      <c r="S52" s="43">
        <v>430</v>
      </c>
      <c r="T52" s="43">
        <v>245</v>
      </c>
      <c r="U52" s="43">
        <v>381</v>
      </c>
      <c r="V52" s="43">
        <v>330</v>
      </c>
      <c r="W52" s="43">
        <v>315</v>
      </c>
      <c r="X52" s="43">
        <v>179</v>
      </c>
      <c r="Y52" s="43">
        <v>400</v>
      </c>
      <c r="Z52" s="43">
        <v>326.8</v>
      </c>
      <c r="AA52" s="43">
        <v>275</v>
      </c>
      <c r="AB52" s="43">
        <v>222.5</v>
      </c>
      <c r="AC52" s="43">
        <v>435</v>
      </c>
      <c r="AD52" s="43">
        <v>364.5</v>
      </c>
      <c r="AE52" s="43">
        <v>416.8</v>
      </c>
      <c r="AF52" s="44">
        <v>10923</v>
      </c>
      <c r="AG52" s="44">
        <v>8663</v>
      </c>
      <c r="AH52" s="44">
        <v>12839</v>
      </c>
      <c r="AI52" s="44">
        <v>6050</v>
      </c>
      <c r="AJ52" s="44">
        <v>6179</v>
      </c>
      <c r="AK52" s="44">
        <v>7755</v>
      </c>
      <c r="AL52" s="44">
        <v>3671</v>
      </c>
      <c r="AM52" s="44">
        <v>1283</v>
      </c>
      <c r="AN52" s="44">
        <v>5528</v>
      </c>
      <c r="AO52" s="44">
        <v>1652</v>
      </c>
      <c r="AP52" s="44">
        <v>682</v>
      </c>
      <c r="AQ52" s="44">
        <v>1010</v>
      </c>
      <c r="AR52" s="44">
        <v>388</v>
      </c>
      <c r="AS52" s="44">
        <v>112</v>
      </c>
      <c r="AT52" s="44">
        <v>1235</v>
      </c>
      <c r="AU52" s="44">
        <v>10331</v>
      </c>
      <c r="AV52" s="44">
        <v>1968</v>
      </c>
      <c r="AW52" s="44">
        <v>6314</v>
      </c>
      <c r="AX52" s="44">
        <v>768</v>
      </c>
      <c r="AY52" s="44">
        <v>2684</v>
      </c>
      <c r="AZ52" s="44">
        <v>2885</v>
      </c>
      <c r="BA52" s="44">
        <v>1254</v>
      </c>
      <c r="BB52" s="44">
        <v>165</v>
      </c>
      <c r="BC52" s="44">
        <v>1968</v>
      </c>
      <c r="BD52" s="44">
        <v>172</v>
      </c>
      <c r="BE52" s="44">
        <v>211</v>
      </c>
      <c r="BF52" s="44">
        <v>134</v>
      </c>
      <c r="BG52" s="44">
        <v>327</v>
      </c>
      <c r="BH52" s="44">
        <v>52</v>
      </c>
      <c r="BI52" s="44">
        <v>854</v>
      </c>
    </row>
    <row r="53" spans="1:61" x14ac:dyDescent="0.2">
      <c r="A53" s="42">
        <v>41153</v>
      </c>
      <c r="B53" s="43">
        <v>585</v>
      </c>
      <c r="C53" s="43">
        <v>335</v>
      </c>
      <c r="D53" s="43">
        <v>480</v>
      </c>
      <c r="E53" s="43">
        <v>290</v>
      </c>
      <c r="F53" s="43">
        <v>435</v>
      </c>
      <c r="G53" s="43">
        <v>380</v>
      </c>
      <c r="H53" s="43">
        <v>386</v>
      </c>
      <c r="I53" s="43">
        <v>265</v>
      </c>
      <c r="J53" s="43">
        <v>495</v>
      </c>
      <c r="K53" s="43">
        <v>380</v>
      </c>
      <c r="L53" s="43">
        <v>315</v>
      </c>
      <c r="M53" s="43">
        <v>249</v>
      </c>
      <c r="N53" s="43">
        <v>540</v>
      </c>
      <c r="O53" s="43">
        <v>385.5</v>
      </c>
      <c r="P53" s="43">
        <v>490</v>
      </c>
      <c r="Q53" s="43">
        <v>487</v>
      </c>
      <c r="R53" s="43">
        <v>290</v>
      </c>
      <c r="S53" s="43">
        <v>425</v>
      </c>
      <c r="T53" s="43">
        <v>235</v>
      </c>
      <c r="U53" s="43">
        <v>387.5</v>
      </c>
      <c r="V53" s="43">
        <v>315</v>
      </c>
      <c r="W53" s="43">
        <v>325</v>
      </c>
      <c r="X53" s="43">
        <v>156</v>
      </c>
      <c r="Y53" s="43">
        <v>400</v>
      </c>
      <c r="Z53" s="43">
        <v>322.5</v>
      </c>
      <c r="AA53" s="43">
        <v>275</v>
      </c>
      <c r="AB53" s="43">
        <v>225</v>
      </c>
      <c r="AC53" s="43">
        <v>410</v>
      </c>
      <c r="AD53" s="43">
        <v>315</v>
      </c>
      <c r="AE53" s="43">
        <v>411</v>
      </c>
      <c r="AF53" s="44">
        <v>11449</v>
      </c>
      <c r="AG53" s="44">
        <v>9665</v>
      </c>
      <c r="AH53" s="44">
        <v>12194</v>
      </c>
      <c r="AI53" s="44">
        <v>5676</v>
      </c>
      <c r="AJ53" s="44">
        <v>7809</v>
      </c>
      <c r="AK53" s="44">
        <v>9941</v>
      </c>
      <c r="AL53" s="44">
        <v>3641</v>
      </c>
      <c r="AM53" s="44">
        <v>1249</v>
      </c>
      <c r="AN53" s="44">
        <v>6091</v>
      </c>
      <c r="AO53" s="44">
        <v>1816</v>
      </c>
      <c r="AP53" s="44">
        <v>674</v>
      </c>
      <c r="AQ53" s="44">
        <v>1055</v>
      </c>
      <c r="AR53" s="44">
        <v>432</v>
      </c>
      <c r="AS53" s="44">
        <v>142</v>
      </c>
      <c r="AT53" s="44">
        <v>1125</v>
      </c>
      <c r="AU53" s="44">
        <v>9633</v>
      </c>
      <c r="AV53" s="44">
        <v>2102</v>
      </c>
      <c r="AW53" s="44">
        <v>6167</v>
      </c>
      <c r="AX53" s="44">
        <v>702</v>
      </c>
      <c r="AY53" s="44">
        <v>3008</v>
      </c>
      <c r="AZ53" s="44">
        <v>3320</v>
      </c>
      <c r="BA53" s="44">
        <v>1306</v>
      </c>
      <c r="BB53" s="44">
        <v>150</v>
      </c>
      <c r="BC53" s="44">
        <v>2201</v>
      </c>
      <c r="BD53" s="44">
        <v>218</v>
      </c>
      <c r="BE53" s="44">
        <v>260</v>
      </c>
      <c r="BF53" s="44">
        <v>187</v>
      </c>
      <c r="BG53" s="44">
        <v>422</v>
      </c>
      <c r="BH53" s="44">
        <v>55</v>
      </c>
      <c r="BI53" s="44">
        <v>885</v>
      </c>
    </row>
    <row r="54" spans="1:61" x14ac:dyDescent="0.2">
      <c r="A54" s="42">
        <v>41244</v>
      </c>
      <c r="B54" s="43">
        <v>640</v>
      </c>
      <c r="C54" s="43">
        <v>360</v>
      </c>
      <c r="D54" s="43">
        <v>508</v>
      </c>
      <c r="E54" s="43">
        <v>291.5</v>
      </c>
      <c r="F54" s="43">
        <v>440</v>
      </c>
      <c r="G54" s="43">
        <v>380</v>
      </c>
      <c r="H54" s="43">
        <v>395</v>
      </c>
      <c r="I54" s="43">
        <v>250</v>
      </c>
      <c r="J54" s="43">
        <v>510</v>
      </c>
      <c r="K54" s="43">
        <v>370</v>
      </c>
      <c r="L54" s="43">
        <v>331.3</v>
      </c>
      <c r="M54" s="43">
        <v>252.3</v>
      </c>
      <c r="N54" s="43">
        <v>561</v>
      </c>
      <c r="O54" s="43">
        <v>428</v>
      </c>
      <c r="P54" s="43">
        <v>519</v>
      </c>
      <c r="Q54" s="43">
        <v>525</v>
      </c>
      <c r="R54" s="43">
        <v>308.5</v>
      </c>
      <c r="S54" s="43">
        <v>440</v>
      </c>
      <c r="T54" s="43">
        <v>240</v>
      </c>
      <c r="U54" s="43">
        <v>385</v>
      </c>
      <c r="V54" s="43">
        <v>322.3</v>
      </c>
      <c r="W54" s="43">
        <v>325</v>
      </c>
      <c r="X54" s="43">
        <v>170</v>
      </c>
      <c r="Y54" s="43">
        <v>410</v>
      </c>
      <c r="Z54" s="43">
        <v>310</v>
      </c>
      <c r="AA54" s="43">
        <v>294</v>
      </c>
      <c r="AB54" s="43">
        <v>220</v>
      </c>
      <c r="AC54" s="43">
        <v>410.5</v>
      </c>
      <c r="AD54" s="43">
        <v>300</v>
      </c>
      <c r="AE54" s="43">
        <v>415.5</v>
      </c>
      <c r="AF54" s="44">
        <v>12333</v>
      </c>
      <c r="AG54" s="44">
        <v>8885</v>
      </c>
      <c r="AH54" s="44">
        <v>14223</v>
      </c>
      <c r="AI54" s="44">
        <v>6231</v>
      </c>
      <c r="AJ54" s="44">
        <v>7515</v>
      </c>
      <c r="AK54" s="44">
        <v>8806</v>
      </c>
      <c r="AL54" s="44">
        <v>3874</v>
      </c>
      <c r="AM54" s="44">
        <v>1345</v>
      </c>
      <c r="AN54" s="44">
        <v>6471</v>
      </c>
      <c r="AO54" s="44">
        <v>1515</v>
      </c>
      <c r="AP54" s="44">
        <v>790</v>
      </c>
      <c r="AQ54" s="44">
        <v>1086</v>
      </c>
      <c r="AR54" s="44">
        <v>424</v>
      </c>
      <c r="AS54" s="44">
        <v>167</v>
      </c>
      <c r="AT54" s="44">
        <v>1243</v>
      </c>
      <c r="AU54" s="44">
        <v>10716</v>
      </c>
      <c r="AV54" s="44">
        <v>2064</v>
      </c>
      <c r="AW54" s="44">
        <v>6785</v>
      </c>
      <c r="AX54" s="44">
        <v>787</v>
      </c>
      <c r="AY54" s="44">
        <v>2897</v>
      </c>
      <c r="AZ54" s="44">
        <v>3244</v>
      </c>
      <c r="BA54" s="44">
        <v>1400</v>
      </c>
      <c r="BB54" s="44">
        <v>147</v>
      </c>
      <c r="BC54" s="44">
        <v>2173</v>
      </c>
      <c r="BD54" s="44">
        <v>225</v>
      </c>
      <c r="BE54" s="44">
        <v>206</v>
      </c>
      <c r="BF54" s="44">
        <v>179</v>
      </c>
      <c r="BG54" s="44">
        <v>352</v>
      </c>
      <c r="BH54" s="44">
        <v>54</v>
      </c>
      <c r="BI54" s="44">
        <v>871</v>
      </c>
    </row>
    <row r="55" spans="1:61" x14ac:dyDescent="0.2">
      <c r="A55" s="42">
        <v>41334</v>
      </c>
      <c r="B55" s="43">
        <v>615</v>
      </c>
      <c r="C55" s="43">
        <v>357.5</v>
      </c>
      <c r="D55" s="43">
        <v>486</v>
      </c>
      <c r="E55" s="43">
        <v>298</v>
      </c>
      <c r="F55" s="43">
        <v>440</v>
      </c>
      <c r="G55" s="43">
        <v>390</v>
      </c>
      <c r="H55" s="43">
        <v>395</v>
      </c>
      <c r="I55" s="43">
        <v>247.5</v>
      </c>
      <c r="J55" s="43">
        <v>520</v>
      </c>
      <c r="K55" s="43">
        <v>380.5</v>
      </c>
      <c r="L55" s="43">
        <v>340</v>
      </c>
      <c r="M55" s="43">
        <v>250</v>
      </c>
      <c r="N55" s="43">
        <v>530</v>
      </c>
      <c r="O55" s="43">
        <v>415</v>
      </c>
      <c r="P55" s="43">
        <v>505</v>
      </c>
      <c r="Q55" s="43">
        <v>520</v>
      </c>
      <c r="R55" s="43">
        <v>300</v>
      </c>
      <c r="S55" s="43">
        <v>435</v>
      </c>
      <c r="T55" s="43">
        <v>235</v>
      </c>
      <c r="U55" s="43">
        <v>392</v>
      </c>
      <c r="V55" s="43">
        <v>327.8</v>
      </c>
      <c r="W55" s="43">
        <v>325</v>
      </c>
      <c r="X55" s="43">
        <v>185</v>
      </c>
      <c r="Y55" s="43">
        <v>430</v>
      </c>
      <c r="Z55" s="43">
        <v>315</v>
      </c>
      <c r="AA55" s="43">
        <v>276.8</v>
      </c>
      <c r="AB55" s="43">
        <v>227</v>
      </c>
      <c r="AC55" s="43">
        <v>445</v>
      </c>
      <c r="AD55" s="43">
        <v>331.3</v>
      </c>
      <c r="AE55" s="43">
        <v>410</v>
      </c>
      <c r="AF55" s="44">
        <v>10971</v>
      </c>
      <c r="AG55" s="44">
        <v>8665</v>
      </c>
      <c r="AH55" s="44">
        <v>12584</v>
      </c>
      <c r="AI55" s="44">
        <v>6050</v>
      </c>
      <c r="AJ55" s="44">
        <v>7588</v>
      </c>
      <c r="AK55" s="44">
        <v>8835</v>
      </c>
      <c r="AL55" s="44">
        <v>3851</v>
      </c>
      <c r="AM55" s="44">
        <v>1281</v>
      </c>
      <c r="AN55" s="44">
        <v>7931</v>
      </c>
      <c r="AO55" s="44">
        <v>1692</v>
      </c>
      <c r="AP55" s="44">
        <v>814</v>
      </c>
      <c r="AQ55" s="44">
        <v>1112</v>
      </c>
      <c r="AR55" s="44">
        <v>449</v>
      </c>
      <c r="AS55" s="44">
        <v>125</v>
      </c>
      <c r="AT55" s="44">
        <v>1123</v>
      </c>
      <c r="AU55" s="44">
        <v>10022</v>
      </c>
      <c r="AV55" s="44">
        <v>2088</v>
      </c>
      <c r="AW55" s="44">
        <v>5978</v>
      </c>
      <c r="AX55" s="44">
        <v>761</v>
      </c>
      <c r="AY55" s="44">
        <v>2888</v>
      </c>
      <c r="AZ55" s="44">
        <v>3408</v>
      </c>
      <c r="BA55" s="44">
        <v>1514</v>
      </c>
      <c r="BB55" s="44">
        <v>164</v>
      </c>
      <c r="BC55" s="44">
        <v>2537</v>
      </c>
      <c r="BD55" s="44">
        <v>279</v>
      </c>
      <c r="BE55" s="44">
        <v>272</v>
      </c>
      <c r="BF55" s="44">
        <v>191</v>
      </c>
      <c r="BG55" s="44">
        <v>346</v>
      </c>
      <c r="BH55" s="44">
        <v>56</v>
      </c>
      <c r="BI55" s="44">
        <v>760</v>
      </c>
    </row>
    <row r="56" spans="1:61" x14ac:dyDescent="0.2">
      <c r="A56" s="42">
        <v>41426</v>
      </c>
      <c r="B56" s="43">
        <v>650</v>
      </c>
      <c r="C56" s="43">
        <v>355</v>
      </c>
      <c r="D56" s="43">
        <v>500</v>
      </c>
      <c r="E56" s="43">
        <v>282.5</v>
      </c>
      <c r="F56" s="43">
        <v>445</v>
      </c>
      <c r="G56" s="43">
        <v>385.5</v>
      </c>
      <c r="H56" s="43">
        <v>395</v>
      </c>
      <c r="I56" s="43">
        <v>255</v>
      </c>
      <c r="J56" s="43">
        <v>529</v>
      </c>
      <c r="K56" s="43">
        <v>380</v>
      </c>
      <c r="L56" s="43">
        <v>330</v>
      </c>
      <c r="M56" s="43">
        <v>255</v>
      </c>
      <c r="N56" s="43">
        <v>540</v>
      </c>
      <c r="O56" s="43">
        <v>388</v>
      </c>
      <c r="P56" s="43">
        <v>510</v>
      </c>
      <c r="Q56" s="43">
        <v>530</v>
      </c>
      <c r="R56" s="43">
        <v>305</v>
      </c>
      <c r="S56" s="43">
        <v>442</v>
      </c>
      <c r="T56" s="43">
        <v>245</v>
      </c>
      <c r="U56" s="43">
        <v>395</v>
      </c>
      <c r="V56" s="43">
        <v>325</v>
      </c>
      <c r="W56" s="43">
        <v>330</v>
      </c>
      <c r="X56" s="43">
        <v>160.80000000000001</v>
      </c>
      <c r="Y56" s="43">
        <v>426</v>
      </c>
      <c r="Z56" s="43">
        <v>310</v>
      </c>
      <c r="AA56" s="43">
        <v>285</v>
      </c>
      <c r="AB56" s="43">
        <v>219</v>
      </c>
      <c r="AC56" s="43">
        <v>450</v>
      </c>
      <c r="AD56" s="43">
        <v>320</v>
      </c>
      <c r="AE56" s="43">
        <v>412.5</v>
      </c>
      <c r="AF56" s="44">
        <v>13403</v>
      </c>
      <c r="AG56" s="44">
        <v>9680</v>
      </c>
      <c r="AH56" s="44">
        <v>15568</v>
      </c>
      <c r="AI56" s="44">
        <v>6827</v>
      </c>
      <c r="AJ56" s="44">
        <v>8342</v>
      </c>
      <c r="AK56" s="44">
        <v>9303</v>
      </c>
      <c r="AL56" s="44">
        <v>4314</v>
      </c>
      <c r="AM56" s="44">
        <v>1329</v>
      </c>
      <c r="AN56" s="44">
        <v>7971</v>
      </c>
      <c r="AO56" s="44">
        <v>1656</v>
      </c>
      <c r="AP56" s="44">
        <v>817</v>
      </c>
      <c r="AQ56" s="44">
        <v>1145</v>
      </c>
      <c r="AR56" s="44">
        <v>436</v>
      </c>
      <c r="AS56" s="44">
        <v>146</v>
      </c>
      <c r="AT56" s="44">
        <v>1337</v>
      </c>
      <c r="AU56" s="44">
        <v>11976</v>
      </c>
      <c r="AV56" s="44">
        <v>2415</v>
      </c>
      <c r="AW56" s="44">
        <v>7411</v>
      </c>
      <c r="AX56" s="44">
        <v>763</v>
      </c>
      <c r="AY56" s="44">
        <v>3296</v>
      </c>
      <c r="AZ56" s="44">
        <v>3481</v>
      </c>
      <c r="BA56" s="44">
        <v>1533</v>
      </c>
      <c r="BB56" s="44">
        <v>138</v>
      </c>
      <c r="BC56" s="44">
        <v>2540</v>
      </c>
      <c r="BD56" s="44">
        <v>258</v>
      </c>
      <c r="BE56" s="44">
        <v>285</v>
      </c>
      <c r="BF56" s="44">
        <v>191</v>
      </c>
      <c r="BG56" s="44">
        <v>329</v>
      </c>
      <c r="BH56" s="44">
        <v>62</v>
      </c>
      <c r="BI56" s="44">
        <v>876</v>
      </c>
    </row>
    <row r="57" spans="1:61" x14ac:dyDescent="0.2">
      <c r="A57" s="42">
        <v>41518</v>
      </c>
      <c r="B57" s="43">
        <v>670</v>
      </c>
      <c r="C57" s="43">
        <v>350</v>
      </c>
      <c r="D57" s="43">
        <v>520</v>
      </c>
      <c r="E57" s="43">
        <v>298</v>
      </c>
      <c r="F57" s="43">
        <v>449</v>
      </c>
      <c r="G57" s="43">
        <v>386.3</v>
      </c>
      <c r="H57" s="43">
        <v>395</v>
      </c>
      <c r="I57" s="43">
        <v>253</v>
      </c>
      <c r="J57" s="43">
        <v>520</v>
      </c>
      <c r="K57" s="43">
        <v>375</v>
      </c>
      <c r="L57" s="43">
        <v>325</v>
      </c>
      <c r="M57" s="43">
        <v>249.5</v>
      </c>
      <c r="N57" s="43">
        <v>570</v>
      </c>
      <c r="O57" s="43">
        <v>389.9</v>
      </c>
      <c r="P57" s="43">
        <v>505</v>
      </c>
      <c r="Q57" s="43">
        <v>550</v>
      </c>
      <c r="R57" s="43">
        <v>315</v>
      </c>
      <c r="S57" s="43">
        <v>445</v>
      </c>
      <c r="T57" s="43">
        <v>234.9</v>
      </c>
      <c r="U57" s="43">
        <v>395</v>
      </c>
      <c r="V57" s="43">
        <v>327</v>
      </c>
      <c r="W57" s="43">
        <v>324</v>
      </c>
      <c r="X57" s="43">
        <v>180</v>
      </c>
      <c r="Y57" s="43">
        <v>430</v>
      </c>
      <c r="Z57" s="43">
        <v>314.5</v>
      </c>
      <c r="AA57" s="43">
        <v>266</v>
      </c>
      <c r="AB57" s="43">
        <v>216.5</v>
      </c>
      <c r="AC57" s="43">
        <v>459.8</v>
      </c>
      <c r="AD57" s="43">
        <v>305</v>
      </c>
      <c r="AE57" s="43">
        <v>415</v>
      </c>
      <c r="AF57" s="44">
        <v>13981</v>
      </c>
      <c r="AG57" s="44">
        <v>10071</v>
      </c>
      <c r="AH57" s="44">
        <v>14532</v>
      </c>
      <c r="AI57" s="44">
        <v>5958</v>
      </c>
      <c r="AJ57" s="44">
        <v>9131</v>
      </c>
      <c r="AK57" s="44">
        <v>9830</v>
      </c>
      <c r="AL57" s="44">
        <v>4194</v>
      </c>
      <c r="AM57" s="44">
        <v>1359</v>
      </c>
      <c r="AN57" s="44">
        <v>7945</v>
      </c>
      <c r="AO57" s="44">
        <v>1659</v>
      </c>
      <c r="AP57" s="44">
        <v>857</v>
      </c>
      <c r="AQ57" s="44">
        <v>1230</v>
      </c>
      <c r="AR57" s="44">
        <v>450</v>
      </c>
      <c r="AS57" s="44">
        <v>157</v>
      </c>
      <c r="AT57" s="44">
        <v>1290</v>
      </c>
      <c r="AU57" s="44">
        <v>13263</v>
      </c>
      <c r="AV57" s="44">
        <v>2496</v>
      </c>
      <c r="AW57" s="44">
        <v>6987</v>
      </c>
      <c r="AX57" s="44">
        <v>743</v>
      </c>
      <c r="AY57" s="44">
        <v>3583</v>
      </c>
      <c r="AZ57" s="44">
        <v>3816</v>
      </c>
      <c r="BA57" s="44">
        <v>1507</v>
      </c>
      <c r="BB57" s="44">
        <v>160</v>
      </c>
      <c r="BC57" s="44">
        <v>2579</v>
      </c>
      <c r="BD57" s="44">
        <v>256</v>
      </c>
      <c r="BE57" s="44">
        <v>270</v>
      </c>
      <c r="BF57" s="44">
        <v>214</v>
      </c>
      <c r="BG57" s="44">
        <v>358</v>
      </c>
      <c r="BH57" s="44">
        <v>47</v>
      </c>
      <c r="BI57" s="44">
        <v>895</v>
      </c>
    </row>
    <row r="58" spans="1:61" x14ac:dyDescent="0.2">
      <c r="A58" s="42">
        <v>41609</v>
      </c>
      <c r="B58" s="43">
        <v>745</v>
      </c>
      <c r="C58" s="43">
        <v>370</v>
      </c>
      <c r="D58" s="43">
        <v>561</v>
      </c>
      <c r="E58" s="43">
        <v>308</v>
      </c>
      <c r="F58" s="43">
        <v>465</v>
      </c>
      <c r="G58" s="43">
        <v>395</v>
      </c>
      <c r="H58" s="43">
        <v>412</v>
      </c>
      <c r="I58" s="43">
        <v>268.3</v>
      </c>
      <c r="J58" s="43">
        <v>552</v>
      </c>
      <c r="K58" s="43">
        <v>385</v>
      </c>
      <c r="L58" s="43">
        <v>350</v>
      </c>
      <c r="M58" s="43">
        <v>250</v>
      </c>
      <c r="N58" s="43">
        <v>579</v>
      </c>
      <c r="O58" s="43">
        <v>424</v>
      </c>
      <c r="P58" s="43">
        <v>503.3</v>
      </c>
      <c r="Q58" s="43">
        <v>565</v>
      </c>
      <c r="R58" s="43">
        <v>320</v>
      </c>
      <c r="S58" s="43">
        <v>467</v>
      </c>
      <c r="T58" s="43">
        <v>245</v>
      </c>
      <c r="U58" s="43">
        <v>400</v>
      </c>
      <c r="V58" s="43">
        <v>331</v>
      </c>
      <c r="W58" s="43">
        <v>330</v>
      </c>
      <c r="X58" s="43">
        <v>196</v>
      </c>
      <c r="Y58" s="43">
        <v>450</v>
      </c>
      <c r="Z58" s="43">
        <v>320</v>
      </c>
      <c r="AA58" s="43">
        <v>295</v>
      </c>
      <c r="AB58" s="43">
        <v>220</v>
      </c>
      <c r="AC58" s="43">
        <v>481</v>
      </c>
      <c r="AD58" s="43">
        <v>370</v>
      </c>
      <c r="AE58" s="43">
        <v>420.5</v>
      </c>
      <c r="AF58" s="44">
        <v>15556</v>
      </c>
      <c r="AG58" s="44">
        <v>10805</v>
      </c>
      <c r="AH58" s="44">
        <v>17118</v>
      </c>
      <c r="AI58" s="44">
        <v>6849</v>
      </c>
      <c r="AJ58" s="44">
        <v>9466</v>
      </c>
      <c r="AK58" s="44">
        <v>10332</v>
      </c>
      <c r="AL58" s="44">
        <v>4476</v>
      </c>
      <c r="AM58" s="44">
        <v>1448</v>
      </c>
      <c r="AN58" s="44">
        <v>8020</v>
      </c>
      <c r="AO58" s="44">
        <v>1728</v>
      </c>
      <c r="AP58" s="44">
        <v>829</v>
      </c>
      <c r="AQ58" s="44">
        <v>1168</v>
      </c>
      <c r="AR58" s="44">
        <v>441</v>
      </c>
      <c r="AS58" s="44">
        <v>135</v>
      </c>
      <c r="AT58" s="44">
        <v>1353</v>
      </c>
      <c r="AU58" s="44">
        <v>12353</v>
      </c>
      <c r="AV58" s="44">
        <v>2774</v>
      </c>
      <c r="AW58" s="44">
        <v>7967</v>
      </c>
      <c r="AX58" s="44">
        <v>845</v>
      </c>
      <c r="AY58" s="44">
        <v>3647</v>
      </c>
      <c r="AZ58" s="44">
        <v>4027</v>
      </c>
      <c r="BA58" s="44">
        <v>1581</v>
      </c>
      <c r="BB58" s="44">
        <v>167</v>
      </c>
      <c r="BC58" s="44">
        <v>2592</v>
      </c>
      <c r="BD58" s="44">
        <v>242</v>
      </c>
      <c r="BE58" s="44">
        <v>295</v>
      </c>
      <c r="BF58" s="44">
        <v>167</v>
      </c>
      <c r="BG58" s="44">
        <v>351</v>
      </c>
      <c r="BH58" s="44">
        <v>63</v>
      </c>
      <c r="BI58" s="44">
        <v>808</v>
      </c>
    </row>
    <row r="59" spans="1:61" x14ac:dyDescent="0.2">
      <c r="A59" s="42">
        <v>41699</v>
      </c>
      <c r="B59" s="43">
        <v>680</v>
      </c>
      <c r="C59" s="43">
        <v>362</v>
      </c>
      <c r="D59" s="43">
        <v>504</v>
      </c>
      <c r="E59" s="43">
        <v>290</v>
      </c>
      <c r="F59" s="43">
        <v>448</v>
      </c>
      <c r="G59" s="43">
        <v>390</v>
      </c>
      <c r="H59" s="43">
        <v>407</v>
      </c>
      <c r="I59" s="43">
        <v>265</v>
      </c>
      <c r="J59" s="43">
        <v>530.5</v>
      </c>
      <c r="K59" s="43">
        <v>379</v>
      </c>
      <c r="L59" s="43">
        <v>360</v>
      </c>
      <c r="M59" s="43">
        <v>247</v>
      </c>
      <c r="N59" s="43">
        <v>595</v>
      </c>
      <c r="O59" s="43">
        <v>412.5</v>
      </c>
      <c r="P59" s="43">
        <v>553.70000000000005</v>
      </c>
      <c r="Q59" s="43">
        <v>591.5</v>
      </c>
      <c r="R59" s="43">
        <v>330</v>
      </c>
      <c r="S59" s="43">
        <v>475.5</v>
      </c>
      <c r="T59" s="43">
        <v>250</v>
      </c>
      <c r="U59" s="43">
        <v>405</v>
      </c>
      <c r="V59" s="43">
        <v>338</v>
      </c>
      <c r="W59" s="43">
        <v>326</v>
      </c>
      <c r="X59" s="43">
        <v>178.5</v>
      </c>
      <c r="Y59" s="43">
        <v>445</v>
      </c>
      <c r="Z59" s="43">
        <v>325</v>
      </c>
      <c r="AA59" s="43">
        <v>275</v>
      </c>
      <c r="AB59" s="43">
        <v>230</v>
      </c>
      <c r="AC59" s="43">
        <v>496.1</v>
      </c>
      <c r="AD59" s="43">
        <v>337</v>
      </c>
      <c r="AE59" s="43">
        <v>410</v>
      </c>
      <c r="AF59" s="44">
        <v>13416</v>
      </c>
      <c r="AG59" s="44">
        <v>10484</v>
      </c>
      <c r="AH59" s="44">
        <v>12426</v>
      </c>
      <c r="AI59" s="44">
        <v>5090</v>
      </c>
      <c r="AJ59" s="44">
        <v>9595</v>
      </c>
      <c r="AK59" s="44">
        <v>9890</v>
      </c>
      <c r="AL59" s="44">
        <v>4253</v>
      </c>
      <c r="AM59" s="44">
        <v>1552</v>
      </c>
      <c r="AN59" s="44">
        <v>8222</v>
      </c>
      <c r="AO59" s="44">
        <v>1679</v>
      </c>
      <c r="AP59" s="44">
        <v>935</v>
      </c>
      <c r="AQ59" s="44">
        <v>1307</v>
      </c>
      <c r="AR59" s="44">
        <v>372</v>
      </c>
      <c r="AS59" s="44">
        <v>119</v>
      </c>
      <c r="AT59" s="44">
        <v>982</v>
      </c>
      <c r="AU59" s="44">
        <v>12721</v>
      </c>
      <c r="AV59" s="44">
        <v>2564</v>
      </c>
      <c r="AW59" s="44">
        <v>10203</v>
      </c>
      <c r="AX59" s="44">
        <v>922</v>
      </c>
      <c r="AY59" s="44">
        <v>4557</v>
      </c>
      <c r="AZ59" s="44">
        <v>4857</v>
      </c>
      <c r="BA59" s="44">
        <v>1514</v>
      </c>
      <c r="BB59" s="44">
        <v>188</v>
      </c>
      <c r="BC59" s="44">
        <v>3026</v>
      </c>
      <c r="BD59" s="44">
        <v>261</v>
      </c>
      <c r="BE59" s="44">
        <v>313</v>
      </c>
      <c r="BF59" s="44">
        <v>209</v>
      </c>
      <c r="BG59" s="44">
        <v>329</v>
      </c>
      <c r="BH59" s="44">
        <v>56</v>
      </c>
      <c r="BI59" s="44">
        <v>759</v>
      </c>
    </row>
    <row r="60" spans="1:61" x14ac:dyDescent="0.2">
      <c r="A60" s="42">
        <v>41791</v>
      </c>
      <c r="B60" s="43">
        <v>728</v>
      </c>
      <c r="C60" s="43">
        <v>368</v>
      </c>
      <c r="D60" s="43">
        <v>528.9</v>
      </c>
      <c r="E60" s="43">
        <v>286</v>
      </c>
      <c r="F60" s="43">
        <v>459</v>
      </c>
      <c r="G60" s="43">
        <v>390</v>
      </c>
      <c r="H60" s="43">
        <v>405</v>
      </c>
      <c r="I60" s="43">
        <v>250</v>
      </c>
      <c r="J60" s="43">
        <v>525</v>
      </c>
      <c r="K60" s="43">
        <v>366</v>
      </c>
      <c r="L60" s="43">
        <v>340</v>
      </c>
      <c r="M60" s="43">
        <v>236.3</v>
      </c>
      <c r="N60" s="43">
        <v>557.5</v>
      </c>
      <c r="O60" s="43">
        <v>420</v>
      </c>
      <c r="P60" s="43">
        <v>550</v>
      </c>
      <c r="Q60" s="43">
        <v>610</v>
      </c>
      <c r="R60" s="43">
        <v>330</v>
      </c>
      <c r="S60" s="43">
        <v>479</v>
      </c>
      <c r="T60" s="43">
        <v>245</v>
      </c>
      <c r="U60" s="43">
        <v>414</v>
      </c>
      <c r="V60" s="43">
        <v>345</v>
      </c>
      <c r="W60" s="43">
        <v>345</v>
      </c>
      <c r="X60" s="43">
        <v>190</v>
      </c>
      <c r="Y60" s="43">
        <v>452</v>
      </c>
      <c r="Z60" s="43">
        <v>322</v>
      </c>
      <c r="AA60" s="43">
        <v>282</v>
      </c>
      <c r="AB60" s="43">
        <v>226.3</v>
      </c>
      <c r="AC60" s="43">
        <v>465</v>
      </c>
      <c r="AD60" s="43">
        <v>335</v>
      </c>
      <c r="AE60" s="43">
        <v>410</v>
      </c>
      <c r="AF60" s="44">
        <v>15183</v>
      </c>
      <c r="AG60" s="44">
        <v>10900</v>
      </c>
      <c r="AH60" s="44">
        <v>14354</v>
      </c>
      <c r="AI60" s="44">
        <v>5249</v>
      </c>
      <c r="AJ60" s="44">
        <v>9212</v>
      </c>
      <c r="AK60" s="44">
        <v>8732</v>
      </c>
      <c r="AL60" s="44">
        <v>4230</v>
      </c>
      <c r="AM60" s="44">
        <v>1433</v>
      </c>
      <c r="AN60" s="44">
        <v>7635</v>
      </c>
      <c r="AO60" s="44">
        <v>1577</v>
      </c>
      <c r="AP60" s="44">
        <v>931</v>
      </c>
      <c r="AQ60" s="44">
        <v>1388</v>
      </c>
      <c r="AR60" s="44">
        <v>452</v>
      </c>
      <c r="AS60" s="44">
        <v>113</v>
      </c>
      <c r="AT60" s="44">
        <v>1044</v>
      </c>
      <c r="AU60" s="44">
        <v>14466</v>
      </c>
      <c r="AV60" s="44">
        <v>2551</v>
      </c>
      <c r="AW60" s="44">
        <v>12328</v>
      </c>
      <c r="AX60" s="44">
        <v>913</v>
      </c>
      <c r="AY60" s="44">
        <v>4788</v>
      </c>
      <c r="AZ60" s="44">
        <v>4573</v>
      </c>
      <c r="BA60" s="44">
        <v>1665</v>
      </c>
      <c r="BB60" s="44">
        <v>153</v>
      </c>
      <c r="BC60" s="44">
        <v>2908</v>
      </c>
      <c r="BD60" s="44">
        <v>242</v>
      </c>
      <c r="BE60" s="44">
        <v>314</v>
      </c>
      <c r="BF60" s="44">
        <v>230</v>
      </c>
      <c r="BG60" s="44">
        <v>375</v>
      </c>
      <c r="BH60" s="44">
        <v>40</v>
      </c>
      <c r="BI60" s="44">
        <v>931</v>
      </c>
    </row>
    <row r="61" spans="1:61" x14ac:dyDescent="0.2">
      <c r="A61" s="42">
        <v>41883</v>
      </c>
      <c r="B61" s="43">
        <v>730</v>
      </c>
      <c r="C61" s="43">
        <v>368.6</v>
      </c>
      <c r="D61" s="43">
        <v>505</v>
      </c>
      <c r="E61" s="43">
        <v>280</v>
      </c>
      <c r="F61" s="43">
        <v>451</v>
      </c>
      <c r="G61" s="43">
        <v>390</v>
      </c>
      <c r="H61" s="43">
        <v>410</v>
      </c>
      <c r="I61" s="43">
        <v>255</v>
      </c>
      <c r="J61" s="43">
        <v>530</v>
      </c>
      <c r="K61" s="43">
        <v>370</v>
      </c>
      <c r="L61" s="43">
        <v>345</v>
      </c>
      <c r="M61" s="43">
        <v>262.5</v>
      </c>
      <c r="N61" s="43">
        <v>570</v>
      </c>
      <c r="O61" s="43">
        <v>439</v>
      </c>
      <c r="P61" s="43">
        <v>554</v>
      </c>
      <c r="Q61" s="43">
        <v>620</v>
      </c>
      <c r="R61" s="43">
        <v>326</v>
      </c>
      <c r="S61" s="43">
        <v>478.5</v>
      </c>
      <c r="T61" s="43">
        <v>245</v>
      </c>
      <c r="U61" s="43">
        <v>420</v>
      </c>
      <c r="V61" s="43">
        <v>330</v>
      </c>
      <c r="W61" s="43">
        <v>342.5</v>
      </c>
      <c r="X61" s="43">
        <v>190</v>
      </c>
      <c r="Y61" s="43">
        <v>442</v>
      </c>
      <c r="Z61" s="43">
        <v>325</v>
      </c>
      <c r="AA61" s="43">
        <v>267.5</v>
      </c>
      <c r="AB61" s="43">
        <v>235</v>
      </c>
      <c r="AC61" s="43">
        <v>485</v>
      </c>
      <c r="AD61" s="43">
        <v>377.5</v>
      </c>
      <c r="AE61" s="43">
        <v>410</v>
      </c>
      <c r="AF61" s="44">
        <v>14759</v>
      </c>
      <c r="AG61" s="44">
        <v>11019</v>
      </c>
      <c r="AH61" s="44">
        <v>14032</v>
      </c>
      <c r="AI61" s="44">
        <v>5109</v>
      </c>
      <c r="AJ61" s="44">
        <v>9747</v>
      </c>
      <c r="AK61" s="44">
        <v>9528</v>
      </c>
      <c r="AL61" s="44">
        <v>4096</v>
      </c>
      <c r="AM61" s="44">
        <v>1386</v>
      </c>
      <c r="AN61" s="44">
        <v>7304</v>
      </c>
      <c r="AO61" s="44">
        <v>1592</v>
      </c>
      <c r="AP61" s="44">
        <v>786</v>
      </c>
      <c r="AQ61" s="44">
        <v>1171</v>
      </c>
      <c r="AR61" s="44">
        <v>414</v>
      </c>
      <c r="AS61" s="44">
        <v>152</v>
      </c>
      <c r="AT61" s="44">
        <v>960</v>
      </c>
      <c r="AU61" s="44">
        <v>13328</v>
      </c>
      <c r="AV61" s="44">
        <v>2403</v>
      </c>
      <c r="AW61" s="44">
        <v>11956</v>
      </c>
      <c r="AX61" s="44">
        <v>934</v>
      </c>
      <c r="AY61" s="44">
        <v>4979</v>
      </c>
      <c r="AZ61" s="44">
        <v>4859</v>
      </c>
      <c r="BA61" s="44">
        <v>1744</v>
      </c>
      <c r="BB61" s="44">
        <v>177</v>
      </c>
      <c r="BC61" s="44">
        <v>2798</v>
      </c>
      <c r="BD61" s="44">
        <v>277</v>
      </c>
      <c r="BE61" s="44">
        <v>270</v>
      </c>
      <c r="BF61" s="44">
        <v>236</v>
      </c>
      <c r="BG61" s="44">
        <v>397</v>
      </c>
      <c r="BH61" s="44">
        <v>58</v>
      </c>
      <c r="BI61" s="44">
        <v>887</v>
      </c>
    </row>
    <row r="62" spans="1:61" x14ac:dyDescent="0.2">
      <c r="A62" s="42">
        <v>41974</v>
      </c>
      <c r="B62" s="43">
        <v>816</v>
      </c>
      <c r="C62" s="43">
        <v>380</v>
      </c>
      <c r="D62" s="43">
        <v>552.5</v>
      </c>
      <c r="E62" s="43">
        <v>298</v>
      </c>
      <c r="F62" s="43">
        <v>467</v>
      </c>
      <c r="G62" s="43">
        <v>405</v>
      </c>
      <c r="H62" s="43">
        <v>425</v>
      </c>
      <c r="I62" s="43">
        <v>275</v>
      </c>
      <c r="J62" s="43">
        <v>531</v>
      </c>
      <c r="K62" s="43">
        <v>380</v>
      </c>
      <c r="L62" s="43">
        <v>356.5</v>
      </c>
      <c r="M62" s="43">
        <v>253.5</v>
      </c>
      <c r="N62" s="43">
        <v>581</v>
      </c>
      <c r="O62" s="43">
        <v>420</v>
      </c>
      <c r="P62" s="43">
        <v>570</v>
      </c>
      <c r="Q62" s="43">
        <v>650</v>
      </c>
      <c r="R62" s="43">
        <v>333</v>
      </c>
      <c r="S62" s="43">
        <v>490</v>
      </c>
      <c r="T62" s="43">
        <v>250</v>
      </c>
      <c r="U62" s="43">
        <v>420</v>
      </c>
      <c r="V62" s="43">
        <v>340</v>
      </c>
      <c r="W62" s="43">
        <v>345</v>
      </c>
      <c r="X62" s="43">
        <v>180.1</v>
      </c>
      <c r="Y62" s="43">
        <v>445</v>
      </c>
      <c r="Z62" s="43">
        <v>320</v>
      </c>
      <c r="AA62" s="43">
        <v>279.5</v>
      </c>
      <c r="AB62" s="43">
        <v>235</v>
      </c>
      <c r="AC62" s="43">
        <v>465</v>
      </c>
      <c r="AD62" s="43">
        <v>339.5</v>
      </c>
      <c r="AE62" s="43">
        <v>422</v>
      </c>
      <c r="AF62" s="44">
        <v>16311</v>
      </c>
      <c r="AG62" s="44">
        <v>11864</v>
      </c>
      <c r="AH62" s="44">
        <v>16407</v>
      </c>
      <c r="AI62" s="44">
        <v>5323</v>
      </c>
      <c r="AJ62" s="44">
        <v>9365</v>
      </c>
      <c r="AK62" s="44">
        <v>9246</v>
      </c>
      <c r="AL62" s="44">
        <v>4502</v>
      </c>
      <c r="AM62" s="44">
        <v>1442</v>
      </c>
      <c r="AN62" s="44">
        <v>6864</v>
      </c>
      <c r="AO62" s="44">
        <v>1530</v>
      </c>
      <c r="AP62" s="44">
        <v>940</v>
      </c>
      <c r="AQ62" s="44">
        <v>1264</v>
      </c>
      <c r="AR62" s="44">
        <v>352</v>
      </c>
      <c r="AS62" s="44">
        <v>141</v>
      </c>
      <c r="AT62" s="44">
        <v>1216</v>
      </c>
      <c r="AU62" s="44">
        <v>14730</v>
      </c>
      <c r="AV62" s="44">
        <v>2638</v>
      </c>
      <c r="AW62" s="44">
        <v>11872</v>
      </c>
      <c r="AX62" s="44">
        <v>971</v>
      </c>
      <c r="AY62" s="44">
        <v>4576</v>
      </c>
      <c r="AZ62" s="44">
        <v>4571</v>
      </c>
      <c r="BA62" s="44">
        <v>1608</v>
      </c>
      <c r="BB62" s="44">
        <v>136</v>
      </c>
      <c r="BC62" s="44">
        <v>2459</v>
      </c>
      <c r="BD62" s="44">
        <v>233</v>
      </c>
      <c r="BE62" s="44">
        <v>320</v>
      </c>
      <c r="BF62" s="44">
        <v>214</v>
      </c>
      <c r="BG62" s="44">
        <v>394</v>
      </c>
      <c r="BH62" s="44">
        <v>68</v>
      </c>
      <c r="BI62" s="44">
        <v>1027</v>
      </c>
    </row>
    <row r="63" spans="1:61" x14ac:dyDescent="0.2">
      <c r="A63" s="42">
        <v>42064</v>
      </c>
      <c r="B63" s="43">
        <v>792.5</v>
      </c>
      <c r="C63" s="43">
        <v>390</v>
      </c>
      <c r="D63" s="43">
        <v>525</v>
      </c>
      <c r="E63" s="43">
        <v>299</v>
      </c>
      <c r="F63" s="43">
        <v>462.8</v>
      </c>
      <c r="G63" s="43">
        <v>410</v>
      </c>
      <c r="H63" s="43">
        <v>415.5</v>
      </c>
      <c r="I63" s="43">
        <v>265</v>
      </c>
      <c r="J63" s="43">
        <v>536.5</v>
      </c>
      <c r="K63" s="43">
        <v>370</v>
      </c>
      <c r="L63" s="43">
        <v>360</v>
      </c>
      <c r="M63" s="43">
        <v>255</v>
      </c>
      <c r="N63" s="43">
        <v>570</v>
      </c>
      <c r="O63" s="43">
        <v>430</v>
      </c>
      <c r="P63" s="43">
        <v>585</v>
      </c>
      <c r="Q63" s="43">
        <v>657</v>
      </c>
      <c r="R63" s="43">
        <v>340</v>
      </c>
      <c r="S63" s="43">
        <v>480.8</v>
      </c>
      <c r="T63" s="43">
        <v>250</v>
      </c>
      <c r="U63" s="43">
        <v>420</v>
      </c>
      <c r="V63" s="43">
        <v>350</v>
      </c>
      <c r="W63" s="43">
        <v>345</v>
      </c>
      <c r="X63" s="43">
        <v>185</v>
      </c>
      <c r="Y63" s="43">
        <v>440</v>
      </c>
      <c r="Z63" s="43">
        <v>325</v>
      </c>
      <c r="AA63" s="43">
        <v>285</v>
      </c>
      <c r="AB63" s="43">
        <v>220.5</v>
      </c>
      <c r="AC63" s="43">
        <v>485</v>
      </c>
      <c r="AD63" s="43">
        <v>375</v>
      </c>
      <c r="AE63" s="43">
        <v>420</v>
      </c>
      <c r="AF63" s="44">
        <v>13518</v>
      </c>
      <c r="AG63" s="44">
        <v>10929</v>
      </c>
      <c r="AH63" s="44">
        <v>13871</v>
      </c>
      <c r="AI63" s="44">
        <v>5504</v>
      </c>
      <c r="AJ63" s="44">
        <v>9498</v>
      </c>
      <c r="AK63" s="44">
        <v>9421</v>
      </c>
      <c r="AL63" s="44">
        <v>4383</v>
      </c>
      <c r="AM63" s="44">
        <v>1555</v>
      </c>
      <c r="AN63" s="44">
        <v>6830</v>
      </c>
      <c r="AO63" s="44">
        <v>1590</v>
      </c>
      <c r="AP63" s="44">
        <v>945</v>
      </c>
      <c r="AQ63" s="44">
        <v>1439</v>
      </c>
      <c r="AR63" s="44">
        <v>306</v>
      </c>
      <c r="AS63" s="44">
        <v>89</v>
      </c>
      <c r="AT63" s="44">
        <v>1013</v>
      </c>
      <c r="AU63" s="44">
        <v>12507</v>
      </c>
      <c r="AV63" s="44">
        <v>2663</v>
      </c>
      <c r="AW63" s="44">
        <v>10877</v>
      </c>
      <c r="AX63" s="44">
        <v>1016</v>
      </c>
      <c r="AY63" s="44">
        <v>4537</v>
      </c>
      <c r="AZ63" s="44">
        <v>5268</v>
      </c>
      <c r="BA63" s="44">
        <v>1692</v>
      </c>
      <c r="BB63" s="44">
        <v>205</v>
      </c>
      <c r="BC63" s="44">
        <v>2654</v>
      </c>
      <c r="BD63" s="44">
        <v>230</v>
      </c>
      <c r="BE63" s="44">
        <v>303</v>
      </c>
      <c r="BF63" s="44">
        <v>225</v>
      </c>
      <c r="BG63" s="44">
        <v>316</v>
      </c>
      <c r="BH63" s="44">
        <v>43</v>
      </c>
      <c r="BI63" s="44">
        <v>924</v>
      </c>
    </row>
    <row r="64" spans="1:61" x14ac:dyDescent="0.2">
      <c r="A64" s="42">
        <v>42156</v>
      </c>
      <c r="B64" s="43">
        <v>860</v>
      </c>
      <c r="C64" s="43">
        <v>395</v>
      </c>
      <c r="D64" s="43">
        <v>561</v>
      </c>
      <c r="E64" s="43">
        <v>295</v>
      </c>
      <c r="F64" s="43">
        <v>465</v>
      </c>
      <c r="G64" s="43">
        <v>410.3</v>
      </c>
      <c r="H64" s="43">
        <v>420</v>
      </c>
      <c r="I64" s="43">
        <v>260</v>
      </c>
      <c r="J64" s="43">
        <v>537</v>
      </c>
      <c r="K64" s="43">
        <v>355</v>
      </c>
      <c r="L64" s="43">
        <v>350</v>
      </c>
      <c r="M64" s="43">
        <v>252.5</v>
      </c>
      <c r="N64" s="43">
        <v>595</v>
      </c>
      <c r="O64" s="43">
        <v>450</v>
      </c>
      <c r="P64" s="43">
        <v>580</v>
      </c>
      <c r="Q64" s="43">
        <v>705</v>
      </c>
      <c r="R64" s="43">
        <v>350</v>
      </c>
      <c r="S64" s="43">
        <v>515</v>
      </c>
      <c r="T64" s="43">
        <v>255</v>
      </c>
      <c r="U64" s="43">
        <v>425</v>
      </c>
      <c r="V64" s="43">
        <v>350</v>
      </c>
      <c r="W64" s="43">
        <v>345</v>
      </c>
      <c r="X64" s="43">
        <v>210</v>
      </c>
      <c r="Y64" s="43">
        <v>434.5</v>
      </c>
      <c r="Z64" s="43">
        <v>315</v>
      </c>
      <c r="AA64" s="43">
        <v>286</v>
      </c>
      <c r="AB64" s="43">
        <v>232</v>
      </c>
      <c r="AC64" s="43">
        <v>450</v>
      </c>
      <c r="AD64" s="43">
        <v>321.5</v>
      </c>
      <c r="AE64" s="43">
        <v>425</v>
      </c>
      <c r="AF64" s="44">
        <v>14472</v>
      </c>
      <c r="AG64" s="44">
        <v>12124</v>
      </c>
      <c r="AH64" s="44">
        <v>16787</v>
      </c>
      <c r="AI64" s="44">
        <v>5577</v>
      </c>
      <c r="AJ64" s="44">
        <v>10231</v>
      </c>
      <c r="AK64" s="44">
        <v>9420</v>
      </c>
      <c r="AL64" s="44">
        <v>4489</v>
      </c>
      <c r="AM64" s="44">
        <v>1411</v>
      </c>
      <c r="AN64" s="44">
        <v>6336</v>
      </c>
      <c r="AO64" s="44">
        <v>1398</v>
      </c>
      <c r="AP64" s="44">
        <v>924</v>
      </c>
      <c r="AQ64" s="44">
        <v>1425</v>
      </c>
      <c r="AR64" s="44">
        <v>291</v>
      </c>
      <c r="AS64" s="44">
        <v>64</v>
      </c>
      <c r="AT64" s="44">
        <v>1071</v>
      </c>
      <c r="AU64" s="44">
        <v>15127</v>
      </c>
      <c r="AV64" s="44">
        <v>2996</v>
      </c>
      <c r="AW64" s="44">
        <v>15487</v>
      </c>
      <c r="AX64" s="44">
        <v>1002</v>
      </c>
      <c r="AY64" s="44">
        <v>5159</v>
      </c>
      <c r="AZ64" s="44">
        <v>5251</v>
      </c>
      <c r="BA64" s="44">
        <v>1952</v>
      </c>
      <c r="BB64" s="44">
        <v>155</v>
      </c>
      <c r="BC64" s="44">
        <v>2295</v>
      </c>
      <c r="BD64" s="44">
        <v>198</v>
      </c>
      <c r="BE64" s="44">
        <v>335</v>
      </c>
      <c r="BF64" s="44">
        <v>247</v>
      </c>
      <c r="BG64" s="44">
        <v>287</v>
      </c>
      <c r="BH64" s="44">
        <v>34</v>
      </c>
      <c r="BI64" s="44">
        <v>1076</v>
      </c>
    </row>
    <row r="65" spans="1:61" x14ac:dyDescent="0.2">
      <c r="A65" s="42">
        <v>42248</v>
      </c>
      <c r="B65" s="43">
        <v>888.2</v>
      </c>
      <c r="C65" s="43">
        <v>410</v>
      </c>
      <c r="D65" s="43">
        <v>580</v>
      </c>
      <c r="E65" s="43">
        <v>295.60000000000002</v>
      </c>
      <c r="F65" s="43">
        <v>475</v>
      </c>
      <c r="G65" s="43">
        <v>415</v>
      </c>
      <c r="H65" s="43">
        <v>427.5</v>
      </c>
      <c r="I65" s="43">
        <v>260</v>
      </c>
      <c r="J65" s="43">
        <v>520</v>
      </c>
      <c r="K65" s="43">
        <v>350</v>
      </c>
      <c r="L65" s="43">
        <v>340</v>
      </c>
      <c r="M65" s="43">
        <v>257.5</v>
      </c>
      <c r="N65" s="43">
        <v>580</v>
      </c>
      <c r="O65" s="43">
        <v>455</v>
      </c>
      <c r="P65" s="43">
        <v>587.5</v>
      </c>
      <c r="Q65" s="43">
        <v>710</v>
      </c>
      <c r="R65" s="43">
        <v>360</v>
      </c>
      <c r="S65" s="43">
        <v>500</v>
      </c>
      <c r="T65" s="43">
        <v>256</v>
      </c>
      <c r="U65" s="43">
        <v>425</v>
      </c>
      <c r="V65" s="43">
        <v>350.8</v>
      </c>
      <c r="W65" s="43">
        <v>344.5</v>
      </c>
      <c r="X65" s="43">
        <v>190</v>
      </c>
      <c r="Y65" s="43">
        <v>425</v>
      </c>
      <c r="Z65" s="43">
        <v>330</v>
      </c>
      <c r="AA65" s="43">
        <v>296</v>
      </c>
      <c r="AB65" s="43">
        <v>235</v>
      </c>
      <c r="AC65" s="43">
        <v>475</v>
      </c>
      <c r="AD65" s="43">
        <v>305</v>
      </c>
      <c r="AE65" s="43">
        <v>415</v>
      </c>
      <c r="AF65" s="44">
        <v>15306</v>
      </c>
      <c r="AG65" s="44">
        <v>12705</v>
      </c>
      <c r="AH65" s="44">
        <v>16128</v>
      </c>
      <c r="AI65" s="44">
        <v>5548</v>
      </c>
      <c r="AJ65" s="44">
        <v>10729</v>
      </c>
      <c r="AK65" s="44">
        <v>9968</v>
      </c>
      <c r="AL65" s="44">
        <v>4381</v>
      </c>
      <c r="AM65" s="44">
        <v>1286</v>
      </c>
      <c r="AN65" s="44">
        <v>5539</v>
      </c>
      <c r="AO65" s="44">
        <v>1336</v>
      </c>
      <c r="AP65" s="44">
        <v>885</v>
      </c>
      <c r="AQ65" s="44">
        <v>1403</v>
      </c>
      <c r="AR65" s="44">
        <v>248</v>
      </c>
      <c r="AS65" s="44">
        <v>93</v>
      </c>
      <c r="AT65" s="44">
        <v>1048</v>
      </c>
      <c r="AU65" s="44">
        <v>14807</v>
      </c>
      <c r="AV65" s="44">
        <v>3107</v>
      </c>
      <c r="AW65" s="44">
        <v>11607</v>
      </c>
      <c r="AX65" s="44">
        <v>1003</v>
      </c>
      <c r="AY65" s="44">
        <v>5201</v>
      </c>
      <c r="AZ65" s="44">
        <v>5402</v>
      </c>
      <c r="BA65" s="44">
        <v>1698</v>
      </c>
      <c r="BB65" s="44">
        <v>141</v>
      </c>
      <c r="BC65" s="44">
        <v>1953</v>
      </c>
      <c r="BD65" s="44">
        <v>182</v>
      </c>
      <c r="BE65" s="44">
        <v>298</v>
      </c>
      <c r="BF65" s="44">
        <v>224</v>
      </c>
      <c r="BG65" s="44">
        <v>263</v>
      </c>
      <c r="BH65" s="44">
        <v>29</v>
      </c>
      <c r="BI65" s="44">
        <v>1081</v>
      </c>
    </row>
    <row r="66" spans="1:61" x14ac:dyDescent="0.2">
      <c r="A66" s="42">
        <v>42339</v>
      </c>
      <c r="B66" s="43">
        <v>915</v>
      </c>
      <c r="C66" s="43">
        <v>412</v>
      </c>
      <c r="D66" s="43">
        <v>612.29999999999995</v>
      </c>
      <c r="E66" s="43">
        <v>310</v>
      </c>
      <c r="F66" s="43">
        <v>490</v>
      </c>
      <c r="G66" s="43">
        <v>420</v>
      </c>
      <c r="H66" s="43">
        <v>436</v>
      </c>
      <c r="I66" s="43">
        <v>273.5</v>
      </c>
      <c r="J66" s="43">
        <v>525</v>
      </c>
      <c r="K66" s="43">
        <v>350</v>
      </c>
      <c r="L66" s="43">
        <v>370</v>
      </c>
      <c r="M66" s="43">
        <v>265</v>
      </c>
      <c r="N66" s="43">
        <v>575</v>
      </c>
      <c r="O66" s="43">
        <v>412.5</v>
      </c>
      <c r="P66" s="43">
        <v>615</v>
      </c>
      <c r="Q66" s="43">
        <v>723</v>
      </c>
      <c r="R66" s="43">
        <v>362</v>
      </c>
      <c r="S66" s="43">
        <v>505</v>
      </c>
      <c r="T66" s="43">
        <v>265</v>
      </c>
      <c r="U66" s="43">
        <v>420</v>
      </c>
      <c r="V66" s="43">
        <v>360</v>
      </c>
      <c r="W66" s="43">
        <v>345</v>
      </c>
      <c r="X66" s="43">
        <v>182</v>
      </c>
      <c r="Y66" s="43">
        <v>430</v>
      </c>
      <c r="Z66" s="43">
        <v>295</v>
      </c>
      <c r="AA66" s="43">
        <v>292</v>
      </c>
      <c r="AB66" s="43">
        <v>235</v>
      </c>
      <c r="AC66" s="43">
        <v>460</v>
      </c>
      <c r="AD66" s="43">
        <v>265</v>
      </c>
      <c r="AE66" s="43">
        <v>419.9</v>
      </c>
      <c r="AF66" s="44">
        <v>13527</v>
      </c>
      <c r="AG66" s="44">
        <v>12739</v>
      </c>
      <c r="AH66" s="44">
        <v>16165</v>
      </c>
      <c r="AI66" s="44">
        <v>5631</v>
      </c>
      <c r="AJ66" s="44">
        <v>9829</v>
      </c>
      <c r="AK66" s="44">
        <v>8826</v>
      </c>
      <c r="AL66" s="44">
        <v>4422</v>
      </c>
      <c r="AM66" s="44">
        <v>1403</v>
      </c>
      <c r="AN66" s="44">
        <v>5627</v>
      </c>
      <c r="AO66" s="44">
        <v>1404</v>
      </c>
      <c r="AP66" s="44">
        <v>960</v>
      </c>
      <c r="AQ66" s="44">
        <v>1430</v>
      </c>
      <c r="AR66" s="44">
        <v>244</v>
      </c>
      <c r="AS66" s="44">
        <v>82</v>
      </c>
      <c r="AT66" s="44">
        <v>1262</v>
      </c>
      <c r="AU66" s="44">
        <v>11733</v>
      </c>
      <c r="AV66" s="44">
        <v>2877</v>
      </c>
      <c r="AW66" s="44">
        <v>11064</v>
      </c>
      <c r="AX66" s="44">
        <v>982</v>
      </c>
      <c r="AY66" s="44">
        <v>4358</v>
      </c>
      <c r="AZ66" s="44">
        <v>4908</v>
      </c>
      <c r="BA66" s="44">
        <v>1733</v>
      </c>
      <c r="BB66" s="44">
        <v>123</v>
      </c>
      <c r="BC66" s="44">
        <v>2066</v>
      </c>
      <c r="BD66" s="44">
        <v>175</v>
      </c>
      <c r="BE66" s="44">
        <v>311</v>
      </c>
      <c r="BF66" s="44">
        <v>244</v>
      </c>
      <c r="BG66" s="44">
        <v>311</v>
      </c>
      <c r="BH66" s="44">
        <v>53</v>
      </c>
      <c r="BI66" s="44">
        <v>1154</v>
      </c>
    </row>
    <row r="67" spans="1:61" x14ac:dyDescent="0.2">
      <c r="A67" s="42">
        <v>42430</v>
      </c>
      <c r="B67" s="43">
        <v>850</v>
      </c>
      <c r="C67" s="43">
        <v>415</v>
      </c>
      <c r="D67" s="43">
        <v>568</v>
      </c>
      <c r="E67" s="43">
        <v>311</v>
      </c>
      <c r="F67" s="43">
        <v>483.5</v>
      </c>
      <c r="G67" s="43">
        <v>425</v>
      </c>
      <c r="H67" s="43">
        <v>436</v>
      </c>
      <c r="I67" s="43">
        <v>275</v>
      </c>
      <c r="J67" s="43">
        <v>518</v>
      </c>
      <c r="K67" s="43">
        <v>360.5</v>
      </c>
      <c r="L67" s="43">
        <v>360</v>
      </c>
      <c r="M67" s="43">
        <v>264</v>
      </c>
      <c r="N67" s="43">
        <v>570</v>
      </c>
      <c r="O67" s="43">
        <v>472.5</v>
      </c>
      <c r="P67" s="43">
        <v>590</v>
      </c>
      <c r="Q67" s="43">
        <v>706.5</v>
      </c>
      <c r="R67" s="43">
        <v>365</v>
      </c>
      <c r="S67" s="43">
        <v>490</v>
      </c>
      <c r="T67" s="43">
        <v>270</v>
      </c>
      <c r="U67" s="43">
        <v>415</v>
      </c>
      <c r="V67" s="43">
        <v>363</v>
      </c>
      <c r="W67" s="43">
        <v>345</v>
      </c>
      <c r="X67" s="43">
        <v>187</v>
      </c>
      <c r="Y67" s="43">
        <v>430</v>
      </c>
      <c r="Z67" s="43">
        <v>327.5</v>
      </c>
      <c r="AA67" s="43">
        <v>295.8</v>
      </c>
      <c r="AB67" s="43">
        <v>215</v>
      </c>
      <c r="AC67" s="43">
        <v>469.6</v>
      </c>
      <c r="AD67" s="43">
        <v>310</v>
      </c>
      <c r="AE67" s="43">
        <v>425</v>
      </c>
      <c r="AF67" s="44">
        <v>10527</v>
      </c>
      <c r="AG67" s="44">
        <v>10689</v>
      </c>
      <c r="AH67" s="44">
        <v>11654</v>
      </c>
      <c r="AI67" s="44">
        <v>5188</v>
      </c>
      <c r="AJ67" s="44">
        <v>9405</v>
      </c>
      <c r="AK67" s="44">
        <v>8786</v>
      </c>
      <c r="AL67" s="44">
        <v>4143</v>
      </c>
      <c r="AM67" s="44">
        <v>1354</v>
      </c>
      <c r="AN67" s="44">
        <v>5857</v>
      </c>
      <c r="AO67" s="44">
        <v>1448</v>
      </c>
      <c r="AP67" s="44">
        <v>925</v>
      </c>
      <c r="AQ67" s="44">
        <v>1423</v>
      </c>
      <c r="AR67" s="44">
        <v>226</v>
      </c>
      <c r="AS67" s="44">
        <v>60</v>
      </c>
      <c r="AT67" s="44">
        <v>883</v>
      </c>
      <c r="AU67" s="44">
        <v>8920</v>
      </c>
      <c r="AV67" s="44">
        <v>2485</v>
      </c>
      <c r="AW67" s="44">
        <v>8187</v>
      </c>
      <c r="AX67" s="44">
        <v>912</v>
      </c>
      <c r="AY67" s="44">
        <v>3801</v>
      </c>
      <c r="AZ67" s="44">
        <v>4832</v>
      </c>
      <c r="BA67" s="44">
        <v>1682</v>
      </c>
      <c r="BB67" s="44">
        <v>155</v>
      </c>
      <c r="BC67" s="44">
        <v>1968</v>
      </c>
      <c r="BD67" s="44">
        <v>196</v>
      </c>
      <c r="BE67" s="44">
        <v>320</v>
      </c>
      <c r="BF67" s="44">
        <v>225</v>
      </c>
      <c r="BG67" s="44">
        <v>205</v>
      </c>
      <c r="BH67" s="44">
        <v>57</v>
      </c>
      <c r="BI67" s="44">
        <v>837</v>
      </c>
    </row>
    <row r="68" spans="1:61" x14ac:dyDescent="0.2">
      <c r="A68" s="42">
        <v>42522</v>
      </c>
      <c r="B68" s="43">
        <v>895</v>
      </c>
      <c r="C68" s="43">
        <v>425</v>
      </c>
      <c r="D68" s="43">
        <v>610</v>
      </c>
      <c r="E68" s="43">
        <v>305</v>
      </c>
      <c r="F68" s="43">
        <v>495</v>
      </c>
      <c r="G68" s="43">
        <v>425</v>
      </c>
      <c r="H68" s="43">
        <v>440</v>
      </c>
      <c r="I68" s="43">
        <v>265</v>
      </c>
      <c r="J68" s="43">
        <v>520</v>
      </c>
      <c r="K68" s="43">
        <v>330</v>
      </c>
      <c r="L68" s="43">
        <v>365</v>
      </c>
      <c r="M68" s="43">
        <v>253</v>
      </c>
      <c r="N68" s="43">
        <v>548</v>
      </c>
      <c r="O68" s="43">
        <v>426</v>
      </c>
      <c r="P68" s="43">
        <v>623</v>
      </c>
      <c r="Q68" s="43">
        <v>720</v>
      </c>
      <c r="R68" s="43">
        <v>370</v>
      </c>
      <c r="S68" s="43">
        <v>505</v>
      </c>
      <c r="T68" s="43">
        <v>260.8</v>
      </c>
      <c r="U68" s="43">
        <v>413</v>
      </c>
      <c r="V68" s="43">
        <v>365</v>
      </c>
      <c r="W68" s="43">
        <v>367</v>
      </c>
      <c r="X68" s="43">
        <v>202.5</v>
      </c>
      <c r="Y68" s="43">
        <v>410</v>
      </c>
      <c r="Z68" s="43">
        <v>300</v>
      </c>
      <c r="AA68" s="43">
        <v>307.5</v>
      </c>
      <c r="AB68" s="43">
        <v>220</v>
      </c>
      <c r="AC68" s="43">
        <v>437.5</v>
      </c>
      <c r="AD68" s="43">
        <v>320</v>
      </c>
      <c r="AE68" s="43">
        <v>435</v>
      </c>
      <c r="AF68" s="44">
        <v>12638</v>
      </c>
      <c r="AG68" s="44">
        <v>12279</v>
      </c>
      <c r="AH68" s="44">
        <v>15066</v>
      </c>
      <c r="AI68" s="44">
        <v>5561</v>
      </c>
      <c r="AJ68" s="44">
        <v>9625</v>
      </c>
      <c r="AK68" s="44">
        <v>8869</v>
      </c>
      <c r="AL68" s="44">
        <v>4226</v>
      </c>
      <c r="AM68" s="44">
        <v>1381</v>
      </c>
      <c r="AN68" s="44">
        <v>5969</v>
      </c>
      <c r="AO68" s="44">
        <v>1469</v>
      </c>
      <c r="AP68" s="44">
        <v>922</v>
      </c>
      <c r="AQ68" s="44">
        <v>1427</v>
      </c>
      <c r="AR68" s="44">
        <v>247</v>
      </c>
      <c r="AS68" s="44">
        <v>60</v>
      </c>
      <c r="AT68" s="44">
        <v>1060</v>
      </c>
      <c r="AU68" s="44">
        <v>10590</v>
      </c>
      <c r="AV68" s="44">
        <v>2827</v>
      </c>
      <c r="AW68" s="44">
        <v>10671</v>
      </c>
      <c r="AX68" s="44">
        <v>890</v>
      </c>
      <c r="AY68" s="44">
        <v>3584</v>
      </c>
      <c r="AZ68" s="44">
        <v>4758</v>
      </c>
      <c r="BA68" s="44">
        <v>2008</v>
      </c>
      <c r="BB68" s="44">
        <v>155</v>
      </c>
      <c r="BC68" s="44">
        <v>1982</v>
      </c>
      <c r="BD68" s="44">
        <v>199</v>
      </c>
      <c r="BE68" s="44">
        <v>334</v>
      </c>
      <c r="BF68" s="44">
        <v>227</v>
      </c>
      <c r="BG68" s="44">
        <v>230</v>
      </c>
      <c r="BH68" s="44">
        <v>61</v>
      </c>
      <c r="BI68" s="44">
        <v>1163</v>
      </c>
    </row>
    <row r="69" spans="1:61" x14ac:dyDescent="0.2">
      <c r="A69" s="42">
        <v>42614</v>
      </c>
      <c r="B69" s="43">
        <v>900</v>
      </c>
      <c r="C69" s="43">
        <v>430.5</v>
      </c>
      <c r="D69" s="43">
        <v>605</v>
      </c>
      <c r="E69" s="43">
        <v>310</v>
      </c>
      <c r="F69" s="43">
        <v>500</v>
      </c>
      <c r="G69" s="43">
        <v>435</v>
      </c>
      <c r="H69" s="43">
        <v>445</v>
      </c>
      <c r="I69" s="43">
        <v>270</v>
      </c>
      <c r="J69" s="43">
        <v>510</v>
      </c>
      <c r="K69" s="43">
        <v>327.8</v>
      </c>
      <c r="L69" s="43">
        <v>370</v>
      </c>
      <c r="M69" s="43">
        <v>255</v>
      </c>
      <c r="N69" s="43">
        <v>520</v>
      </c>
      <c r="O69" s="43">
        <v>353.5</v>
      </c>
      <c r="P69" s="43">
        <v>615.79999999999995</v>
      </c>
      <c r="Q69" s="43">
        <v>710</v>
      </c>
      <c r="R69" s="43">
        <v>375</v>
      </c>
      <c r="S69" s="43">
        <v>496</v>
      </c>
      <c r="T69" s="43">
        <v>260</v>
      </c>
      <c r="U69" s="43">
        <v>420</v>
      </c>
      <c r="V69" s="43">
        <v>370</v>
      </c>
      <c r="W69" s="43">
        <v>365</v>
      </c>
      <c r="X69" s="43">
        <v>195</v>
      </c>
      <c r="Y69" s="43">
        <v>425</v>
      </c>
      <c r="Z69" s="43">
        <v>270</v>
      </c>
      <c r="AA69" s="43">
        <v>290</v>
      </c>
      <c r="AB69" s="43">
        <v>235</v>
      </c>
      <c r="AC69" s="43">
        <v>342.5</v>
      </c>
      <c r="AD69" s="43">
        <v>300</v>
      </c>
      <c r="AE69" s="43">
        <v>428.5</v>
      </c>
      <c r="AF69" s="44">
        <v>12351</v>
      </c>
      <c r="AG69" s="44">
        <v>12063</v>
      </c>
      <c r="AH69" s="44">
        <v>14109</v>
      </c>
      <c r="AI69" s="44">
        <v>5627</v>
      </c>
      <c r="AJ69" s="44">
        <v>9588</v>
      </c>
      <c r="AK69" s="44">
        <v>9136</v>
      </c>
      <c r="AL69" s="44">
        <v>4023</v>
      </c>
      <c r="AM69" s="44">
        <v>1284</v>
      </c>
      <c r="AN69" s="44">
        <v>5628</v>
      </c>
      <c r="AO69" s="44">
        <v>1532</v>
      </c>
      <c r="AP69" s="44">
        <v>859</v>
      </c>
      <c r="AQ69" s="44">
        <v>1384</v>
      </c>
      <c r="AR69" s="44">
        <v>261</v>
      </c>
      <c r="AS69" s="44">
        <v>92</v>
      </c>
      <c r="AT69" s="44">
        <v>994</v>
      </c>
      <c r="AU69" s="44">
        <v>10672</v>
      </c>
      <c r="AV69" s="44">
        <v>2914</v>
      </c>
      <c r="AW69" s="44">
        <v>9634</v>
      </c>
      <c r="AX69" s="44">
        <v>1016</v>
      </c>
      <c r="AY69" s="44">
        <v>3480</v>
      </c>
      <c r="AZ69" s="44">
        <v>4793</v>
      </c>
      <c r="BA69" s="44">
        <v>1608</v>
      </c>
      <c r="BB69" s="44">
        <v>119</v>
      </c>
      <c r="BC69" s="44">
        <v>1896</v>
      </c>
      <c r="BD69" s="44">
        <v>213</v>
      </c>
      <c r="BE69" s="44">
        <v>296</v>
      </c>
      <c r="BF69" s="44">
        <v>235</v>
      </c>
      <c r="BG69" s="44">
        <v>294</v>
      </c>
      <c r="BH69" s="44">
        <v>53</v>
      </c>
      <c r="BI69" s="44">
        <v>1064</v>
      </c>
    </row>
    <row r="70" spans="1:61" x14ac:dyDescent="0.2">
      <c r="A70" s="42">
        <v>42705</v>
      </c>
      <c r="B70" s="43">
        <v>985.5</v>
      </c>
      <c r="C70" s="43">
        <v>445</v>
      </c>
      <c r="D70" s="43">
        <v>675</v>
      </c>
      <c r="E70" s="43">
        <v>320.8</v>
      </c>
      <c r="F70" s="43">
        <v>515</v>
      </c>
      <c r="G70" s="43">
        <v>439</v>
      </c>
      <c r="H70" s="43">
        <v>447</v>
      </c>
      <c r="I70" s="43">
        <v>280</v>
      </c>
      <c r="J70" s="43">
        <v>525</v>
      </c>
      <c r="K70" s="43">
        <v>345</v>
      </c>
      <c r="L70" s="43">
        <v>392</v>
      </c>
      <c r="M70" s="43">
        <v>274.5</v>
      </c>
      <c r="N70" s="43">
        <v>522</v>
      </c>
      <c r="O70" s="43">
        <v>454.5</v>
      </c>
      <c r="P70" s="43">
        <v>636</v>
      </c>
      <c r="Q70" s="43">
        <v>735</v>
      </c>
      <c r="R70" s="43">
        <v>385</v>
      </c>
      <c r="S70" s="43">
        <v>501.9</v>
      </c>
      <c r="T70" s="43">
        <v>276</v>
      </c>
      <c r="U70" s="43">
        <v>410</v>
      </c>
      <c r="V70" s="43">
        <v>375</v>
      </c>
      <c r="W70" s="43">
        <v>365</v>
      </c>
      <c r="X70" s="43">
        <v>205</v>
      </c>
      <c r="Y70" s="43">
        <v>410</v>
      </c>
      <c r="Z70" s="43">
        <v>288</v>
      </c>
      <c r="AA70" s="43">
        <v>305</v>
      </c>
      <c r="AB70" s="43">
        <v>240</v>
      </c>
      <c r="AC70" s="43">
        <v>381.1</v>
      </c>
      <c r="AD70" s="43">
        <v>326.3</v>
      </c>
      <c r="AE70" s="43">
        <v>430</v>
      </c>
      <c r="AF70" s="44">
        <v>13846</v>
      </c>
      <c r="AG70" s="44">
        <v>13398</v>
      </c>
      <c r="AH70" s="44">
        <v>16565</v>
      </c>
      <c r="AI70" s="44">
        <v>6270</v>
      </c>
      <c r="AJ70" s="44">
        <v>9476</v>
      </c>
      <c r="AK70" s="44">
        <v>9204</v>
      </c>
      <c r="AL70" s="44">
        <v>4515</v>
      </c>
      <c r="AM70" s="44">
        <v>1419</v>
      </c>
      <c r="AN70" s="44">
        <v>5609</v>
      </c>
      <c r="AO70" s="44">
        <v>1490</v>
      </c>
      <c r="AP70" s="44">
        <v>1063</v>
      </c>
      <c r="AQ70" s="44">
        <v>1645</v>
      </c>
      <c r="AR70" s="44">
        <v>259</v>
      </c>
      <c r="AS70" s="44">
        <v>82</v>
      </c>
      <c r="AT70" s="44">
        <v>1239</v>
      </c>
      <c r="AU70" s="44">
        <v>11420</v>
      </c>
      <c r="AV70" s="44">
        <v>3107</v>
      </c>
      <c r="AW70" s="44">
        <v>10814</v>
      </c>
      <c r="AX70" s="44">
        <v>1128</v>
      </c>
      <c r="AY70" s="44">
        <v>3088</v>
      </c>
      <c r="AZ70" s="44">
        <v>4520</v>
      </c>
      <c r="BA70" s="44">
        <v>1639</v>
      </c>
      <c r="BB70" s="44">
        <v>120</v>
      </c>
      <c r="BC70" s="44">
        <v>1914</v>
      </c>
      <c r="BD70" s="44">
        <v>227</v>
      </c>
      <c r="BE70" s="44">
        <v>362</v>
      </c>
      <c r="BF70" s="44">
        <v>247</v>
      </c>
      <c r="BG70" s="44">
        <v>188</v>
      </c>
      <c r="BH70" s="44">
        <v>48</v>
      </c>
      <c r="BI70" s="44">
        <v>1319</v>
      </c>
    </row>
    <row r="71" spans="1:61" x14ac:dyDescent="0.2">
      <c r="A71" s="42">
        <v>42795</v>
      </c>
      <c r="B71" s="43">
        <v>930</v>
      </c>
      <c r="C71" s="43">
        <v>455</v>
      </c>
      <c r="D71" s="43">
        <v>657.5</v>
      </c>
      <c r="E71" s="43">
        <v>328</v>
      </c>
      <c r="F71" s="43">
        <v>510</v>
      </c>
      <c r="G71" s="43">
        <v>440</v>
      </c>
      <c r="H71" s="43">
        <v>451.3</v>
      </c>
      <c r="I71" s="43">
        <v>285</v>
      </c>
      <c r="J71" s="43">
        <v>510</v>
      </c>
      <c r="K71" s="43">
        <v>350</v>
      </c>
      <c r="L71" s="43">
        <v>389.5</v>
      </c>
      <c r="M71" s="43">
        <v>263</v>
      </c>
      <c r="N71" s="43">
        <v>530</v>
      </c>
      <c r="O71" s="43">
        <v>430.1</v>
      </c>
      <c r="P71" s="43">
        <v>654.5</v>
      </c>
      <c r="Q71" s="43">
        <v>730</v>
      </c>
      <c r="R71" s="43">
        <v>395</v>
      </c>
      <c r="S71" s="43">
        <v>520</v>
      </c>
      <c r="T71" s="43">
        <v>272.5</v>
      </c>
      <c r="U71" s="43">
        <v>405</v>
      </c>
      <c r="V71" s="43">
        <v>389</v>
      </c>
      <c r="W71" s="43">
        <v>365</v>
      </c>
      <c r="X71" s="43">
        <v>180</v>
      </c>
      <c r="Y71" s="43">
        <v>415</v>
      </c>
      <c r="Z71" s="43">
        <v>311.5</v>
      </c>
      <c r="AA71" s="43">
        <v>315</v>
      </c>
      <c r="AB71" s="43">
        <v>249</v>
      </c>
      <c r="AC71" s="43">
        <v>375</v>
      </c>
      <c r="AD71" s="43">
        <v>319</v>
      </c>
      <c r="AE71" s="43">
        <v>429.9</v>
      </c>
      <c r="AF71" s="44">
        <v>11314</v>
      </c>
      <c r="AG71" s="44">
        <v>11995</v>
      </c>
      <c r="AH71" s="44">
        <v>13358</v>
      </c>
      <c r="AI71" s="44">
        <v>6070</v>
      </c>
      <c r="AJ71" s="44">
        <v>9089</v>
      </c>
      <c r="AK71" s="44">
        <v>9025</v>
      </c>
      <c r="AL71" s="44">
        <v>4256</v>
      </c>
      <c r="AM71" s="44">
        <v>1479</v>
      </c>
      <c r="AN71" s="44">
        <v>6206</v>
      </c>
      <c r="AO71" s="44">
        <v>1642</v>
      </c>
      <c r="AP71" s="44">
        <v>1113</v>
      </c>
      <c r="AQ71" s="44">
        <v>1861</v>
      </c>
      <c r="AR71" s="44">
        <v>245</v>
      </c>
      <c r="AS71" s="44">
        <v>97</v>
      </c>
      <c r="AT71" s="44">
        <v>1006</v>
      </c>
      <c r="AU71" s="44">
        <v>10118</v>
      </c>
      <c r="AV71" s="44">
        <v>2916</v>
      </c>
      <c r="AW71" s="44">
        <v>9116</v>
      </c>
      <c r="AX71" s="44">
        <v>1091</v>
      </c>
      <c r="AY71" s="44">
        <v>3133</v>
      </c>
      <c r="AZ71" s="44">
        <v>4830</v>
      </c>
      <c r="BA71" s="44">
        <v>1644</v>
      </c>
      <c r="BB71" s="44">
        <v>117</v>
      </c>
      <c r="BC71" s="44">
        <v>2174</v>
      </c>
      <c r="BD71" s="44">
        <v>272</v>
      </c>
      <c r="BE71" s="44">
        <v>415</v>
      </c>
      <c r="BF71" s="44">
        <v>267</v>
      </c>
      <c r="BG71" s="44">
        <v>189</v>
      </c>
      <c r="BH71" s="44">
        <v>37</v>
      </c>
      <c r="BI71" s="44">
        <v>1065</v>
      </c>
    </row>
    <row r="72" spans="1:61" x14ac:dyDescent="0.2">
      <c r="A72" s="42">
        <v>42887</v>
      </c>
      <c r="B72" s="43">
        <v>1050</v>
      </c>
      <c r="C72" s="43">
        <v>460</v>
      </c>
      <c r="D72" s="43">
        <v>720</v>
      </c>
      <c r="E72" s="43">
        <v>332</v>
      </c>
      <c r="F72" s="43">
        <v>518</v>
      </c>
      <c r="G72" s="43">
        <v>449</v>
      </c>
      <c r="H72" s="43">
        <v>450</v>
      </c>
      <c r="I72" s="43">
        <v>270</v>
      </c>
      <c r="J72" s="43">
        <v>506</v>
      </c>
      <c r="K72" s="43">
        <v>327</v>
      </c>
      <c r="L72" s="43">
        <v>400</v>
      </c>
      <c r="M72" s="43">
        <v>275</v>
      </c>
      <c r="N72" s="43">
        <v>500</v>
      </c>
      <c r="O72" s="43">
        <v>423.5</v>
      </c>
      <c r="P72" s="43">
        <v>670</v>
      </c>
      <c r="Q72" s="43">
        <v>770</v>
      </c>
      <c r="R72" s="43">
        <v>424</v>
      </c>
      <c r="S72" s="43">
        <v>568.9</v>
      </c>
      <c r="T72" s="43">
        <v>262.8</v>
      </c>
      <c r="U72" s="43">
        <v>392.5</v>
      </c>
      <c r="V72" s="43">
        <v>380</v>
      </c>
      <c r="W72" s="43">
        <v>383.5</v>
      </c>
      <c r="X72" s="43">
        <v>200</v>
      </c>
      <c r="Y72" s="43">
        <v>405</v>
      </c>
      <c r="Z72" s="43">
        <v>270</v>
      </c>
      <c r="AA72" s="43">
        <v>300</v>
      </c>
      <c r="AB72" s="43">
        <v>250</v>
      </c>
      <c r="AC72" s="43">
        <v>375</v>
      </c>
      <c r="AD72" s="43">
        <v>307.5</v>
      </c>
      <c r="AE72" s="43">
        <v>445</v>
      </c>
      <c r="AF72" s="44">
        <v>12280</v>
      </c>
      <c r="AG72" s="44">
        <v>11763</v>
      </c>
      <c r="AH72" s="44">
        <v>15375</v>
      </c>
      <c r="AI72" s="44">
        <v>5862</v>
      </c>
      <c r="AJ72" s="44">
        <v>8951</v>
      </c>
      <c r="AK72" s="44">
        <v>8303</v>
      </c>
      <c r="AL72" s="44">
        <v>4221</v>
      </c>
      <c r="AM72" s="44">
        <v>1354</v>
      </c>
      <c r="AN72" s="44">
        <v>5845</v>
      </c>
      <c r="AO72" s="44">
        <v>1501</v>
      </c>
      <c r="AP72" s="44">
        <v>982</v>
      </c>
      <c r="AQ72" s="44">
        <v>1690</v>
      </c>
      <c r="AR72" s="44">
        <v>244</v>
      </c>
      <c r="AS72" s="44">
        <v>86</v>
      </c>
      <c r="AT72" s="44">
        <v>1068</v>
      </c>
      <c r="AU72" s="44">
        <v>11180</v>
      </c>
      <c r="AV72" s="44">
        <v>2848</v>
      </c>
      <c r="AW72" s="44">
        <v>12623</v>
      </c>
      <c r="AX72" s="44">
        <v>1112</v>
      </c>
      <c r="AY72" s="44">
        <v>2846</v>
      </c>
      <c r="AZ72" s="44">
        <v>4380</v>
      </c>
      <c r="BA72" s="44">
        <v>1906</v>
      </c>
      <c r="BB72" s="44">
        <v>126</v>
      </c>
      <c r="BC72" s="44">
        <v>2010</v>
      </c>
      <c r="BD72" s="44">
        <v>224</v>
      </c>
      <c r="BE72" s="44">
        <v>347</v>
      </c>
      <c r="BF72" s="44">
        <v>263</v>
      </c>
      <c r="BG72" s="44">
        <v>173</v>
      </c>
      <c r="BH72" s="44">
        <v>34</v>
      </c>
      <c r="BI72" s="44">
        <v>1144</v>
      </c>
    </row>
    <row r="73" spans="1:61" x14ac:dyDescent="0.2">
      <c r="A73" s="42">
        <v>42979</v>
      </c>
      <c r="B73" s="43">
        <v>950</v>
      </c>
      <c r="C73" s="43">
        <v>460</v>
      </c>
      <c r="D73" s="43">
        <v>692</v>
      </c>
      <c r="E73" s="43">
        <v>328</v>
      </c>
      <c r="F73" s="43">
        <v>525</v>
      </c>
      <c r="G73" s="43">
        <v>445</v>
      </c>
      <c r="H73" s="43">
        <v>451</v>
      </c>
      <c r="I73" s="43">
        <v>277.5</v>
      </c>
      <c r="J73" s="43">
        <v>500</v>
      </c>
      <c r="K73" s="43">
        <v>325</v>
      </c>
      <c r="L73" s="43">
        <v>395</v>
      </c>
      <c r="M73" s="43">
        <v>273.5</v>
      </c>
      <c r="N73" s="43">
        <v>500</v>
      </c>
      <c r="O73" s="43">
        <v>443</v>
      </c>
      <c r="P73" s="43">
        <v>667.5</v>
      </c>
      <c r="Q73" s="43">
        <v>720</v>
      </c>
      <c r="R73" s="43">
        <v>410</v>
      </c>
      <c r="S73" s="43">
        <v>540</v>
      </c>
      <c r="T73" s="43">
        <v>279</v>
      </c>
      <c r="U73" s="43">
        <v>400</v>
      </c>
      <c r="V73" s="43">
        <v>385</v>
      </c>
      <c r="W73" s="43">
        <v>375</v>
      </c>
      <c r="X73" s="43">
        <v>172</v>
      </c>
      <c r="Y73" s="43">
        <v>405</v>
      </c>
      <c r="Z73" s="43">
        <v>268</v>
      </c>
      <c r="AA73" s="43">
        <v>320</v>
      </c>
      <c r="AB73" s="43">
        <v>235</v>
      </c>
      <c r="AC73" s="43">
        <v>375</v>
      </c>
      <c r="AD73" s="43">
        <v>330</v>
      </c>
      <c r="AE73" s="43">
        <v>434.5</v>
      </c>
      <c r="AF73" s="44">
        <v>12582</v>
      </c>
      <c r="AG73" s="44">
        <v>13039</v>
      </c>
      <c r="AH73" s="44">
        <v>14913</v>
      </c>
      <c r="AI73" s="44">
        <v>6447</v>
      </c>
      <c r="AJ73" s="44">
        <v>8971</v>
      </c>
      <c r="AK73" s="44">
        <v>8916</v>
      </c>
      <c r="AL73" s="44">
        <v>4079</v>
      </c>
      <c r="AM73" s="44">
        <v>1355</v>
      </c>
      <c r="AN73" s="44">
        <v>5762</v>
      </c>
      <c r="AO73" s="44">
        <v>1535</v>
      </c>
      <c r="AP73" s="44">
        <v>917</v>
      </c>
      <c r="AQ73" s="44">
        <v>1619</v>
      </c>
      <c r="AR73" s="44">
        <v>252</v>
      </c>
      <c r="AS73" s="44">
        <v>94</v>
      </c>
      <c r="AT73" s="44">
        <v>956</v>
      </c>
      <c r="AU73" s="44">
        <v>11380</v>
      </c>
      <c r="AV73" s="44">
        <v>2826</v>
      </c>
      <c r="AW73" s="44">
        <v>10153</v>
      </c>
      <c r="AX73" s="44">
        <v>1167</v>
      </c>
      <c r="AY73" s="44">
        <v>2746</v>
      </c>
      <c r="AZ73" s="44">
        <v>4422</v>
      </c>
      <c r="BA73" s="44">
        <v>1711</v>
      </c>
      <c r="BB73" s="44">
        <v>169</v>
      </c>
      <c r="BC73" s="44">
        <v>1988</v>
      </c>
      <c r="BD73" s="44">
        <v>225</v>
      </c>
      <c r="BE73" s="44">
        <v>402</v>
      </c>
      <c r="BF73" s="44">
        <v>239</v>
      </c>
      <c r="BG73" s="44">
        <v>150</v>
      </c>
      <c r="BH73" s="44">
        <v>41</v>
      </c>
      <c r="BI73" s="44">
        <v>948</v>
      </c>
    </row>
    <row r="74" spans="1:61" x14ac:dyDescent="0.2">
      <c r="A74" s="42">
        <v>43070</v>
      </c>
      <c r="B74" s="43">
        <v>1029</v>
      </c>
      <c r="C74" s="43">
        <v>471.5</v>
      </c>
      <c r="D74" s="43">
        <v>750</v>
      </c>
      <c r="E74" s="43">
        <v>350</v>
      </c>
      <c r="F74" s="43">
        <v>535</v>
      </c>
      <c r="G74" s="43">
        <v>450</v>
      </c>
      <c r="H74" s="43">
        <v>470</v>
      </c>
      <c r="I74" s="43">
        <v>273.39999999999998</v>
      </c>
      <c r="J74" s="43">
        <v>515</v>
      </c>
      <c r="K74" s="43">
        <v>340</v>
      </c>
      <c r="L74" s="43">
        <v>421</v>
      </c>
      <c r="M74" s="43">
        <v>285</v>
      </c>
      <c r="N74" s="43">
        <v>513.79999999999995</v>
      </c>
      <c r="O74" s="43">
        <v>437.5</v>
      </c>
      <c r="P74" s="43">
        <v>690</v>
      </c>
      <c r="Q74" s="43">
        <v>741</v>
      </c>
      <c r="R74" s="43">
        <v>410</v>
      </c>
      <c r="S74" s="43">
        <v>568</v>
      </c>
      <c r="T74" s="43">
        <v>280</v>
      </c>
      <c r="U74" s="43">
        <v>391</v>
      </c>
      <c r="V74" s="43">
        <v>385</v>
      </c>
      <c r="W74" s="43">
        <v>390</v>
      </c>
      <c r="X74" s="43">
        <v>170</v>
      </c>
      <c r="Y74" s="43">
        <v>410</v>
      </c>
      <c r="Z74" s="43">
        <v>255</v>
      </c>
      <c r="AA74" s="43">
        <v>330</v>
      </c>
      <c r="AB74" s="43">
        <v>250</v>
      </c>
      <c r="AC74" s="43">
        <v>340</v>
      </c>
      <c r="AD74" s="43">
        <v>290</v>
      </c>
      <c r="AE74" s="43">
        <v>445.5</v>
      </c>
      <c r="AF74" s="44">
        <v>12012</v>
      </c>
      <c r="AG74" s="44">
        <v>13159</v>
      </c>
      <c r="AH74" s="44">
        <v>16039</v>
      </c>
      <c r="AI74" s="44">
        <v>6807</v>
      </c>
      <c r="AJ74" s="44">
        <v>9006</v>
      </c>
      <c r="AK74" s="44">
        <v>9008</v>
      </c>
      <c r="AL74" s="44">
        <v>4455</v>
      </c>
      <c r="AM74" s="44">
        <v>1431</v>
      </c>
      <c r="AN74" s="44">
        <v>6030</v>
      </c>
      <c r="AO74" s="44">
        <v>1566</v>
      </c>
      <c r="AP74" s="44">
        <v>1059</v>
      </c>
      <c r="AQ74" s="44">
        <v>1719</v>
      </c>
      <c r="AR74" s="44">
        <v>246</v>
      </c>
      <c r="AS74" s="44">
        <v>105</v>
      </c>
      <c r="AT74" s="44">
        <v>1279</v>
      </c>
      <c r="AU74" s="44">
        <v>9741</v>
      </c>
      <c r="AV74" s="44">
        <v>2844</v>
      </c>
      <c r="AW74" s="44">
        <v>10399</v>
      </c>
      <c r="AX74" s="44">
        <v>1280</v>
      </c>
      <c r="AY74" s="44">
        <v>2607</v>
      </c>
      <c r="AZ74" s="44">
        <v>4385</v>
      </c>
      <c r="BA74" s="44">
        <v>2032</v>
      </c>
      <c r="BB74" s="44">
        <v>163</v>
      </c>
      <c r="BC74" s="44">
        <v>2071</v>
      </c>
      <c r="BD74" s="44">
        <v>241</v>
      </c>
      <c r="BE74" s="44">
        <v>342</v>
      </c>
      <c r="BF74" s="44">
        <v>310</v>
      </c>
      <c r="BG74" s="44">
        <v>168</v>
      </c>
      <c r="BH74" s="44">
        <v>41</v>
      </c>
      <c r="BI74" s="44">
        <v>980</v>
      </c>
    </row>
    <row r="75" spans="1:61" x14ac:dyDescent="0.2">
      <c r="A75" s="42">
        <v>43160</v>
      </c>
      <c r="B75" s="43">
        <v>955</v>
      </c>
      <c r="C75" s="43">
        <v>480</v>
      </c>
      <c r="D75" s="43">
        <v>731</v>
      </c>
      <c r="E75" s="43">
        <v>355</v>
      </c>
      <c r="F75" s="43">
        <v>526</v>
      </c>
      <c r="G75" s="43">
        <v>449</v>
      </c>
      <c r="H75" s="43">
        <v>465</v>
      </c>
      <c r="I75" s="43">
        <v>280</v>
      </c>
      <c r="J75" s="43">
        <v>510</v>
      </c>
      <c r="K75" s="43">
        <v>338</v>
      </c>
      <c r="L75" s="43">
        <v>449</v>
      </c>
      <c r="M75" s="43">
        <v>295</v>
      </c>
      <c r="N75" s="43">
        <v>500</v>
      </c>
      <c r="O75" s="43">
        <v>445</v>
      </c>
      <c r="P75" s="43">
        <v>698.5</v>
      </c>
      <c r="Q75" s="43">
        <v>742</v>
      </c>
      <c r="R75" s="43">
        <v>415</v>
      </c>
      <c r="S75" s="43">
        <v>565</v>
      </c>
      <c r="T75" s="43">
        <v>295</v>
      </c>
      <c r="U75" s="43">
        <v>385</v>
      </c>
      <c r="V75" s="43">
        <v>390</v>
      </c>
      <c r="W75" s="43">
        <v>370</v>
      </c>
      <c r="X75" s="43">
        <v>202.5</v>
      </c>
      <c r="Y75" s="43">
        <v>400</v>
      </c>
      <c r="Z75" s="43">
        <v>255</v>
      </c>
      <c r="AA75" s="43">
        <v>338.5</v>
      </c>
      <c r="AB75" s="43">
        <v>249</v>
      </c>
      <c r="AC75" s="43">
        <v>328</v>
      </c>
      <c r="AD75" s="43">
        <v>341.5</v>
      </c>
      <c r="AE75" s="43">
        <v>436</v>
      </c>
      <c r="AF75" s="44">
        <v>9935</v>
      </c>
      <c r="AG75" s="44">
        <v>11247</v>
      </c>
      <c r="AH75" s="44">
        <v>12344</v>
      </c>
      <c r="AI75" s="44">
        <v>6751</v>
      </c>
      <c r="AJ75" s="44">
        <v>8475</v>
      </c>
      <c r="AK75" s="44">
        <v>8770</v>
      </c>
      <c r="AL75" s="44">
        <v>4097</v>
      </c>
      <c r="AM75" s="44">
        <v>1519</v>
      </c>
      <c r="AN75" s="44">
        <v>6005</v>
      </c>
      <c r="AO75" s="44">
        <v>1631</v>
      </c>
      <c r="AP75" s="44">
        <v>989</v>
      </c>
      <c r="AQ75" s="44">
        <v>1831</v>
      </c>
      <c r="AR75" s="44">
        <v>245</v>
      </c>
      <c r="AS75" s="44">
        <v>81</v>
      </c>
      <c r="AT75" s="44">
        <v>950</v>
      </c>
      <c r="AU75" s="44">
        <v>8076</v>
      </c>
      <c r="AV75" s="44">
        <v>2539</v>
      </c>
      <c r="AW75" s="44">
        <v>8689</v>
      </c>
      <c r="AX75" s="44">
        <v>1290</v>
      </c>
      <c r="AY75" s="44">
        <v>2604</v>
      </c>
      <c r="AZ75" s="44">
        <v>4356</v>
      </c>
      <c r="BA75" s="44">
        <v>1623</v>
      </c>
      <c r="BB75" s="44">
        <v>167</v>
      </c>
      <c r="BC75" s="44">
        <v>2113</v>
      </c>
      <c r="BD75" s="44">
        <v>252</v>
      </c>
      <c r="BE75" s="44">
        <v>362</v>
      </c>
      <c r="BF75" s="44">
        <v>332</v>
      </c>
      <c r="BG75" s="44">
        <v>143</v>
      </c>
      <c r="BH75" s="44">
        <v>38</v>
      </c>
      <c r="BI75" s="44">
        <v>878</v>
      </c>
    </row>
    <row r="76" spans="1:61" x14ac:dyDescent="0.2">
      <c r="A76" s="42">
        <v>43252</v>
      </c>
      <c r="B76" s="43">
        <v>973.1</v>
      </c>
      <c r="C76" s="43">
        <v>480</v>
      </c>
      <c r="D76" s="43">
        <v>750</v>
      </c>
      <c r="E76" s="43">
        <v>355</v>
      </c>
      <c r="F76" s="43">
        <v>532</v>
      </c>
      <c r="G76" s="43">
        <v>435</v>
      </c>
      <c r="H76" s="43">
        <v>468</v>
      </c>
      <c r="I76" s="43">
        <v>276</v>
      </c>
      <c r="J76" s="43">
        <v>510</v>
      </c>
      <c r="K76" s="43">
        <v>310</v>
      </c>
      <c r="L76" s="43">
        <v>457.8</v>
      </c>
      <c r="M76" s="43">
        <v>300</v>
      </c>
      <c r="N76" s="43">
        <v>506</v>
      </c>
      <c r="O76" s="43">
        <v>453.5</v>
      </c>
      <c r="P76" s="43">
        <v>690</v>
      </c>
      <c r="Q76" s="43">
        <v>730</v>
      </c>
      <c r="R76" s="43">
        <v>415</v>
      </c>
      <c r="S76" s="43">
        <v>600</v>
      </c>
      <c r="T76" s="43">
        <v>305</v>
      </c>
      <c r="U76" s="43">
        <v>385</v>
      </c>
      <c r="V76" s="43">
        <v>390.3</v>
      </c>
      <c r="W76" s="43">
        <v>380</v>
      </c>
      <c r="X76" s="43">
        <v>186</v>
      </c>
      <c r="Y76" s="43">
        <v>408</v>
      </c>
      <c r="Z76" s="43">
        <v>233.1</v>
      </c>
      <c r="AA76" s="43">
        <v>356</v>
      </c>
      <c r="AB76" s="43">
        <v>255</v>
      </c>
      <c r="AC76" s="43">
        <v>338</v>
      </c>
      <c r="AD76" s="43">
        <v>345</v>
      </c>
      <c r="AE76" s="43">
        <v>431.5</v>
      </c>
      <c r="AF76" s="44">
        <v>10879</v>
      </c>
      <c r="AG76" s="44">
        <v>11838</v>
      </c>
      <c r="AH76" s="44">
        <v>13531</v>
      </c>
      <c r="AI76" s="44">
        <v>6731</v>
      </c>
      <c r="AJ76" s="44">
        <v>8497</v>
      </c>
      <c r="AK76" s="44">
        <v>8554</v>
      </c>
      <c r="AL76" s="44">
        <v>4149</v>
      </c>
      <c r="AM76" s="44">
        <v>1421</v>
      </c>
      <c r="AN76" s="44">
        <v>5676</v>
      </c>
      <c r="AO76" s="44">
        <v>1488</v>
      </c>
      <c r="AP76" s="44">
        <v>935</v>
      </c>
      <c r="AQ76" s="44">
        <v>1796</v>
      </c>
      <c r="AR76" s="44">
        <v>236</v>
      </c>
      <c r="AS76" s="44">
        <v>81</v>
      </c>
      <c r="AT76" s="44">
        <v>1057</v>
      </c>
      <c r="AU76" s="44">
        <v>9466</v>
      </c>
      <c r="AV76" s="44">
        <v>2569</v>
      </c>
      <c r="AW76" s="44">
        <v>11413</v>
      </c>
      <c r="AX76" s="44">
        <v>1374</v>
      </c>
      <c r="AY76" s="44">
        <v>2760</v>
      </c>
      <c r="AZ76" s="44">
        <v>4250</v>
      </c>
      <c r="BA76" s="44">
        <v>1786</v>
      </c>
      <c r="BB76" s="44">
        <v>145</v>
      </c>
      <c r="BC76" s="44">
        <v>1913</v>
      </c>
      <c r="BD76" s="44">
        <v>240</v>
      </c>
      <c r="BE76" s="44">
        <v>375</v>
      </c>
      <c r="BF76" s="44">
        <v>333</v>
      </c>
      <c r="BG76" s="44">
        <v>140</v>
      </c>
      <c r="BH76" s="44">
        <v>41</v>
      </c>
      <c r="BI76" s="44">
        <v>1091</v>
      </c>
    </row>
    <row r="77" spans="1:61" x14ac:dyDescent="0.2">
      <c r="A77" s="42">
        <v>43344</v>
      </c>
      <c r="B77" s="43">
        <v>950</v>
      </c>
      <c r="C77" s="43">
        <v>475</v>
      </c>
      <c r="D77" s="43">
        <v>720</v>
      </c>
      <c r="E77" s="43">
        <v>355</v>
      </c>
      <c r="F77" s="43">
        <v>540</v>
      </c>
      <c r="G77" s="43">
        <v>440</v>
      </c>
      <c r="H77" s="43">
        <v>466.3</v>
      </c>
      <c r="I77" s="43">
        <v>280</v>
      </c>
      <c r="J77" s="43">
        <v>485</v>
      </c>
      <c r="K77" s="43">
        <v>321.5</v>
      </c>
      <c r="L77" s="43">
        <v>440.3</v>
      </c>
      <c r="M77" s="43">
        <v>293</v>
      </c>
      <c r="N77" s="43">
        <v>500</v>
      </c>
      <c r="O77" s="43">
        <v>417</v>
      </c>
      <c r="P77" s="43">
        <v>700</v>
      </c>
      <c r="Q77" s="43">
        <v>730</v>
      </c>
      <c r="R77" s="43">
        <v>429</v>
      </c>
      <c r="S77" s="43">
        <v>568</v>
      </c>
      <c r="T77" s="43">
        <v>289.8</v>
      </c>
      <c r="U77" s="43">
        <v>385</v>
      </c>
      <c r="V77" s="43">
        <v>385</v>
      </c>
      <c r="W77" s="43">
        <v>380</v>
      </c>
      <c r="X77" s="43">
        <v>190</v>
      </c>
      <c r="Y77" s="43">
        <v>395</v>
      </c>
      <c r="Z77" s="43">
        <v>240</v>
      </c>
      <c r="AA77" s="43">
        <v>358</v>
      </c>
      <c r="AB77" s="43">
        <v>265</v>
      </c>
      <c r="AC77" s="43">
        <v>335</v>
      </c>
      <c r="AD77" s="43">
        <v>357</v>
      </c>
      <c r="AE77" s="43">
        <v>445</v>
      </c>
      <c r="AF77" s="44">
        <v>9720</v>
      </c>
      <c r="AG77" s="44">
        <v>10770</v>
      </c>
      <c r="AH77" s="44">
        <v>12138</v>
      </c>
      <c r="AI77" s="44">
        <v>6219</v>
      </c>
      <c r="AJ77" s="44">
        <v>8337</v>
      </c>
      <c r="AK77" s="44">
        <v>8651</v>
      </c>
      <c r="AL77" s="44">
        <v>4014</v>
      </c>
      <c r="AM77" s="44">
        <v>1322</v>
      </c>
      <c r="AN77" s="44">
        <v>5875</v>
      </c>
      <c r="AO77" s="44">
        <v>1564</v>
      </c>
      <c r="AP77" s="44">
        <v>896</v>
      </c>
      <c r="AQ77" s="44">
        <v>1581</v>
      </c>
      <c r="AR77" s="44">
        <v>257</v>
      </c>
      <c r="AS77" s="44">
        <v>89</v>
      </c>
      <c r="AT77" s="44">
        <v>881</v>
      </c>
      <c r="AU77" s="44">
        <v>7933</v>
      </c>
      <c r="AV77" s="44">
        <v>2293</v>
      </c>
      <c r="AW77" s="44">
        <v>9080</v>
      </c>
      <c r="AX77" s="44">
        <v>1220</v>
      </c>
      <c r="AY77" s="44">
        <v>2648</v>
      </c>
      <c r="AZ77" s="44">
        <v>4201</v>
      </c>
      <c r="BA77" s="44">
        <v>1701</v>
      </c>
      <c r="BB77" s="44">
        <v>160</v>
      </c>
      <c r="BC77" s="44">
        <v>1965</v>
      </c>
      <c r="BD77" s="44">
        <v>294</v>
      </c>
      <c r="BE77" s="44">
        <v>359</v>
      </c>
      <c r="BF77" s="44">
        <v>302</v>
      </c>
      <c r="BG77" s="44">
        <v>155</v>
      </c>
      <c r="BH77" s="44">
        <v>46</v>
      </c>
      <c r="BI77" s="44">
        <v>942</v>
      </c>
    </row>
    <row r="78" spans="1:61" x14ac:dyDescent="0.2">
      <c r="A78" s="42">
        <v>43435</v>
      </c>
      <c r="B78" s="43">
        <v>940</v>
      </c>
      <c r="C78" s="43">
        <v>464.8</v>
      </c>
      <c r="D78" s="43">
        <v>735</v>
      </c>
      <c r="E78" s="43">
        <v>370</v>
      </c>
      <c r="F78" s="43">
        <v>540</v>
      </c>
      <c r="G78" s="43">
        <v>433</v>
      </c>
      <c r="H78" s="43">
        <v>480</v>
      </c>
      <c r="I78" s="43">
        <v>295</v>
      </c>
      <c r="J78" s="43">
        <v>489</v>
      </c>
      <c r="K78" s="43">
        <v>320</v>
      </c>
      <c r="L78" s="43">
        <v>465</v>
      </c>
      <c r="M78" s="43">
        <v>310</v>
      </c>
      <c r="N78" s="43">
        <v>510</v>
      </c>
      <c r="O78" s="43">
        <v>452.5</v>
      </c>
      <c r="P78" s="43">
        <v>720</v>
      </c>
      <c r="Q78" s="43">
        <v>725</v>
      </c>
      <c r="R78" s="43">
        <v>412</v>
      </c>
      <c r="S78" s="43">
        <v>565</v>
      </c>
      <c r="T78" s="43">
        <v>295</v>
      </c>
      <c r="U78" s="43">
        <v>390</v>
      </c>
      <c r="V78" s="43">
        <v>390</v>
      </c>
      <c r="W78" s="43">
        <v>371</v>
      </c>
      <c r="X78" s="43">
        <v>190</v>
      </c>
      <c r="Y78" s="43">
        <v>392</v>
      </c>
      <c r="Z78" s="43">
        <v>265</v>
      </c>
      <c r="AA78" s="43">
        <v>375</v>
      </c>
      <c r="AB78" s="43">
        <v>259.5</v>
      </c>
      <c r="AC78" s="43">
        <v>340</v>
      </c>
      <c r="AD78" s="43">
        <v>360</v>
      </c>
      <c r="AE78" s="43">
        <v>447.9</v>
      </c>
      <c r="AF78" s="44">
        <v>9621</v>
      </c>
      <c r="AG78" s="44">
        <v>11238</v>
      </c>
      <c r="AH78" s="44">
        <v>12270</v>
      </c>
      <c r="AI78" s="44">
        <v>6208</v>
      </c>
      <c r="AJ78" s="44">
        <v>7867</v>
      </c>
      <c r="AK78" s="44">
        <v>8201</v>
      </c>
      <c r="AL78" s="44">
        <v>4282</v>
      </c>
      <c r="AM78" s="44">
        <v>1378</v>
      </c>
      <c r="AN78" s="44">
        <v>5752</v>
      </c>
      <c r="AO78" s="44">
        <v>1634</v>
      </c>
      <c r="AP78" s="44">
        <v>907</v>
      </c>
      <c r="AQ78" s="44">
        <v>1593</v>
      </c>
      <c r="AR78" s="44">
        <v>249</v>
      </c>
      <c r="AS78" s="44">
        <v>78</v>
      </c>
      <c r="AT78" s="44">
        <v>1026</v>
      </c>
      <c r="AU78" s="44">
        <v>7301</v>
      </c>
      <c r="AV78" s="44">
        <v>2351</v>
      </c>
      <c r="AW78" s="44">
        <v>8497</v>
      </c>
      <c r="AX78" s="44">
        <v>1207</v>
      </c>
      <c r="AY78" s="44">
        <v>2455</v>
      </c>
      <c r="AZ78" s="44">
        <v>3749</v>
      </c>
      <c r="BA78" s="44">
        <v>1701</v>
      </c>
      <c r="BB78" s="44">
        <v>159</v>
      </c>
      <c r="BC78" s="44">
        <v>1797</v>
      </c>
      <c r="BD78" s="44">
        <v>270</v>
      </c>
      <c r="BE78" s="44">
        <v>366</v>
      </c>
      <c r="BF78" s="44">
        <v>264</v>
      </c>
      <c r="BG78" s="44">
        <v>125</v>
      </c>
      <c r="BH78" s="44">
        <v>41</v>
      </c>
      <c r="BI78" s="44">
        <v>1043</v>
      </c>
    </row>
    <row r="79" spans="1:61" x14ac:dyDescent="0.2">
      <c r="A79" s="42">
        <v>43525</v>
      </c>
      <c r="B79" s="43">
        <v>870</v>
      </c>
      <c r="C79" s="43">
        <v>462</v>
      </c>
      <c r="D79" s="43">
        <v>685</v>
      </c>
      <c r="E79" s="43">
        <v>370</v>
      </c>
      <c r="F79" s="43">
        <v>533</v>
      </c>
      <c r="G79" s="43">
        <v>434</v>
      </c>
      <c r="H79" s="43">
        <v>475</v>
      </c>
      <c r="I79" s="43">
        <v>285</v>
      </c>
      <c r="J79" s="43">
        <v>490</v>
      </c>
      <c r="K79" s="43">
        <v>330</v>
      </c>
      <c r="L79" s="43">
        <v>471.5</v>
      </c>
      <c r="M79" s="43">
        <v>310</v>
      </c>
      <c r="N79" s="43">
        <v>485</v>
      </c>
      <c r="O79" s="43">
        <v>419.5</v>
      </c>
      <c r="P79" s="43">
        <v>690</v>
      </c>
      <c r="Q79" s="43">
        <v>695</v>
      </c>
      <c r="R79" s="43">
        <v>410</v>
      </c>
      <c r="S79" s="43">
        <v>555</v>
      </c>
      <c r="T79" s="43">
        <v>292.3</v>
      </c>
      <c r="U79" s="43">
        <v>387.8</v>
      </c>
      <c r="V79" s="43">
        <v>388</v>
      </c>
      <c r="W79" s="43">
        <v>400</v>
      </c>
      <c r="X79" s="43">
        <v>185</v>
      </c>
      <c r="Y79" s="43">
        <v>387.5</v>
      </c>
      <c r="Z79" s="43">
        <v>256.5</v>
      </c>
      <c r="AA79" s="43">
        <v>390</v>
      </c>
      <c r="AB79" s="43">
        <v>280</v>
      </c>
      <c r="AC79" s="43">
        <v>292.5</v>
      </c>
      <c r="AD79" s="43">
        <v>362</v>
      </c>
      <c r="AE79" s="43">
        <v>450</v>
      </c>
      <c r="AF79" s="44">
        <v>8565</v>
      </c>
      <c r="AG79" s="44">
        <v>9599</v>
      </c>
      <c r="AH79" s="44">
        <v>10284</v>
      </c>
      <c r="AI79" s="44">
        <v>5534</v>
      </c>
      <c r="AJ79" s="44">
        <v>7380</v>
      </c>
      <c r="AK79" s="44">
        <v>7739</v>
      </c>
      <c r="AL79" s="44">
        <v>3793</v>
      </c>
      <c r="AM79" s="44">
        <v>1410</v>
      </c>
      <c r="AN79" s="44">
        <v>5717</v>
      </c>
      <c r="AO79" s="44">
        <v>1579</v>
      </c>
      <c r="AP79" s="44">
        <v>903</v>
      </c>
      <c r="AQ79" s="44">
        <v>1607</v>
      </c>
      <c r="AR79" s="44">
        <v>221</v>
      </c>
      <c r="AS79" s="44">
        <v>80</v>
      </c>
      <c r="AT79" s="44">
        <v>777</v>
      </c>
      <c r="AU79" s="44">
        <v>6344</v>
      </c>
      <c r="AV79" s="44">
        <v>2003</v>
      </c>
      <c r="AW79" s="44">
        <v>7512</v>
      </c>
      <c r="AX79" s="44">
        <v>1076</v>
      </c>
      <c r="AY79" s="44">
        <v>2346</v>
      </c>
      <c r="AZ79" s="44">
        <v>3758</v>
      </c>
      <c r="BA79" s="44">
        <v>1861</v>
      </c>
      <c r="BB79" s="44">
        <v>149</v>
      </c>
      <c r="BC79" s="44">
        <v>1849</v>
      </c>
      <c r="BD79" s="44">
        <v>230</v>
      </c>
      <c r="BE79" s="44">
        <v>341</v>
      </c>
      <c r="BF79" s="44">
        <v>289</v>
      </c>
      <c r="BG79" s="44">
        <v>120</v>
      </c>
      <c r="BH79" s="44">
        <v>46</v>
      </c>
      <c r="BI79" s="44">
        <v>739</v>
      </c>
    </row>
    <row r="80" spans="1:61" x14ac:dyDescent="0.2">
      <c r="A80" s="42">
        <v>43617</v>
      </c>
      <c r="B80" s="43">
        <v>897</v>
      </c>
      <c r="C80" s="43">
        <v>470</v>
      </c>
      <c r="D80" s="43">
        <v>700</v>
      </c>
      <c r="E80" s="43">
        <v>370</v>
      </c>
      <c r="F80" s="43">
        <v>538</v>
      </c>
      <c r="G80" s="43">
        <v>440</v>
      </c>
      <c r="H80" s="43">
        <v>478.5</v>
      </c>
      <c r="I80" s="43">
        <v>276.5</v>
      </c>
      <c r="J80" s="43">
        <v>480</v>
      </c>
      <c r="K80" s="43">
        <v>320</v>
      </c>
      <c r="L80" s="43">
        <v>490</v>
      </c>
      <c r="M80" s="43">
        <v>310</v>
      </c>
      <c r="N80" s="43">
        <v>470</v>
      </c>
      <c r="O80" s="43">
        <v>422.5</v>
      </c>
      <c r="P80" s="43">
        <v>715</v>
      </c>
      <c r="Q80" s="43">
        <v>700</v>
      </c>
      <c r="R80" s="43">
        <v>422</v>
      </c>
      <c r="S80" s="43">
        <v>560</v>
      </c>
      <c r="T80" s="43">
        <v>290</v>
      </c>
      <c r="U80" s="43">
        <v>390</v>
      </c>
      <c r="V80" s="43">
        <v>385</v>
      </c>
      <c r="W80" s="43">
        <v>390</v>
      </c>
      <c r="X80" s="43">
        <v>192</v>
      </c>
      <c r="Y80" s="43">
        <v>379</v>
      </c>
      <c r="Z80" s="43">
        <v>230</v>
      </c>
      <c r="AA80" s="43">
        <v>382.5</v>
      </c>
      <c r="AB80" s="43">
        <v>267</v>
      </c>
      <c r="AC80" s="43">
        <v>306.5</v>
      </c>
      <c r="AD80" s="43">
        <v>351</v>
      </c>
      <c r="AE80" s="43">
        <v>450</v>
      </c>
      <c r="AF80" s="44">
        <v>10397</v>
      </c>
      <c r="AG80" s="44">
        <v>10152</v>
      </c>
      <c r="AH80" s="44">
        <v>12317</v>
      </c>
      <c r="AI80" s="44">
        <v>5447</v>
      </c>
      <c r="AJ80" s="44">
        <v>7514</v>
      </c>
      <c r="AK80" s="44">
        <v>7731</v>
      </c>
      <c r="AL80" s="44">
        <v>3944</v>
      </c>
      <c r="AM80" s="44">
        <v>1310</v>
      </c>
      <c r="AN80" s="44">
        <v>5676</v>
      </c>
      <c r="AO80" s="44">
        <v>1416</v>
      </c>
      <c r="AP80" s="44">
        <v>836</v>
      </c>
      <c r="AQ80" s="44">
        <v>1435</v>
      </c>
      <c r="AR80" s="44">
        <v>223</v>
      </c>
      <c r="AS80" s="44">
        <v>78</v>
      </c>
      <c r="AT80" s="44">
        <v>979</v>
      </c>
      <c r="AU80" s="44">
        <v>8489</v>
      </c>
      <c r="AV80" s="44">
        <v>2235</v>
      </c>
      <c r="AW80" s="44">
        <v>9095</v>
      </c>
      <c r="AX80" s="44">
        <v>1132</v>
      </c>
      <c r="AY80" s="44">
        <v>2265</v>
      </c>
      <c r="AZ80" s="44">
        <v>3849</v>
      </c>
      <c r="BA80" s="44">
        <v>1843</v>
      </c>
      <c r="BB80" s="44">
        <v>127</v>
      </c>
      <c r="BC80" s="44">
        <v>1738</v>
      </c>
      <c r="BD80" s="44">
        <v>227</v>
      </c>
      <c r="BE80" s="44">
        <v>348</v>
      </c>
      <c r="BF80" s="44">
        <v>284</v>
      </c>
      <c r="BG80" s="44">
        <v>170</v>
      </c>
      <c r="BH80" s="44">
        <v>34</v>
      </c>
      <c r="BI80" s="44">
        <v>855</v>
      </c>
    </row>
    <row r="81" spans="1:61" x14ac:dyDescent="0.2">
      <c r="A81" s="42">
        <v>43709</v>
      </c>
      <c r="B81" s="43">
        <v>900</v>
      </c>
      <c r="C81" s="43">
        <v>475</v>
      </c>
      <c r="D81" s="43">
        <v>705</v>
      </c>
      <c r="E81" s="43">
        <v>375</v>
      </c>
      <c r="F81" s="43">
        <v>540</v>
      </c>
      <c r="G81" s="43">
        <v>441</v>
      </c>
      <c r="H81" s="43">
        <v>474</v>
      </c>
      <c r="I81" s="43">
        <v>287.5</v>
      </c>
      <c r="J81" s="43">
        <v>478</v>
      </c>
      <c r="K81" s="43">
        <v>310</v>
      </c>
      <c r="L81" s="43">
        <v>480</v>
      </c>
      <c r="M81" s="43">
        <v>320</v>
      </c>
      <c r="N81" s="43">
        <v>489</v>
      </c>
      <c r="O81" s="43">
        <v>410</v>
      </c>
      <c r="P81" s="43">
        <v>676</v>
      </c>
      <c r="Q81" s="43">
        <v>710</v>
      </c>
      <c r="R81" s="43">
        <v>426</v>
      </c>
      <c r="S81" s="43">
        <v>570</v>
      </c>
      <c r="T81" s="43">
        <v>305</v>
      </c>
      <c r="U81" s="43">
        <v>397.5</v>
      </c>
      <c r="V81" s="43">
        <v>393</v>
      </c>
      <c r="W81" s="43">
        <v>380</v>
      </c>
      <c r="X81" s="43">
        <v>185</v>
      </c>
      <c r="Y81" s="43">
        <v>380</v>
      </c>
      <c r="Z81" s="43">
        <v>240</v>
      </c>
      <c r="AA81" s="43">
        <v>385</v>
      </c>
      <c r="AB81" s="43">
        <v>270</v>
      </c>
      <c r="AC81" s="43">
        <v>285</v>
      </c>
      <c r="AD81" s="43">
        <v>357.5</v>
      </c>
      <c r="AE81" s="43">
        <v>456.9</v>
      </c>
      <c r="AF81" s="44">
        <v>12196</v>
      </c>
      <c r="AG81" s="44">
        <v>11377</v>
      </c>
      <c r="AH81" s="44">
        <v>12832</v>
      </c>
      <c r="AI81" s="44">
        <v>5898</v>
      </c>
      <c r="AJ81" s="44">
        <v>8520</v>
      </c>
      <c r="AK81" s="44">
        <v>9405</v>
      </c>
      <c r="AL81" s="44">
        <v>4016</v>
      </c>
      <c r="AM81" s="44">
        <v>1374</v>
      </c>
      <c r="AN81" s="44">
        <v>6013</v>
      </c>
      <c r="AO81" s="44">
        <v>1742</v>
      </c>
      <c r="AP81" s="44">
        <v>872</v>
      </c>
      <c r="AQ81" s="44">
        <v>1499</v>
      </c>
      <c r="AR81" s="44">
        <v>230</v>
      </c>
      <c r="AS81" s="44">
        <v>71</v>
      </c>
      <c r="AT81" s="44">
        <v>1207</v>
      </c>
      <c r="AU81" s="44">
        <v>10383</v>
      </c>
      <c r="AV81" s="44">
        <v>2658</v>
      </c>
      <c r="AW81" s="44">
        <v>9594</v>
      </c>
      <c r="AX81" s="44">
        <v>1221</v>
      </c>
      <c r="AY81" s="44">
        <v>2755</v>
      </c>
      <c r="AZ81" s="44">
        <v>4331</v>
      </c>
      <c r="BA81" s="44">
        <v>1751</v>
      </c>
      <c r="BB81" s="44">
        <v>169</v>
      </c>
      <c r="BC81" s="44">
        <v>1974</v>
      </c>
      <c r="BD81" s="44">
        <v>297</v>
      </c>
      <c r="BE81" s="44">
        <v>333</v>
      </c>
      <c r="BF81" s="44">
        <v>314</v>
      </c>
      <c r="BG81" s="44">
        <v>157</v>
      </c>
      <c r="BH81" s="44">
        <v>52</v>
      </c>
      <c r="BI81" s="44">
        <v>1095</v>
      </c>
    </row>
    <row r="82" spans="1:61" x14ac:dyDescent="0.2">
      <c r="A82" s="42">
        <v>43800</v>
      </c>
      <c r="B82" s="43">
        <v>985</v>
      </c>
      <c r="C82" s="43">
        <v>500</v>
      </c>
      <c r="D82" s="43">
        <v>760</v>
      </c>
      <c r="E82" s="43">
        <v>390</v>
      </c>
      <c r="F82" s="43">
        <v>550</v>
      </c>
      <c r="G82" s="43">
        <v>448</v>
      </c>
      <c r="H82" s="43">
        <v>485</v>
      </c>
      <c r="I82" s="43">
        <v>290</v>
      </c>
      <c r="J82" s="43">
        <v>495</v>
      </c>
      <c r="K82" s="43">
        <v>337.8</v>
      </c>
      <c r="L82" s="43">
        <v>517</v>
      </c>
      <c r="M82" s="43">
        <v>340</v>
      </c>
      <c r="N82" s="43">
        <v>470</v>
      </c>
      <c r="O82" s="43">
        <v>434.5</v>
      </c>
      <c r="P82" s="43">
        <v>745</v>
      </c>
      <c r="Q82" s="43">
        <v>736</v>
      </c>
      <c r="R82" s="43">
        <v>440</v>
      </c>
      <c r="S82" s="43">
        <v>600</v>
      </c>
      <c r="T82" s="43">
        <v>340</v>
      </c>
      <c r="U82" s="43">
        <v>399</v>
      </c>
      <c r="V82" s="43">
        <v>395</v>
      </c>
      <c r="W82" s="43">
        <v>385</v>
      </c>
      <c r="X82" s="43">
        <v>190</v>
      </c>
      <c r="Y82" s="43">
        <v>380</v>
      </c>
      <c r="Z82" s="43">
        <v>246.5</v>
      </c>
      <c r="AA82" s="43">
        <v>400</v>
      </c>
      <c r="AB82" s="43">
        <v>295</v>
      </c>
      <c r="AC82" s="43">
        <v>320</v>
      </c>
      <c r="AD82" s="43">
        <v>300</v>
      </c>
      <c r="AE82" s="43">
        <v>473.3</v>
      </c>
      <c r="AF82" s="44">
        <v>13545</v>
      </c>
      <c r="AG82" s="44">
        <v>12304</v>
      </c>
      <c r="AH82" s="44">
        <v>15628</v>
      </c>
      <c r="AI82" s="44">
        <v>6858</v>
      </c>
      <c r="AJ82" s="44">
        <v>8429</v>
      </c>
      <c r="AK82" s="44">
        <v>9111</v>
      </c>
      <c r="AL82" s="44">
        <v>4215</v>
      </c>
      <c r="AM82" s="44">
        <v>1578</v>
      </c>
      <c r="AN82" s="44">
        <v>6229</v>
      </c>
      <c r="AO82" s="44">
        <v>1734</v>
      </c>
      <c r="AP82" s="44">
        <v>877</v>
      </c>
      <c r="AQ82" s="44">
        <v>1616</v>
      </c>
      <c r="AR82" s="44">
        <v>239</v>
      </c>
      <c r="AS82" s="44">
        <v>76</v>
      </c>
      <c r="AT82" s="44">
        <v>1321</v>
      </c>
      <c r="AU82" s="44">
        <v>10963</v>
      </c>
      <c r="AV82" s="44">
        <v>2884</v>
      </c>
      <c r="AW82" s="44">
        <v>11399</v>
      </c>
      <c r="AX82" s="44">
        <v>1447</v>
      </c>
      <c r="AY82" s="44">
        <v>2796</v>
      </c>
      <c r="AZ82" s="44">
        <v>4481</v>
      </c>
      <c r="BA82" s="44">
        <v>1807</v>
      </c>
      <c r="BB82" s="44">
        <v>160</v>
      </c>
      <c r="BC82" s="44">
        <v>2076</v>
      </c>
      <c r="BD82" s="44">
        <v>264</v>
      </c>
      <c r="BE82" s="44">
        <v>330</v>
      </c>
      <c r="BF82" s="44">
        <v>279</v>
      </c>
      <c r="BG82" s="44">
        <v>155</v>
      </c>
      <c r="BH82" s="44">
        <v>36</v>
      </c>
      <c r="BI82" s="44">
        <v>1242</v>
      </c>
    </row>
    <row r="83" spans="1:61" x14ac:dyDescent="0.2">
      <c r="A83" s="42">
        <v>43891</v>
      </c>
      <c r="B83" s="43">
        <v>947.5</v>
      </c>
      <c r="C83" s="43">
        <v>490</v>
      </c>
      <c r="D83" s="43">
        <v>730</v>
      </c>
      <c r="E83" s="43">
        <v>390</v>
      </c>
      <c r="F83" s="43">
        <v>540</v>
      </c>
      <c r="G83" s="43">
        <v>430</v>
      </c>
      <c r="H83" s="43">
        <v>472</v>
      </c>
      <c r="I83" s="43">
        <v>290</v>
      </c>
      <c r="J83" s="43">
        <v>477.5</v>
      </c>
      <c r="K83" s="43">
        <v>337</v>
      </c>
      <c r="L83" s="43">
        <v>529</v>
      </c>
      <c r="M83" s="43">
        <v>335.5</v>
      </c>
      <c r="N83" s="43">
        <v>470</v>
      </c>
      <c r="O83" s="43">
        <v>420</v>
      </c>
      <c r="P83" s="43">
        <v>720.5</v>
      </c>
      <c r="Q83" s="43">
        <v>730</v>
      </c>
      <c r="R83" s="43">
        <v>450</v>
      </c>
      <c r="S83" s="43">
        <v>593</v>
      </c>
      <c r="T83" s="43">
        <v>340</v>
      </c>
      <c r="U83" s="43">
        <v>390</v>
      </c>
      <c r="V83" s="43">
        <v>400</v>
      </c>
      <c r="W83" s="43">
        <v>390</v>
      </c>
      <c r="X83" s="43">
        <v>197</v>
      </c>
      <c r="Y83" s="43">
        <v>380</v>
      </c>
      <c r="Z83" s="43">
        <v>233.3</v>
      </c>
      <c r="AA83" s="43">
        <v>425</v>
      </c>
      <c r="AB83" s="43">
        <v>298</v>
      </c>
      <c r="AC83" s="43">
        <v>299</v>
      </c>
      <c r="AD83" s="43">
        <v>328.5</v>
      </c>
      <c r="AE83" s="43">
        <v>460</v>
      </c>
      <c r="AF83" s="44">
        <v>10009</v>
      </c>
      <c r="AG83" s="44">
        <v>10137</v>
      </c>
      <c r="AH83" s="44">
        <v>11249</v>
      </c>
      <c r="AI83" s="44">
        <v>5978</v>
      </c>
      <c r="AJ83" s="44">
        <v>7605</v>
      </c>
      <c r="AK83" s="44">
        <v>8427</v>
      </c>
      <c r="AL83" s="44">
        <v>3625</v>
      </c>
      <c r="AM83" s="44">
        <v>1368</v>
      </c>
      <c r="AN83" s="44">
        <v>5782</v>
      </c>
      <c r="AO83" s="44">
        <v>1639</v>
      </c>
      <c r="AP83" s="44">
        <v>781</v>
      </c>
      <c r="AQ83" s="44">
        <v>1706</v>
      </c>
      <c r="AR83" s="44">
        <v>221</v>
      </c>
      <c r="AS83" s="44">
        <v>65</v>
      </c>
      <c r="AT83" s="44">
        <v>1035</v>
      </c>
      <c r="AU83" s="44">
        <v>8960</v>
      </c>
      <c r="AV83" s="44">
        <v>2565</v>
      </c>
      <c r="AW83" s="44">
        <v>8764</v>
      </c>
      <c r="AX83" s="44">
        <v>1383</v>
      </c>
      <c r="AY83" s="44">
        <v>2830</v>
      </c>
      <c r="AZ83" s="44">
        <v>4081</v>
      </c>
      <c r="BA83" s="44">
        <v>1671</v>
      </c>
      <c r="BB83" s="44">
        <v>168</v>
      </c>
      <c r="BC83" s="44">
        <v>2027</v>
      </c>
      <c r="BD83" s="44">
        <v>281</v>
      </c>
      <c r="BE83" s="44">
        <v>312</v>
      </c>
      <c r="BF83" s="44">
        <v>261</v>
      </c>
      <c r="BG83" s="44">
        <v>129</v>
      </c>
      <c r="BH83" s="44">
        <v>35</v>
      </c>
      <c r="BI83" s="44">
        <v>1015</v>
      </c>
    </row>
    <row r="84" spans="1:61" x14ac:dyDescent="0.2">
      <c r="A84" s="42">
        <v>43983</v>
      </c>
      <c r="B84" s="43">
        <v>955</v>
      </c>
      <c r="C84" s="43">
        <v>490</v>
      </c>
      <c r="D84" s="43">
        <v>720</v>
      </c>
      <c r="E84" s="43">
        <v>395</v>
      </c>
      <c r="F84" s="43">
        <v>547</v>
      </c>
      <c r="G84" s="43">
        <v>430</v>
      </c>
      <c r="H84" s="43">
        <v>487.5</v>
      </c>
      <c r="I84" s="43">
        <v>280</v>
      </c>
      <c r="J84" s="43">
        <v>475</v>
      </c>
      <c r="K84" s="43">
        <v>327</v>
      </c>
      <c r="L84" s="43">
        <v>520</v>
      </c>
      <c r="M84" s="43">
        <v>340</v>
      </c>
      <c r="N84" s="43">
        <v>465</v>
      </c>
      <c r="O84" s="43">
        <v>434.5</v>
      </c>
      <c r="P84" s="43">
        <v>720</v>
      </c>
      <c r="Q84" s="43">
        <v>730</v>
      </c>
      <c r="R84" s="43">
        <v>471</v>
      </c>
      <c r="S84" s="43">
        <v>600</v>
      </c>
      <c r="T84" s="43">
        <v>371.7</v>
      </c>
      <c r="U84" s="43">
        <v>386.5</v>
      </c>
      <c r="V84" s="43">
        <v>404</v>
      </c>
      <c r="W84" s="43">
        <v>421.3</v>
      </c>
      <c r="X84" s="43">
        <v>170</v>
      </c>
      <c r="Y84" s="43">
        <v>350</v>
      </c>
      <c r="Z84" s="43">
        <v>210</v>
      </c>
      <c r="AA84" s="43">
        <v>394.5</v>
      </c>
      <c r="AB84" s="43">
        <v>293.5</v>
      </c>
      <c r="AC84" s="43">
        <v>272</v>
      </c>
      <c r="AD84" s="43">
        <v>365</v>
      </c>
      <c r="AE84" s="43">
        <v>460</v>
      </c>
      <c r="AF84" s="44">
        <v>9532</v>
      </c>
      <c r="AG84" s="44">
        <v>9623</v>
      </c>
      <c r="AH84" s="44">
        <v>9335</v>
      </c>
      <c r="AI84" s="44">
        <v>4728</v>
      </c>
      <c r="AJ84" s="44">
        <v>6917</v>
      </c>
      <c r="AK84" s="44">
        <v>7961</v>
      </c>
      <c r="AL84" s="44">
        <v>3354</v>
      </c>
      <c r="AM84" s="44">
        <v>1250</v>
      </c>
      <c r="AN84" s="44">
        <v>5297</v>
      </c>
      <c r="AO84" s="44">
        <v>1692</v>
      </c>
      <c r="AP84" s="44">
        <v>647</v>
      </c>
      <c r="AQ84" s="44">
        <v>1095</v>
      </c>
      <c r="AR84" s="44">
        <v>209</v>
      </c>
      <c r="AS84" s="44">
        <v>68</v>
      </c>
      <c r="AT84" s="44">
        <v>1008</v>
      </c>
      <c r="AU84" s="44">
        <v>7010</v>
      </c>
      <c r="AV84" s="44">
        <v>2029</v>
      </c>
      <c r="AW84" s="44">
        <v>7441</v>
      </c>
      <c r="AX84" s="44">
        <v>1046</v>
      </c>
      <c r="AY84" s="44">
        <v>2100</v>
      </c>
      <c r="AZ84" s="44">
        <v>3065</v>
      </c>
      <c r="BA84" s="44">
        <v>1645</v>
      </c>
      <c r="BB84" s="44">
        <v>143</v>
      </c>
      <c r="BC84" s="44">
        <v>1745</v>
      </c>
      <c r="BD84" s="44">
        <v>215</v>
      </c>
      <c r="BE84" s="44">
        <v>248</v>
      </c>
      <c r="BF84" s="44">
        <v>192</v>
      </c>
      <c r="BG84" s="44">
        <v>142</v>
      </c>
      <c r="BH84" s="44">
        <v>31</v>
      </c>
      <c r="BI84" s="44">
        <v>1009</v>
      </c>
    </row>
    <row r="85" spans="1:61" x14ac:dyDescent="0.2">
      <c r="A85" s="42">
        <v>44075</v>
      </c>
      <c r="B85" s="43">
        <v>945</v>
      </c>
      <c r="C85" s="43">
        <v>510</v>
      </c>
      <c r="D85" s="43">
        <v>710</v>
      </c>
      <c r="E85" s="43">
        <v>410</v>
      </c>
      <c r="F85" s="43">
        <v>555</v>
      </c>
      <c r="G85" s="43">
        <v>449</v>
      </c>
      <c r="H85" s="43">
        <v>500</v>
      </c>
      <c r="I85" s="43">
        <v>285</v>
      </c>
      <c r="J85" s="43">
        <v>495</v>
      </c>
      <c r="K85" s="43">
        <v>365</v>
      </c>
      <c r="L85" s="43">
        <v>528.5</v>
      </c>
      <c r="M85" s="43">
        <v>350</v>
      </c>
      <c r="N85" s="43">
        <v>500</v>
      </c>
      <c r="O85" s="43">
        <v>440</v>
      </c>
      <c r="P85" s="43">
        <v>755</v>
      </c>
      <c r="Q85" s="43">
        <v>730</v>
      </c>
      <c r="R85" s="43">
        <v>475</v>
      </c>
      <c r="S85" s="43">
        <v>595</v>
      </c>
      <c r="T85" s="43">
        <v>360</v>
      </c>
      <c r="U85" s="43">
        <v>400</v>
      </c>
      <c r="V85" s="43">
        <v>412.5</v>
      </c>
      <c r="W85" s="43">
        <v>411.8</v>
      </c>
      <c r="X85" s="43">
        <v>201</v>
      </c>
      <c r="Y85" s="43">
        <v>385</v>
      </c>
      <c r="Z85" s="43">
        <v>247</v>
      </c>
      <c r="AA85" s="43">
        <v>420</v>
      </c>
      <c r="AB85" s="43">
        <v>305</v>
      </c>
      <c r="AC85" s="43">
        <v>285</v>
      </c>
      <c r="AD85" s="43">
        <v>290</v>
      </c>
      <c r="AE85" s="43">
        <v>488</v>
      </c>
      <c r="AF85" s="44">
        <v>14050</v>
      </c>
      <c r="AG85" s="44">
        <v>15136</v>
      </c>
      <c r="AH85" s="44">
        <v>7227</v>
      </c>
      <c r="AI85" s="44">
        <v>6624</v>
      </c>
      <c r="AJ85" s="44">
        <v>10023</v>
      </c>
      <c r="AK85" s="44">
        <v>12540</v>
      </c>
      <c r="AL85" s="44">
        <v>4291</v>
      </c>
      <c r="AM85" s="44">
        <v>1874</v>
      </c>
      <c r="AN85" s="44">
        <v>7847</v>
      </c>
      <c r="AO85" s="44">
        <v>2597</v>
      </c>
      <c r="AP85" s="44">
        <v>756</v>
      </c>
      <c r="AQ85" s="44">
        <v>1715</v>
      </c>
      <c r="AR85" s="44">
        <v>262</v>
      </c>
      <c r="AS85" s="44">
        <v>121</v>
      </c>
      <c r="AT85" s="44">
        <v>1424</v>
      </c>
      <c r="AU85" s="44">
        <v>10394</v>
      </c>
      <c r="AV85" s="44">
        <v>3498</v>
      </c>
      <c r="AW85" s="44">
        <v>5485</v>
      </c>
      <c r="AX85" s="44">
        <v>1511</v>
      </c>
      <c r="AY85" s="44">
        <v>3162</v>
      </c>
      <c r="AZ85" s="44">
        <v>5192</v>
      </c>
      <c r="BA85" s="44">
        <v>1984</v>
      </c>
      <c r="BB85" s="44">
        <v>204</v>
      </c>
      <c r="BC85" s="44">
        <v>2466</v>
      </c>
      <c r="BD85" s="44">
        <v>319</v>
      </c>
      <c r="BE85" s="44">
        <v>347</v>
      </c>
      <c r="BF85" s="44">
        <v>341</v>
      </c>
      <c r="BG85" s="44">
        <v>117</v>
      </c>
      <c r="BH85" s="44">
        <v>27</v>
      </c>
      <c r="BI85" s="44">
        <v>1468</v>
      </c>
    </row>
    <row r="86" spans="1:61" x14ac:dyDescent="0.2">
      <c r="A86" s="42">
        <v>44166</v>
      </c>
      <c r="B86" s="43">
        <v>999</v>
      </c>
      <c r="C86" s="43">
        <v>541</v>
      </c>
      <c r="D86" s="43">
        <v>760</v>
      </c>
      <c r="E86" s="43">
        <v>439</v>
      </c>
      <c r="F86" s="43">
        <v>575</v>
      </c>
      <c r="G86" s="43">
        <v>460</v>
      </c>
      <c r="H86" s="43">
        <v>512.5</v>
      </c>
      <c r="I86" s="43">
        <v>307.5</v>
      </c>
      <c r="J86" s="43">
        <v>528</v>
      </c>
      <c r="K86" s="43">
        <v>375</v>
      </c>
      <c r="L86" s="43">
        <v>567.70000000000005</v>
      </c>
      <c r="M86" s="43">
        <v>380</v>
      </c>
      <c r="N86" s="43">
        <v>522.5</v>
      </c>
      <c r="O86" s="43">
        <v>417.5</v>
      </c>
      <c r="P86" s="43">
        <v>785</v>
      </c>
      <c r="Q86" s="43">
        <v>743</v>
      </c>
      <c r="R86" s="43">
        <v>480</v>
      </c>
      <c r="S86" s="43">
        <v>620</v>
      </c>
      <c r="T86" s="43">
        <v>351</v>
      </c>
      <c r="U86" s="43">
        <v>415</v>
      </c>
      <c r="V86" s="43">
        <v>430</v>
      </c>
      <c r="W86" s="43">
        <v>415</v>
      </c>
      <c r="X86" s="43">
        <v>217.5</v>
      </c>
      <c r="Y86" s="43">
        <v>400</v>
      </c>
      <c r="Z86" s="43">
        <v>270</v>
      </c>
      <c r="AA86" s="43">
        <v>441</v>
      </c>
      <c r="AB86" s="43">
        <v>321</v>
      </c>
      <c r="AC86" s="43">
        <v>292.5</v>
      </c>
      <c r="AD86" s="43">
        <v>348.5</v>
      </c>
      <c r="AE86" s="43">
        <v>498</v>
      </c>
      <c r="AF86" s="44">
        <v>16275</v>
      </c>
      <c r="AG86" s="44">
        <v>16545</v>
      </c>
      <c r="AH86" s="44">
        <v>15775</v>
      </c>
      <c r="AI86" s="44">
        <v>7988</v>
      </c>
      <c r="AJ86" s="44">
        <v>10940</v>
      </c>
      <c r="AK86" s="44">
        <v>13594</v>
      </c>
      <c r="AL86" s="44">
        <v>4421</v>
      </c>
      <c r="AM86" s="44">
        <v>2035</v>
      </c>
      <c r="AN86" s="44">
        <v>8873</v>
      </c>
      <c r="AO86" s="44">
        <v>2868</v>
      </c>
      <c r="AP86" s="44">
        <v>787</v>
      </c>
      <c r="AQ86" s="44">
        <v>1693</v>
      </c>
      <c r="AR86" s="44">
        <v>306</v>
      </c>
      <c r="AS86" s="44">
        <v>118</v>
      </c>
      <c r="AT86" s="44">
        <v>1636</v>
      </c>
      <c r="AU86" s="44">
        <v>12117</v>
      </c>
      <c r="AV86" s="44">
        <v>3991</v>
      </c>
      <c r="AW86" s="44">
        <v>12583</v>
      </c>
      <c r="AX86" s="44">
        <v>1484</v>
      </c>
      <c r="AY86" s="44">
        <v>3812</v>
      </c>
      <c r="AZ86" s="44">
        <v>6244</v>
      </c>
      <c r="BA86" s="44">
        <v>1911</v>
      </c>
      <c r="BB86" s="44">
        <v>246</v>
      </c>
      <c r="BC86" s="44">
        <v>3136</v>
      </c>
      <c r="BD86" s="44">
        <v>368</v>
      </c>
      <c r="BE86" s="44">
        <v>365</v>
      </c>
      <c r="BF86" s="44">
        <v>327</v>
      </c>
      <c r="BG86" s="44">
        <v>129</v>
      </c>
      <c r="BH86" s="44">
        <v>32</v>
      </c>
      <c r="BI86" s="44">
        <v>1777</v>
      </c>
    </row>
    <row r="87" spans="1:61" x14ac:dyDescent="0.2">
      <c r="A87" s="42">
        <v>44256</v>
      </c>
      <c r="B87" s="43">
        <v>1052</v>
      </c>
      <c r="C87" s="43">
        <v>560</v>
      </c>
      <c r="D87" s="43">
        <v>800</v>
      </c>
      <c r="E87" s="43">
        <v>455</v>
      </c>
      <c r="F87" s="43">
        <v>600</v>
      </c>
      <c r="G87" s="43">
        <v>465</v>
      </c>
      <c r="H87" s="43">
        <v>523</v>
      </c>
      <c r="I87" s="43">
        <v>300</v>
      </c>
      <c r="J87" s="43">
        <v>535</v>
      </c>
      <c r="K87" s="43">
        <v>392.5</v>
      </c>
      <c r="L87" s="43">
        <v>610</v>
      </c>
      <c r="M87" s="43">
        <v>400</v>
      </c>
      <c r="N87" s="43">
        <v>535</v>
      </c>
      <c r="O87" s="43">
        <v>462</v>
      </c>
      <c r="P87" s="43">
        <v>835</v>
      </c>
      <c r="Q87" s="43">
        <v>750</v>
      </c>
      <c r="R87" s="43">
        <v>510</v>
      </c>
      <c r="S87" s="43">
        <v>630</v>
      </c>
      <c r="T87" s="43">
        <v>360</v>
      </c>
      <c r="U87" s="43">
        <v>420</v>
      </c>
      <c r="V87" s="43">
        <v>440</v>
      </c>
      <c r="W87" s="43">
        <v>420</v>
      </c>
      <c r="X87" s="43">
        <v>220</v>
      </c>
      <c r="Y87" s="43">
        <v>414</v>
      </c>
      <c r="Z87" s="43">
        <v>265</v>
      </c>
      <c r="AA87" s="43">
        <v>471.1</v>
      </c>
      <c r="AB87" s="43">
        <v>330</v>
      </c>
      <c r="AC87" s="43">
        <v>340</v>
      </c>
      <c r="AD87" s="43">
        <v>324.5</v>
      </c>
      <c r="AE87" s="43">
        <v>505</v>
      </c>
      <c r="AF87" s="44">
        <v>15288</v>
      </c>
      <c r="AG87" s="44">
        <v>15289</v>
      </c>
      <c r="AH87" s="44">
        <v>16363</v>
      </c>
      <c r="AI87" s="44">
        <v>7785</v>
      </c>
      <c r="AJ87" s="44">
        <v>11441</v>
      </c>
      <c r="AK87" s="44">
        <v>14411</v>
      </c>
      <c r="AL87" s="44">
        <v>4451</v>
      </c>
      <c r="AM87" s="44">
        <v>2154</v>
      </c>
      <c r="AN87" s="44">
        <v>9064</v>
      </c>
      <c r="AO87" s="44">
        <v>3029</v>
      </c>
      <c r="AP87" s="44">
        <v>868</v>
      </c>
      <c r="AQ87" s="44">
        <v>1825</v>
      </c>
      <c r="AR87" s="44">
        <v>335</v>
      </c>
      <c r="AS87" s="44">
        <v>122</v>
      </c>
      <c r="AT87" s="44">
        <v>1237</v>
      </c>
      <c r="AU87" s="44">
        <v>13030</v>
      </c>
      <c r="AV87" s="44">
        <v>3862</v>
      </c>
      <c r="AW87" s="44">
        <v>13276</v>
      </c>
      <c r="AX87" s="44">
        <v>1513</v>
      </c>
      <c r="AY87" s="44">
        <v>4711</v>
      </c>
      <c r="AZ87" s="44">
        <v>7539</v>
      </c>
      <c r="BA87" s="44">
        <v>2415</v>
      </c>
      <c r="BB87" s="44">
        <v>273</v>
      </c>
      <c r="BC87" s="44">
        <v>3401</v>
      </c>
      <c r="BD87" s="44">
        <v>463</v>
      </c>
      <c r="BE87" s="44">
        <v>364</v>
      </c>
      <c r="BF87" s="44">
        <v>351</v>
      </c>
      <c r="BG87" s="44">
        <v>133</v>
      </c>
      <c r="BH87" s="44">
        <v>26</v>
      </c>
      <c r="BI87" s="44">
        <v>1324</v>
      </c>
    </row>
    <row r="88" spans="1:61" x14ac:dyDescent="0.2">
      <c r="A88" s="42">
        <v>44348</v>
      </c>
      <c r="B88" s="43">
        <v>1206.4000000000001</v>
      </c>
      <c r="C88" s="43">
        <v>590</v>
      </c>
      <c r="D88" s="43">
        <v>830</v>
      </c>
      <c r="E88" s="43">
        <v>478.5</v>
      </c>
      <c r="F88" s="43">
        <v>630</v>
      </c>
      <c r="G88" s="43">
        <v>480</v>
      </c>
      <c r="H88" s="43">
        <v>550</v>
      </c>
      <c r="I88" s="43">
        <v>310</v>
      </c>
      <c r="J88" s="43">
        <v>540</v>
      </c>
      <c r="K88" s="43">
        <v>379</v>
      </c>
      <c r="L88" s="43">
        <v>630</v>
      </c>
      <c r="M88" s="43">
        <v>420</v>
      </c>
      <c r="N88" s="43">
        <v>565</v>
      </c>
      <c r="O88" s="43">
        <v>460</v>
      </c>
      <c r="P88" s="43">
        <v>905</v>
      </c>
      <c r="Q88" s="43">
        <v>785</v>
      </c>
      <c r="R88" s="43">
        <v>529</v>
      </c>
      <c r="S88" s="43">
        <v>648.20000000000005</v>
      </c>
      <c r="T88" s="43">
        <v>360</v>
      </c>
      <c r="U88" s="43">
        <v>421.3</v>
      </c>
      <c r="V88" s="43">
        <v>460</v>
      </c>
      <c r="W88" s="43">
        <v>415</v>
      </c>
      <c r="X88" s="43">
        <v>215</v>
      </c>
      <c r="Y88" s="43">
        <v>420</v>
      </c>
      <c r="Z88" s="43">
        <v>297</v>
      </c>
      <c r="AA88" s="43">
        <v>502.5</v>
      </c>
      <c r="AB88" s="43">
        <v>360</v>
      </c>
      <c r="AC88" s="43">
        <v>375</v>
      </c>
      <c r="AD88" s="43">
        <v>300</v>
      </c>
      <c r="AE88" s="43">
        <v>542</v>
      </c>
      <c r="AF88" s="44">
        <v>17458</v>
      </c>
      <c r="AG88" s="44">
        <v>15587</v>
      </c>
      <c r="AH88" s="44">
        <v>17680</v>
      </c>
      <c r="AI88" s="44">
        <v>7789</v>
      </c>
      <c r="AJ88" s="44">
        <v>11805</v>
      </c>
      <c r="AK88" s="44">
        <v>13773</v>
      </c>
      <c r="AL88" s="44">
        <v>4847</v>
      </c>
      <c r="AM88" s="44">
        <v>2067</v>
      </c>
      <c r="AN88" s="44">
        <v>8731</v>
      </c>
      <c r="AO88" s="44">
        <v>2718</v>
      </c>
      <c r="AP88" s="44">
        <v>758</v>
      </c>
      <c r="AQ88" s="44">
        <v>1570</v>
      </c>
      <c r="AR88" s="44">
        <v>402</v>
      </c>
      <c r="AS88" s="44">
        <v>127</v>
      </c>
      <c r="AT88" s="44">
        <v>1330</v>
      </c>
      <c r="AU88" s="44">
        <v>15268</v>
      </c>
      <c r="AV88" s="44">
        <v>3811</v>
      </c>
      <c r="AW88" s="44">
        <v>15762</v>
      </c>
      <c r="AX88" s="44">
        <v>1526</v>
      </c>
      <c r="AY88" s="44">
        <v>5136</v>
      </c>
      <c r="AZ88" s="44">
        <v>7169</v>
      </c>
      <c r="BA88" s="44">
        <v>2560</v>
      </c>
      <c r="BB88" s="44">
        <v>290</v>
      </c>
      <c r="BC88" s="44">
        <v>3154</v>
      </c>
      <c r="BD88" s="44">
        <v>408</v>
      </c>
      <c r="BE88" s="44">
        <v>302</v>
      </c>
      <c r="BF88" s="44">
        <v>274</v>
      </c>
      <c r="BG88" s="44">
        <v>226</v>
      </c>
      <c r="BH88" s="44">
        <v>41</v>
      </c>
      <c r="BI88" s="44">
        <v>1504</v>
      </c>
    </row>
    <row r="89" spans="1:61" x14ac:dyDescent="0.2">
      <c r="A89" s="42">
        <v>44440</v>
      </c>
      <c r="B89" s="43">
        <v>1300</v>
      </c>
      <c r="C89" s="43">
        <v>625</v>
      </c>
      <c r="D89" s="43">
        <v>840</v>
      </c>
      <c r="E89" s="43">
        <v>500</v>
      </c>
      <c r="F89" s="43">
        <v>657</v>
      </c>
      <c r="G89" s="43">
        <v>480</v>
      </c>
      <c r="H89" s="43">
        <v>580</v>
      </c>
      <c r="I89" s="43">
        <v>309</v>
      </c>
      <c r="J89" s="43">
        <v>525</v>
      </c>
      <c r="K89" s="43">
        <v>365</v>
      </c>
      <c r="L89" s="43">
        <v>700</v>
      </c>
      <c r="M89" s="43">
        <v>445</v>
      </c>
      <c r="N89" s="43">
        <v>580</v>
      </c>
      <c r="O89" s="43">
        <v>460</v>
      </c>
      <c r="P89" s="43">
        <v>940</v>
      </c>
      <c r="Q89" s="43">
        <v>800</v>
      </c>
      <c r="R89" s="43">
        <v>550</v>
      </c>
      <c r="S89" s="43">
        <v>650.79999999999995</v>
      </c>
      <c r="T89" s="43">
        <v>380</v>
      </c>
      <c r="U89" s="43">
        <v>430</v>
      </c>
      <c r="V89" s="43">
        <v>480</v>
      </c>
      <c r="W89" s="43">
        <v>425</v>
      </c>
      <c r="X89" s="43">
        <v>217.8</v>
      </c>
      <c r="Y89" s="43">
        <v>415</v>
      </c>
      <c r="Z89" s="43">
        <v>299.5</v>
      </c>
      <c r="AA89" s="43">
        <v>540</v>
      </c>
      <c r="AB89" s="43">
        <v>360</v>
      </c>
      <c r="AC89" s="43">
        <v>360</v>
      </c>
      <c r="AD89" s="43">
        <v>290</v>
      </c>
      <c r="AE89" s="43">
        <v>530</v>
      </c>
      <c r="AF89" s="44">
        <v>15132</v>
      </c>
      <c r="AG89" s="44">
        <v>16242</v>
      </c>
      <c r="AH89" s="44">
        <v>12800</v>
      </c>
      <c r="AI89" s="44">
        <v>6355</v>
      </c>
      <c r="AJ89" s="44">
        <v>13126</v>
      </c>
      <c r="AK89" s="44">
        <v>16084</v>
      </c>
      <c r="AL89" s="44">
        <v>4787</v>
      </c>
      <c r="AM89" s="44">
        <v>2150</v>
      </c>
      <c r="AN89" s="44">
        <v>7254</v>
      </c>
      <c r="AO89" s="44">
        <v>2381</v>
      </c>
      <c r="AP89" s="44">
        <v>790</v>
      </c>
      <c r="AQ89" s="44">
        <v>1607</v>
      </c>
      <c r="AR89" s="44">
        <v>424</v>
      </c>
      <c r="AS89" s="44">
        <v>147</v>
      </c>
      <c r="AT89" s="44">
        <v>1126</v>
      </c>
      <c r="AU89" s="44">
        <v>13104</v>
      </c>
      <c r="AV89" s="44">
        <v>3794</v>
      </c>
      <c r="AW89" s="44">
        <v>11300</v>
      </c>
      <c r="AX89" s="44">
        <v>1261</v>
      </c>
      <c r="AY89" s="44">
        <v>6163</v>
      </c>
      <c r="AZ89" s="44">
        <v>8092</v>
      </c>
      <c r="BA89" s="44">
        <v>2435</v>
      </c>
      <c r="BB89" s="44">
        <v>284</v>
      </c>
      <c r="BC89" s="44">
        <v>3279</v>
      </c>
      <c r="BD89" s="44">
        <v>496</v>
      </c>
      <c r="BE89" s="44">
        <v>319</v>
      </c>
      <c r="BF89" s="44">
        <v>289</v>
      </c>
      <c r="BG89" s="44">
        <v>241</v>
      </c>
      <c r="BH89" s="44">
        <v>37</v>
      </c>
      <c r="BI89" s="44">
        <v>1334</v>
      </c>
    </row>
    <row r="90" spans="1:61" x14ac:dyDescent="0.2">
      <c r="A90" s="42">
        <v>44531</v>
      </c>
      <c r="B90" s="43">
        <v>1360</v>
      </c>
      <c r="C90" s="43">
        <v>685</v>
      </c>
      <c r="D90" s="43">
        <v>940</v>
      </c>
      <c r="E90" s="43">
        <v>553</v>
      </c>
      <c r="F90" s="43">
        <v>750</v>
      </c>
      <c r="G90" s="43">
        <v>500</v>
      </c>
      <c r="H90" s="43">
        <v>630</v>
      </c>
      <c r="I90" s="43">
        <v>335</v>
      </c>
      <c r="J90" s="43">
        <v>558.79999999999995</v>
      </c>
      <c r="K90" s="43">
        <v>380</v>
      </c>
      <c r="L90" s="43">
        <v>754</v>
      </c>
      <c r="M90" s="43">
        <v>500.9</v>
      </c>
      <c r="N90" s="43">
        <v>600</v>
      </c>
      <c r="O90" s="43">
        <v>480</v>
      </c>
      <c r="P90" s="43">
        <v>1040</v>
      </c>
      <c r="Q90" s="43">
        <v>806</v>
      </c>
      <c r="R90" s="43">
        <v>590</v>
      </c>
      <c r="S90" s="43">
        <v>655</v>
      </c>
      <c r="T90" s="43">
        <v>425</v>
      </c>
      <c r="U90" s="43">
        <v>450</v>
      </c>
      <c r="V90" s="43">
        <v>501</v>
      </c>
      <c r="W90" s="43">
        <v>450</v>
      </c>
      <c r="X90" s="43">
        <v>210</v>
      </c>
      <c r="Y90" s="43">
        <v>412.8</v>
      </c>
      <c r="Z90" s="43">
        <v>295</v>
      </c>
      <c r="AA90" s="43">
        <v>570</v>
      </c>
      <c r="AB90" s="43">
        <v>410</v>
      </c>
      <c r="AC90" s="43">
        <v>382</v>
      </c>
      <c r="AD90" s="43">
        <v>300</v>
      </c>
      <c r="AE90" s="43">
        <v>590</v>
      </c>
      <c r="AF90" s="44">
        <v>17181</v>
      </c>
      <c r="AG90" s="44">
        <v>16838</v>
      </c>
      <c r="AH90" s="44">
        <v>20363</v>
      </c>
      <c r="AI90" s="44">
        <v>7892</v>
      </c>
      <c r="AJ90" s="44">
        <v>12911</v>
      </c>
      <c r="AK90" s="44">
        <v>15506</v>
      </c>
      <c r="AL90" s="44">
        <v>5386</v>
      </c>
      <c r="AM90" s="44">
        <v>2402</v>
      </c>
      <c r="AN90" s="44">
        <v>7779</v>
      </c>
      <c r="AO90" s="44">
        <v>2509</v>
      </c>
      <c r="AP90" s="44">
        <v>767</v>
      </c>
      <c r="AQ90" s="44">
        <v>1696</v>
      </c>
      <c r="AR90" s="44">
        <v>443</v>
      </c>
      <c r="AS90" s="44">
        <v>144</v>
      </c>
      <c r="AT90" s="44">
        <v>1477</v>
      </c>
      <c r="AU90" s="44">
        <v>15001</v>
      </c>
      <c r="AV90" s="44">
        <v>3850</v>
      </c>
      <c r="AW90" s="44">
        <v>15119</v>
      </c>
      <c r="AX90" s="44">
        <v>1544</v>
      </c>
      <c r="AY90" s="44">
        <v>6074</v>
      </c>
      <c r="AZ90" s="44">
        <v>7456</v>
      </c>
      <c r="BA90" s="44">
        <v>2642</v>
      </c>
      <c r="BB90" s="44">
        <v>294</v>
      </c>
      <c r="BC90" s="44">
        <v>3254</v>
      </c>
      <c r="BD90" s="44">
        <v>505</v>
      </c>
      <c r="BE90" s="44">
        <v>361</v>
      </c>
      <c r="BF90" s="44">
        <v>292</v>
      </c>
      <c r="BG90" s="44">
        <v>197</v>
      </c>
      <c r="BH90" s="44">
        <v>42</v>
      </c>
      <c r="BI90" s="44">
        <v>1565</v>
      </c>
    </row>
    <row r="91" spans="1:61" x14ac:dyDescent="0.2">
      <c r="A91" s="42">
        <v>44621</v>
      </c>
      <c r="B91" s="43">
        <v>1325</v>
      </c>
      <c r="C91" s="43">
        <v>702</v>
      </c>
      <c r="D91" s="43">
        <v>888</v>
      </c>
      <c r="E91" s="43">
        <v>580</v>
      </c>
      <c r="F91" s="43">
        <v>765</v>
      </c>
      <c r="G91" s="43">
        <v>519</v>
      </c>
      <c r="H91" s="43">
        <v>650</v>
      </c>
      <c r="I91" s="43">
        <v>335</v>
      </c>
      <c r="J91" s="43">
        <v>550</v>
      </c>
      <c r="K91" s="43">
        <v>380</v>
      </c>
      <c r="L91" s="43">
        <v>765</v>
      </c>
      <c r="M91" s="43">
        <v>530.5</v>
      </c>
      <c r="N91" s="43">
        <v>600</v>
      </c>
      <c r="O91" s="43">
        <v>460</v>
      </c>
      <c r="P91" s="43">
        <v>1080</v>
      </c>
      <c r="Q91" s="43">
        <v>780</v>
      </c>
      <c r="R91" s="43">
        <v>610</v>
      </c>
      <c r="S91" s="43">
        <v>640</v>
      </c>
      <c r="T91" s="43">
        <v>419.5</v>
      </c>
      <c r="U91" s="43">
        <v>459</v>
      </c>
      <c r="V91" s="43">
        <v>517</v>
      </c>
      <c r="W91" s="43">
        <v>454.9</v>
      </c>
      <c r="X91" s="43">
        <v>205</v>
      </c>
      <c r="Y91" s="43">
        <v>410</v>
      </c>
      <c r="Z91" s="43">
        <v>320</v>
      </c>
      <c r="AA91" s="43">
        <v>586.29999999999995</v>
      </c>
      <c r="AB91" s="43">
        <v>410</v>
      </c>
      <c r="AC91" s="43">
        <v>402</v>
      </c>
      <c r="AD91" s="43">
        <v>315</v>
      </c>
      <c r="AE91" s="43">
        <v>575</v>
      </c>
      <c r="AF91" s="44">
        <v>12080</v>
      </c>
      <c r="AG91" s="44">
        <v>12535</v>
      </c>
      <c r="AH91" s="44">
        <v>14294</v>
      </c>
      <c r="AI91" s="44">
        <v>6493</v>
      </c>
      <c r="AJ91" s="44">
        <v>10381</v>
      </c>
      <c r="AK91" s="44">
        <v>14272</v>
      </c>
      <c r="AL91" s="44">
        <v>4484</v>
      </c>
      <c r="AM91" s="44">
        <v>2250</v>
      </c>
      <c r="AN91" s="44">
        <v>7729</v>
      </c>
      <c r="AO91" s="44">
        <v>2468</v>
      </c>
      <c r="AP91" s="44">
        <v>814</v>
      </c>
      <c r="AQ91" s="44">
        <v>1590</v>
      </c>
      <c r="AR91" s="44">
        <v>419</v>
      </c>
      <c r="AS91" s="44">
        <v>132</v>
      </c>
      <c r="AT91" s="44">
        <v>827</v>
      </c>
      <c r="AU91" s="44">
        <v>11561</v>
      </c>
      <c r="AV91" s="44">
        <v>3023</v>
      </c>
      <c r="AW91" s="44">
        <v>11607</v>
      </c>
      <c r="AX91" s="44">
        <v>1193</v>
      </c>
      <c r="AY91" s="44">
        <v>5695</v>
      </c>
      <c r="AZ91" s="44">
        <v>6965</v>
      </c>
      <c r="BA91" s="44">
        <v>2359</v>
      </c>
      <c r="BB91" s="44">
        <v>338</v>
      </c>
      <c r="BC91" s="44">
        <v>3521</v>
      </c>
      <c r="BD91" s="44">
        <v>569</v>
      </c>
      <c r="BE91" s="44">
        <v>310</v>
      </c>
      <c r="BF91" s="44">
        <v>264</v>
      </c>
      <c r="BG91" s="44">
        <v>247</v>
      </c>
      <c r="BH91" s="44">
        <v>30</v>
      </c>
      <c r="BI91" s="44">
        <v>944</v>
      </c>
    </row>
    <row r="92" spans="1:61" x14ac:dyDescent="0.2">
      <c r="A92" s="42">
        <v>44713</v>
      </c>
      <c r="B92" s="43">
        <v>1350</v>
      </c>
      <c r="C92" s="43">
        <v>700</v>
      </c>
      <c r="D92" s="43">
        <v>900</v>
      </c>
      <c r="E92" s="43">
        <v>573.1</v>
      </c>
      <c r="F92" s="43">
        <v>773</v>
      </c>
      <c r="G92" s="43">
        <v>528</v>
      </c>
      <c r="H92" s="43">
        <v>663</v>
      </c>
      <c r="I92" s="43">
        <v>350</v>
      </c>
      <c r="J92" s="43">
        <v>565</v>
      </c>
      <c r="K92" s="43">
        <v>375</v>
      </c>
      <c r="L92" s="43">
        <v>765</v>
      </c>
      <c r="M92" s="43">
        <v>525</v>
      </c>
      <c r="N92" s="43">
        <v>585</v>
      </c>
      <c r="O92" s="43">
        <v>487</v>
      </c>
      <c r="P92" s="43">
        <v>1059</v>
      </c>
      <c r="Q92" s="43">
        <v>775</v>
      </c>
      <c r="R92" s="43">
        <v>600</v>
      </c>
      <c r="S92" s="43">
        <v>640</v>
      </c>
      <c r="T92" s="43">
        <v>425</v>
      </c>
      <c r="U92" s="43">
        <v>470</v>
      </c>
      <c r="V92" s="43">
        <v>540</v>
      </c>
      <c r="W92" s="43">
        <v>465</v>
      </c>
      <c r="X92" s="43">
        <v>211</v>
      </c>
      <c r="Y92" s="43">
        <v>405</v>
      </c>
      <c r="Z92" s="43">
        <v>324.5</v>
      </c>
      <c r="AA92" s="43">
        <v>575</v>
      </c>
      <c r="AB92" s="43">
        <v>420</v>
      </c>
      <c r="AC92" s="43">
        <v>400</v>
      </c>
      <c r="AD92" s="43">
        <v>320</v>
      </c>
      <c r="AE92" s="43">
        <v>600</v>
      </c>
      <c r="AF92" s="44">
        <v>11840</v>
      </c>
      <c r="AG92" s="44">
        <v>12387</v>
      </c>
      <c r="AH92" s="44">
        <v>14801</v>
      </c>
      <c r="AI92" s="44">
        <v>6074</v>
      </c>
      <c r="AJ92" s="44">
        <v>9553</v>
      </c>
      <c r="AK92" s="44">
        <v>12547</v>
      </c>
      <c r="AL92" s="44">
        <v>4727</v>
      </c>
      <c r="AM92" s="44">
        <v>2090</v>
      </c>
      <c r="AN92" s="44">
        <v>6902</v>
      </c>
      <c r="AO92" s="44">
        <v>2233</v>
      </c>
      <c r="AP92" s="44">
        <v>761</v>
      </c>
      <c r="AQ92" s="44">
        <v>1374</v>
      </c>
      <c r="AR92" s="44">
        <v>395</v>
      </c>
      <c r="AS92" s="44">
        <v>115</v>
      </c>
      <c r="AT92" s="44">
        <v>1094</v>
      </c>
      <c r="AU92" s="44">
        <v>11150</v>
      </c>
      <c r="AV92" s="44">
        <v>2705</v>
      </c>
      <c r="AW92" s="44">
        <v>12340</v>
      </c>
      <c r="AX92" s="44">
        <v>1103</v>
      </c>
      <c r="AY92" s="44">
        <v>5154</v>
      </c>
      <c r="AZ92" s="44">
        <v>6009</v>
      </c>
      <c r="BA92" s="44">
        <v>2253</v>
      </c>
      <c r="BB92" s="44">
        <v>298</v>
      </c>
      <c r="BC92" s="44">
        <v>3158</v>
      </c>
      <c r="BD92" s="44">
        <v>466</v>
      </c>
      <c r="BE92" s="44">
        <v>300</v>
      </c>
      <c r="BF92" s="44">
        <v>242</v>
      </c>
      <c r="BG92" s="44">
        <v>221</v>
      </c>
      <c r="BH92" s="44">
        <v>39</v>
      </c>
      <c r="BI92" s="44">
        <v>1189</v>
      </c>
    </row>
    <row r="93" spans="1:61" x14ac:dyDescent="0.2">
      <c r="A93" s="42">
        <v>44805</v>
      </c>
      <c r="B93" s="43">
        <v>1300</v>
      </c>
      <c r="C93" s="43">
        <v>690</v>
      </c>
      <c r="D93" s="43">
        <v>850</v>
      </c>
      <c r="E93" s="43">
        <v>560</v>
      </c>
      <c r="F93" s="43">
        <v>750</v>
      </c>
      <c r="G93" s="43">
        <v>528</v>
      </c>
      <c r="H93" s="43">
        <v>654</v>
      </c>
      <c r="I93" s="43">
        <v>345</v>
      </c>
      <c r="J93" s="43">
        <v>555</v>
      </c>
      <c r="K93" s="43">
        <v>380</v>
      </c>
      <c r="L93" s="43">
        <v>720</v>
      </c>
      <c r="M93" s="43">
        <v>510</v>
      </c>
      <c r="N93" s="43">
        <v>560</v>
      </c>
      <c r="O93" s="43">
        <v>459.5</v>
      </c>
      <c r="P93" s="43">
        <v>1000</v>
      </c>
      <c r="Q93" s="43">
        <v>750</v>
      </c>
      <c r="R93" s="43">
        <v>595</v>
      </c>
      <c r="S93" s="43">
        <v>618</v>
      </c>
      <c r="T93" s="43">
        <v>420</v>
      </c>
      <c r="U93" s="43">
        <v>470</v>
      </c>
      <c r="V93" s="43">
        <v>530</v>
      </c>
      <c r="W93" s="43">
        <v>485</v>
      </c>
      <c r="X93" s="43">
        <v>225</v>
      </c>
      <c r="Y93" s="43">
        <v>400</v>
      </c>
      <c r="Z93" s="43">
        <v>300</v>
      </c>
      <c r="AA93" s="43">
        <v>565</v>
      </c>
      <c r="AB93" s="43">
        <v>422.5</v>
      </c>
      <c r="AC93" s="43">
        <v>360</v>
      </c>
      <c r="AD93" s="43">
        <v>306.5</v>
      </c>
      <c r="AE93" s="43">
        <v>596</v>
      </c>
      <c r="AF93" s="44">
        <v>11204</v>
      </c>
      <c r="AG93" s="44">
        <v>11168</v>
      </c>
      <c r="AH93" s="44">
        <v>12427</v>
      </c>
      <c r="AI93" s="44">
        <v>5491</v>
      </c>
      <c r="AJ93" s="44">
        <v>9127</v>
      </c>
      <c r="AK93" s="44">
        <v>12461</v>
      </c>
      <c r="AL93" s="44">
        <v>4313</v>
      </c>
      <c r="AM93" s="44">
        <v>1751</v>
      </c>
      <c r="AN93" s="44">
        <v>7060</v>
      </c>
      <c r="AO93" s="44">
        <v>2200</v>
      </c>
      <c r="AP93" s="44">
        <v>628</v>
      </c>
      <c r="AQ93" s="44">
        <v>1238</v>
      </c>
      <c r="AR93" s="44">
        <v>354</v>
      </c>
      <c r="AS93" s="44">
        <v>100</v>
      </c>
      <c r="AT93" s="44">
        <v>1058</v>
      </c>
      <c r="AU93" s="44">
        <v>10432</v>
      </c>
      <c r="AV93" s="44">
        <v>2608</v>
      </c>
      <c r="AW93" s="44">
        <v>10155</v>
      </c>
      <c r="AX93" s="44">
        <v>1031</v>
      </c>
      <c r="AY93" s="44">
        <v>4934</v>
      </c>
      <c r="AZ93" s="44">
        <v>5887</v>
      </c>
      <c r="BA93" s="44">
        <v>1959</v>
      </c>
      <c r="BB93" s="44">
        <v>245</v>
      </c>
      <c r="BC93" s="44">
        <v>3003</v>
      </c>
      <c r="BD93" s="44">
        <v>487</v>
      </c>
      <c r="BE93" s="44">
        <v>261</v>
      </c>
      <c r="BF93" s="44">
        <v>260</v>
      </c>
      <c r="BG93" s="44">
        <v>218</v>
      </c>
      <c r="BH93" s="44">
        <v>20</v>
      </c>
      <c r="BI93" s="44">
        <v>1143</v>
      </c>
    </row>
    <row r="94" spans="1:61" x14ac:dyDescent="0.2">
      <c r="A94" s="42">
        <v>44896</v>
      </c>
      <c r="B94" s="43">
        <v>1300</v>
      </c>
      <c r="C94" s="43">
        <v>700</v>
      </c>
      <c r="D94" s="43">
        <v>875</v>
      </c>
      <c r="E94" s="43">
        <v>570</v>
      </c>
      <c r="F94" s="43">
        <v>750</v>
      </c>
      <c r="G94" s="43">
        <v>530</v>
      </c>
      <c r="H94" s="43">
        <v>675</v>
      </c>
      <c r="I94" s="43">
        <v>363.3</v>
      </c>
      <c r="J94" s="43">
        <v>580</v>
      </c>
      <c r="K94" s="43">
        <v>390</v>
      </c>
      <c r="L94" s="43">
        <v>731.5</v>
      </c>
      <c r="M94" s="43">
        <v>535</v>
      </c>
      <c r="N94" s="43">
        <v>590</v>
      </c>
      <c r="O94" s="43">
        <v>497</v>
      </c>
      <c r="P94" s="43">
        <v>1000</v>
      </c>
      <c r="Q94" s="43">
        <v>765</v>
      </c>
      <c r="R94" s="43">
        <v>600</v>
      </c>
      <c r="S94" s="43">
        <v>615</v>
      </c>
      <c r="T94" s="43">
        <v>415</v>
      </c>
      <c r="U94" s="43">
        <v>480</v>
      </c>
      <c r="V94" s="43">
        <v>535</v>
      </c>
      <c r="W94" s="43">
        <v>480</v>
      </c>
      <c r="X94" s="43">
        <v>220</v>
      </c>
      <c r="Y94" s="43">
        <v>400</v>
      </c>
      <c r="Z94" s="43">
        <v>313.5</v>
      </c>
      <c r="AA94" s="43">
        <v>565</v>
      </c>
      <c r="AB94" s="43">
        <v>415</v>
      </c>
      <c r="AC94" s="43">
        <v>382.5</v>
      </c>
      <c r="AD94" s="43">
        <v>320</v>
      </c>
      <c r="AE94" s="43">
        <v>600</v>
      </c>
      <c r="AF94" s="44">
        <v>10941</v>
      </c>
      <c r="AG94" s="44">
        <v>10689</v>
      </c>
      <c r="AH94" s="44">
        <v>12390</v>
      </c>
      <c r="AI94" s="44">
        <v>5286</v>
      </c>
      <c r="AJ94" s="44">
        <v>8223</v>
      </c>
      <c r="AK94" s="44">
        <v>11347</v>
      </c>
      <c r="AL94" s="44">
        <v>4046</v>
      </c>
      <c r="AM94" s="44">
        <v>1798</v>
      </c>
      <c r="AN94" s="44">
        <v>6833</v>
      </c>
      <c r="AO94" s="44">
        <v>2036</v>
      </c>
      <c r="AP94" s="44">
        <v>714</v>
      </c>
      <c r="AQ94" s="44">
        <v>1177</v>
      </c>
      <c r="AR94" s="44">
        <v>317</v>
      </c>
      <c r="AS94" s="44">
        <v>78</v>
      </c>
      <c r="AT94" s="44">
        <v>1189</v>
      </c>
      <c r="AU94" s="44">
        <v>9711</v>
      </c>
      <c r="AV94" s="44">
        <v>2398</v>
      </c>
      <c r="AW94" s="44">
        <v>9938</v>
      </c>
      <c r="AX94" s="44">
        <v>964</v>
      </c>
      <c r="AY94" s="44">
        <v>4391</v>
      </c>
      <c r="AZ94" s="44">
        <v>5042</v>
      </c>
      <c r="BA94" s="44">
        <v>1952</v>
      </c>
      <c r="BB94" s="44">
        <v>232</v>
      </c>
      <c r="BC94" s="44">
        <v>3053</v>
      </c>
      <c r="BD94" s="44">
        <v>428</v>
      </c>
      <c r="BE94" s="44">
        <v>310</v>
      </c>
      <c r="BF94" s="44">
        <v>254</v>
      </c>
      <c r="BG94" s="44">
        <v>196</v>
      </c>
      <c r="BH94" s="44">
        <v>29</v>
      </c>
      <c r="BI94" s="44">
        <v>1008</v>
      </c>
    </row>
    <row r="95" spans="1:61" x14ac:dyDescent="0.2">
      <c r="A95" s="42">
        <v>44986</v>
      </c>
      <c r="B95" s="43">
        <v>1250.0999999999999</v>
      </c>
      <c r="C95" s="43">
        <v>700</v>
      </c>
      <c r="D95" s="43">
        <v>835</v>
      </c>
      <c r="E95" s="43">
        <v>570</v>
      </c>
      <c r="F95" s="43">
        <v>757</v>
      </c>
      <c r="G95" s="43">
        <v>540</v>
      </c>
      <c r="H95" s="43">
        <v>680</v>
      </c>
      <c r="I95" s="43">
        <v>381.8</v>
      </c>
      <c r="J95" s="43">
        <v>578</v>
      </c>
      <c r="K95" s="43">
        <v>400</v>
      </c>
      <c r="L95" s="43">
        <v>705</v>
      </c>
      <c r="M95" s="43">
        <v>520</v>
      </c>
      <c r="N95" s="43">
        <v>575</v>
      </c>
      <c r="O95" s="43">
        <v>505.4</v>
      </c>
      <c r="P95" s="43">
        <v>984</v>
      </c>
      <c r="Q95" s="43">
        <v>765</v>
      </c>
      <c r="R95" s="43">
        <v>601.79999999999995</v>
      </c>
      <c r="S95" s="43">
        <v>605</v>
      </c>
      <c r="T95" s="43">
        <v>422.5</v>
      </c>
      <c r="U95" s="43">
        <v>483</v>
      </c>
      <c r="V95" s="43">
        <v>550</v>
      </c>
      <c r="W95" s="43">
        <v>489.5</v>
      </c>
      <c r="X95" s="43">
        <v>245</v>
      </c>
      <c r="Y95" s="43">
        <v>402.6</v>
      </c>
      <c r="Z95" s="43">
        <v>320</v>
      </c>
      <c r="AA95" s="43">
        <v>560</v>
      </c>
      <c r="AB95" s="43">
        <v>420</v>
      </c>
      <c r="AC95" s="43">
        <v>370</v>
      </c>
      <c r="AD95" s="43">
        <v>305</v>
      </c>
      <c r="AE95" s="43">
        <v>610</v>
      </c>
      <c r="AF95" s="44">
        <v>9819</v>
      </c>
      <c r="AG95" s="44">
        <v>9609</v>
      </c>
      <c r="AH95" s="44">
        <v>10804</v>
      </c>
      <c r="AI95" s="44">
        <v>4942</v>
      </c>
      <c r="AJ95" s="44">
        <v>8221</v>
      </c>
      <c r="AK95" s="44">
        <v>10976</v>
      </c>
      <c r="AL95" s="44">
        <v>3777</v>
      </c>
      <c r="AM95" s="44">
        <v>1703</v>
      </c>
      <c r="AN95" s="44">
        <v>7047</v>
      </c>
      <c r="AO95" s="44">
        <v>2026</v>
      </c>
      <c r="AP95" s="44">
        <v>736</v>
      </c>
      <c r="AQ95" s="44">
        <v>1265</v>
      </c>
      <c r="AR95" s="44">
        <v>254</v>
      </c>
      <c r="AS95" s="44">
        <v>78</v>
      </c>
      <c r="AT95" s="44">
        <v>920</v>
      </c>
      <c r="AU95" s="44">
        <v>9928</v>
      </c>
      <c r="AV95" s="44">
        <v>2198</v>
      </c>
      <c r="AW95" s="44">
        <v>9772</v>
      </c>
      <c r="AX95" s="44">
        <v>915</v>
      </c>
      <c r="AY95" s="44">
        <v>4695</v>
      </c>
      <c r="AZ95" s="44">
        <v>5287</v>
      </c>
      <c r="BA95" s="44">
        <v>1945</v>
      </c>
      <c r="BB95" s="44">
        <v>261</v>
      </c>
      <c r="BC95" s="44">
        <v>3480</v>
      </c>
      <c r="BD95" s="44">
        <v>467</v>
      </c>
      <c r="BE95" s="44">
        <v>277</v>
      </c>
      <c r="BF95" s="44">
        <v>254</v>
      </c>
      <c r="BG95" s="44">
        <v>166</v>
      </c>
      <c r="BH95" s="44">
        <v>20</v>
      </c>
      <c r="BI95" s="44">
        <v>865</v>
      </c>
    </row>
    <row r="96" spans="1:61" x14ac:dyDescent="0.2">
      <c r="A96" s="42">
        <v>45078</v>
      </c>
      <c r="B96" s="43">
        <v>1355</v>
      </c>
      <c r="C96" s="43">
        <v>710</v>
      </c>
      <c r="D96" s="43">
        <v>840.3</v>
      </c>
      <c r="E96" s="43">
        <v>570</v>
      </c>
      <c r="F96" s="43">
        <v>775</v>
      </c>
      <c r="G96" s="43">
        <v>560</v>
      </c>
      <c r="H96" s="43">
        <v>702</v>
      </c>
      <c r="I96" s="43">
        <v>395</v>
      </c>
      <c r="J96" s="43">
        <v>600</v>
      </c>
      <c r="K96" s="43">
        <v>400</v>
      </c>
      <c r="L96" s="43">
        <v>696.5</v>
      </c>
      <c r="M96" s="43">
        <v>535</v>
      </c>
      <c r="N96" s="43">
        <v>590</v>
      </c>
      <c r="O96" s="43">
        <v>478</v>
      </c>
      <c r="P96" s="43">
        <v>983</v>
      </c>
      <c r="Q96" s="43">
        <v>800</v>
      </c>
      <c r="R96" s="43">
        <v>608</v>
      </c>
      <c r="S96" s="43">
        <v>620</v>
      </c>
      <c r="T96" s="43">
        <v>440</v>
      </c>
      <c r="U96" s="43">
        <v>500</v>
      </c>
      <c r="V96" s="43">
        <v>562.5</v>
      </c>
      <c r="W96" s="43">
        <v>525</v>
      </c>
      <c r="X96" s="43">
        <v>256</v>
      </c>
      <c r="Y96" s="43">
        <v>410</v>
      </c>
      <c r="Z96" s="43">
        <v>323</v>
      </c>
      <c r="AA96" s="43">
        <v>557</v>
      </c>
      <c r="AB96" s="43">
        <v>460</v>
      </c>
      <c r="AC96" s="43">
        <v>387.5</v>
      </c>
      <c r="AD96" s="43">
        <v>340</v>
      </c>
      <c r="AE96" s="43">
        <v>600</v>
      </c>
      <c r="AF96" s="44">
        <v>12105</v>
      </c>
      <c r="AG96" s="44">
        <v>10773</v>
      </c>
      <c r="AH96" s="44">
        <v>12738</v>
      </c>
      <c r="AI96" s="44">
        <v>5006</v>
      </c>
      <c r="AJ96" s="44">
        <v>8803</v>
      </c>
      <c r="AK96" s="44">
        <v>11141</v>
      </c>
      <c r="AL96" s="44">
        <v>4127</v>
      </c>
      <c r="AM96" s="44">
        <v>1693</v>
      </c>
      <c r="AN96" s="44">
        <v>6765</v>
      </c>
      <c r="AO96" s="44">
        <v>1993</v>
      </c>
      <c r="AP96" s="44">
        <v>682</v>
      </c>
      <c r="AQ96" s="44">
        <v>1221</v>
      </c>
      <c r="AR96" s="44">
        <v>294</v>
      </c>
      <c r="AS96" s="44">
        <v>78</v>
      </c>
      <c r="AT96" s="44">
        <v>1006</v>
      </c>
      <c r="AU96" s="44">
        <v>12650</v>
      </c>
      <c r="AV96" s="44">
        <v>2467</v>
      </c>
      <c r="AW96" s="44">
        <v>11337</v>
      </c>
      <c r="AX96" s="44">
        <v>993</v>
      </c>
      <c r="AY96" s="44">
        <v>4740</v>
      </c>
      <c r="AZ96" s="44">
        <v>5391</v>
      </c>
      <c r="BA96" s="44">
        <v>1898</v>
      </c>
      <c r="BB96" s="44">
        <v>244</v>
      </c>
      <c r="BC96" s="44">
        <v>3537</v>
      </c>
      <c r="BD96" s="44">
        <v>460</v>
      </c>
      <c r="BE96" s="44">
        <v>350</v>
      </c>
      <c r="BF96" s="44">
        <v>263</v>
      </c>
      <c r="BG96" s="44">
        <v>197</v>
      </c>
      <c r="BH96" s="44">
        <v>15</v>
      </c>
      <c r="BI96" s="44">
        <v>1009</v>
      </c>
    </row>
    <row r="97" spans="1:61" x14ac:dyDescent="0.2">
      <c r="A97" s="42">
        <v>45170</v>
      </c>
      <c r="B97" s="43">
        <v>1370</v>
      </c>
      <c r="C97" s="43">
        <v>718</v>
      </c>
      <c r="D97" s="43">
        <v>832</v>
      </c>
      <c r="E97" s="43">
        <v>570</v>
      </c>
      <c r="F97" s="43">
        <v>800</v>
      </c>
      <c r="G97" s="43">
        <v>570</v>
      </c>
      <c r="H97" s="43">
        <v>715</v>
      </c>
      <c r="I97" s="43">
        <v>410</v>
      </c>
      <c r="J97" s="43">
        <v>600</v>
      </c>
      <c r="K97" s="43">
        <v>410</v>
      </c>
      <c r="L97" s="43">
        <v>695</v>
      </c>
      <c r="M97" s="43">
        <v>527.5</v>
      </c>
      <c r="N97" s="43">
        <v>585</v>
      </c>
      <c r="O97" s="43">
        <v>463.5</v>
      </c>
      <c r="P97" s="43">
        <v>985</v>
      </c>
      <c r="Q97" s="43">
        <v>795</v>
      </c>
      <c r="R97" s="43">
        <v>625</v>
      </c>
      <c r="S97" s="43">
        <v>625</v>
      </c>
      <c r="T97" s="43">
        <v>420</v>
      </c>
      <c r="U97" s="43">
        <v>525</v>
      </c>
      <c r="V97" s="43">
        <v>580</v>
      </c>
      <c r="W97" s="43">
        <v>520</v>
      </c>
      <c r="X97" s="43">
        <v>287</v>
      </c>
      <c r="Y97" s="43">
        <v>420</v>
      </c>
      <c r="Z97" s="43">
        <v>320</v>
      </c>
      <c r="AA97" s="43">
        <v>550</v>
      </c>
      <c r="AB97" s="43">
        <v>435</v>
      </c>
      <c r="AC97" s="43">
        <v>376</v>
      </c>
      <c r="AD97" s="43">
        <v>260</v>
      </c>
      <c r="AE97" s="43">
        <v>619</v>
      </c>
      <c r="AF97" s="44">
        <v>12993</v>
      </c>
      <c r="AG97" s="44">
        <v>11061</v>
      </c>
      <c r="AH97" s="44">
        <v>13014</v>
      </c>
      <c r="AI97" s="44">
        <v>4985</v>
      </c>
      <c r="AJ97" s="44">
        <v>9490</v>
      </c>
      <c r="AK97" s="44">
        <v>11989</v>
      </c>
      <c r="AL97" s="44">
        <v>4099</v>
      </c>
      <c r="AM97" s="44">
        <v>1684</v>
      </c>
      <c r="AN97" s="44">
        <v>7190</v>
      </c>
      <c r="AO97" s="44">
        <v>2166</v>
      </c>
      <c r="AP97" s="44">
        <v>689</v>
      </c>
      <c r="AQ97" s="44">
        <v>1123</v>
      </c>
      <c r="AR97" s="44">
        <v>339</v>
      </c>
      <c r="AS97" s="44">
        <v>94</v>
      </c>
      <c r="AT97" s="44">
        <v>953</v>
      </c>
      <c r="AU97" s="44">
        <v>13540</v>
      </c>
      <c r="AV97" s="44">
        <v>2618</v>
      </c>
      <c r="AW97" s="44">
        <v>11971</v>
      </c>
      <c r="AX97" s="44">
        <v>959</v>
      </c>
      <c r="AY97" s="44">
        <v>5478</v>
      </c>
      <c r="AZ97" s="44">
        <v>5968</v>
      </c>
      <c r="BA97" s="44">
        <v>1979</v>
      </c>
      <c r="BB97" s="44">
        <v>219</v>
      </c>
      <c r="BC97" s="44">
        <v>3609</v>
      </c>
      <c r="BD97" s="44">
        <v>477</v>
      </c>
      <c r="BE97" s="44">
        <v>289</v>
      </c>
      <c r="BF97" s="44">
        <v>245</v>
      </c>
      <c r="BG97" s="44">
        <v>195</v>
      </c>
      <c r="BH97" s="44">
        <v>25</v>
      </c>
      <c r="BI97" s="44">
        <v>948</v>
      </c>
    </row>
    <row r="98" spans="1:61" x14ac:dyDescent="0.2">
      <c r="A98" s="42">
        <v>45261</v>
      </c>
      <c r="B98" s="43">
        <v>1420</v>
      </c>
      <c r="C98" s="43">
        <v>720</v>
      </c>
      <c r="D98" s="43">
        <v>865</v>
      </c>
      <c r="E98" s="43">
        <v>580</v>
      </c>
      <c r="F98" s="43">
        <v>830</v>
      </c>
      <c r="G98" s="43">
        <v>580</v>
      </c>
      <c r="H98" s="43">
        <v>750</v>
      </c>
      <c r="I98" s="43">
        <v>430</v>
      </c>
      <c r="J98" s="43">
        <v>660</v>
      </c>
      <c r="K98" s="43">
        <v>443</v>
      </c>
      <c r="L98" s="43">
        <v>715</v>
      </c>
      <c r="M98" s="43">
        <v>525</v>
      </c>
      <c r="N98" s="43">
        <v>589.5</v>
      </c>
      <c r="O98" s="43">
        <v>466.3</v>
      </c>
      <c r="P98" s="43">
        <v>1000</v>
      </c>
      <c r="Q98" s="43">
        <v>800</v>
      </c>
      <c r="R98" s="43">
        <v>630</v>
      </c>
      <c r="S98" s="43">
        <v>632.5</v>
      </c>
      <c r="T98" s="43">
        <v>510</v>
      </c>
      <c r="U98" s="43">
        <v>548</v>
      </c>
      <c r="V98" s="43">
        <v>591.5</v>
      </c>
      <c r="W98" s="43">
        <v>565.5</v>
      </c>
      <c r="X98" s="43">
        <v>268</v>
      </c>
      <c r="Y98" s="43">
        <v>445</v>
      </c>
      <c r="Z98" s="43">
        <v>339</v>
      </c>
      <c r="AA98" s="43">
        <v>540</v>
      </c>
      <c r="AB98" s="43">
        <v>435.5</v>
      </c>
      <c r="AC98" s="43">
        <v>375</v>
      </c>
      <c r="AD98" s="43">
        <v>277.5</v>
      </c>
      <c r="AE98" s="43">
        <v>625</v>
      </c>
      <c r="AF98" s="44">
        <v>12596</v>
      </c>
      <c r="AG98" s="44">
        <v>11871</v>
      </c>
      <c r="AH98" s="44">
        <v>14235</v>
      </c>
      <c r="AI98" s="44">
        <v>5358</v>
      </c>
      <c r="AJ98" s="44">
        <v>9413</v>
      </c>
      <c r="AK98" s="44">
        <v>11718</v>
      </c>
      <c r="AL98" s="44">
        <v>4463</v>
      </c>
      <c r="AM98" s="44">
        <v>1802</v>
      </c>
      <c r="AN98" s="44">
        <v>7523</v>
      </c>
      <c r="AO98" s="44">
        <v>2261</v>
      </c>
      <c r="AP98" s="44">
        <v>738</v>
      </c>
      <c r="AQ98" s="44">
        <v>1237</v>
      </c>
      <c r="AR98" s="44">
        <v>288</v>
      </c>
      <c r="AS98" s="44">
        <v>72</v>
      </c>
      <c r="AT98" s="44">
        <v>1011</v>
      </c>
      <c r="AU98" s="44">
        <v>12681</v>
      </c>
      <c r="AV98" s="44">
        <v>2832</v>
      </c>
      <c r="AW98" s="44">
        <v>13080</v>
      </c>
      <c r="AX98" s="44">
        <v>1248</v>
      </c>
      <c r="AY98" s="44">
        <v>5034</v>
      </c>
      <c r="AZ98" s="44">
        <v>5504</v>
      </c>
      <c r="BA98" s="44">
        <v>2040</v>
      </c>
      <c r="BB98" s="44">
        <v>253</v>
      </c>
      <c r="BC98" s="44">
        <v>3852</v>
      </c>
      <c r="BD98" s="44">
        <v>481</v>
      </c>
      <c r="BE98" s="44">
        <v>277</v>
      </c>
      <c r="BF98" s="44">
        <v>255</v>
      </c>
      <c r="BG98" s="44">
        <v>191</v>
      </c>
      <c r="BH98" s="44">
        <v>18</v>
      </c>
      <c r="BI98" s="44">
        <v>909</v>
      </c>
    </row>
    <row r="99" spans="1:61" x14ac:dyDescent="0.2">
      <c r="A99" s="42">
        <v>45352</v>
      </c>
      <c r="B99" s="43">
        <v>1401</v>
      </c>
      <c r="C99" s="43">
        <v>747</v>
      </c>
      <c r="D99" s="43">
        <v>845</v>
      </c>
      <c r="E99" s="43">
        <v>575</v>
      </c>
      <c r="F99" s="43">
        <v>850.3</v>
      </c>
      <c r="G99" s="43">
        <v>605</v>
      </c>
      <c r="H99" s="43">
        <v>765</v>
      </c>
      <c r="I99" s="43">
        <v>455</v>
      </c>
      <c r="J99" s="43">
        <v>700</v>
      </c>
      <c r="K99" s="43">
        <v>450</v>
      </c>
      <c r="L99" s="43">
        <v>705</v>
      </c>
      <c r="M99" s="43">
        <v>535</v>
      </c>
      <c r="N99" s="43">
        <v>570</v>
      </c>
      <c r="O99" s="43">
        <v>425</v>
      </c>
      <c r="P99" s="43">
        <v>985</v>
      </c>
      <c r="Q99" s="43">
        <v>790</v>
      </c>
      <c r="R99" s="43">
        <v>626.79999999999995</v>
      </c>
      <c r="S99" s="43">
        <v>629</v>
      </c>
      <c r="T99" s="43">
        <v>502</v>
      </c>
      <c r="U99" s="43">
        <v>580</v>
      </c>
      <c r="V99" s="43">
        <v>625</v>
      </c>
      <c r="W99" s="43">
        <v>570</v>
      </c>
      <c r="X99" s="43">
        <v>270</v>
      </c>
      <c r="Y99" s="43">
        <v>475</v>
      </c>
      <c r="Z99" s="43">
        <v>365</v>
      </c>
      <c r="AA99" s="43">
        <v>551</v>
      </c>
      <c r="AB99" s="43">
        <v>450</v>
      </c>
      <c r="AC99" s="43">
        <v>390</v>
      </c>
      <c r="AD99" s="43">
        <v>350</v>
      </c>
      <c r="AE99" s="43">
        <v>597</v>
      </c>
      <c r="AF99" s="44">
        <v>11689</v>
      </c>
      <c r="AG99" s="44">
        <v>10887</v>
      </c>
      <c r="AH99" s="44">
        <v>13514</v>
      </c>
      <c r="AI99" s="44">
        <v>5509</v>
      </c>
      <c r="AJ99" s="44">
        <v>9068</v>
      </c>
      <c r="AK99" s="44">
        <v>11696</v>
      </c>
      <c r="AL99" s="44">
        <v>4086</v>
      </c>
      <c r="AM99" s="44">
        <v>1812</v>
      </c>
      <c r="AN99" s="44">
        <v>6998</v>
      </c>
      <c r="AO99" s="44">
        <v>2209</v>
      </c>
      <c r="AP99" s="44">
        <v>759</v>
      </c>
      <c r="AQ99" s="44">
        <v>1409</v>
      </c>
      <c r="AR99" s="44">
        <v>300</v>
      </c>
      <c r="AS99" s="44">
        <v>71</v>
      </c>
      <c r="AT99" s="44">
        <v>908</v>
      </c>
      <c r="AU99" s="44">
        <v>12554</v>
      </c>
      <c r="AV99" s="44">
        <v>2798</v>
      </c>
      <c r="AW99" s="44">
        <v>12729</v>
      </c>
      <c r="AX99" s="44">
        <v>1433</v>
      </c>
      <c r="AY99" s="44">
        <v>5133</v>
      </c>
      <c r="AZ99" s="44">
        <v>5700</v>
      </c>
      <c r="BA99" s="44">
        <v>1955</v>
      </c>
      <c r="BB99" s="44">
        <v>271</v>
      </c>
      <c r="BC99" s="44">
        <v>3913</v>
      </c>
      <c r="BD99" s="44">
        <v>528</v>
      </c>
      <c r="BE99" s="44">
        <v>295</v>
      </c>
      <c r="BF99" s="44">
        <v>277</v>
      </c>
      <c r="BG99" s="44">
        <v>174</v>
      </c>
      <c r="BH99" s="44">
        <v>27</v>
      </c>
      <c r="BI99" s="44">
        <v>958</v>
      </c>
    </row>
    <row r="100" spans="1:61" x14ac:dyDescent="0.2">
      <c r="A100" s="42">
        <v>45444</v>
      </c>
      <c r="B100" s="43">
        <v>1455</v>
      </c>
      <c r="C100" s="43">
        <v>750</v>
      </c>
      <c r="D100" s="43">
        <v>845</v>
      </c>
      <c r="E100" s="43">
        <v>570</v>
      </c>
      <c r="F100" s="43">
        <v>890</v>
      </c>
      <c r="G100" s="43">
        <v>630</v>
      </c>
      <c r="H100" s="43">
        <v>785</v>
      </c>
      <c r="I100" s="43">
        <v>450</v>
      </c>
      <c r="J100" s="43">
        <v>756</v>
      </c>
      <c r="K100" s="43">
        <v>470</v>
      </c>
      <c r="L100" s="43">
        <v>695.5</v>
      </c>
      <c r="M100" s="43">
        <v>537</v>
      </c>
      <c r="N100" s="43">
        <v>582.5</v>
      </c>
      <c r="O100" s="43">
        <v>438.8</v>
      </c>
      <c r="P100" s="43">
        <v>990</v>
      </c>
      <c r="Q100" s="43">
        <v>800</v>
      </c>
      <c r="R100" s="43">
        <v>645</v>
      </c>
      <c r="S100" s="43">
        <v>630</v>
      </c>
      <c r="T100" s="43">
        <v>440</v>
      </c>
      <c r="U100" s="43">
        <v>610</v>
      </c>
      <c r="V100" s="43">
        <v>640</v>
      </c>
      <c r="W100" s="43">
        <v>630</v>
      </c>
      <c r="X100" s="43">
        <v>265</v>
      </c>
      <c r="Y100" s="43">
        <v>510</v>
      </c>
      <c r="Z100" s="43">
        <v>380</v>
      </c>
      <c r="AA100" s="43">
        <v>555</v>
      </c>
      <c r="AB100" s="43">
        <v>445</v>
      </c>
      <c r="AC100" s="43">
        <v>356</v>
      </c>
      <c r="AD100" s="43">
        <v>323</v>
      </c>
      <c r="AE100" s="43">
        <v>630</v>
      </c>
      <c r="AF100" s="44">
        <v>13509</v>
      </c>
      <c r="AG100" s="44">
        <v>12245</v>
      </c>
      <c r="AH100" s="44">
        <v>15542</v>
      </c>
      <c r="AI100" s="44">
        <v>6018</v>
      </c>
      <c r="AJ100" s="44">
        <v>9605</v>
      </c>
      <c r="AK100" s="44">
        <v>11947</v>
      </c>
      <c r="AL100" s="44">
        <v>4519</v>
      </c>
      <c r="AM100" s="44">
        <v>1728</v>
      </c>
      <c r="AN100" s="44">
        <v>6844</v>
      </c>
      <c r="AO100" s="44">
        <v>2158</v>
      </c>
      <c r="AP100" s="44">
        <v>755</v>
      </c>
      <c r="AQ100" s="44">
        <v>1334</v>
      </c>
      <c r="AR100" s="44">
        <v>322</v>
      </c>
      <c r="AS100" s="44">
        <v>76</v>
      </c>
      <c r="AT100" s="44">
        <v>1058</v>
      </c>
      <c r="AU100" s="44">
        <v>14241</v>
      </c>
      <c r="AV100" s="44">
        <v>2833</v>
      </c>
      <c r="AW100" s="44">
        <v>14367</v>
      </c>
      <c r="AX100" s="44">
        <v>1135</v>
      </c>
      <c r="AY100" s="44">
        <v>5082</v>
      </c>
      <c r="AZ100" s="44">
        <v>5520</v>
      </c>
      <c r="BA100" s="44">
        <v>2128</v>
      </c>
      <c r="BB100" s="44">
        <v>250</v>
      </c>
      <c r="BC100" s="44">
        <v>3683</v>
      </c>
      <c r="BD100" s="44">
        <v>575</v>
      </c>
      <c r="BE100" s="44">
        <v>291</v>
      </c>
      <c r="BF100" s="44">
        <v>287</v>
      </c>
      <c r="BG100" s="44">
        <v>213</v>
      </c>
      <c r="BH100" s="44">
        <v>38</v>
      </c>
      <c r="BI100" s="44">
        <v>1041</v>
      </c>
    </row>
    <row r="101" spans="1:61" x14ac:dyDescent="0.2">
      <c r="A101" s="42">
        <v>45536</v>
      </c>
      <c r="B101" s="43">
        <v>1410</v>
      </c>
      <c r="C101" s="43">
        <v>745</v>
      </c>
      <c r="D101" s="43">
        <v>825</v>
      </c>
      <c r="E101" s="43">
        <v>560</v>
      </c>
      <c r="F101" s="43">
        <v>890</v>
      </c>
      <c r="G101" s="43">
        <v>649</v>
      </c>
      <c r="H101" s="43">
        <v>818.3</v>
      </c>
      <c r="I101" s="43">
        <v>465</v>
      </c>
      <c r="J101" s="43">
        <v>780</v>
      </c>
      <c r="K101" s="43">
        <v>495</v>
      </c>
      <c r="L101" s="43">
        <v>700</v>
      </c>
      <c r="M101" s="43">
        <v>515.1</v>
      </c>
      <c r="N101" s="43">
        <v>558.79999999999995</v>
      </c>
      <c r="O101" s="43">
        <v>422.7</v>
      </c>
      <c r="P101" s="43">
        <v>1000</v>
      </c>
      <c r="Q101" s="43">
        <v>815</v>
      </c>
      <c r="R101" s="43">
        <v>640</v>
      </c>
      <c r="S101" s="43">
        <v>618</v>
      </c>
      <c r="T101" s="43">
        <v>420</v>
      </c>
      <c r="U101" s="43">
        <v>631</v>
      </c>
      <c r="V101" s="43">
        <v>660</v>
      </c>
      <c r="W101" s="43">
        <v>610</v>
      </c>
      <c r="X101" s="43">
        <v>249.5</v>
      </c>
      <c r="Y101" s="43">
        <v>540</v>
      </c>
      <c r="Z101" s="43">
        <v>380</v>
      </c>
      <c r="AA101" s="43">
        <v>525</v>
      </c>
      <c r="AB101" s="43">
        <v>450</v>
      </c>
      <c r="AC101" s="43">
        <v>350</v>
      </c>
      <c r="AD101" s="43">
        <v>280</v>
      </c>
      <c r="AE101" s="43">
        <v>595</v>
      </c>
      <c r="AF101" s="44">
        <v>13499</v>
      </c>
      <c r="AG101" s="44">
        <v>12203</v>
      </c>
      <c r="AH101" s="44">
        <v>14718</v>
      </c>
      <c r="AI101" s="44">
        <v>5736</v>
      </c>
      <c r="AJ101" s="44">
        <v>10370</v>
      </c>
      <c r="AK101" s="44">
        <v>13134</v>
      </c>
      <c r="AL101" s="44">
        <v>4460</v>
      </c>
      <c r="AM101" s="44">
        <v>1837</v>
      </c>
      <c r="AN101" s="44">
        <v>6961</v>
      </c>
      <c r="AO101" s="44">
        <v>2338</v>
      </c>
      <c r="AP101" s="44">
        <v>778</v>
      </c>
      <c r="AQ101" s="44">
        <v>1241</v>
      </c>
      <c r="AR101" s="44">
        <v>420</v>
      </c>
      <c r="AS101" s="44">
        <v>82</v>
      </c>
      <c r="AT101" s="44">
        <v>993</v>
      </c>
      <c r="AU101" s="44">
        <v>14071</v>
      </c>
      <c r="AV101" s="44">
        <v>3072</v>
      </c>
      <c r="AW101" s="44">
        <v>13741</v>
      </c>
      <c r="AX101" s="44">
        <v>1194</v>
      </c>
      <c r="AY101" s="44">
        <v>5745</v>
      </c>
      <c r="AZ101" s="44">
        <v>6205</v>
      </c>
      <c r="BA101" s="44">
        <v>2238</v>
      </c>
      <c r="BB101" s="44">
        <v>296</v>
      </c>
      <c r="BC101" s="44">
        <v>3829</v>
      </c>
      <c r="BD101" s="44">
        <v>510</v>
      </c>
      <c r="BE101" s="44">
        <v>298</v>
      </c>
      <c r="BF101" s="44">
        <v>285</v>
      </c>
      <c r="BG101" s="44">
        <v>237</v>
      </c>
      <c r="BH101" s="44">
        <v>27</v>
      </c>
      <c r="BI101" s="44">
        <v>1014</v>
      </c>
    </row>
    <row r="102" spans="1:61" x14ac:dyDescent="0.2">
      <c r="A102" s="42">
        <v>45627</v>
      </c>
      <c r="B102" s="43">
        <v>1450</v>
      </c>
      <c r="C102" s="43">
        <v>760</v>
      </c>
      <c r="D102" s="43">
        <v>850</v>
      </c>
      <c r="E102" s="43">
        <v>560</v>
      </c>
      <c r="F102" s="43">
        <v>935</v>
      </c>
      <c r="G102" s="43">
        <v>675</v>
      </c>
      <c r="H102" s="43">
        <v>850</v>
      </c>
      <c r="I102" s="43">
        <v>500</v>
      </c>
      <c r="J102" s="43">
        <v>820</v>
      </c>
      <c r="K102" s="43">
        <v>520</v>
      </c>
      <c r="L102" s="43">
        <v>715</v>
      </c>
      <c r="M102" s="43">
        <v>550</v>
      </c>
      <c r="N102" s="43">
        <v>560</v>
      </c>
      <c r="O102" s="43">
        <v>462.5</v>
      </c>
      <c r="P102" s="43">
        <v>1000</v>
      </c>
      <c r="Q102" s="43">
        <v>820</v>
      </c>
      <c r="R102" s="43">
        <v>650</v>
      </c>
      <c r="S102" s="43">
        <v>625</v>
      </c>
      <c r="T102" s="43">
        <v>415</v>
      </c>
      <c r="U102" s="43">
        <v>655</v>
      </c>
      <c r="V102" s="43">
        <v>670</v>
      </c>
      <c r="W102" s="43">
        <v>640</v>
      </c>
      <c r="X102" s="43">
        <v>320</v>
      </c>
      <c r="Y102" s="43">
        <v>557.5</v>
      </c>
      <c r="Z102" s="43">
        <v>400</v>
      </c>
      <c r="AA102" s="43">
        <v>539.5</v>
      </c>
      <c r="AB102" s="43">
        <v>462.5</v>
      </c>
      <c r="AC102" s="43">
        <v>341</v>
      </c>
      <c r="AD102" s="43">
        <v>261.5</v>
      </c>
      <c r="AE102" s="43">
        <v>610</v>
      </c>
      <c r="AF102" s="44">
        <v>13345</v>
      </c>
      <c r="AG102" s="44">
        <v>12819</v>
      </c>
      <c r="AH102" s="44">
        <v>16886</v>
      </c>
      <c r="AI102" s="44">
        <v>6726</v>
      </c>
      <c r="AJ102" s="44">
        <v>9571</v>
      </c>
      <c r="AK102" s="44">
        <v>12365</v>
      </c>
      <c r="AL102" s="44">
        <v>4548</v>
      </c>
      <c r="AM102" s="44">
        <v>1745</v>
      </c>
      <c r="AN102" s="44">
        <v>6894</v>
      </c>
      <c r="AO102" s="44">
        <v>2169</v>
      </c>
      <c r="AP102" s="44">
        <v>800</v>
      </c>
      <c r="AQ102" s="44">
        <v>1296</v>
      </c>
      <c r="AR102" s="44">
        <v>533</v>
      </c>
      <c r="AS102" s="44">
        <v>112</v>
      </c>
      <c r="AT102" s="44">
        <v>1150</v>
      </c>
      <c r="AU102" s="44">
        <v>12148</v>
      </c>
      <c r="AV102" s="44">
        <v>2913</v>
      </c>
      <c r="AW102" s="44">
        <v>14097</v>
      </c>
      <c r="AX102" s="44">
        <v>1263</v>
      </c>
      <c r="AY102" s="44">
        <v>4795</v>
      </c>
      <c r="AZ102" s="44">
        <v>5623</v>
      </c>
      <c r="BA102" s="44">
        <v>2153</v>
      </c>
      <c r="BB102" s="44">
        <v>271</v>
      </c>
      <c r="BC102" s="44">
        <v>3600</v>
      </c>
      <c r="BD102" s="44">
        <v>495</v>
      </c>
      <c r="BE102" s="44">
        <v>314</v>
      </c>
      <c r="BF102" s="44">
        <v>300</v>
      </c>
      <c r="BG102" s="44">
        <v>232</v>
      </c>
      <c r="BH102" s="44">
        <v>29</v>
      </c>
      <c r="BI102" s="44">
        <v>1043</v>
      </c>
    </row>
    <row r="103" spans="1:61" x14ac:dyDescent="0.2">
      <c r="A103" s="42">
        <v>45717</v>
      </c>
      <c r="B103" s="43">
        <v>1450</v>
      </c>
      <c r="C103" s="43">
        <v>760</v>
      </c>
      <c r="D103" s="43">
        <v>840</v>
      </c>
      <c r="E103" s="43">
        <v>575</v>
      </c>
      <c r="F103" s="43">
        <v>947.5</v>
      </c>
      <c r="G103" s="43">
        <v>710</v>
      </c>
      <c r="H103" s="43">
        <v>853</v>
      </c>
      <c r="I103" s="43">
        <v>490</v>
      </c>
      <c r="J103" s="43">
        <v>821.5</v>
      </c>
      <c r="K103" s="43">
        <v>540</v>
      </c>
      <c r="L103" s="43">
        <v>710.5</v>
      </c>
      <c r="M103" s="43">
        <v>550</v>
      </c>
      <c r="N103" s="43">
        <v>600</v>
      </c>
      <c r="O103" s="43">
        <v>430</v>
      </c>
      <c r="P103" s="43">
        <v>975</v>
      </c>
      <c r="Q103" s="43">
        <v>820</v>
      </c>
      <c r="R103" s="43">
        <v>650</v>
      </c>
      <c r="S103" s="43">
        <v>625</v>
      </c>
      <c r="T103" s="43">
        <v>430</v>
      </c>
      <c r="U103" s="43">
        <v>685</v>
      </c>
      <c r="V103" s="43">
        <v>700</v>
      </c>
      <c r="W103" s="43">
        <v>640</v>
      </c>
      <c r="X103" s="43">
        <v>297</v>
      </c>
      <c r="Y103" s="43">
        <v>575</v>
      </c>
      <c r="Z103" s="43">
        <v>420</v>
      </c>
      <c r="AA103" s="43">
        <v>550</v>
      </c>
      <c r="AB103" s="43">
        <v>442</v>
      </c>
      <c r="AC103" s="43">
        <v>360</v>
      </c>
      <c r="AD103" s="43">
        <v>263</v>
      </c>
      <c r="AE103" s="43">
        <v>600</v>
      </c>
      <c r="AF103" s="44">
        <v>11589</v>
      </c>
      <c r="AG103" s="44">
        <v>12098</v>
      </c>
      <c r="AH103" s="44">
        <v>14613</v>
      </c>
      <c r="AI103" s="44">
        <v>6784</v>
      </c>
      <c r="AJ103" s="44">
        <v>8377</v>
      </c>
      <c r="AK103" s="44">
        <v>11497</v>
      </c>
      <c r="AL103" s="44">
        <v>4309</v>
      </c>
      <c r="AM103" s="44">
        <v>1742</v>
      </c>
      <c r="AN103" s="44">
        <v>6764</v>
      </c>
      <c r="AO103" s="44">
        <v>2114</v>
      </c>
      <c r="AP103" s="44">
        <v>875</v>
      </c>
      <c r="AQ103" s="44">
        <v>1493</v>
      </c>
      <c r="AR103" s="44">
        <v>471</v>
      </c>
      <c r="AS103" s="44">
        <v>87</v>
      </c>
      <c r="AT103" s="44">
        <v>1022</v>
      </c>
      <c r="AU103" s="44">
        <v>11423</v>
      </c>
      <c r="AV103" s="44">
        <v>3035</v>
      </c>
      <c r="AW103" s="44">
        <v>12740</v>
      </c>
      <c r="AX103" s="44">
        <v>1365</v>
      </c>
      <c r="AY103" s="44">
        <v>4545</v>
      </c>
      <c r="AZ103" s="44">
        <v>5518</v>
      </c>
      <c r="BA103" s="44">
        <v>1991</v>
      </c>
      <c r="BB103" s="44">
        <v>237</v>
      </c>
      <c r="BC103" s="44">
        <v>3444</v>
      </c>
      <c r="BD103" s="44">
        <v>440</v>
      </c>
      <c r="BE103" s="44">
        <v>354</v>
      </c>
      <c r="BF103" s="44">
        <v>274</v>
      </c>
      <c r="BG103" s="44">
        <v>238</v>
      </c>
      <c r="BH103" s="44">
        <v>29</v>
      </c>
      <c r="BI103" s="44">
        <v>1046</v>
      </c>
    </row>
    <row r="104" spans="1:61" x14ac:dyDescent="0.2">
      <c r="A104" s="42">
        <v>45809</v>
      </c>
      <c r="B104" s="43">
        <v>1520</v>
      </c>
      <c r="C104" s="43">
        <v>770</v>
      </c>
      <c r="D104" s="43">
        <v>845</v>
      </c>
      <c r="E104" s="43">
        <v>575</v>
      </c>
      <c r="F104" s="43">
        <v>970</v>
      </c>
      <c r="G104" s="43">
        <v>725</v>
      </c>
      <c r="H104" s="43">
        <v>868</v>
      </c>
      <c r="I104" s="43">
        <v>510</v>
      </c>
      <c r="J104" s="43">
        <v>850</v>
      </c>
      <c r="K104" s="43">
        <v>550</v>
      </c>
      <c r="L104" s="43">
        <v>707.5</v>
      </c>
      <c r="M104" s="43">
        <v>550</v>
      </c>
      <c r="N104" s="43">
        <v>624</v>
      </c>
      <c r="O104" s="43">
        <v>443.5</v>
      </c>
      <c r="P104" s="43">
        <v>1000</v>
      </c>
      <c r="Q104" s="43">
        <v>835</v>
      </c>
      <c r="R104" s="43">
        <v>665</v>
      </c>
      <c r="S104" s="43">
        <v>625</v>
      </c>
      <c r="T104" s="43">
        <v>435</v>
      </c>
      <c r="U104" s="43">
        <v>706</v>
      </c>
      <c r="V104" s="43">
        <v>720</v>
      </c>
      <c r="W104" s="43">
        <v>663</v>
      </c>
      <c r="X104" s="43">
        <v>330</v>
      </c>
      <c r="Y104" s="43">
        <v>600</v>
      </c>
      <c r="Z104" s="43">
        <v>410</v>
      </c>
      <c r="AA104" s="43">
        <v>555.29999999999995</v>
      </c>
      <c r="AB104" s="43">
        <v>450</v>
      </c>
      <c r="AC104" s="43">
        <v>389</v>
      </c>
      <c r="AD104" s="43">
        <v>300</v>
      </c>
      <c r="AE104" s="43">
        <v>600</v>
      </c>
      <c r="AF104" s="44">
        <v>13762</v>
      </c>
      <c r="AG104" s="44">
        <v>13082</v>
      </c>
      <c r="AH104" s="44">
        <v>17640</v>
      </c>
      <c r="AI104" s="44">
        <v>7450</v>
      </c>
      <c r="AJ104" s="44">
        <v>9518</v>
      </c>
      <c r="AK104" s="44">
        <v>11745</v>
      </c>
      <c r="AL104" s="44">
        <v>4920</v>
      </c>
      <c r="AM104" s="44">
        <v>1755</v>
      </c>
      <c r="AN104" s="44">
        <v>7402</v>
      </c>
      <c r="AO104" s="44">
        <v>2232</v>
      </c>
      <c r="AP104" s="44">
        <v>931</v>
      </c>
      <c r="AQ104" s="44">
        <v>1564</v>
      </c>
      <c r="AR104" s="44">
        <v>580</v>
      </c>
      <c r="AS104" s="44">
        <v>109</v>
      </c>
      <c r="AT104" s="44">
        <v>1135</v>
      </c>
      <c r="AU104" s="44">
        <v>13329</v>
      </c>
      <c r="AV104" s="44">
        <v>3125</v>
      </c>
      <c r="AW104" s="44">
        <v>14939</v>
      </c>
      <c r="AX104" s="44">
        <v>1387</v>
      </c>
      <c r="AY104" s="44">
        <v>4948</v>
      </c>
      <c r="AZ104" s="44">
        <v>5915</v>
      </c>
      <c r="BA104" s="44">
        <v>2318</v>
      </c>
      <c r="BB104" s="44">
        <v>226</v>
      </c>
      <c r="BC104" s="44">
        <v>3253</v>
      </c>
      <c r="BD104" s="44">
        <v>452</v>
      </c>
      <c r="BE104" s="44">
        <v>330</v>
      </c>
      <c r="BF104" s="44">
        <v>295</v>
      </c>
      <c r="BG104" s="44">
        <v>343</v>
      </c>
      <c r="BH104" s="44">
        <v>33</v>
      </c>
      <c r="BI104" s="44">
        <v>1191</v>
      </c>
    </row>
    <row r="105" spans="1:61" x14ac:dyDescent="0.2">
      <c r="A105" s="42">
        <v>45901</v>
      </c>
      <c r="B105" s="43">
        <v>1511</v>
      </c>
      <c r="C105" s="43">
        <v>780</v>
      </c>
      <c r="D105" s="43">
        <v>846.8</v>
      </c>
      <c r="E105" s="43">
        <v>590</v>
      </c>
      <c r="F105" s="43">
        <v>1020</v>
      </c>
      <c r="G105" s="43">
        <v>765</v>
      </c>
      <c r="H105" s="43">
        <v>900</v>
      </c>
      <c r="I105" s="43">
        <v>535</v>
      </c>
      <c r="J105" s="43">
        <v>871</v>
      </c>
      <c r="K105" s="43">
        <v>577.5</v>
      </c>
      <c r="L105" s="43">
        <v>715</v>
      </c>
      <c r="M105" s="43">
        <v>575</v>
      </c>
      <c r="N105" s="43">
        <v>670</v>
      </c>
      <c r="O105" s="43">
        <v>433</v>
      </c>
      <c r="P105" s="43">
        <v>1027</v>
      </c>
      <c r="Q105" s="43">
        <v>840</v>
      </c>
      <c r="R105" s="43">
        <v>675</v>
      </c>
      <c r="S105" s="43">
        <v>630</v>
      </c>
      <c r="T105" s="43">
        <v>440</v>
      </c>
      <c r="U105" s="43">
        <v>740</v>
      </c>
      <c r="V105" s="43">
        <v>740</v>
      </c>
      <c r="W105" s="43">
        <v>685.8</v>
      </c>
      <c r="X105" s="43">
        <v>365</v>
      </c>
      <c r="Y105" s="43">
        <v>625.9</v>
      </c>
      <c r="Z105" s="43">
        <v>430</v>
      </c>
      <c r="AA105" s="43">
        <v>582.5</v>
      </c>
      <c r="AB105" s="43">
        <v>455</v>
      </c>
      <c r="AC105" s="43">
        <v>405</v>
      </c>
      <c r="AD105" s="43">
        <v>310</v>
      </c>
      <c r="AE105" s="43">
        <v>612</v>
      </c>
      <c r="AF105" s="44">
        <v>14929</v>
      </c>
      <c r="AG105" s="44">
        <v>13953</v>
      </c>
      <c r="AH105" s="44">
        <v>17798</v>
      </c>
      <c r="AI105" s="44">
        <v>7875</v>
      </c>
      <c r="AJ105" s="44">
        <v>10508</v>
      </c>
      <c r="AK105" s="44">
        <v>12555</v>
      </c>
      <c r="AL105" s="44">
        <v>4871</v>
      </c>
      <c r="AM105" s="44">
        <v>1811</v>
      </c>
      <c r="AN105" s="44">
        <v>6746</v>
      </c>
      <c r="AO105" s="44">
        <v>2236</v>
      </c>
      <c r="AP105" s="44">
        <v>803</v>
      </c>
      <c r="AQ105" s="44">
        <v>1387</v>
      </c>
      <c r="AR105" s="44">
        <v>595</v>
      </c>
      <c r="AS105" s="44">
        <v>124</v>
      </c>
      <c r="AT105" s="44">
        <v>1111</v>
      </c>
      <c r="AU105" s="44">
        <v>14498</v>
      </c>
      <c r="AV105" s="44">
        <v>3493</v>
      </c>
      <c r="AW105" s="44">
        <v>15128</v>
      </c>
      <c r="AX105" s="44">
        <v>1621</v>
      </c>
      <c r="AY105" s="44">
        <v>5299</v>
      </c>
      <c r="AZ105" s="44">
        <v>6134</v>
      </c>
      <c r="BA105" s="44">
        <v>2636</v>
      </c>
      <c r="BB105" s="44">
        <v>272</v>
      </c>
      <c r="BC105" s="44">
        <v>3406</v>
      </c>
      <c r="BD105" s="44">
        <v>538</v>
      </c>
      <c r="BE105" s="44">
        <v>313</v>
      </c>
      <c r="BF105" s="44">
        <v>324</v>
      </c>
      <c r="BG105" s="44">
        <v>397</v>
      </c>
      <c r="BH105" s="44">
        <v>55</v>
      </c>
      <c r="BI105" s="44">
        <v>1154</v>
      </c>
    </row>
    <row r="106" spans="1:61" x14ac:dyDescent="0.2">
      <c r="A106" s="42">
        <v>45992</v>
      </c>
      <c r="B106" s="43">
        <v>1515</v>
      </c>
      <c r="C106" s="43">
        <v>800</v>
      </c>
      <c r="D106" s="43">
        <v>875</v>
      </c>
      <c r="E106" s="43">
        <v>610</v>
      </c>
      <c r="F106" s="43">
        <v>1100</v>
      </c>
      <c r="G106" s="43">
        <v>799.4</v>
      </c>
      <c r="H106" s="43">
        <v>950</v>
      </c>
      <c r="I106" s="43">
        <v>575</v>
      </c>
      <c r="J106" s="43">
        <v>951</v>
      </c>
      <c r="K106" s="43">
        <v>622</v>
      </c>
      <c r="L106" s="43">
        <v>749.5</v>
      </c>
      <c r="M106" s="43">
        <v>609</v>
      </c>
      <c r="N106" s="43">
        <v>711</v>
      </c>
      <c r="O106" s="43">
        <v>460</v>
      </c>
      <c r="P106" s="43">
        <v>1042.5</v>
      </c>
      <c r="Q106" s="43">
        <v>850</v>
      </c>
      <c r="R106" s="43">
        <v>700</v>
      </c>
      <c r="S106" s="43">
        <v>660</v>
      </c>
      <c r="T106" s="43">
        <v>465</v>
      </c>
      <c r="U106" s="43">
        <v>793</v>
      </c>
      <c r="V106" s="43">
        <v>786</v>
      </c>
      <c r="W106" s="43">
        <v>730</v>
      </c>
      <c r="X106" s="43">
        <v>410</v>
      </c>
      <c r="Y106" s="43">
        <v>700</v>
      </c>
      <c r="Z106" s="43">
        <v>450</v>
      </c>
      <c r="AA106" s="43">
        <v>586</v>
      </c>
      <c r="AB106" s="43">
        <v>493.5</v>
      </c>
      <c r="AC106" s="43">
        <v>433.2</v>
      </c>
      <c r="AD106" s="43">
        <v>315</v>
      </c>
      <c r="AE106" s="43">
        <v>620</v>
      </c>
      <c r="AF106" s="44">
        <v>12879</v>
      </c>
      <c r="AG106" s="44">
        <v>13851</v>
      </c>
      <c r="AH106" s="44">
        <v>15965</v>
      </c>
      <c r="AI106" s="44">
        <v>7336</v>
      </c>
      <c r="AJ106" s="44">
        <v>8493</v>
      </c>
      <c r="AK106" s="44">
        <v>10192</v>
      </c>
      <c r="AL106" s="44">
        <v>4808</v>
      </c>
      <c r="AM106" s="44">
        <v>1789</v>
      </c>
      <c r="AN106" s="44">
        <v>6193</v>
      </c>
      <c r="AO106" s="44">
        <v>1931</v>
      </c>
      <c r="AP106" s="44">
        <v>488</v>
      </c>
      <c r="AQ106" s="44">
        <v>806</v>
      </c>
      <c r="AR106" s="44">
        <v>408</v>
      </c>
      <c r="AS106" s="44">
        <v>105</v>
      </c>
      <c r="AT106" s="44">
        <v>1090</v>
      </c>
      <c r="AU106" s="44">
        <v>12725</v>
      </c>
      <c r="AV106" s="44">
        <v>3501</v>
      </c>
      <c r="AW106" s="44">
        <v>14962</v>
      </c>
      <c r="AX106" s="44">
        <v>1469</v>
      </c>
      <c r="AY106" s="44">
        <v>4273</v>
      </c>
      <c r="AZ106" s="44">
        <v>5033</v>
      </c>
      <c r="BA106" s="44">
        <v>2096</v>
      </c>
      <c r="BB106" s="44">
        <v>279</v>
      </c>
      <c r="BC106" s="44">
        <v>2960</v>
      </c>
      <c r="BD106" s="44">
        <v>498</v>
      </c>
      <c r="BE106" s="44">
        <v>209</v>
      </c>
      <c r="BF106" s="44">
        <v>188</v>
      </c>
      <c r="BG106" s="44">
        <v>289</v>
      </c>
      <c r="BH106" s="44">
        <v>39</v>
      </c>
      <c r="BI106" s="44">
        <v>1225</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D102"/>
  <sheetViews>
    <sheetView zoomScaleNormal="100" workbookViewId="0">
      <selection activeCell="D3" sqref="D3"/>
    </sheetView>
  </sheetViews>
  <sheetFormatPr defaultRowHeight="15" x14ac:dyDescent="0.25"/>
  <cols>
    <col min="1" max="1" width="24.28515625" bestFit="1" customWidth="1"/>
    <col min="2" max="2" width="20" bestFit="1" customWidth="1"/>
  </cols>
  <sheetData>
    <row r="1" spans="1:4" x14ac:dyDescent="0.25">
      <c r="A1" t="s">
        <v>23</v>
      </c>
      <c r="B1" s="1" t="s">
        <v>1</v>
      </c>
      <c r="C1" t="s">
        <v>654</v>
      </c>
      <c r="D1" t="s">
        <v>662</v>
      </c>
    </row>
    <row r="2" spans="1:4" x14ac:dyDescent="0.25">
      <c r="A2" t="s">
        <v>11</v>
      </c>
      <c r="B2" s="2">
        <v>37316</v>
      </c>
      <c r="C2" cm="1">
        <f t="array" ref="C2:C97">_xlfn.XLOOKUP("Median Price of Established House*Hobart*",'ABS-total-value-dwellings'!1:1,'ABS-total-value-dwellings'!11:106,"na",2)</f>
        <v>123.3</v>
      </c>
      <c r="D2" cm="1">
        <f t="array" ref="D2:D97">_xlfn.XLOOKUP("Median Price of Established House*Rest of TAS*",'ABS-total-value-dwellings'!1:1,'ABS-total-value-dwellings'!11:106,"na",2)</f>
        <v>0</v>
      </c>
    </row>
    <row r="3" spans="1:4" x14ac:dyDescent="0.25">
      <c r="A3" t="s">
        <v>13</v>
      </c>
      <c r="B3" s="2">
        <v>37408</v>
      </c>
      <c r="C3">
        <v>117</v>
      </c>
      <c r="D3">
        <v>0</v>
      </c>
    </row>
    <row r="4" spans="1:4" x14ac:dyDescent="0.25">
      <c r="B4" s="2">
        <v>37500</v>
      </c>
      <c r="C4">
        <v>124</v>
      </c>
      <c r="D4">
        <v>0</v>
      </c>
    </row>
    <row r="5" spans="1:4" x14ac:dyDescent="0.25">
      <c r="B5" s="2">
        <v>37591</v>
      </c>
      <c r="C5">
        <v>128</v>
      </c>
      <c r="D5">
        <v>0</v>
      </c>
    </row>
    <row r="6" spans="1:4" x14ac:dyDescent="0.25">
      <c r="B6" s="2">
        <v>37681</v>
      </c>
      <c r="C6">
        <v>145</v>
      </c>
      <c r="D6">
        <v>0</v>
      </c>
    </row>
    <row r="7" spans="1:4" x14ac:dyDescent="0.25">
      <c r="B7" s="2">
        <v>37773</v>
      </c>
      <c r="C7">
        <v>149</v>
      </c>
      <c r="D7">
        <v>0</v>
      </c>
    </row>
    <row r="8" spans="1:4" x14ac:dyDescent="0.25">
      <c r="B8" s="2">
        <v>37865</v>
      </c>
      <c r="C8">
        <v>165</v>
      </c>
      <c r="D8">
        <v>125</v>
      </c>
    </row>
    <row r="9" spans="1:4" x14ac:dyDescent="0.25">
      <c r="B9" s="2">
        <v>37956</v>
      </c>
      <c r="C9">
        <v>182.3</v>
      </c>
      <c r="D9">
        <v>139.30000000000001</v>
      </c>
    </row>
    <row r="10" spans="1:4" x14ac:dyDescent="0.25">
      <c r="B10" s="2">
        <v>38047</v>
      </c>
      <c r="C10">
        <v>200</v>
      </c>
      <c r="D10">
        <v>156</v>
      </c>
    </row>
    <row r="11" spans="1:4" x14ac:dyDescent="0.25">
      <c r="B11" s="2">
        <v>38139</v>
      </c>
      <c r="C11">
        <v>225</v>
      </c>
      <c r="D11">
        <v>156</v>
      </c>
    </row>
    <row r="12" spans="1:4" x14ac:dyDescent="0.25">
      <c r="B12" s="2">
        <v>38231</v>
      </c>
      <c r="C12">
        <v>230</v>
      </c>
      <c r="D12">
        <v>160</v>
      </c>
    </row>
    <row r="13" spans="1:4" x14ac:dyDescent="0.25">
      <c r="B13" s="2">
        <v>38322</v>
      </c>
      <c r="C13">
        <v>237.3</v>
      </c>
      <c r="D13">
        <v>166.5</v>
      </c>
    </row>
    <row r="14" spans="1:4" x14ac:dyDescent="0.25">
      <c r="B14" s="2">
        <v>38412</v>
      </c>
      <c r="C14">
        <v>240</v>
      </c>
      <c r="D14">
        <v>179</v>
      </c>
    </row>
    <row r="15" spans="1:4" x14ac:dyDescent="0.25">
      <c r="B15" s="2">
        <v>38504</v>
      </c>
      <c r="C15">
        <v>250</v>
      </c>
      <c r="D15">
        <v>178.3</v>
      </c>
    </row>
    <row r="16" spans="1:4" x14ac:dyDescent="0.25">
      <c r="B16" s="2">
        <v>38596</v>
      </c>
      <c r="C16">
        <v>245</v>
      </c>
      <c r="D16">
        <v>180</v>
      </c>
    </row>
    <row r="17" spans="2:4" x14ac:dyDescent="0.25">
      <c r="B17" s="2">
        <v>38687</v>
      </c>
      <c r="C17">
        <v>252.5</v>
      </c>
      <c r="D17">
        <v>192</v>
      </c>
    </row>
    <row r="18" spans="2:4" x14ac:dyDescent="0.25">
      <c r="B18" s="2">
        <v>38777</v>
      </c>
      <c r="C18">
        <v>260</v>
      </c>
      <c r="D18">
        <v>192</v>
      </c>
    </row>
    <row r="19" spans="2:4" x14ac:dyDescent="0.25">
      <c r="B19" s="2">
        <v>38869</v>
      </c>
      <c r="C19">
        <v>270</v>
      </c>
      <c r="D19">
        <v>200</v>
      </c>
    </row>
    <row r="20" spans="2:4" x14ac:dyDescent="0.25">
      <c r="B20" s="2">
        <v>38961</v>
      </c>
      <c r="C20">
        <v>270</v>
      </c>
      <c r="D20">
        <v>195</v>
      </c>
    </row>
    <row r="21" spans="2:4" x14ac:dyDescent="0.25">
      <c r="B21" s="2">
        <v>39052</v>
      </c>
      <c r="C21">
        <v>278</v>
      </c>
      <c r="D21">
        <v>199</v>
      </c>
    </row>
    <row r="22" spans="2:4" x14ac:dyDescent="0.25">
      <c r="B22" s="2">
        <v>39142</v>
      </c>
      <c r="C22">
        <v>280</v>
      </c>
      <c r="D22">
        <v>210</v>
      </c>
    </row>
    <row r="23" spans="2:4" x14ac:dyDescent="0.25">
      <c r="B23" s="2">
        <v>39234</v>
      </c>
      <c r="C23">
        <v>291.5</v>
      </c>
      <c r="D23">
        <v>220</v>
      </c>
    </row>
    <row r="24" spans="2:4" x14ac:dyDescent="0.25">
      <c r="B24" s="2">
        <v>39326</v>
      </c>
      <c r="C24">
        <v>285</v>
      </c>
      <c r="D24">
        <v>220</v>
      </c>
    </row>
    <row r="25" spans="2:4" x14ac:dyDescent="0.25">
      <c r="B25" s="2">
        <v>39417</v>
      </c>
      <c r="C25">
        <v>310</v>
      </c>
      <c r="D25">
        <v>230</v>
      </c>
    </row>
    <row r="26" spans="2:4" x14ac:dyDescent="0.25">
      <c r="B26" s="2">
        <v>39508</v>
      </c>
      <c r="C26">
        <v>308.5</v>
      </c>
      <c r="D26">
        <v>239.5</v>
      </c>
    </row>
    <row r="27" spans="2:4" x14ac:dyDescent="0.25">
      <c r="B27" s="2">
        <v>39600</v>
      </c>
      <c r="C27">
        <v>305</v>
      </c>
      <c r="D27">
        <v>230</v>
      </c>
    </row>
    <row r="28" spans="2:4" x14ac:dyDescent="0.25">
      <c r="B28" s="2">
        <v>39692</v>
      </c>
      <c r="C28">
        <v>292.5</v>
      </c>
      <c r="D28">
        <v>235</v>
      </c>
    </row>
    <row r="29" spans="2:4" x14ac:dyDescent="0.25">
      <c r="B29" s="2">
        <v>39783</v>
      </c>
      <c r="C29">
        <v>300</v>
      </c>
      <c r="D29">
        <v>225</v>
      </c>
    </row>
    <row r="30" spans="2:4" x14ac:dyDescent="0.25">
      <c r="B30" s="2">
        <v>39873</v>
      </c>
      <c r="C30">
        <v>296.5</v>
      </c>
      <c r="D30">
        <v>235</v>
      </c>
    </row>
    <row r="31" spans="2:4" x14ac:dyDescent="0.25">
      <c r="B31" s="2">
        <v>39965</v>
      </c>
      <c r="C31">
        <v>310</v>
      </c>
      <c r="D31">
        <v>240</v>
      </c>
    </row>
    <row r="32" spans="2:4" x14ac:dyDescent="0.25">
      <c r="B32" s="2">
        <v>40057</v>
      </c>
      <c r="C32">
        <v>310.10000000000002</v>
      </c>
      <c r="D32">
        <v>245</v>
      </c>
    </row>
    <row r="33" spans="2:4" x14ac:dyDescent="0.25">
      <c r="B33" s="2">
        <v>40148</v>
      </c>
      <c r="C33">
        <v>350</v>
      </c>
      <c r="D33">
        <v>252.3</v>
      </c>
    </row>
    <row r="34" spans="2:4" x14ac:dyDescent="0.25">
      <c r="B34" s="2">
        <v>40238</v>
      </c>
      <c r="C34">
        <v>350.5</v>
      </c>
      <c r="D34">
        <v>262</v>
      </c>
    </row>
    <row r="35" spans="2:4" x14ac:dyDescent="0.25">
      <c r="B35" s="2">
        <v>40330</v>
      </c>
      <c r="C35">
        <v>343.8</v>
      </c>
      <c r="D35">
        <v>257</v>
      </c>
    </row>
    <row r="36" spans="2:4" x14ac:dyDescent="0.25">
      <c r="B36" s="2">
        <v>40422</v>
      </c>
      <c r="C36">
        <v>340</v>
      </c>
      <c r="D36">
        <v>260</v>
      </c>
    </row>
    <row r="37" spans="2:4" x14ac:dyDescent="0.25">
      <c r="B37" s="2">
        <v>40513</v>
      </c>
      <c r="C37">
        <v>345</v>
      </c>
      <c r="D37">
        <v>260</v>
      </c>
    </row>
    <row r="38" spans="2:4" x14ac:dyDescent="0.25">
      <c r="B38" s="2">
        <v>40603</v>
      </c>
      <c r="C38">
        <v>338</v>
      </c>
      <c r="D38">
        <v>263.89999999999998</v>
      </c>
    </row>
    <row r="39" spans="2:4" x14ac:dyDescent="0.25">
      <c r="B39" s="2">
        <v>40695</v>
      </c>
      <c r="C39">
        <v>330</v>
      </c>
      <c r="D39">
        <v>250</v>
      </c>
    </row>
    <row r="40" spans="2:4" x14ac:dyDescent="0.25">
      <c r="B40" s="2">
        <v>40787</v>
      </c>
      <c r="C40">
        <v>335</v>
      </c>
      <c r="D40">
        <v>250</v>
      </c>
    </row>
    <row r="41" spans="2:4" x14ac:dyDescent="0.25">
      <c r="B41" s="2">
        <v>40878</v>
      </c>
      <c r="C41">
        <v>337.5</v>
      </c>
      <c r="D41">
        <v>250</v>
      </c>
    </row>
    <row r="42" spans="2:4" x14ac:dyDescent="0.25">
      <c r="B42" s="2">
        <v>40969</v>
      </c>
      <c r="C42">
        <v>343</v>
      </c>
      <c r="D42">
        <v>250</v>
      </c>
    </row>
    <row r="43" spans="2:4" x14ac:dyDescent="0.25">
      <c r="B43" s="2">
        <v>41061</v>
      </c>
      <c r="C43">
        <v>327.5</v>
      </c>
      <c r="D43">
        <v>247</v>
      </c>
    </row>
    <row r="44" spans="2:4" x14ac:dyDescent="0.25">
      <c r="B44" s="2">
        <v>41153</v>
      </c>
      <c r="C44">
        <v>315</v>
      </c>
      <c r="D44">
        <v>249</v>
      </c>
    </row>
    <row r="45" spans="2:4" x14ac:dyDescent="0.25">
      <c r="B45" s="2">
        <v>41244</v>
      </c>
      <c r="C45">
        <v>331.3</v>
      </c>
      <c r="D45">
        <v>252.3</v>
      </c>
    </row>
    <row r="46" spans="2:4" x14ac:dyDescent="0.25">
      <c r="B46" s="2">
        <v>41334</v>
      </c>
      <c r="C46">
        <v>340</v>
      </c>
      <c r="D46">
        <v>250</v>
      </c>
    </row>
    <row r="47" spans="2:4" x14ac:dyDescent="0.25">
      <c r="B47" s="2">
        <v>41426</v>
      </c>
      <c r="C47">
        <v>330</v>
      </c>
      <c r="D47">
        <v>255</v>
      </c>
    </row>
    <row r="48" spans="2:4" x14ac:dyDescent="0.25">
      <c r="B48" s="2">
        <v>41518</v>
      </c>
      <c r="C48">
        <v>325</v>
      </c>
      <c r="D48">
        <v>249.5</v>
      </c>
    </row>
    <row r="49" spans="2:4" x14ac:dyDescent="0.25">
      <c r="B49" s="2">
        <v>41609</v>
      </c>
      <c r="C49">
        <v>350</v>
      </c>
      <c r="D49">
        <v>250</v>
      </c>
    </row>
    <row r="50" spans="2:4" x14ac:dyDescent="0.25">
      <c r="B50" s="2">
        <v>41699</v>
      </c>
      <c r="C50">
        <v>360</v>
      </c>
      <c r="D50">
        <v>247</v>
      </c>
    </row>
    <row r="51" spans="2:4" x14ac:dyDescent="0.25">
      <c r="B51" s="2">
        <v>41791</v>
      </c>
      <c r="C51">
        <v>340</v>
      </c>
      <c r="D51">
        <v>236.3</v>
      </c>
    </row>
    <row r="52" spans="2:4" x14ac:dyDescent="0.25">
      <c r="B52" s="2">
        <v>41883</v>
      </c>
      <c r="C52">
        <v>345</v>
      </c>
      <c r="D52">
        <v>262.5</v>
      </c>
    </row>
    <row r="53" spans="2:4" x14ac:dyDescent="0.25">
      <c r="B53" s="2">
        <v>41974</v>
      </c>
      <c r="C53">
        <v>356.5</v>
      </c>
      <c r="D53">
        <v>253.5</v>
      </c>
    </row>
    <row r="54" spans="2:4" x14ac:dyDescent="0.25">
      <c r="B54" s="2">
        <v>42064</v>
      </c>
      <c r="C54">
        <v>360</v>
      </c>
      <c r="D54">
        <v>255</v>
      </c>
    </row>
    <row r="55" spans="2:4" x14ac:dyDescent="0.25">
      <c r="B55" s="2">
        <v>42156</v>
      </c>
      <c r="C55">
        <v>350</v>
      </c>
      <c r="D55">
        <v>252.5</v>
      </c>
    </row>
    <row r="56" spans="2:4" x14ac:dyDescent="0.25">
      <c r="B56" s="2">
        <v>42248</v>
      </c>
      <c r="C56">
        <v>340</v>
      </c>
      <c r="D56">
        <v>257.5</v>
      </c>
    </row>
    <row r="57" spans="2:4" x14ac:dyDescent="0.25">
      <c r="B57" s="2">
        <v>42339</v>
      </c>
      <c r="C57">
        <v>370</v>
      </c>
      <c r="D57">
        <v>265</v>
      </c>
    </row>
    <row r="58" spans="2:4" x14ac:dyDescent="0.25">
      <c r="B58" s="2">
        <v>42430</v>
      </c>
      <c r="C58">
        <v>360</v>
      </c>
      <c r="D58">
        <v>264</v>
      </c>
    </row>
    <row r="59" spans="2:4" x14ac:dyDescent="0.25">
      <c r="B59" s="2">
        <v>42522</v>
      </c>
      <c r="C59">
        <v>365</v>
      </c>
      <c r="D59">
        <v>253</v>
      </c>
    </row>
    <row r="60" spans="2:4" x14ac:dyDescent="0.25">
      <c r="B60" s="2">
        <v>42614</v>
      </c>
      <c r="C60">
        <v>370</v>
      </c>
      <c r="D60">
        <v>255</v>
      </c>
    </row>
    <row r="61" spans="2:4" x14ac:dyDescent="0.25">
      <c r="B61" s="2">
        <v>42705</v>
      </c>
      <c r="C61">
        <v>392</v>
      </c>
      <c r="D61">
        <v>274.5</v>
      </c>
    </row>
    <row r="62" spans="2:4" x14ac:dyDescent="0.25">
      <c r="B62" s="2">
        <v>42795</v>
      </c>
      <c r="C62">
        <v>389.5</v>
      </c>
      <c r="D62">
        <v>263</v>
      </c>
    </row>
    <row r="63" spans="2:4" x14ac:dyDescent="0.25">
      <c r="B63" s="2">
        <v>42887</v>
      </c>
      <c r="C63">
        <v>400</v>
      </c>
      <c r="D63">
        <v>275</v>
      </c>
    </row>
    <row r="64" spans="2:4" x14ac:dyDescent="0.25">
      <c r="B64" s="2">
        <v>42979</v>
      </c>
      <c r="C64">
        <v>395</v>
      </c>
      <c r="D64">
        <v>273.5</v>
      </c>
    </row>
    <row r="65" spans="2:4" x14ac:dyDescent="0.25">
      <c r="B65" s="2">
        <v>43070</v>
      </c>
      <c r="C65">
        <v>421</v>
      </c>
      <c r="D65">
        <v>285</v>
      </c>
    </row>
    <row r="66" spans="2:4" x14ac:dyDescent="0.25">
      <c r="B66" s="2">
        <v>43160</v>
      </c>
      <c r="C66">
        <v>449</v>
      </c>
      <c r="D66">
        <v>295</v>
      </c>
    </row>
    <row r="67" spans="2:4" x14ac:dyDescent="0.25">
      <c r="B67" s="2">
        <v>43252</v>
      </c>
      <c r="C67">
        <v>457.8</v>
      </c>
      <c r="D67">
        <v>300</v>
      </c>
    </row>
    <row r="68" spans="2:4" x14ac:dyDescent="0.25">
      <c r="B68" s="2">
        <v>43344</v>
      </c>
      <c r="C68">
        <v>440.3</v>
      </c>
      <c r="D68">
        <v>293</v>
      </c>
    </row>
    <row r="69" spans="2:4" x14ac:dyDescent="0.25">
      <c r="B69" s="2">
        <v>43435</v>
      </c>
      <c r="C69">
        <v>465</v>
      </c>
      <c r="D69">
        <v>310</v>
      </c>
    </row>
    <row r="70" spans="2:4" x14ac:dyDescent="0.25">
      <c r="B70" s="2">
        <v>43525</v>
      </c>
      <c r="C70">
        <v>471.5</v>
      </c>
      <c r="D70">
        <v>310</v>
      </c>
    </row>
    <row r="71" spans="2:4" x14ac:dyDescent="0.25">
      <c r="B71" s="2">
        <v>43617</v>
      </c>
      <c r="C71">
        <v>490</v>
      </c>
      <c r="D71">
        <v>310</v>
      </c>
    </row>
    <row r="72" spans="2:4" x14ac:dyDescent="0.25">
      <c r="B72" s="2">
        <v>43709</v>
      </c>
      <c r="C72">
        <v>480</v>
      </c>
      <c r="D72">
        <v>320</v>
      </c>
    </row>
    <row r="73" spans="2:4" x14ac:dyDescent="0.25">
      <c r="B73" s="2">
        <v>43800</v>
      </c>
      <c r="C73">
        <v>517</v>
      </c>
      <c r="D73">
        <v>340</v>
      </c>
    </row>
    <row r="74" spans="2:4" x14ac:dyDescent="0.25">
      <c r="B74" s="2">
        <v>43891</v>
      </c>
      <c r="C74">
        <v>529</v>
      </c>
      <c r="D74">
        <v>335.5</v>
      </c>
    </row>
    <row r="75" spans="2:4" x14ac:dyDescent="0.25">
      <c r="B75" s="2">
        <v>43983</v>
      </c>
      <c r="C75">
        <v>520</v>
      </c>
      <c r="D75">
        <v>340</v>
      </c>
    </row>
    <row r="76" spans="2:4" x14ac:dyDescent="0.25">
      <c r="B76" s="2">
        <v>44075</v>
      </c>
      <c r="C76">
        <v>528.5</v>
      </c>
      <c r="D76">
        <v>350</v>
      </c>
    </row>
    <row r="77" spans="2:4" x14ac:dyDescent="0.25">
      <c r="B77" s="2">
        <v>44166</v>
      </c>
      <c r="C77">
        <v>567.70000000000005</v>
      </c>
      <c r="D77">
        <v>380</v>
      </c>
    </row>
    <row r="78" spans="2:4" x14ac:dyDescent="0.25">
      <c r="B78" s="2">
        <v>44256</v>
      </c>
      <c r="C78">
        <v>610</v>
      </c>
      <c r="D78">
        <v>400</v>
      </c>
    </row>
    <row r="79" spans="2:4" x14ac:dyDescent="0.25">
      <c r="B79" s="2">
        <v>44348</v>
      </c>
      <c r="C79">
        <v>630</v>
      </c>
      <c r="D79">
        <v>420</v>
      </c>
    </row>
    <row r="80" spans="2:4" x14ac:dyDescent="0.25">
      <c r="B80" s="2">
        <v>44440</v>
      </c>
      <c r="C80">
        <v>700</v>
      </c>
      <c r="D80">
        <v>445</v>
      </c>
    </row>
    <row r="81" spans="2:4" x14ac:dyDescent="0.25">
      <c r="B81" s="2">
        <v>44531</v>
      </c>
      <c r="C81">
        <v>754</v>
      </c>
      <c r="D81">
        <v>500.9</v>
      </c>
    </row>
    <row r="82" spans="2:4" x14ac:dyDescent="0.25">
      <c r="B82" s="2">
        <v>44621</v>
      </c>
      <c r="C82">
        <v>765</v>
      </c>
      <c r="D82">
        <v>530.5</v>
      </c>
    </row>
    <row r="83" spans="2:4" x14ac:dyDescent="0.25">
      <c r="B83" s="2">
        <v>44713</v>
      </c>
      <c r="C83">
        <v>765</v>
      </c>
      <c r="D83">
        <v>525</v>
      </c>
    </row>
    <row r="84" spans="2:4" x14ac:dyDescent="0.25">
      <c r="B84" s="2">
        <v>44805</v>
      </c>
      <c r="C84">
        <v>720</v>
      </c>
      <c r="D84">
        <v>510</v>
      </c>
    </row>
    <row r="85" spans="2:4" x14ac:dyDescent="0.25">
      <c r="B85" s="2">
        <v>44896</v>
      </c>
      <c r="C85">
        <v>731.5</v>
      </c>
      <c r="D85">
        <v>535</v>
      </c>
    </row>
    <row r="86" spans="2:4" x14ac:dyDescent="0.25">
      <c r="B86" s="2">
        <v>44986</v>
      </c>
      <c r="C86">
        <v>705</v>
      </c>
      <c r="D86">
        <v>520</v>
      </c>
    </row>
    <row r="87" spans="2:4" x14ac:dyDescent="0.25">
      <c r="B87" s="2">
        <v>45078</v>
      </c>
      <c r="C87">
        <v>696.5</v>
      </c>
      <c r="D87">
        <v>535</v>
      </c>
    </row>
    <row r="88" spans="2:4" x14ac:dyDescent="0.25">
      <c r="B88" s="2">
        <v>45170</v>
      </c>
      <c r="C88">
        <v>695</v>
      </c>
      <c r="D88">
        <v>527.5</v>
      </c>
    </row>
    <row r="89" spans="2:4" x14ac:dyDescent="0.25">
      <c r="B89" s="2">
        <v>45261</v>
      </c>
      <c r="C89">
        <v>715</v>
      </c>
      <c r="D89">
        <v>525</v>
      </c>
    </row>
    <row r="90" spans="2:4" x14ac:dyDescent="0.25">
      <c r="B90" s="2">
        <v>45352</v>
      </c>
      <c r="C90">
        <v>705</v>
      </c>
      <c r="D90">
        <v>535</v>
      </c>
    </row>
    <row r="91" spans="2:4" x14ac:dyDescent="0.25">
      <c r="B91" s="2">
        <v>45444</v>
      </c>
      <c r="C91">
        <v>695.5</v>
      </c>
      <c r="D91">
        <v>537</v>
      </c>
    </row>
    <row r="92" spans="2:4" x14ac:dyDescent="0.25">
      <c r="B92" s="2">
        <v>45536</v>
      </c>
      <c r="C92">
        <v>700</v>
      </c>
      <c r="D92">
        <v>515.1</v>
      </c>
    </row>
    <row r="93" spans="2:4" x14ac:dyDescent="0.25">
      <c r="B93" s="2">
        <v>45627</v>
      </c>
      <c r="C93">
        <v>715</v>
      </c>
      <c r="D93">
        <v>550</v>
      </c>
    </row>
    <row r="94" spans="2:4" x14ac:dyDescent="0.25">
      <c r="B94" s="2">
        <v>45717</v>
      </c>
      <c r="C94">
        <v>710.5</v>
      </c>
      <c r="D94">
        <v>550</v>
      </c>
    </row>
    <row r="95" spans="2:4" x14ac:dyDescent="0.25">
      <c r="B95" s="2">
        <v>45809</v>
      </c>
      <c r="C95">
        <v>707.5</v>
      </c>
      <c r="D95">
        <v>550</v>
      </c>
    </row>
    <row r="96" spans="2:4" x14ac:dyDescent="0.25">
      <c r="B96" s="2">
        <v>45901</v>
      </c>
      <c r="C96">
        <v>715</v>
      </c>
      <c r="D96">
        <v>575</v>
      </c>
    </row>
    <row r="97" spans="2:4" x14ac:dyDescent="0.25">
      <c r="B97" s="2">
        <v>45992</v>
      </c>
      <c r="C97">
        <v>749.5</v>
      </c>
      <c r="D97">
        <v>609</v>
      </c>
    </row>
    <row r="98" spans="2:4" x14ac:dyDescent="0.25">
      <c r="B98" s="2"/>
    </row>
    <row r="99" spans="2:4" x14ac:dyDescent="0.25">
      <c r="B99" s="2"/>
    </row>
    <row r="100" spans="2:4" x14ac:dyDescent="0.25">
      <c r="B100" s="2"/>
    </row>
    <row r="101" spans="2:4" x14ac:dyDescent="0.25">
      <c r="B101" s="2"/>
    </row>
    <row r="102" spans="2:4" x14ac:dyDescent="0.25">
      <c r="B102" s="2"/>
    </row>
  </sheetData>
  <autoFilter ref="B1:D102" xr:uid="{01F0EFC7-7237-4430-B607-A7F5094CDFD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D97"/>
  <sheetViews>
    <sheetView zoomScaleNormal="100" workbookViewId="0">
      <selection activeCell="C3" sqref="C3"/>
    </sheetView>
  </sheetViews>
  <sheetFormatPr defaultRowHeight="15" x14ac:dyDescent="0.25"/>
  <cols>
    <col min="1" max="1" width="24.28515625" bestFit="1" customWidth="1"/>
    <col min="2" max="2" width="20" bestFit="1" customWidth="1"/>
  </cols>
  <sheetData>
    <row r="1" spans="1:4" x14ac:dyDescent="0.25">
      <c r="A1" t="s">
        <v>23</v>
      </c>
      <c r="B1" s="1" t="s">
        <v>1</v>
      </c>
      <c r="C1" t="s">
        <v>654</v>
      </c>
      <c r="D1" t="s">
        <v>662</v>
      </c>
    </row>
    <row r="2" spans="1:4" x14ac:dyDescent="0.25">
      <c r="A2" t="s">
        <v>12</v>
      </c>
      <c r="B2" s="2">
        <v>37316</v>
      </c>
      <c r="C2" cm="1">
        <f t="array" ref="C2:C97">_xlfn.XLOOKUP("Median Price of Attached Dwelling*Hobart*",'ABS-total-value-dwellings'!1:1,'ABS-total-value-dwellings'!11:106,"na",2)</f>
        <v>0</v>
      </c>
      <c r="D2" cm="1">
        <f t="array" ref="D2:D97">_xlfn.XLOOKUP("Median Price of Attached Dwelling*Rest of TAS*",'ABS-total-value-dwellings'!1:1,'ABS-total-value-dwellings'!11:106,"na",2)</f>
        <v>0</v>
      </c>
    </row>
    <row r="3" spans="1:4" x14ac:dyDescent="0.25">
      <c r="A3" t="s">
        <v>13</v>
      </c>
      <c r="B3" s="2">
        <v>37408</v>
      </c>
      <c r="C3">
        <v>0</v>
      </c>
      <c r="D3">
        <v>0</v>
      </c>
    </row>
    <row r="4" spans="1:4" x14ac:dyDescent="0.25">
      <c r="B4" s="2">
        <v>37500</v>
      </c>
      <c r="C4">
        <v>0</v>
      </c>
      <c r="D4">
        <v>0</v>
      </c>
    </row>
    <row r="5" spans="1:4" x14ac:dyDescent="0.25">
      <c r="B5" s="2">
        <v>37591</v>
      </c>
      <c r="C5">
        <v>0</v>
      </c>
      <c r="D5">
        <v>0</v>
      </c>
    </row>
    <row r="6" spans="1:4" x14ac:dyDescent="0.25">
      <c r="B6" s="2">
        <v>37681</v>
      </c>
      <c r="C6">
        <v>0</v>
      </c>
      <c r="D6">
        <v>0</v>
      </c>
    </row>
    <row r="7" spans="1:4" x14ac:dyDescent="0.25">
      <c r="B7" s="2">
        <v>37773</v>
      </c>
      <c r="C7">
        <v>0</v>
      </c>
      <c r="D7">
        <v>0</v>
      </c>
    </row>
    <row r="8" spans="1:4" x14ac:dyDescent="0.25">
      <c r="B8" s="2">
        <v>37865</v>
      </c>
      <c r="C8">
        <v>165</v>
      </c>
      <c r="D8">
        <v>130</v>
      </c>
    </row>
    <row r="9" spans="1:4" x14ac:dyDescent="0.25">
      <c r="B9" s="2">
        <v>37956</v>
      </c>
      <c r="C9">
        <v>175</v>
      </c>
      <c r="D9">
        <v>120</v>
      </c>
    </row>
    <row r="10" spans="1:4" x14ac:dyDescent="0.25">
      <c r="B10" s="2">
        <v>38047</v>
      </c>
      <c r="C10">
        <v>192</v>
      </c>
      <c r="D10">
        <v>145</v>
      </c>
    </row>
    <row r="11" spans="1:4" x14ac:dyDescent="0.25">
      <c r="B11" s="2">
        <v>38139</v>
      </c>
      <c r="C11">
        <v>192.8</v>
      </c>
      <c r="D11">
        <v>149</v>
      </c>
    </row>
    <row r="12" spans="1:4" x14ac:dyDescent="0.25">
      <c r="B12" s="2">
        <v>38231</v>
      </c>
      <c r="C12">
        <v>195</v>
      </c>
      <c r="D12">
        <v>155</v>
      </c>
    </row>
    <row r="13" spans="1:4" x14ac:dyDescent="0.25">
      <c r="B13" s="2">
        <v>38322</v>
      </c>
      <c r="C13">
        <v>200</v>
      </c>
      <c r="D13">
        <v>158</v>
      </c>
    </row>
    <row r="14" spans="1:4" x14ac:dyDescent="0.25">
      <c r="B14" s="2">
        <v>38412</v>
      </c>
      <c r="C14">
        <v>220</v>
      </c>
      <c r="D14">
        <v>166</v>
      </c>
    </row>
    <row r="15" spans="1:4" x14ac:dyDescent="0.25">
      <c r="B15" s="2">
        <v>38504</v>
      </c>
      <c r="C15">
        <v>233.5</v>
      </c>
      <c r="D15">
        <v>170</v>
      </c>
    </row>
    <row r="16" spans="1:4" x14ac:dyDescent="0.25">
      <c r="B16" s="2">
        <v>38596</v>
      </c>
      <c r="C16">
        <v>200</v>
      </c>
      <c r="D16">
        <v>175</v>
      </c>
    </row>
    <row r="17" spans="2:4" x14ac:dyDescent="0.25">
      <c r="B17" s="2">
        <v>38687</v>
      </c>
      <c r="C17">
        <v>215</v>
      </c>
      <c r="D17">
        <v>165</v>
      </c>
    </row>
    <row r="18" spans="2:4" x14ac:dyDescent="0.25">
      <c r="B18" s="2">
        <v>38777</v>
      </c>
      <c r="C18">
        <v>225</v>
      </c>
      <c r="D18">
        <v>170</v>
      </c>
    </row>
    <row r="19" spans="2:4" x14ac:dyDescent="0.25">
      <c r="B19" s="2">
        <v>38869</v>
      </c>
      <c r="C19">
        <v>229</v>
      </c>
      <c r="D19">
        <v>178.5</v>
      </c>
    </row>
    <row r="20" spans="2:4" x14ac:dyDescent="0.25">
      <c r="B20" s="2">
        <v>38961</v>
      </c>
      <c r="C20">
        <v>230</v>
      </c>
      <c r="D20">
        <v>180.8</v>
      </c>
    </row>
    <row r="21" spans="2:4" x14ac:dyDescent="0.25">
      <c r="B21" s="2">
        <v>39052</v>
      </c>
      <c r="C21">
        <v>231</v>
      </c>
      <c r="D21">
        <v>185.5</v>
      </c>
    </row>
    <row r="22" spans="2:4" x14ac:dyDescent="0.25">
      <c r="B22" s="2">
        <v>39142</v>
      </c>
      <c r="C22">
        <v>240</v>
      </c>
      <c r="D22">
        <v>184</v>
      </c>
    </row>
    <row r="23" spans="2:4" x14ac:dyDescent="0.25">
      <c r="B23" s="2">
        <v>39234</v>
      </c>
      <c r="C23">
        <v>240</v>
      </c>
      <c r="D23">
        <v>191</v>
      </c>
    </row>
    <row r="24" spans="2:4" x14ac:dyDescent="0.25">
      <c r="B24" s="2">
        <v>39326</v>
      </c>
      <c r="C24">
        <v>250</v>
      </c>
      <c r="D24">
        <v>190</v>
      </c>
    </row>
    <row r="25" spans="2:4" x14ac:dyDescent="0.25">
      <c r="B25" s="2">
        <v>39417</v>
      </c>
      <c r="C25">
        <v>260</v>
      </c>
      <c r="D25">
        <v>196.3</v>
      </c>
    </row>
    <row r="26" spans="2:4" x14ac:dyDescent="0.25">
      <c r="B26" s="2">
        <v>39508</v>
      </c>
      <c r="C26">
        <v>245</v>
      </c>
      <c r="D26">
        <v>200</v>
      </c>
    </row>
    <row r="27" spans="2:4" x14ac:dyDescent="0.25">
      <c r="B27" s="2">
        <v>39600</v>
      </c>
      <c r="C27">
        <v>257</v>
      </c>
      <c r="D27">
        <v>205</v>
      </c>
    </row>
    <row r="28" spans="2:4" x14ac:dyDescent="0.25">
      <c r="B28" s="2">
        <v>39692</v>
      </c>
      <c r="C28">
        <v>240</v>
      </c>
      <c r="D28">
        <v>200</v>
      </c>
    </row>
    <row r="29" spans="2:4" x14ac:dyDescent="0.25">
      <c r="B29" s="2">
        <v>39783</v>
      </c>
      <c r="C29">
        <v>245</v>
      </c>
      <c r="D29">
        <v>200</v>
      </c>
    </row>
    <row r="30" spans="2:4" x14ac:dyDescent="0.25">
      <c r="B30" s="2">
        <v>39873</v>
      </c>
      <c r="C30">
        <v>255</v>
      </c>
      <c r="D30">
        <v>213</v>
      </c>
    </row>
    <row r="31" spans="2:4" x14ac:dyDescent="0.25">
      <c r="B31" s="2">
        <v>39965</v>
      </c>
      <c r="C31">
        <v>260</v>
      </c>
      <c r="D31">
        <v>220</v>
      </c>
    </row>
    <row r="32" spans="2:4" x14ac:dyDescent="0.25">
      <c r="B32" s="2">
        <v>40057</v>
      </c>
      <c r="C32">
        <v>270</v>
      </c>
      <c r="D32">
        <v>220</v>
      </c>
    </row>
    <row r="33" spans="2:4" x14ac:dyDescent="0.25">
      <c r="B33" s="2">
        <v>40148</v>
      </c>
      <c r="C33">
        <v>285</v>
      </c>
      <c r="D33">
        <v>220</v>
      </c>
    </row>
    <row r="34" spans="2:4" x14ac:dyDescent="0.25">
      <c r="B34" s="2">
        <v>40238</v>
      </c>
      <c r="C34">
        <v>278.5</v>
      </c>
      <c r="D34">
        <v>226.5</v>
      </c>
    </row>
    <row r="35" spans="2:4" x14ac:dyDescent="0.25">
      <c r="B35" s="2">
        <v>40330</v>
      </c>
      <c r="C35">
        <v>280</v>
      </c>
      <c r="D35">
        <v>235</v>
      </c>
    </row>
    <row r="36" spans="2:4" x14ac:dyDescent="0.25">
      <c r="B36" s="2">
        <v>40422</v>
      </c>
      <c r="C36">
        <v>287.5</v>
      </c>
      <c r="D36">
        <v>235</v>
      </c>
    </row>
    <row r="37" spans="2:4" x14ac:dyDescent="0.25">
      <c r="B37" s="2">
        <v>40513</v>
      </c>
      <c r="C37">
        <v>288</v>
      </c>
      <c r="D37">
        <v>230</v>
      </c>
    </row>
    <row r="38" spans="2:4" x14ac:dyDescent="0.25">
      <c r="B38" s="2">
        <v>40603</v>
      </c>
      <c r="C38">
        <v>291.5</v>
      </c>
      <c r="D38">
        <v>235</v>
      </c>
    </row>
    <row r="39" spans="2:4" x14ac:dyDescent="0.25">
      <c r="B39" s="2">
        <v>40695</v>
      </c>
      <c r="C39">
        <v>294</v>
      </c>
      <c r="D39">
        <v>232.5</v>
      </c>
    </row>
    <row r="40" spans="2:4" x14ac:dyDescent="0.25">
      <c r="B40" s="2">
        <v>40787</v>
      </c>
      <c r="C40">
        <v>272.5</v>
      </c>
      <c r="D40">
        <v>228.5</v>
      </c>
    </row>
    <row r="41" spans="2:4" x14ac:dyDescent="0.25">
      <c r="B41" s="2">
        <v>40878</v>
      </c>
      <c r="C41">
        <v>275</v>
      </c>
      <c r="D41">
        <v>240</v>
      </c>
    </row>
    <row r="42" spans="2:4" x14ac:dyDescent="0.25">
      <c r="B42" s="2">
        <v>40969</v>
      </c>
      <c r="C42">
        <v>268.8</v>
      </c>
      <c r="D42">
        <v>228</v>
      </c>
    </row>
    <row r="43" spans="2:4" x14ac:dyDescent="0.25">
      <c r="B43" s="2">
        <v>41061</v>
      </c>
      <c r="C43">
        <v>275</v>
      </c>
      <c r="D43">
        <v>222.5</v>
      </c>
    </row>
    <row r="44" spans="2:4" x14ac:dyDescent="0.25">
      <c r="B44" s="2">
        <v>41153</v>
      </c>
      <c r="C44">
        <v>275</v>
      </c>
      <c r="D44">
        <v>225</v>
      </c>
    </row>
    <row r="45" spans="2:4" x14ac:dyDescent="0.25">
      <c r="B45" s="2">
        <v>41244</v>
      </c>
      <c r="C45">
        <v>294</v>
      </c>
      <c r="D45">
        <v>220</v>
      </c>
    </row>
    <row r="46" spans="2:4" x14ac:dyDescent="0.25">
      <c r="B46" s="2">
        <v>41334</v>
      </c>
      <c r="C46">
        <v>276.8</v>
      </c>
      <c r="D46">
        <v>227</v>
      </c>
    </row>
    <row r="47" spans="2:4" x14ac:dyDescent="0.25">
      <c r="B47" s="2">
        <v>41426</v>
      </c>
      <c r="C47">
        <v>285</v>
      </c>
      <c r="D47">
        <v>219</v>
      </c>
    </row>
    <row r="48" spans="2:4" x14ac:dyDescent="0.25">
      <c r="B48" s="2">
        <v>41518</v>
      </c>
      <c r="C48">
        <v>266</v>
      </c>
      <c r="D48">
        <v>216.5</v>
      </c>
    </row>
    <row r="49" spans="2:4" x14ac:dyDescent="0.25">
      <c r="B49" s="2">
        <v>41609</v>
      </c>
      <c r="C49">
        <v>295</v>
      </c>
      <c r="D49">
        <v>220</v>
      </c>
    </row>
    <row r="50" spans="2:4" x14ac:dyDescent="0.25">
      <c r="B50" s="2">
        <v>41699</v>
      </c>
      <c r="C50">
        <v>275</v>
      </c>
      <c r="D50">
        <v>230</v>
      </c>
    </row>
    <row r="51" spans="2:4" x14ac:dyDescent="0.25">
      <c r="B51" s="2">
        <v>41791</v>
      </c>
      <c r="C51">
        <v>282</v>
      </c>
      <c r="D51">
        <v>226.3</v>
      </c>
    </row>
    <row r="52" spans="2:4" x14ac:dyDescent="0.25">
      <c r="B52" s="2">
        <v>41883</v>
      </c>
      <c r="C52">
        <v>267.5</v>
      </c>
      <c r="D52">
        <v>235</v>
      </c>
    </row>
    <row r="53" spans="2:4" x14ac:dyDescent="0.25">
      <c r="B53" s="2">
        <v>41974</v>
      </c>
      <c r="C53">
        <v>279.5</v>
      </c>
      <c r="D53">
        <v>235</v>
      </c>
    </row>
    <row r="54" spans="2:4" x14ac:dyDescent="0.25">
      <c r="B54" s="2">
        <v>42064</v>
      </c>
      <c r="C54">
        <v>285</v>
      </c>
      <c r="D54">
        <v>220.5</v>
      </c>
    </row>
    <row r="55" spans="2:4" x14ac:dyDescent="0.25">
      <c r="B55" s="2">
        <v>42156</v>
      </c>
      <c r="C55">
        <v>286</v>
      </c>
      <c r="D55">
        <v>232</v>
      </c>
    </row>
    <row r="56" spans="2:4" x14ac:dyDescent="0.25">
      <c r="B56" s="2">
        <v>42248</v>
      </c>
      <c r="C56">
        <v>296</v>
      </c>
      <c r="D56">
        <v>235</v>
      </c>
    </row>
    <row r="57" spans="2:4" x14ac:dyDescent="0.25">
      <c r="B57" s="2">
        <v>42339</v>
      </c>
      <c r="C57">
        <v>292</v>
      </c>
      <c r="D57">
        <v>235</v>
      </c>
    </row>
    <row r="58" spans="2:4" x14ac:dyDescent="0.25">
      <c r="B58" s="2">
        <v>42430</v>
      </c>
      <c r="C58">
        <v>295.8</v>
      </c>
      <c r="D58">
        <v>215</v>
      </c>
    </row>
    <row r="59" spans="2:4" x14ac:dyDescent="0.25">
      <c r="B59" s="2">
        <v>42522</v>
      </c>
      <c r="C59">
        <v>307.5</v>
      </c>
      <c r="D59">
        <v>220</v>
      </c>
    </row>
    <row r="60" spans="2:4" x14ac:dyDescent="0.25">
      <c r="B60" s="2">
        <v>42614</v>
      </c>
      <c r="C60">
        <v>290</v>
      </c>
      <c r="D60">
        <v>235</v>
      </c>
    </row>
    <row r="61" spans="2:4" x14ac:dyDescent="0.25">
      <c r="B61" s="2">
        <v>42705</v>
      </c>
      <c r="C61">
        <v>305</v>
      </c>
      <c r="D61">
        <v>240</v>
      </c>
    </row>
    <row r="62" spans="2:4" x14ac:dyDescent="0.25">
      <c r="B62" s="2">
        <v>42795</v>
      </c>
      <c r="C62">
        <v>315</v>
      </c>
      <c r="D62">
        <v>249</v>
      </c>
    </row>
    <row r="63" spans="2:4" x14ac:dyDescent="0.25">
      <c r="B63" s="2">
        <v>42887</v>
      </c>
      <c r="C63">
        <v>300</v>
      </c>
      <c r="D63">
        <v>250</v>
      </c>
    </row>
    <row r="64" spans="2:4" x14ac:dyDescent="0.25">
      <c r="B64" s="2">
        <v>42979</v>
      </c>
      <c r="C64">
        <v>320</v>
      </c>
      <c r="D64">
        <v>235</v>
      </c>
    </row>
    <row r="65" spans="2:4" x14ac:dyDescent="0.25">
      <c r="B65" s="2">
        <v>43070</v>
      </c>
      <c r="C65">
        <v>330</v>
      </c>
      <c r="D65">
        <v>250</v>
      </c>
    </row>
    <row r="66" spans="2:4" x14ac:dyDescent="0.25">
      <c r="B66" s="2">
        <v>43160</v>
      </c>
      <c r="C66">
        <v>338.5</v>
      </c>
      <c r="D66">
        <v>249</v>
      </c>
    </row>
    <row r="67" spans="2:4" x14ac:dyDescent="0.25">
      <c r="B67" s="2">
        <v>43252</v>
      </c>
      <c r="C67">
        <v>356</v>
      </c>
      <c r="D67">
        <v>255</v>
      </c>
    </row>
    <row r="68" spans="2:4" x14ac:dyDescent="0.25">
      <c r="B68" s="2">
        <v>43344</v>
      </c>
      <c r="C68">
        <v>358</v>
      </c>
      <c r="D68">
        <v>265</v>
      </c>
    </row>
    <row r="69" spans="2:4" x14ac:dyDescent="0.25">
      <c r="B69" s="2">
        <v>43435</v>
      </c>
      <c r="C69">
        <v>375</v>
      </c>
      <c r="D69">
        <v>259.5</v>
      </c>
    </row>
    <row r="70" spans="2:4" x14ac:dyDescent="0.25">
      <c r="B70" s="2">
        <v>43525</v>
      </c>
      <c r="C70">
        <v>390</v>
      </c>
      <c r="D70">
        <v>280</v>
      </c>
    </row>
    <row r="71" spans="2:4" x14ac:dyDescent="0.25">
      <c r="B71" s="2">
        <v>43617</v>
      </c>
      <c r="C71">
        <v>382.5</v>
      </c>
      <c r="D71">
        <v>267</v>
      </c>
    </row>
    <row r="72" spans="2:4" x14ac:dyDescent="0.25">
      <c r="B72" s="2">
        <v>43709</v>
      </c>
      <c r="C72">
        <v>385</v>
      </c>
      <c r="D72">
        <v>270</v>
      </c>
    </row>
    <row r="73" spans="2:4" x14ac:dyDescent="0.25">
      <c r="B73" s="2">
        <v>43800</v>
      </c>
      <c r="C73">
        <v>400</v>
      </c>
      <c r="D73">
        <v>295</v>
      </c>
    </row>
    <row r="74" spans="2:4" x14ac:dyDescent="0.25">
      <c r="B74" s="2">
        <v>43891</v>
      </c>
      <c r="C74">
        <v>425</v>
      </c>
      <c r="D74">
        <v>298</v>
      </c>
    </row>
    <row r="75" spans="2:4" x14ac:dyDescent="0.25">
      <c r="B75" s="2">
        <v>43983</v>
      </c>
      <c r="C75">
        <v>394.5</v>
      </c>
      <c r="D75">
        <v>293.5</v>
      </c>
    </row>
    <row r="76" spans="2:4" x14ac:dyDescent="0.25">
      <c r="B76" s="2">
        <v>44075</v>
      </c>
      <c r="C76">
        <v>420</v>
      </c>
      <c r="D76">
        <v>305</v>
      </c>
    </row>
    <row r="77" spans="2:4" x14ac:dyDescent="0.25">
      <c r="B77" s="2">
        <v>44166</v>
      </c>
      <c r="C77">
        <v>441</v>
      </c>
      <c r="D77">
        <v>321</v>
      </c>
    </row>
    <row r="78" spans="2:4" x14ac:dyDescent="0.25">
      <c r="B78" s="2">
        <v>44256</v>
      </c>
      <c r="C78">
        <v>471.1</v>
      </c>
      <c r="D78">
        <v>330</v>
      </c>
    </row>
    <row r="79" spans="2:4" x14ac:dyDescent="0.25">
      <c r="B79" s="2">
        <v>44348</v>
      </c>
      <c r="C79">
        <v>502.5</v>
      </c>
      <c r="D79">
        <v>360</v>
      </c>
    </row>
    <row r="80" spans="2:4" x14ac:dyDescent="0.25">
      <c r="B80" s="2">
        <v>44440</v>
      </c>
      <c r="C80">
        <v>540</v>
      </c>
      <c r="D80">
        <v>360</v>
      </c>
    </row>
    <row r="81" spans="2:4" x14ac:dyDescent="0.25">
      <c r="B81" s="2">
        <v>44531</v>
      </c>
      <c r="C81">
        <v>570</v>
      </c>
      <c r="D81">
        <v>410</v>
      </c>
    </row>
    <row r="82" spans="2:4" x14ac:dyDescent="0.25">
      <c r="B82" s="2">
        <v>44621</v>
      </c>
      <c r="C82">
        <v>586.29999999999995</v>
      </c>
      <c r="D82">
        <v>410</v>
      </c>
    </row>
    <row r="83" spans="2:4" x14ac:dyDescent="0.25">
      <c r="B83" s="2">
        <v>44713</v>
      </c>
      <c r="C83">
        <v>575</v>
      </c>
      <c r="D83">
        <v>420</v>
      </c>
    </row>
    <row r="84" spans="2:4" x14ac:dyDescent="0.25">
      <c r="B84" s="2">
        <v>44805</v>
      </c>
      <c r="C84">
        <v>565</v>
      </c>
      <c r="D84">
        <v>422.5</v>
      </c>
    </row>
    <row r="85" spans="2:4" x14ac:dyDescent="0.25">
      <c r="B85" s="2">
        <v>44896</v>
      </c>
      <c r="C85">
        <v>565</v>
      </c>
      <c r="D85">
        <v>415</v>
      </c>
    </row>
    <row r="86" spans="2:4" x14ac:dyDescent="0.25">
      <c r="B86" s="2">
        <v>44986</v>
      </c>
      <c r="C86">
        <v>560</v>
      </c>
      <c r="D86">
        <v>420</v>
      </c>
    </row>
    <row r="87" spans="2:4" x14ac:dyDescent="0.25">
      <c r="B87" s="2">
        <v>45078</v>
      </c>
      <c r="C87">
        <v>557</v>
      </c>
      <c r="D87">
        <v>460</v>
      </c>
    </row>
    <row r="88" spans="2:4" x14ac:dyDescent="0.25">
      <c r="B88" s="2">
        <v>45170</v>
      </c>
      <c r="C88">
        <v>550</v>
      </c>
      <c r="D88">
        <v>435</v>
      </c>
    </row>
    <row r="89" spans="2:4" x14ac:dyDescent="0.25">
      <c r="B89" s="2">
        <v>45261</v>
      </c>
      <c r="C89">
        <v>540</v>
      </c>
      <c r="D89">
        <v>435.5</v>
      </c>
    </row>
    <row r="90" spans="2:4" x14ac:dyDescent="0.25">
      <c r="B90" s="2">
        <v>45352</v>
      </c>
      <c r="C90">
        <v>551</v>
      </c>
      <c r="D90">
        <v>450</v>
      </c>
    </row>
    <row r="91" spans="2:4" x14ac:dyDescent="0.25">
      <c r="B91" s="2">
        <v>45444</v>
      </c>
      <c r="C91">
        <v>555</v>
      </c>
      <c r="D91">
        <v>445</v>
      </c>
    </row>
    <row r="92" spans="2:4" x14ac:dyDescent="0.25">
      <c r="B92" s="2">
        <v>45536</v>
      </c>
      <c r="C92">
        <v>525</v>
      </c>
      <c r="D92">
        <v>450</v>
      </c>
    </row>
    <row r="93" spans="2:4" x14ac:dyDescent="0.25">
      <c r="B93" s="2">
        <v>45627</v>
      </c>
      <c r="C93">
        <v>539.5</v>
      </c>
      <c r="D93">
        <v>462.5</v>
      </c>
    </row>
    <row r="94" spans="2:4" x14ac:dyDescent="0.25">
      <c r="B94" s="2">
        <v>45717</v>
      </c>
      <c r="C94">
        <v>550</v>
      </c>
      <c r="D94">
        <v>442</v>
      </c>
    </row>
    <row r="95" spans="2:4" x14ac:dyDescent="0.25">
      <c r="B95" s="2">
        <v>45809</v>
      </c>
      <c r="C95">
        <v>555.29999999999995</v>
      </c>
      <c r="D95">
        <v>450</v>
      </c>
    </row>
    <row r="96" spans="2:4" x14ac:dyDescent="0.25">
      <c r="B96" s="2">
        <v>45901</v>
      </c>
      <c r="C96">
        <v>582.5</v>
      </c>
      <c r="D96">
        <v>455</v>
      </c>
    </row>
    <row r="97" spans="2:4" x14ac:dyDescent="0.25">
      <c r="B97" s="2">
        <v>45992</v>
      </c>
      <c r="C97">
        <v>586</v>
      </c>
      <c r="D97">
        <v>493.5</v>
      </c>
    </row>
  </sheetData>
  <autoFilter ref="B1:D97"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15</vt:i4>
      </vt:variant>
      <vt:variant>
        <vt:lpstr>Charts</vt:lpstr>
      </vt:variant>
      <vt:variant>
        <vt:i4>2</vt:i4>
      </vt:variant>
      <vt:variant>
        <vt:lpstr>Named Ranges</vt:lpstr>
      </vt:variant>
      <vt:variant>
        <vt:i4>196</vt:i4>
      </vt:variant>
    </vt:vector>
  </HeadingPairs>
  <TitlesOfParts>
    <vt:vector size="213" baseType="lpstr">
      <vt:lpstr>analysis</vt:lpstr>
      <vt:lpstr>cpi</vt:lpstr>
      <vt:lpstr>msci-indices</vt:lpstr>
      <vt:lpstr>mortgage-rates</vt:lpstr>
      <vt:lpstr>tas-rent &gt;&gt;</vt:lpstr>
      <vt:lpstr>domain-values</vt:lpstr>
      <vt:lpstr>Ableson and Joyeux 2023</vt:lpstr>
      <vt:lpstr>rai-values-2bf</vt:lpstr>
      <vt:lpstr>rai-values-3bh</vt:lpstr>
      <vt:lpstr>2BR_F-processed</vt:lpstr>
      <vt:lpstr>3BR_H-processed</vt:lpstr>
      <vt:lpstr>tas-buy &gt;&gt;</vt:lpstr>
      <vt:lpstr>ABS-total-value-dwellings</vt:lpstr>
      <vt:lpstr>ns-combined</vt:lpstr>
      <vt:lpstr>s-combined</vt:lpstr>
      <vt:lpstr>chart-2bflat</vt:lpstr>
      <vt:lpstr>chart-3bhouse</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'3BR_H-processed'!HouseDwellingType</vt:lpstr>
      <vt:lpstr>'3BR_H-processed'!HouseNumberOfBedrooms</vt:lpstr>
      <vt:lpstr>InvestFees</vt:lpstr>
      <vt:lpstr>MortgageRate</vt:lpstr>
      <vt:lpstr>Q_end</vt:lpstr>
      <vt:lpstr>Q_start</vt:lpstr>
      <vt:lpstr>Qstart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2026-09-06T01:18:06Z</dcterms:modified>
</cp:coreProperties>
</file>